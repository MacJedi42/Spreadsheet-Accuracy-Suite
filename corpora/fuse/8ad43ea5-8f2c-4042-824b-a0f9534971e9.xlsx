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queryTables/queryTable1.xml" ContentType="application/vnd.openxmlformats-officedocument.spreadsheetml.queryTable+xml"/>
  <Override PartName="/xl/queryTables/queryTable2.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5" yWindow="5445" windowWidth="18810" windowHeight="2505" firstSheet="1" activeTab="15"/>
  </bookViews>
  <sheets>
    <sheet name="Instructions" sheetId="9" r:id="rId1"/>
    <sheet name="Report" sheetId="7" r:id="rId2"/>
    <sheet name="Funds" sheetId="14" r:id="rId3"/>
    <sheet name="Accounts" sheetId="10" r:id="rId4"/>
    <sheet name="Entries" sheetId="13" r:id="rId5"/>
    <sheet name="Aid Adjust" sheetId="5" r:id="rId6"/>
    <sheet name="Shift 14" sheetId="2" r:id="rId7"/>
    <sheet name="Data" sheetId="1" r:id="rId8"/>
    <sheet name="Shift 13" sheetId="4" r:id="rId9"/>
    <sheet name="Levy" sheetId="11" r:id="rId10"/>
    <sheet name="Credits" sheetId="19" r:id="rId11"/>
    <sheet name="Receipts" sheetId="12" r:id="rId12"/>
    <sheet name="Ideas" sheetId="8" r:id="rId13"/>
    <sheet name="Query1" sheetId="15" r:id="rId14"/>
    <sheet name="Query4" sheetId="16" r:id="rId15"/>
    <sheet name="Names" sheetId="20" r:id="rId16"/>
  </sheets>
  <definedNames>
    <definedName name="Aid">'Aid Adjust'!$A$10:$H$341</definedName>
    <definedName name="Ideas" localSheetId="10">Credits!$A$8:$C$339</definedName>
    <definedName name="Ideas" localSheetId="9">Levy!$A$9:$C$342</definedName>
    <definedName name="Ideas">Ideas!$A$9:$H$341</definedName>
    <definedName name="_xlnm.Print_Titles" localSheetId="3">Accounts!$1:$9</definedName>
    <definedName name="_xlnm.Print_Titles" localSheetId="5">'Aid Adjust'!$1:$9</definedName>
    <definedName name="_xlnm.Print_Titles" localSheetId="10">Credits!$1:$7</definedName>
    <definedName name="_xlnm.Print_Titles" localSheetId="7">Data!$A:$C,Data!$1:$7</definedName>
    <definedName name="_xlnm.Print_Titles" localSheetId="4">Entries!$1:$2</definedName>
    <definedName name="_xlnm.Print_Titles" localSheetId="12">Ideas!$1:$8</definedName>
    <definedName name="_xlnm.Print_Titles" localSheetId="9">Levy!$1:$7</definedName>
    <definedName name="_xlnm.Print_Titles" localSheetId="13">Query1!$1:$3</definedName>
    <definedName name="_xlnm.Print_Titles" localSheetId="14">Query4!$1:$3</definedName>
    <definedName name="_xlnm.Print_Titles" localSheetId="11">Receipts!$1:$6</definedName>
    <definedName name="_xlnm.Print_Titles" localSheetId="8">'Shift 13'!$1:$10</definedName>
    <definedName name="_xlnm.Print_Titles" localSheetId="6">'Shift 14'!$1:$4</definedName>
    <definedName name="Query_from_Databridge" localSheetId="13">Query1!$A$3:$F$125</definedName>
    <definedName name="Query_from_Databridge" localSheetId="14">Query4!$A$3:$F$48</definedName>
    <definedName name="Shift05" localSheetId="11">Receipts!$A$7:$K$338</definedName>
    <definedName name="ShiftCY">'Shift 14'!$A$6:$O$337</definedName>
    <definedName name="ShiftPY">'Shift 13'!$A$11:$O$342</definedName>
    <definedName name="TitleRegion1.a1.ba339.8">Data!$BA$339</definedName>
    <definedName name="TitleRegion1.a1.bd340.10">Levy!$BD$340</definedName>
    <definedName name="TitleRegion1.a1.g345.15">Names!$G$345</definedName>
    <definedName name="TitleRegion1.a1.n108.4">Accounts!$N$108</definedName>
    <definedName name="TitleRegion1.a1.o342.9">'Shift 13'!$O$342</definedName>
    <definedName name="TitleRegion1.a2.ah339.11">Credits!$AH$339</definedName>
    <definedName name="TitleRegion1.a2.f130.14">Query1!$F$130</definedName>
    <definedName name="TitleRegion1.a2.f55.15">Query4!$A$1</definedName>
    <definedName name="TitleRegion1.a2.h341.6">'Aid Adjust'!$H$341</definedName>
    <definedName name="TitleRegion1.a2.p340.13">Ideas!$A$2</definedName>
    <definedName name="TitleRegion1.a2.q338.12">Receipts!$Q$338</definedName>
    <definedName name="TitleRegion1.a2.q342.7">'Shift 14'!$Q$342</definedName>
    <definedName name="TitleRegion1.a3.d72.5">Entries!$D$72</definedName>
    <definedName name="TitleRegion1.a3.i124.2">Report!$I$124</definedName>
    <definedName name="TitleRegion1.a4.s131.3">Funds!$S$131</definedName>
    <definedName name="TitleRegiona1.t70.1">Instructions!$T$70</definedName>
  </definedNames>
  <calcPr calcId="145621"/>
</workbook>
</file>

<file path=xl/calcChain.xml><?xml version="1.0" encoding="utf-8"?>
<calcChain xmlns="http://schemas.openxmlformats.org/spreadsheetml/2006/main">
  <c r="A2" i="11" l="1"/>
  <c r="M52" i="10"/>
  <c r="A14" i="9" l="1"/>
  <c r="C32" i="7" l="1"/>
  <c r="C30" i="7"/>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J80" i="8"/>
  <c r="J81" i="8"/>
  <c r="J82" i="8"/>
  <c r="J83" i="8"/>
  <c r="J84" i="8"/>
  <c r="J85" i="8"/>
  <c r="J86" i="8"/>
  <c r="J87" i="8"/>
  <c r="J88" i="8"/>
  <c r="J89" i="8"/>
  <c r="J90" i="8"/>
  <c r="J91" i="8"/>
  <c r="J92" i="8"/>
  <c r="J93" i="8"/>
  <c r="J94" i="8"/>
  <c r="J95" i="8"/>
  <c r="J96" i="8"/>
  <c r="J97" i="8"/>
  <c r="J98" i="8"/>
  <c r="J99" i="8"/>
  <c r="J100" i="8"/>
  <c r="J101" i="8"/>
  <c r="J102" i="8"/>
  <c r="J103" i="8"/>
  <c r="J104" i="8"/>
  <c r="J105" i="8"/>
  <c r="J106" i="8"/>
  <c r="J107" i="8"/>
  <c r="J108" i="8"/>
  <c r="J109" i="8"/>
  <c r="J110" i="8"/>
  <c r="J111" i="8"/>
  <c r="J112" i="8"/>
  <c r="J113" i="8"/>
  <c r="J114" i="8"/>
  <c r="J115" i="8"/>
  <c r="J116" i="8"/>
  <c r="J117" i="8"/>
  <c r="J118" i="8"/>
  <c r="J119" i="8"/>
  <c r="J120" i="8"/>
  <c r="J121" i="8"/>
  <c r="J122" i="8"/>
  <c r="J123" i="8"/>
  <c r="J124" i="8"/>
  <c r="J125" i="8"/>
  <c r="J126" i="8"/>
  <c r="J127" i="8"/>
  <c r="J128" i="8"/>
  <c r="J129" i="8"/>
  <c r="J130" i="8"/>
  <c r="J131" i="8"/>
  <c r="J132" i="8"/>
  <c r="J133" i="8"/>
  <c r="J134" i="8"/>
  <c r="J135" i="8"/>
  <c r="J136" i="8"/>
  <c r="J137" i="8"/>
  <c r="J138" i="8"/>
  <c r="J139" i="8"/>
  <c r="J140" i="8"/>
  <c r="J141" i="8"/>
  <c r="J142" i="8"/>
  <c r="J143" i="8"/>
  <c r="J144" i="8"/>
  <c r="J145" i="8"/>
  <c r="J146" i="8"/>
  <c r="J147" i="8"/>
  <c r="J148" i="8"/>
  <c r="J149" i="8"/>
  <c r="J150" i="8"/>
  <c r="J151" i="8"/>
  <c r="J152" i="8"/>
  <c r="J153" i="8"/>
  <c r="J154" i="8"/>
  <c r="J155" i="8"/>
  <c r="J156" i="8"/>
  <c r="J157" i="8"/>
  <c r="J158" i="8"/>
  <c r="J159" i="8"/>
  <c r="J160" i="8"/>
  <c r="J161" i="8"/>
  <c r="J162" i="8"/>
  <c r="J163" i="8"/>
  <c r="J164" i="8"/>
  <c r="J165" i="8"/>
  <c r="J166" i="8"/>
  <c r="J167" i="8"/>
  <c r="J168" i="8"/>
  <c r="J169" i="8"/>
  <c r="J170" i="8"/>
  <c r="J171" i="8"/>
  <c r="J172" i="8"/>
  <c r="J173" i="8"/>
  <c r="J174" i="8"/>
  <c r="J175" i="8"/>
  <c r="J176" i="8"/>
  <c r="J177" i="8"/>
  <c r="J178" i="8"/>
  <c r="J179" i="8"/>
  <c r="J180" i="8"/>
  <c r="J181" i="8"/>
  <c r="J182" i="8"/>
  <c r="J183" i="8"/>
  <c r="J184" i="8"/>
  <c r="J185" i="8"/>
  <c r="J186" i="8"/>
  <c r="J187" i="8"/>
  <c r="J188" i="8"/>
  <c r="J189" i="8"/>
  <c r="J190" i="8"/>
  <c r="J191" i="8"/>
  <c r="J192" i="8"/>
  <c r="J193" i="8"/>
  <c r="J194" i="8"/>
  <c r="J195" i="8"/>
  <c r="J196" i="8"/>
  <c r="J197" i="8"/>
  <c r="J198" i="8"/>
  <c r="J199" i="8"/>
  <c r="J200" i="8"/>
  <c r="J201" i="8"/>
  <c r="J202" i="8"/>
  <c r="J203" i="8"/>
  <c r="J204" i="8"/>
  <c r="J205" i="8"/>
  <c r="J206" i="8"/>
  <c r="J207" i="8"/>
  <c r="J208" i="8"/>
  <c r="J209" i="8"/>
  <c r="J210" i="8"/>
  <c r="J211" i="8"/>
  <c r="J212" i="8"/>
  <c r="J213" i="8"/>
  <c r="J214" i="8"/>
  <c r="J215" i="8"/>
  <c r="J216" i="8"/>
  <c r="J217" i="8"/>
  <c r="J218" i="8"/>
  <c r="J219" i="8"/>
  <c r="J220" i="8"/>
  <c r="J221" i="8"/>
  <c r="J222" i="8"/>
  <c r="J223" i="8"/>
  <c r="J224" i="8"/>
  <c r="J225" i="8"/>
  <c r="J226" i="8"/>
  <c r="J227" i="8"/>
  <c r="J228" i="8"/>
  <c r="J229" i="8"/>
  <c r="J230" i="8"/>
  <c r="J231" i="8"/>
  <c r="J232" i="8"/>
  <c r="J233" i="8"/>
  <c r="J234" i="8"/>
  <c r="J235" i="8"/>
  <c r="J236" i="8"/>
  <c r="J237" i="8"/>
  <c r="J238" i="8"/>
  <c r="J239" i="8"/>
  <c r="J240" i="8"/>
  <c r="J241" i="8"/>
  <c r="J242" i="8"/>
  <c r="J243" i="8"/>
  <c r="J244" i="8"/>
  <c r="J245" i="8"/>
  <c r="J246" i="8"/>
  <c r="J247" i="8"/>
  <c r="J248" i="8"/>
  <c r="J249" i="8"/>
  <c r="J250" i="8"/>
  <c r="J251" i="8"/>
  <c r="J252" i="8"/>
  <c r="J253" i="8"/>
  <c r="J254" i="8"/>
  <c r="J255" i="8"/>
  <c r="J256" i="8"/>
  <c r="J257" i="8"/>
  <c r="J258" i="8"/>
  <c r="J259" i="8"/>
  <c r="J260" i="8"/>
  <c r="J261" i="8"/>
  <c r="J262" i="8"/>
  <c r="J263" i="8"/>
  <c r="J264" i="8"/>
  <c r="J265" i="8"/>
  <c r="J266" i="8"/>
  <c r="J267" i="8"/>
  <c r="J268" i="8"/>
  <c r="J269" i="8"/>
  <c r="J270" i="8"/>
  <c r="J271" i="8"/>
  <c r="J272" i="8"/>
  <c r="J273" i="8"/>
  <c r="J274" i="8"/>
  <c r="J275" i="8"/>
  <c r="J276" i="8"/>
  <c r="J277" i="8"/>
  <c r="J278" i="8"/>
  <c r="J279" i="8"/>
  <c r="J280" i="8"/>
  <c r="J281" i="8"/>
  <c r="J282" i="8"/>
  <c r="J283" i="8"/>
  <c r="J284" i="8"/>
  <c r="J285" i="8"/>
  <c r="J286" i="8"/>
  <c r="J287" i="8"/>
  <c r="J288" i="8"/>
  <c r="J289" i="8"/>
  <c r="J290" i="8"/>
  <c r="J291" i="8"/>
  <c r="J292" i="8"/>
  <c r="J293" i="8"/>
  <c r="J294" i="8"/>
  <c r="J295" i="8"/>
  <c r="J296" i="8"/>
  <c r="J297" i="8"/>
  <c r="J298" i="8"/>
  <c r="J299" i="8"/>
  <c r="J300" i="8"/>
  <c r="J301" i="8"/>
  <c r="J302" i="8"/>
  <c r="J303" i="8"/>
  <c r="J304" i="8"/>
  <c r="J305" i="8"/>
  <c r="J306" i="8"/>
  <c r="J307" i="8"/>
  <c r="J308" i="8"/>
  <c r="J309" i="8"/>
  <c r="J310" i="8"/>
  <c r="J311" i="8"/>
  <c r="J312" i="8"/>
  <c r="J313" i="8"/>
  <c r="J314" i="8"/>
  <c r="J315" i="8"/>
  <c r="J316" i="8"/>
  <c r="J317" i="8"/>
  <c r="J318" i="8"/>
  <c r="J319" i="8"/>
  <c r="J320" i="8"/>
  <c r="J321" i="8"/>
  <c r="J322" i="8"/>
  <c r="J323" i="8"/>
  <c r="J324" i="8"/>
  <c r="J325" i="8"/>
  <c r="J326" i="8"/>
  <c r="J327" i="8"/>
  <c r="J328" i="8"/>
  <c r="J329" i="8"/>
  <c r="J330" i="8"/>
  <c r="J331" i="8"/>
  <c r="J332" i="8"/>
  <c r="J333" i="8"/>
  <c r="J334" i="8"/>
  <c r="J335" i="8"/>
  <c r="J336" i="8"/>
  <c r="J337" i="8"/>
  <c r="J338" i="8"/>
  <c r="J339" i="8"/>
  <c r="J340" i="8"/>
  <c r="J9" i="8"/>
  <c r="AU9" i="1" l="1"/>
  <c r="AU10" i="1"/>
  <c r="AU11" i="1"/>
  <c r="AU12" i="1"/>
  <c r="AU13" i="1"/>
  <c r="AU14" i="1"/>
  <c r="AU15" i="1"/>
  <c r="AU16" i="1"/>
  <c r="AU17" i="1"/>
  <c r="AU18" i="1"/>
  <c r="AU19" i="1"/>
  <c r="AU20" i="1"/>
  <c r="AU21" i="1"/>
  <c r="AU22" i="1"/>
  <c r="AU23" i="1"/>
  <c r="AU24" i="1"/>
  <c r="AU25" i="1"/>
  <c r="AU26" i="1"/>
  <c r="AU27" i="1"/>
  <c r="AU28" i="1"/>
  <c r="AU29" i="1"/>
  <c r="AU30" i="1"/>
  <c r="AU31" i="1"/>
  <c r="AU32" i="1"/>
  <c r="AU33" i="1"/>
  <c r="AU34" i="1"/>
  <c r="AU35" i="1"/>
  <c r="AU36" i="1"/>
  <c r="AU37" i="1"/>
  <c r="AU38" i="1"/>
  <c r="AU39" i="1"/>
  <c r="AU40" i="1"/>
  <c r="AU41" i="1"/>
  <c r="AU42" i="1"/>
  <c r="AU43" i="1"/>
  <c r="AU44" i="1"/>
  <c r="AU45" i="1"/>
  <c r="AU46" i="1"/>
  <c r="AU47" i="1"/>
  <c r="AU48" i="1"/>
  <c r="AU49" i="1"/>
  <c r="AU50" i="1"/>
  <c r="AU51" i="1"/>
  <c r="AU52" i="1"/>
  <c r="AU53" i="1"/>
  <c r="AU54" i="1"/>
  <c r="AU55" i="1"/>
  <c r="AU56" i="1"/>
  <c r="AU57" i="1"/>
  <c r="AU58" i="1"/>
  <c r="AU59" i="1"/>
  <c r="AU60" i="1"/>
  <c r="AU61" i="1"/>
  <c r="AU62" i="1"/>
  <c r="AU63" i="1"/>
  <c r="AU64" i="1"/>
  <c r="AU65" i="1"/>
  <c r="AU66" i="1"/>
  <c r="AU67" i="1"/>
  <c r="AU68" i="1"/>
  <c r="AU69" i="1"/>
  <c r="AU70" i="1"/>
  <c r="AU71" i="1"/>
  <c r="AU72" i="1"/>
  <c r="AU73" i="1"/>
  <c r="AU74" i="1"/>
  <c r="AU75" i="1"/>
  <c r="AU76" i="1"/>
  <c r="AU77" i="1"/>
  <c r="AU78" i="1"/>
  <c r="AU79" i="1"/>
  <c r="AU80" i="1"/>
  <c r="AU81" i="1"/>
  <c r="AU82" i="1"/>
  <c r="AU83" i="1"/>
  <c r="AU84" i="1"/>
  <c r="AU85" i="1"/>
  <c r="AU86" i="1"/>
  <c r="AU87" i="1"/>
  <c r="AU88" i="1"/>
  <c r="AU89" i="1"/>
  <c r="AU90" i="1"/>
  <c r="AU91" i="1"/>
  <c r="AU92" i="1"/>
  <c r="AU93" i="1"/>
  <c r="AU94" i="1"/>
  <c r="AU95" i="1"/>
  <c r="AU96" i="1"/>
  <c r="AU97" i="1"/>
  <c r="AU98" i="1"/>
  <c r="AU99" i="1"/>
  <c r="AU100" i="1"/>
  <c r="AU101" i="1"/>
  <c r="AU102" i="1"/>
  <c r="AU103" i="1"/>
  <c r="AU104" i="1"/>
  <c r="AU105" i="1"/>
  <c r="AU106" i="1"/>
  <c r="AU107" i="1"/>
  <c r="AU108" i="1"/>
  <c r="AU109" i="1"/>
  <c r="AU110" i="1"/>
  <c r="AU111" i="1"/>
  <c r="AU112" i="1"/>
  <c r="AU113" i="1"/>
  <c r="AU114" i="1"/>
  <c r="AU115" i="1"/>
  <c r="AU116" i="1"/>
  <c r="AU117" i="1"/>
  <c r="AU118" i="1"/>
  <c r="AU119" i="1"/>
  <c r="AU120" i="1"/>
  <c r="AU121" i="1"/>
  <c r="AU122" i="1"/>
  <c r="AU123" i="1"/>
  <c r="AU124" i="1"/>
  <c r="AU125" i="1"/>
  <c r="AU126" i="1"/>
  <c r="AU127" i="1"/>
  <c r="AU128" i="1"/>
  <c r="AU129" i="1"/>
  <c r="AU130" i="1"/>
  <c r="AU131" i="1"/>
  <c r="AU132" i="1"/>
  <c r="AU133" i="1"/>
  <c r="AU134" i="1"/>
  <c r="AU135" i="1"/>
  <c r="AU136" i="1"/>
  <c r="AU137" i="1"/>
  <c r="AU138" i="1"/>
  <c r="AU139" i="1"/>
  <c r="AU140" i="1"/>
  <c r="AU141" i="1"/>
  <c r="AU142" i="1"/>
  <c r="AU143" i="1"/>
  <c r="AU144" i="1"/>
  <c r="AU145" i="1"/>
  <c r="AU146" i="1"/>
  <c r="AU147" i="1"/>
  <c r="AU148" i="1"/>
  <c r="AU149" i="1"/>
  <c r="AU150" i="1"/>
  <c r="AU151" i="1"/>
  <c r="AU152" i="1"/>
  <c r="AU153" i="1"/>
  <c r="AU154" i="1"/>
  <c r="AU155" i="1"/>
  <c r="AU156" i="1"/>
  <c r="AU157" i="1"/>
  <c r="AU158" i="1"/>
  <c r="AU159" i="1"/>
  <c r="AU160" i="1"/>
  <c r="AU161" i="1"/>
  <c r="AU162" i="1"/>
  <c r="AU163" i="1"/>
  <c r="AU164" i="1"/>
  <c r="AU165" i="1"/>
  <c r="AU166" i="1"/>
  <c r="AU167" i="1"/>
  <c r="AU168" i="1"/>
  <c r="AU169" i="1"/>
  <c r="AU170" i="1"/>
  <c r="AU171" i="1"/>
  <c r="AU172" i="1"/>
  <c r="AU173" i="1"/>
  <c r="AU174" i="1"/>
  <c r="AU175" i="1"/>
  <c r="AU176" i="1"/>
  <c r="AU177" i="1"/>
  <c r="AU178" i="1"/>
  <c r="AU179" i="1"/>
  <c r="AU180" i="1"/>
  <c r="AU181" i="1"/>
  <c r="AU182" i="1"/>
  <c r="AU183" i="1"/>
  <c r="AU184" i="1"/>
  <c r="AU185" i="1"/>
  <c r="AU186" i="1"/>
  <c r="AU187" i="1"/>
  <c r="AU188" i="1"/>
  <c r="AU189" i="1"/>
  <c r="AU190" i="1"/>
  <c r="AU191" i="1"/>
  <c r="AU192" i="1"/>
  <c r="AU193" i="1"/>
  <c r="AU194" i="1"/>
  <c r="AU195" i="1"/>
  <c r="AU196" i="1"/>
  <c r="AU197" i="1"/>
  <c r="AU198" i="1"/>
  <c r="AU199" i="1"/>
  <c r="AU200" i="1"/>
  <c r="AU201" i="1"/>
  <c r="AU202" i="1"/>
  <c r="AU203" i="1"/>
  <c r="AU204" i="1"/>
  <c r="AU205" i="1"/>
  <c r="AU206" i="1"/>
  <c r="AU207" i="1"/>
  <c r="AU208" i="1"/>
  <c r="AU209" i="1"/>
  <c r="AU210" i="1"/>
  <c r="AU211" i="1"/>
  <c r="AU212" i="1"/>
  <c r="AU213" i="1"/>
  <c r="AU214" i="1"/>
  <c r="AU215" i="1"/>
  <c r="AU216" i="1"/>
  <c r="AU217" i="1"/>
  <c r="AU218" i="1"/>
  <c r="AU219" i="1"/>
  <c r="AU220" i="1"/>
  <c r="AU221" i="1"/>
  <c r="AU222" i="1"/>
  <c r="AU223" i="1"/>
  <c r="AU224" i="1"/>
  <c r="AU225" i="1"/>
  <c r="AU226" i="1"/>
  <c r="AU227" i="1"/>
  <c r="AU228" i="1"/>
  <c r="AU229" i="1"/>
  <c r="AU230" i="1"/>
  <c r="AU231" i="1"/>
  <c r="AU232" i="1"/>
  <c r="AU233" i="1"/>
  <c r="AU234" i="1"/>
  <c r="AU235" i="1"/>
  <c r="AU236" i="1"/>
  <c r="AU237" i="1"/>
  <c r="AU238" i="1"/>
  <c r="AU239" i="1"/>
  <c r="AU240" i="1"/>
  <c r="AU241" i="1"/>
  <c r="AU242" i="1"/>
  <c r="AU243" i="1"/>
  <c r="AU244" i="1"/>
  <c r="AU245" i="1"/>
  <c r="AU246" i="1"/>
  <c r="AU247" i="1"/>
  <c r="AU248" i="1"/>
  <c r="AU249" i="1"/>
  <c r="AU250" i="1"/>
  <c r="AU251" i="1"/>
  <c r="AU252" i="1"/>
  <c r="AU253" i="1"/>
  <c r="AU254" i="1"/>
  <c r="AU255" i="1"/>
  <c r="AU256" i="1"/>
  <c r="AU257" i="1"/>
  <c r="AU258" i="1"/>
  <c r="AU259" i="1"/>
  <c r="AU260" i="1"/>
  <c r="AU261" i="1"/>
  <c r="AU262" i="1"/>
  <c r="AU263" i="1"/>
  <c r="AU264" i="1"/>
  <c r="AU265" i="1"/>
  <c r="AU266" i="1"/>
  <c r="AU267" i="1"/>
  <c r="AU268" i="1"/>
  <c r="AU269" i="1"/>
  <c r="AU270" i="1"/>
  <c r="AU271" i="1"/>
  <c r="AU272" i="1"/>
  <c r="AU273" i="1"/>
  <c r="AU274" i="1"/>
  <c r="AU275" i="1"/>
  <c r="AU276" i="1"/>
  <c r="AU277" i="1"/>
  <c r="AU278" i="1"/>
  <c r="AU279" i="1"/>
  <c r="AU280" i="1"/>
  <c r="AU281" i="1"/>
  <c r="AU282" i="1"/>
  <c r="AU283" i="1"/>
  <c r="AU284" i="1"/>
  <c r="AU285" i="1"/>
  <c r="AU286" i="1"/>
  <c r="AU287" i="1"/>
  <c r="AU288" i="1"/>
  <c r="AU289" i="1"/>
  <c r="AU290" i="1"/>
  <c r="AU291" i="1"/>
  <c r="AU292" i="1"/>
  <c r="AU293" i="1"/>
  <c r="AU294" i="1"/>
  <c r="AU295" i="1"/>
  <c r="AU296" i="1"/>
  <c r="AU297" i="1"/>
  <c r="AU298" i="1"/>
  <c r="AU299" i="1"/>
  <c r="AU300" i="1"/>
  <c r="AU301" i="1"/>
  <c r="AU302" i="1"/>
  <c r="AU303" i="1"/>
  <c r="AU304" i="1"/>
  <c r="AU305" i="1"/>
  <c r="AU306" i="1"/>
  <c r="AU307" i="1"/>
  <c r="AU308" i="1"/>
  <c r="AU309" i="1"/>
  <c r="AU310" i="1"/>
  <c r="AU311" i="1"/>
  <c r="AU312" i="1"/>
  <c r="AU313" i="1"/>
  <c r="AU314" i="1"/>
  <c r="AU315" i="1"/>
  <c r="AU316" i="1"/>
  <c r="AU317" i="1"/>
  <c r="AU318" i="1"/>
  <c r="AU319" i="1"/>
  <c r="AU320" i="1"/>
  <c r="AU321" i="1"/>
  <c r="AU322" i="1"/>
  <c r="AU323" i="1"/>
  <c r="AU324" i="1"/>
  <c r="AU325" i="1"/>
  <c r="AU326" i="1"/>
  <c r="AU327" i="1"/>
  <c r="AU328" i="1"/>
  <c r="AU329" i="1"/>
  <c r="AU330" i="1"/>
  <c r="AU331" i="1"/>
  <c r="AU332" i="1"/>
  <c r="AU333" i="1"/>
  <c r="AU334" i="1"/>
  <c r="AU335" i="1"/>
  <c r="AU336" i="1"/>
  <c r="AU337" i="1"/>
  <c r="AU338" i="1"/>
  <c r="AU339" i="1"/>
  <c r="AU8" i="1"/>
  <c r="BA6" i="1"/>
  <c r="AZ6" i="1"/>
  <c r="BA359" i="1"/>
  <c r="AZ359" i="1"/>
  <c r="BA355" i="1"/>
  <c r="AZ355" i="1"/>
  <c r="BA351" i="1"/>
  <c r="AZ351" i="1"/>
  <c r="BA347" i="1"/>
  <c r="AZ347" i="1"/>
  <c r="Y6" i="1" l="1"/>
  <c r="X6" i="1"/>
  <c r="AE11" i="11" l="1"/>
  <c r="AE9" i="1" l="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8" i="1"/>
  <c r="AE340" i="1" l="1"/>
  <c r="U12" i="11"/>
  <c r="A2" i="19"/>
  <c r="D6" i="19"/>
  <c r="Y9" i="19"/>
  <c r="Y10" i="19"/>
  <c r="Y11" i="19"/>
  <c r="Y12" i="19"/>
  <c r="Y13" i="19"/>
  <c r="Y14" i="19"/>
  <c r="Y15" i="19"/>
  <c r="Y16" i="19"/>
  <c r="Y17" i="19"/>
  <c r="Y18" i="19"/>
  <c r="Y19" i="19"/>
  <c r="Y20" i="19"/>
  <c r="Y21" i="19"/>
  <c r="Y22" i="19"/>
  <c r="Y23" i="19"/>
  <c r="Y24" i="19"/>
  <c r="Y25" i="19"/>
  <c r="Y26" i="19"/>
  <c r="Y27" i="19"/>
  <c r="Y28" i="19"/>
  <c r="Y29" i="19"/>
  <c r="Y30" i="19"/>
  <c r="Y31" i="19"/>
  <c r="Y32" i="19"/>
  <c r="Y33" i="19"/>
  <c r="Y34" i="19"/>
  <c r="Y35" i="19"/>
  <c r="Y36" i="19"/>
  <c r="Y37" i="19"/>
  <c r="Y38" i="19"/>
  <c r="Y39" i="19"/>
  <c r="Y40" i="19"/>
  <c r="Y41" i="19"/>
  <c r="Y42" i="19"/>
  <c r="Y43" i="19"/>
  <c r="Y44" i="19"/>
  <c r="Y45" i="19"/>
  <c r="Y46" i="19"/>
  <c r="Y47" i="19"/>
  <c r="Y48" i="19"/>
  <c r="Y49" i="19"/>
  <c r="Y50" i="19"/>
  <c r="Y51" i="19"/>
  <c r="Y52" i="19"/>
  <c r="Y53" i="19"/>
  <c r="Y54" i="19"/>
  <c r="Y55" i="19"/>
  <c r="Y56" i="19"/>
  <c r="Y57" i="19"/>
  <c r="Y58" i="19"/>
  <c r="Y59" i="19"/>
  <c r="Y60" i="19"/>
  <c r="Y61" i="19"/>
  <c r="Y62" i="19"/>
  <c r="Y63" i="19"/>
  <c r="Y64" i="19"/>
  <c r="Y65" i="19"/>
  <c r="Y66" i="19"/>
  <c r="Y67" i="19"/>
  <c r="Y68" i="19"/>
  <c r="Y69" i="19"/>
  <c r="Y70" i="19"/>
  <c r="Y71" i="19"/>
  <c r="Y72" i="19"/>
  <c r="Y73" i="19"/>
  <c r="Y74" i="19"/>
  <c r="Y75" i="19"/>
  <c r="Y76" i="19"/>
  <c r="Y77" i="19"/>
  <c r="Y78" i="19"/>
  <c r="Y79" i="19"/>
  <c r="Y80" i="19"/>
  <c r="Y81" i="19"/>
  <c r="Y82" i="19"/>
  <c r="Y83" i="19"/>
  <c r="Y84" i="19"/>
  <c r="Y85" i="19"/>
  <c r="Y86" i="19"/>
  <c r="Y87" i="19"/>
  <c r="Y88" i="19"/>
  <c r="Y89" i="19"/>
  <c r="Y90" i="19"/>
  <c r="Y91" i="19"/>
  <c r="Y92" i="19"/>
  <c r="Y93" i="19"/>
  <c r="Y94" i="19"/>
  <c r="Y95" i="19"/>
  <c r="Y96" i="19"/>
  <c r="Y97" i="19"/>
  <c r="Y98" i="19"/>
  <c r="Y99" i="19"/>
  <c r="Y100" i="19"/>
  <c r="Y101" i="19"/>
  <c r="Y102" i="19"/>
  <c r="Y103" i="19"/>
  <c r="Y104" i="19"/>
  <c r="Y105" i="19"/>
  <c r="Y106" i="19"/>
  <c r="Y107" i="19"/>
  <c r="Y108" i="19"/>
  <c r="Y109" i="19"/>
  <c r="Y110" i="19"/>
  <c r="Y111" i="19"/>
  <c r="Y112" i="19"/>
  <c r="Y113" i="19"/>
  <c r="Y114" i="19"/>
  <c r="Y115" i="19"/>
  <c r="Y116" i="19"/>
  <c r="Y117" i="19"/>
  <c r="Y118" i="19"/>
  <c r="Y119" i="19"/>
  <c r="Y120" i="19"/>
  <c r="Y121" i="19"/>
  <c r="Y122" i="19"/>
  <c r="Y123" i="19"/>
  <c r="Y124" i="19"/>
  <c r="Y125" i="19"/>
  <c r="Y126" i="19"/>
  <c r="Y127" i="19"/>
  <c r="Y128" i="19"/>
  <c r="Y129" i="19"/>
  <c r="Y130" i="19"/>
  <c r="Y131" i="19"/>
  <c r="Y132" i="19"/>
  <c r="Y133" i="19"/>
  <c r="Y134" i="19"/>
  <c r="Y135" i="19"/>
  <c r="Y136" i="19"/>
  <c r="Y137" i="19"/>
  <c r="Y138" i="19"/>
  <c r="Y139" i="19"/>
  <c r="Y140" i="19"/>
  <c r="Y141" i="19"/>
  <c r="Y142" i="19"/>
  <c r="Y143" i="19"/>
  <c r="Y144" i="19"/>
  <c r="Y145" i="19"/>
  <c r="Y146" i="19"/>
  <c r="Y147" i="19"/>
  <c r="Y148" i="19"/>
  <c r="Y149" i="19"/>
  <c r="Y150" i="19"/>
  <c r="Y151" i="19"/>
  <c r="Y152" i="19"/>
  <c r="Y153" i="19"/>
  <c r="Y154" i="19"/>
  <c r="Y155" i="19"/>
  <c r="Y156" i="19"/>
  <c r="Y157" i="19"/>
  <c r="Y158" i="19"/>
  <c r="Y159" i="19"/>
  <c r="Y160" i="19"/>
  <c r="Y161" i="19"/>
  <c r="Y162" i="19"/>
  <c r="Y163" i="19"/>
  <c r="Y164" i="19"/>
  <c r="Y165" i="19"/>
  <c r="Y166" i="19"/>
  <c r="Y167" i="19"/>
  <c r="Y168" i="19"/>
  <c r="Y169" i="19"/>
  <c r="Y170" i="19"/>
  <c r="Y171" i="19"/>
  <c r="Y172" i="19"/>
  <c r="Y173" i="19"/>
  <c r="Y174" i="19"/>
  <c r="Y175" i="19"/>
  <c r="Y176" i="19"/>
  <c r="Y177" i="19"/>
  <c r="Y178" i="19"/>
  <c r="Y179" i="19"/>
  <c r="Y180" i="19"/>
  <c r="Y181" i="19"/>
  <c r="Y182" i="19"/>
  <c r="Y183" i="19"/>
  <c r="Y184" i="19"/>
  <c r="Y185" i="19"/>
  <c r="Y186" i="19"/>
  <c r="Y187" i="19"/>
  <c r="Y188" i="19"/>
  <c r="Y189" i="19"/>
  <c r="Y190" i="19"/>
  <c r="Y191" i="19"/>
  <c r="Y192" i="19"/>
  <c r="Y193" i="19"/>
  <c r="Y194" i="19"/>
  <c r="Y195" i="19"/>
  <c r="Y196" i="19"/>
  <c r="Y197" i="19"/>
  <c r="Y198" i="19"/>
  <c r="Y199" i="19"/>
  <c r="Y200" i="19"/>
  <c r="Y201" i="19"/>
  <c r="Y202" i="19"/>
  <c r="Y203" i="19"/>
  <c r="Y204" i="19"/>
  <c r="Y205" i="19"/>
  <c r="Y206" i="19"/>
  <c r="Y207" i="19"/>
  <c r="Y208" i="19"/>
  <c r="Y209" i="19"/>
  <c r="Y210" i="19"/>
  <c r="Y211" i="19"/>
  <c r="Y212" i="19"/>
  <c r="Y213" i="19"/>
  <c r="Y214" i="19"/>
  <c r="Y215" i="19"/>
  <c r="Y216" i="19"/>
  <c r="Y217" i="19"/>
  <c r="Y218" i="19"/>
  <c r="Y219" i="19"/>
  <c r="Y220" i="19"/>
  <c r="Y221" i="19"/>
  <c r="Y222" i="19"/>
  <c r="Y223" i="19"/>
  <c r="Y224" i="19"/>
  <c r="Y225" i="19"/>
  <c r="Y226" i="19"/>
  <c r="Y227" i="19"/>
  <c r="Y228" i="19"/>
  <c r="Y229" i="19"/>
  <c r="Y230" i="19"/>
  <c r="Y231" i="19"/>
  <c r="Y232" i="19"/>
  <c r="Y233" i="19"/>
  <c r="Y234" i="19"/>
  <c r="Y235" i="19"/>
  <c r="Y236" i="19"/>
  <c r="Y237" i="19"/>
  <c r="Y238" i="19"/>
  <c r="Y239" i="19"/>
  <c r="Y240" i="19"/>
  <c r="Y241" i="19"/>
  <c r="Y242" i="19"/>
  <c r="Y243" i="19"/>
  <c r="Y244" i="19"/>
  <c r="Y245" i="19"/>
  <c r="Y246" i="19"/>
  <c r="Y247" i="19"/>
  <c r="Y248" i="19"/>
  <c r="Y249" i="19"/>
  <c r="Y250" i="19"/>
  <c r="Y251" i="19"/>
  <c r="Y252" i="19"/>
  <c r="Y253" i="19"/>
  <c r="Y254" i="19"/>
  <c r="Y255" i="19"/>
  <c r="Y256" i="19"/>
  <c r="Y257" i="19"/>
  <c r="Y258" i="19"/>
  <c r="Y259" i="19"/>
  <c r="Y260" i="19"/>
  <c r="Y261" i="19"/>
  <c r="Y262" i="19"/>
  <c r="Y263" i="19"/>
  <c r="Y264" i="19"/>
  <c r="Y265" i="19"/>
  <c r="Y266" i="19"/>
  <c r="Y267" i="19"/>
  <c r="Y268" i="19"/>
  <c r="Y269" i="19"/>
  <c r="Y270" i="19"/>
  <c r="Y271" i="19"/>
  <c r="Y272" i="19"/>
  <c r="Y273" i="19"/>
  <c r="Y274" i="19"/>
  <c r="Y275" i="19"/>
  <c r="Y276" i="19"/>
  <c r="Y277" i="19"/>
  <c r="Y278" i="19"/>
  <c r="Y279" i="19"/>
  <c r="Y280" i="19"/>
  <c r="Y281" i="19"/>
  <c r="Y282" i="19"/>
  <c r="Y283" i="19"/>
  <c r="Y284" i="19"/>
  <c r="Y285" i="19"/>
  <c r="Y286" i="19"/>
  <c r="Y287" i="19"/>
  <c r="Y288" i="19"/>
  <c r="Y289" i="19"/>
  <c r="Y290" i="19"/>
  <c r="Y291" i="19"/>
  <c r="Y292" i="19"/>
  <c r="Y293" i="19"/>
  <c r="Y294" i="19"/>
  <c r="Y295" i="19"/>
  <c r="Y296" i="19"/>
  <c r="Y297" i="19"/>
  <c r="Y298" i="19"/>
  <c r="Y299" i="19"/>
  <c r="Y300" i="19"/>
  <c r="Y301" i="19"/>
  <c r="Y302" i="19"/>
  <c r="Y303" i="19"/>
  <c r="Y304" i="19"/>
  <c r="Y305" i="19"/>
  <c r="Y306" i="19"/>
  <c r="Y307" i="19"/>
  <c r="Y308" i="19"/>
  <c r="Y309" i="19"/>
  <c r="Y310" i="19"/>
  <c r="Y311" i="19"/>
  <c r="Y312" i="19"/>
  <c r="Y313" i="19"/>
  <c r="Y314" i="19"/>
  <c r="Y315" i="19"/>
  <c r="Y316" i="19"/>
  <c r="Y317" i="19"/>
  <c r="Y318" i="19"/>
  <c r="Y319" i="19"/>
  <c r="Y320" i="19"/>
  <c r="Y321" i="19"/>
  <c r="Y322" i="19"/>
  <c r="Y323" i="19"/>
  <c r="Y324" i="19"/>
  <c r="Y325" i="19"/>
  <c r="Y326" i="19"/>
  <c r="Y327" i="19"/>
  <c r="Y328" i="19"/>
  <c r="Y329" i="19"/>
  <c r="Y330" i="19"/>
  <c r="Y331" i="19"/>
  <c r="Y332" i="19"/>
  <c r="Y333" i="19"/>
  <c r="Y334" i="19"/>
  <c r="Y335" i="19"/>
  <c r="Y336" i="19"/>
  <c r="Y337" i="19"/>
  <c r="Y338" i="19"/>
  <c r="Y339" i="19"/>
  <c r="Y8" i="19"/>
  <c r="X9" i="19" l="1"/>
  <c r="X10" i="19"/>
  <c r="X11" i="19"/>
  <c r="X12" i="19"/>
  <c r="X13" i="19"/>
  <c r="X14" i="19"/>
  <c r="X15" i="19"/>
  <c r="X16" i="19"/>
  <c r="X17" i="19"/>
  <c r="X18" i="19"/>
  <c r="X19" i="19"/>
  <c r="X20" i="19"/>
  <c r="X21" i="19"/>
  <c r="X22" i="19"/>
  <c r="X23" i="19"/>
  <c r="X24" i="19"/>
  <c r="X8" i="19"/>
  <c r="W25" i="19"/>
  <c r="U15" i="11" l="1"/>
  <c r="D7" i="8"/>
  <c r="D308" i="20"/>
  <c r="D309" i="20"/>
  <c r="D310" i="20"/>
  <c r="D311" i="20"/>
  <c r="D312" i="20"/>
  <c r="D313" i="20"/>
  <c r="D314" i="20"/>
  <c r="D315" i="20"/>
  <c r="D316" i="20"/>
  <c r="D317" i="20"/>
  <c r="D318" i="20"/>
  <c r="D319" i="20"/>
  <c r="D320" i="20"/>
  <c r="D321" i="20"/>
  <c r="D322" i="20"/>
  <c r="D323" i="20"/>
  <c r="D324" i="20"/>
  <c r="D325" i="20"/>
  <c r="D326" i="20"/>
  <c r="D327" i="20"/>
  <c r="D328" i="20"/>
  <c r="D329" i="20"/>
  <c r="D330" i="20"/>
  <c r="D331" i="20"/>
  <c r="D332" i="20"/>
  <c r="D333" i="20"/>
  <c r="D3" i="20"/>
  <c r="D4" i="20"/>
  <c r="D5" i="20"/>
  <c r="D6" i="20"/>
  <c r="D7" i="20"/>
  <c r="D8" i="20"/>
  <c r="D9" i="20"/>
  <c r="D10" i="20"/>
  <c r="D11" i="20"/>
  <c r="D12" i="20"/>
  <c r="D13" i="20"/>
  <c r="D14" i="20"/>
  <c r="D15" i="20"/>
  <c r="D16" i="20"/>
  <c r="D17" i="20"/>
  <c r="D18" i="20"/>
  <c r="D19" i="20"/>
  <c r="D20" i="20"/>
  <c r="D21" i="20"/>
  <c r="D22" i="20"/>
  <c r="D23" i="20"/>
  <c r="D24" i="20"/>
  <c r="D25" i="20"/>
  <c r="D26" i="20"/>
  <c r="D27" i="20"/>
  <c r="D28" i="20"/>
  <c r="D29" i="20"/>
  <c r="D30" i="20"/>
  <c r="D31" i="20"/>
  <c r="D32" i="20"/>
  <c r="D33" i="20"/>
  <c r="D34" i="20"/>
  <c r="D35" i="20"/>
  <c r="D36" i="20"/>
  <c r="D37" i="20"/>
  <c r="D38" i="20"/>
  <c r="D39" i="20"/>
  <c r="D40" i="20"/>
  <c r="D41" i="20"/>
  <c r="D42" i="20"/>
  <c r="D43" i="20"/>
  <c r="D44" i="20"/>
  <c r="D45" i="20"/>
  <c r="D46" i="20"/>
  <c r="D47" i="20"/>
  <c r="D48" i="20"/>
  <c r="D49" i="20"/>
  <c r="D50" i="20"/>
  <c r="D51" i="20"/>
  <c r="D52" i="20"/>
  <c r="D53" i="20"/>
  <c r="D54" i="20"/>
  <c r="D55" i="20"/>
  <c r="D56" i="20"/>
  <c r="D57" i="20"/>
  <c r="D58" i="20"/>
  <c r="D59" i="20"/>
  <c r="D60" i="20"/>
  <c r="D61" i="20"/>
  <c r="D62" i="20"/>
  <c r="D63" i="20"/>
  <c r="D64" i="20"/>
  <c r="D65" i="20"/>
  <c r="D66" i="20"/>
  <c r="D67" i="20"/>
  <c r="D68" i="20"/>
  <c r="D69" i="20"/>
  <c r="D70" i="20"/>
  <c r="D71" i="20"/>
  <c r="D72" i="20"/>
  <c r="D73" i="20"/>
  <c r="D74" i="20"/>
  <c r="D75" i="20"/>
  <c r="D76" i="20"/>
  <c r="D77" i="20"/>
  <c r="D78" i="20"/>
  <c r="D79" i="20"/>
  <c r="D80" i="20"/>
  <c r="D81" i="20"/>
  <c r="D82" i="20"/>
  <c r="D83" i="20"/>
  <c r="D84" i="20"/>
  <c r="D85" i="20"/>
  <c r="D86" i="20"/>
  <c r="D87" i="20"/>
  <c r="D88" i="20"/>
  <c r="D89" i="20"/>
  <c r="D90" i="20"/>
  <c r="D91" i="20"/>
  <c r="D92" i="20"/>
  <c r="D93" i="20"/>
  <c r="D94" i="20"/>
  <c r="D95" i="20"/>
  <c r="D96" i="20"/>
  <c r="D97" i="20"/>
  <c r="D98" i="20"/>
  <c r="D99" i="20"/>
  <c r="D100" i="20"/>
  <c r="D101" i="20"/>
  <c r="D102" i="20"/>
  <c r="D103" i="20"/>
  <c r="D104" i="20"/>
  <c r="D105" i="20"/>
  <c r="D106" i="20"/>
  <c r="D107" i="20"/>
  <c r="D108" i="20"/>
  <c r="D109" i="20"/>
  <c r="D110" i="20"/>
  <c r="D111" i="20"/>
  <c r="D112" i="20"/>
  <c r="D113" i="20"/>
  <c r="D114" i="20"/>
  <c r="D115" i="20"/>
  <c r="D116" i="20"/>
  <c r="D117" i="20"/>
  <c r="D118" i="20"/>
  <c r="D119" i="20"/>
  <c r="D120" i="20"/>
  <c r="D121" i="20"/>
  <c r="D122" i="20"/>
  <c r="D123" i="20"/>
  <c r="D124" i="20"/>
  <c r="D125" i="20"/>
  <c r="D126" i="20"/>
  <c r="D127" i="20"/>
  <c r="D128" i="20"/>
  <c r="D129" i="20"/>
  <c r="D130" i="20"/>
  <c r="D131" i="20"/>
  <c r="D132" i="20"/>
  <c r="D133" i="20"/>
  <c r="D134" i="20"/>
  <c r="D135" i="20"/>
  <c r="D136" i="20"/>
  <c r="D137" i="20"/>
  <c r="D138" i="20"/>
  <c r="D139" i="20"/>
  <c r="D140" i="20"/>
  <c r="D141" i="20"/>
  <c r="D142" i="20"/>
  <c r="D143" i="20"/>
  <c r="D144" i="20"/>
  <c r="D145" i="20"/>
  <c r="D146" i="20"/>
  <c r="D147" i="20"/>
  <c r="D148" i="20"/>
  <c r="D149" i="20"/>
  <c r="D150" i="20"/>
  <c r="D151" i="20"/>
  <c r="D152" i="20"/>
  <c r="D153" i="20"/>
  <c r="D154" i="20"/>
  <c r="D155" i="20"/>
  <c r="D156" i="20"/>
  <c r="D157" i="20"/>
  <c r="D158" i="20"/>
  <c r="D159" i="20"/>
  <c r="D160" i="20"/>
  <c r="D161" i="20"/>
  <c r="D162" i="20"/>
  <c r="D163" i="20"/>
  <c r="D164" i="20"/>
  <c r="D165" i="20"/>
  <c r="D166" i="20"/>
  <c r="D167" i="20"/>
  <c r="D168" i="20"/>
  <c r="D169" i="20"/>
  <c r="D170" i="20"/>
  <c r="D171" i="20"/>
  <c r="D172" i="20"/>
  <c r="D173" i="20"/>
  <c r="D174" i="20"/>
  <c r="D175" i="20"/>
  <c r="D176" i="20"/>
  <c r="D177" i="20"/>
  <c r="D178" i="20"/>
  <c r="D179" i="20"/>
  <c r="D180" i="20"/>
  <c r="D181" i="20"/>
  <c r="D182" i="20"/>
  <c r="D183" i="20"/>
  <c r="D184" i="20"/>
  <c r="D185" i="20"/>
  <c r="D186" i="20"/>
  <c r="D187" i="20"/>
  <c r="D188" i="20"/>
  <c r="D189" i="20"/>
  <c r="D190" i="20"/>
  <c r="D191" i="20"/>
  <c r="D192" i="20"/>
  <c r="D193" i="20"/>
  <c r="D194" i="20"/>
  <c r="D195" i="20"/>
  <c r="D196" i="20"/>
  <c r="D197" i="20"/>
  <c r="D198" i="20"/>
  <c r="D199" i="20"/>
  <c r="D200" i="20"/>
  <c r="D201" i="20"/>
  <c r="D202" i="20"/>
  <c r="D203" i="20"/>
  <c r="D204" i="20"/>
  <c r="D205" i="20"/>
  <c r="D206" i="20"/>
  <c r="D207" i="20"/>
  <c r="D208" i="20"/>
  <c r="D209" i="20"/>
  <c r="D210" i="20"/>
  <c r="D211" i="20"/>
  <c r="D212" i="20"/>
  <c r="D213" i="20"/>
  <c r="D214" i="20"/>
  <c r="D215" i="20"/>
  <c r="D216" i="20"/>
  <c r="D217" i="20"/>
  <c r="D218" i="20"/>
  <c r="D219" i="20"/>
  <c r="D220" i="20"/>
  <c r="D221" i="20"/>
  <c r="D222" i="20"/>
  <c r="D223" i="20"/>
  <c r="D224" i="20"/>
  <c r="D225" i="20"/>
  <c r="D226" i="20"/>
  <c r="D227" i="20"/>
  <c r="D228" i="20"/>
  <c r="D229" i="20"/>
  <c r="D230" i="20"/>
  <c r="D231" i="20"/>
  <c r="D232" i="20"/>
  <c r="D233" i="20"/>
  <c r="D234" i="20"/>
  <c r="D235" i="20"/>
  <c r="D236" i="20"/>
  <c r="D237" i="20"/>
  <c r="D238" i="20"/>
  <c r="D239" i="20"/>
  <c r="D240" i="20"/>
  <c r="D241" i="20"/>
  <c r="D242" i="20"/>
  <c r="D243" i="20"/>
  <c r="D244" i="20"/>
  <c r="D245" i="20"/>
  <c r="D246" i="20"/>
  <c r="D247" i="20"/>
  <c r="D248" i="20"/>
  <c r="D249" i="20"/>
  <c r="D250" i="20"/>
  <c r="D251" i="20"/>
  <c r="D252" i="20"/>
  <c r="D253" i="20"/>
  <c r="D254" i="20"/>
  <c r="D255" i="20"/>
  <c r="D256" i="20"/>
  <c r="D257" i="20"/>
  <c r="D258" i="20"/>
  <c r="D259" i="20"/>
  <c r="D260" i="20"/>
  <c r="D261" i="20"/>
  <c r="D262" i="20"/>
  <c r="D263" i="20"/>
  <c r="D264" i="20"/>
  <c r="D265" i="20"/>
  <c r="D266" i="20"/>
  <c r="D267" i="20"/>
  <c r="D268" i="20"/>
  <c r="D269" i="20"/>
  <c r="D270" i="20"/>
  <c r="D271" i="20"/>
  <c r="D272" i="20"/>
  <c r="D273" i="20"/>
  <c r="D274" i="20"/>
  <c r="D275" i="20"/>
  <c r="D276" i="20"/>
  <c r="D277" i="20"/>
  <c r="D278" i="20"/>
  <c r="D279" i="20"/>
  <c r="D280" i="20"/>
  <c r="D281" i="20"/>
  <c r="D282" i="20"/>
  <c r="D283" i="20"/>
  <c r="D284" i="20"/>
  <c r="D285" i="20"/>
  <c r="D286" i="20"/>
  <c r="D287" i="20"/>
  <c r="D288" i="20"/>
  <c r="D289" i="20"/>
  <c r="D290" i="20"/>
  <c r="D291" i="20"/>
  <c r="D292" i="20"/>
  <c r="D293" i="20"/>
  <c r="D294" i="20"/>
  <c r="D295" i="20"/>
  <c r="D296" i="20"/>
  <c r="D297" i="20"/>
  <c r="D298" i="20"/>
  <c r="D299" i="20"/>
  <c r="D300" i="20"/>
  <c r="D301" i="20"/>
  <c r="D302" i="20"/>
  <c r="D303" i="20"/>
  <c r="D304" i="20"/>
  <c r="D305" i="20"/>
  <c r="D306" i="20"/>
  <c r="D307" i="20"/>
  <c r="D2" i="20"/>
  <c r="O6" i="4"/>
  <c r="O12" i="4"/>
  <c r="AE10" i="11" l="1"/>
  <c r="AE12" i="11"/>
  <c r="AE13" i="11"/>
  <c r="AE14" i="11"/>
  <c r="AE15" i="11"/>
  <c r="AE16" i="11"/>
  <c r="AE17" i="11"/>
  <c r="AE18" i="11"/>
  <c r="AE19" i="11"/>
  <c r="AE20" i="11"/>
  <c r="AE21" i="11"/>
  <c r="AE22" i="11"/>
  <c r="AE23" i="11"/>
  <c r="AE24" i="11"/>
  <c r="AE25" i="11"/>
  <c r="AE26" i="11"/>
  <c r="AE27" i="11"/>
  <c r="AE28" i="11"/>
  <c r="AE29" i="11"/>
  <c r="AE30" i="11"/>
  <c r="AE31" i="11"/>
  <c r="AE32" i="11"/>
  <c r="AE33" i="11"/>
  <c r="AE34" i="11"/>
  <c r="AE35" i="11"/>
  <c r="AE36" i="11"/>
  <c r="AE37" i="11"/>
  <c r="AE38" i="11"/>
  <c r="AE39" i="11"/>
  <c r="AE40" i="11"/>
  <c r="AE41" i="11"/>
  <c r="AE42" i="11"/>
  <c r="AE43" i="11"/>
  <c r="AE44" i="11"/>
  <c r="AE45" i="11"/>
  <c r="AE46" i="11"/>
  <c r="AE47" i="11"/>
  <c r="AE48" i="11"/>
  <c r="AE49" i="11"/>
  <c r="AE50" i="11"/>
  <c r="AE51" i="11"/>
  <c r="AE52" i="11"/>
  <c r="AE53" i="11"/>
  <c r="AE54" i="11"/>
  <c r="AE55" i="11"/>
  <c r="AE56" i="11"/>
  <c r="AE57" i="11"/>
  <c r="AE58" i="11"/>
  <c r="AE59" i="11"/>
  <c r="AE60" i="11"/>
  <c r="AE61" i="11"/>
  <c r="AE62" i="11"/>
  <c r="AE63" i="11"/>
  <c r="AE64" i="11"/>
  <c r="AE65" i="11"/>
  <c r="AE66" i="11"/>
  <c r="AE67" i="11"/>
  <c r="AE68" i="11"/>
  <c r="AE69" i="11"/>
  <c r="AE70" i="11"/>
  <c r="AE71" i="11"/>
  <c r="AE72" i="11"/>
  <c r="AE73" i="11"/>
  <c r="AE74" i="11"/>
  <c r="AE75" i="11"/>
  <c r="AE76" i="11"/>
  <c r="AE77" i="11"/>
  <c r="AE78" i="11"/>
  <c r="AE79" i="11"/>
  <c r="AE80" i="11"/>
  <c r="AE81" i="11"/>
  <c r="AE82" i="11"/>
  <c r="AE83" i="11"/>
  <c r="AE84" i="11"/>
  <c r="AE85" i="11"/>
  <c r="AE86" i="11"/>
  <c r="AE87" i="11"/>
  <c r="AE88" i="11"/>
  <c r="AE89" i="11"/>
  <c r="AE90" i="11"/>
  <c r="AE91" i="11"/>
  <c r="AE92" i="11"/>
  <c r="AE93" i="11"/>
  <c r="AE94" i="11"/>
  <c r="AE95" i="11"/>
  <c r="AE96" i="11"/>
  <c r="AE97" i="11"/>
  <c r="AE98" i="11"/>
  <c r="AE99" i="11"/>
  <c r="AE100" i="11"/>
  <c r="AE101" i="11"/>
  <c r="AE102" i="11"/>
  <c r="AE103" i="11"/>
  <c r="AE104" i="11"/>
  <c r="AE105" i="11"/>
  <c r="AE106" i="11"/>
  <c r="AE107" i="11"/>
  <c r="AE108" i="11"/>
  <c r="AE109" i="11"/>
  <c r="AE110" i="11"/>
  <c r="AE111" i="11"/>
  <c r="AE112" i="11"/>
  <c r="AE113" i="11"/>
  <c r="AE114" i="11"/>
  <c r="AE115" i="11"/>
  <c r="AE116" i="11"/>
  <c r="AE117" i="11"/>
  <c r="AE118" i="11"/>
  <c r="AE119" i="11"/>
  <c r="AE120" i="11"/>
  <c r="AE121" i="11"/>
  <c r="AE122" i="11"/>
  <c r="AE123" i="11"/>
  <c r="AE124" i="11"/>
  <c r="AE125" i="11"/>
  <c r="AE126" i="11"/>
  <c r="AE127" i="11"/>
  <c r="AE128" i="11"/>
  <c r="AE129" i="11"/>
  <c r="AE130" i="11"/>
  <c r="AE131" i="11"/>
  <c r="AE132" i="11"/>
  <c r="AE133" i="11"/>
  <c r="AE134" i="11"/>
  <c r="AE135" i="11"/>
  <c r="AE136" i="11"/>
  <c r="AE137" i="11"/>
  <c r="AE138" i="11"/>
  <c r="AE139" i="11"/>
  <c r="AE140" i="11"/>
  <c r="AE141" i="11"/>
  <c r="AE142" i="11"/>
  <c r="AE143" i="11"/>
  <c r="AE144" i="11"/>
  <c r="AE145" i="11"/>
  <c r="AE146" i="11"/>
  <c r="AE147" i="11"/>
  <c r="AE148" i="11"/>
  <c r="AE149" i="11"/>
  <c r="AE150" i="11"/>
  <c r="AE151" i="11"/>
  <c r="AE152" i="11"/>
  <c r="AE153" i="11"/>
  <c r="AE154" i="11"/>
  <c r="AE155" i="11"/>
  <c r="AE156" i="11"/>
  <c r="AE157" i="11"/>
  <c r="AE158" i="11"/>
  <c r="AE159" i="11"/>
  <c r="AE160" i="11"/>
  <c r="AE161" i="11"/>
  <c r="AE162" i="11"/>
  <c r="AE163" i="11"/>
  <c r="AE164" i="11"/>
  <c r="AE165" i="11"/>
  <c r="AE166" i="11"/>
  <c r="AE167" i="11"/>
  <c r="AE168" i="11"/>
  <c r="AE169" i="11"/>
  <c r="AE170" i="11"/>
  <c r="AE171" i="11"/>
  <c r="AE172" i="11"/>
  <c r="AE173" i="11"/>
  <c r="AE174" i="11"/>
  <c r="AE175" i="11"/>
  <c r="AE176" i="11"/>
  <c r="AE177" i="11"/>
  <c r="AE178" i="11"/>
  <c r="AE179" i="11"/>
  <c r="AE180" i="11"/>
  <c r="AE181" i="11"/>
  <c r="AE182" i="11"/>
  <c r="AE183" i="11"/>
  <c r="AE184" i="11"/>
  <c r="AE185" i="11"/>
  <c r="AE186" i="11"/>
  <c r="AE187" i="11"/>
  <c r="AE188" i="11"/>
  <c r="AE189" i="11"/>
  <c r="AE190" i="11"/>
  <c r="AE191" i="11"/>
  <c r="AE192" i="11"/>
  <c r="AE193" i="11"/>
  <c r="AE194" i="11"/>
  <c r="AE195" i="11"/>
  <c r="AE196" i="11"/>
  <c r="AE197" i="11"/>
  <c r="AE198" i="11"/>
  <c r="AE199" i="11"/>
  <c r="AE200" i="11"/>
  <c r="AE201" i="11"/>
  <c r="AE202" i="11"/>
  <c r="AE203" i="11"/>
  <c r="AE204" i="11"/>
  <c r="AE205" i="11"/>
  <c r="AE206" i="11"/>
  <c r="AE207" i="11"/>
  <c r="AE208" i="11"/>
  <c r="AE209" i="11"/>
  <c r="AE210" i="11"/>
  <c r="AE211" i="11"/>
  <c r="AE212" i="11"/>
  <c r="AE213" i="11"/>
  <c r="AE214" i="11"/>
  <c r="AE215" i="11"/>
  <c r="AE216" i="11"/>
  <c r="AE217" i="11"/>
  <c r="AE218" i="11"/>
  <c r="AE219" i="11"/>
  <c r="AE220" i="11"/>
  <c r="AE221" i="11"/>
  <c r="AE222" i="11"/>
  <c r="AE223" i="11"/>
  <c r="AE224" i="11"/>
  <c r="AE225" i="11"/>
  <c r="AE226" i="11"/>
  <c r="AE227" i="11"/>
  <c r="AE228" i="11"/>
  <c r="AE229" i="11"/>
  <c r="AE230" i="11"/>
  <c r="AE231" i="11"/>
  <c r="AE232" i="11"/>
  <c r="AE233" i="11"/>
  <c r="AE234" i="11"/>
  <c r="AE235" i="11"/>
  <c r="AE236" i="11"/>
  <c r="AE237" i="11"/>
  <c r="AE238" i="11"/>
  <c r="AE239" i="11"/>
  <c r="AE240" i="11"/>
  <c r="AE241" i="11"/>
  <c r="AE242" i="11"/>
  <c r="AE243" i="11"/>
  <c r="AE244" i="11"/>
  <c r="AE245" i="11"/>
  <c r="AE246" i="11"/>
  <c r="AE247" i="11"/>
  <c r="AE248" i="11"/>
  <c r="AE249" i="11"/>
  <c r="AE250" i="11"/>
  <c r="AE251" i="11"/>
  <c r="AE252" i="11"/>
  <c r="AE253" i="11"/>
  <c r="AE254" i="11"/>
  <c r="AE255" i="11"/>
  <c r="AE256" i="11"/>
  <c r="AE257" i="11"/>
  <c r="AE258" i="11"/>
  <c r="AE259" i="11"/>
  <c r="AE260" i="11"/>
  <c r="AE261" i="11"/>
  <c r="AE262" i="11"/>
  <c r="AE263" i="11"/>
  <c r="AE264" i="11"/>
  <c r="AE265" i="11"/>
  <c r="AE266" i="11"/>
  <c r="AE267" i="11"/>
  <c r="AE268" i="11"/>
  <c r="AE269" i="11"/>
  <c r="AE270" i="11"/>
  <c r="AE271" i="11"/>
  <c r="AE272" i="11"/>
  <c r="AE273" i="11"/>
  <c r="AE274" i="11"/>
  <c r="AE275" i="11"/>
  <c r="AE276" i="11"/>
  <c r="AE277" i="11"/>
  <c r="AE278" i="11"/>
  <c r="AE279" i="11"/>
  <c r="AE280" i="11"/>
  <c r="AE281" i="11"/>
  <c r="AE282" i="11"/>
  <c r="AE283" i="11"/>
  <c r="AE284" i="11"/>
  <c r="AE285" i="11"/>
  <c r="AE286" i="11"/>
  <c r="AE287" i="11"/>
  <c r="AE288" i="11"/>
  <c r="AE289" i="11"/>
  <c r="AE290" i="11"/>
  <c r="AE291" i="11"/>
  <c r="AE292" i="11"/>
  <c r="AE293" i="11"/>
  <c r="AE294" i="11"/>
  <c r="AE295" i="11"/>
  <c r="AE296" i="11"/>
  <c r="AE297" i="11"/>
  <c r="AE298" i="11"/>
  <c r="AE299" i="11"/>
  <c r="AE300" i="11"/>
  <c r="AE301" i="11"/>
  <c r="AE302" i="11"/>
  <c r="AE303" i="11"/>
  <c r="AE304" i="11"/>
  <c r="AE305" i="11"/>
  <c r="AE306" i="11"/>
  <c r="AE307" i="11"/>
  <c r="AE308" i="11"/>
  <c r="AE309" i="11"/>
  <c r="AE310" i="11"/>
  <c r="AE311" i="11"/>
  <c r="AE312" i="11"/>
  <c r="AE313" i="11"/>
  <c r="AE314" i="11"/>
  <c r="AE315" i="11"/>
  <c r="AE316" i="11"/>
  <c r="AE317" i="11"/>
  <c r="AE318" i="11"/>
  <c r="AE319" i="11"/>
  <c r="AE320" i="11"/>
  <c r="AE321" i="11"/>
  <c r="AE322" i="11"/>
  <c r="AE323" i="11"/>
  <c r="AE324" i="11"/>
  <c r="AE325" i="11"/>
  <c r="AE326" i="11"/>
  <c r="AE327" i="11"/>
  <c r="AE328" i="11"/>
  <c r="AE329" i="11"/>
  <c r="AE330" i="11"/>
  <c r="AE331" i="11"/>
  <c r="AE332" i="11"/>
  <c r="AE333" i="11"/>
  <c r="AE334" i="11"/>
  <c r="AE335" i="11"/>
  <c r="AE336" i="11"/>
  <c r="AE337" i="11"/>
  <c r="AE338" i="11"/>
  <c r="AE339" i="11"/>
  <c r="AE340" i="11"/>
  <c r="AE9" i="11"/>
  <c r="BC6" i="11"/>
  <c r="AE6" i="11" l="1"/>
  <c r="BB10" i="11"/>
  <c r="BD10" i="11" s="1"/>
  <c r="BB11" i="11"/>
  <c r="BD11" i="11" s="1"/>
  <c r="BB12" i="11"/>
  <c r="BD12" i="11" s="1"/>
  <c r="BB13" i="11"/>
  <c r="BD13" i="11" s="1"/>
  <c r="BB14" i="11"/>
  <c r="BD14" i="11" s="1"/>
  <c r="BB15" i="11"/>
  <c r="BD15" i="11" s="1"/>
  <c r="BB16" i="11"/>
  <c r="BD16" i="11" s="1"/>
  <c r="BB17" i="11"/>
  <c r="BD17" i="11" s="1"/>
  <c r="BB18" i="11"/>
  <c r="BD18" i="11" s="1"/>
  <c r="BB19" i="11"/>
  <c r="BD19" i="11" s="1"/>
  <c r="BB20" i="11"/>
  <c r="BD20" i="11" s="1"/>
  <c r="BB21" i="11"/>
  <c r="BD21" i="11" s="1"/>
  <c r="BB22" i="11"/>
  <c r="BD22" i="11" s="1"/>
  <c r="BB23" i="11"/>
  <c r="BD23" i="11" s="1"/>
  <c r="BB24" i="11"/>
  <c r="BD24" i="11" s="1"/>
  <c r="BB25" i="11"/>
  <c r="BD25" i="11" s="1"/>
  <c r="BB26" i="11"/>
  <c r="BD26" i="11" s="1"/>
  <c r="BB27" i="11"/>
  <c r="BD27" i="11" s="1"/>
  <c r="BB28" i="11"/>
  <c r="BD28" i="11" s="1"/>
  <c r="BB29" i="11"/>
  <c r="BD29" i="11" s="1"/>
  <c r="BB30" i="11"/>
  <c r="BD30" i="11" s="1"/>
  <c r="BB31" i="11"/>
  <c r="BD31" i="11" s="1"/>
  <c r="BB32" i="11"/>
  <c r="BD32" i="11" s="1"/>
  <c r="BB33" i="11"/>
  <c r="BD33" i="11" s="1"/>
  <c r="BB34" i="11"/>
  <c r="BD34" i="11" s="1"/>
  <c r="BB35" i="11"/>
  <c r="BD35" i="11" s="1"/>
  <c r="BB36" i="11"/>
  <c r="BD36" i="11" s="1"/>
  <c r="BB37" i="11"/>
  <c r="BD37" i="11" s="1"/>
  <c r="BB38" i="11"/>
  <c r="BD38" i="11" s="1"/>
  <c r="BB39" i="11"/>
  <c r="BD39" i="11" s="1"/>
  <c r="BB40" i="11"/>
  <c r="BD40" i="11" s="1"/>
  <c r="BB41" i="11"/>
  <c r="BD41" i="11" s="1"/>
  <c r="BB42" i="11"/>
  <c r="BD42" i="11" s="1"/>
  <c r="BB43" i="11"/>
  <c r="BD43" i="11" s="1"/>
  <c r="BB44" i="11"/>
  <c r="BD44" i="11" s="1"/>
  <c r="BB45" i="11"/>
  <c r="BD45" i="11" s="1"/>
  <c r="BB46" i="11"/>
  <c r="BD46" i="11" s="1"/>
  <c r="BB47" i="11"/>
  <c r="BD47" i="11" s="1"/>
  <c r="BB48" i="11"/>
  <c r="BD48" i="11" s="1"/>
  <c r="BB49" i="11"/>
  <c r="BD49" i="11" s="1"/>
  <c r="BB50" i="11"/>
  <c r="BD50" i="11" s="1"/>
  <c r="BB51" i="11"/>
  <c r="BD51" i="11" s="1"/>
  <c r="BB52" i="11"/>
  <c r="BD52" i="11" s="1"/>
  <c r="BB53" i="11"/>
  <c r="BD53" i="11" s="1"/>
  <c r="BB54" i="11"/>
  <c r="BD54" i="11" s="1"/>
  <c r="BB55" i="11"/>
  <c r="BD55" i="11" s="1"/>
  <c r="BB56" i="11"/>
  <c r="BD56" i="11" s="1"/>
  <c r="BB57" i="11"/>
  <c r="BD57" i="11" s="1"/>
  <c r="BB58" i="11"/>
  <c r="BD58" i="11" s="1"/>
  <c r="BB59" i="11"/>
  <c r="BD59" i="11" s="1"/>
  <c r="BB60" i="11"/>
  <c r="BD60" i="11" s="1"/>
  <c r="BB61" i="11"/>
  <c r="BD61" i="11" s="1"/>
  <c r="BB62" i="11"/>
  <c r="BD62" i="11" s="1"/>
  <c r="BB63" i="11"/>
  <c r="BD63" i="11" s="1"/>
  <c r="BB64" i="11"/>
  <c r="BD64" i="11" s="1"/>
  <c r="BB65" i="11"/>
  <c r="BD65" i="11" s="1"/>
  <c r="BB66" i="11"/>
  <c r="BD66" i="11" s="1"/>
  <c r="BB67" i="11"/>
  <c r="BD67" i="11" s="1"/>
  <c r="BB68" i="11"/>
  <c r="BD68" i="11" s="1"/>
  <c r="BB69" i="11"/>
  <c r="BD69" i="11" s="1"/>
  <c r="BB70" i="11"/>
  <c r="BD70" i="11" s="1"/>
  <c r="BB71" i="11"/>
  <c r="BD71" i="11" s="1"/>
  <c r="BB72" i="11"/>
  <c r="BD72" i="11" s="1"/>
  <c r="BB73" i="11"/>
  <c r="BD73" i="11" s="1"/>
  <c r="BB74" i="11"/>
  <c r="BD74" i="11" s="1"/>
  <c r="BB75" i="11"/>
  <c r="BD75" i="11" s="1"/>
  <c r="BB76" i="11"/>
  <c r="BD76" i="11" s="1"/>
  <c r="BB77" i="11"/>
  <c r="BD77" i="11" s="1"/>
  <c r="BB78" i="11"/>
  <c r="BD78" i="11" s="1"/>
  <c r="BB79" i="11"/>
  <c r="BD79" i="11" s="1"/>
  <c r="BB80" i="11"/>
  <c r="BD80" i="11" s="1"/>
  <c r="BB81" i="11"/>
  <c r="BD81" i="11" s="1"/>
  <c r="BB82" i="11"/>
  <c r="BD82" i="11" s="1"/>
  <c r="BB83" i="11"/>
  <c r="BD83" i="11" s="1"/>
  <c r="BB84" i="11"/>
  <c r="BD84" i="11" s="1"/>
  <c r="BB85" i="11"/>
  <c r="BD85" i="11" s="1"/>
  <c r="BB86" i="11"/>
  <c r="BD86" i="11" s="1"/>
  <c r="BB87" i="11"/>
  <c r="BD87" i="11" s="1"/>
  <c r="BB88" i="11"/>
  <c r="BD88" i="11" s="1"/>
  <c r="BB89" i="11"/>
  <c r="BD89" i="11" s="1"/>
  <c r="BB90" i="11"/>
  <c r="BD90" i="11" s="1"/>
  <c r="BB91" i="11"/>
  <c r="BD91" i="11" s="1"/>
  <c r="BB92" i="11"/>
  <c r="BD92" i="11" s="1"/>
  <c r="BB93" i="11"/>
  <c r="BD93" i="11" s="1"/>
  <c r="BB94" i="11"/>
  <c r="BD94" i="11" s="1"/>
  <c r="BB95" i="11"/>
  <c r="BD95" i="11" s="1"/>
  <c r="BB96" i="11"/>
  <c r="BD96" i="11" s="1"/>
  <c r="BB97" i="11"/>
  <c r="BD97" i="11" s="1"/>
  <c r="BB98" i="11"/>
  <c r="BD98" i="11" s="1"/>
  <c r="BB99" i="11"/>
  <c r="BD99" i="11" s="1"/>
  <c r="BB100" i="11"/>
  <c r="BD100" i="11" s="1"/>
  <c r="BB101" i="11"/>
  <c r="BD101" i="11" s="1"/>
  <c r="BB102" i="11"/>
  <c r="BD102" i="11" s="1"/>
  <c r="BB103" i="11"/>
  <c r="BD103" i="11" s="1"/>
  <c r="BB104" i="11"/>
  <c r="BD104" i="11" s="1"/>
  <c r="BB105" i="11"/>
  <c r="BD105" i="11" s="1"/>
  <c r="BB106" i="11"/>
  <c r="BD106" i="11" s="1"/>
  <c r="BB107" i="11"/>
  <c r="BD107" i="11" s="1"/>
  <c r="BB108" i="11"/>
  <c r="BD108" i="11" s="1"/>
  <c r="BB109" i="11"/>
  <c r="BD109" i="11" s="1"/>
  <c r="BB110" i="11"/>
  <c r="BD110" i="11" s="1"/>
  <c r="BB111" i="11"/>
  <c r="BD111" i="11" s="1"/>
  <c r="BB112" i="11"/>
  <c r="BD112" i="11" s="1"/>
  <c r="BB113" i="11"/>
  <c r="BD113" i="11" s="1"/>
  <c r="BB114" i="11"/>
  <c r="BD114" i="11" s="1"/>
  <c r="BB115" i="11"/>
  <c r="BD115" i="11" s="1"/>
  <c r="BB116" i="11"/>
  <c r="BD116" i="11" s="1"/>
  <c r="BB117" i="11"/>
  <c r="BD117" i="11" s="1"/>
  <c r="BB118" i="11"/>
  <c r="BD118" i="11" s="1"/>
  <c r="BB119" i="11"/>
  <c r="BD119" i="11" s="1"/>
  <c r="BB120" i="11"/>
  <c r="BD120" i="11" s="1"/>
  <c r="BB121" i="11"/>
  <c r="BD121" i="11" s="1"/>
  <c r="BB122" i="11"/>
  <c r="BD122" i="11" s="1"/>
  <c r="BB123" i="11"/>
  <c r="BD123" i="11" s="1"/>
  <c r="BB124" i="11"/>
  <c r="BD124" i="11" s="1"/>
  <c r="BB125" i="11"/>
  <c r="BD125" i="11" s="1"/>
  <c r="BB126" i="11"/>
  <c r="BD126" i="11" s="1"/>
  <c r="BB127" i="11"/>
  <c r="BD127" i="11" s="1"/>
  <c r="BB128" i="11"/>
  <c r="BD128" i="11" s="1"/>
  <c r="BB129" i="11"/>
  <c r="BD129" i="11" s="1"/>
  <c r="BB130" i="11"/>
  <c r="BD130" i="11" s="1"/>
  <c r="BB131" i="11"/>
  <c r="BD131" i="11" s="1"/>
  <c r="BB132" i="11"/>
  <c r="BD132" i="11" s="1"/>
  <c r="BB133" i="11"/>
  <c r="BD133" i="11" s="1"/>
  <c r="BB134" i="11"/>
  <c r="BD134" i="11" s="1"/>
  <c r="BB135" i="11"/>
  <c r="BD135" i="11" s="1"/>
  <c r="BB136" i="11"/>
  <c r="BD136" i="11" s="1"/>
  <c r="BB137" i="11"/>
  <c r="BD137" i="11" s="1"/>
  <c r="BB138" i="11"/>
  <c r="BD138" i="11" s="1"/>
  <c r="BB139" i="11"/>
  <c r="BD139" i="11" s="1"/>
  <c r="BB140" i="11"/>
  <c r="BD140" i="11" s="1"/>
  <c r="BB141" i="11"/>
  <c r="BD141" i="11" s="1"/>
  <c r="BB142" i="11"/>
  <c r="BD142" i="11" s="1"/>
  <c r="BB143" i="11"/>
  <c r="BD143" i="11" s="1"/>
  <c r="BB144" i="11"/>
  <c r="BD144" i="11" s="1"/>
  <c r="BB145" i="11"/>
  <c r="BD145" i="11" s="1"/>
  <c r="BB146" i="11"/>
  <c r="BD146" i="11" s="1"/>
  <c r="BB147" i="11"/>
  <c r="BD147" i="11" s="1"/>
  <c r="BB148" i="11"/>
  <c r="BD148" i="11" s="1"/>
  <c r="BB149" i="11"/>
  <c r="BD149" i="11" s="1"/>
  <c r="BB150" i="11"/>
  <c r="BD150" i="11" s="1"/>
  <c r="BB151" i="11"/>
  <c r="BD151" i="11" s="1"/>
  <c r="BB152" i="11"/>
  <c r="BD152" i="11" s="1"/>
  <c r="BB153" i="11"/>
  <c r="BD153" i="11" s="1"/>
  <c r="BB154" i="11"/>
  <c r="BD154" i="11" s="1"/>
  <c r="BB155" i="11"/>
  <c r="BD155" i="11" s="1"/>
  <c r="BB156" i="11"/>
  <c r="BD156" i="11" s="1"/>
  <c r="BB157" i="11"/>
  <c r="BD157" i="11" s="1"/>
  <c r="BB158" i="11"/>
  <c r="BD158" i="11" s="1"/>
  <c r="BB159" i="11"/>
  <c r="BD159" i="11" s="1"/>
  <c r="BB160" i="11"/>
  <c r="BD160" i="11" s="1"/>
  <c r="BB161" i="11"/>
  <c r="BD161" i="11" s="1"/>
  <c r="BB162" i="11"/>
  <c r="BD162" i="11" s="1"/>
  <c r="BB163" i="11"/>
  <c r="BD163" i="11" s="1"/>
  <c r="BB164" i="11"/>
  <c r="BD164" i="11" s="1"/>
  <c r="BB165" i="11"/>
  <c r="BD165" i="11" s="1"/>
  <c r="BB166" i="11"/>
  <c r="BD166" i="11" s="1"/>
  <c r="BB167" i="11"/>
  <c r="BD167" i="11" s="1"/>
  <c r="BB168" i="11"/>
  <c r="BD168" i="11" s="1"/>
  <c r="BB169" i="11"/>
  <c r="BD169" i="11" s="1"/>
  <c r="BB170" i="11"/>
  <c r="BD170" i="11" s="1"/>
  <c r="BB171" i="11"/>
  <c r="BD171" i="11" s="1"/>
  <c r="BB172" i="11"/>
  <c r="BD172" i="11" s="1"/>
  <c r="BB173" i="11"/>
  <c r="BD173" i="11" s="1"/>
  <c r="BB174" i="11"/>
  <c r="BD174" i="11" s="1"/>
  <c r="BB175" i="11"/>
  <c r="BD175" i="11" s="1"/>
  <c r="BB176" i="11"/>
  <c r="BD176" i="11" s="1"/>
  <c r="BB177" i="11"/>
  <c r="BD177" i="11" s="1"/>
  <c r="BB178" i="11"/>
  <c r="BD178" i="11" s="1"/>
  <c r="BB179" i="11"/>
  <c r="BD179" i="11" s="1"/>
  <c r="BB180" i="11"/>
  <c r="BD180" i="11" s="1"/>
  <c r="BB181" i="11"/>
  <c r="BD181" i="11" s="1"/>
  <c r="BB182" i="11"/>
  <c r="BD182" i="11" s="1"/>
  <c r="BB183" i="11"/>
  <c r="BD183" i="11" s="1"/>
  <c r="BB184" i="11"/>
  <c r="BD184" i="11" s="1"/>
  <c r="BB185" i="11"/>
  <c r="BD185" i="11" s="1"/>
  <c r="BB186" i="11"/>
  <c r="BD186" i="11" s="1"/>
  <c r="BB187" i="11"/>
  <c r="BD187" i="11" s="1"/>
  <c r="BB188" i="11"/>
  <c r="BD188" i="11" s="1"/>
  <c r="BB189" i="11"/>
  <c r="BD189" i="11" s="1"/>
  <c r="BB190" i="11"/>
  <c r="BD190" i="11" s="1"/>
  <c r="BB191" i="11"/>
  <c r="BD191" i="11" s="1"/>
  <c r="BB192" i="11"/>
  <c r="BD192" i="11" s="1"/>
  <c r="BB193" i="11"/>
  <c r="BD193" i="11" s="1"/>
  <c r="BB194" i="11"/>
  <c r="BD194" i="11" s="1"/>
  <c r="BB195" i="11"/>
  <c r="BD195" i="11" s="1"/>
  <c r="BB196" i="11"/>
  <c r="BD196" i="11" s="1"/>
  <c r="BB197" i="11"/>
  <c r="BD197" i="11" s="1"/>
  <c r="BB198" i="11"/>
  <c r="BD198" i="11" s="1"/>
  <c r="BB199" i="11"/>
  <c r="BD199" i="11" s="1"/>
  <c r="BB200" i="11"/>
  <c r="BD200" i="11" s="1"/>
  <c r="BB201" i="11"/>
  <c r="BD201" i="11" s="1"/>
  <c r="BB202" i="11"/>
  <c r="BD202" i="11" s="1"/>
  <c r="BB203" i="11"/>
  <c r="BD203" i="11" s="1"/>
  <c r="BB204" i="11"/>
  <c r="BD204" i="11" s="1"/>
  <c r="BB205" i="11"/>
  <c r="BD205" i="11" s="1"/>
  <c r="BB206" i="11"/>
  <c r="BD206" i="11" s="1"/>
  <c r="BB207" i="11"/>
  <c r="BD207" i="11" s="1"/>
  <c r="BB208" i="11"/>
  <c r="BD208" i="11" s="1"/>
  <c r="BB209" i="11"/>
  <c r="BD209" i="11" s="1"/>
  <c r="BB210" i="11"/>
  <c r="BD210" i="11" s="1"/>
  <c r="BB211" i="11"/>
  <c r="BD211" i="11" s="1"/>
  <c r="BB212" i="11"/>
  <c r="BD212" i="11" s="1"/>
  <c r="BB213" i="11"/>
  <c r="BD213" i="11" s="1"/>
  <c r="BB214" i="11"/>
  <c r="BD214" i="11" s="1"/>
  <c r="BB215" i="11"/>
  <c r="BD215" i="11" s="1"/>
  <c r="BB216" i="11"/>
  <c r="BD216" i="11" s="1"/>
  <c r="BB217" i="11"/>
  <c r="BD217" i="11" s="1"/>
  <c r="BB218" i="11"/>
  <c r="BD218" i="11" s="1"/>
  <c r="BB219" i="11"/>
  <c r="BD219" i="11" s="1"/>
  <c r="BB220" i="11"/>
  <c r="BD220" i="11" s="1"/>
  <c r="BB221" i="11"/>
  <c r="BD221" i="11" s="1"/>
  <c r="BB222" i="11"/>
  <c r="BD222" i="11" s="1"/>
  <c r="BB223" i="11"/>
  <c r="BD223" i="11" s="1"/>
  <c r="BB224" i="11"/>
  <c r="BD224" i="11" s="1"/>
  <c r="BB225" i="11"/>
  <c r="BD225" i="11" s="1"/>
  <c r="BB226" i="11"/>
  <c r="BD226" i="11" s="1"/>
  <c r="BB227" i="11"/>
  <c r="BD227" i="11" s="1"/>
  <c r="BB228" i="11"/>
  <c r="BD228" i="11" s="1"/>
  <c r="BB229" i="11"/>
  <c r="BD229" i="11" s="1"/>
  <c r="BB230" i="11"/>
  <c r="BD230" i="11" s="1"/>
  <c r="BB231" i="11"/>
  <c r="BD231" i="11" s="1"/>
  <c r="BB232" i="11"/>
  <c r="BD232" i="11" s="1"/>
  <c r="BB233" i="11"/>
  <c r="BD233" i="11" s="1"/>
  <c r="BB234" i="11"/>
  <c r="BD234" i="11" s="1"/>
  <c r="BB235" i="11"/>
  <c r="BD235" i="11" s="1"/>
  <c r="BB236" i="11"/>
  <c r="BD236" i="11" s="1"/>
  <c r="BB237" i="11"/>
  <c r="BD237" i="11" s="1"/>
  <c r="BB238" i="11"/>
  <c r="BD238" i="11" s="1"/>
  <c r="BB239" i="11"/>
  <c r="BD239" i="11" s="1"/>
  <c r="BB240" i="11"/>
  <c r="BD240" i="11" s="1"/>
  <c r="BB241" i="11"/>
  <c r="BD241" i="11" s="1"/>
  <c r="BB242" i="11"/>
  <c r="BD242" i="11" s="1"/>
  <c r="BB243" i="11"/>
  <c r="BD243" i="11" s="1"/>
  <c r="BB244" i="11"/>
  <c r="BD244" i="11" s="1"/>
  <c r="BB245" i="11"/>
  <c r="BD245" i="11" s="1"/>
  <c r="BB246" i="11"/>
  <c r="BD246" i="11" s="1"/>
  <c r="BB247" i="11"/>
  <c r="BD247" i="11" s="1"/>
  <c r="BB248" i="11"/>
  <c r="BD248" i="11" s="1"/>
  <c r="BB249" i="11"/>
  <c r="BD249" i="11" s="1"/>
  <c r="BB250" i="11"/>
  <c r="BD250" i="11" s="1"/>
  <c r="BB251" i="11"/>
  <c r="BD251" i="11" s="1"/>
  <c r="BB252" i="11"/>
  <c r="BD252" i="11" s="1"/>
  <c r="BB253" i="11"/>
  <c r="BD253" i="11" s="1"/>
  <c r="BB254" i="11"/>
  <c r="BD254" i="11" s="1"/>
  <c r="BB255" i="11"/>
  <c r="BD255" i="11" s="1"/>
  <c r="BB256" i="11"/>
  <c r="BD256" i="11" s="1"/>
  <c r="BB257" i="11"/>
  <c r="BD257" i="11" s="1"/>
  <c r="BB258" i="11"/>
  <c r="BD258" i="11" s="1"/>
  <c r="BB259" i="11"/>
  <c r="BD259" i="11" s="1"/>
  <c r="BB260" i="11"/>
  <c r="BD260" i="11" s="1"/>
  <c r="BB261" i="11"/>
  <c r="BD261" i="11" s="1"/>
  <c r="BB262" i="11"/>
  <c r="BD262" i="11" s="1"/>
  <c r="BB263" i="11"/>
  <c r="BD263" i="11" s="1"/>
  <c r="BB264" i="11"/>
  <c r="BD264" i="11" s="1"/>
  <c r="BB265" i="11"/>
  <c r="BD265" i="11" s="1"/>
  <c r="BB266" i="11"/>
  <c r="BD266" i="11" s="1"/>
  <c r="BB267" i="11"/>
  <c r="BD267" i="11" s="1"/>
  <c r="BB268" i="11"/>
  <c r="BD268" i="11" s="1"/>
  <c r="BB269" i="11"/>
  <c r="BD269" i="11" s="1"/>
  <c r="BB270" i="11"/>
  <c r="BD270" i="11" s="1"/>
  <c r="BB271" i="11"/>
  <c r="BD271" i="11" s="1"/>
  <c r="BB272" i="11"/>
  <c r="BD272" i="11" s="1"/>
  <c r="BB273" i="11"/>
  <c r="BD273" i="11" s="1"/>
  <c r="BB274" i="11"/>
  <c r="BD274" i="11" s="1"/>
  <c r="BB275" i="11"/>
  <c r="BD275" i="11" s="1"/>
  <c r="BB276" i="11"/>
  <c r="BD276" i="11" s="1"/>
  <c r="BB277" i="11"/>
  <c r="BD277" i="11" s="1"/>
  <c r="BB278" i="11"/>
  <c r="BD278" i="11" s="1"/>
  <c r="BB279" i="11"/>
  <c r="BD279" i="11" s="1"/>
  <c r="BB280" i="11"/>
  <c r="BD280" i="11" s="1"/>
  <c r="BB281" i="11"/>
  <c r="BD281" i="11" s="1"/>
  <c r="BB282" i="11"/>
  <c r="BD282" i="11" s="1"/>
  <c r="BB283" i="11"/>
  <c r="BD283" i="11" s="1"/>
  <c r="BB284" i="11"/>
  <c r="BD284" i="11" s="1"/>
  <c r="BB285" i="11"/>
  <c r="BD285" i="11" s="1"/>
  <c r="BB286" i="11"/>
  <c r="BD286" i="11" s="1"/>
  <c r="BB287" i="11"/>
  <c r="BD287" i="11" s="1"/>
  <c r="BB288" i="11"/>
  <c r="BD288" i="11" s="1"/>
  <c r="BB289" i="11"/>
  <c r="BD289" i="11" s="1"/>
  <c r="BB290" i="11"/>
  <c r="BD290" i="11" s="1"/>
  <c r="BB291" i="11"/>
  <c r="BD291" i="11" s="1"/>
  <c r="BB292" i="11"/>
  <c r="BD292" i="11" s="1"/>
  <c r="BB293" i="11"/>
  <c r="BD293" i="11" s="1"/>
  <c r="BB294" i="11"/>
  <c r="BD294" i="11" s="1"/>
  <c r="BB295" i="11"/>
  <c r="BD295" i="11" s="1"/>
  <c r="BB296" i="11"/>
  <c r="BD296" i="11" s="1"/>
  <c r="BB297" i="11"/>
  <c r="BD297" i="11" s="1"/>
  <c r="BB298" i="11"/>
  <c r="BD298" i="11" s="1"/>
  <c r="BB299" i="11"/>
  <c r="BD299" i="11" s="1"/>
  <c r="BB300" i="11"/>
  <c r="BD300" i="11" s="1"/>
  <c r="BB301" i="11"/>
  <c r="BD301" i="11" s="1"/>
  <c r="BB302" i="11"/>
  <c r="BD302" i="11" s="1"/>
  <c r="BB303" i="11"/>
  <c r="BD303" i="11" s="1"/>
  <c r="BB304" i="11"/>
  <c r="BD304" i="11" s="1"/>
  <c r="BB305" i="11"/>
  <c r="BD305" i="11" s="1"/>
  <c r="BB306" i="11"/>
  <c r="BD306" i="11" s="1"/>
  <c r="BB307" i="11"/>
  <c r="BD307" i="11" s="1"/>
  <c r="BB308" i="11"/>
  <c r="BD308" i="11" s="1"/>
  <c r="BB309" i="11"/>
  <c r="BD309" i="11" s="1"/>
  <c r="BB310" i="11"/>
  <c r="BD310" i="11" s="1"/>
  <c r="BB311" i="11"/>
  <c r="BD311" i="11" s="1"/>
  <c r="BB312" i="11"/>
  <c r="BD312" i="11" s="1"/>
  <c r="BB313" i="11"/>
  <c r="BD313" i="11" s="1"/>
  <c r="BB314" i="11"/>
  <c r="BD314" i="11" s="1"/>
  <c r="BB315" i="11"/>
  <c r="BD315" i="11" s="1"/>
  <c r="BB316" i="11"/>
  <c r="BD316" i="11" s="1"/>
  <c r="BB317" i="11"/>
  <c r="BD317" i="11" s="1"/>
  <c r="BB318" i="11"/>
  <c r="BD318" i="11" s="1"/>
  <c r="BB319" i="11"/>
  <c r="BD319" i="11" s="1"/>
  <c r="BB320" i="11"/>
  <c r="BD320" i="11" s="1"/>
  <c r="BB321" i="11"/>
  <c r="BD321" i="11" s="1"/>
  <c r="BB322" i="11"/>
  <c r="BD322" i="11" s="1"/>
  <c r="BB323" i="11"/>
  <c r="BD323" i="11" s="1"/>
  <c r="BB324" i="11"/>
  <c r="BD324" i="11" s="1"/>
  <c r="BB325" i="11"/>
  <c r="BD325" i="11" s="1"/>
  <c r="BB326" i="11"/>
  <c r="BD326" i="11" s="1"/>
  <c r="BB327" i="11"/>
  <c r="BD327" i="11" s="1"/>
  <c r="BB328" i="11"/>
  <c r="BD328" i="11" s="1"/>
  <c r="BB329" i="11"/>
  <c r="BD329" i="11" s="1"/>
  <c r="BB330" i="11"/>
  <c r="BD330" i="11" s="1"/>
  <c r="BB331" i="11"/>
  <c r="BD331" i="11" s="1"/>
  <c r="BB332" i="11"/>
  <c r="BD332" i="11" s="1"/>
  <c r="BB333" i="11"/>
  <c r="BD333" i="11" s="1"/>
  <c r="BB334" i="11"/>
  <c r="BD334" i="11" s="1"/>
  <c r="BB335" i="11"/>
  <c r="BD335" i="11" s="1"/>
  <c r="BB336" i="11"/>
  <c r="BD336" i="11" s="1"/>
  <c r="BB337" i="11"/>
  <c r="BD337" i="11" s="1"/>
  <c r="BB338" i="11"/>
  <c r="BD338" i="11" s="1"/>
  <c r="BB339" i="11"/>
  <c r="BD339" i="11" s="1"/>
  <c r="BB340" i="11"/>
  <c r="BD340" i="11" s="1"/>
  <c r="BB9" i="11"/>
  <c r="BD9" i="11" s="1"/>
  <c r="BA6" i="11"/>
  <c r="AZ6" i="11"/>
  <c r="AY6" i="11"/>
  <c r="AX6" i="11"/>
  <c r="AW6" i="11"/>
  <c r="AV6" i="11"/>
  <c r="AU6" i="11"/>
  <c r="AT6" i="11"/>
  <c r="AS6" i="11"/>
  <c r="AR6" i="11"/>
  <c r="AQ6" i="11"/>
  <c r="AP6" i="11"/>
  <c r="AO6" i="11"/>
  <c r="AN6" i="11"/>
  <c r="AM6" i="11"/>
  <c r="AL6" i="11"/>
  <c r="AK6" i="11"/>
  <c r="AJ6" i="11"/>
  <c r="BB6" i="11" l="1"/>
  <c r="I9" i="11"/>
  <c r="A1" i="4" l="1"/>
  <c r="B18" i="10" l="1"/>
  <c r="X340" i="11"/>
  <c r="W340" i="11"/>
  <c r="V340" i="11"/>
  <c r="U340" i="11"/>
  <c r="X339" i="11"/>
  <c r="W339" i="11"/>
  <c r="V339" i="11"/>
  <c r="U339" i="11"/>
  <c r="X338" i="11"/>
  <c r="W338" i="11"/>
  <c r="V338" i="11"/>
  <c r="U338" i="11"/>
  <c r="X337" i="11"/>
  <c r="W337" i="11"/>
  <c r="V337" i="11"/>
  <c r="U337" i="11"/>
  <c r="X336" i="11"/>
  <c r="W336" i="11"/>
  <c r="V336" i="11"/>
  <c r="U336" i="11"/>
  <c r="X335" i="11"/>
  <c r="W335" i="11"/>
  <c r="V335" i="11"/>
  <c r="U335" i="11"/>
  <c r="X334" i="11"/>
  <c r="W334" i="11"/>
  <c r="V334" i="11"/>
  <c r="U334" i="11"/>
  <c r="X333" i="11"/>
  <c r="W333" i="11"/>
  <c r="V333" i="11"/>
  <c r="U333" i="11"/>
  <c r="X332" i="11"/>
  <c r="W332" i="11"/>
  <c r="V332" i="11"/>
  <c r="U332" i="11"/>
  <c r="X331" i="11"/>
  <c r="W331" i="11"/>
  <c r="V331" i="11"/>
  <c r="U331" i="11"/>
  <c r="X330" i="11"/>
  <c r="W330" i="11"/>
  <c r="V330" i="11"/>
  <c r="U330" i="11"/>
  <c r="X329" i="11"/>
  <c r="W329" i="11"/>
  <c r="V329" i="11"/>
  <c r="U329" i="11"/>
  <c r="X328" i="11"/>
  <c r="W328" i="11"/>
  <c r="V328" i="11"/>
  <c r="U328" i="11"/>
  <c r="X327" i="11"/>
  <c r="W327" i="11"/>
  <c r="V327" i="11"/>
  <c r="U327" i="11"/>
  <c r="X326" i="11"/>
  <c r="W326" i="11"/>
  <c r="V326" i="11"/>
  <c r="U326" i="11"/>
  <c r="X325" i="11"/>
  <c r="W325" i="11"/>
  <c r="V325" i="11"/>
  <c r="U325" i="11"/>
  <c r="X324" i="11"/>
  <c r="W324" i="11"/>
  <c r="V324" i="11"/>
  <c r="U324" i="11"/>
  <c r="X323" i="11"/>
  <c r="W323" i="11"/>
  <c r="V323" i="11"/>
  <c r="U323" i="11"/>
  <c r="X322" i="11"/>
  <c r="W322" i="11"/>
  <c r="V322" i="11"/>
  <c r="U322" i="11"/>
  <c r="X321" i="11"/>
  <c r="W321" i="11"/>
  <c r="V321" i="11"/>
  <c r="U321" i="11"/>
  <c r="X320" i="11"/>
  <c r="W320" i="11"/>
  <c r="V320" i="11"/>
  <c r="U320" i="11"/>
  <c r="X319" i="11"/>
  <c r="W319" i="11"/>
  <c r="V319" i="11"/>
  <c r="U319" i="11"/>
  <c r="X318" i="11"/>
  <c r="W318" i="11"/>
  <c r="V318" i="11"/>
  <c r="U318" i="11"/>
  <c r="X317" i="11"/>
  <c r="W317" i="11"/>
  <c r="V317" i="11"/>
  <c r="U317" i="11"/>
  <c r="X316" i="11"/>
  <c r="W316" i="11"/>
  <c r="V316" i="11"/>
  <c r="U316" i="11"/>
  <c r="X315" i="11"/>
  <c r="W315" i="11"/>
  <c r="V315" i="11"/>
  <c r="U315" i="11"/>
  <c r="X314" i="11"/>
  <c r="W314" i="11"/>
  <c r="V314" i="11"/>
  <c r="U314" i="11"/>
  <c r="X313" i="11"/>
  <c r="W313" i="11"/>
  <c r="V313" i="11"/>
  <c r="U313" i="11"/>
  <c r="X312" i="11"/>
  <c r="W312" i="11"/>
  <c r="V312" i="11"/>
  <c r="U312" i="11"/>
  <c r="X311" i="11"/>
  <c r="W311" i="11"/>
  <c r="V311" i="11"/>
  <c r="U311" i="11"/>
  <c r="X310" i="11"/>
  <c r="W310" i="11"/>
  <c r="V310" i="11"/>
  <c r="U310" i="11"/>
  <c r="X309" i="11"/>
  <c r="W309" i="11"/>
  <c r="V309" i="11"/>
  <c r="U309" i="11"/>
  <c r="X308" i="11"/>
  <c r="W308" i="11"/>
  <c r="V308" i="11"/>
  <c r="U308" i="11"/>
  <c r="X307" i="11"/>
  <c r="W307" i="11"/>
  <c r="V307" i="11"/>
  <c r="U307" i="11"/>
  <c r="X306" i="11"/>
  <c r="W306" i="11"/>
  <c r="V306" i="11"/>
  <c r="U306" i="11"/>
  <c r="X305" i="11"/>
  <c r="W305" i="11"/>
  <c r="V305" i="11"/>
  <c r="U305" i="11"/>
  <c r="X304" i="11"/>
  <c r="W304" i="11"/>
  <c r="V304" i="11"/>
  <c r="U304" i="11"/>
  <c r="X303" i="11"/>
  <c r="W303" i="11"/>
  <c r="V303" i="11"/>
  <c r="U303" i="11"/>
  <c r="X302" i="11"/>
  <c r="W302" i="11"/>
  <c r="V302" i="11"/>
  <c r="U302" i="11"/>
  <c r="X301" i="11"/>
  <c r="W301" i="11"/>
  <c r="V301" i="11"/>
  <c r="U301" i="11"/>
  <c r="X300" i="11"/>
  <c r="W300" i="11"/>
  <c r="V300" i="11"/>
  <c r="U300" i="11"/>
  <c r="X299" i="11"/>
  <c r="W299" i="11"/>
  <c r="V299" i="11"/>
  <c r="U299" i="11"/>
  <c r="X298" i="11"/>
  <c r="W298" i="11"/>
  <c r="V298" i="11"/>
  <c r="U298" i="11"/>
  <c r="X297" i="11"/>
  <c r="W297" i="11"/>
  <c r="V297" i="11"/>
  <c r="U297" i="11"/>
  <c r="X296" i="11"/>
  <c r="W296" i="11"/>
  <c r="V296" i="11"/>
  <c r="U296" i="11"/>
  <c r="X295" i="11"/>
  <c r="W295" i="11"/>
  <c r="V295" i="11"/>
  <c r="U295" i="11"/>
  <c r="X294" i="11"/>
  <c r="W294" i="11"/>
  <c r="V294" i="11"/>
  <c r="U294" i="11"/>
  <c r="X293" i="11"/>
  <c r="W293" i="11"/>
  <c r="V293" i="11"/>
  <c r="U293" i="11"/>
  <c r="X292" i="11"/>
  <c r="W292" i="11"/>
  <c r="V292" i="11"/>
  <c r="U292" i="11"/>
  <c r="X291" i="11"/>
  <c r="W291" i="11"/>
  <c r="V291" i="11"/>
  <c r="U291" i="11"/>
  <c r="X290" i="11"/>
  <c r="W290" i="11"/>
  <c r="V290" i="11"/>
  <c r="U290" i="11"/>
  <c r="X289" i="11"/>
  <c r="W289" i="11"/>
  <c r="V289" i="11"/>
  <c r="U289" i="11"/>
  <c r="X288" i="11"/>
  <c r="W288" i="11"/>
  <c r="V288" i="11"/>
  <c r="U288" i="11"/>
  <c r="X287" i="11"/>
  <c r="W287" i="11"/>
  <c r="V287" i="11"/>
  <c r="U287" i="11"/>
  <c r="X286" i="11"/>
  <c r="W286" i="11"/>
  <c r="V286" i="11"/>
  <c r="U286" i="11"/>
  <c r="X285" i="11"/>
  <c r="W285" i="11"/>
  <c r="V285" i="11"/>
  <c r="U285" i="11"/>
  <c r="X284" i="11"/>
  <c r="W284" i="11"/>
  <c r="V284" i="11"/>
  <c r="U284" i="11"/>
  <c r="X283" i="11"/>
  <c r="W283" i="11"/>
  <c r="V283" i="11"/>
  <c r="U283" i="11"/>
  <c r="X282" i="11"/>
  <c r="W282" i="11"/>
  <c r="V282" i="11"/>
  <c r="U282" i="11"/>
  <c r="X281" i="11"/>
  <c r="W281" i="11"/>
  <c r="V281" i="11"/>
  <c r="U281" i="11"/>
  <c r="X280" i="11"/>
  <c r="W280" i="11"/>
  <c r="V280" i="11"/>
  <c r="U280" i="11"/>
  <c r="X279" i="11"/>
  <c r="W279" i="11"/>
  <c r="V279" i="11"/>
  <c r="U279" i="11"/>
  <c r="X278" i="11"/>
  <c r="W278" i="11"/>
  <c r="V278" i="11"/>
  <c r="U278" i="11"/>
  <c r="X277" i="11"/>
  <c r="W277" i="11"/>
  <c r="V277" i="11"/>
  <c r="U277" i="11"/>
  <c r="X276" i="11"/>
  <c r="W276" i="11"/>
  <c r="V276" i="11"/>
  <c r="U276" i="11"/>
  <c r="X275" i="11"/>
  <c r="W275" i="11"/>
  <c r="V275" i="11"/>
  <c r="U275" i="11"/>
  <c r="X274" i="11"/>
  <c r="W274" i="11"/>
  <c r="V274" i="11"/>
  <c r="U274" i="11"/>
  <c r="X273" i="11"/>
  <c r="W273" i="11"/>
  <c r="V273" i="11"/>
  <c r="U273" i="11"/>
  <c r="X272" i="11"/>
  <c r="W272" i="11"/>
  <c r="V272" i="11"/>
  <c r="U272" i="11"/>
  <c r="X271" i="11"/>
  <c r="W271" i="11"/>
  <c r="V271" i="11"/>
  <c r="U271" i="11"/>
  <c r="X270" i="11"/>
  <c r="W270" i="11"/>
  <c r="V270" i="11"/>
  <c r="U270" i="11"/>
  <c r="X269" i="11"/>
  <c r="W269" i="11"/>
  <c r="V269" i="11"/>
  <c r="U269" i="11"/>
  <c r="X268" i="11"/>
  <c r="W268" i="11"/>
  <c r="V268" i="11"/>
  <c r="U268" i="11"/>
  <c r="X267" i="11"/>
  <c r="W267" i="11"/>
  <c r="V267" i="11"/>
  <c r="U267" i="11"/>
  <c r="X266" i="11"/>
  <c r="W266" i="11"/>
  <c r="V266" i="11"/>
  <c r="U266" i="11"/>
  <c r="X265" i="11"/>
  <c r="W265" i="11"/>
  <c r="V265" i="11"/>
  <c r="U265" i="11"/>
  <c r="X264" i="11"/>
  <c r="W264" i="11"/>
  <c r="V264" i="11"/>
  <c r="U264" i="11"/>
  <c r="X263" i="11"/>
  <c r="W263" i="11"/>
  <c r="V263" i="11"/>
  <c r="U263" i="11"/>
  <c r="X262" i="11"/>
  <c r="W262" i="11"/>
  <c r="V262" i="11"/>
  <c r="U262" i="11"/>
  <c r="X261" i="11"/>
  <c r="W261" i="11"/>
  <c r="V261" i="11"/>
  <c r="U261" i="11"/>
  <c r="X260" i="11"/>
  <c r="W260" i="11"/>
  <c r="V260" i="11"/>
  <c r="U260" i="11"/>
  <c r="X259" i="11"/>
  <c r="W259" i="11"/>
  <c r="V259" i="11"/>
  <c r="U259" i="11"/>
  <c r="X258" i="11"/>
  <c r="W258" i="11"/>
  <c r="V258" i="11"/>
  <c r="U258" i="11"/>
  <c r="X257" i="11"/>
  <c r="W257" i="11"/>
  <c r="V257" i="11"/>
  <c r="U257" i="11"/>
  <c r="X256" i="11"/>
  <c r="W256" i="11"/>
  <c r="V256" i="11"/>
  <c r="U256" i="11"/>
  <c r="X255" i="11"/>
  <c r="W255" i="11"/>
  <c r="V255" i="11"/>
  <c r="U255" i="11"/>
  <c r="X254" i="11"/>
  <c r="W254" i="11"/>
  <c r="V254" i="11"/>
  <c r="U254" i="11"/>
  <c r="X253" i="11"/>
  <c r="W253" i="11"/>
  <c r="V253" i="11"/>
  <c r="U253" i="11"/>
  <c r="X252" i="11"/>
  <c r="W252" i="11"/>
  <c r="V252" i="11"/>
  <c r="U252" i="11"/>
  <c r="X251" i="11"/>
  <c r="W251" i="11"/>
  <c r="V251" i="11"/>
  <c r="U251" i="11"/>
  <c r="X250" i="11"/>
  <c r="W250" i="11"/>
  <c r="V250" i="11"/>
  <c r="U250" i="11"/>
  <c r="X249" i="11"/>
  <c r="W249" i="11"/>
  <c r="V249" i="11"/>
  <c r="U249" i="11"/>
  <c r="X248" i="11"/>
  <c r="W248" i="11"/>
  <c r="V248" i="11"/>
  <c r="U248" i="11"/>
  <c r="X247" i="11"/>
  <c r="W247" i="11"/>
  <c r="V247" i="11"/>
  <c r="U247" i="11"/>
  <c r="X246" i="11"/>
  <c r="W246" i="11"/>
  <c r="V246" i="11"/>
  <c r="U246" i="11"/>
  <c r="X245" i="11"/>
  <c r="W245" i="11"/>
  <c r="V245" i="11"/>
  <c r="U245" i="11"/>
  <c r="X244" i="11"/>
  <c r="W244" i="11"/>
  <c r="V244" i="11"/>
  <c r="U244" i="11"/>
  <c r="X243" i="11"/>
  <c r="W243" i="11"/>
  <c r="V243" i="11"/>
  <c r="U243" i="11"/>
  <c r="X242" i="11"/>
  <c r="W242" i="11"/>
  <c r="V242" i="11"/>
  <c r="U242" i="11"/>
  <c r="X241" i="11"/>
  <c r="W241" i="11"/>
  <c r="V241" i="11"/>
  <c r="U241" i="11"/>
  <c r="X240" i="11"/>
  <c r="W240" i="11"/>
  <c r="V240" i="11"/>
  <c r="U240" i="11"/>
  <c r="X239" i="11"/>
  <c r="W239" i="11"/>
  <c r="V239" i="11"/>
  <c r="U239" i="11"/>
  <c r="X238" i="11"/>
  <c r="W238" i="11"/>
  <c r="V238" i="11"/>
  <c r="U238" i="11"/>
  <c r="X237" i="11"/>
  <c r="W237" i="11"/>
  <c r="V237" i="11"/>
  <c r="U237" i="11"/>
  <c r="X236" i="11"/>
  <c r="W236" i="11"/>
  <c r="V236" i="11"/>
  <c r="U236" i="11"/>
  <c r="X235" i="11"/>
  <c r="W235" i="11"/>
  <c r="V235" i="11"/>
  <c r="U235" i="11"/>
  <c r="X234" i="11"/>
  <c r="W234" i="11"/>
  <c r="V234" i="11"/>
  <c r="U234" i="11"/>
  <c r="X233" i="11"/>
  <c r="W233" i="11"/>
  <c r="V233" i="11"/>
  <c r="U233" i="11"/>
  <c r="X232" i="11"/>
  <c r="W232" i="11"/>
  <c r="V232" i="11"/>
  <c r="U232" i="11"/>
  <c r="X231" i="11"/>
  <c r="W231" i="11"/>
  <c r="V231" i="11"/>
  <c r="U231" i="11"/>
  <c r="X230" i="11"/>
  <c r="W230" i="11"/>
  <c r="V230" i="11"/>
  <c r="U230" i="11"/>
  <c r="X229" i="11"/>
  <c r="W229" i="11"/>
  <c r="V229" i="11"/>
  <c r="U229" i="11"/>
  <c r="X228" i="11"/>
  <c r="W228" i="11"/>
  <c r="V228" i="11"/>
  <c r="U228" i="11"/>
  <c r="X227" i="11"/>
  <c r="W227" i="11"/>
  <c r="V227" i="11"/>
  <c r="U227" i="11"/>
  <c r="X226" i="11"/>
  <c r="W226" i="11"/>
  <c r="V226" i="11"/>
  <c r="U226" i="11"/>
  <c r="X225" i="11"/>
  <c r="W225" i="11"/>
  <c r="V225" i="11"/>
  <c r="U225" i="11"/>
  <c r="X224" i="11"/>
  <c r="W224" i="11"/>
  <c r="V224" i="11"/>
  <c r="U224" i="11"/>
  <c r="X223" i="11"/>
  <c r="W223" i="11"/>
  <c r="V223" i="11"/>
  <c r="U223" i="11"/>
  <c r="X222" i="11"/>
  <c r="W222" i="11"/>
  <c r="V222" i="11"/>
  <c r="U222" i="11"/>
  <c r="X221" i="11"/>
  <c r="W221" i="11"/>
  <c r="V221" i="11"/>
  <c r="U221" i="11"/>
  <c r="X220" i="11"/>
  <c r="W220" i="11"/>
  <c r="V220" i="11"/>
  <c r="U220" i="11"/>
  <c r="X219" i="11"/>
  <c r="W219" i="11"/>
  <c r="V219" i="11"/>
  <c r="U219" i="11"/>
  <c r="X218" i="11"/>
  <c r="W218" i="11"/>
  <c r="V218" i="11"/>
  <c r="U218" i="11"/>
  <c r="X217" i="11"/>
  <c r="W217" i="11"/>
  <c r="V217" i="11"/>
  <c r="U217" i="11"/>
  <c r="X216" i="11"/>
  <c r="W216" i="11"/>
  <c r="V216" i="11"/>
  <c r="U216" i="11"/>
  <c r="X215" i="11"/>
  <c r="W215" i="11"/>
  <c r="V215" i="11"/>
  <c r="U215" i="11"/>
  <c r="X214" i="11"/>
  <c r="W214" i="11"/>
  <c r="V214" i="11"/>
  <c r="U214" i="11"/>
  <c r="X213" i="11"/>
  <c r="W213" i="11"/>
  <c r="V213" i="11"/>
  <c r="U213" i="11"/>
  <c r="X212" i="11"/>
  <c r="W212" i="11"/>
  <c r="V212" i="11"/>
  <c r="U212" i="11"/>
  <c r="X211" i="11"/>
  <c r="W211" i="11"/>
  <c r="V211" i="11"/>
  <c r="U211" i="11"/>
  <c r="X210" i="11"/>
  <c r="W210" i="11"/>
  <c r="V210" i="11"/>
  <c r="U210" i="11"/>
  <c r="X209" i="11"/>
  <c r="W209" i="11"/>
  <c r="V209" i="11"/>
  <c r="U209" i="11"/>
  <c r="X208" i="11"/>
  <c r="W208" i="11"/>
  <c r="V208" i="11"/>
  <c r="U208" i="11"/>
  <c r="X207" i="11"/>
  <c r="W207" i="11"/>
  <c r="V207" i="11"/>
  <c r="U207" i="11"/>
  <c r="X206" i="11"/>
  <c r="W206" i="11"/>
  <c r="V206" i="11"/>
  <c r="U206" i="11"/>
  <c r="X205" i="11"/>
  <c r="W205" i="11"/>
  <c r="V205" i="11"/>
  <c r="U205" i="11"/>
  <c r="X204" i="11"/>
  <c r="W204" i="11"/>
  <c r="V204" i="11"/>
  <c r="U204" i="11"/>
  <c r="X203" i="11"/>
  <c r="W203" i="11"/>
  <c r="V203" i="11"/>
  <c r="U203" i="11"/>
  <c r="X202" i="11"/>
  <c r="W202" i="11"/>
  <c r="V202" i="11"/>
  <c r="U202" i="11"/>
  <c r="X201" i="11"/>
  <c r="W201" i="11"/>
  <c r="V201" i="11"/>
  <c r="U201" i="11"/>
  <c r="X200" i="11"/>
  <c r="W200" i="11"/>
  <c r="V200" i="11"/>
  <c r="U200" i="11"/>
  <c r="X199" i="11"/>
  <c r="W199" i="11"/>
  <c r="V199" i="11"/>
  <c r="U199" i="11"/>
  <c r="X198" i="11"/>
  <c r="W198" i="11"/>
  <c r="V198" i="11"/>
  <c r="U198" i="11"/>
  <c r="X197" i="11"/>
  <c r="W197" i="11"/>
  <c r="V197" i="11"/>
  <c r="U197" i="11"/>
  <c r="X196" i="11"/>
  <c r="W196" i="11"/>
  <c r="V196" i="11"/>
  <c r="U196" i="11"/>
  <c r="X195" i="11"/>
  <c r="W195" i="11"/>
  <c r="V195" i="11"/>
  <c r="U195" i="11"/>
  <c r="X194" i="11"/>
  <c r="W194" i="11"/>
  <c r="V194" i="11"/>
  <c r="U194" i="11"/>
  <c r="X193" i="11"/>
  <c r="W193" i="11"/>
  <c r="V193" i="11"/>
  <c r="U193" i="11"/>
  <c r="X192" i="11"/>
  <c r="W192" i="11"/>
  <c r="V192" i="11"/>
  <c r="U192" i="11"/>
  <c r="X191" i="11"/>
  <c r="W191" i="11"/>
  <c r="V191" i="11"/>
  <c r="U191" i="11"/>
  <c r="X190" i="11"/>
  <c r="W190" i="11"/>
  <c r="V190" i="11"/>
  <c r="U190" i="11"/>
  <c r="X189" i="11"/>
  <c r="W189" i="11"/>
  <c r="V189" i="11"/>
  <c r="U189" i="11"/>
  <c r="X188" i="11"/>
  <c r="W188" i="11"/>
  <c r="V188" i="11"/>
  <c r="U188" i="11"/>
  <c r="X187" i="11"/>
  <c r="W187" i="11"/>
  <c r="V187" i="11"/>
  <c r="U187" i="11"/>
  <c r="X186" i="11"/>
  <c r="W186" i="11"/>
  <c r="V186" i="11"/>
  <c r="U186" i="11"/>
  <c r="X185" i="11"/>
  <c r="W185" i="11"/>
  <c r="V185" i="11"/>
  <c r="U185" i="11"/>
  <c r="X184" i="11"/>
  <c r="W184" i="11"/>
  <c r="V184" i="11"/>
  <c r="U184" i="11"/>
  <c r="X183" i="11"/>
  <c r="W183" i="11"/>
  <c r="V183" i="11"/>
  <c r="U183" i="11"/>
  <c r="X182" i="11"/>
  <c r="W182" i="11"/>
  <c r="V182" i="11"/>
  <c r="U182" i="11"/>
  <c r="X181" i="11"/>
  <c r="W181" i="11"/>
  <c r="V181" i="11"/>
  <c r="U181" i="11"/>
  <c r="X180" i="11"/>
  <c r="W180" i="11"/>
  <c r="V180" i="11"/>
  <c r="U180" i="11"/>
  <c r="X179" i="11"/>
  <c r="W179" i="11"/>
  <c r="V179" i="11"/>
  <c r="U179" i="11"/>
  <c r="X178" i="11"/>
  <c r="W178" i="11"/>
  <c r="V178" i="11"/>
  <c r="U178" i="11"/>
  <c r="X177" i="11"/>
  <c r="W177" i="11"/>
  <c r="V177" i="11"/>
  <c r="U177" i="11"/>
  <c r="X176" i="11"/>
  <c r="W176" i="11"/>
  <c r="V176" i="11"/>
  <c r="U176" i="11"/>
  <c r="X175" i="11"/>
  <c r="W175" i="11"/>
  <c r="V175" i="11"/>
  <c r="U175" i="11"/>
  <c r="X174" i="11"/>
  <c r="W174" i="11"/>
  <c r="V174" i="11"/>
  <c r="U174" i="11"/>
  <c r="X173" i="11"/>
  <c r="W173" i="11"/>
  <c r="V173" i="11"/>
  <c r="U173" i="11"/>
  <c r="X172" i="11"/>
  <c r="W172" i="11"/>
  <c r="V172" i="11"/>
  <c r="U172" i="11"/>
  <c r="X171" i="11"/>
  <c r="W171" i="11"/>
  <c r="V171" i="11"/>
  <c r="U171" i="11"/>
  <c r="X170" i="11"/>
  <c r="W170" i="11"/>
  <c r="V170" i="11"/>
  <c r="U170" i="11"/>
  <c r="X169" i="11"/>
  <c r="W169" i="11"/>
  <c r="V169" i="11"/>
  <c r="U169" i="11"/>
  <c r="X168" i="11"/>
  <c r="W168" i="11"/>
  <c r="V168" i="11"/>
  <c r="U168" i="11"/>
  <c r="X167" i="11"/>
  <c r="W167" i="11"/>
  <c r="V167" i="11"/>
  <c r="U167" i="11"/>
  <c r="X166" i="11"/>
  <c r="W166" i="11"/>
  <c r="V166" i="11"/>
  <c r="U166" i="11"/>
  <c r="X165" i="11"/>
  <c r="W165" i="11"/>
  <c r="V165" i="11"/>
  <c r="U165" i="11"/>
  <c r="X164" i="11"/>
  <c r="W164" i="11"/>
  <c r="V164" i="11"/>
  <c r="U164" i="11"/>
  <c r="X163" i="11"/>
  <c r="W163" i="11"/>
  <c r="V163" i="11"/>
  <c r="U163" i="11"/>
  <c r="X162" i="11"/>
  <c r="W162" i="11"/>
  <c r="V162" i="11"/>
  <c r="U162" i="11"/>
  <c r="X161" i="11"/>
  <c r="W161" i="11"/>
  <c r="V161" i="11"/>
  <c r="U161" i="11"/>
  <c r="X160" i="11"/>
  <c r="W160" i="11"/>
  <c r="V160" i="11"/>
  <c r="U160" i="11"/>
  <c r="X159" i="11"/>
  <c r="W159" i="11"/>
  <c r="V159" i="11"/>
  <c r="U159" i="11"/>
  <c r="X158" i="11"/>
  <c r="W158" i="11"/>
  <c r="V158" i="11"/>
  <c r="U158" i="11"/>
  <c r="X157" i="11"/>
  <c r="W157" i="11"/>
  <c r="V157" i="11"/>
  <c r="U157" i="11"/>
  <c r="X156" i="11"/>
  <c r="W156" i="11"/>
  <c r="V156" i="11"/>
  <c r="U156" i="11"/>
  <c r="X155" i="11"/>
  <c r="W155" i="11"/>
  <c r="V155" i="11"/>
  <c r="U155" i="11"/>
  <c r="X154" i="11"/>
  <c r="W154" i="11"/>
  <c r="V154" i="11"/>
  <c r="U154" i="11"/>
  <c r="X153" i="11"/>
  <c r="W153" i="11"/>
  <c r="V153" i="11"/>
  <c r="U153" i="11"/>
  <c r="X152" i="11"/>
  <c r="W152" i="11"/>
  <c r="V152" i="11"/>
  <c r="U152" i="11"/>
  <c r="X151" i="11"/>
  <c r="W151" i="11"/>
  <c r="V151" i="11"/>
  <c r="U151" i="11"/>
  <c r="X150" i="11"/>
  <c r="W150" i="11"/>
  <c r="V150" i="11"/>
  <c r="U150" i="11"/>
  <c r="X149" i="11"/>
  <c r="W149" i="11"/>
  <c r="V149" i="11"/>
  <c r="U149" i="11"/>
  <c r="X148" i="11"/>
  <c r="W148" i="11"/>
  <c r="V148" i="11"/>
  <c r="U148" i="11"/>
  <c r="X147" i="11"/>
  <c r="W147" i="11"/>
  <c r="V147" i="11"/>
  <c r="U147" i="11"/>
  <c r="X146" i="11"/>
  <c r="W146" i="11"/>
  <c r="V146" i="11"/>
  <c r="U146" i="11"/>
  <c r="X145" i="11"/>
  <c r="W145" i="11"/>
  <c r="V145" i="11"/>
  <c r="U145" i="11"/>
  <c r="X144" i="11"/>
  <c r="W144" i="11"/>
  <c r="V144" i="11"/>
  <c r="U144" i="11"/>
  <c r="X143" i="11"/>
  <c r="W143" i="11"/>
  <c r="V143" i="11"/>
  <c r="U143" i="11"/>
  <c r="X142" i="11"/>
  <c r="W142" i="11"/>
  <c r="V142" i="11"/>
  <c r="U142" i="11"/>
  <c r="X141" i="11"/>
  <c r="W141" i="11"/>
  <c r="V141" i="11"/>
  <c r="U141" i="11"/>
  <c r="X140" i="11"/>
  <c r="W140" i="11"/>
  <c r="V140" i="11"/>
  <c r="U140" i="11"/>
  <c r="X139" i="11"/>
  <c r="W139" i="11"/>
  <c r="V139" i="11"/>
  <c r="U139" i="11"/>
  <c r="X138" i="11"/>
  <c r="W138" i="11"/>
  <c r="V138" i="11"/>
  <c r="U138" i="11"/>
  <c r="X137" i="11"/>
  <c r="W137" i="11"/>
  <c r="V137" i="11"/>
  <c r="U137" i="11"/>
  <c r="X136" i="11"/>
  <c r="W136" i="11"/>
  <c r="V136" i="11"/>
  <c r="U136" i="11"/>
  <c r="X135" i="11"/>
  <c r="W135" i="11"/>
  <c r="V135" i="11"/>
  <c r="U135" i="11"/>
  <c r="X134" i="11"/>
  <c r="W134" i="11"/>
  <c r="V134" i="11"/>
  <c r="U134" i="11"/>
  <c r="X133" i="11"/>
  <c r="W133" i="11"/>
  <c r="V133" i="11"/>
  <c r="U133" i="11"/>
  <c r="X132" i="11"/>
  <c r="W132" i="11"/>
  <c r="V132" i="11"/>
  <c r="U132" i="11"/>
  <c r="X131" i="11"/>
  <c r="W131" i="11"/>
  <c r="V131" i="11"/>
  <c r="U131" i="11"/>
  <c r="X130" i="11"/>
  <c r="W130" i="11"/>
  <c r="V130" i="11"/>
  <c r="U130" i="11"/>
  <c r="X129" i="11"/>
  <c r="W129" i="11"/>
  <c r="V129" i="11"/>
  <c r="U129" i="11"/>
  <c r="X128" i="11"/>
  <c r="W128" i="11"/>
  <c r="V128" i="11"/>
  <c r="U128" i="11"/>
  <c r="X127" i="11"/>
  <c r="W127" i="11"/>
  <c r="V127" i="11"/>
  <c r="U127" i="11"/>
  <c r="X126" i="11"/>
  <c r="W126" i="11"/>
  <c r="V126" i="11"/>
  <c r="U126" i="11"/>
  <c r="X125" i="11"/>
  <c r="W125" i="11"/>
  <c r="V125" i="11"/>
  <c r="U125" i="11"/>
  <c r="X124" i="11"/>
  <c r="W124" i="11"/>
  <c r="V124" i="11"/>
  <c r="U124" i="11"/>
  <c r="X123" i="11"/>
  <c r="W123" i="11"/>
  <c r="V123" i="11"/>
  <c r="U123" i="11"/>
  <c r="X122" i="11"/>
  <c r="W122" i="11"/>
  <c r="V122" i="11"/>
  <c r="U122" i="11"/>
  <c r="X121" i="11"/>
  <c r="W121" i="11"/>
  <c r="V121" i="11"/>
  <c r="U121" i="11"/>
  <c r="X120" i="11"/>
  <c r="W120" i="11"/>
  <c r="V120" i="11"/>
  <c r="U120" i="11"/>
  <c r="X119" i="11"/>
  <c r="W119" i="11"/>
  <c r="V119" i="11"/>
  <c r="U119" i="11"/>
  <c r="X118" i="11"/>
  <c r="W118" i="11"/>
  <c r="V118" i="11"/>
  <c r="U118" i="11"/>
  <c r="X117" i="11"/>
  <c r="W117" i="11"/>
  <c r="V117" i="11"/>
  <c r="U117" i="11"/>
  <c r="X116" i="11"/>
  <c r="W116" i="11"/>
  <c r="V116" i="11"/>
  <c r="U116" i="11"/>
  <c r="X115" i="11"/>
  <c r="W115" i="11"/>
  <c r="V115" i="11"/>
  <c r="U115" i="11"/>
  <c r="X114" i="11"/>
  <c r="W114" i="11"/>
  <c r="V114" i="11"/>
  <c r="U114" i="11"/>
  <c r="X113" i="11"/>
  <c r="W113" i="11"/>
  <c r="V113" i="11"/>
  <c r="U113" i="11"/>
  <c r="X112" i="11"/>
  <c r="W112" i="11"/>
  <c r="V112" i="11"/>
  <c r="U112" i="11"/>
  <c r="X111" i="11"/>
  <c r="W111" i="11"/>
  <c r="V111" i="11"/>
  <c r="U111" i="11"/>
  <c r="X110" i="11"/>
  <c r="W110" i="11"/>
  <c r="V110" i="11"/>
  <c r="U110" i="11"/>
  <c r="X109" i="11"/>
  <c r="W109" i="11"/>
  <c r="V109" i="11"/>
  <c r="U109" i="11"/>
  <c r="X108" i="11"/>
  <c r="W108" i="11"/>
  <c r="V108" i="11"/>
  <c r="U108" i="11"/>
  <c r="X107" i="11"/>
  <c r="W107" i="11"/>
  <c r="V107" i="11"/>
  <c r="U107" i="11"/>
  <c r="X106" i="11"/>
  <c r="W106" i="11"/>
  <c r="V106" i="11"/>
  <c r="U106" i="11"/>
  <c r="X105" i="11"/>
  <c r="W105" i="11"/>
  <c r="V105" i="11"/>
  <c r="U105" i="11"/>
  <c r="X104" i="11"/>
  <c r="W104" i="11"/>
  <c r="V104" i="11"/>
  <c r="U104" i="11"/>
  <c r="X103" i="11"/>
  <c r="W103" i="11"/>
  <c r="V103" i="11"/>
  <c r="U103" i="11"/>
  <c r="X102" i="11"/>
  <c r="W102" i="11"/>
  <c r="V102" i="11"/>
  <c r="U102" i="11"/>
  <c r="X101" i="11"/>
  <c r="W101" i="11"/>
  <c r="V101" i="11"/>
  <c r="U101" i="11"/>
  <c r="X100" i="11"/>
  <c r="W100" i="11"/>
  <c r="V100" i="11"/>
  <c r="U100" i="11"/>
  <c r="X99" i="11"/>
  <c r="W99" i="11"/>
  <c r="V99" i="11"/>
  <c r="U99" i="11"/>
  <c r="X98" i="11"/>
  <c r="W98" i="11"/>
  <c r="V98" i="11"/>
  <c r="U98" i="11"/>
  <c r="X97" i="11"/>
  <c r="W97" i="11"/>
  <c r="V97" i="11"/>
  <c r="U97" i="11"/>
  <c r="X96" i="11"/>
  <c r="W96" i="11"/>
  <c r="V96" i="11"/>
  <c r="U96" i="11"/>
  <c r="X95" i="11"/>
  <c r="W95" i="11"/>
  <c r="V95" i="11"/>
  <c r="U95" i="11"/>
  <c r="X94" i="11"/>
  <c r="W94" i="11"/>
  <c r="V94" i="11"/>
  <c r="U94" i="11"/>
  <c r="X93" i="11"/>
  <c r="W93" i="11"/>
  <c r="V93" i="11"/>
  <c r="U93" i="11"/>
  <c r="X92" i="11"/>
  <c r="W92" i="11"/>
  <c r="V92" i="11"/>
  <c r="U92" i="11"/>
  <c r="X91" i="11"/>
  <c r="W91" i="11"/>
  <c r="V91" i="11"/>
  <c r="U91" i="11"/>
  <c r="X90" i="11"/>
  <c r="W90" i="11"/>
  <c r="V90" i="11"/>
  <c r="U90" i="11"/>
  <c r="X89" i="11"/>
  <c r="W89" i="11"/>
  <c r="V89" i="11"/>
  <c r="U89" i="11"/>
  <c r="X88" i="11"/>
  <c r="W88" i="11"/>
  <c r="V88" i="11"/>
  <c r="U88" i="11"/>
  <c r="X87" i="11"/>
  <c r="W87" i="11"/>
  <c r="V87" i="11"/>
  <c r="U87" i="11"/>
  <c r="X86" i="11"/>
  <c r="W86" i="11"/>
  <c r="V86" i="11"/>
  <c r="U86" i="11"/>
  <c r="X85" i="11"/>
  <c r="W85" i="11"/>
  <c r="V85" i="11"/>
  <c r="U85" i="11"/>
  <c r="X84" i="11"/>
  <c r="W84" i="11"/>
  <c r="V84" i="11"/>
  <c r="U84" i="11"/>
  <c r="X83" i="11"/>
  <c r="W83" i="11"/>
  <c r="V83" i="11"/>
  <c r="U83" i="11"/>
  <c r="X82" i="11"/>
  <c r="W82" i="11"/>
  <c r="V82" i="11"/>
  <c r="U82" i="11"/>
  <c r="X81" i="11"/>
  <c r="W81" i="11"/>
  <c r="V81" i="11"/>
  <c r="U81" i="11"/>
  <c r="X80" i="11"/>
  <c r="W80" i="11"/>
  <c r="V80" i="11"/>
  <c r="U80" i="11"/>
  <c r="X79" i="11"/>
  <c r="W79" i="11"/>
  <c r="V79" i="11"/>
  <c r="U79" i="11"/>
  <c r="X78" i="11"/>
  <c r="W78" i="11"/>
  <c r="V78" i="11"/>
  <c r="U78" i="11"/>
  <c r="X77" i="11"/>
  <c r="W77" i="11"/>
  <c r="V77" i="11"/>
  <c r="U77" i="11"/>
  <c r="X76" i="11"/>
  <c r="W76" i="11"/>
  <c r="V76" i="11"/>
  <c r="U76" i="11"/>
  <c r="X75" i="11"/>
  <c r="W75" i="11"/>
  <c r="V75" i="11"/>
  <c r="U75" i="11"/>
  <c r="X74" i="11"/>
  <c r="W74" i="11"/>
  <c r="V74" i="11"/>
  <c r="U74" i="11"/>
  <c r="X73" i="11"/>
  <c r="W73" i="11"/>
  <c r="V73" i="11"/>
  <c r="U73" i="11"/>
  <c r="X72" i="11"/>
  <c r="W72" i="11"/>
  <c r="V72" i="11"/>
  <c r="U72" i="11"/>
  <c r="X71" i="11"/>
  <c r="W71" i="11"/>
  <c r="V71" i="11"/>
  <c r="U71" i="11"/>
  <c r="X70" i="11"/>
  <c r="W70" i="11"/>
  <c r="V70" i="11"/>
  <c r="U70" i="11"/>
  <c r="X69" i="11"/>
  <c r="W69" i="11"/>
  <c r="V69" i="11"/>
  <c r="U69" i="11"/>
  <c r="X68" i="11"/>
  <c r="W68" i="11"/>
  <c r="V68" i="11"/>
  <c r="U68" i="11"/>
  <c r="X67" i="11"/>
  <c r="W67" i="11"/>
  <c r="V67" i="11"/>
  <c r="U67" i="11"/>
  <c r="X66" i="11"/>
  <c r="W66" i="11"/>
  <c r="V66" i="11"/>
  <c r="U66" i="11"/>
  <c r="X65" i="11"/>
  <c r="W65" i="11"/>
  <c r="V65" i="11"/>
  <c r="U65" i="11"/>
  <c r="X64" i="11"/>
  <c r="W64" i="11"/>
  <c r="V64" i="11"/>
  <c r="U64" i="11"/>
  <c r="X63" i="11"/>
  <c r="W63" i="11"/>
  <c r="V63" i="11"/>
  <c r="U63" i="11"/>
  <c r="X62" i="11"/>
  <c r="W62" i="11"/>
  <c r="V62" i="11"/>
  <c r="U62" i="11"/>
  <c r="X61" i="11"/>
  <c r="W61" i="11"/>
  <c r="V61" i="11"/>
  <c r="U61" i="11"/>
  <c r="X60" i="11"/>
  <c r="W60" i="11"/>
  <c r="V60" i="11"/>
  <c r="U60" i="11"/>
  <c r="X59" i="11"/>
  <c r="W59" i="11"/>
  <c r="V59" i="11"/>
  <c r="U59" i="11"/>
  <c r="X58" i="11"/>
  <c r="W58" i="11"/>
  <c r="V58" i="11"/>
  <c r="U58" i="11"/>
  <c r="X57" i="11"/>
  <c r="W57" i="11"/>
  <c r="V57" i="11"/>
  <c r="U57" i="11"/>
  <c r="X56" i="11"/>
  <c r="W56" i="11"/>
  <c r="V56" i="11"/>
  <c r="U56" i="11"/>
  <c r="X55" i="11"/>
  <c r="W55" i="11"/>
  <c r="V55" i="11"/>
  <c r="U55" i="11"/>
  <c r="X54" i="11"/>
  <c r="W54" i="11"/>
  <c r="V54" i="11"/>
  <c r="U54" i="11"/>
  <c r="X53" i="11"/>
  <c r="W53" i="11"/>
  <c r="V53" i="11"/>
  <c r="U53" i="11"/>
  <c r="X52" i="11"/>
  <c r="W52" i="11"/>
  <c r="V52" i="11"/>
  <c r="U52" i="11"/>
  <c r="X51" i="11"/>
  <c r="W51" i="11"/>
  <c r="V51" i="11"/>
  <c r="U51" i="11"/>
  <c r="X50" i="11"/>
  <c r="W50" i="11"/>
  <c r="V50" i="11"/>
  <c r="U50" i="11"/>
  <c r="X49" i="11"/>
  <c r="W49" i="11"/>
  <c r="V49" i="11"/>
  <c r="U49" i="11"/>
  <c r="X48" i="11"/>
  <c r="W48" i="11"/>
  <c r="V48" i="11"/>
  <c r="U48" i="11"/>
  <c r="X47" i="11"/>
  <c r="W47" i="11"/>
  <c r="V47" i="11"/>
  <c r="U47" i="11"/>
  <c r="X46" i="11"/>
  <c r="W46" i="11"/>
  <c r="V46" i="11"/>
  <c r="U46" i="11"/>
  <c r="X45" i="11"/>
  <c r="W45" i="11"/>
  <c r="V45" i="11"/>
  <c r="U45" i="11"/>
  <c r="X44" i="11"/>
  <c r="W44" i="11"/>
  <c r="V44" i="11"/>
  <c r="U44" i="11"/>
  <c r="X43" i="11"/>
  <c r="W43" i="11"/>
  <c r="V43" i="11"/>
  <c r="U43" i="11"/>
  <c r="X42" i="11"/>
  <c r="W42" i="11"/>
  <c r="V42" i="11"/>
  <c r="U42" i="11"/>
  <c r="X41" i="11"/>
  <c r="W41" i="11"/>
  <c r="V41" i="11"/>
  <c r="U41" i="11"/>
  <c r="X40" i="11"/>
  <c r="W40" i="11"/>
  <c r="V40" i="11"/>
  <c r="U40" i="11"/>
  <c r="X39" i="11"/>
  <c r="W39" i="11"/>
  <c r="V39" i="11"/>
  <c r="U39" i="11"/>
  <c r="X38" i="11"/>
  <c r="W38" i="11"/>
  <c r="V38" i="11"/>
  <c r="U38" i="11"/>
  <c r="X37" i="11"/>
  <c r="W37" i="11"/>
  <c r="V37" i="11"/>
  <c r="U37" i="11"/>
  <c r="X36" i="11"/>
  <c r="W36" i="11"/>
  <c r="V36" i="11"/>
  <c r="U36" i="11"/>
  <c r="X35" i="11"/>
  <c r="W35" i="11"/>
  <c r="V35" i="11"/>
  <c r="U35" i="11"/>
  <c r="X34" i="11"/>
  <c r="W34" i="11"/>
  <c r="V34" i="11"/>
  <c r="U34" i="11"/>
  <c r="X33" i="11"/>
  <c r="W33" i="11"/>
  <c r="V33" i="11"/>
  <c r="U33" i="11"/>
  <c r="X32" i="11"/>
  <c r="W32" i="11"/>
  <c r="V32" i="11"/>
  <c r="U32" i="11"/>
  <c r="X31" i="11"/>
  <c r="W31" i="11"/>
  <c r="V31" i="11"/>
  <c r="U31" i="11"/>
  <c r="X30" i="11"/>
  <c r="W30" i="11"/>
  <c r="V30" i="11"/>
  <c r="U30" i="11"/>
  <c r="X29" i="11"/>
  <c r="W29" i="11"/>
  <c r="V29" i="11"/>
  <c r="U29" i="11"/>
  <c r="X28" i="11"/>
  <c r="W28" i="11"/>
  <c r="V28" i="11"/>
  <c r="U28" i="11"/>
  <c r="X27" i="11"/>
  <c r="W27" i="11"/>
  <c r="V27" i="11"/>
  <c r="U27" i="11"/>
  <c r="X26" i="11"/>
  <c r="W26" i="11"/>
  <c r="V26" i="11"/>
  <c r="U26" i="11"/>
  <c r="X25" i="11"/>
  <c r="W25" i="11"/>
  <c r="V25" i="11"/>
  <c r="U25" i="11"/>
  <c r="X24" i="11"/>
  <c r="W24" i="11"/>
  <c r="V24" i="11"/>
  <c r="U24" i="11"/>
  <c r="X23" i="11"/>
  <c r="W23" i="11"/>
  <c r="V23" i="11"/>
  <c r="U23" i="11"/>
  <c r="X22" i="11"/>
  <c r="W22" i="11"/>
  <c r="V22" i="11"/>
  <c r="U22" i="11"/>
  <c r="G340" i="8"/>
  <c r="G339" i="8"/>
  <c r="G338" i="8"/>
  <c r="G337" i="8"/>
  <c r="G336" i="8"/>
  <c r="G335" i="8"/>
  <c r="G334" i="8"/>
  <c r="G333" i="8"/>
  <c r="G332" i="8"/>
  <c r="G331" i="8"/>
  <c r="G330" i="8"/>
  <c r="G329" i="8"/>
  <c r="G328" i="8"/>
  <c r="G327" i="8"/>
  <c r="G326" i="8"/>
  <c r="G325" i="8"/>
  <c r="G324" i="8"/>
  <c r="G323" i="8"/>
  <c r="G322" i="8"/>
  <c r="G321" i="8"/>
  <c r="G320" i="8"/>
  <c r="G319" i="8"/>
  <c r="G318" i="8"/>
  <c r="G317" i="8"/>
  <c r="G316" i="8"/>
  <c r="G315" i="8"/>
  <c r="G314" i="8"/>
  <c r="G313" i="8"/>
  <c r="G312" i="8"/>
  <c r="G311" i="8"/>
  <c r="G310" i="8"/>
  <c r="G309" i="8"/>
  <c r="G308" i="8"/>
  <c r="G307" i="8"/>
  <c r="G306" i="8"/>
  <c r="G305" i="8"/>
  <c r="G304" i="8"/>
  <c r="G303" i="8"/>
  <c r="G302" i="8"/>
  <c r="G301" i="8"/>
  <c r="G300" i="8"/>
  <c r="G299" i="8"/>
  <c r="G298" i="8"/>
  <c r="G297" i="8"/>
  <c r="G296" i="8"/>
  <c r="G295" i="8"/>
  <c r="G294" i="8"/>
  <c r="G293" i="8"/>
  <c r="G292" i="8"/>
  <c r="G291" i="8"/>
  <c r="G290" i="8"/>
  <c r="G289" i="8"/>
  <c r="G288" i="8"/>
  <c r="G287" i="8"/>
  <c r="G286" i="8"/>
  <c r="G285" i="8"/>
  <c r="G284" i="8"/>
  <c r="G283" i="8"/>
  <c r="G282" i="8"/>
  <c r="G281" i="8"/>
  <c r="G280" i="8"/>
  <c r="G279" i="8"/>
  <c r="G278" i="8"/>
  <c r="G277" i="8"/>
  <c r="G276" i="8"/>
  <c r="G275" i="8"/>
  <c r="G274" i="8"/>
  <c r="G273" i="8"/>
  <c r="G272" i="8"/>
  <c r="G271" i="8"/>
  <c r="G270" i="8"/>
  <c r="G269" i="8"/>
  <c r="G268" i="8"/>
  <c r="G267" i="8"/>
  <c r="G266" i="8"/>
  <c r="G265" i="8"/>
  <c r="G264" i="8"/>
  <c r="G263" i="8"/>
  <c r="G262" i="8"/>
  <c r="G261" i="8"/>
  <c r="G260" i="8"/>
  <c r="G259" i="8"/>
  <c r="G258" i="8"/>
  <c r="G257" i="8"/>
  <c r="G256" i="8"/>
  <c r="G255" i="8"/>
  <c r="G254" i="8"/>
  <c r="G253" i="8"/>
  <c r="G252" i="8"/>
  <c r="G251" i="8"/>
  <c r="G250" i="8"/>
  <c r="G249" i="8"/>
  <c r="G248" i="8"/>
  <c r="G247" i="8"/>
  <c r="G246" i="8"/>
  <c r="G245" i="8"/>
  <c r="G244" i="8"/>
  <c r="G243" i="8"/>
  <c r="G242" i="8"/>
  <c r="G241" i="8"/>
  <c r="G240" i="8"/>
  <c r="G239" i="8"/>
  <c r="G238" i="8"/>
  <c r="G237" i="8"/>
  <c r="G236" i="8"/>
  <c r="G235" i="8"/>
  <c r="G234" i="8"/>
  <c r="G233" i="8"/>
  <c r="G232" i="8"/>
  <c r="G231" i="8"/>
  <c r="G230" i="8"/>
  <c r="G229" i="8"/>
  <c r="G228" i="8"/>
  <c r="G227" i="8"/>
  <c r="G226" i="8"/>
  <c r="G225" i="8"/>
  <c r="G224" i="8"/>
  <c r="G223" i="8"/>
  <c r="G222" i="8"/>
  <c r="G221" i="8"/>
  <c r="G220" i="8"/>
  <c r="G219" i="8"/>
  <c r="G218" i="8"/>
  <c r="G217" i="8"/>
  <c r="G216" i="8"/>
  <c r="G215" i="8"/>
  <c r="G214" i="8"/>
  <c r="G213" i="8"/>
  <c r="G212" i="8"/>
  <c r="G211" i="8"/>
  <c r="G210" i="8"/>
  <c r="G209" i="8"/>
  <c r="G208" i="8"/>
  <c r="G207" i="8"/>
  <c r="G206" i="8"/>
  <c r="G205" i="8"/>
  <c r="G204" i="8"/>
  <c r="G203" i="8"/>
  <c r="G202" i="8"/>
  <c r="G201" i="8"/>
  <c r="G200" i="8"/>
  <c r="G199" i="8"/>
  <c r="G198" i="8"/>
  <c r="G197" i="8"/>
  <c r="G196" i="8"/>
  <c r="G195" i="8"/>
  <c r="G194" i="8"/>
  <c r="G193" i="8"/>
  <c r="G192" i="8"/>
  <c r="G191" i="8"/>
  <c r="G190" i="8"/>
  <c r="G189" i="8"/>
  <c r="G188" i="8"/>
  <c r="G187" i="8"/>
  <c r="G186" i="8"/>
  <c r="G185" i="8"/>
  <c r="G184" i="8"/>
  <c r="G183" i="8"/>
  <c r="G182" i="8"/>
  <c r="G181" i="8"/>
  <c r="G180" i="8"/>
  <c r="G179" i="8"/>
  <c r="G178" i="8"/>
  <c r="G177" i="8"/>
  <c r="G176" i="8"/>
  <c r="G175" i="8"/>
  <c r="G174" i="8"/>
  <c r="G173" i="8"/>
  <c r="G172" i="8"/>
  <c r="G171" i="8"/>
  <c r="G170" i="8"/>
  <c r="G169" i="8"/>
  <c r="G168" i="8"/>
  <c r="G167" i="8"/>
  <c r="G166" i="8"/>
  <c r="G165" i="8"/>
  <c r="G164" i="8"/>
  <c r="G163" i="8"/>
  <c r="G162" i="8"/>
  <c r="G161" i="8"/>
  <c r="G160" i="8"/>
  <c r="G159" i="8"/>
  <c r="G158" i="8"/>
  <c r="G157" i="8"/>
  <c r="G156" i="8"/>
  <c r="G155" i="8"/>
  <c r="G154" i="8"/>
  <c r="G153" i="8"/>
  <c r="G152" i="8"/>
  <c r="G151" i="8"/>
  <c r="G150" i="8"/>
  <c r="G149" i="8"/>
  <c r="G148" i="8"/>
  <c r="G147" i="8"/>
  <c r="G146" i="8"/>
  <c r="G145" i="8"/>
  <c r="G144" i="8"/>
  <c r="G143" i="8"/>
  <c r="G142" i="8"/>
  <c r="G141" i="8"/>
  <c r="G140" i="8"/>
  <c r="G139" i="8"/>
  <c r="G138" i="8"/>
  <c r="G137" i="8"/>
  <c r="G136" i="8"/>
  <c r="G135" i="8"/>
  <c r="G134" i="8"/>
  <c r="G133" i="8"/>
  <c r="G132" i="8"/>
  <c r="G131" i="8"/>
  <c r="G130" i="8"/>
  <c r="G129" i="8"/>
  <c r="G128" i="8"/>
  <c r="G127" i="8"/>
  <c r="G126" i="8"/>
  <c r="G125" i="8"/>
  <c r="G124" i="8"/>
  <c r="G123" i="8"/>
  <c r="G122" i="8"/>
  <c r="G121" i="8"/>
  <c r="G120" i="8"/>
  <c r="G119" i="8"/>
  <c r="G118" i="8"/>
  <c r="G117" i="8"/>
  <c r="G116" i="8"/>
  <c r="G115" i="8"/>
  <c r="G114" i="8"/>
  <c r="G113" i="8"/>
  <c r="G112" i="8"/>
  <c r="G111" i="8"/>
  <c r="G110" i="8"/>
  <c r="G109" i="8"/>
  <c r="G108" i="8"/>
  <c r="G107" i="8"/>
  <c r="G106" i="8"/>
  <c r="G105" i="8"/>
  <c r="G104" i="8"/>
  <c r="G103" i="8"/>
  <c r="G102" i="8"/>
  <c r="G101" i="8"/>
  <c r="G100" i="8"/>
  <c r="G99" i="8"/>
  <c r="G98" i="8"/>
  <c r="G97" i="8"/>
  <c r="G96" i="8"/>
  <c r="G95" i="8"/>
  <c r="G94" i="8"/>
  <c r="G93" i="8"/>
  <c r="G92" i="8"/>
  <c r="G91" i="8"/>
  <c r="G90" i="8"/>
  <c r="G89" i="8"/>
  <c r="G88" i="8"/>
  <c r="G87" i="8"/>
  <c r="G86" i="8"/>
  <c r="G85" i="8"/>
  <c r="G84" i="8"/>
  <c r="G83" i="8"/>
  <c r="G82" i="8"/>
  <c r="G81" i="8"/>
  <c r="G80" i="8"/>
  <c r="G79" i="8"/>
  <c r="G78" i="8"/>
  <c r="G77" i="8"/>
  <c r="G76" i="8"/>
  <c r="G75" i="8"/>
  <c r="G74" i="8"/>
  <c r="G73" i="8"/>
  <c r="G72" i="8"/>
  <c r="G71" i="8"/>
  <c r="G70" i="8"/>
  <c r="G69" i="8"/>
  <c r="G68" i="8"/>
  <c r="G67" i="8"/>
  <c r="G66" i="8"/>
  <c r="G65" i="8"/>
  <c r="G64" i="8"/>
  <c r="G63" i="8"/>
  <c r="G62" i="8"/>
  <c r="G61" i="8"/>
  <c r="G60" i="8"/>
  <c r="G59" i="8"/>
  <c r="G58" i="8"/>
  <c r="G57" i="8"/>
  <c r="G56" i="8"/>
  <c r="G55" i="8"/>
  <c r="G54" i="8"/>
  <c r="G53" i="8"/>
  <c r="G52" i="8"/>
  <c r="G51" i="8"/>
  <c r="G50" i="8"/>
  <c r="G49" i="8"/>
  <c r="G48" i="8"/>
  <c r="G47" i="8"/>
  <c r="G46" i="8"/>
  <c r="G45" i="8"/>
  <c r="G44" i="8"/>
  <c r="G43" i="8"/>
  <c r="G42" i="8"/>
  <c r="G41" i="8"/>
  <c r="G40" i="8"/>
  <c r="G39" i="8"/>
  <c r="G38" i="8"/>
  <c r="G37" i="8"/>
  <c r="G36" i="8"/>
  <c r="G35" i="8"/>
  <c r="G34" i="8"/>
  <c r="G33" i="8"/>
  <c r="G32" i="8"/>
  <c r="G31" i="8"/>
  <c r="G30" i="8"/>
  <c r="G29" i="8"/>
  <c r="G28" i="8"/>
  <c r="G27" i="8"/>
  <c r="G26" i="8"/>
  <c r="G25" i="8"/>
  <c r="G24" i="8"/>
  <c r="G23" i="8"/>
  <c r="G22" i="8"/>
  <c r="G21" i="8"/>
  <c r="G20" i="8"/>
  <c r="G19" i="8"/>
  <c r="G18" i="8"/>
  <c r="G17" i="8"/>
  <c r="G16" i="8"/>
  <c r="G15" i="8"/>
  <c r="G14" i="8"/>
  <c r="G13" i="8"/>
  <c r="G12" i="8"/>
  <c r="G11" i="8"/>
  <c r="G10" i="8"/>
  <c r="G9" i="8"/>
  <c r="N339" i="19"/>
  <c r="N338" i="19"/>
  <c r="N337" i="19"/>
  <c r="N336" i="19"/>
  <c r="N335" i="19"/>
  <c r="N334" i="19"/>
  <c r="N333" i="19"/>
  <c r="N332" i="19"/>
  <c r="N331" i="19"/>
  <c r="N330" i="19"/>
  <c r="N329" i="19"/>
  <c r="N328" i="19"/>
  <c r="N327" i="19"/>
  <c r="N326" i="19"/>
  <c r="N325" i="19"/>
  <c r="N324" i="19"/>
  <c r="N323" i="19"/>
  <c r="N322" i="19"/>
  <c r="N321" i="19"/>
  <c r="N320" i="19"/>
  <c r="N319" i="19"/>
  <c r="N318" i="19"/>
  <c r="N317" i="19"/>
  <c r="N316" i="19"/>
  <c r="N315" i="19"/>
  <c r="N314" i="19"/>
  <c r="N313" i="19"/>
  <c r="N312" i="19"/>
  <c r="N311" i="19"/>
  <c r="N310" i="19"/>
  <c r="N309" i="19"/>
  <c r="N308" i="19"/>
  <c r="N307" i="19"/>
  <c r="N306" i="19"/>
  <c r="N305" i="19"/>
  <c r="N304" i="19"/>
  <c r="N303" i="19"/>
  <c r="N302" i="19"/>
  <c r="N301" i="19"/>
  <c r="N300" i="19"/>
  <c r="N299" i="19"/>
  <c r="N298" i="19"/>
  <c r="N297" i="19"/>
  <c r="N296" i="19"/>
  <c r="N295" i="19"/>
  <c r="N294" i="19"/>
  <c r="N293" i="19"/>
  <c r="N292" i="19"/>
  <c r="N291" i="19"/>
  <c r="N290" i="19"/>
  <c r="N289" i="19"/>
  <c r="N288" i="19"/>
  <c r="N287" i="19"/>
  <c r="N286" i="19"/>
  <c r="N285" i="19"/>
  <c r="N284" i="19"/>
  <c r="N283" i="19"/>
  <c r="N282" i="19"/>
  <c r="N281" i="19"/>
  <c r="N280" i="19"/>
  <c r="N279" i="19"/>
  <c r="N278" i="19"/>
  <c r="N277" i="19"/>
  <c r="N276" i="19"/>
  <c r="N275" i="19"/>
  <c r="N274" i="19"/>
  <c r="N273" i="19"/>
  <c r="N272" i="19"/>
  <c r="N271" i="19"/>
  <c r="N270" i="19"/>
  <c r="N269" i="19"/>
  <c r="N268" i="19"/>
  <c r="N267" i="19"/>
  <c r="N266" i="19"/>
  <c r="N265" i="19"/>
  <c r="N264" i="19"/>
  <c r="N263" i="19"/>
  <c r="N262" i="19"/>
  <c r="N261" i="19"/>
  <c r="N260" i="19"/>
  <c r="N259" i="19"/>
  <c r="N258" i="19"/>
  <c r="N257" i="19"/>
  <c r="N256" i="19"/>
  <c r="N255" i="19"/>
  <c r="N254" i="19"/>
  <c r="N253" i="19"/>
  <c r="N252" i="19"/>
  <c r="N251" i="19"/>
  <c r="N250" i="19"/>
  <c r="N249" i="19"/>
  <c r="N248" i="19"/>
  <c r="N247" i="19"/>
  <c r="N246" i="19"/>
  <c r="N245" i="19"/>
  <c r="N244" i="19"/>
  <c r="N243" i="19"/>
  <c r="N242" i="19"/>
  <c r="N241" i="19"/>
  <c r="N240" i="19"/>
  <c r="N239" i="19"/>
  <c r="N238" i="19"/>
  <c r="N237" i="19"/>
  <c r="N236" i="19"/>
  <c r="N235" i="19"/>
  <c r="N234" i="19"/>
  <c r="N233" i="19"/>
  <c r="N232" i="19"/>
  <c r="N231" i="19"/>
  <c r="N230" i="19"/>
  <c r="N229" i="19"/>
  <c r="N228" i="19"/>
  <c r="N227" i="19"/>
  <c r="N226" i="19"/>
  <c r="N225" i="19"/>
  <c r="N224" i="19"/>
  <c r="N223" i="19"/>
  <c r="N222" i="19"/>
  <c r="N221" i="19"/>
  <c r="N220" i="19"/>
  <c r="N219" i="19"/>
  <c r="N218" i="19"/>
  <c r="N217" i="19"/>
  <c r="N216" i="19"/>
  <c r="N215" i="19"/>
  <c r="N214" i="19"/>
  <c r="N213" i="19"/>
  <c r="N212" i="19"/>
  <c r="N211" i="19"/>
  <c r="N210" i="19"/>
  <c r="N209" i="19"/>
  <c r="N208" i="19"/>
  <c r="N207" i="19"/>
  <c r="N206" i="19"/>
  <c r="N205" i="19"/>
  <c r="N204" i="19"/>
  <c r="N203" i="19"/>
  <c r="N202" i="19"/>
  <c r="N201" i="19"/>
  <c r="N200" i="19"/>
  <c r="N199" i="19"/>
  <c r="N198" i="19"/>
  <c r="N197" i="19"/>
  <c r="N196" i="19"/>
  <c r="N195" i="19"/>
  <c r="N194" i="19"/>
  <c r="N193" i="19"/>
  <c r="N192" i="19"/>
  <c r="N191" i="19"/>
  <c r="N190" i="19"/>
  <c r="N189" i="19"/>
  <c r="N188" i="19"/>
  <c r="N187" i="19"/>
  <c r="N186" i="19"/>
  <c r="N185" i="19"/>
  <c r="N184" i="19"/>
  <c r="N183" i="19"/>
  <c r="N182" i="19"/>
  <c r="N181" i="19"/>
  <c r="N180" i="19"/>
  <c r="N179" i="19"/>
  <c r="N178" i="19"/>
  <c r="N177" i="19"/>
  <c r="N176" i="19"/>
  <c r="N175" i="19"/>
  <c r="N174" i="19"/>
  <c r="N173" i="19"/>
  <c r="N172" i="19"/>
  <c r="N171" i="19"/>
  <c r="N170" i="19"/>
  <c r="N169" i="19"/>
  <c r="N168" i="19"/>
  <c r="N167" i="19"/>
  <c r="N166" i="19"/>
  <c r="N165" i="19"/>
  <c r="N164" i="19"/>
  <c r="N163" i="19"/>
  <c r="N162" i="19"/>
  <c r="N161" i="19"/>
  <c r="N160" i="19"/>
  <c r="N159" i="19"/>
  <c r="N158" i="19"/>
  <c r="N157" i="19"/>
  <c r="N156" i="19"/>
  <c r="N155" i="19"/>
  <c r="N154" i="19"/>
  <c r="N153" i="19"/>
  <c r="N152" i="19"/>
  <c r="N151" i="19"/>
  <c r="N150" i="19"/>
  <c r="N149" i="19"/>
  <c r="N148" i="19"/>
  <c r="N147" i="19"/>
  <c r="N146" i="19"/>
  <c r="N145" i="19"/>
  <c r="N144" i="19"/>
  <c r="N143" i="19"/>
  <c r="N142" i="19"/>
  <c r="N141" i="19"/>
  <c r="N140" i="19"/>
  <c r="N139" i="19"/>
  <c r="N138" i="19"/>
  <c r="N137" i="19"/>
  <c r="N136" i="19"/>
  <c r="N135" i="19"/>
  <c r="N134" i="19"/>
  <c r="N133" i="19"/>
  <c r="N132" i="19"/>
  <c r="N131" i="19"/>
  <c r="N130" i="19"/>
  <c r="N129" i="19"/>
  <c r="N128" i="19"/>
  <c r="N127" i="19"/>
  <c r="N126" i="19"/>
  <c r="N125" i="19"/>
  <c r="N124" i="19"/>
  <c r="N123" i="19"/>
  <c r="N122" i="19"/>
  <c r="N121" i="19"/>
  <c r="N120" i="19"/>
  <c r="N119" i="19"/>
  <c r="N118" i="19"/>
  <c r="N117" i="19"/>
  <c r="N116" i="19"/>
  <c r="N115" i="19"/>
  <c r="N114" i="19"/>
  <c r="N113" i="19"/>
  <c r="N112" i="19"/>
  <c r="N111" i="19"/>
  <c r="N110" i="19"/>
  <c r="N109" i="19"/>
  <c r="N108" i="19"/>
  <c r="N107" i="19"/>
  <c r="N106" i="19"/>
  <c r="N105" i="19"/>
  <c r="N104" i="19"/>
  <c r="N103" i="19"/>
  <c r="N102" i="19"/>
  <c r="N101" i="19"/>
  <c r="N100" i="19"/>
  <c r="N99" i="19"/>
  <c r="N98" i="19"/>
  <c r="N97" i="19"/>
  <c r="N96" i="19"/>
  <c r="N95" i="19"/>
  <c r="N94" i="19"/>
  <c r="N93" i="19"/>
  <c r="N92" i="19"/>
  <c r="N91" i="19"/>
  <c r="N90" i="19"/>
  <c r="N89" i="19"/>
  <c r="N88" i="19"/>
  <c r="N87" i="19"/>
  <c r="N86" i="19"/>
  <c r="N85" i="19"/>
  <c r="N84" i="19"/>
  <c r="N83" i="19"/>
  <c r="N82" i="19"/>
  <c r="N81" i="19"/>
  <c r="N80" i="19"/>
  <c r="N79" i="19"/>
  <c r="N78" i="19"/>
  <c r="N77" i="19"/>
  <c r="N76" i="19"/>
  <c r="N75" i="19"/>
  <c r="N74" i="19"/>
  <c r="N73" i="19"/>
  <c r="N72" i="19"/>
  <c r="N71" i="19"/>
  <c r="N70" i="19"/>
  <c r="N69" i="19"/>
  <c r="N68" i="19"/>
  <c r="N67" i="19"/>
  <c r="N66" i="19"/>
  <c r="N65" i="19"/>
  <c r="N64" i="19"/>
  <c r="N63" i="19"/>
  <c r="N62" i="19"/>
  <c r="N61" i="19"/>
  <c r="N60" i="19"/>
  <c r="N59" i="19"/>
  <c r="N58" i="19"/>
  <c r="N57" i="19"/>
  <c r="N56" i="19"/>
  <c r="N55" i="19"/>
  <c r="N54" i="19"/>
  <c r="N53" i="19"/>
  <c r="N52" i="19"/>
  <c r="N51" i="19"/>
  <c r="N50" i="19"/>
  <c r="N49" i="19"/>
  <c r="N48" i="19"/>
  <c r="N47" i="19"/>
  <c r="N46" i="19"/>
  <c r="N45" i="19"/>
  <c r="N44" i="19"/>
  <c r="N43" i="19"/>
  <c r="N42" i="19"/>
  <c r="N41" i="19"/>
  <c r="N40" i="19"/>
  <c r="N39" i="19"/>
  <c r="N38" i="19"/>
  <c r="N37" i="19"/>
  <c r="N36" i="19"/>
  <c r="N35" i="19"/>
  <c r="N34" i="19"/>
  <c r="N33" i="19"/>
  <c r="N32" i="19"/>
  <c r="N31" i="19"/>
  <c r="N30" i="19"/>
  <c r="N29" i="19"/>
  <c r="N28" i="19"/>
  <c r="N27" i="19"/>
  <c r="N26" i="19"/>
  <c r="N25" i="19"/>
  <c r="N24" i="19"/>
  <c r="N23" i="19"/>
  <c r="N22" i="19"/>
  <c r="N21" i="19"/>
  <c r="N20" i="19"/>
  <c r="N19" i="19"/>
  <c r="N18" i="19"/>
  <c r="N17" i="19"/>
  <c r="N16" i="19"/>
  <c r="N15" i="19"/>
  <c r="N14" i="19"/>
  <c r="N13" i="19"/>
  <c r="N12" i="19"/>
  <c r="N11" i="19"/>
  <c r="N10" i="19"/>
  <c r="N9" i="19"/>
  <c r="N8" i="19"/>
  <c r="H339" i="19"/>
  <c r="H338" i="19"/>
  <c r="H337" i="19"/>
  <c r="H336" i="19"/>
  <c r="H335" i="19"/>
  <c r="H334" i="19"/>
  <c r="H333" i="19"/>
  <c r="H332" i="19"/>
  <c r="H331" i="19"/>
  <c r="H330" i="19"/>
  <c r="H329" i="19"/>
  <c r="H328" i="19"/>
  <c r="H327" i="19"/>
  <c r="H326" i="19"/>
  <c r="H325" i="19"/>
  <c r="H324" i="19"/>
  <c r="H323" i="19"/>
  <c r="H322" i="19"/>
  <c r="H321" i="19"/>
  <c r="H320" i="19"/>
  <c r="H319" i="19"/>
  <c r="H318" i="19"/>
  <c r="H317" i="19"/>
  <c r="H316" i="19"/>
  <c r="H315" i="19"/>
  <c r="H314" i="19"/>
  <c r="H313" i="19"/>
  <c r="H312" i="19"/>
  <c r="H311" i="19"/>
  <c r="H310" i="19"/>
  <c r="H309" i="19"/>
  <c r="H308" i="19"/>
  <c r="H307" i="19"/>
  <c r="H306" i="19"/>
  <c r="H305" i="19"/>
  <c r="H304" i="19"/>
  <c r="H303" i="19"/>
  <c r="H302" i="19"/>
  <c r="H301" i="19"/>
  <c r="H300" i="19"/>
  <c r="H299" i="19"/>
  <c r="H298" i="19"/>
  <c r="H297" i="19"/>
  <c r="H296" i="19"/>
  <c r="H295" i="19"/>
  <c r="H294" i="19"/>
  <c r="H293" i="19"/>
  <c r="H292" i="19"/>
  <c r="H291" i="19"/>
  <c r="H290" i="19"/>
  <c r="H289" i="19"/>
  <c r="H288" i="19"/>
  <c r="H287" i="19"/>
  <c r="H286" i="19"/>
  <c r="H285" i="19"/>
  <c r="H284" i="19"/>
  <c r="H283" i="19"/>
  <c r="H282" i="19"/>
  <c r="H281" i="19"/>
  <c r="H280" i="19"/>
  <c r="H279" i="19"/>
  <c r="H278" i="19"/>
  <c r="H277" i="19"/>
  <c r="H276" i="19"/>
  <c r="H275" i="19"/>
  <c r="H274" i="19"/>
  <c r="H273" i="19"/>
  <c r="H272" i="19"/>
  <c r="H271" i="19"/>
  <c r="H270" i="19"/>
  <c r="H269" i="19"/>
  <c r="H268" i="19"/>
  <c r="H267" i="19"/>
  <c r="H266" i="19"/>
  <c r="H265" i="19"/>
  <c r="H264" i="19"/>
  <c r="H263" i="19"/>
  <c r="H262" i="19"/>
  <c r="H261" i="19"/>
  <c r="H260" i="19"/>
  <c r="H259" i="19"/>
  <c r="H258" i="19"/>
  <c r="H257" i="19"/>
  <c r="H256" i="19"/>
  <c r="H255" i="19"/>
  <c r="H254" i="19"/>
  <c r="H253" i="19"/>
  <c r="H252" i="19"/>
  <c r="H251" i="19"/>
  <c r="H250" i="19"/>
  <c r="H249" i="19"/>
  <c r="H248" i="19"/>
  <c r="H247" i="19"/>
  <c r="H246" i="19"/>
  <c r="H245" i="19"/>
  <c r="H244" i="19"/>
  <c r="H243" i="19"/>
  <c r="H242" i="19"/>
  <c r="H241" i="19"/>
  <c r="H240" i="19"/>
  <c r="H239" i="19"/>
  <c r="H238" i="19"/>
  <c r="H237" i="19"/>
  <c r="H236" i="19"/>
  <c r="H235" i="19"/>
  <c r="H234" i="19"/>
  <c r="H233" i="19"/>
  <c r="H232" i="19"/>
  <c r="H231" i="19"/>
  <c r="H230" i="19"/>
  <c r="H229" i="19"/>
  <c r="H228" i="19"/>
  <c r="H227" i="19"/>
  <c r="H226" i="19"/>
  <c r="H225" i="19"/>
  <c r="H224" i="19"/>
  <c r="H223" i="19"/>
  <c r="H222" i="19"/>
  <c r="H221" i="19"/>
  <c r="H220" i="19"/>
  <c r="H219" i="19"/>
  <c r="H218" i="19"/>
  <c r="H217" i="19"/>
  <c r="H216" i="19"/>
  <c r="H215" i="19"/>
  <c r="H214" i="19"/>
  <c r="H213" i="19"/>
  <c r="H212" i="19"/>
  <c r="H211" i="19"/>
  <c r="H210" i="19"/>
  <c r="H209" i="19"/>
  <c r="H208" i="19"/>
  <c r="H207" i="19"/>
  <c r="H206" i="19"/>
  <c r="H205" i="19"/>
  <c r="H204" i="19"/>
  <c r="H203" i="19"/>
  <c r="H202" i="19"/>
  <c r="H201" i="19"/>
  <c r="H200" i="19"/>
  <c r="H199" i="19"/>
  <c r="H198" i="19"/>
  <c r="H197" i="19"/>
  <c r="H196" i="19"/>
  <c r="H195" i="19"/>
  <c r="H194" i="19"/>
  <c r="H193" i="19"/>
  <c r="H192" i="19"/>
  <c r="H191" i="19"/>
  <c r="H190" i="19"/>
  <c r="H189" i="19"/>
  <c r="H188" i="19"/>
  <c r="H187" i="19"/>
  <c r="H186" i="19"/>
  <c r="H185" i="19"/>
  <c r="H184" i="19"/>
  <c r="H183" i="19"/>
  <c r="H182" i="19"/>
  <c r="H181" i="19"/>
  <c r="H180" i="19"/>
  <c r="H179" i="19"/>
  <c r="H178" i="19"/>
  <c r="H177" i="19"/>
  <c r="H176" i="19"/>
  <c r="H175" i="19"/>
  <c r="H174" i="19"/>
  <c r="H173" i="19"/>
  <c r="H172" i="19"/>
  <c r="H171" i="19"/>
  <c r="H170" i="19"/>
  <c r="H169" i="19"/>
  <c r="H168" i="19"/>
  <c r="H167" i="19"/>
  <c r="H166" i="19"/>
  <c r="H165" i="19"/>
  <c r="H164" i="19"/>
  <c r="H163" i="19"/>
  <c r="H162" i="19"/>
  <c r="H161" i="19"/>
  <c r="H160" i="19"/>
  <c r="H159" i="19"/>
  <c r="H158" i="19"/>
  <c r="H157" i="19"/>
  <c r="H156" i="19"/>
  <c r="H155" i="19"/>
  <c r="H154" i="19"/>
  <c r="H153" i="19"/>
  <c r="H152" i="19"/>
  <c r="H151" i="19"/>
  <c r="H150" i="19"/>
  <c r="H149" i="19"/>
  <c r="H148" i="19"/>
  <c r="H147" i="19"/>
  <c r="H146" i="19"/>
  <c r="H145" i="19"/>
  <c r="H144" i="19"/>
  <c r="H143" i="19"/>
  <c r="H142" i="19"/>
  <c r="H141" i="19"/>
  <c r="H140" i="19"/>
  <c r="H139" i="19"/>
  <c r="H138" i="19"/>
  <c r="H137" i="19"/>
  <c r="H136" i="19"/>
  <c r="H135" i="19"/>
  <c r="H134" i="19"/>
  <c r="H133" i="19"/>
  <c r="H132" i="19"/>
  <c r="H131" i="19"/>
  <c r="H130" i="19"/>
  <c r="H129" i="19"/>
  <c r="H128" i="19"/>
  <c r="J340" i="11"/>
  <c r="J339" i="11"/>
  <c r="J338" i="11"/>
  <c r="H337" i="1" s="1"/>
  <c r="AB337" i="1" s="1"/>
  <c r="M335" i="2" s="1"/>
  <c r="J337" i="11"/>
  <c r="H336" i="1" s="1"/>
  <c r="AB336" i="1" s="1"/>
  <c r="M334" i="2" s="1"/>
  <c r="J336" i="11"/>
  <c r="J335" i="11"/>
  <c r="H334" i="1" s="1"/>
  <c r="AB334" i="1" s="1"/>
  <c r="M332" i="2" s="1"/>
  <c r="G336" i="5" s="1"/>
  <c r="J334" i="11"/>
  <c r="R334" i="11" s="1"/>
  <c r="J333" i="11"/>
  <c r="J332" i="11"/>
  <c r="J331" i="11"/>
  <c r="R331" i="11" s="1"/>
  <c r="J330" i="11"/>
  <c r="H329" i="1" s="1"/>
  <c r="AB329" i="1" s="1"/>
  <c r="M327" i="2" s="1"/>
  <c r="G331" i="5" s="1"/>
  <c r="J329" i="11"/>
  <c r="H328" i="1" s="1"/>
  <c r="AB328" i="1" s="1"/>
  <c r="M326" i="2" s="1"/>
  <c r="G330" i="5" s="1"/>
  <c r="J328" i="11"/>
  <c r="J327" i="11"/>
  <c r="J326" i="11"/>
  <c r="H325" i="1" s="1"/>
  <c r="AB325" i="1" s="1"/>
  <c r="M323" i="2" s="1"/>
  <c r="G327" i="5" s="1"/>
  <c r="J325" i="11"/>
  <c r="R325" i="11" s="1"/>
  <c r="J324" i="11"/>
  <c r="J323" i="11"/>
  <c r="J322" i="11"/>
  <c r="R322" i="11" s="1"/>
  <c r="J321" i="11"/>
  <c r="R321" i="11" s="1"/>
  <c r="J320" i="11"/>
  <c r="J319" i="11"/>
  <c r="R319" i="11" s="1"/>
  <c r="J318" i="11"/>
  <c r="H317" i="1" s="1"/>
  <c r="AB317" i="1" s="1"/>
  <c r="M315" i="2" s="1"/>
  <c r="J317" i="11"/>
  <c r="R317" i="11" s="1"/>
  <c r="J316" i="11"/>
  <c r="J315" i="11"/>
  <c r="J314" i="11"/>
  <c r="H313" i="1" s="1"/>
  <c r="AB313" i="1" s="1"/>
  <c r="M311" i="2" s="1"/>
  <c r="J313" i="11"/>
  <c r="R313" i="11" s="1"/>
  <c r="J312" i="11"/>
  <c r="J311" i="11"/>
  <c r="J310" i="11"/>
  <c r="H309" i="1" s="1"/>
  <c r="AB309" i="1" s="1"/>
  <c r="M307" i="2" s="1"/>
  <c r="J309" i="11"/>
  <c r="R309" i="11" s="1"/>
  <c r="J308" i="11"/>
  <c r="J307" i="11"/>
  <c r="J306" i="11"/>
  <c r="J305" i="11"/>
  <c r="H304" i="1" s="1"/>
  <c r="AB304" i="1" s="1"/>
  <c r="M302" i="2" s="1"/>
  <c r="G306" i="5" s="1"/>
  <c r="J304" i="11"/>
  <c r="J303" i="11"/>
  <c r="R303" i="11" s="1"/>
  <c r="J302" i="11"/>
  <c r="H301" i="1" s="1"/>
  <c r="AB301" i="1" s="1"/>
  <c r="M299" i="2" s="1"/>
  <c r="J301" i="11"/>
  <c r="R301" i="11" s="1"/>
  <c r="J300" i="11"/>
  <c r="J299" i="11"/>
  <c r="J298" i="11"/>
  <c r="H297" i="1" s="1"/>
  <c r="AB297" i="1" s="1"/>
  <c r="M295" i="2" s="1"/>
  <c r="G299" i="5" s="1"/>
  <c r="J297" i="11"/>
  <c r="H296" i="1" s="1"/>
  <c r="AB296" i="1" s="1"/>
  <c r="M294" i="2" s="1"/>
  <c r="J296" i="11"/>
  <c r="J295" i="11"/>
  <c r="J294" i="11"/>
  <c r="H293" i="1" s="1"/>
  <c r="AB293" i="1" s="1"/>
  <c r="M291" i="2" s="1"/>
  <c r="G295" i="5" s="1"/>
  <c r="J293" i="11"/>
  <c r="R293" i="11" s="1"/>
  <c r="J292" i="11"/>
  <c r="J291" i="11"/>
  <c r="J290" i="11"/>
  <c r="R290" i="11" s="1"/>
  <c r="J289" i="11"/>
  <c r="H288" i="1" s="1"/>
  <c r="AB288" i="1" s="1"/>
  <c r="M286" i="2" s="1"/>
  <c r="J288" i="11"/>
  <c r="J287" i="11"/>
  <c r="J286" i="11"/>
  <c r="H285" i="1" s="1"/>
  <c r="AB285" i="1" s="1"/>
  <c r="M283" i="2" s="1"/>
  <c r="G287" i="5" s="1"/>
  <c r="J285" i="11"/>
  <c r="R285" i="11" s="1"/>
  <c r="J284" i="11"/>
  <c r="J283" i="11"/>
  <c r="J282" i="11"/>
  <c r="H281" i="1" s="1"/>
  <c r="AB281" i="1" s="1"/>
  <c r="M279" i="2" s="1"/>
  <c r="J281" i="11"/>
  <c r="R281" i="11" s="1"/>
  <c r="J280" i="11"/>
  <c r="J279" i="11"/>
  <c r="J278" i="11"/>
  <c r="H277" i="1" s="1"/>
  <c r="AB277" i="1" s="1"/>
  <c r="M275" i="2" s="1"/>
  <c r="G279" i="5" s="1"/>
  <c r="J277" i="11"/>
  <c r="R277" i="11" s="1"/>
  <c r="J276" i="11"/>
  <c r="J275" i="11"/>
  <c r="J274" i="11"/>
  <c r="J273" i="11"/>
  <c r="H272" i="1" s="1"/>
  <c r="AB272" i="1" s="1"/>
  <c r="M270" i="2" s="1"/>
  <c r="G274" i="5" s="1"/>
  <c r="J272" i="11"/>
  <c r="J271" i="11"/>
  <c r="J270" i="11"/>
  <c r="H269" i="1" s="1"/>
  <c r="AB269" i="1" s="1"/>
  <c r="M267" i="2" s="1"/>
  <c r="G271" i="5" s="1"/>
  <c r="J269" i="11"/>
  <c r="R269" i="11" s="1"/>
  <c r="J268" i="11"/>
  <c r="J267" i="11"/>
  <c r="H266" i="1" s="1"/>
  <c r="AB266" i="1" s="1"/>
  <c r="M264" i="2" s="1"/>
  <c r="J266" i="11"/>
  <c r="R266" i="11" s="1"/>
  <c r="J265" i="11"/>
  <c r="H264" i="1" s="1"/>
  <c r="AB264" i="1" s="1"/>
  <c r="M262" i="2" s="1"/>
  <c r="J264" i="11"/>
  <c r="J263" i="11"/>
  <c r="R263" i="11" s="1"/>
  <c r="J262" i="11"/>
  <c r="J261" i="11"/>
  <c r="R261" i="11" s="1"/>
  <c r="J260" i="11"/>
  <c r="J259" i="11"/>
  <c r="J258" i="11"/>
  <c r="R258" i="11" s="1"/>
  <c r="J257" i="11"/>
  <c r="H256" i="1" s="1"/>
  <c r="AB256" i="1" s="1"/>
  <c r="M254" i="2" s="1"/>
  <c r="J256" i="11"/>
  <c r="J255" i="11"/>
  <c r="J254" i="11"/>
  <c r="H253" i="1" s="1"/>
  <c r="AB253" i="1" s="1"/>
  <c r="M251" i="2" s="1"/>
  <c r="G255" i="5" s="1"/>
  <c r="J253" i="11"/>
  <c r="R253" i="11" s="1"/>
  <c r="J252" i="11"/>
  <c r="J251" i="11"/>
  <c r="J250" i="11"/>
  <c r="J249" i="11"/>
  <c r="H248" i="1" s="1"/>
  <c r="AB248" i="1" s="1"/>
  <c r="M246" i="2" s="1"/>
  <c r="J248" i="11"/>
  <c r="J247" i="11"/>
  <c r="J246" i="11"/>
  <c r="R246" i="11" s="1"/>
  <c r="J245" i="11"/>
  <c r="R245" i="11" s="1"/>
  <c r="J244" i="11"/>
  <c r="J243" i="11"/>
  <c r="R243" i="11" s="1"/>
  <c r="J242" i="11"/>
  <c r="J241" i="11"/>
  <c r="H240" i="1" s="1"/>
  <c r="AB240" i="1" s="1"/>
  <c r="M238" i="2" s="1"/>
  <c r="G242" i="5" s="1"/>
  <c r="J240" i="11"/>
  <c r="J239" i="11"/>
  <c r="J238" i="11"/>
  <c r="R238" i="11" s="1"/>
  <c r="J237" i="11"/>
  <c r="R237" i="11" s="1"/>
  <c r="J236" i="11"/>
  <c r="J235" i="11"/>
  <c r="J234" i="11"/>
  <c r="H233" i="1" s="1"/>
  <c r="AB233" i="1" s="1"/>
  <c r="M231" i="2" s="1"/>
  <c r="G235" i="5" s="1"/>
  <c r="J233" i="11"/>
  <c r="H232" i="1" s="1"/>
  <c r="AB232" i="1" s="1"/>
  <c r="M230" i="2" s="1"/>
  <c r="G234" i="5" s="1"/>
  <c r="J232" i="11"/>
  <c r="J231" i="11"/>
  <c r="J230" i="11"/>
  <c r="H229" i="1" s="1"/>
  <c r="AB229" i="1" s="1"/>
  <c r="M227" i="2" s="1"/>
  <c r="G231" i="5" s="1"/>
  <c r="J229" i="11"/>
  <c r="J228" i="11"/>
  <c r="J227" i="11"/>
  <c r="R227" i="11" s="1"/>
  <c r="J226" i="11"/>
  <c r="H225" i="1" s="1"/>
  <c r="AB225" i="1" s="1"/>
  <c r="M223" i="2" s="1"/>
  <c r="J225" i="11"/>
  <c r="R225" i="11" s="1"/>
  <c r="J224" i="11"/>
  <c r="J223" i="11"/>
  <c r="J222" i="11"/>
  <c r="J221" i="11"/>
  <c r="R221" i="11" s="1"/>
  <c r="J220" i="11"/>
  <c r="J219" i="11"/>
  <c r="J218" i="11"/>
  <c r="J217" i="11"/>
  <c r="H216" i="1" s="1"/>
  <c r="AB216" i="1" s="1"/>
  <c r="M214" i="2" s="1"/>
  <c r="G218" i="5" s="1"/>
  <c r="J216" i="11"/>
  <c r="J215" i="11"/>
  <c r="J214" i="11"/>
  <c r="H213" i="1" s="1"/>
  <c r="AB213" i="1" s="1"/>
  <c r="M211" i="2" s="1"/>
  <c r="J213" i="11"/>
  <c r="J212" i="11"/>
  <c r="J211" i="11"/>
  <c r="J210" i="11"/>
  <c r="H209" i="1" s="1"/>
  <c r="AB209" i="1" s="1"/>
  <c r="M207" i="2" s="1"/>
  <c r="G211" i="5" s="1"/>
  <c r="J209" i="11"/>
  <c r="H208" i="1" s="1"/>
  <c r="AB208" i="1" s="1"/>
  <c r="M206" i="2" s="1"/>
  <c r="J208" i="11"/>
  <c r="J207" i="11"/>
  <c r="J206" i="11"/>
  <c r="R206" i="11" s="1"/>
  <c r="J205" i="11"/>
  <c r="R205" i="11" s="1"/>
  <c r="J204" i="11"/>
  <c r="J203" i="11"/>
  <c r="J202" i="11"/>
  <c r="R202" i="11" s="1"/>
  <c r="J201" i="11"/>
  <c r="H200" i="1" s="1"/>
  <c r="AB200" i="1" s="1"/>
  <c r="M198" i="2" s="1"/>
  <c r="G202" i="5" s="1"/>
  <c r="J200" i="11"/>
  <c r="J199" i="11"/>
  <c r="J198" i="11"/>
  <c r="H197" i="1" s="1"/>
  <c r="AB197" i="1" s="1"/>
  <c r="M195" i="2" s="1"/>
  <c r="J197" i="11"/>
  <c r="R197" i="11" s="1"/>
  <c r="J196" i="11"/>
  <c r="J195" i="11"/>
  <c r="R195" i="11" s="1"/>
  <c r="J194" i="11"/>
  <c r="H193" i="1" s="1"/>
  <c r="AB193" i="1" s="1"/>
  <c r="M191" i="2" s="1"/>
  <c r="J193" i="11"/>
  <c r="R193" i="11" s="1"/>
  <c r="J192" i="11"/>
  <c r="J191" i="11"/>
  <c r="J190" i="11"/>
  <c r="H189" i="1" s="1"/>
  <c r="AB189" i="1" s="1"/>
  <c r="M187" i="2" s="1"/>
  <c r="G191" i="5" s="1"/>
  <c r="J189" i="11"/>
  <c r="R189" i="11" s="1"/>
  <c r="J188" i="11"/>
  <c r="J187" i="11"/>
  <c r="J186" i="11"/>
  <c r="H185" i="1" s="1"/>
  <c r="AB185" i="1" s="1"/>
  <c r="M183" i="2" s="1"/>
  <c r="J185" i="11"/>
  <c r="R185" i="11" s="1"/>
  <c r="J184" i="11"/>
  <c r="J183" i="11"/>
  <c r="J182" i="11"/>
  <c r="H181" i="1" s="1"/>
  <c r="AB181" i="1" s="1"/>
  <c r="M179" i="2" s="1"/>
  <c r="J181" i="11"/>
  <c r="R181" i="11" s="1"/>
  <c r="J180" i="11"/>
  <c r="J179" i="11"/>
  <c r="R179" i="11" s="1"/>
  <c r="J178" i="11"/>
  <c r="J177" i="11"/>
  <c r="R177" i="11" s="1"/>
  <c r="J176" i="11"/>
  <c r="J175" i="11"/>
  <c r="J174" i="11"/>
  <c r="H173" i="1" s="1"/>
  <c r="AB173" i="1" s="1"/>
  <c r="M171" i="2" s="1"/>
  <c r="J173" i="11"/>
  <c r="R173" i="11" s="1"/>
  <c r="J172" i="11"/>
  <c r="J171" i="11"/>
  <c r="J170" i="11"/>
  <c r="R170" i="11" s="1"/>
  <c r="J169" i="11"/>
  <c r="H168" i="1" s="1"/>
  <c r="AB168" i="1" s="1"/>
  <c r="M166" i="2" s="1"/>
  <c r="J168" i="11"/>
  <c r="J167" i="11"/>
  <c r="J166" i="11"/>
  <c r="J165" i="11"/>
  <c r="R165" i="11" s="1"/>
  <c r="J164" i="11"/>
  <c r="J163" i="11"/>
  <c r="J162" i="11"/>
  <c r="H161" i="1" s="1"/>
  <c r="AB161" i="1" s="1"/>
  <c r="M159" i="2" s="1"/>
  <c r="J161" i="11"/>
  <c r="H160" i="1" s="1"/>
  <c r="AB160" i="1" s="1"/>
  <c r="M158" i="2" s="1"/>
  <c r="J160" i="11"/>
  <c r="J159" i="11"/>
  <c r="J158" i="11"/>
  <c r="H157" i="1" s="1"/>
  <c r="AB157" i="1" s="1"/>
  <c r="M155" i="2" s="1"/>
  <c r="G159" i="5" s="1"/>
  <c r="J157" i="11"/>
  <c r="J156" i="11"/>
  <c r="J155" i="11"/>
  <c r="J154" i="11"/>
  <c r="H153" i="1" s="1"/>
  <c r="AB153" i="1" s="1"/>
  <c r="M151" i="2" s="1"/>
  <c r="J153" i="11"/>
  <c r="H152" i="1" s="1"/>
  <c r="AB152" i="1" s="1"/>
  <c r="M150" i="2" s="1"/>
  <c r="J152" i="11"/>
  <c r="J151" i="11"/>
  <c r="J150" i="11"/>
  <c r="R150" i="11" s="1"/>
  <c r="J149" i="11"/>
  <c r="J148" i="11"/>
  <c r="J147" i="11"/>
  <c r="J146" i="11"/>
  <c r="J145" i="11"/>
  <c r="H144" i="1" s="1"/>
  <c r="AB144" i="1" s="1"/>
  <c r="M142" i="2" s="1"/>
  <c r="G146" i="5" s="1"/>
  <c r="J144" i="11"/>
  <c r="J143" i="11"/>
  <c r="J142" i="11"/>
  <c r="H141" i="1" s="1"/>
  <c r="AB141" i="1" s="1"/>
  <c r="M139" i="2" s="1"/>
  <c r="J141" i="11"/>
  <c r="R141" i="11" s="1"/>
  <c r="J140" i="11"/>
  <c r="J139" i="11"/>
  <c r="J138" i="11"/>
  <c r="R138" i="11" s="1"/>
  <c r="J137" i="11"/>
  <c r="H136" i="1" s="1"/>
  <c r="AB136" i="1" s="1"/>
  <c r="M134" i="2" s="1"/>
  <c r="J136" i="11"/>
  <c r="J135" i="11"/>
  <c r="J134" i="11"/>
  <c r="J133" i="11"/>
  <c r="R133" i="11" s="1"/>
  <c r="J132" i="11"/>
  <c r="J131" i="11"/>
  <c r="J130" i="11"/>
  <c r="R130" i="11" s="1"/>
  <c r="J129" i="11"/>
  <c r="H128" i="1" s="1"/>
  <c r="AB128" i="1" s="1"/>
  <c r="M126" i="2" s="1"/>
  <c r="J128" i="11"/>
  <c r="J127" i="11"/>
  <c r="J126" i="11"/>
  <c r="H125" i="1" s="1"/>
  <c r="AB125" i="1" s="1"/>
  <c r="M123" i="2" s="1"/>
  <c r="J125" i="11"/>
  <c r="R125" i="11" s="1"/>
  <c r="J124" i="11"/>
  <c r="J123" i="11"/>
  <c r="J122" i="11"/>
  <c r="H121" i="1" s="1"/>
  <c r="AB121" i="1" s="1"/>
  <c r="M119" i="2" s="1"/>
  <c r="G123" i="5" s="1"/>
  <c r="J121" i="11"/>
  <c r="R121" i="11" s="1"/>
  <c r="J120" i="11"/>
  <c r="J119" i="11"/>
  <c r="J118" i="11"/>
  <c r="H117" i="1" s="1"/>
  <c r="AB117" i="1" s="1"/>
  <c r="M115" i="2" s="1"/>
  <c r="G119" i="5" s="1"/>
  <c r="J117" i="11"/>
  <c r="R117" i="11" s="1"/>
  <c r="J116" i="11"/>
  <c r="J115" i="11"/>
  <c r="H114" i="1" s="1"/>
  <c r="AB114" i="1" s="1"/>
  <c r="M112" i="2" s="1"/>
  <c r="G116" i="5" s="1"/>
  <c r="J114" i="11"/>
  <c r="H113" i="1" s="1"/>
  <c r="AB113" i="1" s="1"/>
  <c r="M111" i="2" s="1"/>
  <c r="J113" i="11"/>
  <c r="R113" i="11" s="1"/>
  <c r="J112" i="11"/>
  <c r="J111" i="11"/>
  <c r="J110" i="11"/>
  <c r="R110" i="11" s="1"/>
  <c r="J109" i="11"/>
  <c r="R109" i="11" s="1"/>
  <c r="J108" i="11"/>
  <c r="J107" i="11"/>
  <c r="J106" i="11"/>
  <c r="H105" i="1" s="1"/>
  <c r="AB105" i="1" s="1"/>
  <c r="M103" i="2" s="1"/>
  <c r="J105" i="11"/>
  <c r="H104" i="1" s="1"/>
  <c r="AB104" i="1" s="1"/>
  <c r="M102" i="2" s="1"/>
  <c r="J104" i="11"/>
  <c r="J103" i="11"/>
  <c r="J102" i="11"/>
  <c r="H101" i="1" s="1"/>
  <c r="AB101" i="1" s="1"/>
  <c r="M99" i="2" s="1"/>
  <c r="J101" i="11"/>
  <c r="R101" i="11" s="1"/>
  <c r="J100" i="11"/>
  <c r="J99" i="11"/>
  <c r="R99" i="11" s="1"/>
  <c r="J98" i="11"/>
  <c r="H97" i="1" s="1"/>
  <c r="AB97" i="1" s="1"/>
  <c r="M95" i="2" s="1"/>
  <c r="J97" i="11"/>
  <c r="R97" i="11" s="1"/>
  <c r="J96" i="11"/>
  <c r="J95" i="11"/>
  <c r="J94" i="11"/>
  <c r="H93" i="1" s="1"/>
  <c r="AB93" i="1" s="1"/>
  <c r="M91" i="2" s="1"/>
  <c r="G95" i="5" s="1"/>
  <c r="J93" i="11"/>
  <c r="R93" i="11" s="1"/>
  <c r="J92" i="11"/>
  <c r="J91" i="11"/>
  <c r="R91" i="11" s="1"/>
  <c r="J90" i="11"/>
  <c r="H89" i="1" s="1"/>
  <c r="AB89" i="1" s="1"/>
  <c r="M87" i="2" s="1"/>
  <c r="G91" i="5" s="1"/>
  <c r="J89" i="11"/>
  <c r="R89" i="11" s="1"/>
  <c r="J88" i="11"/>
  <c r="J87" i="11"/>
  <c r="J86" i="11"/>
  <c r="H85" i="1" s="1"/>
  <c r="AB85" i="1" s="1"/>
  <c r="M83" i="2" s="1"/>
  <c r="J85" i="11"/>
  <c r="J84" i="11"/>
  <c r="J83" i="11"/>
  <c r="R83" i="11" s="1"/>
  <c r="J82" i="11"/>
  <c r="J81" i="11"/>
  <c r="H80" i="1" s="1"/>
  <c r="AB80" i="1" s="1"/>
  <c r="M78" i="2" s="1"/>
  <c r="G82" i="5" s="1"/>
  <c r="J80" i="11"/>
  <c r="J79" i="11"/>
  <c r="J78" i="11"/>
  <c r="R78" i="11" s="1"/>
  <c r="J77" i="11"/>
  <c r="R77" i="11" s="1"/>
  <c r="J76" i="11"/>
  <c r="J75" i="11"/>
  <c r="J74" i="11"/>
  <c r="H73" i="1" s="1"/>
  <c r="AB73" i="1" s="1"/>
  <c r="M71" i="2" s="1"/>
  <c r="G75" i="5" s="1"/>
  <c r="J73" i="11"/>
  <c r="H72" i="1" s="1"/>
  <c r="AB72" i="1" s="1"/>
  <c r="M70" i="2" s="1"/>
  <c r="J72" i="11"/>
  <c r="J71" i="11"/>
  <c r="J70" i="11"/>
  <c r="J69" i="11"/>
  <c r="J68" i="11"/>
  <c r="J67" i="11"/>
  <c r="R67" i="11" s="1"/>
  <c r="J66" i="11"/>
  <c r="R66" i="11" s="1"/>
  <c r="J65" i="11"/>
  <c r="R65" i="11" s="1"/>
  <c r="J64" i="11"/>
  <c r="J63" i="11"/>
  <c r="J62" i="11"/>
  <c r="H61" i="1" s="1"/>
  <c r="AB61" i="1" s="1"/>
  <c r="M59" i="2" s="1"/>
  <c r="J61" i="11"/>
  <c r="J60" i="11"/>
  <c r="J59" i="11"/>
  <c r="J58" i="11"/>
  <c r="J57" i="11"/>
  <c r="R57" i="11" s="1"/>
  <c r="J56" i="11"/>
  <c r="J55" i="11"/>
  <c r="J54" i="11"/>
  <c r="R54" i="11" s="1"/>
  <c r="J53" i="11"/>
  <c r="R53" i="11" s="1"/>
  <c r="J52" i="11"/>
  <c r="J51" i="11"/>
  <c r="J50" i="11"/>
  <c r="H49" i="1" s="1"/>
  <c r="AB49" i="1" s="1"/>
  <c r="M47" i="2" s="1"/>
  <c r="J49" i="11"/>
  <c r="H48" i="1" s="1"/>
  <c r="AB48" i="1" s="1"/>
  <c r="M46" i="2" s="1"/>
  <c r="J48" i="11"/>
  <c r="J47" i="11"/>
  <c r="H46" i="1" s="1"/>
  <c r="AB46" i="1" s="1"/>
  <c r="M44" i="2" s="1"/>
  <c r="G48" i="5" s="1"/>
  <c r="J46" i="11"/>
  <c r="R46" i="11" s="1"/>
  <c r="J45" i="11"/>
  <c r="J44" i="11"/>
  <c r="J43" i="11"/>
  <c r="J42" i="11"/>
  <c r="R42" i="11" s="1"/>
  <c r="J41" i="11"/>
  <c r="H40" i="1" s="1"/>
  <c r="AB40" i="1" s="1"/>
  <c r="M38" i="2" s="1"/>
  <c r="G42" i="5" s="1"/>
  <c r="J40" i="11"/>
  <c r="J39" i="11"/>
  <c r="J38" i="11"/>
  <c r="H37" i="1" s="1"/>
  <c r="AB37" i="1" s="1"/>
  <c r="M35" i="2" s="1"/>
  <c r="J37" i="11"/>
  <c r="R37" i="11" s="1"/>
  <c r="J36" i="11"/>
  <c r="J35" i="11"/>
  <c r="J34" i="11"/>
  <c r="R34" i="11" s="1"/>
  <c r="J33" i="11"/>
  <c r="R33" i="11" s="1"/>
  <c r="J32" i="11"/>
  <c r="J31" i="11"/>
  <c r="J30" i="11"/>
  <c r="H29" i="1" s="1"/>
  <c r="AB29" i="1" s="1"/>
  <c r="M27" i="2" s="1"/>
  <c r="G31" i="5" s="1"/>
  <c r="J29" i="11"/>
  <c r="J28" i="11"/>
  <c r="J27" i="11"/>
  <c r="J26" i="11"/>
  <c r="H25" i="1" s="1"/>
  <c r="AB25" i="1" s="1"/>
  <c r="M23" i="2" s="1"/>
  <c r="J25" i="11"/>
  <c r="R25" i="11" s="1"/>
  <c r="J24" i="11"/>
  <c r="J23" i="11"/>
  <c r="J22" i="11"/>
  <c r="H21" i="1" s="1"/>
  <c r="AB21" i="1" s="1"/>
  <c r="M19" i="2" s="1"/>
  <c r="G23" i="5" s="1"/>
  <c r="J21" i="11"/>
  <c r="J20" i="11"/>
  <c r="J19" i="11"/>
  <c r="J18" i="11"/>
  <c r="H17" i="1" s="1"/>
  <c r="AB17" i="1" s="1"/>
  <c r="M15" i="2" s="1"/>
  <c r="G19" i="5" s="1"/>
  <c r="J17" i="11"/>
  <c r="H16" i="1" s="1"/>
  <c r="AB16" i="1" s="1"/>
  <c r="M14" i="2" s="1"/>
  <c r="J16" i="11"/>
  <c r="J15" i="11"/>
  <c r="J14" i="11"/>
  <c r="R14" i="11" s="1"/>
  <c r="J13" i="11"/>
  <c r="R13" i="11" s="1"/>
  <c r="J12" i="11"/>
  <c r="J11" i="11"/>
  <c r="J10" i="11"/>
  <c r="R10" i="11" s="1"/>
  <c r="J9" i="11"/>
  <c r="R9" i="11" s="1"/>
  <c r="N340" i="11"/>
  <c r="M340" i="11"/>
  <c r="L340" i="11"/>
  <c r="K340" i="11"/>
  <c r="I340" i="11"/>
  <c r="H340" i="11"/>
  <c r="G340" i="11"/>
  <c r="F340" i="11"/>
  <c r="N339" i="11"/>
  <c r="M339" i="11"/>
  <c r="L339" i="11"/>
  <c r="K339" i="11"/>
  <c r="I339" i="11"/>
  <c r="G338" i="1" s="1"/>
  <c r="H339" i="11"/>
  <c r="G339" i="11"/>
  <c r="E338" i="1" s="1"/>
  <c r="F339" i="11"/>
  <c r="N338" i="11"/>
  <c r="M338" i="11"/>
  <c r="L338" i="11"/>
  <c r="K338" i="11"/>
  <c r="I338" i="11"/>
  <c r="H338" i="11"/>
  <c r="G338" i="11"/>
  <c r="E337" i="1" s="1"/>
  <c r="F338" i="11"/>
  <c r="N337" i="11"/>
  <c r="M337" i="11"/>
  <c r="L337" i="11"/>
  <c r="K337" i="11"/>
  <c r="I337" i="11"/>
  <c r="H337" i="11"/>
  <c r="G337" i="11"/>
  <c r="E336" i="1" s="1"/>
  <c r="F337" i="11"/>
  <c r="D336" i="1" s="1"/>
  <c r="AC336" i="1" s="1"/>
  <c r="AD336" i="1" s="1"/>
  <c r="E334" i="2" s="1"/>
  <c r="N336" i="11"/>
  <c r="M336" i="11"/>
  <c r="L336" i="11"/>
  <c r="K336" i="11"/>
  <c r="I336" i="11"/>
  <c r="H336" i="11"/>
  <c r="G336" i="11"/>
  <c r="F336" i="11"/>
  <c r="D335" i="1" s="1"/>
  <c r="AC335" i="1" s="1"/>
  <c r="AD335" i="1" s="1"/>
  <c r="E333" i="2" s="1"/>
  <c r="N335" i="11"/>
  <c r="M335" i="11"/>
  <c r="L335" i="11"/>
  <c r="K335" i="11"/>
  <c r="I335" i="11"/>
  <c r="H335" i="11"/>
  <c r="G335" i="11"/>
  <c r="E334" i="1" s="1"/>
  <c r="F335" i="11"/>
  <c r="D334" i="1" s="1"/>
  <c r="AC334" i="1" s="1"/>
  <c r="AD334" i="1" s="1"/>
  <c r="E332" i="2" s="1"/>
  <c r="E336" i="5" s="1"/>
  <c r="N334" i="11"/>
  <c r="M334" i="11"/>
  <c r="L334" i="11"/>
  <c r="K334" i="11"/>
  <c r="I334" i="11"/>
  <c r="H334" i="11"/>
  <c r="G334" i="11"/>
  <c r="E333" i="1" s="1"/>
  <c r="F334" i="11"/>
  <c r="D333" i="1" s="1"/>
  <c r="AC333" i="1" s="1"/>
  <c r="AD333" i="1" s="1"/>
  <c r="E331" i="2" s="1"/>
  <c r="E335" i="5" s="1"/>
  <c r="N333" i="11"/>
  <c r="M333" i="11"/>
  <c r="L333" i="11"/>
  <c r="K333" i="11"/>
  <c r="I333" i="11"/>
  <c r="H333" i="11"/>
  <c r="G333" i="11"/>
  <c r="F333" i="11"/>
  <c r="D332" i="1" s="1"/>
  <c r="AC332" i="1" s="1"/>
  <c r="AD332" i="1" s="1"/>
  <c r="E330" i="2" s="1"/>
  <c r="N332" i="11"/>
  <c r="M332" i="11"/>
  <c r="L332" i="11"/>
  <c r="K332" i="11"/>
  <c r="I332" i="11"/>
  <c r="H332" i="11"/>
  <c r="G332" i="11"/>
  <c r="E331" i="1" s="1"/>
  <c r="F332" i="11"/>
  <c r="N331" i="11"/>
  <c r="M331" i="11"/>
  <c r="L331" i="11"/>
  <c r="K331" i="11"/>
  <c r="I331" i="11"/>
  <c r="G330" i="1" s="1"/>
  <c r="H331" i="11"/>
  <c r="G331" i="11"/>
  <c r="E330" i="1" s="1"/>
  <c r="F331" i="11"/>
  <c r="N330" i="11"/>
  <c r="M330" i="11"/>
  <c r="L330" i="11"/>
  <c r="K330" i="11"/>
  <c r="I330" i="11"/>
  <c r="H330" i="11"/>
  <c r="G330" i="11"/>
  <c r="E329" i="1" s="1"/>
  <c r="F330" i="11"/>
  <c r="D329" i="1" s="1"/>
  <c r="AC329" i="1" s="1"/>
  <c r="AD329" i="1" s="1"/>
  <c r="E327" i="2" s="1"/>
  <c r="E331" i="5" s="1"/>
  <c r="N329" i="11"/>
  <c r="M329" i="11"/>
  <c r="L329" i="11"/>
  <c r="K329" i="11"/>
  <c r="I329" i="11"/>
  <c r="H329" i="11"/>
  <c r="G329" i="11"/>
  <c r="F329" i="11"/>
  <c r="D328" i="1" s="1"/>
  <c r="AC328" i="1" s="1"/>
  <c r="AD328" i="1" s="1"/>
  <c r="E326" i="2" s="1"/>
  <c r="E330" i="5" s="1"/>
  <c r="N328" i="11"/>
  <c r="M328" i="11"/>
  <c r="L328" i="11"/>
  <c r="K328" i="11"/>
  <c r="I328" i="11"/>
  <c r="H328" i="11"/>
  <c r="G328" i="11"/>
  <c r="F328" i="11"/>
  <c r="D327" i="1" s="1"/>
  <c r="AC327" i="1" s="1"/>
  <c r="AD327" i="1" s="1"/>
  <c r="E325" i="2" s="1"/>
  <c r="E329" i="5" s="1"/>
  <c r="N327" i="11"/>
  <c r="M327" i="11"/>
  <c r="L327" i="11"/>
  <c r="K327" i="11"/>
  <c r="I327" i="11"/>
  <c r="H327" i="11"/>
  <c r="G327" i="11"/>
  <c r="E326" i="1" s="1"/>
  <c r="F327" i="11"/>
  <c r="D326" i="1" s="1"/>
  <c r="AC326" i="1" s="1"/>
  <c r="AD326" i="1" s="1"/>
  <c r="E324" i="2" s="1"/>
  <c r="N326" i="11"/>
  <c r="M326" i="11"/>
  <c r="L326" i="11"/>
  <c r="K326" i="11"/>
  <c r="I326" i="11"/>
  <c r="H326" i="11"/>
  <c r="G326" i="11"/>
  <c r="F326" i="11"/>
  <c r="D325" i="1" s="1"/>
  <c r="AC325" i="1" s="1"/>
  <c r="AD325" i="1" s="1"/>
  <c r="E323" i="2" s="1"/>
  <c r="E327" i="5" s="1"/>
  <c r="N325" i="11"/>
  <c r="M325" i="11"/>
  <c r="L325" i="11"/>
  <c r="K325" i="11"/>
  <c r="I325" i="11"/>
  <c r="G324" i="1" s="1"/>
  <c r="H325" i="11"/>
  <c r="G325" i="11"/>
  <c r="E324" i="1" s="1"/>
  <c r="F325" i="11"/>
  <c r="D324" i="1" s="1"/>
  <c r="AC324" i="1" s="1"/>
  <c r="AD324" i="1" s="1"/>
  <c r="E322" i="2" s="1"/>
  <c r="E326" i="5" s="1"/>
  <c r="N324" i="11"/>
  <c r="M324" i="11"/>
  <c r="L324" i="11"/>
  <c r="K324" i="11"/>
  <c r="I324" i="11"/>
  <c r="H324" i="11"/>
  <c r="G324" i="11"/>
  <c r="F324" i="11"/>
  <c r="D323" i="1" s="1"/>
  <c r="AC323" i="1" s="1"/>
  <c r="AD323" i="1" s="1"/>
  <c r="E321" i="2" s="1"/>
  <c r="E325" i="5" s="1"/>
  <c r="N323" i="11"/>
  <c r="M323" i="11"/>
  <c r="L323" i="11"/>
  <c r="K323" i="11"/>
  <c r="I323" i="11"/>
  <c r="H323" i="11"/>
  <c r="G323" i="11"/>
  <c r="E322" i="1" s="1"/>
  <c r="F323" i="11"/>
  <c r="D322" i="1" s="1"/>
  <c r="AC322" i="1" s="1"/>
  <c r="AD322" i="1" s="1"/>
  <c r="E320" i="2" s="1"/>
  <c r="E324" i="5" s="1"/>
  <c r="N322" i="11"/>
  <c r="M322" i="11"/>
  <c r="L322" i="11"/>
  <c r="K322" i="11"/>
  <c r="I322" i="11"/>
  <c r="H322" i="11"/>
  <c r="G322" i="11"/>
  <c r="E321" i="1" s="1"/>
  <c r="F322" i="11"/>
  <c r="N321" i="11"/>
  <c r="M321" i="11"/>
  <c r="L321" i="11"/>
  <c r="K321" i="11"/>
  <c r="I321" i="11"/>
  <c r="H321" i="11"/>
  <c r="G321" i="11"/>
  <c r="E320" i="1" s="1"/>
  <c r="F321" i="11"/>
  <c r="N320" i="11"/>
  <c r="M320" i="11"/>
  <c r="L320" i="11"/>
  <c r="K320" i="11"/>
  <c r="I320" i="11"/>
  <c r="H320" i="11"/>
  <c r="G320" i="11"/>
  <c r="E319" i="1" s="1"/>
  <c r="F320" i="11"/>
  <c r="D319" i="1" s="1"/>
  <c r="AC319" i="1" s="1"/>
  <c r="AD319" i="1" s="1"/>
  <c r="E317" i="2" s="1"/>
  <c r="E321" i="5" s="1"/>
  <c r="N319" i="11"/>
  <c r="M319" i="11"/>
  <c r="L319" i="11"/>
  <c r="K319" i="11"/>
  <c r="I319" i="11"/>
  <c r="H319" i="11"/>
  <c r="G319" i="11"/>
  <c r="E318" i="1" s="1"/>
  <c r="F319" i="11"/>
  <c r="N318" i="11"/>
  <c r="M318" i="11"/>
  <c r="T318" i="11" s="1"/>
  <c r="L318" i="11"/>
  <c r="K318" i="11"/>
  <c r="I318" i="11"/>
  <c r="H318" i="11"/>
  <c r="G318" i="11"/>
  <c r="E317" i="1" s="1"/>
  <c r="F318" i="11"/>
  <c r="N317" i="11"/>
  <c r="M317" i="11"/>
  <c r="L317" i="11"/>
  <c r="K317" i="11"/>
  <c r="I317" i="11"/>
  <c r="H317" i="11"/>
  <c r="G317" i="11"/>
  <c r="E316" i="1" s="1"/>
  <c r="F317" i="11"/>
  <c r="N316" i="11"/>
  <c r="M316" i="11"/>
  <c r="L316" i="11"/>
  <c r="K316" i="11"/>
  <c r="I316" i="11"/>
  <c r="H316" i="11"/>
  <c r="G316" i="11"/>
  <c r="E315" i="1" s="1"/>
  <c r="F316" i="11"/>
  <c r="D315" i="1" s="1"/>
  <c r="AC315" i="1" s="1"/>
  <c r="AD315" i="1" s="1"/>
  <c r="E313" i="2" s="1"/>
  <c r="E317" i="5" s="1"/>
  <c r="N315" i="11"/>
  <c r="M315" i="11"/>
  <c r="L315" i="11"/>
  <c r="K315" i="11"/>
  <c r="I315" i="11"/>
  <c r="H315" i="11"/>
  <c r="G315" i="11"/>
  <c r="E314" i="1" s="1"/>
  <c r="F315" i="11"/>
  <c r="D314" i="1" s="1"/>
  <c r="AC314" i="1" s="1"/>
  <c r="AD314" i="1" s="1"/>
  <c r="E312" i="2" s="1"/>
  <c r="E316" i="5" s="1"/>
  <c r="N314" i="11"/>
  <c r="M314" i="11"/>
  <c r="L314" i="11"/>
  <c r="K314" i="11"/>
  <c r="I314" i="11"/>
  <c r="H314" i="11"/>
  <c r="F313" i="1" s="1"/>
  <c r="G314" i="11"/>
  <c r="E313" i="1" s="1"/>
  <c r="F314" i="11"/>
  <c r="N313" i="11"/>
  <c r="M313" i="11"/>
  <c r="L313" i="11"/>
  <c r="K313" i="11"/>
  <c r="I313" i="11"/>
  <c r="H313" i="11"/>
  <c r="G313" i="11"/>
  <c r="E312" i="1" s="1"/>
  <c r="F313" i="11"/>
  <c r="N312" i="11"/>
  <c r="M312" i="11"/>
  <c r="L312" i="11"/>
  <c r="K312" i="11"/>
  <c r="I312" i="11"/>
  <c r="H312" i="11"/>
  <c r="G312" i="11"/>
  <c r="E311" i="1" s="1"/>
  <c r="F312" i="11"/>
  <c r="D311" i="1" s="1"/>
  <c r="AC311" i="1" s="1"/>
  <c r="AD311" i="1" s="1"/>
  <c r="E309" i="2" s="1"/>
  <c r="E313" i="5" s="1"/>
  <c r="N311" i="11"/>
  <c r="M311" i="11"/>
  <c r="L311" i="11"/>
  <c r="K311" i="11"/>
  <c r="I311" i="11"/>
  <c r="H311" i="11"/>
  <c r="G311" i="11"/>
  <c r="E310" i="1" s="1"/>
  <c r="F311" i="11"/>
  <c r="N310" i="11"/>
  <c r="M310" i="11"/>
  <c r="L310" i="11"/>
  <c r="K310" i="11"/>
  <c r="I310" i="11"/>
  <c r="H310" i="11"/>
  <c r="G310" i="11"/>
  <c r="E309" i="1" s="1"/>
  <c r="F310" i="11"/>
  <c r="D309" i="1" s="1"/>
  <c r="AC309" i="1" s="1"/>
  <c r="AD309" i="1" s="1"/>
  <c r="E307" i="2" s="1"/>
  <c r="E311" i="5" s="1"/>
  <c r="N309" i="11"/>
  <c r="M309" i="11"/>
  <c r="T309" i="11" s="1"/>
  <c r="L309" i="11"/>
  <c r="K309" i="11"/>
  <c r="I309" i="11"/>
  <c r="H309" i="11"/>
  <c r="G309" i="11"/>
  <c r="E308" i="1" s="1"/>
  <c r="F309" i="11"/>
  <c r="N308" i="11"/>
  <c r="M308" i="11"/>
  <c r="L308" i="11"/>
  <c r="K308" i="11"/>
  <c r="I308" i="11"/>
  <c r="H308" i="11"/>
  <c r="G308" i="11"/>
  <c r="E307" i="1" s="1"/>
  <c r="F308" i="11"/>
  <c r="D307" i="1" s="1"/>
  <c r="AC307" i="1" s="1"/>
  <c r="AD307" i="1" s="1"/>
  <c r="E305" i="2" s="1"/>
  <c r="E309" i="5" s="1"/>
  <c r="N307" i="11"/>
  <c r="M307" i="11"/>
  <c r="L307" i="11"/>
  <c r="K307" i="11"/>
  <c r="I307" i="11"/>
  <c r="H307" i="11"/>
  <c r="G307" i="11"/>
  <c r="E306" i="1" s="1"/>
  <c r="F307" i="11"/>
  <c r="N306" i="11"/>
  <c r="M306" i="11"/>
  <c r="L306" i="11"/>
  <c r="K306" i="11"/>
  <c r="I306" i="11"/>
  <c r="G305" i="1" s="1"/>
  <c r="H306" i="11"/>
  <c r="G306" i="11"/>
  <c r="E305" i="1" s="1"/>
  <c r="F306" i="11"/>
  <c r="N305" i="11"/>
  <c r="M305" i="11"/>
  <c r="L305" i="11"/>
  <c r="K305" i="11"/>
  <c r="I305" i="11"/>
  <c r="H305" i="11"/>
  <c r="G305" i="11"/>
  <c r="E304" i="1" s="1"/>
  <c r="F305" i="11"/>
  <c r="N304" i="11"/>
  <c r="M304" i="11"/>
  <c r="L304" i="11"/>
  <c r="K304" i="11"/>
  <c r="I304" i="11"/>
  <c r="H304" i="11"/>
  <c r="F303" i="1" s="1"/>
  <c r="G304" i="11"/>
  <c r="E303" i="1" s="1"/>
  <c r="F304" i="11"/>
  <c r="D303" i="1" s="1"/>
  <c r="AC303" i="1" s="1"/>
  <c r="AD303" i="1" s="1"/>
  <c r="E301" i="2" s="1"/>
  <c r="E305" i="5" s="1"/>
  <c r="N303" i="11"/>
  <c r="M303" i="11"/>
  <c r="L303" i="11"/>
  <c r="K303" i="11"/>
  <c r="I303" i="11"/>
  <c r="H303" i="11"/>
  <c r="G303" i="11"/>
  <c r="E302" i="1" s="1"/>
  <c r="F303" i="11"/>
  <c r="N302" i="11"/>
  <c r="M302" i="11"/>
  <c r="L302" i="11"/>
  <c r="K302" i="11"/>
  <c r="I302" i="11"/>
  <c r="H302" i="11"/>
  <c r="G302" i="11"/>
  <c r="E301" i="1" s="1"/>
  <c r="F302" i="11"/>
  <c r="N301" i="11"/>
  <c r="M301" i="11"/>
  <c r="L301" i="11"/>
  <c r="K301" i="11"/>
  <c r="I301" i="11"/>
  <c r="H301" i="11"/>
  <c r="F300" i="1" s="1"/>
  <c r="G301" i="11"/>
  <c r="F301" i="11"/>
  <c r="D300" i="1" s="1"/>
  <c r="AC300" i="1" s="1"/>
  <c r="AD300" i="1" s="1"/>
  <c r="E298" i="2" s="1"/>
  <c r="E302" i="5" s="1"/>
  <c r="N300" i="11"/>
  <c r="M300" i="11"/>
  <c r="L300" i="11"/>
  <c r="K300" i="11"/>
  <c r="I300" i="11"/>
  <c r="H300" i="11"/>
  <c r="F299" i="1" s="1"/>
  <c r="G300" i="11"/>
  <c r="E299" i="1" s="1"/>
  <c r="F300" i="11"/>
  <c r="D299" i="1" s="1"/>
  <c r="AC299" i="1" s="1"/>
  <c r="AD299" i="1" s="1"/>
  <c r="E297" i="2" s="1"/>
  <c r="E301" i="5" s="1"/>
  <c r="N299" i="11"/>
  <c r="M299" i="11"/>
  <c r="L299" i="11"/>
  <c r="K299" i="11"/>
  <c r="I299" i="11"/>
  <c r="H299" i="11"/>
  <c r="G299" i="11"/>
  <c r="E298" i="1" s="1"/>
  <c r="F299" i="11"/>
  <c r="D298" i="1" s="1"/>
  <c r="AC298" i="1" s="1"/>
  <c r="AD298" i="1" s="1"/>
  <c r="E296" i="2" s="1"/>
  <c r="E300" i="5" s="1"/>
  <c r="N298" i="11"/>
  <c r="M298" i="11"/>
  <c r="T298" i="11" s="1"/>
  <c r="L298" i="11"/>
  <c r="K298" i="11"/>
  <c r="I298" i="11"/>
  <c r="H298" i="11"/>
  <c r="G298" i="11"/>
  <c r="F298" i="11"/>
  <c r="N297" i="11"/>
  <c r="M297" i="11"/>
  <c r="L297" i="11"/>
  <c r="K297" i="11"/>
  <c r="I297" i="11"/>
  <c r="H297" i="11"/>
  <c r="G297" i="11"/>
  <c r="E296" i="1" s="1"/>
  <c r="F297" i="11"/>
  <c r="N296" i="11"/>
  <c r="M296" i="11"/>
  <c r="L296" i="11"/>
  <c r="K296" i="11"/>
  <c r="I296" i="11"/>
  <c r="H296" i="11"/>
  <c r="F295" i="1" s="1"/>
  <c r="G296" i="11"/>
  <c r="E295" i="1" s="1"/>
  <c r="F296" i="11"/>
  <c r="D295" i="1" s="1"/>
  <c r="AC295" i="1" s="1"/>
  <c r="AD295" i="1" s="1"/>
  <c r="E293" i="2" s="1"/>
  <c r="N295" i="11"/>
  <c r="M295" i="11"/>
  <c r="L295" i="11"/>
  <c r="K295" i="11"/>
  <c r="I295" i="11"/>
  <c r="H295" i="11"/>
  <c r="G295" i="11"/>
  <c r="E294" i="1" s="1"/>
  <c r="F295" i="11"/>
  <c r="D294" i="1" s="1"/>
  <c r="AC294" i="1" s="1"/>
  <c r="AD294" i="1" s="1"/>
  <c r="E292" i="2" s="1"/>
  <c r="E296" i="5" s="1"/>
  <c r="N294" i="11"/>
  <c r="M294" i="11"/>
  <c r="L294" i="11"/>
  <c r="K294" i="11"/>
  <c r="I294" i="11"/>
  <c r="H294" i="11"/>
  <c r="G294" i="11"/>
  <c r="E293" i="1" s="1"/>
  <c r="F294" i="11"/>
  <c r="N293" i="11"/>
  <c r="M293" i="11"/>
  <c r="L293" i="11"/>
  <c r="K293" i="11"/>
  <c r="I293" i="11"/>
  <c r="H293" i="11"/>
  <c r="F292" i="1" s="1"/>
  <c r="G293" i="11"/>
  <c r="F293" i="11"/>
  <c r="N292" i="11"/>
  <c r="M292" i="11"/>
  <c r="L292" i="11"/>
  <c r="K292" i="11"/>
  <c r="I292" i="11"/>
  <c r="H292" i="11"/>
  <c r="G292" i="11"/>
  <c r="E291" i="1" s="1"/>
  <c r="F292" i="11"/>
  <c r="D291" i="1" s="1"/>
  <c r="AC291" i="1" s="1"/>
  <c r="AD291" i="1" s="1"/>
  <c r="E289" i="2" s="1"/>
  <c r="E293" i="5" s="1"/>
  <c r="N291" i="11"/>
  <c r="M291" i="11"/>
  <c r="L291" i="11"/>
  <c r="K291" i="11"/>
  <c r="I291" i="11"/>
  <c r="H291" i="11"/>
  <c r="G291" i="11"/>
  <c r="E290" i="1" s="1"/>
  <c r="F291" i="11"/>
  <c r="D290" i="1" s="1"/>
  <c r="AC290" i="1" s="1"/>
  <c r="AD290" i="1" s="1"/>
  <c r="E288" i="2" s="1"/>
  <c r="E292" i="5" s="1"/>
  <c r="N290" i="11"/>
  <c r="M290" i="11"/>
  <c r="L290" i="11"/>
  <c r="K290" i="11"/>
  <c r="I290" i="11"/>
  <c r="H290" i="11"/>
  <c r="F289" i="1" s="1"/>
  <c r="G290" i="11"/>
  <c r="E289" i="1" s="1"/>
  <c r="F290" i="11"/>
  <c r="N289" i="11"/>
  <c r="M289" i="11"/>
  <c r="L289" i="11"/>
  <c r="K289" i="11"/>
  <c r="I289" i="11"/>
  <c r="H289" i="11"/>
  <c r="G289" i="11"/>
  <c r="E288" i="1" s="1"/>
  <c r="F289" i="11"/>
  <c r="N288" i="11"/>
  <c r="M288" i="11"/>
  <c r="T288" i="11" s="1"/>
  <c r="L288" i="11"/>
  <c r="K288" i="11"/>
  <c r="I288" i="11"/>
  <c r="H288" i="11"/>
  <c r="G288" i="11"/>
  <c r="E287" i="1" s="1"/>
  <c r="F288" i="11"/>
  <c r="D287" i="1" s="1"/>
  <c r="AC287" i="1" s="1"/>
  <c r="AD287" i="1" s="1"/>
  <c r="E285" i="2" s="1"/>
  <c r="E289" i="5" s="1"/>
  <c r="N287" i="11"/>
  <c r="M287" i="11"/>
  <c r="L287" i="11"/>
  <c r="K287" i="11"/>
  <c r="I287" i="11"/>
  <c r="H287" i="11"/>
  <c r="G287" i="11"/>
  <c r="E286" i="1" s="1"/>
  <c r="F287" i="11"/>
  <c r="D286" i="1" s="1"/>
  <c r="AC286" i="1" s="1"/>
  <c r="AD286" i="1" s="1"/>
  <c r="E284" i="2" s="1"/>
  <c r="E288" i="5" s="1"/>
  <c r="N286" i="11"/>
  <c r="M286" i="11"/>
  <c r="L286" i="11"/>
  <c r="K286" i="11"/>
  <c r="I286" i="11"/>
  <c r="H286" i="11"/>
  <c r="G286" i="11"/>
  <c r="E285" i="1" s="1"/>
  <c r="F286" i="11"/>
  <c r="N285" i="11"/>
  <c r="M285" i="11"/>
  <c r="L285" i="11"/>
  <c r="K285" i="11"/>
  <c r="I285" i="11"/>
  <c r="H285" i="11"/>
  <c r="G285" i="11"/>
  <c r="E284" i="1" s="1"/>
  <c r="F285" i="11"/>
  <c r="D284" i="1" s="1"/>
  <c r="AC284" i="1" s="1"/>
  <c r="AD284" i="1" s="1"/>
  <c r="E282" i="2" s="1"/>
  <c r="E286" i="5" s="1"/>
  <c r="N284" i="11"/>
  <c r="M284" i="11"/>
  <c r="L284" i="11"/>
  <c r="K284" i="11"/>
  <c r="I284" i="11"/>
  <c r="H284" i="11"/>
  <c r="G284" i="11"/>
  <c r="E283" i="1" s="1"/>
  <c r="F284" i="11"/>
  <c r="D283" i="1" s="1"/>
  <c r="AC283" i="1" s="1"/>
  <c r="AD283" i="1" s="1"/>
  <c r="E281" i="2" s="1"/>
  <c r="N283" i="11"/>
  <c r="M283" i="11"/>
  <c r="L283" i="11"/>
  <c r="K283" i="11"/>
  <c r="I283" i="11"/>
  <c r="H283" i="11"/>
  <c r="G283" i="11"/>
  <c r="E282" i="1" s="1"/>
  <c r="F283" i="11"/>
  <c r="D282" i="1" s="1"/>
  <c r="AC282" i="1" s="1"/>
  <c r="AD282" i="1" s="1"/>
  <c r="E280" i="2" s="1"/>
  <c r="E284" i="5" s="1"/>
  <c r="N282" i="11"/>
  <c r="M282" i="11"/>
  <c r="L282" i="11"/>
  <c r="K282" i="11"/>
  <c r="I282" i="11"/>
  <c r="H282" i="11"/>
  <c r="F281" i="1" s="1"/>
  <c r="G282" i="11"/>
  <c r="E281" i="1" s="1"/>
  <c r="F282" i="11"/>
  <c r="N281" i="11"/>
  <c r="M281" i="11"/>
  <c r="L281" i="11"/>
  <c r="K281" i="11"/>
  <c r="I281" i="11"/>
  <c r="H281" i="11"/>
  <c r="G281" i="11"/>
  <c r="E280" i="1" s="1"/>
  <c r="F281" i="11"/>
  <c r="D280" i="1" s="1"/>
  <c r="AC280" i="1" s="1"/>
  <c r="AD280" i="1" s="1"/>
  <c r="E278" i="2" s="1"/>
  <c r="E282" i="5" s="1"/>
  <c r="N280" i="11"/>
  <c r="M280" i="11"/>
  <c r="L280" i="11"/>
  <c r="K280" i="11"/>
  <c r="I280" i="11"/>
  <c r="H280" i="11"/>
  <c r="G280" i="11"/>
  <c r="E279" i="1" s="1"/>
  <c r="F280" i="11"/>
  <c r="D279" i="1" s="1"/>
  <c r="AC279" i="1" s="1"/>
  <c r="AD279" i="1" s="1"/>
  <c r="E277" i="2" s="1"/>
  <c r="N279" i="11"/>
  <c r="M279" i="11"/>
  <c r="L279" i="11"/>
  <c r="K279" i="11"/>
  <c r="I279" i="11"/>
  <c r="H279" i="11"/>
  <c r="G279" i="11"/>
  <c r="E278" i="1" s="1"/>
  <c r="F279" i="11"/>
  <c r="D278" i="1" s="1"/>
  <c r="AC278" i="1" s="1"/>
  <c r="AD278" i="1" s="1"/>
  <c r="E276" i="2" s="1"/>
  <c r="N278" i="11"/>
  <c r="M278" i="11"/>
  <c r="L278" i="11"/>
  <c r="K278" i="11"/>
  <c r="I278" i="11"/>
  <c r="H278" i="11"/>
  <c r="G278" i="11"/>
  <c r="E277" i="1" s="1"/>
  <c r="F278" i="11"/>
  <c r="N277" i="11"/>
  <c r="M277" i="11"/>
  <c r="L277" i="11"/>
  <c r="K277" i="11"/>
  <c r="I277" i="11"/>
  <c r="H277" i="11"/>
  <c r="G277" i="11"/>
  <c r="E276" i="1" s="1"/>
  <c r="F277" i="11"/>
  <c r="N276" i="11"/>
  <c r="M276" i="11"/>
  <c r="L276" i="11"/>
  <c r="K276" i="11"/>
  <c r="I276" i="11"/>
  <c r="H276" i="11"/>
  <c r="G276" i="11"/>
  <c r="E275" i="1" s="1"/>
  <c r="F276" i="11"/>
  <c r="D275" i="1" s="1"/>
  <c r="AC275" i="1" s="1"/>
  <c r="AD275" i="1" s="1"/>
  <c r="E273" i="2" s="1"/>
  <c r="E277" i="5" s="1"/>
  <c r="N275" i="11"/>
  <c r="M275" i="11"/>
  <c r="L275" i="11"/>
  <c r="K275" i="11"/>
  <c r="I275" i="11"/>
  <c r="H275" i="11"/>
  <c r="G275" i="11"/>
  <c r="E274" i="1" s="1"/>
  <c r="F275" i="11"/>
  <c r="D274" i="1" s="1"/>
  <c r="AC274" i="1" s="1"/>
  <c r="AD274" i="1" s="1"/>
  <c r="E272" i="2" s="1"/>
  <c r="N274" i="11"/>
  <c r="M274" i="11"/>
  <c r="L274" i="11"/>
  <c r="K274" i="11"/>
  <c r="I274" i="11"/>
  <c r="H274" i="11"/>
  <c r="F273" i="1" s="1"/>
  <c r="G274" i="11"/>
  <c r="E273" i="1" s="1"/>
  <c r="F274" i="11"/>
  <c r="N273" i="11"/>
  <c r="M273" i="11"/>
  <c r="L273" i="11"/>
  <c r="K273" i="11"/>
  <c r="I273" i="11"/>
  <c r="H273" i="11"/>
  <c r="G273" i="11"/>
  <c r="E272" i="1" s="1"/>
  <c r="F273" i="11"/>
  <c r="D272" i="1" s="1"/>
  <c r="AC272" i="1" s="1"/>
  <c r="AD272" i="1" s="1"/>
  <c r="E270" i="2" s="1"/>
  <c r="E274" i="5" s="1"/>
  <c r="N272" i="11"/>
  <c r="M272" i="11"/>
  <c r="L272" i="11"/>
  <c r="K272" i="11"/>
  <c r="I272" i="11"/>
  <c r="H272" i="11"/>
  <c r="G272" i="11"/>
  <c r="E271" i="1" s="1"/>
  <c r="F272" i="11"/>
  <c r="D271" i="1" s="1"/>
  <c r="AC271" i="1" s="1"/>
  <c r="AD271" i="1" s="1"/>
  <c r="E269" i="2" s="1"/>
  <c r="E273" i="5" s="1"/>
  <c r="N271" i="11"/>
  <c r="M271" i="11"/>
  <c r="L271" i="11"/>
  <c r="K271" i="11"/>
  <c r="I271" i="11"/>
  <c r="H271" i="11"/>
  <c r="G271" i="11"/>
  <c r="E270" i="1" s="1"/>
  <c r="F271" i="11"/>
  <c r="D270" i="1" s="1"/>
  <c r="AC270" i="1" s="1"/>
  <c r="AD270" i="1" s="1"/>
  <c r="E268" i="2" s="1"/>
  <c r="E272" i="5" s="1"/>
  <c r="N270" i="11"/>
  <c r="M270" i="11"/>
  <c r="L270" i="11"/>
  <c r="K270" i="11"/>
  <c r="I270" i="11"/>
  <c r="H270" i="11"/>
  <c r="G270" i="11"/>
  <c r="E269" i="1" s="1"/>
  <c r="F270" i="11"/>
  <c r="N269" i="11"/>
  <c r="M269" i="11"/>
  <c r="L269" i="11"/>
  <c r="K269" i="11"/>
  <c r="I269" i="11"/>
  <c r="H269" i="11"/>
  <c r="F268" i="1" s="1"/>
  <c r="G269" i="11"/>
  <c r="F269" i="11"/>
  <c r="N268" i="11"/>
  <c r="M268" i="11"/>
  <c r="L268" i="11"/>
  <c r="K268" i="11"/>
  <c r="I268" i="11"/>
  <c r="H268" i="11"/>
  <c r="G268" i="11"/>
  <c r="E267" i="1" s="1"/>
  <c r="F268" i="11"/>
  <c r="N267" i="11"/>
  <c r="M267" i="11"/>
  <c r="L267" i="11"/>
  <c r="K267" i="11"/>
  <c r="I267" i="11"/>
  <c r="H267" i="11"/>
  <c r="F266" i="1" s="1"/>
  <c r="G267" i="11"/>
  <c r="E266" i="1" s="1"/>
  <c r="F267" i="11"/>
  <c r="D266" i="1" s="1"/>
  <c r="AC266" i="1" s="1"/>
  <c r="AD266" i="1" s="1"/>
  <c r="E264" i="2" s="1"/>
  <c r="E268" i="5" s="1"/>
  <c r="N266" i="11"/>
  <c r="M266" i="11"/>
  <c r="L266" i="11"/>
  <c r="K266" i="11"/>
  <c r="I266" i="11"/>
  <c r="H266" i="11"/>
  <c r="G266" i="11"/>
  <c r="E265" i="1" s="1"/>
  <c r="F266" i="11"/>
  <c r="N265" i="11"/>
  <c r="M265" i="11"/>
  <c r="L265" i="11"/>
  <c r="K265" i="11"/>
  <c r="I265" i="11"/>
  <c r="H265" i="11"/>
  <c r="G265" i="11"/>
  <c r="E264" i="1" s="1"/>
  <c r="F265" i="11"/>
  <c r="N264" i="11"/>
  <c r="M264" i="11"/>
  <c r="L264" i="11"/>
  <c r="K264" i="11"/>
  <c r="I264" i="11"/>
  <c r="H264" i="11"/>
  <c r="F263" i="1" s="1"/>
  <c r="G264" i="11"/>
  <c r="E263" i="1" s="1"/>
  <c r="F264" i="11"/>
  <c r="D263" i="1" s="1"/>
  <c r="AC263" i="1" s="1"/>
  <c r="AD263" i="1" s="1"/>
  <c r="E261" i="2" s="1"/>
  <c r="N263" i="11"/>
  <c r="M263" i="11"/>
  <c r="L263" i="11"/>
  <c r="K263" i="11"/>
  <c r="I263" i="11"/>
  <c r="H263" i="11"/>
  <c r="G263" i="11"/>
  <c r="E262" i="1" s="1"/>
  <c r="F263" i="11"/>
  <c r="D262" i="1" s="1"/>
  <c r="AC262" i="1" s="1"/>
  <c r="AD262" i="1" s="1"/>
  <c r="E260" i="2" s="1"/>
  <c r="E264" i="5" s="1"/>
  <c r="N262" i="11"/>
  <c r="M262" i="11"/>
  <c r="L262" i="11"/>
  <c r="K262" i="11"/>
  <c r="I262" i="11"/>
  <c r="H262" i="11"/>
  <c r="G262" i="11"/>
  <c r="E261" i="1" s="1"/>
  <c r="F262" i="11"/>
  <c r="D261" i="1" s="1"/>
  <c r="AC261" i="1" s="1"/>
  <c r="AD261" i="1" s="1"/>
  <c r="E259" i="2" s="1"/>
  <c r="E263" i="5" s="1"/>
  <c r="N261" i="11"/>
  <c r="M261" i="11"/>
  <c r="L261" i="11"/>
  <c r="K261" i="11"/>
  <c r="I261" i="11"/>
  <c r="H261" i="11"/>
  <c r="F260" i="1" s="1"/>
  <c r="G261" i="11"/>
  <c r="E260" i="1" s="1"/>
  <c r="F261" i="11"/>
  <c r="N260" i="11"/>
  <c r="M260" i="11"/>
  <c r="L260" i="11"/>
  <c r="K260" i="11"/>
  <c r="I260" i="11"/>
  <c r="H260" i="11"/>
  <c r="G260" i="11"/>
  <c r="E259" i="1" s="1"/>
  <c r="F260" i="11"/>
  <c r="D259" i="1" s="1"/>
  <c r="AC259" i="1" s="1"/>
  <c r="AD259" i="1" s="1"/>
  <c r="E257" i="2" s="1"/>
  <c r="E261" i="5" s="1"/>
  <c r="N259" i="11"/>
  <c r="M259" i="11"/>
  <c r="L259" i="11"/>
  <c r="K259" i="11"/>
  <c r="I259" i="11"/>
  <c r="H259" i="11"/>
  <c r="F258" i="1" s="1"/>
  <c r="G259" i="11"/>
  <c r="E258" i="1" s="1"/>
  <c r="F259" i="11"/>
  <c r="D258" i="1" s="1"/>
  <c r="AC258" i="1" s="1"/>
  <c r="AD258" i="1" s="1"/>
  <c r="E256" i="2" s="1"/>
  <c r="E260" i="5" s="1"/>
  <c r="N258" i="11"/>
  <c r="M258" i="11"/>
  <c r="L258" i="11"/>
  <c r="K258" i="11"/>
  <c r="I258" i="11"/>
  <c r="H258" i="11"/>
  <c r="G258" i="11"/>
  <c r="E257" i="1" s="1"/>
  <c r="F258" i="11"/>
  <c r="N257" i="11"/>
  <c r="M257" i="11"/>
  <c r="L257" i="11"/>
  <c r="K257" i="11"/>
  <c r="I257" i="11"/>
  <c r="H257" i="11"/>
  <c r="G257" i="11"/>
  <c r="E256" i="1" s="1"/>
  <c r="F257" i="11"/>
  <c r="D256" i="1" s="1"/>
  <c r="AC256" i="1" s="1"/>
  <c r="AD256" i="1" s="1"/>
  <c r="E254" i="2" s="1"/>
  <c r="E258" i="5" s="1"/>
  <c r="N256" i="11"/>
  <c r="M256" i="11"/>
  <c r="L256" i="11"/>
  <c r="K256" i="11"/>
  <c r="I256" i="11"/>
  <c r="H256" i="11"/>
  <c r="G256" i="11"/>
  <c r="E255" i="1" s="1"/>
  <c r="F256" i="11"/>
  <c r="D255" i="1" s="1"/>
  <c r="AC255" i="1" s="1"/>
  <c r="AD255" i="1" s="1"/>
  <c r="E253" i="2" s="1"/>
  <c r="N255" i="11"/>
  <c r="M255" i="11"/>
  <c r="L255" i="11"/>
  <c r="K255" i="11"/>
  <c r="I255" i="11"/>
  <c r="H255" i="11"/>
  <c r="G255" i="11"/>
  <c r="E254" i="1" s="1"/>
  <c r="F255" i="11"/>
  <c r="D254" i="1" s="1"/>
  <c r="AC254" i="1" s="1"/>
  <c r="AD254" i="1" s="1"/>
  <c r="E252" i="2" s="1"/>
  <c r="E256" i="5" s="1"/>
  <c r="N254" i="11"/>
  <c r="M254" i="11"/>
  <c r="L254" i="11"/>
  <c r="K254" i="11"/>
  <c r="I254" i="11"/>
  <c r="H254" i="11"/>
  <c r="G254" i="11"/>
  <c r="E253" i="1" s="1"/>
  <c r="F254" i="11"/>
  <c r="N253" i="11"/>
  <c r="M253" i="11"/>
  <c r="L253" i="11"/>
  <c r="K253" i="11"/>
  <c r="I253" i="11"/>
  <c r="H253" i="11"/>
  <c r="F252" i="1" s="1"/>
  <c r="G253" i="11"/>
  <c r="E252" i="1" s="1"/>
  <c r="F253" i="11"/>
  <c r="N252" i="11"/>
  <c r="M252" i="11"/>
  <c r="L252" i="11"/>
  <c r="K252" i="11"/>
  <c r="I252" i="11"/>
  <c r="H252" i="11"/>
  <c r="G252" i="11"/>
  <c r="E251" i="1" s="1"/>
  <c r="F252" i="11"/>
  <c r="N251" i="11"/>
  <c r="M251" i="11"/>
  <c r="L251" i="11"/>
  <c r="K251" i="11"/>
  <c r="I251" i="11"/>
  <c r="H251" i="11"/>
  <c r="F250" i="1" s="1"/>
  <c r="G251" i="11"/>
  <c r="F251" i="11"/>
  <c r="D250" i="1" s="1"/>
  <c r="AC250" i="1" s="1"/>
  <c r="AD250" i="1" s="1"/>
  <c r="E248" i="2" s="1"/>
  <c r="E252" i="5" s="1"/>
  <c r="N250" i="11"/>
  <c r="M250" i="11"/>
  <c r="L250" i="11"/>
  <c r="K250" i="11"/>
  <c r="I250" i="11"/>
  <c r="H250" i="11"/>
  <c r="G250" i="11"/>
  <c r="E249" i="1" s="1"/>
  <c r="F250" i="11"/>
  <c r="N249" i="11"/>
  <c r="M249" i="11"/>
  <c r="L249" i="11"/>
  <c r="K249" i="11"/>
  <c r="I249" i="11"/>
  <c r="H249" i="11"/>
  <c r="G249" i="11"/>
  <c r="F249" i="11"/>
  <c r="D248" i="1" s="1"/>
  <c r="AC248" i="1" s="1"/>
  <c r="AD248" i="1" s="1"/>
  <c r="E246" i="2" s="1"/>
  <c r="N248" i="11"/>
  <c r="M248" i="11"/>
  <c r="L248" i="11"/>
  <c r="K248" i="11"/>
  <c r="I248" i="11"/>
  <c r="H248" i="11"/>
  <c r="F247" i="1" s="1"/>
  <c r="G248" i="11"/>
  <c r="E247" i="1" s="1"/>
  <c r="F248" i="11"/>
  <c r="D247" i="1" s="1"/>
  <c r="AC247" i="1" s="1"/>
  <c r="AD247" i="1" s="1"/>
  <c r="E245" i="2" s="1"/>
  <c r="E249" i="5" s="1"/>
  <c r="N247" i="11"/>
  <c r="M247" i="11"/>
  <c r="L247" i="11"/>
  <c r="K247" i="11"/>
  <c r="I247" i="11"/>
  <c r="H247" i="11"/>
  <c r="G247" i="11"/>
  <c r="E246" i="1" s="1"/>
  <c r="F247" i="11"/>
  <c r="D246" i="1" s="1"/>
  <c r="AC246" i="1" s="1"/>
  <c r="AD246" i="1" s="1"/>
  <c r="E244" i="2" s="1"/>
  <c r="E248" i="5" s="1"/>
  <c r="N246" i="11"/>
  <c r="M246" i="11"/>
  <c r="L246" i="11"/>
  <c r="K246" i="11"/>
  <c r="I246" i="11"/>
  <c r="H246" i="11"/>
  <c r="G246" i="11"/>
  <c r="E245" i="1" s="1"/>
  <c r="F246" i="11"/>
  <c r="D245" i="1" s="1"/>
  <c r="AC245" i="1" s="1"/>
  <c r="AD245" i="1" s="1"/>
  <c r="E243" i="2" s="1"/>
  <c r="N245" i="11"/>
  <c r="M245" i="11"/>
  <c r="L245" i="11"/>
  <c r="K245" i="11"/>
  <c r="I245" i="11"/>
  <c r="H245" i="11"/>
  <c r="F244" i="1" s="1"/>
  <c r="G245" i="11"/>
  <c r="E244" i="1" s="1"/>
  <c r="F245" i="11"/>
  <c r="D244" i="1" s="1"/>
  <c r="AC244" i="1" s="1"/>
  <c r="AD244" i="1" s="1"/>
  <c r="E242" i="2" s="1"/>
  <c r="E246" i="5" s="1"/>
  <c r="N244" i="11"/>
  <c r="M244" i="11"/>
  <c r="L244" i="11"/>
  <c r="K244" i="11"/>
  <c r="I244" i="11"/>
  <c r="H244" i="11"/>
  <c r="G244" i="11"/>
  <c r="E243" i="1" s="1"/>
  <c r="F244" i="11"/>
  <c r="D243" i="1" s="1"/>
  <c r="AC243" i="1" s="1"/>
  <c r="AD243" i="1" s="1"/>
  <c r="E241" i="2" s="1"/>
  <c r="E245" i="5" s="1"/>
  <c r="N243" i="11"/>
  <c r="M243" i="11"/>
  <c r="L243" i="11"/>
  <c r="K243" i="11"/>
  <c r="I243" i="11"/>
  <c r="H243" i="11"/>
  <c r="F242" i="1" s="1"/>
  <c r="G243" i="11"/>
  <c r="E242" i="1" s="1"/>
  <c r="F243" i="11"/>
  <c r="D242" i="1" s="1"/>
  <c r="AC242" i="1" s="1"/>
  <c r="AD242" i="1" s="1"/>
  <c r="E240" i="2" s="1"/>
  <c r="E244" i="5" s="1"/>
  <c r="N242" i="11"/>
  <c r="M242" i="11"/>
  <c r="L242" i="11"/>
  <c r="K242" i="11"/>
  <c r="I242" i="11"/>
  <c r="H242" i="11"/>
  <c r="G242" i="11"/>
  <c r="E241" i="1" s="1"/>
  <c r="F242" i="11"/>
  <c r="D241" i="1" s="1"/>
  <c r="AC241" i="1" s="1"/>
  <c r="AD241" i="1" s="1"/>
  <c r="E239" i="2" s="1"/>
  <c r="N241" i="11"/>
  <c r="M241" i="11"/>
  <c r="L241" i="11"/>
  <c r="K241" i="11"/>
  <c r="I241" i="11"/>
  <c r="H241" i="11"/>
  <c r="G241" i="11"/>
  <c r="F241" i="11"/>
  <c r="D240" i="1" s="1"/>
  <c r="AC240" i="1" s="1"/>
  <c r="AD240" i="1" s="1"/>
  <c r="E238" i="2" s="1"/>
  <c r="N240" i="11"/>
  <c r="M240" i="11"/>
  <c r="L240" i="11"/>
  <c r="K240" i="11"/>
  <c r="I240" i="11"/>
  <c r="H240" i="11"/>
  <c r="F239" i="1" s="1"/>
  <c r="G240" i="11"/>
  <c r="E239" i="1" s="1"/>
  <c r="F240" i="11"/>
  <c r="D239" i="1" s="1"/>
  <c r="AC239" i="1" s="1"/>
  <c r="AD239" i="1" s="1"/>
  <c r="E237" i="2" s="1"/>
  <c r="N239" i="11"/>
  <c r="M239" i="11"/>
  <c r="L239" i="11"/>
  <c r="K239" i="11"/>
  <c r="I239" i="11"/>
  <c r="H239" i="11"/>
  <c r="G239" i="11"/>
  <c r="E238" i="1" s="1"/>
  <c r="F239" i="11"/>
  <c r="D238" i="1" s="1"/>
  <c r="AC238" i="1" s="1"/>
  <c r="AD238" i="1" s="1"/>
  <c r="E236" i="2" s="1"/>
  <c r="E240" i="5" s="1"/>
  <c r="N238" i="11"/>
  <c r="M238" i="11"/>
  <c r="L238" i="11"/>
  <c r="K238" i="11"/>
  <c r="I238" i="11"/>
  <c r="H238" i="11"/>
  <c r="F237" i="1" s="1"/>
  <c r="G238" i="11"/>
  <c r="E237" i="1" s="1"/>
  <c r="F238" i="11"/>
  <c r="D237" i="1" s="1"/>
  <c r="AC237" i="1" s="1"/>
  <c r="AD237" i="1" s="1"/>
  <c r="E235" i="2" s="1"/>
  <c r="E239" i="5" s="1"/>
  <c r="N237" i="11"/>
  <c r="M237" i="11"/>
  <c r="L237" i="11"/>
  <c r="K237" i="11"/>
  <c r="I237" i="11"/>
  <c r="H237" i="11"/>
  <c r="G237" i="11"/>
  <c r="E236" i="1" s="1"/>
  <c r="F237" i="11"/>
  <c r="N236" i="11"/>
  <c r="M236" i="11"/>
  <c r="L236" i="11"/>
  <c r="K236" i="11"/>
  <c r="I236" i="11"/>
  <c r="H236" i="11"/>
  <c r="G236" i="11"/>
  <c r="E235" i="1" s="1"/>
  <c r="F236" i="11"/>
  <c r="D235" i="1" s="1"/>
  <c r="AC235" i="1" s="1"/>
  <c r="AD235" i="1" s="1"/>
  <c r="E233" i="2" s="1"/>
  <c r="E237" i="5" s="1"/>
  <c r="N235" i="11"/>
  <c r="M235" i="11"/>
  <c r="L235" i="11"/>
  <c r="K235" i="11"/>
  <c r="I235" i="11"/>
  <c r="H235" i="11"/>
  <c r="G235" i="11"/>
  <c r="E234" i="1" s="1"/>
  <c r="F235" i="11"/>
  <c r="D234" i="1" s="1"/>
  <c r="AC234" i="1" s="1"/>
  <c r="AD234" i="1" s="1"/>
  <c r="E232" i="2" s="1"/>
  <c r="E236" i="5" s="1"/>
  <c r="N234" i="11"/>
  <c r="M234" i="11"/>
  <c r="L234" i="11"/>
  <c r="K234" i="11"/>
  <c r="I234" i="11"/>
  <c r="H234" i="11"/>
  <c r="G234" i="11"/>
  <c r="F234" i="11"/>
  <c r="D233" i="1" s="1"/>
  <c r="AC233" i="1" s="1"/>
  <c r="AD233" i="1" s="1"/>
  <c r="E231" i="2" s="1"/>
  <c r="E235" i="5" s="1"/>
  <c r="N233" i="11"/>
  <c r="M233" i="11"/>
  <c r="L233" i="11"/>
  <c r="K233" i="11"/>
  <c r="I233" i="11"/>
  <c r="H233" i="11"/>
  <c r="F232" i="1" s="1"/>
  <c r="G233" i="11"/>
  <c r="E232" i="1" s="1"/>
  <c r="F233" i="11"/>
  <c r="N232" i="11"/>
  <c r="M232" i="11"/>
  <c r="L232" i="11"/>
  <c r="K232" i="11"/>
  <c r="I232" i="11"/>
  <c r="H232" i="11"/>
  <c r="G232" i="11"/>
  <c r="E231" i="1" s="1"/>
  <c r="F232" i="11"/>
  <c r="D231" i="1" s="1"/>
  <c r="AC231" i="1" s="1"/>
  <c r="AD231" i="1" s="1"/>
  <c r="E229" i="2" s="1"/>
  <c r="E233" i="5" s="1"/>
  <c r="N231" i="11"/>
  <c r="M231" i="11"/>
  <c r="L231" i="11"/>
  <c r="K231" i="11"/>
  <c r="I231" i="11"/>
  <c r="H231" i="11"/>
  <c r="F230" i="1" s="1"/>
  <c r="G231" i="11"/>
  <c r="E230" i="1" s="1"/>
  <c r="F231" i="11"/>
  <c r="D230" i="1" s="1"/>
  <c r="AC230" i="1" s="1"/>
  <c r="AD230" i="1" s="1"/>
  <c r="E228" i="2" s="1"/>
  <c r="E232" i="5" s="1"/>
  <c r="N230" i="11"/>
  <c r="M230" i="11"/>
  <c r="L230" i="11"/>
  <c r="K230" i="11"/>
  <c r="I230" i="11"/>
  <c r="H230" i="11"/>
  <c r="G230" i="11"/>
  <c r="E229" i="1" s="1"/>
  <c r="F230" i="11"/>
  <c r="D229" i="1" s="1"/>
  <c r="AC229" i="1" s="1"/>
  <c r="AD229" i="1" s="1"/>
  <c r="E227" i="2" s="1"/>
  <c r="E231" i="5" s="1"/>
  <c r="N229" i="11"/>
  <c r="M229" i="11"/>
  <c r="L229" i="11"/>
  <c r="K229" i="11"/>
  <c r="I229" i="11"/>
  <c r="H229" i="11"/>
  <c r="G229" i="11"/>
  <c r="F229" i="11"/>
  <c r="D228" i="1" s="1"/>
  <c r="AC228" i="1" s="1"/>
  <c r="AD228" i="1" s="1"/>
  <c r="E226" i="2" s="1"/>
  <c r="N228" i="11"/>
  <c r="M228" i="11"/>
  <c r="L228" i="11"/>
  <c r="K228" i="11"/>
  <c r="I228" i="11"/>
  <c r="H228" i="11"/>
  <c r="F227" i="1" s="1"/>
  <c r="G228" i="11"/>
  <c r="E227" i="1" s="1"/>
  <c r="F228" i="11"/>
  <c r="D227" i="1" s="1"/>
  <c r="AC227" i="1" s="1"/>
  <c r="AD227" i="1" s="1"/>
  <c r="E225" i="2" s="1"/>
  <c r="E229" i="5" s="1"/>
  <c r="N227" i="11"/>
  <c r="M227" i="11"/>
  <c r="L227" i="11"/>
  <c r="K227" i="11"/>
  <c r="I227" i="11"/>
  <c r="H227" i="11"/>
  <c r="G227" i="11"/>
  <c r="E226" i="1" s="1"/>
  <c r="F227" i="11"/>
  <c r="D226" i="1" s="1"/>
  <c r="AC226" i="1" s="1"/>
  <c r="AD226" i="1" s="1"/>
  <c r="E224" i="2" s="1"/>
  <c r="E228" i="5" s="1"/>
  <c r="N226" i="11"/>
  <c r="M226" i="11"/>
  <c r="L226" i="11"/>
  <c r="K226" i="11"/>
  <c r="I226" i="11"/>
  <c r="H226" i="11"/>
  <c r="G226" i="11"/>
  <c r="F226" i="11"/>
  <c r="D225" i="1" s="1"/>
  <c r="AC225" i="1" s="1"/>
  <c r="AD225" i="1" s="1"/>
  <c r="E223" i="2" s="1"/>
  <c r="E227" i="5" s="1"/>
  <c r="N225" i="11"/>
  <c r="M225" i="11"/>
  <c r="L225" i="11"/>
  <c r="K225" i="11"/>
  <c r="I225" i="11"/>
  <c r="H225" i="11"/>
  <c r="F224" i="1" s="1"/>
  <c r="G225" i="11"/>
  <c r="F225" i="11"/>
  <c r="N224" i="11"/>
  <c r="T224" i="11" s="1"/>
  <c r="M224" i="11"/>
  <c r="L224" i="11"/>
  <c r="K224" i="11"/>
  <c r="I224" i="11"/>
  <c r="H224" i="11"/>
  <c r="G224" i="11"/>
  <c r="E223" i="1" s="1"/>
  <c r="F224" i="11"/>
  <c r="D223" i="1" s="1"/>
  <c r="AC223" i="1" s="1"/>
  <c r="AD223" i="1" s="1"/>
  <c r="E221" i="2" s="1"/>
  <c r="E225" i="5" s="1"/>
  <c r="N223" i="11"/>
  <c r="M223" i="11"/>
  <c r="L223" i="11"/>
  <c r="K223" i="11"/>
  <c r="I223" i="11"/>
  <c r="H223" i="11"/>
  <c r="G223" i="11"/>
  <c r="E222" i="1" s="1"/>
  <c r="F223" i="11"/>
  <c r="D222" i="1" s="1"/>
  <c r="AC222" i="1" s="1"/>
  <c r="AD222" i="1" s="1"/>
  <c r="E220" i="2" s="1"/>
  <c r="E224" i="5" s="1"/>
  <c r="N222" i="11"/>
  <c r="M222" i="11"/>
  <c r="L222" i="11"/>
  <c r="K222" i="11"/>
  <c r="I222" i="11"/>
  <c r="H222" i="11"/>
  <c r="G222" i="11"/>
  <c r="F222" i="11"/>
  <c r="D221" i="1" s="1"/>
  <c r="AC221" i="1" s="1"/>
  <c r="AD221" i="1" s="1"/>
  <c r="E219" i="2" s="1"/>
  <c r="E223" i="5" s="1"/>
  <c r="N221" i="11"/>
  <c r="M221" i="11"/>
  <c r="L221" i="11"/>
  <c r="K221" i="11"/>
  <c r="I221" i="11"/>
  <c r="H221" i="11"/>
  <c r="F220" i="1" s="1"/>
  <c r="G221" i="11"/>
  <c r="F221" i="11"/>
  <c r="D220" i="1" s="1"/>
  <c r="AC220" i="1" s="1"/>
  <c r="AD220" i="1" s="1"/>
  <c r="E218" i="2" s="1"/>
  <c r="E222" i="5" s="1"/>
  <c r="N220" i="11"/>
  <c r="M220" i="11"/>
  <c r="L220" i="11"/>
  <c r="K220" i="11"/>
  <c r="I220" i="11"/>
  <c r="H220" i="11"/>
  <c r="G220" i="11"/>
  <c r="E219" i="1" s="1"/>
  <c r="F220" i="11"/>
  <c r="D219" i="1" s="1"/>
  <c r="AC219" i="1" s="1"/>
  <c r="AD219" i="1" s="1"/>
  <c r="E217" i="2" s="1"/>
  <c r="E221" i="5" s="1"/>
  <c r="N219" i="11"/>
  <c r="M219" i="11"/>
  <c r="L219" i="11"/>
  <c r="K219" i="11"/>
  <c r="I219" i="11"/>
  <c r="H219" i="11"/>
  <c r="F218" i="1" s="1"/>
  <c r="G219" i="11"/>
  <c r="E218" i="1" s="1"/>
  <c r="F219" i="11"/>
  <c r="D218" i="1" s="1"/>
  <c r="AC218" i="1" s="1"/>
  <c r="AD218" i="1" s="1"/>
  <c r="E216" i="2" s="1"/>
  <c r="E220" i="5" s="1"/>
  <c r="N218" i="11"/>
  <c r="M218" i="11"/>
  <c r="L218" i="11"/>
  <c r="K218" i="11"/>
  <c r="I218" i="11"/>
  <c r="H218" i="11"/>
  <c r="G218" i="11"/>
  <c r="F218" i="11"/>
  <c r="D217" i="1" s="1"/>
  <c r="AC217" i="1" s="1"/>
  <c r="AD217" i="1" s="1"/>
  <c r="E215" i="2" s="1"/>
  <c r="N217" i="11"/>
  <c r="M217" i="11"/>
  <c r="L217" i="11"/>
  <c r="K217" i="11"/>
  <c r="I217" i="11"/>
  <c r="H217" i="11"/>
  <c r="G217" i="11"/>
  <c r="E216" i="1" s="1"/>
  <c r="F217" i="11"/>
  <c r="D216" i="1" s="1"/>
  <c r="AC216" i="1" s="1"/>
  <c r="AD216" i="1" s="1"/>
  <c r="E214" i="2" s="1"/>
  <c r="N216" i="11"/>
  <c r="M216" i="11"/>
  <c r="L216" i="11"/>
  <c r="K216" i="11"/>
  <c r="I216" i="11"/>
  <c r="H216" i="11"/>
  <c r="G216" i="11"/>
  <c r="F216" i="11"/>
  <c r="D215" i="1" s="1"/>
  <c r="AC215" i="1" s="1"/>
  <c r="AD215" i="1" s="1"/>
  <c r="E213" i="2" s="1"/>
  <c r="N215" i="11"/>
  <c r="M215" i="11"/>
  <c r="L215" i="11"/>
  <c r="K215" i="11"/>
  <c r="I215" i="11"/>
  <c r="H215" i="11"/>
  <c r="F214" i="1" s="1"/>
  <c r="G215" i="11"/>
  <c r="E214" i="1" s="1"/>
  <c r="F215" i="11"/>
  <c r="D214" i="1" s="1"/>
  <c r="AC214" i="1" s="1"/>
  <c r="AD214" i="1" s="1"/>
  <c r="E212" i="2" s="1"/>
  <c r="E216" i="5" s="1"/>
  <c r="N214" i="11"/>
  <c r="M214" i="11"/>
  <c r="L214" i="11"/>
  <c r="K214" i="11"/>
  <c r="I214" i="11"/>
  <c r="H214" i="11"/>
  <c r="G214" i="11"/>
  <c r="E213" i="1" s="1"/>
  <c r="F214" i="11"/>
  <c r="D213" i="1" s="1"/>
  <c r="AC213" i="1" s="1"/>
  <c r="AD213" i="1" s="1"/>
  <c r="E211" i="2" s="1"/>
  <c r="E215" i="5" s="1"/>
  <c r="N213" i="11"/>
  <c r="T213" i="11" s="1"/>
  <c r="M213" i="11"/>
  <c r="L213" i="11"/>
  <c r="K213" i="11"/>
  <c r="I213" i="11"/>
  <c r="H213" i="11"/>
  <c r="G213" i="11"/>
  <c r="F213" i="11"/>
  <c r="D212" i="1" s="1"/>
  <c r="AC212" i="1" s="1"/>
  <c r="AD212" i="1" s="1"/>
  <c r="E210" i="2" s="1"/>
  <c r="E214" i="5" s="1"/>
  <c r="N212" i="11"/>
  <c r="M212" i="11"/>
  <c r="L212" i="11"/>
  <c r="K212" i="11"/>
  <c r="I212" i="11"/>
  <c r="H212" i="11"/>
  <c r="F211" i="1" s="1"/>
  <c r="G212" i="11"/>
  <c r="E211" i="1" s="1"/>
  <c r="F212" i="11"/>
  <c r="N211" i="11"/>
  <c r="M211" i="11"/>
  <c r="L211" i="11"/>
  <c r="K211" i="11"/>
  <c r="I211" i="11"/>
  <c r="H211" i="11"/>
  <c r="G211" i="11"/>
  <c r="F211" i="11"/>
  <c r="D210" i="1" s="1"/>
  <c r="AC210" i="1" s="1"/>
  <c r="AD210" i="1" s="1"/>
  <c r="E208" i="2" s="1"/>
  <c r="E212" i="5" s="1"/>
  <c r="N210" i="11"/>
  <c r="M210" i="11"/>
  <c r="L210" i="11"/>
  <c r="K210" i="11"/>
  <c r="I210" i="11"/>
  <c r="H210" i="11"/>
  <c r="G210" i="11"/>
  <c r="F210" i="11"/>
  <c r="D209" i="1" s="1"/>
  <c r="AC209" i="1" s="1"/>
  <c r="AD209" i="1" s="1"/>
  <c r="E207" i="2" s="1"/>
  <c r="N209" i="11"/>
  <c r="M209" i="11"/>
  <c r="L209" i="11"/>
  <c r="K209" i="11"/>
  <c r="I209" i="11"/>
  <c r="H209" i="11"/>
  <c r="G209" i="11"/>
  <c r="F209" i="11"/>
  <c r="D208" i="1" s="1"/>
  <c r="AC208" i="1" s="1"/>
  <c r="AD208" i="1" s="1"/>
  <c r="E206" i="2" s="1"/>
  <c r="E210" i="5" s="1"/>
  <c r="N208" i="11"/>
  <c r="M208" i="11"/>
  <c r="L208" i="11"/>
  <c r="K208" i="11"/>
  <c r="I208" i="11"/>
  <c r="H208" i="11"/>
  <c r="G208" i="11"/>
  <c r="E207" i="1" s="1"/>
  <c r="F208" i="11"/>
  <c r="D207" i="1" s="1"/>
  <c r="AC207" i="1" s="1"/>
  <c r="AD207" i="1" s="1"/>
  <c r="E205" i="2" s="1"/>
  <c r="E209" i="5" s="1"/>
  <c r="N207" i="11"/>
  <c r="M207" i="11"/>
  <c r="L207" i="11"/>
  <c r="K207" i="11"/>
  <c r="I207" i="11"/>
  <c r="H207" i="11"/>
  <c r="G207" i="11"/>
  <c r="F207" i="11"/>
  <c r="D206" i="1" s="1"/>
  <c r="AC206" i="1" s="1"/>
  <c r="AD206" i="1" s="1"/>
  <c r="E204" i="2" s="1"/>
  <c r="E208" i="5" s="1"/>
  <c r="N206" i="11"/>
  <c r="M206" i="11"/>
  <c r="L206" i="11"/>
  <c r="K206" i="11"/>
  <c r="I206" i="11"/>
  <c r="H206" i="11"/>
  <c r="F205" i="1" s="1"/>
  <c r="G206" i="11"/>
  <c r="F206" i="11"/>
  <c r="D205" i="1" s="1"/>
  <c r="AC205" i="1" s="1"/>
  <c r="AD205" i="1" s="1"/>
  <c r="E203" i="2" s="1"/>
  <c r="E207" i="5" s="1"/>
  <c r="N205" i="11"/>
  <c r="M205" i="11"/>
  <c r="L205" i="11"/>
  <c r="K205" i="11"/>
  <c r="I205" i="11"/>
  <c r="H205" i="11"/>
  <c r="G205" i="11"/>
  <c r="F205" i="11"/>
  <c r="D204" i="1" s="1"/>
  <c r="AC204" i="1" s="1"/>
  <c r="AD204" i="1" s="1"/>
  <c r="E202" i="2" s="1"/>
  <c r="E206" i="5" s="1"/>
  <c r="N204" i="11"/>
  <c r="M204" i="11"/>
  <c r="L204" i="11"/>
  <c r="K204" i="11"/>
  <c r="I204" i="11"/>
  <c r="H204" i="11"/>
  <c r="F203" i="1" s="1"/>
  <c r="G204" i="11"/>
  <c r="E203" i="1" s="1"/>
  <c r="F204" i="11"/>
  <c r="D203" i="1" s="1"/>
  <c r="AC203" i="1" s="1"/>
  <c r="AD203" i="1" s="1"/>
  <c r="E201" i="2" s="1"/>
  <c r="E205" i="5" s="1"/>
  <c r="N203" i="11"/>
  <c r="M203" i="11"/>
  <c r="L203" i="11"/>
  <c r="K203" i="11"/>
  <c r="I203" i="11"/>
  <c r="H203" i="11"/>
  <c r="G203" i="11"/>
  <c r="F203" i="11"/>
  <c r="D202" i="1" s="1"/>
  <c r="AC202" i="1" s="1"/>
  <c r="AD202" i="1" s="1"/>
  <c r="E200" i="2" s="1"/>
  <c r="E204" i="5" s="1"/>
  <c r="N202" i="11"/>
  <c r="M202" i="11"/>
  <c r="L202" i="11"/>
  <c r="K202" i="11"/>
  <c r="I202" i="11"/>
  <c r="H202" i="11"/>
  <c r="F201" i="1" s="1"/>
  <c r="G202" i="11"/>
  <c r="E201" i="1" s="1"/>
  <c r="F202" i="11"/>
  <c r="D201" i="1" s="1"/>
  <c r="AC201" i="1" s="1"/>
  <c r="AD201" i="1" s="1"/>
  <c r="E199" i="2" s="1"/>
  <c r="E203" i="5" s="1"/>
  <c r="N201" i="11"/>
  <c r="M201" i="11"/>
  <c r="L201" i="11"/>
  <c r="K201" i="11"/>
  <c r="I201" i="11"/>
  <c r="H201" i="11"/>
  <c r="G201" i="11"/>
  <c r="E200" i="1" s="1"/>
  <c r="F201" i="11"/>
  <c r="D200" i="1" s="1"/>
  <c r="AC200" i="1" s="1"/>
  <c r="AD200" i="1" s="1"/>
  <c r="E198" i="2" s="1"/>
  <c r="N200" i="11"/>
  <c r="T200" i="11" s="1"/>
  <c r="M200" i="11"/>
  <c r="L200" i="11"/>
  <c r="K200" i="11"/>
  <c r="I200" i="11"/>
  <c r="H200" i="11"/>
  <c r="G200" i="11"/>
  <c r="E199" i="1" s="1"/>
  <c r="F200" i="11"/>
  <c r="D199" i="1" s="1"/>
  <c r="AC199" i="1" s="1"/>
  <c r="AD199" i="1" s="1"/>
  <c r="E197" i="2" s="1"/>
  <c r="E201" i="5" s="1"/>
  <c r="N199" i="11"/>
  <c r="M199" i="11"/>
  <c r="L199" i="11"/>
  <c r="K199" i="11"/>
  <c r="I199" i="11"/>
  <c r="H199" i="11"/>
  <c r="G199" i="11"/>
  <c r="F199" i="11"/>
  <c r="D198" i="1" s="1"/>
  <c r="AC198" i="1" s="1"/>
  <c r="AD198" i="1" s="1"/>
  <c r="E196" i="2" s="1"/>
  <c r="E200" i="5" s="1"/>
  <c r="N198" i="11"/>
  <c r="M198" i="11"/>
  <c r="L198" i="11"/>
  <c r="K198" i="11"/>
  <c r="I198" i="11"/>
  <c r="H198" i="11"/>
  <c r="G198" i="11"/>
  <c r="F198" i="11"/>
  <c r="D197" i="1" s="1"/>
  <c r="AC197" i="1" s="1"/>
  <c r="AD197" i="1" s="1"/>
  <c r="E195" i="2" s="1"/>
  <c r="E199" i="5" s="1"/>
  <c r="N197" i="11"/>
  <c r="M197" i="11"/>
  <c r="L197" i="11"/>
  <c r="K197" i="11"/>
  <c r="I197" i="11"/>
  <c r="H197" i="11"/>
  <c r="G197" i="11"/>
  <c r="F197" i="11"/>
  <c r="D196" i="1" s="1"/>
  <c r="AC196" i="1" s="1"/>
  <c r="AD196" i="1" s="1"/>
  <c r="E194" i="2" s="1"/>
  <c r="N196" i="11"/>
  <c r="M196" i="11"/>
  <c r="L196" i="11"/>
  <c r="K196" i="11"/>
  <c r="I196" i="11"/>
  <c r="H196" i="11"/>
  <c r="F195" i="1" s="1"/>
  <c r="G196" i="11"/>
  <c r="E195" i="1" s="1"/>
  <c r="F196" i="11"/>
  <c r="D195" i="1" s="1"/>
  <c r="AC195" i="1" s="1"/>
  <c r="AD195" i="1" s="1"/>
  <c r="E193" i="2" s="1"/>
  <c r="N195" i="11"/>
  <c r="M195" i="11"/>
  <c r="L195" i="11"/>
  <c r="K195" i="11"/>
  <c r="I195" i="11"/>
  <c r="H195" i="11"/>
  <c r="G195" i="11"/>
  <c r="F195" i="11"/>
  <c r="D194" i="1" s="1"/>
  <c r="AC194" i="1" s="1"/>
  <c r="AD194" i="1" s="1"/>
  <c r="E192" i="2" s="1"/>
  <c r="E196" i="5" s="1"/>
  <c r="N194" i="11"/>
  <c r="M194" i="11"/>
  <c r="L194" i="11"/>
  <c r="K194" i="11"/>
  <c r="I194" i="11"/>
  <c r="H194" i="11"/>
  <c r="G194" i="11"/>
  <c r="F194" i="11"/>
  <c r="D193" i="1" s="1"/>
  <c r="AC193" i="1" s="1"/>
  <c r="AD193" i="1" s="1"/>
  <c r="E191" i="2" s="1"/>
  <c r="E195" i="5" s="1"/>
  <c r="N193" i="11"/>
  <c r="M193" i="11"/>
  <c r="L193" i="11"/>
  <c r="K193" i="11"/>
  <c r="I193" i="11"/>
  <c r="H193" i="11"/>
  <c r="G193" i="11"/>
  <c r="F193" i="11"/>
  <c r="D192" i="1" s="1"/>
  <c r="AC192" i="1" s="1"/>
  <c r="AD192" i="1" s="1"/>
  <c r="E190" i="2" s="1"/>
  <c r="E194" i="5" s="1"/>
  <c r="N192" i="11"/>
  <c r="M192" i="11"/>
  <c r="L192" i="11"/>
  <c r="K192" i="11"/>
  <c r="I192" i="11"/>
  <c r="H192" i="11"/>
  <c r="G192" i="11"/>
  <c r="E191" i="1" s="1"/>
  <c r="F192" i="11"/>
  <c r="D191" i="1" s="1"/>
  <c r="AC191" i="1" s="1"/>
  <c r="AD191" i="1" s="1"/>
  <c r="E189" i="2" s="1"/>
  <c r="N191" i="11"/>
  <c r="M191" i="11"/>
  <c r="L191" i="11"/>
  <c r="K191" i="11"/>
  <c r="I191" i="11"/>
  <c r="H191" i="11"/>
  <c r="G191" i="11"/>
  <c r="F191" i="11"/>
  <c r="D190" i="1" s="1"/>
  <c r="AC190" i="1" s="1"/>
  <c r="AD190" i="1" s="1"/>
  <c r="E188" i="2" s="1"/>
  <c r="E192" i="5" s="1"/>
  <c r="N190" i="11"/>
  <c r="M190" i="11"/>
  <c r="L190" i="11"/>
  <c r="K190" i="11"/>
  <c r="I190" i="11"/>
  <c r="H190" i="11"/>
  <c r="F189" i="1" s="1"/>
  <c r="G190" i="11"/>
  <c r="F190" i="11"/>
  <c r="D189" i="1" s="1"/>
  <c r="AC189" i="1" s="1"/>
  <c r="AD189" i="1" s="1"/>
  <c r="E187" i="2" s="1"/>
  <c r="E191" i="5" s="1"/>
  <c r="N189" i="11"/>
  <c r="M189" i="11"/>
  <c r="L189" i="11"/>
  <c r="K189" i="11"/>
  <c r="I189" i="11"/>
  <c r="H189" i="11"/>
  <c r="G189" i="11"/>
  <c r="F189" i="11"/>
  <c r="D188" i="1" s="1"/>
  <c r="AC188" i="1" s="1"/>
  <c r="AD188" i="1" s="1"/>
  <c r="E186" i="2" s="1"/>
  <c r="E190" i="5" s="1"/>
  <c r="N188" i="11"/>
  <c r="M188" i="11"/>
  <c r="L188" i="11"/>
  <c r="K188" i="11"/>
  <c r="I188" i="11"/>
  <c r="H188" i="11"/>
  <c r="G188" i="11"/>
  <c r="E187" i="1" s="1"/>
  <c r="F188" i="11"/>
  <c r="D187" i="1" s="1"/>
  <c r="AC187" i="1" s="1"/>
  <c r="AD187" i="1" s="1"/>
  <c r="E185" i="2" s="1"/>
  <c r="E189" i="5" s="1"/>
  <c r="N187" i="11"/>
  <c r="M187" i="11"/>
  <c r="L187" i="11"/>
  <c r="K187" i="11"/>
  <c r="I187" i="11"/>
  <c r="H187" i="11"/>
  <c r="G187" i="11"/>
  <c r="E186" i="1" s="1"/>
  <c r="F187" i="11"/>
  <c r="D186" i="1" s="1"/>
  <c r="AC186" i="1" s="1"/>
  <c r="AD186" i="1" s="1"/>
  <c r="E184" i="2" s="1"/>
  <c r="E188" i="5" s="1"/>
  <c r="N186" i="11"/>
  <c r="M186" i="11"/>
  <c r="L186" i="11"/>
  <c r="K186" i="11"/>
  <c r="I186" i="11"/>
  <c r="H186" i="11"/>
  <c r="G186" i="11"/>
  <c r="E185" i="1" s="1"/>
  <c r="F186" i="11"/>
  <c r="N185" i="11"/>
  <c r="M185" i="11"/>
  <c r="L185" i="11"/>
  <c r="K185" i="11"/>
  <c r="I185" i="11"/>
  <c r="H185" i="11"/>
  <c r="G185" i="11"/>
  <c r="E184" i="1" s="1"/>
  <c r="F185" i="11"/>
  <c r="D184" i="1" s="1"/>
  <c r="AC184" i="1" s="1"/>
  <c r="AD184" i="1" s="1"/>
  <c r="E182" i="2" s="1"/>
  <c r="N184" i="11"/>
  <c r="M184" i="11"/>
  <c r="L184" i="11"/>
  <c r="K184" i="11"/>
  <c r="I184" i="11"/>
  <c r="H184" i="11"/>
  <c r="G184" i="11"/>
  <c r="E183" i="1" s="1"/>
  <c r="F184" i="11"/>
  <c r="N183" i="11"/>
  <c r="M183" i="11"/>
  <c r="L183" i="11"/>
  <c r="K183" i="11"/>
  <c r="I183" i="11"/>
  <c r="H183" i="11"/>
  <c r="G183" i="11"/>
  <c r="F183" i="11"/>
  <c r="D182" i="1" s="1"/>
  <c r="AC182" i="1" s="1"/>
  <c r="AD182" i="1" s="1"/>
  <c r="E180" i="2" s="1"/>
  <c r="E184" i="5" s="1"/>
  <c r="N182" i="11"/>
  <c r="M182" i="11"/>
  <c r="L182" i="11"/>
  <c r="K182" i="11"/>
  <c r="P182" i="11" s="1"/>
  <c r="I182" i="11"/>
  <c r="H182" i="11"/>
  <c r="G182" i="11"/>
  <c r="E181" i="1" s="1"/>
  <c r="F182" i="11"/>
  <c r="D181" i="1" s="1"/>
  <c r="AC181" i="1" s="1"/>
  <c r="AD181" i="1" s="1"/>
  <c r="E179" i="2" s="1"/>
  <c r="N181" i="11"/>
  <c r="M181" i="11"/>
  <c r="L181" i="11"/>
  <c r="K181" i="11"/>
  <c r="I181" i="11"/>
  <c r="H181" i="11"/>
  <c r="G181" i="11"/>
  <c r="F181" i="11"/>
  <c r="D180" i="1" s="1"/>
  <c r="AC180" i="1" s="1"/>
  <c r="AD180" i="1" s="1"/>
  <c r="E178" i="2" s="1"/>
  <c r="E182" i="5" s="1"/>
  <c r="N180" i="11"/>
  <c r="M180" i="11"/>
  <c r="L180" i="11"/>
  <c r="K180" i="11"/>
  <c r="I180" i="11"/>
  <c r="H180" i="11"/>
  <c r="G180" i="11"/>
  <c r="E179" i="1" s="1"/>
  <c r="F180" i="11"/>
  <c r="N179" i="11"/>
  <c r="T179" i="11" s="1"/>
  <c r="M179" i="11"/>
  <c r="L179" i="11"/>
  <c r="K179" i="11"/>
  <c r="I179" i="11"/>
  <c r="H179" i="11"/>
  <c r="G179" i="11"/>
  <c r="E178" i="1" s="1"/>
  <c r="F179" i="11"/>
  <c r="N178" i="11"/>
  <c r="M178" i="11"/>
  <c r="L178" i="11"/>
  <c r="K178" i="11"/>
  <c r="I178" i="11"/>
  <c r="H178" i="11"/>
  <c r="F177" i="1" s="1"/>
  <c r="G178" i="11"/>
  <c r="F178" i="11"/>
  <c r="D177" i="1" s="1"/>
  <c r="AC177" i="1" s="1"/>
  <c r="AD177" i="1" s="1"/>
  <c r="E175" i="2" s="1"/>
  <c r="N177" i="11"/>
  <c r="M177" i="11"/>
  <c r="L177" i="11"/>
  <c r="K177" i="11"/>
  <c r="I177" i="11"/>
  <c r="H177" i="11"/>
  <c r="G177" i="11"/>
  <c r="E176" i="1" s="1"/>
  <c r="F177" i="11"/>
  <c r="O175" i="12" s="1"/>
  <c r="N176" i="11"/>
  <c r="M176" i="11"/>
  <c r="L176" i="11"/>
  <c r="K176" i="11"/>
  <c r="I176" i="11"/>
  <c r="H176" i="11"/>
  <c r="G176" i="11"/>
  <c r="E175" i="1" s="1"/>
  <c r="F176" i="11"/>
  <c r="D175" i="1" s="1"/>
  <c r="AC175" i="1" s="1"/>
  <c r="AD175" i="1" s="1"/>
  <c r="E173" i="2" s="1"/>
  <c r="N175" i="11"/>
  <c r="M175" i="11"/>
  <c r="L175" i="11"/>
  <c r="K175" i="11"/>
  <c r="I175" i="11"/>
  <c r="H175" i="11"/>
  <c r="G175" i="11"/>
  <c r="E174" i="1" s="1"/>
  <c r="F175" i="11"/>
  <c r="D174" i="1" s="1"/>
  <c r="AC174" i="1" s="1"/>
  <c r="AD174" i="1" s="1"/>
  <c r="E172" i="2" s="1"/>
  <c r="E176" i="5" s="1"/>
  <c r="N174" i="11"/>
  <c r="M174" i="11"/>
  <c r="L174" i="11"/>
  <c r="K174" i="11"/>
  <c r="I174" i="11"/>
  <c r="H174" i="11"/>
  <c r="G174" i="11"/>
  <c r="F174" i="11"/>
  <c r="D173" i="1" s="1"/>
  <c r="AC173" i="1" s="1"/>
  <c r="AD173" i="1" s="1"/>
  <c r="E171" i="2" s="1"/>
  <c r="N173" i="11"/>
  <c r="M173" i="11"/>
  <c r="L173" i="11"/>
  <c r="K173" i="11"/>
  <c r="I173" i="11"/>
  <c r="H173" i="11"/>
  <c r="G173" i="11"/>
  <c r="F173" i="11"/>
  <c r="D172" i="1" s="1"/>
  <c r="AC172" i="1" s="1"/>
  <c r="AD172" i="1" s="1"/>
  <c r="E170" i="2" s="1"/>
  <c r="N172" i="11"/>
  <c r="M172" i="11"/>
  <c r="L172" i="11"/>
  <c r="K172" i="11"/>
  <c r="I172" i="11"/>
  <c r="H172" i="11"/>
  <c r="G172" i="11"/>
  <c r="E171" i="1" s="1"/>
  <c r="F172" i="11"/>
  <c r="D171" i="1" s="1"/>
  <c r="AC171" i="1" s="1"/>
  <c r="AD171" i="1" s="1"/>
  <c r="E169" i="2" s="1"/>
  <c r="N171" i="11"/>
  <c r="M171" i="11"/>
  <c r="L171" i="11"/>
  <c r="K171" i="11"/>
  <c r="I171" i="11"/>
  <c r="H171" i="11"/>
  <c r="G171" i="11"/>
  <c r="F171" i="11"/>
  <c r="D170" i="1" s="1"/>
  <c r="AC170" i="1" s="1"/>
  <c r="AD170" i="1" s="1"/>
  <c r="E168" i="2" s="1"/>
  <c r="N170" i="11"/>
  <c r="M170" i="11"/>
  <c r="L170" i="11"/>
  <c r="K170" i="11"/>
  <c r="I170" i="11"/>
  <c r="H170" i="11"/>
  <c r="G170" i="11"/>
  <c r="E169" i="1" s="1"/>
  <c r="F170" i="11"/>
  <c r="D169" i="1" s="1"/>
  <c r="AC169" i="1" s="1"/>
  <c r="AD169" i="1" s="1"/>
  <c r="E167" i="2" s="1"/>
  <c r="E171" i="5" s="1"/>
  <c r="N169" i="11"/>
  <c r="M169" i="11"/>
  <c r="L169" i="11"/>
  <c r="K169" i="11"/>
  <c r="I169" i="11"/>
  <c r="H169" i="11"/>
  <c r="G169" i="11"/>
  <c r="F169" i="11"/>
  <c r="D168" i="1" s="1"/>
  <c r="AC168" i="1" s="1"/>
  <c r="AD168" i="1" s="1"/>
  <c r="E166" i="2" s="1"/>
  <c r="E170" i="5" s="1"/>
  <c r="N168" i="11"/>
  <c r="M168" i="11"/>
  <c r="L168" i="11"/>
  <c r="K168" i="11"/>
  <c r="I168" i="11"/>
  <c r="H168" i="11"/>
  <c r="F167" i="1" s="1"/>
  <c r="G168" i="11"/>
  <c r="E167" i="1" s="1"/>
  <c r="F168" i="11"/>
  <c r="D167" i="1" s="1"/>
  <c r="AC167" i="1" s="1"/>
  <c r="AD167" i="1" s="1"/>
  <c r="E165" i="2" s="1"/>
  <c r="E169" i="5" s="1"/>
  <c r="N167" i="11"/>
  <c r="M167" i="11"/>
  <c r="L167" i="11"/>
  <c r="K167" i="11"/>
  <c r="I167" i="11"/>
  <c r="H167" i="11"/>
  <c r="F166" i="1" s="1"/>
  <c r="G167" i="11"/>
  <c r="E166" i="1" s="1"/>
  <c r="F167" i="11"/>
  <c r="D166" i="1" s="1"/>
  <c r="AC166" i="1" s="1"/>
  <c r="AD166" i="1" s="1"/>
  <c r="E164" i="2" s="1"/>
  <c r="E168" i="5" s="1"/>
  <c r="N166" i="11"/>
  <c r="M166" i="11"/>
  <c r="L166" i="11"/>
  <c r="K166" i="11"/>
  <c r="I166" i="11"/>
  <c r="H166" i="11"/>
  <c r="F165" i="1" s="1"/>
  <c r="G166" i="11"/>
  <c r="E165" i="1" s="1"/>
  <c r="F166" i="11"/>
  <c r="N165" i="11"/>
  <c r="M165" i="11"/>
  <c r="L165" i="11"/>
  <c r="K165" i="11"/>
  <c r="I165" i="11"/>
  <c r="H165" i="11"/>
  <c r="G165" i="11"/>
  <c r="F165" i="11"/>
  <c r="D164" i="1" s="1"/>
  <c r="AC164" i="1" s="1"/>
  <c r="AD164" i="1" s="1"/>
  <c r="E162" i="2" s="1"/>
  <c r="E166" i="5" s="1"/>
  <c r="N164" i="11"/>
  <c r="M164" i="11"/>
  <c r="L164" i="11"/>
  <c r="K164" i="11"/>
  <c r="I164" i="11"/>
  <c r="H164" i="11"/>
  <c r="G164" i="11"/>
  <c r="E163" i="1" s="1"/>
  <c r="F164" i="11"/>
  <c r="D163" i="1" s="1"/>
  <c r="AC163" i="1" s="1"/>
  <c r="AD163" i="1" s="1"/>
  <c r="E161" i="2" s="1"/>
  <c r="E165" i="5" s="1"/>
  <c r="N163" i="11"/>
  <c r="M163" i="11"/>
  <c r="L163" i="11"/>
  <c r="K163" i="11"/>
  <c r="I163" i="11"/>
  <c r="H163" i="11"/>
  <c r="G163" i="11"/>
  <c r="F163" i="11"/>
  <c r="D162" i="1" s="1"/>
  <c r="AC162" i="1" s="1"/>
  <c r="AD162" i="1" s="1"/>
  <c r="E160" i="2" s="1"/>
  <c r="N162" i="11"/>
  <c r="M162" i="11"/>
  <c r="L162" i="11"/>
  <c r="K162" i="11"/>
  <c r="I162" i="11"/>
  <c r="H162" i="11"/>
  <c r="G162" i="11"/>
  <c r="F162" i="11"/>
  <c r="D161" i="1" s="1"/>
  <c r="AC161" i="1" s="1"/>
  <c r="AD161" i="1" s="1"/>
  <c r="E159" i="2" s="1"/>
  <c r="N161" i="11"/>
  <c r="M161" i="11"/>
  <c r="L161" i="11"/>
  <c r="K161" i="11"/>
  <c r="I161" i="11"/>
  <c r="H161" i="11"/>
  <c r="G161" i="11"/>
  <c r="F161" i="11"/>
  <c r="D160" i="1" s="1"/>
  <c r="AC160" i="1" s="1"/>
  <c r="AD160" i="1" s="1"/>
  <c r="E158" i="2" s="1"/>
  <c r="E162" i="5" s="1"/>
  <c r="N160" i="11"/>
  <c r="M160" i="11"/>
  <c r="L160" i="11"/>
  <c r="K160" i="11"/>
  <c r="I160" i="11"/>
  <c r="H160" i="11"/>
  <c r="F159" i="1" s="1"/>
  <c r="G160" i="11"/>
  <c r="E159" i="1" s="1"/>
  <c r="F160" i="11"/>
  <c r="D159" i="1" s="1"/>
  <c r="AC159" i="1" s="1"/>
  <c r="AD159" i="1" s="1"/>
  <c r="E157" i="2" s="1"/>
  <c r="N159" i="11"/>
  <c r="M159" i="11"/>
  <c r="L159" i="11"/>
  <c r="K159" i="11"/>
  <c r="I159" i="11"/>
  <c r="G158" i="1" s="1"/>
  <c r="H159" i="11"/>
  <c r="G159" i="11"/>
  <c r="E158" i="1" s="1"/>
  <c r="F159" i="11"/>
  <c r="D158" i="1" s="1"/>
  <c r="AC158" i="1" s="1"/>
  <c r="AD158" i="1" s="1"/>
  <c r="E156" i="2" s="1"/>
  <c r="E160" i="5" s="1"/>
  <c r="N158" i="11"/>
  <c r="M158" i="11"/>
  <c r="L158" i="11"/>
  <c r="K158" i="11"/>
  <c r="I158" i="11"/>
  <c r="H158" i="11"/>
  <c r="G158" i="11"/>
  <c r="E157" i="1" s="1"/>
  <c r="F158" i="11"/>
  <c r="D157" i="1" s="1"/>
  <c r="AC157" i="1" s="1"/>
  <c r="AD157" i="1" s="1"/>
  <c r="E155" i="2" s="1"/>
  <c r="E159" i="5" s="1"/>
  <c r="N157" i="11"/>
  <c r="T157" i="11" s="1"/>
  <c r="M157" i="11"/>
  <c r="L157" i="11"/>
  <c r="K157" i="11"/>
  <c r="I157" i="11"/>
  <c r="H157" i="11"/>
  <c r="F156" i="1" s="1"/>
  <c r="G157" i="11"/>
  <c r="F157" i="11"/>
  <c r="D156" i="1" s="1"/>
  <c r="AC156" i="1" s="1"/>
  <c r="AD156" i="1" s="1"/>
  <c r="E154" i="2" s="1"/>
  <c r="N156" i="11"/>
  <c r="M156" i="11"/>
  <c r="L156" i="11"/>
  <c r="K156" i="11"/>
  <c r="I156" i="11"/>
  <c r="G155" i="1" s="1"/>
  <c r="H156" i="11"/>
  <c r="F155" i="1" s="1"/>
  <c r="G156" i="11"/>
  <c r="E155" i="1" s="1"/>
  <c r="F156" i="11"/>
  <c r="D155" i="1" s="1"/>
  <c r="AC155" i="1" s="1"/>
  <c r="AD155" i="1" s="1"/>
  <c r="E153" i="2" s="1"/>
  <c r="N155" i="11"/>
  <c r="M155" i="11"/>
  <c r="L155" i="11"/>
  <c r="K155" i="11"/>
  <c r="I155" i="11"/>
  <c r="H155" i="11"/>
  <c r="G155" i="11"/>
  <c r="E154" i="1" s="1"/>
  <c r="F155" i="11"/>
  <c r="D154" i="1" s="1"/>
  <c r="AC154" i="1" s="1"/>
  <c r="AD154" i="1" s="1"/>
  <c r="E152" i="2" s="1"/>
  <c r="E156" i="5" s="1"/>
  <c r="N154" i="11"/>
  <c r="M154" i="11"/>
  <c r="L154" i="11"/>
  <c r="K154" i="11"/>
  <c r="I154" i="11"/>
  <c r="H154" i="11"/>
  <c r="G154" i="11"/>
  <c r="E153" i="1" s="1"/>
  <c r="F154" i="11"/>
  <c r="N153" i="11"/>
  <c r="M153" i="11"/>
  <c r="L153" i="11"/>
  <c r="K153" i="11"/>
  <c r="P153" i="11" s="1"/>
  <c r="I153" i="11"/>
  <c r="G152" i="1" s="1"/>
  <c r="H153" i="11"/>
  <c r="F152" i="1" s="1"/>
  <c r="G153" i="11"/>
  <c r="E152" i="1" s="1"/>
  <c r="F153" i="11"/>
  <c r="D152" i="1" s="1"/>
  <c r="AC152" i="1" s="1"/>
  <c r="AD152" i="1" s="1"/>
  <c r="E150" i="2" s="1"/>
  <c r="E154" i="5" s="1"/>
  <c r="N152" i="11"/>
  <c r="M152" i="11"/>
  <c r="L152" i="11"/>
  <c r="K152" i="11"/>
  <c r="I152" i="11"/>
  <c r="H152" i="11"/>
  <c r="G152" i="11"/>
  <c r="E151" i="1" s="1"/>
  <c r="F152" i="11"/>
  <c r="D151" i="1" s="1"/>
  <c r="AC151" i="1" s="1"/>
  <c r="AD151" i="1" s="1"/>
  <c r="E149" i="2" s="1"/>
  <c r="E153" i="5" s="1"/>
  <c r="N151" i="11"/>
  <c r="M151" i="11"/>
  <c r="L151" i="11"/>
  <c r="K151" i="11"/>
  <c r="I151" i="11"/>
  <c r="H151" i="11"/>
  <c r="F150" i="1" s="1"/>
  <c r="G151" i="11"/>
  <c r="F151" i="11"/>
  <c r="D150" i="1" s="1"/>
  <c r="AC150" i="1" s="1"/>
  <c r="AD150" i="1" s="1"/>
  <c r="E148" i="2" s="1"/>
  <c r="E152" i="5" s="1"/>
  <c r="N150" i="11"/>
  <c r="M150" i="11"/>
  <c r="L150" i="11"/>
  <c r="K150" i="11"/>
  <c r="P150" i="11" s="1"/>
  <c r="I150" i="11"/>
  <c r="H150" i="11"/>
  <c r="G150" i="11"/>
  <c r="E149" i="1" s="1"/>
  <c r="F150" i="11"/>
  <c r="D149" i="1" s="1"/>
  <c r="AC149" i="1" s="1"/>
  <c r="AD149" i="1" s="1"/>
  <c r="E147" i="2" s="1"/>
  <c r="E151" i="5" s="1"/>
  <c r="N149" i="11"/>
  <c r="M149" i="11"/>
  <c r="L149" i="11"/>
  <c r="K149" i="11"/>
  <c r="I149" i="11"/>
  <c r="H149" i="11"/>
  <c r="F148" i="1" s="1"/>
  <c r="G149" i="11"/>
  <c r="F149" i="11"/>
  <c r="D148" i="1" s="1"/>
  <c r="AC148" i="1" s="1"/>
  <c r="AD148" i="1" s="1"/>
  <c r="E146" i="2" s="1"/>
  <c r="E150" i="5" s="1"/>
  <c r="N148" i="11"/>
  <c r="M148" i="11"/>
  <c r="L148" i="11"/>
  <c r="K148" i="11"/>
  <c r="I148" i="11"/>
  <c r="G147" i="1" s="1"/>
  <c r="H148" i="11"/>
  <c r="G148" i="11"/>
  <c r="E147" i="1" s="1"/>
  <c r="F148" i="11"/>
  <c r="D147" i="1" s="1"/>
  <c r="AC147" i="1" s="1"/>
  <c r="AD147" i="1" s="1"/>
  <c r="E145" i="2" s="1"/>
  <c r="E149" i="5" s="1"/>
  <c r="N147" i="11"/>
  <c r="M147" i="11"/>
  <c r="L147" i="11"/>
  <c r="K147" i="11"/>
  <c r="I147" i="11"/>
  <c r="G146" i="1" s="1"/>
  <c r="H147" i="11"/>
  <c r="F146" i="1" s="1"/>
  <c r="G147" i="11"/>
  <c r="E146" i="1" s="1"/>
  <c r="F147" i="11"/>
  <c r="D146" i="1" s="1"/>
  <c r="AC146" i="1" s="1"/>
  <c r="AD146" i="1" s="1"/>
  <c r="E144" i="2" s="1"/>
  <c r="N146" i="11"/>
  <c r="M146" i="11"/>
  <c r="L146" i="11"/>
  <c r="K146" i="11"/>
  <c r="I146" i="11"/>
  <c r="G145" i="1" s="1"/>
  <c r="H146" i="11"/>
  <c r="F145" i="1" s="1"/>
  <c r="G146" i="11"/>
  <c r="F146" i="11"/>
  <c r="D145" i="1" s="1"/>
  <c r="AC145" i="1" s="1"/>
  <c r="AD145" i="1" s="1"/>
  <c r="E143" i="2" s="1"/>
  <c r="E147" i="5" s="1"/>
  <c r="N145" i="11"/>
  <c r="M145" i="11"/>
  <c r="L145" i="11"/>
  <c r="K145" i="11"/>
  <c r="P145" i="11" s="1"/>
  <c r="I145" i="11"/>
  <c r="H145" i="11"/>
  <c r="F144" i="1" s="1"/>
  <c r="G145" i="11"/>
  <c r="E144" i="1" s="1"/>
  <c r="F145" i="11"/>
  <c r="N144" i="11"/>
  <c r="M144" i="11"/>
  <c r="L144" i="11"/>
  <c r="K144" i="11"/>
  <c r="I144" i="11"/>
  <c r="G143" i="1" s="1"/>
  <c r="H144" i="11"/>
  <c r="G144" i="11"/>
  <c r="E143" i="1" s="1"/>
  <c r="F144" i="11"/>
  <c r="D143" i="1" s="1"/>
  <c r="AC143" i="1" s="1"/>
  <c r="AD143" i="1" s="1"/>
  <c r="E141" i="2" s="1"/>
  <c r="E145" i="5" s="1"/>
  <c r="N143" i="11"/>
  <c r="M143" i="11"/>
  <c r="L143" i="11"/>
  <c r="K143" i="11"/>
  <c r="I143" i="11"/>
  <c r="H143" i="11"/>
  <c r="F142" i="1" s="1"/>
  <c r="G143" i="11"/>
  <c r="E142" i="1" s="1"/>
  <c r="F143" i="11"/>
  <c r="D142" i="1" s="1"/>
  <c r="AC142" i="1" s="1"/>
  <c r="AD142" i="1" s="1"/>
  <c r="E140" i="2" s="1"/>
  <c r="E144" i="5" s="1"/>
  <c r="N142" i="11"/>
  <c r="M142" i="11"/>
  <c r="L142" i="11"/>
  <c r="K142" i="11"/>
  <c r="I142" i="11"/>
  <c r="G141" i="1" s="1"/>
  <c r="H142" i="11"/>
  <c r="G142" i="11"/>
  <c r="E141" i="1" s="1"/>
  <c r="F142" i="11"/>
  <c r="N141" i="11"/>
  <c r="M141" i="11"/>
  <c r="L141" i="11"/>
  <c r="K141" i="11"/>
  <c r="I141" i="11"/>
  <c r="G140" i="1" s="1"/>
  <c r="H141" i="11"/>
  <c r="G141" i="11"/>
  <c r="E140" i="1" s="1"/>
  <c r="F141" i="11"/>
  <c r="D140" i="1" s="1"/>
  <c r="AC140" i="1" s="1"/>
  <c r="AD140" i="1" s="1"/>
  <c r="E138" i="2" s="1"/>
  <c r="E142" i="5" s="1"/>
  <c r="N140" i="11"/>
  <c r="M140" i="11"/>
  <c r="L140" i="11"/>
  <c r="K140" i="11"/>
  <c r="I140" i="11"/>
  <c r="G139" i="1" s="1"/>
  <c r="H140" i="11"/>
  <c r="F139" i="1" s="1"/>
  <c r="G140" i="11"/>
  <c r="E139" i="1" s="1"/>
  <c r="F140" i="11"/>
  <c r="D139" i="1" s="1"/>
  <c r="AC139" i="1" s="1"/>
  <c r="AD139" i="1" s="1"/>
  <c r="E137" i="2" s="1"/>
  <c r="E141" i="5" s="1"/>
  <c r="N139" i="11"/>
  <c r="M139" i="11"/>
  <c r="L139" i="11"/>
  <c r="K139" i="11"/>
  <c r="I139" i="11"/>
  <c r="H139" i="11"/>
  <c r="G139" i="11"/>
  <c r="F139" i="11"/>
  <c r="D138" i="1" s="1"/>
  <c r="AC138" i="1" s="1"/>
  <c r="AD138" i="1" s="1"/>
  <c r="E136" i="2" s="1"/>
  <c r="E140" i="5" s="1"/>
  <c r="N138" i="11"/>
  <c r="M138" i="11"/>
  <c r="L138" i="11"/>
  <c r="K138" i="11"/>
  <c r="S138" i="11" s="1"/>
  <c r="I138" i="11"/>
  <c r="G137" i="1" s="1"/>
  <c r="H138" i="11"/>
  <c r="G138" i="11"/>
  <c r="E137" i="1" s="1"/>
  <c r="F138" i="11"/>
  <c r="D137" i="1" s="1"/>
  <c r="AC137" i="1" s="1"/>
  <c r="AD137" i="1" s="1"/>
  <c r="E135" i="2" s="1"/>
  <c r="E139" i="5" s="1"/>
  <c r="N137" i="11"/>
  <c r="M137" i="11"/>
  <c r="L137" i="11"/>
  <c r="K137" i="11"/>
  <c r="I137" i="11"/>
  <c r="H137" i="11"/>
  <c r="G137" i="11"/>
  <c r="F137" i="11"/>
  <c r="D136" i="1" s="1"/>
  <c r="AC136" i="1" s="1"/>
  <c r="AD136" i="1" s="1"/>
  <c r="E134" i="2" s="1"/>
  <c r="E138" i="5" s="1"/>
  <c r="N136" i="11"/>
  <c r="M136" i="11"/>
  <c r="L136" i="11"/>
  <c r="K136" i="11"/>
  <c r="I136" i="11"/>
  <c r="H136" i="11"/>
  <c r="F135" i="1" s="1"/>
  <c r="G136" i="11"/>
  <c r="E135" i="1" s="1"/>
  <c r="F136" i="11"/>
  <c r="D135" i="1" s="1"/>
  <c r="AC135" i="1" s="1"/>
  <c r="AD135" i="1" s="1"/>
  <c r="E133" i="2" s="1"/>
  <c r="E137" i="5" s="1"/>
  <c r="N135" i="11"/>
  <c r="M135" i="11"/>
  <c r="L135" i="11"/>
  <c r="K135" i="11"/>
  <c r="I135" i="11"/>
  <c r="H135" i="11"/>
  <c r="G135" i="11"/>
  <c r="E134" i="1" s="1"/>
  <c r="F135" i="11"/>
  <c r="N134" i="11"/>
  <c r="M134" i="11"/>
  <c r="L134" i="11"/>
  <c r="K134" i="11"/>
  <c r="I134" i="11"/>
  <c r="H134" i="11"/>
  <c r="F133" i="1" s="1"/>
  <c r="G134" i="11"/>
  <c r="E133" i="1" s="1"/>
  <c r="F134" i="11"/>
  <c r="N133" i="11"/>
  <c r="M133" i="11"/>
  <c r="L133" i="11"/>
  <c r="K133" i="11"/>
  <c r="I133" i="11"/>
  <c r="G132" i="1" s="1"/>
  <c r="H133" i="11"/>
  <c r="F132" i="1" s="1"/>
  <c r="G133" i="11"/>
  <c r="E132" i="1" s="1"/>
  <c r="F133" i="11"/>
  <c r="D132" i="1" s="1"/>
  <c r="AC132" i="1" s="1"/>
  <c r="AD132" i="1" s="1"/>
  <c r="E130" i="2" s="1"/>
  <c r="E134" i="5" s="1"/>
  <c r="N132" i="11"/>
  <c r="M132" i="11"/>
  <c r="L132" i="11"/>
  <c r="K132" i="11"/>
  <c r="I132" i="11"/>
  <c r="H132" i="11"/>
  <c r="F131" i="1" s="1"/>
  <c r="G132" i="11"/>
  <c r="E131" i="1" s="1"/>
  <c r="F132" i="11"/>
  <c r="D131" i="1" s="1"/>
  <c r="AC131" i="1" s="1"/>
  <c r="AD131" i="1" s="1"/>
  <c r="E129" i="2" s="1"/>
  <c r="E133" i="5" s="1"/>
  <c r="N131" i="11"/>
  <c r="M131" i="11"/>
  <c r="L131" i="11"/>
  <c r="K131" i="11"/>
  <c r="I131" i="11"/>
  <c r="H131" i="11"/>
  <c r="F130" i="1" s="1"/>
  <c r="G131" i="11"/>
  <c r="E130" i="1" s="1"/>
  <c r="F131" i="11"/>
  <c r="D130" i="1" s="1"/>
  <c r="AC130" i="1" s="1"/>
  <c r="AD130" i="1" s="1"/>
  <c r="E128" i="2" s="1"/>
  <c r="N130" i="11"/>
  <c r="M130" i="11"/>
  <c r="L130" i="11"/>
  <c r="K130" i="11"/>
  <c r="I130" i="11"/>
  <c r="G129" i="1" s="1"/>
  <c r="H130" i="11"/>
  <c r="F129" i="1" s="1"/>
  <c r="G130" i="11"/>
  <c r="E129" i="1" s="1"/>
  <c r="F130" i="11"/>
  <c r="N129" i="11"/>
  <c r="M129" i="11"/>
  <c r="L129" i="11"/>
  <c r="K129" i="11"/>
  <c r="I129" i="11"/>
  <c r="H129" i="11"/>
  <c r="G129" i="11"/>
  <c r="E128" i="1" s="1"/>
  <c r="F129" i="11"/>
  <c r="N128" i="11"/>
  <c r="M128" i="11"/>
  <c r="L128" i="11"/>
  <c r="K128" i="11"/>
  <c r="I128" i="11"/>
  <c r="H128" i="11"/>
  <c r="G128" i="11"/>
  <c r="E127" i="1" s="1"/>
  <c r="F128" i="11"/>
  <c r="D127" i="1" s="1"/>
  <c r="AC127" i="1" s="1"/>
  <c r="AD127" i="1" s="1"/>
  <c r="E125" i="2" s="1"/>
  <c r="E129" i="5" s="1"/>
  <c r="N127" i="11"/>
  <c r="M127" i="11"/>
  <c r="L127" i="11"/>
  <c r="K127" i="11"/>
  <c r="I127" i="11"/>
  <c r="H127" i="11"/>
  <c r="G127" i="11"/>
  <c r="E126" i="1" s="1"/>
  <c r="F127" i="11"/>
  <c r="D126" i="1" s="1"/>
  <c r="AC126" i="1" s="1"/>
  <c r="AD126" i="1" s="1"/>
  <c r="E124" i="2" s="1"/>
  <c r="E128" i="5" s="1"/>
  <c r="N126" i="11"/>
  <c r="M126" i="11"/>
  <c r="L126" i="11"/>
  <c r="K126" i="11"/>
  <c r="P126" i="11" s="1"/>
  <c r="I126" i="11"/>
  <c r="H126" i="11"/>
  <c r="G126" i="11"/>
  <c r="E125" i="1" s="1"/>
  <c r="F126" i="11"/>
  <c r="N125" i="11"/>
  <c r="M125" i="11"/>
  <c r="L125" i="11"/>
  <c r="K125" i="11"/>
  <c r="P125" i="11" s="1"/>
  <c r="I125" i="11"/>
  <c r="H125" i="11"/>
  <c r="F124" i="1" s="1"/>
  <c r="G125" i="11"/>
  <c r="E124" i="1" s="1"/>
  <c r="F125" i="11"/>
  <c r="N124" i="11"/>
  <c r="M124" i="11"/>
  <c r="L124" i="11"/>
  <c r="K124" i="11"/>
  <c r="I124" i="11"/>
  <c r="H124" i="11"/>
  <c r="G124" i="11"/>
  <c r="E123" i="1" s="1"/>
  <c r="F124" i="11"/>
  <c r="D123" i="1" s="1"/>
  <c r="AC123" i="1" s="1"/>
  <c r="AD123" i="1" s="1"/>
  <c r="E121" i="2" s="1"/>
  <c r="E125" i="5" s="1"/>
  <c r="N123" i="11"/>
  <c r="M123" i="11"/>
  <c r="L123" i="11"/>
  <c r="K123" i="11"/>
  <c r="I123" i="11"/>
  <c r="G122" i="1" s="1"/>
  <c r="H123" i="11"/>
  <c r="F122" i="1" s="1"/>
  <c r="G123" i="11"/>
  <c r="E122" i="1" s="1"/>
  <c r="F123" i="11"/>
  <c r="D122" i="1" s="1"/>
  <c r="AC122" i="1" s="1"/>
  <c r="AD122" i="1" s="1"/>
  <c r="E120" i="2" s="1"/>
  <c r="E124" i="5" s="1"/>
  <c r="N122" i="11"/>
  <c r="M122" i="11"/>
  <c r="L122" i="11"/>
  <c r="K122" i="11"/>
  <c r="I122" i="11"/>
  <c r="G121" i="1" s="1"/>
  <c r="H122" i="11"/>
  <c r="F121" i="1" s="1"/>
  <c r="G122" i="11"/>
  <c r="E121" i="1" s="1"/>
  <c r="F122" i="11"/>
  <c r="D121" i="1" s="1"/>
  <c r="AC121" i="1" s="1"/>
  <c r="AD121" i="1" s="1"/>
  <c r="E119" i="2" s="1"/>
  <c r="E123" i="5" s="1"/>
  <c r="N121" i="11"/>
  <c r="M121" i="11"/>
  <c r="L121" i="11"/>
  <c r="K121" i="11"/>
  <c r="I121" i="11"/>
  <c r="H121" i="11"/>
  <c r="G121" i="11"/>
  <c r="E120" i="1" s="1"/>
  <c r="F121" i="11"/>
  <c r="D120" i="1" s="1"/>
  <c r="AC120" i="1" s="1"/>
  <c r="AD120" i="1" s="1"/>
  <c r="E118" i="2" s="1"/>
  <c r="E122" i="5" s="1"/>
  <c r="N120" i="11"/>
  <c r="M120" i="11"/>
  <c r="L120" i="11"/>
  <c r="K120" i="11"/>
  <c r="I120" i="11"/>
  <c r="H120" i="11"/>
  <c r="G120" i="11"/>
  <c r="E119" i="1" s="1"/>
  <c r="F120" i="11"/>
  <c r="D119" i="1" s="1"/>
  <c r="AC119" i="1" s="1"/>
  <c r="AD119" i="1" s="1"/>
  <c r="E117" i="2" s="1"/>
  <c r="E121" i="5" s="1"/>
  <c r="N119" i="11"/>
  <c r="M119" i="11"/>
  <c r="L119" i="11"/>
  <c r="K119" i="11"/>
  <c r="I119" i="11"/>
  <c r="H119" i="11"/>
  <c r="G119" i="11"/>
  <c r="F119" i="11"/>
  <c r="D118" i="1" s="1"/>
  <c r="AC118" i="1" s="1"/>
  <c r="AD118" i="1" s="1"/>
  <c r="E116" i="2" s="1"/>
  <c r="E120" i="5" s="1"/>
  <c r="N118" i="11"/>
  <c r="M118" i="11"/>
  <c r="L118" i="11"/>
  <c r="K118" i="11"/>
  <c r="P118" i="11" s="1"/>
  <c r="I118" i="11"/>
  <c r="H118" i="11"/>
  <c r="F117" i="1" s="1"/>
  <c r="G118" i="11"/>
  <c r="E117" i="1" s="1"/>
  <c r="F118" i="11"/>
  <c r="D117" i="1" s="1"/>
  <c r="AC117" i="1" s="1"/>
  <c r="AD117" i="1" s="1"/>
  <c r="E115" i="2" s="1"/>
  <c r="E119" i="5" s="1"/>
  <c r="N117" i="11"/>
  <c r="M117" i="11"/>
  <c r="L117" i="11"/>
  <c r="K117" i="11"/>
  <c r="P117" i="11" s="1"/>
  <c r="I117" i="11"/>
  <c r="G116" i="1" s="1"/>
  <c r="H117" i="11"/>
  <c r="F116" i="1" s="1"/>
  <c r="G117" i="11"/>
  <c r="F117" i="11"/>
  <c r="D116" i="1" s="1"/>
  <c r="AC116" i="1" s="1"/>
  <c r="AD116" i="1" s="1"/>
  <c r="E114" i="2" s="1"/>
  <c r="E118" i="5" s="1"/>
  <c r="N116" i="11"/>
  <c r="M116" i="11"/>
  <c r="L116" i="11"/>
  <c r="K116" i="11"/>
  <c r="I116" i="11"/>
  <c r="H116" i="11"/>
  <c r="G116" i="11"/>
  <c r="E115" i="1" s="1"/>
  <c r="F116" i="11"/>
  <c r="D115" i="1" s="1"/>
  <c r="AC115" i="1" s="1"/>
  <c r="AD115" i="1" s="1"/>
  <c r="E113" i="2" s="1"/>
  <c r="E117" i="5" s="1"/>
  <c r="N115" i="11"/>
  <c r="M115" i="11"/>
  <c r="L115" i="11"/>
  <c r="K115" i="11"/>
  <c r="I115" i="11"/>
  <c r="H115" i="11"/>
  <c r="F114" i="1" s="1"/>
  <c r="G115" i="11"/>
  <c r="E114" i="1" s="1"/>
  <c r="F115" i="11"/>
  <c r="N114" i="11"/>
  <c r="M114" i="11"/>
  <c r="L114" i="11"/>
  <c r="K114" i="11"/>
  <c r="I114" i="11"/>
  <c r="G113" i="1" s="1"/>
  <c r="H114" i="11"/>
  <c r="G114" i="11"/>
  <c r="E113" i="1" s="1"/>
  <c r="F114" i="11"/>
  <c r="D113" i="1" s="1"/>
  <c r="AC113" i="1" s="1"/>
  <c r="AD113" i="1" s="1"/>
  <c r="E111" i="2" s="1"/>
  <c r="E115" i="5" s="1"/>
  <c r="N113" i="11"/>
  <c r="M113" i="11"/>
  <c r="L113" i="11"/>
  <c r="K113" i="11"/>
  <c r="I113" i="11"/>
  <c r="H113" i="11"/>
  <c r="G113" i="11"/>
  <c r="E112" i="1" s="1"/>
  <c r="F113" i="11"/>
  <c r="D112" i="1" s="1"/>
  <c r="AC112" i="1" s="1"/>
  <c r="AD112" i="1" s="1"/>
  <c r="E110" i="2" s="1"/>
  <c r="E114" i="5" s="1"/>
  <c r="N112" i="11"/>
  <c r="M112" i="11"/>
  <c r="L112" i="11"/>
  <c r="K112" i="11"/>
  <c r="S112" i="11" s="1"/>
  <c r="I112" i="11"/>
  <c r="G111" i="1" s="1"/>
  <c r="H112" i="11"/>
  <c r="G112" i="11"/>
  <c r="E111" i="1" s="1"/>
  <c r="F112" i="11"/>
  <c r="D111" i="1" s="1"/>
  <c r="AC111" i="1" s="1"/>
  <c r="AD111" i="1" s="1"/>
  <c r="E109" i="2" s="1"/>
  <c r="E113" i="5" s="1"/>
  <c r="N111" i="11"/>
  <c r="T111" i="11" s="1"/>
  <c r="M111" i="11"/>
  <c r="L111" i="11"/>
  <c r="K111" i="11"/>
  <c r="I111" i="11"/>
  <c r="H111" i="11"/>
  <c r="G111" i="11"/>
  <c r="E110" i="1" s="1"/>
  <c r="F111" i="11"/>
  <c r="D110" i="1" s="1"/>
  <c r="AC110" i="1" s="1"/>
  <c r="AD110" i="1" s="1"/>
  <c r="E108" i="2" s="1"/>
  <c r="E112" i="5" s="1"/>
  <c r="N110" i="11"/>
  <c r="M110" i="11"/>
  <c r="L110" i="11"/>
  <c r="K110" i="11"/>
  <c r="P110" i="11" s="1"/>
  <c r="I110" i="11"/>
  <c r="H110" i="11"/>
  <c r="F109" i="1" s="1"/>
  <c r="G110" i="11"/>
  <c r="E109" i="1" s="1"/>
  <c r="F110" i="11"/>
  <c r="D109" i="1" s="1"/>
  <c r="AC109" i="1" s="1"/>
  <c r="AD109" i="1" s="1"/>
  <c r="E107" i="2" s="1"/>
  <c r="E111" i="5" s="1"/>
  <c r="N109" i="11"/>
  <c r="M109" i="11"/>
  <c r="L109" i="11"/>
  <c r="K109" i="11"/>
  <c r="P109" i="11" s="1"/>
  <c r="I109" i="11"/>
  <c r="H109" i="11"/>
  <c r="G109" i="11"/>
  <c r="F109" i="11"/>
  <c r="D108" i="1" s="1"/>
  <c r="AC108" i="1" s="1"/>
  <c r="AD108" i="1" s="1"/>
  <c r="E106" i="2" s="1"/>
  <c r="E110" i="5" s="1"/>
  <c r="N108" i="11"/>
  <c r="M108" i="11"/>
  <c r="L108" i="11"/>
  <c r="K108" i="11"/>
  <c r="I108" i="11"/>
  <c r="G107" i="1" s="1"/>
  <c r="H108" i="11"/>
  <c r="F107" i="1" s="1"/>
  <c r="G108" i="11"/>
  <c r="E107" i="1" s="1"/>
  <c r="F108" i="11"/>
  <c r="D107" i="1" s="1"/>
  <c r="AC107" i="1" s="1"/>
  <c r="AD107" i="1" s="1"/>
  <c r="E105" i="2" s="1"/>
  <c r="E109" i="5" s="1"/>
  <c r="N107" i="11"/>
  <c r="M107" i="11"/>
  <c r="L107" i="11"/>
  <c r="K107" i="11"/>
  <c r="I107" i="11"/>
  <c r="H107" i="11"/>
  <c r="G107" i="11"/>
  <c r="F107" i="11"/>
  <c r="D106" i="1" s="1"/>
  <c r="AC106" i="1" s="1"/>
  <c r="AD106" i="1" s="1"/>
  <c r="E104" i="2" s="1"/>
  <c r="E108" i="5" s="1"/>
  <c r="N106" i="11"/>
  <c r="M106" i="11"/>
  <c r="L106" i="11"/>
  <c r="K106" i="11"/>
  <c r="I106" i="11"/>
  <c r="H106" i="11"/>
  <c r="G106" i="11"/>
  <c r="E105" i="1" s="1"/>
  <c r="F106" i="11"/>
  <c r="D105" i="1" s="1"/>
  <c r="AC105" i="1" s="1"/>
  <c r="AD105" i="1" s="1"/>
  <c r="E103" i="2" s="1"/>
  <c r="E107" i="5" s="1"/>
  <c r="N105" i="11"/>
  <c r="M105" i="11"/>
  <c r="L105" i="11"/>
  <c r="K105" i="11"/>
  <c r="I105" i="11"/>
  <c r="G104" i="1" s="1"/>
  <c r="H105" i="11"/>
  <c r="F104" i="1" s="1"/>
  <c r="G105" i="11"/>
  <c r="E104" i="1" s="1"/>
  <c r="F105" i="11"/>
  <c r="N104" i="11"/>
  <c r="M104" i="11"/>
  <c r="L104" i="11"/>
  <c r="K104" i="11"/>
  <c r="I104" i="11"/>
  <c r="H104" i="11"/>
  <c r="G104" i="11"/>
  <c r="E103" i="1" s="1"/>
  <c r="F104" i="11"/>
  <c r="D103" i="1" s="1"/>
  <c r="AC103" i="1" s="1"/>
  <c r="AD103" i="1" s="1"/>
  <c r="E101" i="2" s="1"/>
  <c r="E105" i="5" s="1"/>
  <c r="N103" i="11"/>
  <c r="M103" i="11"/>
  <c r="L103" i="11"/>
  <c r="K103" i="11"/>
  <c r="I103" i="11"/>
  <c r="H103" i="11"/>
  <c r="F102" i="1" s="1"/>
  <c r="G103" i="11"/>
  <c r="E102" i="1" s="1"/>
  <c r="F103" i="11"/>
  <c r="D102" i="1" s="1"/>
  <c r="AC102" i="1" s="1"/>
  <c r="AD102" i="1" s="1"/>
  <c r="E100" i="2" s="1"/>
  <c r="E104" i="5" s="1"/>
  <c r="N102" i="11"/>
  <c r="M102" i="11"/>
  <c r="L102" i="11"/>
  <c r="K102" i="11"/>
  <c r="I102" i="11"/>
  <c r="G101" i="1" s="1"/>
  <c r="H102" i="11"/>
  <c r="G102" i="11"/>
  <c r="E101" i="1" s="1"/>
  <c r="F102" i="11"/>
  <c r="N101" i="11"/>
  <c r="M101" i="11"/>
  <c r="L101" i="11"/>
  <c r="K101" i="11"/>
  <c r="I101" i="11"/>
  <c r="H101" i="11"/>
  <c r="G101" i="11"/>
  <c r="E100" i="1" s="1"/>
  <c r="F101" i="11"/>
  <c r="D100" i="1" s="1"/>
  <c r="AC100" i="1" s="1"/>
  <c r="AD100" i="1" s="1"/>
  <c r="E98" i="2" s="1"/>
  <c r="E102" i="5" s="1"/>
  <c r="N100" i="11"/>
  <c r="M100" i="11"/>
  <c r="L100" i="11"/>
  <c r="K100" i="11"/>
  <c r="I100" i="11"/>
  <c r="G99" i="1" s="1"/>
  <c r="H100" i="11"/>
  <c r="G100" i="11"/>
  <c r="E99" i="1" s="1"/>
  <c r="F100" i="11"/>
  <c r="D99" i="1" s="1"/>
  <c r="AC99" i="1" s="1"/>
  <c r="AD99" i="1" s="1"/>
  <c r="E97" i="2" s="1"/>
  <c r="E101" i="5" s="1"/>
  <c r="N99" i="11"/>
  <c r="M99" i="11"/>
  <c r="L99" i="11"/>
  <c r="K99" i="11"/>
  <c r="I99" i="11"/>
  <c r="H99" i="11"/>
  <c r="G99" i="11"/>
  <c r="E98" i="1" s="1"/>
  <c r="F99" i="11"/>
  <c r="D98" i="1" s="1"/>
  <c r="AC98" i="1" s="1"/>
  <c r="AD98" i="1" s="1"/>
  <c r="E96" i="2" s="1"/>
  <c r="E100" i="5" s="1"/>
  <c r="N98" i="11"/>
  <c r="M98" i="11"/>
  <c r="L98" i="11"/>
  <c r="K98" i="11"/>
  <c r="P98" i="11" s="1"/>
  <c r="I98" i="11"/>
  <c r="G97" i="1" s="1"/>
  <c r="H98" i="11"/>
  <c r="G98" i="11"/>
  <c r="E97" i="1" s="1"/>
  <c r="F98" i="11"/>
  <c r="D97" i="1" s="1"/>
  <c r="AC97" i="1" s="1"/>
  <c r="AD97" i="1" s="1"/>
  <c r="E95" i="2" s="1"/>
  <c r="E99" i="5" s="1"/>
  <c r="N97" i="11"/>
  <c r="M97" i="11"/>
  <c r="L97" i="11"/>
  <c r="K97" i="11"/>
  <c r="P97" i="11" s="1"/>
  <c r="I97" i="11"/>
  <c r="H97" i="11"/>
  <c r="G97" i="11"/>
  <c r="F97" i="11"/>
  <c r="D96" i="1" s="1"/>
  <c r="AC96" i="1" s="1"/>
  <c r="AD96" i="1" s="1"/>
  <c r="E94" i="2" s="1"/>
  <c r="N96" i="11"/>
  <c r="M96" i="11"/>
  <c r="L96" i="11"/>
  <c r="K96" i="11"/>
  <c r="S96" i="11" s="1"/>
  <c r="I96" i="11"/>
  <c r="G95" i="1" s="1"/>
  <c r="H96" i="11"/>
  <c r="G96" i="11"/>
  <c r="E95" i="1" s="1"/>
  <c r="F96" i="11"/>
  <c r="D95" i="1" s="1"/>
  <c r="AC95" i="1" s="1"/>
  <c r="AD95" i="1" s="1"/>
  <c r="E93" i="2" s="1"/>
  <c r="N95" i="11"/>
  <c r="M95" i="11"/>
  <c r="L95" i="11"/>
  <c r="K95" i="11"/>
  <c r="I95" i="11"/>
  <c r="H95" i="11"/>
  <c r="G95" i="11"/>
  <c r="E94" i="1" s="1"/>
  <c r="F95" i="11"/>
  <c r="D94" i="1" s="1"/>
  <c r="AC94" i="1" s="1"/>
  <c r="AD94" i="1" s="1"/>
  <c r="E92" i="2" s="1"/>
  <c r="E96" i="5" s="1"/>
  <c r="N94" i="11"/>
  <c r="M94" i="11"/>
  <c r="L94" i="11"/>
  <c r="K94" i="11"/>
  <c r="S94" i="11" s="1"/>
  <c r="I94" i="11"/>
  <c r="H94" i="11"/>
  <c r="F93" i="1" s="1"/>
  <c r="G94" i="11"/>
  <c r="E93" i="1" s="1"/>
  <c r="F94" i="11"/>
  <c r="N93" i="11"/>
  <c r="M93" i="11"/>
  <c r="L93" i="11"/>
  <c r="K93" i="11"/>
  <c r="I93" i="11"/>
  <c r="H93" i="11"/>
  <c r="F92" i="1" s="1"/>
  <c r="G93" i="11"/>
  <c r="E92" i="1" s="1"/>
  <c r="F93" i="11"/>
  <c r="D92" i="1" s="1"/>
  <c r="AC92" i="1" s="1"/>
  <c r="AD92" i="1" s="1"/>
  <c r="E90" i="2" s="1"/>
  <c r="E94" i="5" s="1"/>
  <c r="N92" i="11"/>
  <c r="M92" i="11"/>
  <c r="L92" i="11"/>
  <c r="K92" i="11"/>
  <c r="I92" i="11"/>
  <c r="H92" i="11"/>
  <c r="F91" i="1" s="1"/>
  <c r="G92" i="11"/>
  <c r="E91" i="1" s="1"/>
  <c r="F92" i="11"/>
  <c r="D91" i="1" s="1"/>
  <c r="AC91" i="1" s="1"/>
  <c r="AD91" i="1" s="1"/>
  <c r="E89" i="2" s="1"/>
  <c r="E93" i="5" s="1"/>
  <c r="N91" i="11"/>
  <c r="M91" i="11"/>
  <c r="L91" i="11"/>
  <c r="K91" i="11"/>
  <c r="I91" i="11"/>
  <c r="H91" i="11"/>
  <c r="G91" i="11"/>
  <c r="E90" i="1" s="1"/>
  <c r="F91" i="11"/>
  <c r="D90" i="1" s="1"/>
  <c r="AC90" i="1" s="1"/>
  <c r="AD90" i="1" s="1"/>
  <c r="E88" i="2" s="1"/>
  <c r="E92" i="5" s="1"/>
  <c r="N90" i="11"/>
  <c r="M90" i="11"/>
  <c r="L90" i="11"/>
  <c r="K90" i="11"/>
  <c r="I90" i="11"/>
  <c r="G89" i="1" s="1"/>
  <c r="H90" i="11"/>
  <c r="G90" i="11"/>
  <c r="E89" i="1" s="1"/>
  <c r="F90" i="11"/>
  <c r="N89" i="11"/>
  <c r="M89" i="11"/>
  <c r="L89" i="11"/>
  <c r="K89" i="11"/>
  <c r="P89" i="11" s="1"/>
  <c r="I89" i="11"/>
  <c r="G88" i="1" s="1"/>
  <c r="H89" i="11"/>
  <c r="F88" i="1" s="1"/>
  <c r="G89" i="11"/>
  <c r="F89" i="11"/>
  <c r="N88" i="11"/>
  <c r="M88" i="11"/>
  <c r="L88" i="11"/>
  <c r="K88" i="11"/>
  <c r="S88" i="11" s="1"/>
  <c r="I88" i="11"/>
  <c r="H88" i="11"/>
  <c r="G88" i="11"/>
  <c r="E87" i="1" s="1"/>
  <c r="F88" i="11"/>
  <c r="D87" i="1" s="1"/>
  <c r="AC87" i="1" s="1"/>
  <c r="AD87" i="1" s="1"/>
  <c r="E85" i="2" s="1"/>
  <c r="E89" i="5" s="1"/>
  <c r="N87" i="11"/>
  <c r="M87" i="11"/>
  <c r="L87" i="11"/>
  <c r="K87" i="11"/>
  <c r="I87" i="11"/>
  <c r="G86" i="1" s="1"/>
  <c r="H87" i="11"/>
  <c r="G87" i="11"/>
  <c r="F87" i="11"/>
  <c r="D86" i="1" s="1"/>
  <c r="AC86" i="1" s="1"/>
  <c r="AD86" i="1" s="1"/>
  <c r="E84" i="2" s="1"/>
  <c r="E88" i="5" s="1"/>
  <c r="N86" i="11"/>
  <c r="M86" i="11"/>
  <c r="L86" i="11"/>
  <c r="K86" i="11"/>
  <c r="I86" i="11"/>
  <c r="G85" i="1" s="1"/>
  <c r="H86" i="11"/>
  <c r="G86" i="11"/>
  <c r="E85" i="1" s="1"/>
  <c r="F86" i="11"/>
  <c r="D85" i="1" s="1"/>
  <c r="AC85" i="1" s="1"/>
  <c r="AD85" i="1" s="1"/>
  <c r="E83" i="2" s="1"/>
  <c r="E87" i="5" s="1"/>
  <c r="N85" i="11"/>
  <c r="M85" i="11"/>
  <c r="L85" i="11"/>
  <c r="K85" i="11"/>
  <c r="I85" i="11"/>
  <c r="H85" i="11"/>
  <c r="F84" i="1" s="1"/>
  <c r="G85" i="11"/>
  <c r="E84" i="1" s="1"/>
  <c r="F85" i="11"/>
  <c r="N84" i="11"/>
  <c r="M84" i="11"/>
  <c r="L84" i="11"/>
  <c r="K84" i="11"/>
  <c r="S84" i="11" s="1"/>
  <c r="I84" i="11"/>
  <c r="G83" i="1" s="1"/>
  <c r="H84" i="11"/>
  <c r="F83" i="1" s="1"/>
  <c r="G84" i="11"/>
  <c r="E83" i="1" s="1"/>
  <c r="F84" i="11"/>
  <c r="D83" i="1" s="1"/>
  <c r="AC83" i="1" s="1"/>
  <c r="AD83" i="1" s="1"/>
  <c r="E81" i="2" s="1"/>
  <c r="E85" i="5" s="1"/>
  <c r="N83" i="11"/>
  <c r="M83" i="11"/>
  <c r="L83" i="11"/>
  <c r="K83" i="11"/>
  <c r="I83" i="11"/>
  <c r="G82" i="1" s="1"/>
  <c r="H83" i="11"/>
  <c r="G83" i="11"/>
  <c r="E82" i="1" s="1"/>
  <c r="F83" i="11"/>
  <c r="D82" i="1" s="1"/>
  <c r="AC82" i="1" s="1"/>
  <c r="AD82" i="1" s="1"/>
  <c r="E80" i="2" s="1"/>
  <c r="E84" i="5" s="1"/>
  <c r="N82" i="11"/>
  <c r="M82" i="11"/>
  <c r="L82" i="11"/>
  <c r="K82" i="11"/>
  <c r="I82" i="11"/>
  <c r="H82" i="11"/>
  <c r="F81" i="1" s="1"/>
  <c r="G82" i="11"/>
  <c r="E81" i="1" s="1"/>
  <c r="F82" i="11"/>
  <c r="N81" i="11"/>
  <c r="M81" i="11"/>
  <c r="L81" i="11"/>
  <c r="K81" i="11"/>
  <c r="I81" i="11"/>
  <c r="G80" i="1" s="1"/>
  <c r="H81" i="11"/>
  <c r="G81" i="11"/>
  <c r="E80" i="1" s="1"/>
  <c r="F81" i="11"/>
  <c r="D80" i="1" s="1"/>
  <c r="AC80" i="1" s="1"/>
  <c r="AD80" i="1" s="1"/>
  <c r="E78" i="2" s="1"/>
  <c r="E82" i="5" s="1"/>
  <c r="N80" i="11"/>
  <c r="M80" i="11"/>
  <c r="L80" i="11"/>
  <c r="K80" i="11"/>
  <c r="S80" i="11" s="1"/>
  <c r="I80" i="11"/>
  <c r="G79" i="1" s="1"/>
  <c r="H80" i="11"/>
  <c r="G80" i="11"/>
  <c r="E79" i="1" s="1"/>
  <c r="F80" i="11"/>
  <c r="D79" i="1" s="1"/>
  <c r="AC79" i="1" s="1"/>
  <c r="AD79" i="1" s="1"/>
  <c r="E77" i="2" s="1"/>
  <c r="N79" i="11"/>
  <c r="M79" i="11"/>
  <c r="L79" i="11"/>
  <c r="K79" i="11"/>
  <c r="I79" i="11"/>
  <c r="H79" i="11"/>
  <c r="G79" i="11"/>
  <c r="E78" i="1" s="1"/>
  <c r="F79" i="11"/>
  <c r="N78" i="11"/>
  <c r="M78" i="11"/>
  <c r="L78" i="11"/>
  <c r="K78" i="11"/>
  <c r="S78" i="11" s="1"/>
  <c r="I78" i="11"/>
  <c r="G77" i="1" s="1"/>
  <c r="H78" i="11"/>
  <c r="F77" i="1" s="1"/>
  <c r="G78" i="11"/>
  <c r="E77" i="1" s="1"/>
  <c r="F78" i="11"/>
  <c r="N77" i="11"/>
  <c r="M77" i="11"/>
  <c r="L77" i="11"/>
  <c r="K77" i="11"/>
  <c r="S77" i="11" s="1"/>
  <c r="I77" i="11"/>
  <c r="H77" i="11"/>
  <c r="G77" i="11"/>
  <c r="E76" i="1" s="1"/>
  <c r="F77" i="11"/>
  <c r="D76" i="1" s="1"/>
  <c r="AC76" i="1" s="1"/>
  <c r="AD76" i="1" s="1"/>
  <c r="E74" i="2" s="1"/>
  <c r="E78" i="5" s="1"/>
  <c r="N76" i="11"/>
  <c r="M76" i="11"/>
  <c r="L76" i="11"/>
  <c r="K76" i="11"/>
  <c r="S76" i="11" s="1"/>
  <c r="I76" i="11"/>
  <c r="G75" i="1" s="1"/>
  <c r="H76" i="11"/>
  <c r="F75" i="1" s="1"/>
  <c r="G76" i="11"/>
  <c r="E75" i="1" s="1"/>
  <c r="F76" i="11"/>
  <c r="D75" i="1" s="1"/>
  <c r="AC75" i="1" s="1"/>
  <c r="AD75" i="1" s="1"/>
  <c r="E73" i="2" s="1"/>
  <c r="E77" i="5" s="1"/>
  <c r="N75" i="11"/>
  <c r="M75" i="11"/>
  <c r="L75" i="11"/>
  <c r="K75" i="11"/>
  <c r="I75" i="11"/>
  <c r="G74" i="1" s="1"/>
  <c r="H75" i="11"/>
  <c r="G75" i="11"/>
  <c r="F75" i="11"/>
  <c r="D74" i="1" s="1"/>
  <c r="AC74" i="1" s="1"/>
  <c r="AD74" i="1" s="1"/>
  <c r="E72" i="2" s="1"/>
  <c r="E76" i="5" s="1"/>
  <c r="N74" i="11"/>
  <c r="M74" i="11"/>
  <c r="L74" i="11"/>
  <c r="K74" i="11"/>
  <c r="S74" i="11" s="1"/>
  <c r="I74" i="11"/>
  <c r="H74" i="11"/>
  <c r="G74" i="11"/>
  <c r="E73" i="1" s="1"/>
  <c r="F74" i="11"/>
  <c r="D73" i="1" s="1"/>
  <c r="AC73" i="1" s="1"/>
  <c r="AD73" i="1" s="1"/>
  <c r="E71" i="2" s="1"/>
  <c r="E75" i="5" s="1"/>
  <c r="N73" i="11"/>
  <c r="M73" i="11"/>
  <c r="L73" i="11"/>
  <c r="K73" i="11"/>
  <c r="I73" i="11"/>
  <c r="H73" i="11"/>
  <c r="G73" i="11"/>
  <c r="E72" i="1" s="1"/>
  <c r="F73" i="11"/>
  <c r="D72" i="1" s="1"/>
  <c r="AC72" i="1" s="1"/>
  <c r="AD72" i="1" s="1"/>
  <c r="E70" i="2" s="1"/>
  <c r="E74" i="5" s="1"/>
  <c r="N72" i="11"/>
  <c r="M72" i="11"/>
  <c r="L72" i="11"/>
  <c r="K72" i="11"/>
  <c r="I72" i="11"/>
  <c r="G71" i="1" s="1"/>
  <c r="H72" i="11"/>
  <c r="F71" i="1" s="1"/>
  <c r="G72" i="11"/>
  <c r="E71" i="1" s="1"/>
  <c r="F72" i="11"/>
  <c r="D71" i="1" s="1"/>
  <c r="AC71" i="1" s="1"/>
  <c r="AD71" i="1" s="1"/>
  <c r="E69" i="2" s="1"/>
  <c r="E73" i="5" s="1"/>
  <c r="N71" i="11"/>
  <c r="M71" i="11"/>
  <c r="L71" i="11"/>
  <c r="K71" i="11"/>
  <c r="I71" i="11"/>
  <c r="H71" i="11"/>
  <c r="F70" i="1" s="1"/>
  <c r="G71" i="11"/>
  <c r="E70" i="1" s="1"/>
  <c r="F71" i="11"/>
  <c r="D70" i="1" s="1"/>
  <c r="AC70" i="1" s="1"/>
  <c r="AD70" i="1" s="1"/>
  <c r="E68" i="2" s="1"/>
  <c r="E72" i="5" s="1"/>
  <c r="N70" i="11"/>
  <c r="M70" i="11"/>
  <c r="L70" i="11"/>
  <c r="K70" i="11"/>
  <c r="I70" i="11"/>
  <c r="H70" i="11"/>
  <c r="F69" i="1" s="1"/>
  <c r="G70" i="11"/>
  <c r="E69" i="1" s="1"/>
  <c r="F70" i="11"/>
  <c r="N69" i="11"/>
  <c r="M69" i="11"/>
  <c r="L69" i="11"/>
  <c r="K69" i="11"/>
  <c r="P69" i="11" s="1"/>
  <c r="I69" i="11"/>
  <c r="G68" i="1" s="1"/>
  <c r="H69" i="11"/>
  <c r="G69" i="11"/>
  <c r="F69" i="11"/>
  <c r="D68" i="1" s="1"/>
  <c r="AC68" i="1" s="1"/>
  <c r="AD68" i="1" s="1"/>
  <c r="E66" i="2" s="1"/>
  <c r="E70" i="5" s="1"/>
  <c r="N68" i="11"/>
  <c r="M68" i="11"/>
  <c r="L68" i="11"/>
  <c r="K68" i="11"/>
  <c r="I68" i="11"/>
  <c r="G67" i="1" s="1"/>
  <c r="H68" i="11"/>
  <c r="F67" i="1" s="1"/>
  <c r="G68" i="11"/>
  <c r="E67" i="1" s="1"/>
  <c r="F68" i="11"/>
  <c r="D67" i="1" s="1"/>
  <c r="AC67" i="1" s="1"/>
  <c r="AD67" i="1" s="1"/>
  <c r="E65" i="2" s="1"/>
  <c r="E69" i="5" s="1"/>
  <c r="N67" i="11"/>
  <c r="M67" i="11"/>
  <c r="L67" i="11"/>
  <c r="K67" i="11"/>
  <c r="I67" i="11"/>
  <c r="G66" i="1" s="1"/>
  <c r="H67" i="11"/>
  <c r="G67" i="11"/>
  <c r="F67" i="11"/>
  <c r="D66" i="1" s="1"/>
  <c r="AC66" i="1" s="1"/>
  <c r="AD66" i="1" s="1"/>
  <c r="E64" i="2" s="1"/>
  <c r="E68" i="5" s="1"/>
  <c r="N66" i="11"/>
  <c r="M66" i="11"/>
  <c r="L66" i="11"/>
  <c r="K66" i="11"/>
  <c r="I66" i="11"/>
  <c r="G65" i="1" s="1"/>
  <c r="H66" i="11"/>
  <c r="F65" i="1" s="1"/>
  <c r="G66" i="11"/>
  <c r="E65" i="1" s="1"/>
  <c r="F66" i="11"/>
  <c r="D65" i="1" s="1"/>
  <c r="AC65" i="1" s="1"/>
  <c r="AD65" i="1" s="1"/>
  <c r="E63" i="2" s="1"/>
  <c r="E67" i="5" s="1"/>
  <c r="N65" i="11"/>
  <c r="M65" i="11"/>
  <c r="L65" i="11"/>
  <c r="K65" i="11"/>
  <c r="I65" i="11"/>
  <c r="H65" i="11"/>
  <c r="G65" i="11"/>
  <c r="F65" i="11"/>
  <c r="N64" i="11"/>
  <c r="M64" i="11"/>
  <c r="L64" i="11"/>
  <c r="K64" i="11"/>
  <c r="I64" i="11"/>
  <c r="H64" i="11"/>
  <c r="F63" i="1" s="1"/>
  <c r="G64" i="11"/>
  <c r="E63" i="1" s="1"/>
  <c r="F64" i="11"/>
  <c r="D63" i="1" s="1"/>
  <c r="AC63" i="1" s="1"/>
  <c r="AD63" i="1" s="1"/>
  <c r="E61" i="2" s="1"/>
  <c r="N63" i="11"/>
  <c r="M63" i="11"/>
  <c r="L63" i="11"/>
  <c r="K63" i="11"/>
  <c r="I63" i="11"/>
  <c r="G62" i="1" s="1"/>
  <c r="H63" i="11"/>
  <c r="F62" i="1" s="1"/>
  <c r="G63" i="11"/>
  <c r="E62" i="1" s="1"/>
  <c r="F63" i="11"/>
  <c r="D62" i="1" s="1"/>
  <c r="AC62" i="1" s="1"/>
  <c r="AD62" i="1" s="1"/>
  <c r="E60" i="2" s="1"/>
  <c r="E64" i="5" s="1"/>
  <c r="N62" i="11"/>
  <c r="M62" i="11"/>
  <c r="L62" i="11"/>
  <c r="K62" i="11"/>
  <c r="P62" i="11" s="1"/>
  <c r="I62" i="11"/>
  <c r="G61" i="1" s="1"/>
  <c r="H62" i="11"/>
  <c r="F61" i="1" s="1"/>
  <c r="G62" i="11"/>
  <c r="E61" i="1" s="1"/>
  <c r="F62" i="11"/>
  <c r="O60" i="12" s="1"/>
  <c r="N61" i="11"/>
  <c r="M61" i="11"/>
  <c r="L61" i="11"/>
  <c r="K61" i="11"/>
  <c r="P61" i="11" s="1"/>
  <c r="I61" i="11"/>
  <c r="G60" i="1" s="1"/>
  <c r="H61" i="11"/>
  <c r="G61" i="11"/>
  <c r="E60" i="1" s="1"/>
  <c r="F61" i="11"/>
  <c r="N60" i="11"/>
  <c r="M60" i="11"/>
  <c r="L60" i="11"/>
  <c r="K60" i="11"/>
  <c r="S60" i="11" s="1"/>
  <c r="I60" i="11"/>
  <c r="H60" i="11"/>
  <c r="F59" i="1" s="1"/>
  <c r="G60" i="11"/>
  <c r="E59" i="1" s="1"/>
  <c r="F60" i="11"/>
  <c r="D59" i="1" s="1"/>
  <c r="AC59" i="1" s="1"/>
  <c r="AD59" i="1" s="1"/>
  <c r="E57" i="2" s="1"/>
  <c r="E61" i="5" s="1"/>
  <c r="N59" i="11"/>
  <c r="M59" i="11"/>
  <c r="L59" i="11"/>
  <c r="K59" i="11"/>
  <c r="I59" i="11"/>
  <c r="G58" i="1" s="1"/>
  <c r="H59" i="11"/>
  <c r="F58" i="1" s="1"/>
  <c r="G59" i="11"/>
  <c r="E58" i="1" s="1"/>
  <c r="F59" i="11"/>
  <c r="D58" i="1" s="1"/>
  <c r="AC58" i="1" s="1"/>
  <c r="AD58" i="1" s="1"/>
  <c r="E56" i="2" s="1"/>
  <c r="E60" i="5" s="1"/>
  <c r="N58" i="11"/>
  <c r="M58" i="11"/>
  <c r="L58" i="11"/>
  <c r="K58" i="11"/>
  <c r="P58" i="11" s="1"/>
  <c r="I58" i="11"/>
  <c r="G57" i="1" s="1"/>
  <c r="H58" i="11"/>
  <c r="F57" i="1" s="1"/>
  <c r="G58" i="11"/>
  <c r="E57" i="1" s="1"/>
  <c r="F58" i="11"/>
  <c r="N57" i="11"/>
  <c r="M57" i="11"/>
  <c r="L57" i="11"/>
  <c r="K57" i="11"/>
  <c r="I57" i="11"/>
  <c r="H57" i="11"/>
  <c r="G57" i="11"/>
  <c r="E56" i="1" s="1"/>
  <c r="F57" i="11"/>
  <c r="D56" i="1" s="1"/>
  <c r="AC56" i="1" s="1"/>
  <c r="AD56" i="1" s="1"/>
  <c r="E54" i="2" s="1"/>
  <c r="E58" i="5" s="1"/>
  <c r="N56" i="11"/>
  <c r="M56" i="11"/>
  <c r="L56" i="11"/>
  <c r="K56" i="11"/>
  <c r="I56" i="11"/>
  <c r="G55" i="1" s="1"/>
  <c r="H56" i="11"/>
  <c r="F55" i="1" s="1"/>
  <c r="G56" i="11"/>
  <c r="E55" i="1" s="1"/>
  <c r="F56" i="11"/>
  <c r="N55" i="11"/>
  <c r="M55" i="11"/>
  <c r="L55" i="11"/>
  <c r="K55" i="11"/>
  <c r="I55" i="11"/>
  <c r="G54" i="1" s="1"/>
  <c r="H55" i="11"/>
  <c r="F54" i="1" s="1"/>
  <c r="G55" i="11"/>
  <c r="E54" i="1" s="1"/>
  <c r="F55" i="11"/>
  <c r="N54" i="11"/>
  <c r="M54" i="11"/>
  <c r="L54" i="11"/>
  <c r="K54" i="11"/>
  <c r="P54" i="11" s="1"/>
  <c r="I54" i="11"/>
  <c r="H54" i="11"/>
  <c r="G54" i="11"/>
  <c r="E53" i="1" s="1"/>
  <c r="F54" i="11"/>
  <c r="D53" i="1" s="1"/>
  <c r="AC53" i="1" s="1"/>
  <c r="AD53" i="1" s="1"/>
  <c r="E51" i="2" s="1"/>
  <c r="E55" i="5" s="1"/>
  <c r="N53" i="11"/>
  <c r="T53" i="11" s="1"/>
  <c r="M53" i="11"/>
  <c r="L53" i="11"/>
  <c r="K53" i="11"/>
  <c r="I53" i="11"/>
  <c r="G52" i="1" s="1"/>
  <c r="H53" i="11"/>
  <c r="G53" i="11"/>
  <c r="E52" i="1" s="1"/>
  <c r="F53" i="11"/>
  <c r="N52" i="11"/>
  <c r="M52" i="11"/>
  <c r="L52" i="11"/>
  <c r="K52" i="11"/>
  <c r="I52" i="11"/>
  <c r="H52" i="11"/>
  <c r="F51" i="1" s="1"/>
  <c r="G52" i="11"/>
  <c r="E51" i="1" s="1"/>
  <c r="F52" i="11"/>
  <c r="D51" i="1" s="1"/>
  <c r="AC51" i="1" s="1"/>
  <c r="AD51" i="1" s="1"/>
  <c r="E49" i="2" s="1"/>
  <c r="E53" i="5" s="1"/>
  <c r="N51" i="11"/>
  <c r="M51" i="11"/>
  <c r="L51" i="11"/>
  <c r="K51" i="11"/>
  <c r="I51" i="11"/>
  <c r="H51" i="11"/>
  <c r="F50" i="1" s="1"/>
  <c r="G51" i="11"/>
  <c r="E50" i="1" s="1"/>
  <c r="F51" i="11"/>
  <c r="D50" i="1" s="1"/>
  <c r="AC50" i="1" s="1"/>
  <c r="AD50" i="1" s="1"/>
  <c r="E48" i="2" s="1"/>
  <c r="E52" i="5" s="1"/>
  <c r="N50" i="11"/>
  <c r="M50" i="11"/>
  <c r="L50" i="11"/>
  <c r="K50" i="11"/>
  <c r="S50" i="11" s="1"/>
  <c r="I50" i="11"/>
  <c r="G49" i="1" s="1"/>
  <c r="H50" i="11"/>
  <c r="G50" i="11"/>
  <c r="E49" i="1" s="1"/>
  <c r="F50" i="11"/>
  <c r="D49" i="1" s="1"/>
  <c r="AC49" i="1" s="1"/>
  <c r="AD49" i="1" s="1"/>
  <c r="E47" i="2" s="1"/>
  <c r="E51" i="5" s="1"/>
  <c r="N49" i="11"/>
  <c r="M49" i="11"/>
  <c r="L49" i="11"/>
  <c r="K49" i="11"/>
  <c r="P49" i="11" s="1"/>
  <c r="I49" i="11"/>
  <c r="H49" i="11"/>
  <c r="G49" i="11"/>
  <c r="E48" i="1" s="1"/>
  <c r="F49" i="11"/>
  <c r="N48" i="11"/>
  <c r="M48" i="11"/>
  <c r="L48" i="11"/>
  <c r="K48" i="11"/>
  <c r="I48" i="11"/>
  <c r="H48" i="11"/>
  <c r="F47" i="1" s="1"/>
  <c r="G48" i="11"/>
  <c r="E47" i="1" s="1"/>
  <c r="F48" i="11"/>
  <c r="D47" i="1" s="1"/>
  <c r="AC47" i="1" s="1"/>
  <c r="AD47" i="1" s="1"/>
  <c r="E45" i="2" s="1"/>
  <c r="E49" i="5" s="1"/>
  <c r="N47" i="11"/>
  <c r="M47" i="11"/>
  <c r="L47" i="11"/>
  <c r="K47" i="11"/>
  <c r="I47" i="11"/>
  <c r="G46" i="1" s="1"/>
  <c r="H47" i="11"/>
  <c r="F46" i="1" s="1"/>
  <c r="G47" i="11"/>
  <c r="E46" i="1" s="1"/>
  <c r="F47" i="11"/>
  <c r="D46" i="1" s="1"/>
  <c r="AC46" i="1" s="1"/>
  <c r="AD46" i="1" s="1"/>
  <c r="E44" i="2" s="1"/>
  <c r="E48" i="5" s="1"/>
  <c r="N46" i="11"/>
  <c r="M46" i="11"/>
  <c r="L46" i="11"/>
  <c r="K46" i="11"/>
  <c r="P46" i="11" s="1"/>
  <c r="I46" i="11"/>
  <c r="G45" i="1" s="1"/>
  <c r="H46" i="11"/>
  <c r="F45" i="1" s="1"/>
  <c r="G46" i="11"/>
  <c r="E45" i="1" s="1"/>
  <c r="F46" i="11"/>
  <c r="O44" i="12" s="1"/>
  <c r="N45" i="11"/>
  <c r="M45" i="11"/>
  <c r="L45" i="11"/>
  <c r="K45" i="11"/>
  <c r="P45" i="11" s="1"/>
  <c r="I45" i="11"/>
  <c r="G44" i="1" s="1"/>
  <c r="H45" i="11"/>
  <c r="F44" i="1" s="1"/>
  <c r="G45" i="11"/>
  <c r="F45" i="11"/>
  <c r="D44" i="1" s="1"/>
  <c r="AC44" i="1" s="1"/>
  <c r="AD44" i="1" s="1"/>
  <c r="E42" i="2" s="1"/>
  <c r="E46" i="5" s="1"/>
  <c r="N44" i="11"/>
  <c r="M44" i="11"/>
  <c r="L44" i="11"/>
  <c r="K44" i="11"/>
  <c r="I44" i="11"/>
  <c r="H44" i="11"/>
  <c r="G44" i="11"/>
  <c r="E43" i="1" s="1"/>
  <c r="F44" i="11"/>
  <c r="D43" i="1" s="1"/>
  <c r="AC43" i="1" s="1"/>
  <c r="AD43" i="1" s="1"/>
  <c r="E41" i="2" s="1"/>
  <c r="E45" i="5" s="1"/>
  <c r="N43" i="11"/>
  <c r="M43" i="11"/>
  <c r="L43" i="11"/>
  <c r="K43" i="11"/>
  <c r="I43" i="11"/>
  <c r="G42" i="1" s="1"/>
  <c r="H43" i="11"/>
  <c r="F42" i="1" s="1"/>
  <c r="G43" i="11"/>
  <c r="F43" i="11"/>
  <c r="D42" i="1" s="1"/>
  <c r="AC42" i="1" s="1"/>
  <c r="AD42" i="1" s="1"/>
  <c r="E40" i="2" s="1"/>
  <c r="E44" i="5" s="1"/>
  <c r="N42" i="11"/>
  <c r="M42" i="11"/>
  <c r="L42" i="11"/>
  <c r="K42" i="11"/>
  <c r="S42" i="11" s="1"/>
  <c r="I42" i="11"/>
  <c r="G41" i="1" s="1"/>
  <c r="H42" i="11"/>
  <c r="G42" i="11"/>
  <c r="E41" i="1" s="1"/>
  <c r="F42" i="11"/>
  <c r="D41" i="1" s="1"/>
  <c r="AC41" i="1" s="1"/>
  <c r="AD41" i="1" s="1"/>
  <c r="E39" i="2" s="1"/>
  <c r="E43" i="5" s="1"/>
  <c r="N41" i="11"/>
  <c r="M41" i="11"/>
  <c r="L41" i="11"/>
  <c r="K41" i="11"/>
  <c r="S41" i="11" s="1"/>
  <c r="I41" i="11"/>
  <c r="G40" i="1" s="1"/>
  <c r="H41" i="11"/>
  <c r="F40" i="1" s="1"/>
  <c r="G41" i="11"/>
  <c r="E40" i="1" s="1"/>
  <c r="F41" i="11"/>
  <c r="N40" i="11"/>
  <c r="M40" i="11"/>
  <c r="L40" i="11"/>
  <c r="K40" i="11"/>
  <c r="I40" i="11"/>
  <c r="H40" i="11"/>
  <c r="G40" i="11"/>
  <c r="E39" i="1" s="1"/>
  <c r="F40" i="11"/>
  <c r="D39" i="1" s="1"/>
  <c r="AC39" i="1" s="1"/>
  <c r="AD39" i="1" s="1"/>
  <c r="E37" i="2" s="1"/>
  <c r="E41" i="5" s="1"/>
  <c r="N39" i="11"/>
  <c r="M39" i="11"/>
  <c r="L39" i="11"/>
  <c r="K39" i="11"/>
  <c r="I39" i="11"/>
  <c r="H39" i="11"/>
  <c r="G39" i="11"/>
  <c r="E38" i="1" s="1"/>
  <c r="F39" i="11"/>
  <c r="D38" i="1" s="1"/>
  <c r="AC38" i="1" s="1"/>
  <c r="AD38" i="1" s="1"/>
  <c r="E36" i="2" s="1"/>
  <c r="E40" i="5" s="1"/>
  <c r="N38" i="11"/>
  <c r="M38" i="11"/>
  <c r="L38" i="11"/>
  <c r="K38" i="11"/>
  <c r="I38" i="11"/>
  <c r="G37" i="1" s="1"/>
  <c r="H38" i="11"/>
  <c r="F37" i="1" s="1"/>
  <c r="G38" i="11"/>
  <c r="E37" i="1" s="1"/>
  <c r="F38" i="11"/>
  <c r="N37" i="11"/>
  <c r="M37" i="11"/>
  <c r="L37" i="11"/>
  <c r="K37" i="11"/>
  <c r="P37" i="11" s="1"/>
  <c r="I37" i="11"/>
  <c r="G36" i="1" s="1"/>
  <c r="H37" i="11"/>
  <c r="F36" i="1" s="1"/>
  <c r="G37" i="11"/>
  <c r="E36" i="1" s="1"/>
  <c r="F37" i="11"/>
  <c r="N36" i="11"/>
  <c r="M36" i="11"/>
  <c r="L36" i="11"/>
  <c r="K36" i="11"/>
  <c r="I36" i="11"/>
  <c r="H36" i="11"/>
  <c r="G36" i="11"/>
  <c r="E35" i="1" s="1"/>
  <c r="F36" i="11"/>
  <c r="D35" i="1" s="1"/>
  <c r="AC35" i="1" s="1"/>
  <c r="AD35" i="1" s="1"/>
  <c r="E33" i="2" s="1"/>
  <c r="N35" i="11"/>
  <c r="M35" i="11"/>
  <c r="L35" i="11"/>
  <c r="K35" i="11"/>
  <c r="I35" i="11"/>
  <c r="H35" i="11"/>
  <c r="G35" i="11"/>
  <c r="E34" i="1" s="1"/>
  <c r="F35" i="11"/>
  <c r="D34" i="1" s="1"/>
  <c r="AC34" i="1" s="1"/>
  <c r="AD34" i="1" s="1"/>
  <c r="E32" i="2" s="1"/>
  <c r="E36" i="5" s="1"/>
  <c r="N34" i="11"/>
  <c r="M34" i="11"/>
  <c r="L34" i="11"/>
  <c r="K34" i="11"/>
  <c r="P34" i="11" s="1"/>
  <c r="I34" i="11"/>
  <c r="G33" i="1" s="1"/>
  <c r="H34" i="11"/>
  <c r="F33" i="1" s="1"/>
  <c r="G34" i="11"/>
  <c r="E33" i="1" s="1"/>
  <c r="F34" i="11"/>
  <c r="O32" i="12" s="1"/>
  <c r="N33" i="11"/>
  <c r="M33" i="11"/>
  <c r="L33" i="11"/>
  <c r="K33" i="11"/>
  <c r="S33" i="11" s="1"/>
  <c r="I33" i="11"/>
  <c r="G32" i="1" s="1"/>
  <c r="H33" i="11"/>
  <c r="G33" i="11"/>
  <c r="F33" i="11"/>
  <c r="D32" i="1" s="1"/>
  <c r="AC32" i="1" s="1"/>
  <c r="AD32" i="1" s="1"/>
  <c r="E30" i="2" s="1"/>
  <c r="E34" i="5" s="1"/>
  <c r="N32" i="11"/>
  <c r="M32" i="11"/>
  <c r="L32" i="11"/>
  <c r="K32" i="11"/>
  <c r="S32" i="11" s="1"/>
  <c r="I32" i="11"/>
  <c r="H32" i="11"/>
  <c r="F31" i="1" s="1"/>
  <c r="G32" i="11"/>
  <c r="F32" i="11"/>
  <c r="D31" i="1" s="1"/>
  <c r="AC31" i="1" s="1"/>
  <c r="AD31" i="1" s="1"/>
  <c r="E29" i="2" s="1"/>
  <c r="E33" i="5" s="1"/>
  <c r="N31" i="11"/>
  <c r="T31" i="11" s="1"/>
  <c r="M31" i="11"/>
  <c r="L31" i="11"/>
  <c r="K31" i="11"/>
  <c r="S31" i="11" s="1"/>
  <c r="I31" i="11"/>
  <c r="G30" i="1" s="1"/>
  <c r="H31" i="11"/>
  <c r="G31" i="11"/>
  <c r="E30" i="1" s="1"/>
  <c r="F31" i="11"/>
  <c r="N30" i="11"/>
  <c r="M30" i="11"/>
  <c r="L30" i="11"/>
  <c r="K30" i="11"/>
  <c r="I30" i="11"/>
  <c r="G29" i="1" s="1"/>
  <c r="H30" i="11"/>
  <c r="G30" i="11"/>
  <c r="F30" i="11"/>
  <c r="D29" i="1" s="1"/>
  <c r="AC29" i="1" s="1"/>
  <c r="AD29" i="1" s="1"/>
  <c r="E27" i="2" s="1"/>
  <c r="E31" i="5" s="1"/>
  <c r="N29" i="11"/>
  <c r="M29" i="11"/>
  <c r="L29" i="11"/>
  <c r="K29" i="11"/>
  <c r="P29" i="11" s="1"/>
  <c r="I29" i="11"/>
  <c r="H29" i="11"/>
  <c r="F28" i="1" s="1"/>
  <c r="G29" i="11"/>
  <c r="F29" i="11"/>
  <c r="D28" i="1" s="1"/>
  <c r="AC28" i="1" s="1"/>
  <c r="AD28" i="1" s="1"/>
  <c r="E26" i="2" s="1"/>
  <c r="E30" i="5" s="1"/>
  <c r="N28" i="11"/>
  <c r="M28" i="11"/>
  <c r="L28" i="11"/>
  <c r="K28" i="11"/>
  <c r="I28" i="11"/>
  <c r="H28" i="11"/>
  <c r="F27" i="1" s="1"/>
  <c r="G28" i="11"/>
  <c r="E27" i="1" s="1"/>
  <c r="F28" i="11"/>
  <c r="D27" i="1" s="1"/>
  <c r="AC27" i="1" s="1"/>
  <c r="AD27" i="1" s="1"/>
  <c r="E25" i="2" s="1"/>
  <c r="E29" i="5" s="1"/>
  <c r="N27" i="11"/>
  <c r="M27" i="11"/>
  <c r="L27" i="11"/>
  <c r="K27" i="11"/>
  <c r="I27" i="11"/>
  <c r="G26" i="1" s="1"/>
  <c r="H27" i="11"/>
  <c r="G27" i="11"/>
  <c r="F27" i="11"/>
  <c r="D26" i="1" s="1"/>
  <c r="AC26" i="1" s="1"/>
  <c r="AD26" i="1" s="1"/>
  <c r="E24" i="2" s="1"/>
  <c r="N26" i="11"/>
  <c r="M26" i="11"/>
  <c r="L26" i="11"/>
  <c r="K26" i="11"/>
  <c r="I26" i="11"/>
  <c r="G25" i="1" s="1"/>
  <c r="H26" i="11"/>
  <c r="F25" i="1" s="1"/>
  <c r="G26" i="11"/>
  <c r="E25" i="1" s="1"/>
  <c r="F26" i="11"/>
  <c r="N25" i="11"/>
  <c r="M25" i="11"/>
  <c r="L25" i="11"/>
  <c r="K25" i="11"/>
  <c r="I25" i="11"/>
  <c r="G24" i="1" s="1"/>
  <c r="H25" i="11"/>
  <c r="G25" i="11"/>
  <c r="E24" i="1" s="1"/>
  <c r="F25" i="11"/>
  <c r="D24" i="1" s="1"/>
  <c r="AC24" i="1" s="1"/>
  <c r="AD24" i="1" s="1"/>
  <c r="E22" i="2" s="1"/>
  <c r="N24" i="11"/>
  <c r="M24" i="11"/>
  <c r="L24" i="11"/>
  <c r="K24" i="11"/>
  <c r="I24" i="11"/>
  <c r="G23" i="1" s="1"/>
  <c r="H24" i="11"/>
  <c r="F23" i="1" s="1"/>
  <c r="G24" i="11"/>
  <c r="F24" i="11"/>
  <c r="D23" i="1" s="1"/>
  <c r="AC23" i="1" s="1"/>
  <c r="AD23" i="1" s="1"/>
  <c r="E21" i="2" s="1"/>
  <c r="E25" i="5" s="1"/>
  <c r="N23" i="11"/>
  <c r="M23" i="11"/>
  <c r="L23" i="11"/>
  <c r="K23" i="11"/>
  <c r="S23" i="11" s="1"/>
  <c r="I23" i="11"/>
  <c r="H23" i="11"/>
  <c r="G23" i="11"/>
  <c r="E22" i="1" s="1"/>
  <c r="F23" i="11"/>
  <c r="D22" i="1" s="1"/>
  <c r="AC22" i="1" s="1"/>
  <c r="AD22" i="1" s="1"/>
  <c r="E20" i="2" s="1"/>
  <c r="E24" i="5" s="1"/>
  <c r="N22" i="11"/>
  <c r="M22" i="11"/>
  <c r="L22" i="11"/>
  <c r="K22" i="11"/>
  <c r="P22" i="11" s="1"/>
  <c r="I22" i="11"/>
  <c r="G21" i="1" s="1"/>
  <c r="H22" i="11"/>
  <c r="F21" i="1" s="1"/>
  <c r="G22" i="11"/>
  <c r="F22" i="11"/>
  <c r="D21" i="1" s="1"/>
  <c r="AC21" i="1" s="1"/>
  <c r="AD21" i="1" s="1"/>
  <c r="E19" i="2" s="1"/>
  <c r="E23" i="5" s="1"/>
  <c r="N21" i="11"/>
  <c r="M21" i="11"/>
  <c r="L21" i="11"/>
  <c r="K21" i="11"/>
  <c r="P21" i="11" s="1"/>
  <c r="I21" i="11"/>
  <c r="G20" i="1" s="1"/>
  <c r="H21" i="11"/>
  <c r="F20" i="1" s="1"/>
  <c r="G21" i="11"/>
  <c r="E20" i="1" s="1"/>
  <c r="F21" i="11"/>
  <c r="O19" i="12" s="1"/>
  <c r="N20" i="11"/>
  <c r="M20" i="11"/>
  <c r="L20" i="11"/>
  <c r="K20" i="11"/>
  <c r="I20" i="11"/>
  <c r="H20" i="11"/>
  <c r="G20" i="11"/>
  <c r="E19" i="1" s="1"/>
  <c r="F20" i="11"/>
  <c r="D19" i="1" s="1"/>
  <c r="AC19" i="1" s="1"/>
  <c r="AD19" i="1" s="1"/>
  <c r="E17" i="2" s="1"/>
  <c r="E21" i="5" s="1"/>
  <c r="N19" i="11"/>
  <c r="M19" i="11"/>
  <c r="L19" i="11"/>
  <c r="K19" i="11"/>
  <c r="S19" i="11" s="1"/>
  <c r="I19" i="11"/>
  <c r="G18" i="1" s="1"/>
  <c r="H19" i="11"/>
  <c r="G19" i="11"/>
  <c r="E18" i="1" s="1"/>
  <c r="F19" i="11"/>
  <c r="D18" i="1" s="1"/>
  <c r="AC18" i="1" s="1"/>
  <c r="AD18" i="1" s="1"/>
  <c r="E16" i="2" s="1"/>
  <c r="E20" i="5" s="1"/>
  <c r="N18" i="11"/>
  <c r="M18" i="11"/>
  <c r="L18" i="11"/>
  <c r="K18" i="11"/>
  <c r="P18" i="11" s="1"/>
  <c r="I18" i="11"/>
  <c r="H18" i="11"/>
  <c r="G18" i="11"/>
  <c r="E17" i="1" s="1"/>
  <c r="F18" i="11"/>
  <c r="D17" i="1" s="1"/>
  <c r="AC17" i="1" s="1"/>
  <c r="AD17" i="1" s="1"/>
  <c r="E15" i="2" s="1"/>
  <c r="E19" i="5" s="1"/>
  <c r="N17" i="11"/>
  <c r="M17" i="11"/>
  <c r="L17" i="11"/>
  <c r="K17" i="11"/>
  <c r="P17" i="11" s="1"/>
  <c r="I17" i="11"/>
  <c r="G16" i="1" s="1"/>
  <c r="H17" i="11"/>
  <c r="F16" i="1" s="1"/>
  <c r="G17" i="11"/>
  <c r="E16" i="1" s="1"/>
  <c r="F17" i="11"/>
  <c r="N16" i="11"/>
  <c r="M16" i="11"/>
  <c r="L16" i="11"/>
  <c r="K16" i="11"/>
  <c r="I16" i="11"/>
  <c r="G15" i="1" s="1"/>
  <c r="H16" i="11"/>
  <c r="F15" i="1" s="1"/>
  <c r="G16" i="11"/>
  <c r="E15" i="1" s="1"/>
  <c r="F16" i="11"/>
  <c r="D15" i="1" s="1"/>
  <c r="AC15" i="1" s="1"/>
  <c r="AD15" i="1" s="1"/>
  <c r="E13" i="2" s="1"/>
  <c r="E17" i="5" s="1"/>
  <c r="N15" i="11"/>
  <c r="M15" i="11"/>
  <c r="L15" i="11"/>
  <c r="K15" i="11"/>
  <c r="S15" i="11" s="1"/>
  <c r="I15" i="11"/>
  <c r="G14" i="1" s="1"/>
  <c r="H15" i="11"/>
  <c r="G15" i="11"/>
  <c r="E14" i="1" s="1"/>
  <c r="F15" i="11"/>
  <c r="D14" i="1" s="1"/>
  <c r="AC14" i="1" s="1"/>
  <c r="AD14" i="1" s="1"/>
  <c r="E12" i="2" s="1"/>
  <c r="E16" i="5" s="1"/>
  <c r="N14" i="11"/>
  <c r="M14" i="11"/>
  <c r="L14" i="11"/>
  <c r="K14" i="11"/>
  <c r="P14" i="11" s="1"/>
  <c r="I14" i="11"/>
  <c r="G13" i="1" s="1"/>
  <c r="H14" i="11"/>
  <c r="G14" i="11"/>
  <c r="E13" i="1" s="1"/>
  <c r="F14" i="11"/>
  <c r="N13" i="11"/>
  <c r="T13" i="11" s="1"/>
  <c r="M13" i="11"/>
  <c r="L13" i="11"/>
  <c r="K13" i="11"/>
  <c r="S13" i="11" s="1"/>
  <c r="I13" i="11"/>
  <c r="G12" i="1" s="1"/>
  <c r="H13" i="11"/>
  <c r="F12" i="1" s="1"/>
  <c r="G13" i="11"/>
  <c r="E12" i="1" s="1"/>
  <c r="F13" i="11"/>
  <c r="D12" i="1" s="1"/>
  <c r="AC12" i="1" s="1"/>
  <c r="AD12" i="1" s="1"/>
  <c r="E10" i="2" s="1"/>
  <c r="E14" i="5" s="1"/>
  <c r="N12" i="11"/>
  <c r="M12" i="11"/>
  <c r="L12" i="11"/>
  <c r="K12" i="11"/>
  <c r="I12" i="11"/>
  <c r="G11" i="1" s="1"/>
  <c r="H12" i="11"/>
  <c r="F11" i="1" s="1"/>
  <c r="G12" i="11"/>
  <c r="E11" i="1" s="1"/>
  <c r="F12" i="11"/>
  <c r="D11" i="1" s="1"/>
  <c r="AC11" i="1" s="1"/>
  <c r="AD11" i="1" s="1"/>
  <c r="E9" i="2" s="1"/>
  <c r="E13" i="5" s="1"/>
  <c r="N11" i="11"/>
  <c r="M11" i="11"/>
  <c r="L11" i="11"/>
  <c r="K11" i="11"/>
  <c r="I11" i="11"/>
  <c r="G10" i="1" s="1"/>
  <c r="H11" i="11"/>
  <c r="G11" i="11"/>
  <c r="E10" i="1" s="1"/>
  <c r="F11" i="11"/>
  <c r="D10" i="1" s="1"/>
  <c r="AC10" i="1" s="1"/>
  <c r="AD10" i="1" s="1"/>
  <c r="E8" i="2" s="1"/>
  <c r="E12" i="5" s="1"/>
  <c r="N10" i="11"/>
  <c r="M10" i="11"/>
  <c r="L10" i="11"/>
  <c r="K10" i="11"/>
  <c r="I10" i="11"/>
  <c r="G9" i="1" s="1"/>
  <c r="H10" i="11"/>
  <c r="G10" i="11"/>
  <c r="F10" i="11"/>
  <c r="D9" i="1" s="1"/>
  <c r="AC9" i="1" s="1"/>
  <c r="AD9" i="1" s="1"/>
  <c r="E7" i="2" s="1"/>
  <c r="K9" i="11"/>
  <c r="N9" i="11"/>
  <c r="M9" i="11"/>
  <c r="L9" i="11"/>
  <c r="P9" i="11" s="1"/>
  <c r="H9" i="11"/>
  <c r="Q9" i="11" s="1"/>
  <c r="G9" i="11"/>
  <c r="F9" i="11"/>
  <c r="E7" i="8"/>
  <c r="M6" i="19"/>
  <c r="L6" i="19"/>
  <c r="K6" i="19"/>
  <c r="J6" i="19"/>
  <c r="G6" i="19"/>
  <c r="F6" i="19"/>
  <c r="E6" i="19"/>
  <c r="E6" i="11"/>
  <c r="D6" i="11"/>
  <c r="N6" i="4"/>
  <c r="M6" i="4"/>
  <c r="L6" i="4"/>
  <c r="K6" i="4"/>
  <c r="J6" i="4"/>
  <c r="I6" i="4"/>
  <c r="H6" i="4"/>
  <c r="G6" i="4"/>
  <c r="F6" i="4"/>
  <c r="E6" i="4"/>
  <c r="W6" i="1"/>
  <c r="V6" i="1"/>
  <c r="U6" i="1"/>
  <c r="T6" i="1"/>
  <c r="S6" i="1"/>
  <c r="R6" i="1"/>
  <c r="Q6" i="1"/>
  <c r="P6" i="1"/>
  <c r="O6" i="1"/>
  <c r="N6" i="1"/>
  <c r="M6" i="1"/>
  <c r="L6" i="1"/>
  <c r="K6" i="1"/>
  <c r="J6" i="1"/>
  <c r="I6" i="1"/>
  <c r="A10" i="9"/>
  <c r="C33" i="7"/>
  <c r="H23" i="7"/>
  <c r="J105" i="10" s="1"/>
  <c r="H18" i="7"/>
  <c r="E67" i="7" s="1"/>
  <c r="F69" i="7" s="1"/>
  <c r="C31" i="7"/>
  <c r="B55" i="9"/>
  <c r="B53" i="9"/>
  <c r="B50" i="9"/>
  <c r="B46" i="9"/>
  <c r="C37" i="9"/>
  <c r="C36" i="9"/>
  <c r="A12" i="9"/>
  <c r="A5" i="9"/>
  <c r="O11" i="4"/>
  <c r="X10" i="11"/>
  <c r="X11" i="11"/>
  <c r="X12" i="11"/>
  <c r="X13" i="11"/>
  <c r="X14" i="11"/>
  <c r="X15" i="11"/>
  <c r="X16" i="11"/>
  <c r="X17" i="11"/>
  <c r="X18" i="11"/>
  <c r="X19" i="11"/>
  <c r="X20" i="11"/>
  <c r="X21" i="11"/>
  <c r="W10" i="11"/>
  <c r="W11" i="11"/>
  <c r="W12" i="11"/>
  <c r="W13" i="11"/>
  <c r="W14" i="11"/>
  <c r="W15" i="11"/>
  <c r="W16" i="11"/>
  <c r="W17" i="11"/>
  <c r="W18" i="11"/>
  <c r="W19" i="11"/>
  <c r="W20" i="11"/>
  <c r="W21" i="11"/>
  <c r="V10" i="11"/>
  <c r="V11" i="11"/>
  <c r="V12" i="11"/>
  <c r="V13" i="11"/>
  <c r="V14" i="11"/>
  <c r="V15" i="11"/>
  <c r="V16" i="11"/>
  <c r="V17" i="11"/>
  <c r="V18" i="11"/>
  <c r="V19" i="11"/>
  <c r="V20" i="11"/>
  <c r="V21" i="11"/>
  <c r="U10" i="11"/>
  <c r="P8" i="12" s="1"/>
  <c r="U11" i="11"/>
  <c r="Y11" i="11" s="1"/>
  <c r="Y12" i="11"/>
  <c r="U13" i="11"/>
  <c r="Y13" i="11" s="1"/>
  <c r="U14" i="11"/>
  <c r="P12" i="12" s="1"/>
  <c r="Y15" i="11"/>
  <c r="U16" i="11"/>
  <c r="Y16" i="11" s="1"/>
  <c r="U17" i="11"/>
  <c r="Y17" i="11" s="1"/>
  <c r="U18" i="11"/>
  <c r="P16" i="12" s="1"/>
  <c r="U19" i="11"/>
  <c r="P17" i="12" s="1"/>
  <c r="U20" i="11"/>
  <c r="Y20" i="11" s="1"/>
  <c r="U21" i="11"/>
  <c r="Y21" i="11" s="1"/>
  <c r="X9" i="11"/>
  <c r="W9" i="11"/>
  <c r="V9" i="11"/>
  <c r="U9" i="11"/>
  <c r="H1" i="19"/>
  <c r="H8" i="19"/>
  <c r="H9" i="19"/>
  <c r="H10" i="19"/>
  <c r="H11" i="19"/>
  <c r="H12" i="19"/>
  <c r="H13" i="19"/>
  <c r="H14" i="19"/>
  <c r="H15" i="19"/>
  <c r="H16" i="19"/>
  <c r="H17" i="19"/>
  <c r="H18" i="19"/>
  <c r="H19" i="19"/>
  <c r="H20" i="19"/>
  <c r="H22" i="19"/>
  <c r="H23" i="19"/>
  <c r="H24" i="19"/>
  <c r="H25" i="19"/>
  <c r="H26" i="19"/>
  <c r="H27" i="19"/>
  <c r="H28" i="19"/>
  <c r="H29" i="19"/>
  <c r="H30" i="19"/>
  <c r="H31" i="19"/>
  <c r="H32" i="19"/>
  <c r="H33" i="19"/>
  <c r="H34" i="19"/>
  <c r="H35" i="19"/>
  <c r="H36" i="19"/>
  <c r="H37" i="19"/>
  <c r="H38" i="19"/>
  <c r="H39" i="19"/>
  <c r="H40" i="19"/>
  <c r="H41" i="19"/>
  <c r="H42" i="19"/>
  <c r="H43" i="19"/>
  <c r="H44" i="19"/>
  <c r="H45" i="19"/>
  <c r="H46" i="19"/>
  <c r="H47" i="19"/>
  <c r="H48" i="19"/>
  <c r="H49" i="19"/>
  <c r="H50" i="19"/>
  <c r="H51" i="19"/>
  <c r="H52" i="19"/>
  <c r="H53" i="19"/>
  <c r="H54" i="19"/>
  <c r="H55" i="19"/>
  <c r="H56" i="19"/>
  <c r="H57" i="19"/>
  <c r="H58" i="19"/>
  <c r="H59" i="19"/>
  <c r="H60" i="19"/>
  <c r="H61" i="19"/>
  <c r="H62" i="19"/>
  <c r="H63" i="19"/>
  <c r="H64" i="19"/>
  <c r="H65" i="19"/>
  <c r="H66" i="19"/>
  <c r="H67" i="19"/>
  <c r="H68" i="19"/>
  <c r="H69" i="19"/>
  <c r="H70" i="19"/>
  <c r="H71" i="19"/>
  <c r="H72" i="19"/>
  <c r="H73" i="19"/>
  <c r="H74" i="19"/>
  <c r="H75" i="19"/>
  <c r="H76" i="19"/>
  <c r="H77" i="19"/>
  <c r="H78" i="19"/>
  <c r="H79" i="19"/>
  <c r="H80" i="19"/>
  <c r="H81" i="19"/>
  <c r="H82" i="19"/>
  <c r="H83" i="19"/>
  <c r="H84" i="19"/>
  <c r="H85" i="19"/>
  <c r="H86" i="19"/>
  <c r="H87" i="19"/>
  <c r="H88" i="19"/>
  <c r="H89" i="19"/>
  <c r="H90" i="19"/>
  <c r="H91" i="19"/>
  <c r="H92" i="19"/>
  <c r="H93" i="19"/>
  <c r="H94" i="19"/>
  <c r="H95" i="19"/>
  <c r="H96" i="19"/>
  <c r="H97" i="19"/>
  <c r="H98" i="19"/>
  <c r="H99" i="19"/>
  <c r="H100" i="19"/>
  <c r="H101" i="19"/>
  <c r="H102" i="19"/>
  <c r="H103" i="19"/>
  <c r="H104" i="19"/>
  <c r="H105" i="19"/>
  <c r="H106" i="19"/>
  <c r="H107" i="19"/>
  <c r="H108" i="19"/>
  <c r="H109" i="19"/>
  <c r="H110" i="19"/>
  <c r="H111" i="19"/>
  <c r="H112" i="19"/>
  <c r="H113" i="19"/>
  <c r="H114" i="19"/>
  <c r="H115" i="19"/>
  <c r="H116" i="19"/>
  <c r="H117" i="19"/>
  <c r="H118" i="19"/>
  <c r="H119" i="19"/>
  <c r="H120" i="19"/>
  <c r="H121" i="19"/>
  <c r="H122" i="19"/>
  <c r="H123" i="19"/>
  <c r="H124" i="19"/>
  <c r="H125" i="19"/>
  <c r="H126" i="19"/>
  <c r="H127" i="19"/>
  <c r="Z8" i="1"/>
  <c r="Z9" i="1"/>
  <c r="Z10" i="1"/>
  <c r="A3" i="19"/>
  <c r="Z17" i="1"/>
  <c r="T107" i="11"/>
  <c r="T125" i="11"/>
  <c r="T177" i="11"/>
  <c r="T195" i="11"/>
  <c r="T199" i="11"/>
  <c r="T204" i="11"/>
  <c r="T207" i="11"/>
  <c r="T209" i="11"/>
  <c r="T215" i="11"/>
  <c r="T217" i="11"/>
  <c r="T220" i="11"/>
  <c r="T225" i="11"/>
  <c r="T229" i="11"/>
  <c r="T231" i="11"/>
  <c r="T232" i="11"/>
  <c r="T236" i="11"/>
  <c r="T239" i="11"/>
  <c r="T241" i="11"/>
  <c r="T244" i="11"/>
  <c r="T247" i="11"/>
  <c r="T248" i="11"/>
  <c r="T252" i="11"/>
  <c r="T260" i="11"/>
  <c r="T261" i="11"/>
  <c r="T265" i="11"/>
  <c r="T266" i="11"/>
  <c r="T267" i="11"/>
  <c r="T272" i="11"/>
  <c r="T273" i="11"/>
  <c r="T277" i="11"/>
  <c r="T281" i="11"/>
  <c r="T285" i="11"/>
  <c r="T287" i="11"/>
  <c r="T292" i="11"/>
  <c r="T293" i="11"/>
  <c r="T295" i="11"/>
  <c r="T299" i="11"/>
  <c r="T304" i="11"/>
  <c r="T307" i="11"/>
  <c r="T311" i="11"/>
  <c r="T314" i="11"/>
  <c r="T317" i="11"/>
  <c r="T321" i="11"/>
  <c r="J3" i="12"/>
  <c r="E3" i="12"/>
  <c r="B50" i="7"/>
  <c r="C45" i="7"/>
  <c r="A3" i="11"/>
  <c r="A1" i="1" s="1"/>
  <c r="H9" i="1"/>
  <c r="AB9" i="1" s="1"/>
  <c r="M7" i="2" s="1"/>
  <c r="G17" i="1"/>
  <c r="G19" i="1"/>
  <c r="G22" i="1"/>
  <c r="E23" i="1"/>
  <c r="H24" i="1"/>
  <c r="AB24" i="1" s="1"/>
  <c r="M22" i="2" s="1"/>
  <c r="G27" i="1"/>
  <c r="G28" i="1"/>
  <c r="E31" i="1"/>
  <c r="G31" i="1"/>
  <c r="H33" i="1"/>
  <c r="AB33" i="1" s="1"/>
  <c r="M31" i="2" s="1"/>
  <c r="G35" i="5" s="1"/>
  <c r="F34" i="1"/>
  <c r="G34" i="1"/>
  <c r="G35" i="1"/>
  <c r="H36" i="1"/>
  <c r="AB36" i="1" s="1"/>
  <c r="M34" i="2" s="1"/>
  <c r="F38" i="1"/>
  <c r="G39" i="1"/>
  <c r="F43" i="1"/>
  <c r="G43" i="1"/>
  <c r="H45" i="1"/>
  <c r="AB45" i="1" s="1"/>
  <c r="M43" i="2" s="1"/>
  <c r="G47" i="5" s="1"/>
  <c r="G47" i="1"/>
  <c r="G48" i="1"/>
  <c r="F49" i="1"/>
  <c r="G50" i="1"/>
  <c r="G51" i="1"/>
  <c r="F52" i="1"/>
  <c r="G53" i="1"/>
  <c r="H53" i="1"/>
  <c r="AB53" i="1" s="1"/>
  <c r="M51" i="2" s="1"/>
  <c r="H57" i="1"/>
  <c r="AB57" i="1" s="1"/>
  <c r="M55" i="2" s="1"/>
  <c r="G59" i="1"/>
  <c r="G63" i="1"/>
  <c r="G64" i="1"/>
  <c r="H64" i="1"/>
  <c r="AB64" i="1" s="1"/>
  <c r="M62" i="2" s="1"/>
  <c r="H65" i="1"/>
  <c r="AB65" i="1" s="1"/>
  <c r="M63" i="2" s="1"/>
  <c r="G67" i="5" s="1"/>
  <c r="F66" i="1"/>
  <c r="G69" i="1"/>
  <c r="H69" i="1"/>
  <c r="AB69" i="1" s="1"/>
  <c r="M67" i="2" s="1"/>
  <c r="G71" i="5" s="1"/>
  <c r="F72" i="1"/>
  <c r="G72" i="1"/>
  <c r="G73" i="1"/>
  <c r="F76" i="1"/>
  <c r="G76" i="1"/>
  <c r="H77" i="1"/>
  <c r="AB77" i="1" s="1"/>
  <c r="M75" i="2" s="1"/>
  <c r="G79" i="5" s="1"/>
  <c r="G78" i="1"/>
  <c r="F79" i="1"/>
  <c r="G81" i="1"/>
  <c r="H81" i="1"/>
  <c r="AB81" i="1" s="1"/>
  <c r="M79" i="2" s="1"/>
  <c r="G84" i="1"/>
  <c r="F85" i="1"/>
  <c r="F87" i="1"/>
  <c r="G87" i="1"/>
  <c r="F89" i="1"/>
  <c r="F90" i="1"/>
  <c r="G91" i="1"/>
  <c r="G92" i="1"/>
  <c r="H92" i="1"/>
  <c r="AB92" i="1" s="1"/>
  <c r="M90" i="2" s="1"/>
  <c r="G94" i="5" s="1"/>
  <c r="F94" i="1"/>
  <c r="F95" i="1"/>
  <c r="G96" i="1"/>
  <c r="F97" i="1"/>
  <c r="F98" i="1"/>
  <c r="G98" i="1"/>
  <c r="F99" i="1"/>
  <c r="F100" i="1"/>
  <c r="G100" i="1"/>
  <c r="F101" i="1"/>
  <c r="F103" i="1"/>
  <c r="G103" i="1"/>
  <c r="G105" i="1"/>
  <c r="F106" i="1"/>
  <c r="G106" i="1"/>
  <c r="F108" i="1"/>
  <c r="G108" i="1"/>
  <c r="G109" i="1"/>
  <c r="H109" i="1"/>
  <c r="AB109" i="1" s="1"/>
  <c r="M107" i="2" s="1"/>
  <c r="F110" i="1"/>
  <c r="G110" i="1"/>
  <c r="F111" i="1"/>
  <c r="F112" i="1"/>
  <c r="G112" i="1"/>
  <c r="F113" i="1"/>
  <c r="G114" i="1"/>
  <c r="F115" i="1"/>
  <c r="G115" i="1"/>
  <c r="G117" i="1"/>
  <c r="F118" i="1"/>
  <c r="G118" i="1"/>
  <c r="F119" i="1"/>
  <c r="G119" i="1"/>
  <c r="F120" i="1"/>
  <c r="G120" i="1"/>
  <c r="H120" i="1"/>
  <c r="AB120" i="1" s="1"/>
  <c r="M118" i="2" s="1"/>
  <c r="F123" i="1"/>
  <c r="G123" i="1"/>
  <c r="G124" i="1"/>
  <c r="F125" i="1"/>
  <c r="G125" i="1"/>
  <c r="F126" i="1"/>
  <c r="G126" i="1"/>
  <c r="F127" i="1"/>
  <c r="G127" i="1"/>
  <c r="F128" i="1"/>
  <c r="G128" i="1"/>
  <c r="H129" i="1"/>
  <c r="AB129" i="1" s="1"/>
  <c r="M127" i="2" s="1"/>
  <c r="G131" i="5" s="1"/>
  <c r="G130" i="1"/>
  <c r="G131" i="1"/>
  <c r="H132" i="1"/>
  <c r="AB132" i="1" s="1"/>
  <c r="M130" i="2" s="1"/>
  <c r="G133" i="1"/>
  <c r="H133" i="1"/>
  <c r="AB133" i="1" s="1"/>
  <c r="M131" i="2" s="1"/>
  <c r="G135" i="5" s="1"/>
  <c r="F134" i="1"/>
  <c r="G135" i="1"/>
  <c r="F136" i="1"/>
  <c r="G136" i="1"/>
  <c r="H137" i="1"/>
  <c r="AB137" i="1" s="1"/>
  <c r="M135" i="2" s="1"/>
  <c r="F138" i="1"/>
  <c r="G138" i="1"/>
  <c r="F140" i="1"/>
  <c r="F141" i="1"/>
  <c r="G142" i="1"/>
  <c r="F143" i="1"/>
  <c r="G144" i="1"/>
  <c r="H145" i="1"/>
  <c r="AB145" i="1" s="1"/>
  <c r="M143" i="2" s="1"/>
  <c r="G147" i="5" s="1"/>
  <c r="F147" i="1"/>
  <c r="E148" i="1"/>
  <c r="G148" i="1"/>
  <c r="G149" i="1"/>
  <c r="H149" i="1"/>
  <c r="AB149" i="1" s="1"/>
  <c r="M147" i="2" s="1"/>
  <c r="G150" i="1"/>
  <c r="F151" i="1"/>
  <c r="G151" i="1"/>
  <c r="F153" i="1"/>
  <c r="G153" i="1"/>
  <c r="G154" i="1"/>
  <c r="G156" i="1"/>
  <c r="G157" i="1"/>
  <c r="F158" i="1"/>
  <c r="G159" i="1"/>
  <c r="F160" i="1"/>
  <c r="G160" i="1"/>
  <c r="F161" i="1"/>
  <c r="G161" i="1"/>
  <c r="F162" i="1"/>
  <c r="G162" i="1"/>
  <c r="F163" i="1"/>
  <c r="G163" i="1"/>
  <c r="F164" i="1"/>
  <c r="G164" i="1"/>
  <c r="G165" i="1"/>
  <c r="H165" i="1"/>
  <c r="AB165" i="1" s="1"/>
  <c r="M163" i="2" s="1"/>
  <c r="G167" i="5" s="1"/>
  <c r="G167" i="1"/>
  <c r="F168" i="1"/>
  <c r="G168" i="1"/>
  <c r="G169" i="1"/>
  <c r="F170" i="1"/>
  <c r="G170" i="1"/>
  <c r="F171" i="1"/>
  <c r="G171" i="1"/>
  <c r="F172" i="1"/>
  <c r="G172" i="1"/>
  <c r="F173" i="1"/>
  <c r="G173" i="1"/>
  <c r="F174" i="1"/>
  <c r="G174" i="1"/>
  <c r="F175" i="1"/>
  <c r="G175" i="1"/>
  <c r="F176" i="1"/>
  <c r="G176" i="1"/>
  <c r="G177" i="1"/>
  <c r="H177" i="1"/>
  <c r="AB177" i="1" s="1"/>
  <c r="M175" i="2" s="1"/>
  <c r="F178" i="1"/>
  <c r="G178" i="1"/>
  <c r="F179" i="1"/>
  <c r="G179" i="1"/>
  <c r="F180" i="1"/>
  <c r="G180" i="1"/>
  <c r="F181" i="1"/>
  <c r="G181" i="1"/>
  <c r="F182" i="1"/>
  <c r="G182" i="1"/>
  <c r="F183" i="1"/>
  <c r="G183" i="1"/>
  <c r="F184" i="1"/>
  <c r="F185" i="1"/>
  <c r="F186" i="1"/>
  <c r="G186" i="1"/>
  <c r="F187" i="1"/>
  <c r="G187" i="1"/>
  <c r="F188" i="1"/>
  <c r="G188" i="1"/>
  <c r="G189" i="1"/>
  <c r="F190" i="1"/>
  <c r="G190" i="1"/>
  <c r="F191" i="1"/>
  <c r="G191" i="1"/>
  <c r="F192" i="1"/>
  <c r="G192" i="1"/>
  <c r="H192" i="1"/>
  <c r="AB192" i="1" s="1"/>
  <c r="M190" i="2" s="1"/>
  <c r="G194" i="5" s="1"/>
  <c r="F193" i="1"/>
  <c r="G193" i="1"/>
  <c r="F194" i="1"/>
  <c r="G194" i="1"/>
  <c r="G195" i="1"/>
  <c r="E196" i="1"/>
  <c r="F196" i="1"/>
  <c r="G196" i="1"/>
  <c r="F197" i="1"/>
  <c r="G197" i="1"/>
  <c r="F198" i="1"/>
  <c r="G198" i="1"/>
  <c r="F199" i="1"/>
  <c r="G199" i="1"/>
  <c r="F200" i="1"/>
  <c r="G200" i="1"/>
  <c r="H201" i="1"/>
  <c r="AB201" i="1" s="1"/>
  <c r="M199" i="2" s="1"/>
  <c r="F202" i="1"/>
  <c r="G202" i="1"/>
  <c r="G203" i="1"/>
  <c r="G204" i="1"/>
  <c r="G205" i="1"/>
  <c r="H205" i="1"/>
  <c r="AB205" i="1" s="1"/>
  <c r="M203" i="2" s="1"/>
  <c r="F206" i="1"/>
  <c r="G206" i="1"/>
  <c r="F207" i="1"/>
  <c r="G207" i="1"/>
  <c r="F208" i="1"/>
  <c r="G208" i="1"/>
  <c r="F209" i="1"/>
  <c r="G209" i="1"/>
  <c r="F210" i="1"/>
  <c r="G210" i="1"/>
  <c r="D211" i="1"/>
  <c r="AC211" i="1" s="1"/>
  <c r="AD211" i="1" s="1"/>
  <c r="E209" i="2" s="1"/>
  <c r="E213" i="5" s="1"/>
  <c r="G211" i="1"/>
  <c r="F212" i="1"/>
  <c r="G212" i="1"/>
  <c r="F213" i="1"/>
  <c r="G213" i="1"/>
  <c r="G214" i="1"/>
  <c r="E215" i="1"/>
  <c r="F215" i="1"/>
  <c r="G215" i="1"/>
  <c r="F216" i="1"/>
  <c r="G216" i="1"/>
  <c r="F217" i="1"/>
  <c r="G217" i="1"/>
  <c r="H217" i="1"/>
  <c r="AB217" i="1" s="1"/>
  <c r="M215" i="2" s="1"/>
  <c r="G219" i="5" s="1"/>
  <c r="G218" i="1"/>
  <c r="F219" i="1"/>
  <c r="G219" i="1"/>
  <c r="G220" i="1"/>
  <c r="H220" i="1"/>
  <c r="AB220" i="1" s="1"/>
  <c r="M218" i="2" s="1"/>
  <c r="F221" i="1"/>
  <c r="G221" i="1"/>
  <c r="H221" i="1"/>
  <c r="AB221" i="1" s="1"/>
  <c r="M219" i="2" s="1"/>
  <c r="F222" i="1"/>
  <c r="G222" i="1"/>
  <c r="F223" i="1"/>
  <c r="G223" i="1"/>
  <c r="E224" i="1"/>
  <c r="G224" i="1"/>
  <c r="F225" i="1"/>
  <c r="G225" i="1"/>
  <c r="F226" i="1"/>
  <c r="G226" i="1"/>
  <c r="G227" i="1"/>
  <c r="F228" i="1"/>
  <c r="G228" i="1"/>
  <c r="F229" i="1"/>
  <c r="G229" i="1"/>
  <c r="G230" i="1"/>
  <c r="F231" i="1"/>
  <c r="G231" i="1"/>
  <c r="G232" i="1"/>
  <c r="F233" i="1"/>
  <c r="G233" i="1"/>
  <c r="F234" i="1"/>
  <c r="G234" i="1"/>
  <c r="F235" i="1"/>
  <c r="G235" i="1"/>
  <c r="F236" i="1"/>
  <c r="G236" i="1"/>
  <c r="H237" i="1"/>
  <c r="AB237" i="1" s="1"/>
  <c r="M235" i="2" s="1"/>
  <c r="F238" i="1"/>
  <c r="G238" i="1"/>
  <c r="G239" i="1"/>
  <c r="F240" i="1"/>
  <c r="G240" i="1"/>
  <c r="F241" i="1"/>
  <c r="G241" i="1"/>
  <c r="H241" i="1"/>
  <c r="AB241" i="1" s="1"/>
  <c r="M239" i="2" s="1"/>
  <c r="G243" i="5" s="1"/>
  <c r="G242" i="1"/>
  <c r="F243" i="1"/>
  <c r="G243" i="1"/>
  <c r="G244" i="1"/>
  <c r="F245" i="1"/>
  <c r="G245" i="1"/>
  <c r="H245" i="1"/>
  <c r="AB245" i="1" s="1"/>
  <c r="M243" i="2" s="1"/>
  <c r="G247" i="5" s="1"/>
  <c r="F246" i="1"/>
  <c r="G246" i="1"/>
  <c r="G247" i="1"/>
  <c r="F248" i="1"/>
  <c r="G248" i="1"/>
  <c r="F249" i="1"/>
  <c r="G249" i="1"/>
  <c r="H249" i="1"/>
  <c r="AB249" i="1" s="1"/>
  <c r="M247" i="2" s="1"/>
  <c r="G251" i="5" s="1"/>
  <c r="G250" i="1"/>
  <c r="F251" i="1"/>
  <c r="G251" i="1"/>
  <c r="G252" i="1"/>
  <c r="F253" i="1"/>
  <c r="F254" i="1"/>
  <c r="F255" i="1"/>
  <c r="F256" i="1"/>
  <c r="F257" i="1"/>
  <c r="G257" i="1"/>
  <c r="H257" i="1"/>
  <c r="AB257" i="1" s="1"/>
  <c r="M255" i="2" s="1"/>
  <c r="G259" i="5" s="1"/>
  <c r="G258" i="1"/>
  <c r="F259" i="1"/>
  <c r="G259" i="1"/>
  <c r="G260" i="1"/>
  <c r="F261" i="1"/>
  <c r="G261" i="1"/>
  <c r="H261" i="1"/>
  <c r="AB261" i="1" s="1"/>
  <c r="M259" i="2" s="1"/>
  <c r="G263" i="5" s="1"/>
  <c r="F262" i="1"/>
  <c r="G262" i="1"/>
  <c r="G263" i="1"/>
  <c r="F264" i="1"/>
  <c r="G264" i="1"/>
  <c r="F265" i="1"/>
  <c r="G265" i="1"/>
  <c r="H265" i="1"/>
  <c r="AB265" i="1" s="1"/>
  <c r="M263" i="2" s="1"/>
  <c r="G267" i="5" s="1"/>
  <c r="G266" i="1"/>
  <c r="F267" i="1"/>
  <c r="G267" i="1"/>
  <c r="H268" i="1"/>
  <c r="AB268" i="1" s="1"/>
  <c r="M266" i="2" s="1"/>
  <c r="G270" i="5" s="1"/>
  <c r="F269" i="1"/>
  <c r="G269" i="1"/>
  <c r="F270" i="1"/>
  <c r="G270" i="1"/>
  <c r="F271" i="1"/>
  <c r="G271" i="1"/>
  <c r="F272" i="1"/>
  <c r="G272" i="1"/>
  <c r="G273" i="1"/>
  <c r="H273" i="1"/>
  <c r="AB273" i="1" s="1"/>
  <c r="M271" i="2" s="1"/>
  <c r="F274" i="1"/>
  <c r="G274" i="1"/>
  <c r="F275" i="1"/>
  <c r="G275" i="1"/>
  <c r="F276" i="1"/>
  <c r="G276" i="1"/>
  <c r="F277" i="1"/>
  <c r="G277" i="1"/>
  <c r="F278" i="1"/>
  <c r="G278" i="1"/>
  <c r="F279" i="1"/>
  <c r="G279" i="1"/>
  <c r="F280" i="1"/>
  <c r="G280" i="1"/>
  <c r="G281" i="1"/>
  <c r="F282" i="1"/>
  <c r="G282" i="1"/>
  <c r="F283" i="1"/>
  <c r="G283" i="1"/>
  <c r="F284" i="1"/>
  <c r="G284" i="1"/>
  <c r="H284" i="1"/>
  <c r="AB284" i="1" s="1"/>
  <c r="M282" i="2" s="1"/>
  <c r="G286" i="5" s="1"/>
  <c r="F285" i="1"/>
  <c r="G285" i="1"/>
  <c r="F286" i="1"/>
  <c r="G286" i="1"/>
  <c r="F287" i="1"/>
  <c r="G287" i="1"/>
  <c r="F288" i="1"/>
  <c r="G288" i="1"/>
  <c r="G289" i="1"/>
  <c r="H289" i="1"/>
  <c r="AB289" i="1" s="1"/>
  <c r="M287" i="2" s="1"/>
  <c r="F290" i="1"/>
  <c r="G290" i="1"/>
  <c r="F291" i="1"/>
  <c r="G291" i="1"/>
  <c r="E292" i="1"/>
  <c r="G292" i="1"/>
  <c r="F293" i="1"/>
  <c r="G293" i="1"/>
  <c r="F294" i="1"/>
  <c r="G294" i="1"/>
  <c r="G295" i="1"/>
  <c r="F296" i="1"/>
  <c r="G296" i="1"/>
  <c r="E297" i="1"/>
  <c r="F297" i="1"/>
  <c r="G297" i="1"/>
  <c r="G298" i="1"/>
  <c r="G299" i="1"/>
  <c r="G300" i="1"/>
  <c r="F301" i="1"/>
  <c r="G301" i="1"/>
  <c r="F302" i="1"/>
  <c r="G302" i="1"/>
  <c r="G303" i="1"/>
  <c r="F304" i="1"/>
  <c r="G304" i="1"/>
  <c r="F305" i="1"/>
  <c r="H305" i="1"/>
  <c r="AB305" i="1" s="1"/>
  <c r="M303" i="2" s="1"/>
  <c r="F306" i="1"/>
  <c r="G306" i="1"/>
  <c r="F307" i="1"/>
  <c r="G307" i="1"/>
  <c r="F308" i="1"/>
  <c r="G308" i="1"/>
  <c r="F309" i="1"/>
  <c r="G309" i="1"/>
  <c r="F310" i="1"/>
  <c r="G310" i="1"/>
  <c r="F311" i="1"/>
  <c r="G311" i="1"/>
  <c r="F312" i="1"/>
  <c r="G312" i="1"/>
  <c r="H312" i="1"/>
  <c r="AB312" i="1" s="1"/>
  <c r="M310" i="2" s="1"/>
  <c r="G313" i="1"/>
  <c r="F314" i="1"/>
  <c r="G314" i="1"/>
  <c r="F315" i="1"/>
  <c r="G315" i="1"/>
  <c r="F316" i="1"/>
  <c r="G316" i="1"/>
  <c r="F317" i="1"/>
  <c r="G317" i="1"/>
  <c r="F318" i="1"/>
  <c r="G318" i="1"/>
  <c r="F319" i="1"/>
  <c r="G319" i="1"/>
  <c r="F320" i="1"/>
  <c r="G320" i="1"/>
  <c r="F321" i="1"/>
  <c r="H321" i="1"/>
  <c r="AB321" i="1" s="1"/>
  <c r="M319" i="2" s="1"/>
  <c r="F322" i="1"/>
  <c r="E323" i="1"/>
  <c r="F323" i="1"/>
  <c r="F324" i="1"/>
  <c r="E325" i="1"/>
  <c r="F325" i="1"/>
  <c r="F326" i="1"/>
  <c r="E327" i="1"/>
  <c r="F327" i="1"/>
  <c r="E328" i="1"/>
  <c r="F328" i="1"/>
  <c r="F329" i="1"/>
  <c r="D330" i="1"/>
  <c r="AC330" i="1" s="1"/>
  <c r="AD330" i="1" s="1"/>
  <c r="E328" i="2" s="1"/>
  <c r="F330" i="1"/>
  <c r="F331" i="1"/>
  <c r="E332" i="1"/>
  <c r="F332" i="1"/>
  <c r="F333" i="1"/>
  <c r="H333" i="1"/>
  <c r="AB333" i="1" s="1"/>
  <c r="M331" i="2" s="1"/>
  <c r="F334" i="1"/>
  <c r="E335" i="1"/>
  <c r="F335" i="1"/>
  <c r="F336" i="1"/>
  <c r="F337" i="1"/>
  <c r="F338" i="1"/>
  <c r="E339" i="1"/>
  <c r="F339" i="1"/>
  <c r="E8" i="1"/>
  <c r="G8" i="1"/>
  <c r="E7" i="7"/>
  <c r="D22" i="7"/>
  <c r="J83" i="10" s="1"/>
  <c r="D20" i="7"/>
  <c r="J96" i="10" s="1"/>
  <c r="D17" i="7"/>
  <c r="D16" i="7"/>
  <c r="D15" i="7"/>
  <c r="D14" i="7"/>
  <c r="D13" i="7"/>
  <c r="D12" i="7"/>
  <c r="D11" i="7"/>
  <c r="D10" i="7"/>
  <c r="D9" i="7"/>
  <c r="A15" i="10"/>
  <c r="A14" i="10"/>
  <c r="A13" i="10"/>
  <c r="A82" i="10"/>
  <c r="A81" i="10"/>
  <c r="A80" i="10"/>
  <c r="A71" i="10"/>
  <c r="A70" i="10"/>
  <c r="A69" i="10"/>
  <c r="A68" i="10"/>
  <c r="A67" i="10"/>
  <c r="A66" i="10"/>
  <c r="A40" i="10"/>
  <c r="A39" i="10"/>
  <c r="A38" i="10"/>
  <c r="N60" i="10"/>
  <c r="A54" i="10"/>
  <c r="N52" i="10"/>
  <c r="N40" i="10"/>
  <c r="N39" i="10"/>
  <c r="N38" i="10"/>
  <c r="N23" i="10"/>
  <c r="N22" i="10"/>
  <c r="N15" i="10"/>
  <c r="N14" i="10"/>
  <c r="N13" i="10"/>
  <c r="A36" i="10"/>
  <c r="A35" i="10"/>
  <c r="A34" i="10"/>
  <c r="A33" i="10"/>
  <c r="A32" i="10"/>
  <c r="A31" i="10"/>
  <c r="A30" i="10"/>
  <c r="A79" i="10"/>
  <c r="A78" i="10"/>
  <c r="A77" i="10"/>
  <c r="A76" i="10"/>
  <c r="A75" i="10"/>
  <c r="A74" i="10"/>
  <c r="A73" i="10"/>
  <c r="B108" i="10"/>
  <c r="A105" i="10"/>
  <c r="B103" i="10"/>
  <c r="B99" i="10"/>
  <c r="A97" i="10"/>
  <c r="A96" i="10"/>
  <c r="B94" i="10"/>
  <c r="B90" i="10"/>
  <c r="A92" i="10"/>
  <c r="A88" i="10"/>
  <c r="B86" i="10"/>
  <c r="A83" i="10"/>
  <c r="A84" i="10"/>
  <c r="O2" i="12"/>
  <c r="A1" i="12"/>
  <c r="G4" i="8"/>
  <c r="D4" i="8"/>
  <c r="A1" i="5"/>
  <c r="A1" i="2"/>
  <c r="AD4" i="1"/>
  <c r="AC4" i="1"/>
  <c r="B62" i="10"/>
  <c r="A59" i="10"/>
  <c r="A58" i="10"/>
  <c r="B56" i="10"/>
  <c r="A53" i="10"/>
  <c r="A52" i="10"/>
  <c r="B50" i="10"/>
  <c r="B46" i="10"/>
  <c r="B42" i="10"/>
  <c r="A37" i="10"/>
  <c r="A28" i="10"/>
  <c r="A27" i="10"/>
  <c r="A26" i="10"/>
  <c r="A25" i="10"/>
  <c r="A24" i="10"/>
  <c r="A23" i="10"/>
  <c r="A22" i="10"/>
  <c r="A12" i="10"/>
  <c r="A29" i="10"/>
  <c r="B124" i="14"/>
  <c r="B123" i="14"/>
  <c r="B122" i="14"/>
  <c r="B121" i="14"/>
  <c r="B114" i="14"/>
  <c r="B115" i="14"/>
  <c r="B113" i="14"/>
  <c r="B112" i="14"/>
  <c r="B106" i="14"/>
  <c r="B105" i="14"/>
  <c r="B104" i="14"/>
  <c r="B103" i="14"/>
  <c r="B97" i="14"/>
  <c r="B96" i="14"/>
  <c r="B95" i="14"/>
  <c r="B94" i="14"/>
  <c r="B83" i="14"/>
  <c r="B84" i="14"/>
  <c r="B85" i="14"/>
  <c r="B86" i="14"/>
  <c r="B87" i="14"/>
  <c r="B88" i="14"/>
  <c r="B82" i="14"/>
  <c r="B72" i="14"/>
  <c r="B73" i="14"/>
  <c r="B74" i="14"/>
  <c r="B75" i="14"/>
  <c r="B76" i="14"/>
  <c r="B77" i="14"/>
  <c r="B71" i="14"/>
  <c r="B61" i="14"/>
  <c r="B62" i="14"/>
  <c r="B63" i="14"/>
  <c r="B64" i="14"/>
  <c r="B65" i="14"/>
  <c r="B66" i="14"/>
  <c r="B60" i="14"/>
  <c r="B50" i="14"/>
  <c r="B51" i="14"/>
  <c r="B52" i="14"/>
  <c r="B53" i="14"/>
  <c r="B54" i="14"/>
  <c r="B55" i="14"/>
  <c r="B49" i="14"/>
  <c r="B43" i="14"/>
  <c r="B42" i="14"/>
  <c r="B41" i="14"/>
  <c r="B40" i="14"/>
  <c r="C35" i="14"/>
  <c r="C34" i="14"/>
  <c r="C33" i="14"/>
  <c r="C32" i="14"/>
  <c r="C25" i="14"/>
  <c r="C26" i="14"/>
  <c r="C27" i="14"/>
  <c r="C28" i="14"/>
  <c r="C29" i="14"/>
  <c r="C30" i="14"/>
  <c r="C31" i="14"/>
  <c r="C24" i="14"/>
  <c r="A12" i="14"/>
  <c r="K5" i="14"/>
  <c r="J5" i="14"/>
  <c r="I5" i="14"/>
  <c r="H5" i="14"/>
  <c r="G5" i="14"/>
  <c r="F5" i="14"/>
  <c r="E5" i="14"/>
  <c r="D5" i="14"/>
  <c r="B75" i="7"/>
  <c r="A83" i="7"/>
  <c r="B112" i="7"/>
  <c r="B89" i="7"/>
  <c r="B98" i="7"/>
  <c r="B77" i="7"/>
  <c r="B76" i="7"/>
  <c r="B74" i="7"/>
  <c r="A72" i="7"/>
  <c r="B64" i="7"/>
  <c r="B54" i="7"/>
  <c r="F7" i="7"/>
  <c r="D7" i="7"/>
  <c r="C7" i="7"/>
  <c r="D2" i="7"/>
  <c r="F305" i="2"/>
  <c r="H7" i="2"/>
  <c r="C13" i="7" s="1"/>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6" i="2"/>
  <c r="R18" i="11"/>
  <c r="R26" i="11"/>
  <c r="R30" i="11"/>
  <c r="R38" i="11"/>
  <c r="R41" i="11"/>
  <c r="R50" i="11"/>
  <c r="R58" i="11"/>
  <c r="R62" i="11"/>
  <c r="R70" i="11"/>
  <c r="R73" i="11"/>
  <c r="R82" i="11"/>
  <c r="R90" i="11"/>
  <c r="R94" i="11"/>
  <c r="R102" i="11"/>
  <c r="R105" i="11"/>
  <c r="R114" i="11"/>
  <c r="R122" i="11"/>
  <c r="R126" i="11"/>
  <c r="R134" i="11"/>
  <c r="R137" i="11"/>
  <c r="R146" i="11"/>
  <c r="R154" i="11"/>
  <c r="R158" i="11"/>
  <c r="R166" i="11"/>
  <c r="R169" i="11"/>
  <c r="R178" i="11"/>
  <c r="R186" i="11"/>
  <c r="R190" i="11"/>
  <c r="R198" i="11"/>
  <c r="R201" i="11"/>
  <c r="R210" i="11"/>
  <c r="R218" i="11"/>
  <c r="R222" i="11"/>
  <c r="R230" i="11"/>
  <c r="R233" i="11"/>
  <c r="R242" i="11"/>
  <c r="R250" i="11"/>
  <c r="R254" i="11"/>
  <c r="R262" i="11"/>
  <c r="R265" i="11"/>
  <c r="R274" i="11"/>
  <c r="R282" i="11"/>
  <c r="R286" i="11"/>
  <c r="R294" i="11"/>
  <c r="R297" i="11"/>
  <c r="R306" i="11"/>
  <c r="R314" i="11"/>
  <c r="R318" i="11"/>
  <c r="R326" i="11"/>
  <c r="R329" i="11"/>
  <c r="R338" i="11"/>
  <c r="Q12" i="11"/>
  <c r="Q16" i="11"/>
  <c r="Q18" i="11"/>
  <c r="Q21" i="11"/>
  <c r="Q26" i="11"/>
  <c r="Q28" i="11"/>
  <c r="Q29" i="11"/>
  <c r="Q34" i="11"/>
  <c r="Q37" i="11"/>
  <c r="Q41" i="11"/>
  <c r="Q44" i="11"/>
  <c r="Q47" i="11"/>
  <c r="Q48" i="11"/>
  <c r="Q50" i="11"/>
  <c r="Q52" i="11"/>
  <c r="Q54" i="11"/>
  <c r="Q55" i="11"/>
  <c r="Q58" i="11"/>
  <c r="Q59" i="11"/>
  <c r="Q60" i="11"/>
  <c r="Q63" i="11"/>
  <c r="Q64" i="11"/>
  <c r="Q66" i="11"/>
  <c r="Q68" i="11"/>
  <c r="Q70" i="11"/>
  <c r="Q72" i="11"/>
  <c r="Q76" i="11"/>
  <c r="Q77" i="11"/>
  <c r="Q78" i="11"/>
  <c r="Q81" i="11"/>
  <c r="Q82" i="11"/>
  <c r="Q84" i="11"/>
  <c r="Q86" i="11"/>
  <c r="Q88" i="11"/>
  <c r="Q89" i="11"/>
  <c r="Q93" i="11"/>
  <c r="Q96" i="11"/>
  <c r="Q97" i="11"/>
  <c r="Q98" i="11"/>
  <c r="Q99" i="11"/>
  <c r="Q100" i="11"/>
  <c r="Q101" i="11"/>
  <c r="Q102" i="11"/>
  <c r="Q104" i="11"/>
  <c r="Q105" i="11"/>
  <c r="Q107" i="11"/>
  <c r="Q108" i="11"/>
  <c r="Q109" i="11"/>
  <c r="Q110" i="11"/>
  <c r="Q111" i="11"/>
  <c r="Q112" i="11"/>
  <c r="Q113" i="11"/>
  <c r="Q114" i="11"/>
  <c r="Q115" i="11"/>
  <c r="Q116" i="11"/>
  <c r="Q117" i="11"/>
  <c r="Q118" i="11"/>
  <c r="Q119" i="11"/>
  <c r="Q120" i="11"/>
  <c r="Q121" i="11"/>
  <c r="Q122" i="11"/>
  <c r="Q123" i="11"/>
  <c r="Q124" i="11"/>
  <c r="Q125" i="11"/>
  <c r="Q126" i="11"/>
  <c r="Q127" i="11"/>
  <c r="Q128" i="11"/>
  <c r="Q129" i="11"/>
  <c r="Q130" i="11"/>
  <c r="Q131" i="11"/>
  <c r="Q132" i="11"/>
  <c r="Q133" i="11"/>
  <c r="Q134" i="11"/>
  <c r="Q136" i="11"/>
  <c r="Q137" i="11"/>
  <c r="Q139" i="11"/>
  <c r="Q140" i="11"/>
  <c r="Q141" i="11"/>
  <c r="Q142" i="11"/>
  <c r="Q143" i="11"/>
  <c r="Q144" i="11"/>
  <c r="Q145" i="11"/>
  <c r="Q146" i="11"/>
  <c r="Q147" i="11"/>
  <c r="Q148" i="11"/>
  <c r="Q149" i="11"/>
  <c r="Q150" i="11"/>
  <c r="Q151" i="11"/>
  <c r="Q152" i="11"/>
  <c r="Q153" i="11"/>
  <c r="Q156" i="11"/>
  <c r="Q157" i="11"/>
  <c r="Q160" i="11"/>
  <c r="Q161" i="11"/>
  <c r="Q162" i="11"/>
  <c r="Q163" i="11"/>
  <c r="Q164" i="11"/>
  <c r="Q165" i="11"/>
  <c r="Q166" i="11"/>
  <c r="Q168" i="11"/>
  <c r="Q169" i="11"/>
  <c r="Q171" i="11"/>
  <c r="Q172" i="11"/>
  <c r="Q173" i="11"/>
  <c r="Q174" i="11"/>
  <c r="Q175" i="11"/>
  <c r="Q176" i="11"/>
  <c r="Q177" i="11"/>
  <c r="Q178" i="11"/>
  <c r="Q179" i="11"/>
  <c r="Q180" i="11"/>
  <c r="Q181" i="11"/>
  <c r="Q182" i="11"/>
  <c r="Q183" i="11"/>
  <c r="Q184" i="11"/>
  <c r="Q185" i="11"/>
  <c r="Q187" i="11"/>
  <c r="Q188" i="11"/>
  <c r="Q189" i="11"/>
  <c r="Q190" i="11"/>
  <c r="Q191" i="11"/>
  <c r="Q192" i="11"/>
  <c r="Q193" i="11"/>
  <c r="Q194" i="11"/>
  <c r="Q195" i="11"/>
  <c r="Q196" i="11"/>
  <c r="Q197" i="11"/>
  <c r="Q198" i="11"/>
  <c r="Q199" i="11"/>
  <c r="Q200" i="11"/>
  <c r="Q201" i="11"/>
  <c r="Q203" i="11"/>
  <c r="Q204" i="11"/>
  <c r="Q206" i="11"/>
  <c r="Q207" i="11"/>
  <c r="Q208" i="11"/>
  <c r="Q209" i="11"/>
  <c r="Q210" i="11"/>
  <c r="Q211" i="11"/>
  <c r="Q212" i="11"/>
  <c r="Q213" i="11"/>
  <c r="Q214" i="11"/>
  <c r="Q215" i="11"/>
  <c r="Q216" i="11"/>
  <c r="Q217" i="11"/>
  <c r="Q218" i="11"/>
  <c r="Q219" i="11"/>
  <c r="Q220" i="11"/>
  <c r="Q221" i="11"/>
  <c r="Q222" i="11"/>
  <c r="Q223" i="11"/>
  <c r="Q224" i="11"/>
  <c r="Q225" i="11"/>
  <c r="Q226" i="11"/>
  <c r="Q227" i="11"/>
  <c r="Q228" i="11"/>
  <c r="Q229" i="11"/>
  <c r="Q230" i="11"/>
  <c r="Q231" i="11"/>
  <c r="Q232" i="11"/>
  <c r="Q233" i="11"/>
  <c r="Q234" i="11"/>
  <c r="Q235" i="11"/>
  <c r="Q236" i="11"/>
  <c r="Q237" i="11"/>
  <c r="Q238" i="11"/>
  <c r="Q239" i="11"/>
  <c r="Q240" i="11"/>
  <c r="Q241" i="11"/>
  <c r="Q242" i="11"/>
  <c r="Q243" i="11"/>
  <c r="Q244" i="11"/>
  <c r="Q245" i="11"/>
  <c r="Q246" i="11"/>
  <c r="Q247" i="11"/>
  <c r="Q248" i="11"/>
  <c r="Q249" i="11"/>
  <c r="Q250" i="11"/>
  <c r="Q251" i="11"/>
  <c r="Q252" i="11"/>
  <c r="Q253" i="11"/>
  <c r="Q258" i="11"/>
  <c r="Q259" i="11"/>
  <c r="Q260" i="11"/>
  <c r="Q261" i="11"/>
  <c r="Q262" i="11"/>
  <c r="Q263" i="11"/>
  <c r="Q264" i="11"/>
  <c r="Q265" i="11"/>
  <c r="Q266" i="11"/>
  <c r="Q267" i="11"/>
  <c r="Q268" i="11"/>
  <c r="Q270" i="11"/>
  <c r="Q271" i="11"/>
  <c r="Q272" i="11"/>
  <c r="Q273" i="11"/>
  <c r="Q274" i="11"/>
  <c r="Q275" i="11"/>
  <c r="Q276" i="11"/>
  <c r="Q277" i="11"/>
  <c r="Q278" i="11"/>
  <c r="Q279" i="11"/>
  <c r="Q280" i="11"/>
  <c r="Q281" i="11"/>
  <c r="Q282" i="11"/>
  <c r="Q283" i="11"/>
  <c r="Q284" i="11"/>
  <c r="Q285" i="11"/>
  <c r="Q286" i="11"/>
  <c r="Q287" i="11"/>
  <c r="Q288" i="11"/>
  <c r="Q289" i="11"/>
  <c r="Q290" i="11"/>
  <c r="Q291" i="11"/>
  <c r="Q292" i="11"/>
  <c r="Q293" i="11"/>
  <c r="Q294" i="11"/>
  <c r="Q295" i="11"/>
  <c r="Q296" i="11"/>
  <c r="Q297" i="11"/>
  <c r="Q298" i="11"/>
  <c r="Q299" i="11"/>
  <c r="Q300" i="11"/>
  <c r="Q301" i="11"/>
  <c r="Q302" i="11"/>
  <c r="Q303" i="11"/>
  <c r="Q304" i="11"/>
  <c r="Q305" i="11"/>
  <c r="Q306" i="11"/>
  <c r="Q307" i="11"/>
  <c r="Q308" i="11"/>
  <c r="Q309" i="11"/>
  <c r="Q310" i="11"/>
  <c r="Q311" i="11"/>
  <c r="Q312" i="11"/>
  <c r="Q313" i="11"/>
  <c r="Q314" i="11"/>
  <c r="Q315" i="11"/>
  <c r="Q316" i="11"/>
  <c r="Q317" i="11"/>
  <c r="Q318" i="11"/>
  <c r="Q319" i="11"/>
  <c r="Q320" i="11"/>
  <c r="Q321" i="11"/>
  <c r="H9" i="8"/>
  <c r="H10" i="8"/>
  <c r="F60" i="7" s="1"/>
  <c r="E58" i="7" s="1"/>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H104" i="8"/>
  <c r="H105" i="8"/>
  <c r="H106" i="8"/>
  <c r="H107" i="8"/>
  <c r="H108" i="8"/>
  <c r="H109" i="8"/>
  <c r="H110" i="8"/>
  <c r="H111" i="8"/>
  <c r="H112" i="8"/>
  <c r="H113" i="8"/>
  <c r="H114" i="8"/>
  <c r="H115" i="8"/>
  <c r="H116" i="8"/>
  <c r="H117" i="8"/>
  <c r="H118" i="8"/>
  <c r="H119" i="8"/>
  <c r="H120" i="8"/>
  <c r="H121" i="8"/>
  <c r="H122" i="8"/>
  <c r="H123" i="8"/>
  <c r="H124" i="8"/>
  <c r="H125" i="8"/>
  <c r="H126" i="8"/>
  <c r="H127" i="8"/>
  <c r="H128" i="8"/>
  <c r="H129" i="8"/>
  <c r="H130" i="8"/>
  <c r="H131" i="8"/>
  <c r="H132" i="8"/>
  <c r="H133" i="8"/>
  <c r="H134" i="8"/>
  <c r="H135" i="8"/>
  <c r="H136" i="8"/>
  <c r="H137" i="8"/>
  <c r="H138" i="8"/>
  <c r="H139" i="8"/>
  <c r="H140" i="8"/>
  <c r="H141" i="8"/>
  <c r="H142" i="8"/>
  <c r="H143" i="8"/>
  <c r="H144" i="8"/>
  <c r="H145" i="8"/>
  <c r="H146" i="8"/>
  <c r="H147" i="8"/>
  <c r="H148" i="8"/>
  <c r="H149" i="8"/>
  <c r="H150" i="8"/>
  <c r="H151" i="8"/>
  <c r="H152" i="8"/>
  <c r="H153" i="8"/>
  <c r="H154" i="8"/>
  <c r="H155" i="8"/>
  <c r="H156" i="8"/>
  <c r="H157" i="8"/>
  <c r="H158" i="8"/>
  <c r="H159" i="8"/>
  <c r="H160" i="8"/>
  <c r="H161" i="8"/>
  <c r="H162" i="8"/>
  <c r="H163" i="8"/>
  <c r="H164" i="8"/>
  <c r="H165" i="8"/>
  <c r="H166" i="8"/>
  <c r="H167" i="8"/>
  <c r="H168" i="8"/>
  <c r="H169" i="8"/>
  <c r="H170" i="8"/>
  <c r="H171" i="8"/>
  <c r="H172" i="8"/>
  <c r="H173" i="8"/>
  <c r="H174" i="8"/>
  <c r="H175" i="8"/>
  <c r="H176" i="8"/>
  <c r="H177" i="8"/>
  <c r="H178" i="8"/>
  <c r="H179" i="8"/>
  <c r="H180" i="8"/>
  <c r="H181" i="8"/>
  <c r="H182" i="8"/>
  <c r="H183" i="8"/>
  <c r="H184" i="8"/>
  <c r="H185" i="8"/>
  <c r="H186" i="8"/>
  <c r="H187" i="8"/>
  <c r="H188" i="8"/>
  <c r="H189" i="8"/>
  <c r="H190" i="8"/>
  <c r="H191" i="8"/>
  <c r="H192" i="8"/>
  <c r="H193" i="8"/>
  <c r="H194" i="8"/>
  <c r="H195" i="8"/>
  <c r="H196" i="8"/>
  <c r="H197" i="8"/>
  <c r="H198" i="8"/>
  <c r="H199" i="8"/>
  <c r="H200" i="8"/>
  <c r="H201" i="8"/>
  <c r="H202" i="8"/>
  <c r="H203" i="8"/>
  <c r="H204" i="8"/>
  <c r="H205" i="8"/>
  <c r="H206" i="8"/>
  <c r="H207" i="8"/>
  <c r="H208" i="8"/>
  <c r="H209" i="8"/>
  <c r="H210" i="8"/>
  <c r="H211" i="8"/>
  <c r="H212" i="8"/>
  <c r="H213" i="8"/>
  <c r="H214" i="8"/>
  <c r="H215" i="8"/>
  <c r="H216" i="8"/>
  <c r="H217" i="8"/>
  <c r="H218" i="8"/>
  <c r="H219" i="8"/>
  <c r="H220" i="8"/>
  <c r="H221" i="8"/>
  <c r="H222" i="8"/>
  <c r="H223" i="8"/>
  <c r="H224" i="8"/>
  <c r="H225" i="8"/>
  <c r="H226" i="8"/>
  <c r="H227" i="8"/>
  <c r="H228" i="8"/>
  <c r="H229" i="8"/>
  <c r="H230" i="8"/>
  <c r="H231" i="8"/>
  <c r="H232" i="8"/>
  <c r="H233" i="8"/>
  <c r="H234" i="8"/>
  <c r="H235" i="8"/>
  <c r="H236" i="8"/>
  <c r="H237" i="8"/>
  <c r="H238" i="8"/>
  <c r="H239" i="8"/>
  <c r="H240" i="8"/>
  <c r="H241" i="8"/>
  <c r="H242" i="8"/>
  <c r="H243" i="8"/>
  <c r="H244" i="8"/>
  <c r="H245" i="8"/>
  <c r="H246" i="8"/>
  <c r="H247" i="8"/>
  <c r="H248" i="8"/>
  <c r="H249" i="8"/>
  <c r="H250" i="8"/>
  <c r="H251" i="8"/>
  <c r="H252" i="8"/>
  <c r="H253" i="8"/>
  <c r="H254" i="8"/>
  <c r="H255" i="8"/>
  <c r="H256" i="8"/>
  <c r="H257" i="8"/>
  <c r="H258" i="8"/>
  <c r="H259" i="8"/>
  <c r="H260" i="8"/>
  <c r="H261" i="8"/>
  <c r="H262" i="8"/>
  <c r="H263" i="8"/>
  <c r="H264" i="8"/>
  <c r="H265" i="8"/>
  <c r="H266" i="8"/>
  <c r="H267" i="8"/>
  <c r="H268" i="8"/>
  <c r="H269" i="8"/>
  <c r="H270" i="8"/>
  <c r="H271" i="8"/>
  <c r="H272" i="8"/>
  <c r="H273" i="8"/>
  <c r="H274" i="8"/>
  <c r="H275" i="8"/>
  <c r="H276" i="8"/>
  <c r="H277" i="8"/>
  <c r="H278" i="8"/>
  <c r="H279" i="8"/>
  <c r="H280" i="8"/>
  <c r="H281" i="8"/>
  <c r="H282" i="8"/>
  <c r="H283" i="8"/>
  <c r="H284" i="8"/>
  <c r="H285" i="8"/>
  <c r="H286" i="8"/>
  <c r="H287" i="8"/>
  <c r="H288" i="8"/>
  <c r="H289" i="8"/>
  <c r="H290" i="8"/>
  <c r="H291" i="8"/>
  <c r="H292" i="8"/>
  <c r="H293" i="8"/>
  <c r="H294" i="8"/>
  <c r="H295" i="8"/>
  <c r="H296" i="8"/>
  <c r="H297" i="8"/>
  <c r="H298" i="8"/>
  <c r="H299" i="8"/>
  <c r="H300" i="8"/>
  <c r="H301" i="8"/>
  <c r="H302" i="8"/>
  <c r="H303" i="8"/>
  <c r="H304" i="8"/>
  <c r="H305" i="8"/>
  <c r="H306" i="8"/>
  <c r="H307" i="8"/>
  <c r="H308" i="8"/>
  <c r="H309" i="8"/>
  <c r="H310" i="8"/>
  <c r="H311" i="8"/>
  <c r="H312" i="8"/>
  <c r="H313" i="8"/>
  <c r="H314" i="8"/>
  <c r="H315" i="8"/>
  <c r="H316" i="8"/>
  <c r="H317" i="8"/>
  <c r="H318" i="8"/>
  <c r="H319" i="8"/>
  <c r="H320" i="8"/>
  <c r="H321" i="8"/>
  <c r="H322" i="8"/>
  <c r="H323" i="8"/>
  <c r="H324" i="8"/>
  <c r="H325" i="8"/>
  <c r="H326" i="8"/>
  <c r="H327" i="8"/>
  <c r="H328" i="8"/>
  <c r="H329" i="8"/>
  <c r="H330" i="8"/>
  <c r="H331" i="8"/>
  <c r="H332" i="8"/>
  <c r="H333" i="8"/>
  <c r="H334" i="8"/>
  <c r="H335" i="8"/>
  <c r="H336" i="8"/>
  <c r="H337" i="8"/>
  <c r="H338" i="8"/>
  <c r="H339" i="8"/>
  <c r="H340" i="8"/>
  <c r="F6" i="2"/>
  <c r="G6" i="2"/>
  <c r="I6" i="2"/>
  <c r="J6" i="2"/>
  <c r="K6" i="2"/>
  <c r="L6" i="2"/>
  <c r="F7" i="2"/>
  <c r="G7" i="2"/>
  <c r="I7" i="2"/>
  <c r="C14" i="7" s="1"/>
  <c r="J7" i="2"/>
  <c r="C15" i="7" s="1"/>
  <c r="K7" i="2"/>
  <c r="L7" i="2"/>
  <c r="F8" i="2"/>
  <c r="G8" i="2"/>
  <c r="I8" i="2"/>
  <c r="J8" i="2"/>
  <c r="K8" i="2"/>
  <c r="L8" i="2"/>
  <c r="Z11" i="1"/>
  <c r="F9" i="2"/>
  <c r="G9" i="2"/>
  <c r="I9" i="2"/>
  <c r="J9" i="2"/>
  <c r="K9" i="2"/>
  <c r="L9" i="2"/>
  <c r="Z12" i="1"/>
  <c r="F10" i="2"/>
  <c r="G10" i="2"/>
  <c r="I10" i="2"/>
  <c r="J10" i="2"/>
  <c r="K10" i="2"/>
  <c r="L10" i="2"/>
  <c r="Z13" i="1"/>
  <c r="F11" i="2"/>
  <c r="G11" i="2"/>
  <c r="I11" i="2"/>
  <c r="J11" i="2"/>
  <c r="K11" i="2"/>
  <c r="L11" i="2"/>
  <c r="Z14" i="1"/>
  <c r="F12" i="2"/>
  <c r="G12" i="2"/>
  <c r="I12" i="2"/>
  <c r="J12" i="2"/>
  <c r="K12" i="2"/>
  <c r="L12" i="2"/>
  <c r="Z15" i="1"/>
  <c r="F13" i="2"/>
  <c r="G13" i="2"/>
  <c r="I13" i="2"/>
  <c r="J13" i="2"/>
  <c r="K13" i="2"/>
  <c r="L13" i="2"/>
  <c r="Z16" i="1"/>
  <c r="F14" i="2"/>
  <c r="G14" i="2"/>
  <c r="I14" i="2"/>
  <c r="J14" i="2"/>
  <c r="K14" i="2"/>
  <c r="L14" i="2"/>
  <c r="F15" i="2"/>
  <c r="G15" i="2"/>
  <c r="I15" i="2"/>
  <c r="J15" i="2"/>
  <c r="K15" i="2"/>
  <c r="L15" i="2"/>
  <c r="Z18" i="1"/>
  <c r="F16" i="2"/>
  <c r="G16" i="2"/>
  <c r="I16" i="2"/>
  <c r="J16" i="2"/>
  <c r="K16" i="2"/>
  <c r="L16" i="2"/>
  <c r="Z19" i="1"/>
  <c r="F17" i="2"/>
  <c r="G17" i="2"/>
  <c r="I17" i="2"/>
  <c r="J17" i="2"/>
  <c r="K17" i="2"/>
  <c r="L17" i="2"/>
  <c r="Z20" i="1"/>
  <c r="F18" i="2"/>
  <c r="G18" i="2"/>
  <c r="I18" i="2"/>
  <c r="J18" i="2"/>
  <c r="K18" i="2"/>
  <c r="L18" i="2"/>
  <c r="Z21" i="1"/>
  <c r="F19" i="2"/>
  <c r="G19" i="2"/>
  <c r="I19" i="2"/>
  <c r="J19" i="2"/>
  <c r="K19" i="2"/>
  <c r="L19" i="2"/>
  <c r="Z22" i="1"/>
  <c r="F20" i="2"/>
  <c r="G20" i="2"/>
  <c r="I20" i="2"/>
  <c r="J20" i="2"/>
  <c r="K20" i="2"/>
  <c r="L20" i="2"/>
  <c r="Z23" i="1"/>
  <c r="F21" i="2"/>
  <c r="G21" i="2"/>
  <c r="I21" i="2"/>
  <c r="J21" i="2"/>
  <c r="K21" i="2"/>
  <c r="L21" i="2"/>
  <c r="Z24" i="1"/>
  <c r="F22" i="2"/>
  <c r="G22" i="2"/>
  <c r="I22" i="2"/>
  <c r="J22" i="2"/>
  <c r="K22" i="2"/>
  <c r="L22" i="2"/>
  <c r="Z25" i="1"/>
  <c r="F23" i="2"/>
  <c r="G23" i="2"/>
  <c r="I23" i="2"/>
  <c r="J23" i="2"/>
  <c r="K23" i="2"/>
  <c r="L23" i="2"/>
  <c r="Z26" i="1"/>
  <c r="F24" i="2"/>
  <c r="G24" i="2"/>
  <c r="I24" i="2"/>
  <c r="J24" i="2"/>
  <c r="K24" i="2"/>
  <c r="L24" i="2"/>
  <c r="Z27" i="1"/>
  <c r="F25" i="2"/>
  <c r="G25" i="2"/>
  <c r="I25" i="2"/>
  <c r="J25" i="2"/>
  <c r="K25" i="2"/>
  <c r="L25" i="2"/>
  <c r="Z28" i="1"/>
  <c r="F26" i="2"/>
  <c r="G26" i="2"/>
  <c r="I26" i="2"/>
  <c r="J26" i="2"/>
  <c r="K26" i="2"/>
  <c r="L26" i="2"/>
  <c r="Z29" i="1"/>
  <c r="F27" i="2"/>
  <c r="G27" i="2"/>
  <c r="I27" i="2"/>
  <c r="J27" i="2"/>
  <c r="K27" i="2"/>
  <c r="L27" i="2"/>
  <c r="Z30" i="1"/>
  <c r="F28" i="2"/>
  <c r="G28" i="2"/>
  <c r="I28" i="2"/>
  <c r="J28" i="2"/>
  <c r="K28" i="2"/>
  <c r="L28" i="2"/>
  <c r="Z31" i="1"/>
  <c r="F29" i="2"/>
  <c r="G29" i="2"/>
  <c r="I29" i="2"/>
  <c r="J29" i="2"/>
  <c r="K29" i="2"/>
  <c r="L29" i="2"/>
  <c r="Z32" i="1"/>
  <c r="F30" i="2"/>
  <c r="G30" i="2"/>
  <c r="I30" i="2"/>
  <c r="J30" i="2"/>
  <c r="K30" i="2"/>
  <c r="L30" i="2"/>
  <c r="Z33" i="1"/>
  <c r="F31" i="2"/>
  <c r="G31" i="2"/>
  <c r="I31" i="2"/>
  <c r="J31" i="2"/>
  <c r="K31" i="2"/>
  <c r="L31" i="2"/>
  <c r="Z34" i="1"/>
  <c r="F32" i="2"/>
  <c r="G32" i="2"/>
  <c r="I32" i="2"/>
  <c r="J32" i="2"/>
  <c r="K32" i="2"/>
  <c r="L32" i="2"/>
  <c r="Z35" i="1"/>
  <c r="F33" i="2"/>
  <c r="G33" i="2"/>
  <c r="I33" i="2"/>
  <c r="J33" i="2"/>
  <c r="K33" i="2"/>
  <c r="L33" i="2"/>
  <c r="Z36" i="1"/>
  <c r="F34" i="2"/>
  <c r="G34" i="2"/>
  <c r="I34" i="2"/>
  <c r="J34" i="2"/>
  <c r="K34" i="2"/>
  <c r="L34" i="2"/>
  <c r="Z37" i="1"/>
  <c r="F35" i="2"/>
  <c r="G35" i="2"/>
  <c r="I35" i="2"/>
  <c r="J35" i="2"/>
  <c r="K35" i="2"/>
  <c r="L35" i="2"/>
  <c r="Z38" i="1"/>
  <c r="F36" i="2"/>
  <c r="G36" i="2"/>
  <c r="I36" i="2"/>
  <c r="J36" i="2"/>
  <c r="K36" i="2"/>
  <c r="L36" i="2"/>
  <c r="Z39" i="1"/>
  <c r="F37" i="2"/>
  <c r="G37" i="2"/>
  <c r="I37" i="2"/>
  <c r="J37" i="2"/>
  <c r="K37" i="2"/>
  <c r="L37" i="2"/>
  <c r="Z40" i="1"/>
  <c r="F38" i="2"/>
  <c r="G38" i="2"/>
  <c r="I38" i="2"/>
  <c r="J38" i="2"/>
  <c r="K38" i="2"/>
  <c r="L38" i="2"/>
  <c r="Z41" i="1"/>
  <c r="F39" i="2"/>
  <c r="G39" i="2"/>
  <c r="I39" i="2"/>
  <c r="J39" i="2"/>
  <c r="K39" i="2"/>
  <c r="L39" i="2"/>
  <c r="Z42" i="1"/>
  <c r="F40" i="2"/>
  <c r="G40" i="2"/>
  <c r="I40" i="2"/>
  <c r="J40" i="2"/>
  <c r="K40" i="2"/>
  <c r="L40" i="2"/>
  <c r="Z43" i="1"/>
  <c r="F41" i="2"/>
  <c r="G41" i="2"/>
  <c r="I41" i="2"/>
  <c r="J41" i="2"/>
  <c r="K41" i="2"/>
  <c r="L41" i="2"/>
  <c r="Z44" i="1"/>
  <c r="F42" i="2"/>
  <c r="G42" i="2"/>
  <c r="I42" i="2"/>
  <c r="J42" i="2"/>
  <c r="K42" i="2"/>
  <c r="L42" i="2"/>
  <c r="Z45" i="1"/>
  <c r="F43" i="2"/>
  <c r="G43" i="2"/>
  <c r="I43" i="2"/>
  <c r="J43" i="2"/>
  <c r="K43" i="2"/>
  <c r="L43" i="2"/>
  <c r="Z46" i="1"/>
  <c r="F44" i="2"/>
  <c r="G44" i="2"/>
  <c r="I44" i="2"/>
  <c r="J44" i="2"/>
  <c r="K44" i="2"/>
  <c r="L44" i="2"/>
  <c r="Z47" i="1"/>
  <c r="F45" i="2"/>
  <c r="G45" i="2"/>
  <c r="I45" i="2"/>
  <c r="J45" i="2"/>
  <c r="K45" i="2"/>
  <c r="L45" i="2"/>
  <c r="Z48" i="1"/>
  <c r="F46" i="2"/>
  <c r="G46" i="2"/>
  <c r="I46" i="2"/>
  <c r="J46" i="2"/>
  <c r="K46" i="2"/>
  <c r="L46" i="2"/>
  <c r="Z49" i="1"/>
  <c r="F47" i="2"/>
  <c r="G47" i="2"/>
  <c r="I47" i="2"/>
  <c r="J47" i="2"/>
  <c r="K47" i="2"/>
  <c r="L47" i="2"/>
  <c r="Z50" i="1"/>
  <c r="F48" i="2"/>
  <c r="G48" i="2"/>
  <c r="I48" i="2"/>
  <c r="J48" i="2"/>
  <c r="K48" i="2"/>
  <c r="L48" i="2"/>
  <c r="Z51" i="1"/>
  <c r="F49" i="2"/>
  <c r="G49" i="2"/>
  <c r="I49" i="2"/>
  <c r="J49" i="2"/>
  <c r="K49" i="2"/>
  <c r="L49" i="2"/>
  <c r="Z52" i="1"/>
  <c r="F50" i="2"/>
  <c r="G50" i="2"/>
  <c r="I50" i="2"/>
  <c r="J50" i="2"/>
  <c r="K50" i="2"/>
  <c r="L50" i="2"/>
  <c r="Z53" i="1"/>
  <c r="F51" i="2"/>
  <c r="G51" i="2"/>
  <c r="I51" i="2"/>
  <c r="J51" i="2"/>
  <c r="K51" i="2"/>
  <c r="L51" i="2"/>
  <c r="Z54" i="1"/>
  <c r="F52" i="2"/>
  <c r="G52" i="2"/>
  <c r="I52" i="2"/>
  <c r="J52" i="2"/>
  <c r="K52" i="2"/>
  <c r="L52" i="2"/>
  <c r="Z55" i="1"/>
  <c r="F53" i="2"/>
  <c r="G53" i="2"/>
  <c r="I53" i="2"/>
  <c r="J53" i="2"/>
  <c r="K53" i="2"/>
  <c r="L53" i="2"/>
  <c r="Z56" i="1"/>
  <c r="F54" i="2"/>
  <c r="G54" i="2"/>
  <c r="I54" i="2"/>
  <c r="J54" i="2"/>
  <c r="K54" i="2"/>
  <c r="L54" i="2"/>
  <c r="Z57" i="1"/>
  <c r="F55" i="2"/>
  <c r="G55" i="2"/>
  <c r="I55" i="2"/>
  <c r="J55" i="2"/>
  <c r="K55" i="2"/>
  <c r="L55" i="2"/>
  <c r="Z58" i="1"/>
  <c r="F56" i="2"/>
  <c r="G56" i="2"/>
  <c r="I56" i="2"/>
  <c r="J56" i="2"/>
  <c r="K56" i="2"/>
  <c r="L56" i="2"/>
  <c r="Z59" i="1"/>
  <c r="F57" i="2"/>
  <c r="G57" i="2"/>
  <c r="I57" i="2"/>
  <c r="J57" i="2"/>
  <c r="K57" i="2"/>
  <c r="L57" i="2"/>
  <c r="Z60" i="1"/>
  <c r="F58" i="2"/>
  <c r="G58" i="2"/>
  <c r="I58" i="2"/>
  <c r="J58" i="2"/>
  <c r="K58" i="2"/>
  <c r="L58" i="2"/>
  <c r="Z61" i="1"/>
  <c r="F59" i="2"/>
  <c r="G59" i="2"/>
  <c r="I59" i="2"/>
  <c r="J59" i="2"/>
  <c r="K59" i="2"/>
  <c r="L59" i="2"/>
  <c r="Z62" i="1"/>
  <c r="F60" i="2"/>
  <c r="G60" i="2"/>
  <c r="I60" i="2"/>
  <c r="J60" i="2"/>
  <c r="K60" i="2"/>
  <c r="L60" i="2"/>
  <c r="Z63" i="1"/>
  <c r="F61" i="2"/>
  <c r="G61" i="2"/>
  <c r="I61" i="2"/>
  <c r="J61" i="2"/>
  <c r="K61" i="2"/>
  <c r="L61" i="2"/>
  <c r="Z64" i="1"/>
  <c r="F62" i="2"/>
  <c r="G62" i="2"/>
  <c r="I62" i="2"/>
  <c r="J62" i="2"/>
  <c r="K62" i="2"/>
  <c r="L62" i="2"/>
  <c r="Z65" i="1"/>
  <c r="F63" i="2"/>
  <c r="G63" i="2"/>
  <c r="I63" i="2"/>
  <c r="J63" i="2"/>
  <c r="K63" i="2"/>
  <c r="L63" i="2"/>
  <c r="Z66" i="1"/>
  <c r="F64" i="2"/>
  <c r="G64" i="2"/>
  <c r="I64" i="2"/>
  <c r="J64" i="2"/>
  <c r="K64" i="2"/>
  <c r="L64" i="2"/>
  <c r="Z67" i="1"/>
  <c r="F65" i="2"/>
  <c r="G65" i="2"/>
  <c r="I65" i="2"/>
  <c r="J65" i="2"/>
  <c r="K65" i="2"/>
  <c r="L65" i="2"/>
  <c r="Z68" i="1"/>
  <c r="F66" i="2"/>
  <c r="G66" i="2"/>
  <c r="I66" i="2"/>
  <c r="J66" i="2"/>
  <c r="K66" i="2"/>
  <c r="L66" i="2"/>
  <c r="Z69" i="1"/>
  <c r="F67" i="2"/>
  <c r="G67" i="2"/>
  <c r="I67" i="2"/>
  <c r="J67" i="2"/>
  <c r="K67" i="2"/>
  <c r="L67" i="2"/>
  <c r="Z70" i="1"/>
  <c r="F68" i="2"/>
  <c r="G68" i="2"/>
  <c r="I68" i="2"/>
  <c r="J68" i="2"/>
  <c r="K68" i="2"/>
  <c r="L68" i="2"/>
  <c r="Z71" i="1"/>
  <c r="F69" i="2"/>
  <c r="G69" i="2"/>
  <c r="I69" i="2"/>
  <c r="J69" i="2"/>
  <c r="K69" i="2"/>
  <c r="L69" i="2"/>
  <c r="Z72" i="1"/>
  <c r="F70" i="2"/>
  <c r="G70" i="2"/>
  <c r="I70" i="2"/>
  <c r="J70" i="2"/>
  <c r="K70" i="2"/>
  <c r="L70" i="2"/>
  <c r="Z73" i="1"/>
  <c r="F71" i="2"/>
  <c r="G71" i="2"/>
  <c r="I71" i="2"/>
  <c r="J71" i="2"/>
  <c r="K71" i="2"/>
  <c r="L71" i="2"/>
  <c r="Z74" i="1"/>
  <c r="F72" i="2"/>
  <c r="G72" i="2"/>
  <c r="I72" i="2"/>
  <c r="J72" i="2"/>
  <c r="K72" i="2"/>
  <c r="L72" i="2"/>
  <c r="Z75" i="1"/>
  <c r="F73" i="2"/>
  <c r="G73" i="2"/>
  <c r="I73" i="2"/>
  <c r="J73" i="2"/>
  <c r="K73" i="2"/>
  <c r="L73" i="2"/>
  <c r="Z76" i="1"/>
  <c r="F74" i="2"/>
  <c r="G74" i="2"/>
  <c r="I74" i="2"/>
  <c r="J74" i="2"/>
  <c r="K74" i="2"/>
  <c r="L74" i="2"/>
  <c r="Z77" i="1"/>
  <c r="F75" i="2"/>
  <c r="G75" i="2"/>
  <c r="I75" i="2"/>
  <c r="J75" i="2"/>
  <c r="K75" i="2"/>
  <c r="L75" i="2"/>
  <c r="Z78" i="1"/>
  <c r="F76" i="2"/>
  <c r="G76" i="2"/>
  <c r="I76" i="2"/>
  <c r="J76" i="2"/>
  <c r="K76" i="2"/>
  <c r="L76" i="2"/>
  <c r="Z79" i="1"/>
  <c r="F77" i="2"/>
  <c r="G77" i="2"/>
  <c r="I77" i="2"/>
  <c r="J77" i="2"/>
  <c r="K77" i="2"/>
  <c r="L77" i="2"/>
  <c r="Z80" i="1"/>
  <c r="F78" i="2"/>
  <c r="G78" i="2"/>
  <c r="I78" i="2"/>
  <c r="J78" i="2"/>
  <c r="K78" i="2"/>
  <c r="L78" i="2"/>
  <c r="Z81" i="1"/>
  <c r="F79" i="2"/>
  <c r="G79" i="2"/>
  <c r="I79" i="2"/>
  <c r="J79" i="2"/>
  <c r="K79" i="2"/>
  <c r="L79" i="2"/>
  <c r="Z82" i="1"/>
  <c r="F80" i="2"/>
  <c r="G80" i="2"/>
  <c r="I80" i="2"/>
  <c r="J80" i="2"/>
  <c r="K80" i="2"/>
  <c r="L80" i="2"/>
  <c r="Z83" i="1"/>
  <c r="F81" i="2"/>
  <c r="G81" i="2"/>
  <c r="I81" i="2"/>
  <c r="J81" i="2"/>
  <c r="K81" i="2"/>
  <c r="L81" i="2"/>
  <c r="Z84" i="1"/>
  <c r="F82" i="2"/>
  <c r="G82" i="2"/>
  <c r="I82" i="2"/>
  <c r="J82" i="2"/>
  <c r="K82" i="2"/>
  <c r="L82" i="2"/>
  <c r="Z85" i="1"/>
  <c r="F83" i="2"/>
  <c r="G83" i="2"/>
  <c r="I83" i="2"/>
  <c r="J83" i="2"/>
  <c r="K83" i="2"/>
  <c r="L83" i="2"/>
  <c r="Z86" i="1"/>
  <c r="F84" i="2"/>
  <c r="G84" i="2"/>
  <c r="I84" i="2"/>
  <c r="J84" i="2"/>
  <c r="K84" i="2"/>
  <c r="L84" i="2"/>
  <c r="Z87" i="1"/>
  <c r="F85" i="2"/>
  <c r="G85" i="2"/>
  <c r="I85" i="2"/>
  <c r="J85" i="2"/>
  <c r="K85" i="2"/>
  <c r="L85" i="2"/>
  <c r="Z88" i="1"/>
  <c r="F86" i="2"/>
  <c r="G86" i="2"/>
  <c r="I86" i="2"/>
  <c r="J86" i="2"/>
  <c r="K86" i="2"/>
  <c r="L86" i="2"/>
  <c r="Z89" i="1"/>
  <c r="F87" i="2"/>
  <c r="G87" i="2"/>
  <c r="I87" i="2"/>
  <c r="J87" i="2"/>
  <c r="K87" i="2"/>
  <c r="L87" i="2"/>
  <c r="Z90" i="1"/>
  <c r="F88" i="2"/>
  <c r="G88" i="2"/>
  <c r="I88" i="2"/>
  <c r="J88" i="2"/>
  <c r="K88" i="2"/>
  <c r="L88" i="2"/>
  <c r="Z91" i="1"/>
  <c r="F89" i="2"/>
  <c r="G89" i="2"/>
  <c r="I89" i="2"/>
  <c r="J89" i="2"/>
  <c r="K89" i="2"/>
  <c r="L89" i="2"/>
  <c r="Z92" i="1"/>
  <c r="F90" i="2"/>
  <c r="G90" i="2"/>
  <c r="I90" i="2"/>
  <c r="J90" i="2"/>
  <c r="K90" i="2"/>
  <c r="L90" i="2"/>
  <c r="Z93" i="1"/>
  <c r="F91" i="2"/>
  <c r="G91" i="2"/>
  <c r="I91" i="2"/>
  <c r="J91" i="2"/>
  <c r="K91" i="2"/>
  <c r="L91" i="2"/>
  <c r="Z94" i="1"/>
  <c r="F92" i="2"/>
  <c r="G92" i="2"/>
  <c r="I92" i="2"/>
  <c r="J92" i="2"/>
  <c r="K92" i="2"/>
  <c r="L92" i="2"/>
  <c r="Z95" i="1"/>
  <c r="F93" i="2"/>
  <c r="G93" i="2"/>
  <c r="I93" i="2"/>
  <c r="J93" i="2"/>
  <c r="K93" i="2"/>
  <c r="L93" i="2"/>
  <c r="Z96" i="1"/>
  <c r="F94" i="2"/>
  <c r="G94" i="2"/>
  <c r="I94" i="2"/>
  <c r="J94" i="2"/>
  <c r="K94" i="2"/>
  <c r="L94" i="2"/>
  <c r="Z97" i="1"/>
  <c r="F95" i="2"/>
  <c r="G95" i="2"/>
  <c r="I95" i="2"/>
  <c r="J95" i="2"/>
  <c r="K95" i="2"/>
  <c r="L95" i="2"/>
  <c r="Z98" i="1"/>
  <c r="F96" i="2"/>
  <c r="G96" i="2"/>
  <c r="I96" i="2"/>
  <c r="J96" i="2"/>
  <c r="K96" i="2"/>
  <c r="L96" i="2"/>
  <c r="Z99" i="1"/>
  <c r="F97" i="2"/>
  <c r="G97" i="2"/>
  <c r="I97" i="2"/>
  <c r="J97" i="2"/>
  <c r="K97" i="2"/>
  <c r="L97" i="2"/>
  <c r="Z100" i="1"/>
  <c r="F98" i="2"/>
  <c r="G98" i="2"/>
  <c r="I98" i="2"/>
  <c r="J98" i="2"/>
  <c r="K98" i="2"/>
  <c r="L98" i="2"/>
  <c r="Z101" i="1"/>
  <c r="F99" i="2"/>
  <c r="G99" i="2"/>
  <c r="I99" i="2"/>
  <c r="J99" i="2"/>
  <c r="K99" i="2"/>
  <c r="L99" i="2"/>
  <c r="Z102" i="1"/>
  <c r="F100" i="2"/>
  <c r="G100" i="2"/>
  <c r="I100" i="2"/>
  <c r="J100" i="2"/>
  <c r="K100" i="2"/>
  <c r="L100" i="2"/>
  <c r="Z103" i="1"/>
  <c r="F101" i="2"/>
  <c r="G101" i="2"/>
  <c r="I101" i="2"/>
  <c r="J101" i="2"/>
  <c r="K101" i="2"/>
  <c r="L101" i="2"/>
  <c r="Z104" i="1"/>
  <c r="F102" i="2"/>
  <c r="G102" i="2"/>
  <c r="I102" i="2"/>
  <c r="J102" i="2"/>
  <c r="K102" i="2"/>
  <c r="L102" i="2"/>
  <c r="Z105" i="1"/>
  <c r="F103" i="2"/>
  <c r="G103" i="2"/>
  <c r="I103" i="2"/>
  <c r="J103" i="2"/>
  <c r="K103" i="2"/>
  <c r="L103" i="2"/>
  <c r="Z106" i="1"/>
  <c r="F104" i="2"/>
  <c r="G104" i="2"/>
  <c r="I104" i="2"/>
  <c r="J104" i="2"/>
  <c r="K104" i="2"/>
  <c r="L104" i="2"/>
  <c r="Z107" i="1"/>
  <c r="F105" i="2"/>
  <c r="G105" i="2"/>
  <c r="I105" i="2"/>
  <c r="J105" i="2"/>
  <c r="K105" i="2"/>
  <c r="L105" i="2"/>
  <c r="Z108" i="1"/>
  <c r="F106" i="2"/>
  <c r="G106" i="2"/>
  <c r="I106" i="2"/>
  <c r="J106" i="2"/>
  <c r="K106" i="2"/>
  <c r="L106" i="2"/>
  <c r="Z109" i="1"/>
  <c r="F107" i="2"/>
  <c r="G107" i="2"/>
  <c r="I107" i="2"/>
  <c r="J107" i="2"/>
  <c r="K107" i="2"/>
  <c r="L107" i="2"/>
  <c r="Z110" i="1"/>
  <c r="F108" i="2"/>
  <c r="G108" i="2"/>
  <c r="I108" i="2"/>
  <c r="J108" i="2"/>
  <c r="K108" i="2"/>
  <c r="L108" i="2"/>
  <c r="Z111" i="1"/>
  <c r="F109" i="2"/>
  <c r="G109" i="2"/>
  <c r="I109" i="2"/>
  <c r="J109" i="2"/>
  <c r="K109" i="2"/>
  <c r="L109" i="2"/>
  <c r="Z112" i="1"/>
  <c r="F110" i="2"/>
  <c r="G110" i="2"/>
  <c r="I110" i="2"/>
  <c r="J110" i="2"/>
  <c r="K110" i="2"/>
  <c r="L110" i="2"/>
  <c r="Z113" i="1"/>
  <c r="F111" i="2"/>
  <c r="G111" i="2"/>
  <c r="I111" i="2"/>
  <c r="J111" i="2"/>
  <c r="K111" i="2"/>
  <c r="L111" i="2"/>
  <c r="Z114" i="1"/>
  <c r="F112" i="2"/>
  <c r="G112" i="2"/>
  <c r="I112" i="2"/>
  <c r="J112" i="2"/>
  <c r="K112" i="2"/>
  <c r="L112" i="2"/>
  <c r="Z115" i="1"/>
  <c r="F113" i="2"/>
  <c r="G113" i="2"/>
  <c r="I113" i="2"/>
  <c r="J113" i="2"/>
  <c r="K113" i="2"/>
  <c r="L113" i="2"/>
  <c r="Z116" i="1"/>
  <c r="F114" i="2"/>
  <c r="G114" i="2"/>
  <c r="I114" i="2"/>
  <c r="J114" i="2"/>
  <c r="K114" i="2"/>
  <c r="L114" i="2"/>
  <c r="Z117" i="1"/>
  <c r="F115" i="2"/>
  <c r="G115" i="2"/>
  <c r="I115" i="2"/>
  <c r="J115" i="2"/>
  <c r="K115" i="2"/>
  <c r="L115" i="2"/>
  <c r="Z118" i="1"/>
  <c r="F116" i="2"/>
  <c r="G116" i="2"/>
  <c r="I116" i="2"/>
  <c r="J116" i="2"/>
  <c r="K116" i="2"/>
  <c r="L116" i="2"/>
  <c r="Z119" i="1"/>
  <c r="F117" i="2"/>
  <c r="G117" i="2"/>
  <c r="I117" i="2"/>
  <c r="J117" i="2"/>
  <c r="K117" i="2"/>
  <c r="L117" i="2"/>
  <c r="Z120" i="1"/>
  <c r="F118" i="2"/>
  <c r="G118" i="2"/>
  <c r="I118" i="2"/>
  <c r="J118" i="2"/>
  <c r="K118" i="2"/>
  <c r="L118" i="2"/>
  <c r="Z121" i="1"/>
  <c r="F119" i="2"/>
  <c r="G119" i="2"/>
  <c r="I119" i="2"/>
  <c r="J119" i="2"/>
  <c r="K119" i="2"/>
  <c r="L119" i="2"/>
  <c r="Z122" i="1"/>
  <c r="F120" i="2"/>
  <c r="G120" i="2"/>
  <c r="I120" i="2"/>
  <c r="J120" i="2"/>
  <c r="K120" i="2"/>
  <c r="L120" i="2"/>
  <c r="Z123" i="1"/>
  <c r="F121" i="2"/>
  <c r="G121" i="2"/>
  <c r="I121" i="2"/>
  <c r="J121" i="2"/>
  <c r="K121" i="2"/>
  <c r="L121" i="2"/>
  <c r="Z124" i="1"/>
  <c r="F122" i="2"/>
  <c r="G122" i="2"/>
  <c r="I122" i="2"/>
  <c r="J122" i="2"/>
  <c r="K122" i="2"/>
  <c r="L122" i="2"/>
  <c r="Z125" i="1"/>
  <c r="F123" i="2"/>
  <c r="G123" i="2"/>
  <c r="I123" i="2"/>
  <c r="J123" i="2"/>
  <c r="K123" i="2"/>
  <c r="L123" i="2"/>
  <c r="Z126" i="1"/>
  <c r="F124" i="2"/>
  <c r="G124" i="2"/>
  <c r="I124" i="2"/>
  <c r="J124" i="2"/>
  <c r="K124" i="2"/>
  <c r="L124" i="2"/>
  <c r="Z127" i="1"/>
  <c r="F125" i="2"/>
  <c r="G125" i="2"/>
  <c r="I125" i="2"/>
  <c r="J125" i="2"/>
  <c r="K125" i="2"/>
  <c r="L125" i="2"/>
  <c r="Z128" i="1"/>
  <c r="F126" i="2"/>
  <c r="G126" i="2"/>
  <c r="I126" i="2"/>
  <c r="J126" i="2"/>
  <c r="K126" i="2"/>
  <c r="L126" i="2"/>
  <c r="Z129" i="1"/>
  <c r="F127" i="2"/>
  <c r="G127" i="2"/>
  <c r="I127" i="2"/>
  <c r="J127" i="2"/>
  <c r="K127" i="2"/>
  <c r="L127" i="2"/>
  <c r="Z130" i="1"/>
  <c r="F128" i="2"/>
  <c r="G128" i="2"/>
  <c r="I128" i="2"/>
  <c r="J128" i="2"/>
  <c r="K128" i="2"/>
  <c r="L128" i="2"/>
  <c r="Z131" i="1"/>
  <c r="F129" i="2"/>
  <c r="G129" i="2"/>
  <c r="I129" i="2"/>
  <c r="J129" i="2"/>
  <c r="K129" i="2"/>
  <c r="L129" i="2"/>
  <c r="Z132" i="1"/>
  <c r="F130" i="2"/>
  <c r="G130" i="2"/>
  <c r="I130" i="2"/>
  <c r="J130" i="2"/>
  <c r="K130" i="2"/>
  <c r="L130" i="2"/>
  <c r="Z133" i="1"/>
  <c r="F131" i="2"/>
  <c r="G131" i="2"/>
  <c r="I131" i="2"/>
  <c r="J131" i="2"/>
  <c r="K131" i="2"/>
  <c r="L131" i="2"/>
  <c r="Z134" i="1"/>
  <c r="F132" i="2"/>
  <c r="G132" i="2"/>
  <c r="I132" i="2"/>
  <c r="J132" i="2"/>
  <c r="K132" i="2"/>
  <c r="L132" i="2"/>
  <c r="Z135" i="1"/>
  <c r="F133" i="2"/>
  <c r="G133" i="2"/>
  <c r="I133" i="2"/>
  <c r="J133" i="2"/>
  <c r="K133" i="2"/>
  <c r="L133" i="2"/>
  <c r="Z136" i="1"/>
  <c r="F134" i="2"/>
  <c r="G134" i="2"/>
  <c r="I134" i="2"/>
  <c r="J134" i="2"/>
  <c r="K134" i="2"/>
  <c r="L134" i="2"/>
  <c r="Z137" i="1"/>
  <c r="F135" i="2"/>
  <c r="G135" i="2"/>
  <c r="I135" i="2"/>
  <c r="J135" i="2"/>
  <c r="K135" i="2"/>
  <c r="L135" i="2"/>
  <c r="Z138" i="1"/>
  <c r="F136" i="2"/>
  <c r="G136" i="2"/>
  <c r="I136" i="2"/>
  <c r="J136" i="2"/>
  <c r="K136" i="2"/>
  <c r="L136" i="2"/>
  <c r="Z139" i="1"/>
  <c r="F137" i="2"/>
  <c r="G137" i="2"/>
  <c r="I137" i="2"/>
  <c r="J137" i="2"/>
  <c r="K137" i="2"/>
  <c r="L137" i="2"/>
  <c r="Z140" i="1"/>
  <c r="F138" i="2"/>
  <c r="G138" i="2"/>
  <c r="I138" i="2"/>
  <c r="J138" i="2"/>
  <c r="K138" i="2"/>
  <c r="L138" i="2"/>
  <c r="Z141" i="1"/>
  <c r="F139" i="2"/>
  <c r="G139" i="2"/>
  <c r="I139" i="2"/>
  <c r="J139" i="2"/>
  <c r="K139" i="2"/>
  <c r="L139" i="2"/>
  <c r="Z142" i="1"/>
  <c r="F140" i="2"/>
  <c r="G140" i="2"/>
  <c r="I140" i="2"/>
  <c r="J140" i="2"/>
  <c r="K140" i="2"/>
  <c r="L140" i="2"/>
  <c r="Z143" i="1"/>
  <c r="F141" i="2"/>
  <c r="G141" i="2"/>
  <c r="I141" i="2"/>
  <c r="J141" i="2"/>
  <c r="K141" i="2"/>
  <c r="L141" i="2"/>
  <c r="Z144" i="1"/>
  <c r="F142" i="2"/>
  <c r="G142" i="2"/>
  <c r="I142" i="2"/>
  <c r="J142" i="2"/>
  <c r="K142" i="2"/>
  <c r="L142" i="2"/>
  <c r="Z145" i="1"/>
  <c r="F143" i="2"/>
  <c r="G143" i="2"/>
  <c r="I143" i="2"/>
  <c r="J143" i="2"/>
  <c r="K143" i="2"/>
  <c r="L143" i="2"/>
  <c r="Z146" i="1"/>
  <c r="F144" i="2"/>
  <c r="G144" i="2"/>
  <c r="I144" i="2"/>
  <c r="J144" i="2"/>
  <c r="K144" i="2"/>
  <c r="L144" i="2"/>
  <c r="Z147" i="1"/>
  <c r="F145" i="2"/>
  <c r="G145" i="2"/>
  <c r="I145" i="2"/>
  <c r="J145" i="2"/>
  <c r="K145" i="2"/>
  <c r="L145" i="2"/>
  <c r="Z148" i="1"/>
  <c r="F146" i="2"/>
  <c r="G146" i="2"/>
  <c r="I146" i="2"/>
  <c r="J146" i="2"/>
  <c r="K146" i="2"/>
  <c r="L146" i="2"/>
  <c r="Z149" i="1"/>
  <c r="F147" i="2"/>
  <c r="G147" i="2"/>
  <c r="I147" i="2"/>
  <c r="J147" i="2"/>
  <c r="K147" i="2"/>
  <c r="L147" i="2"/>
  <c r="Z150" i="1"/>
  <c r="F148" i="2"/>
  <c r="G148" i="2"/>
  <c r="I148" i="2"/>
  <c r="J148" i="2"/>
  <c r="K148" i="2"/>
  <c r="L148" i="2"/>
  <c r="Z151" i="1"/>
  <c r="F149" i="2"/>
  <c r="G149" i="2"/>
  <c r="I149" i="2"/>
  <c r="J149" i="2"/>
  <c r="K149" i="2"/>
  <c r="L149" i="2"/>
  <c r="Z152" i="1"/>
  <c r="F150" i="2"/>
  <c r="G150" i="2"/>
  <c r="I150" i="2"/>
  <c r="J150" i="2"/>
  <c r="K150" i="2"/>
  <c r="L150" i="2"/>
  <c r="Z153" i="1"/>
  <c r="F151" i="2"/>
  <c r="G151" i="2"/>
  <c r="I151" i="2"/>
  <c r="J151" i="2"/>
  <c r="K151" i="2"/>
  <c r="L151" i="2"/>
  <c r="Z154" i="1"/>
  <c r="F152" i="2"/>
  <c r="G152" i="2"/>
  <c r="I152" i="2"/>
  <c r="J152" i="2"/>
  <c r="K152" i="2"/>
  <c r="L152" i="2"/>
  <c r="Z155" i="1"/>
  <c r="F153" i="2"/>
  <c r="G153" i="2"/>
  <c r="I153" i="2"/>
  <c r="J153" i="2"/>
  <c r="K153" i="2"/>
  <c r="L153" i="2"/>
  <c r="Z156" i="1"/>
  <c r="F154" i="2"/>
  <c r="G154" i="2"/>
  <c r="I154" i="2"/>
  <c r="J154" i="2"/>
  <c r="K154" i="2"/>
  <c r="L154" i="2"/>
  <c r="Z157" i="1"/>
  <c r="F155" i="2"/>
  <c r="G155" i="2"/>
  <c r="I155" i="2"/>
  <c r="J155" i="2"/>
  <c r="K155" i="2"/>
  <c r="L155" i="2"/>
  <c r="Z158" i="1"/>
  <c r="F156" i="2"/>
  <c r="G156" i="2"/>
  <c r="I156" i="2"/>
  <c r="J156" i="2"/>
  <c r="K156" i="2"/>
  <c r="L156" i="2"/>
  <c r="Z159" i="1"/>
  <c r="F157" i="2"/>
  <c r="G157" i="2"/>
  <c r="I157" i="2"/>
  <c r="J157" i="2"/>
  <c r="K157" i="2"/>
  <c r="L157" i="2"/>
  <c r="Z160" i="1"/>
  <c r="F158" i="2"/>
  <c r="G158" i="2"/>
  <c r="I158" i="2"/>
  <c r="J158" i="2"/>
  <c r="K158" i="2"/>
  <c r="L158" i="2"/>
  <c r="Z161" i="1"/>
  <c r="F159" i="2"/>
  <c r="G159" i="2"/>
  <c r="I159" i="2"/>
  <c r="J159" i="2"/>
  <c r="K159" i="2"/>
  <c r="L159" i="2"/>
  <c r="Z162" i="1"/>
  <c r="F160" i="2"/>
  <c r="G160" i="2"/>
  <c r="I160" i="2"/>
  <c r="J160" i="2"/>
  <c r="K160" i="2"/>
  <c r="L160" i="2"/>
  <c r="Z163" i="1"/>
  <c r="F161" i="2"/>
  <c r="G161" i="2"/>
  <c r="I161" i="2"/>
  <c r="J161" i="2"/>
  <c r="K161" i="2"/>
  <c r="L161" i="2"/>
  <c r="Z164" i="1"/>
  <c r="F162" i="2"/>
  <c r="G162" i="2"/>
  <c r="I162" i="2"/>
  <c r="J162" i="2"/>
  <c r="K162" i="2"/>
  <c r="L162" i="2"/>
  <c r="Z165" i="1"/>
  <c r="F163" i="2"/>
  <c r="G163" i="2"/>
  <c r="I163" i="2"/>
  <c r="J163" i="2"/>
  <c r="K163" i="2"/>
  <c r="L163" i="2"/>
  <c r="Z166" i="1"/>
  <c r="F164" i="2"/>
  <c r="G164" i="2"/>
  <c r="I164" i="2"/>
  <c r="J164" i="2"/>
  <c r="K164" i="2"/>
  <c r="L164" i="2"/>
  <c r="Z167" i="1"/>
  <c r="F165" i="2"/>
  <c r="G165" i="2"/>
  <c r="I165" i="2"/>
  <c r="J165" i="2"/>
  <c r="K165" i="2"/>
  <c r="L165" i="2"/>
  <c r="Z168" i="1"/>
  <c r="F166" i="2"/>
  <c r="G166" i="2"/>
  <c r="I166" i="2"/>
  <c r="J166" i="2"/>
  <c r="K166" i="2"/>
  <c r="L166" i="2"/>
  <c r="Z169" i="1"/>
  <c r="F167" i="2"/>
  <c r="G167" i="2"/>
  <c r="I167" i="2"/>
  <c r="J167" i="2"/>
  <c r="K167" i="2"/>
  <c r="L167" i="2"/>
  <c r="Z170" i="1"/>
  <c r="F168" i="2"/>
  <c r="G168" i="2"/>
  <c r="I168" i="2"/>
  <c r="J168" i="2"/>
  <c r="K168" i="2"/>
  <c r="L168" i="2"/>
  <c r="Z171" i="1"/>
  <c r="F169" i="2"/>
  <c r="G169" i="2"/>
  <c r="I169" i="2"/>
  <c r="J169" i="2"/>
  <c r="K169" i="2"/>
  <c r="L169" i="2"/>
  <c r="Z172" i="1"/>
  <c r="F170" i="2"/>
  <c r="G170" i="2"/>
  <c r="I170" i="2"/>
  <c r="J170" i="2"/>
  <c r="K170" i="2"/>
  <c r="L170" i="2"/>
  <c r="Z173" i="1"/>
  <c r="F171" i="2"/>
  <c r="G171" i="2"/>
  <c r="I171" i="2"/>
  <c r="J171" i="2"/>
  <c r="K171" i="2"/>
  <c r="L171" i="2"/>
  <c r="Z174" i="1"/>
  <c r="F172" i="2"/>
  <c r="G172" i="2"/>
  <c r="I172" i="2"/>
  <c r="J172" i="2"/>
  <c r="K172" i="2"/>
  <c r="L172" i="2"/>
  <c r="Z175" i="1"/>
  <c r="F173" i="2"/>
  <c r="G173" i="2"/>
  <c r="I173" i="2"/>
  <c r="J173" i="2"/>
  <c r="K173" i="2"/>
  <c r="L173" i="2"/>
  <c r="Z176" i="1"/>
  <c r="F174" i="2"/>
  <c r="G174" i="2"/>
  <c r="I174" i="2"/>
  <c r="J174" i="2"/>
  <c r="K174" i="2"/>
  <c r="L174" i="2"/>
  <c r="Z177" i="1"/>
  <c r="F175" i="2"/>
  <c r="G175" i="2"/>
  <c r="I175" i="2"/>
  <c r="J175" i="2"/>
  <c r="K175" i="2"/>
  <c r="L175" i="2"/>
  <c r="Z178" i="1"/>
  <c r="F176" i="2"/>
  <c r="G176" i="2"/>
  <c r="I176" i="2"/>
  <c r="J176" i="2"/>
  <c r="K176" i="2"/>
  <c r="L176" i="2"/>
  <c r="Z179" i="1"/>
  <c r="F177" i="2"/>
  <c r="G177" i="2"/>
  <c r="I177" i="2"/>
  <c r="J177" i="2"/>
  <c r="K177" i="2"/>
  <c r="L177" i="2"/>
  <c r="Z180" i="1"/>
  <c r="F178" i="2"/>
  <c r="G178" i="2"/>
  <c r="I178" i="2"/>
  <c r="J178" i="2"/>
  <c r="K178" i="2"/>
  <c r="L178" i="2"/>
  <c r="Z181" i="1"/>
  <c r="F179" i="2"/>
  <c r="G179" i="2"/>
  <c r="I179" i="2"/>
  <c r="J179" i="2"/>
  <c r="K179" i="2"/>
  <c r="L179" i="2"/>
  <c r="Z182" i="1"/>
  <c r="F180" i="2"/>
  <c r="G180" i="2"/>
  <c r="I180" i="2"/>
  <c r="J180" i="2"/>
  <c r="K180" i="2"/>
  <c r="L180" i="2"/>
  <c r="Z183" i="1"/>
  <c r="F181" i="2"/>
  <c r="G181" i="2"/>
  <c r="I181" i="2"/>
  <c r="J181" i="2"/>
  <c r="K181" i="2"/>
  <c r="L181" i="2"/>
  <c r="Z184" i="1"/>
  <c r="F182" i="2"/>
  <c r="G182" i="2"/>
  <c r="I182" i="2"/>
  <c r="J182" i="2"/>
  <c r="K182" i="2"/>
  <c r="L182" i="2"/>
  <c r="Z185" i="1"/>
  <c r="F183" i="2"/>
  <c r="G183" i="2"/>
  <c r="I183" i="2"/>
  <c r="J183" i="2"/>
  <c r="K183" i="2"/>
  <c r="L183" i="2"/>
  <c r="Z186" i="1"/>
  <c r="F184" i="2"/>
  <c r="G184" i="2"/>
  <c r="I184" i="2"/>
  <c r="J184" i="2"/>
  <c r="K184" i="2"/>
  <c r="L184" i="2"/>
  <c r="Z187" i="1"/>
  <c r="F185" i="2"/>
  <c r="G185" i="2"/>
  <c r="I185" i="2"/>
  <c r="J185" i="2"/>
  <c r="K185" i="2"/>
  <c r="L185" i="2"/>
  <c r="Z188" i="1"/>
  <c r="F186" i="2"/>
  <c r="G186" i="2"/>
  <c r="I186" i="2"/>
  <c r="J186" i="2"/>
  <c r="K186" i="2"/>
  <c r="L186" i="2"/>
  <c r="Z189" i="1"/>
  <c r="F187" i="2"/>
  <c r="G187" i="2"/>
  <c r="I187" i="2"/>
  <c r="J187" i="2"/>
  <c r="K187" i="2"/>
  <c r="L187" i="2"/>
  <c r="Z190" i="1"/>
  <c r="F188" i="2"/>
  <c r="G188" i="2"/>
  <c r="I188" i="2"/>
  <c r="J188" i="2"/>
  <c r="K188" i="2"/>
  <c r="L188" i="2"/>
  <c r="Z191" i="1"/>
  <c r="F189" i="2"/>
  <c r="G189" i="2"/>
  <c r="I189" i="2"/>
  <c r="J189" i="2"/>
  <c r="K189" i="2"/>
  <c r="L189" i="2"/>
  <c r="Z192" i="1"/>
  <c r="F190" i="2"/>
  <c r="G190" i="2"/>
  <c r="I190" i="2"/>
  <c r="J190" i="2"/>
  <c r="K190" i="2"/>
  <c r="L190" i="2"/>
  <c r="Z193" i="1"/>
  <c r="F191" i="2"/>
  <c r="G191" i="2"/>
  <c r="I191" i="2"/>
  <c r="J191" i="2"/>
  <c r="K191" i="2"/>
  <c r="L191" i="2"/>
  <c r="Z194" i="1"/>
  <c r="F192" i="2"/>
  <c r="G192" i="2"/>
  <c r="I192" i="2"/>
  <c r="J192" i="2"/>
  <c r="K192" i="2"/>
  <c r="L192" i="2"/>
  <c r="Z195" i="1"/>
  <c r="F193" i="2"/>
  <c r="G193" i="2"/>
  <c r="I193" i="2"/>
  <c r="J193" i="2"/>
  <c r="K193" i="2"/>
  <c r="L193" i="2"/>
  <c r="Z196" i="1"/>
  <c r="F194" i="2"/>
  <c r="G194" i="2"/>
  <c r="I194" i="2"/>
  <c r="J194" i="2"/>
  <c r="K194" i="2"/>
  <c r="L194" i="2"/>
  <c r="Z197" i="1"/>
  <c r="F195" i="2"/>
  <c r="G195" i="2"/>
  <c r="I195" i="2"/>
  <c r="J195" i="2"/>
  <c r="K195" i="2"/>
  <c r="L195" i="2"/>
  <c r="Z198" i="1"/>
  <c r="F196" i="2"/>
  <c r="G196" i="2"/>
  <c r="I196" i="2"/>
  <c r="J196" i="2"/>
  <c r="K196" i="2"/>
  <c r="L196" i="2"/>
  <c r="Z199" i="1"/>
  <c r="F197" i="2"/>
  <c r="G197" i="2"/>
  <c r="I197" i="2"/>
  <c r="J197" i="2"/>
  <c r="K197" i="2"/>
  <c r="L197" i="2"/>
  <c r="Z200" i="1"/>
  <c r="F198" i="2"/>
  <c r="G198" i="2"/>
  <c r="I198" i="2"/>
  <c r="J198" i="2"/>
  <c r="K198" i="2"/>
  <c r="L198" i="2"/>
  <c r="Z201" i="1"/>
  <c r="F199" i="2"/>
  <c r="G199" i="2"/>
  <c r="I199" i="2"/>
  <c r="J199" i="2"/>
  <c r="K199" i="2"/>
  <c r="L199" i="2"/>
  <c r="Z202" i="1"/>
  <c r="F200" i="2"/>
  <c r="G200" i="2"/>
  <c r="I200" i="2"/>
  <c r="J200" i="2"/>
  <c r="K200" i="2"/>
  <c r="L200" i="2"/>
  <c r="Z203" i="1"/>
  <c r="F201" i="2"/>
  <c r="G201" i="2"/>
  <c r="I201" i="2"/>
  <c r="J201" i="2"/>
  <c r="K201" i="2"/>
  <c r="L201" i="2"/>
  <c r="Z204" i="1"/>
  <c r="F202" i="2"/>
  <c r="G202" i="2"/>
  <c r="I202" i="2"/>
  <c r="J202" i="2"/>
  <c r="K202" i="2"/>
  <c r="L202" i="2"/>
  <c r="Z205" i="1"/>
  <c r="F203" i="2"/>
  <c r="G203" i="2"/>
  <c r="I203" i="2"/>
  <c r="J203" i="2"/>
  <c r="K203" i="2"/>
  <c r="L203" i="2"/>
  <c r="Z206" i="1"/>
  <c r="F204" i="2"/>
  <c r="G204" i="2"/>
  <c r="I204" i="2"/>
  <c r="J204" i="2"/>
  <c r="K204" i="2"/>
  <c r="L204" i="2"/>
  <c r="Z207" i="1"/>
  <c r="F205" i="2"/>
  <c r="G205" i="2"/>
  <c r="I205" i="2"/>
  <c r="J205" i="2"/>
  <c r="K205" i="2"/>
  <c r="L205" i="2"/>
  <c r="Z208" i="1"/>
  <c r="F206" i="2"/>
  <c r="G206" i="2"/>
  <c r="I206" i="2"/>
  <c r="J206" i="2"/>
  <c r="K206" i="2"/>
  <c r="L206" i="2"/>
  <c r="Z209" i="1"/>
  <c r="F207" i="2"/>
  <c r="G207" i="2"/>
  <c r="I207" i="2"/>
  <c r="J207" i="2"/>
  <c r="K207" i="2"/>
  <c r="L207" i="2"/>
  <c r="Z210" i="1"/>
  <c r="F208" i="2"/>
  <c r="G208" i="2"/>
  <c r="I208" i="2"/>
  <c r="J208" i="2"/>
  <c r="K208" i="2"/>
  <c r="L208" i="2"/>
  <c r="Z211" i="1"/>
  <c r="F209" i="2"/>
  <c r="G209" i="2"/>
  <c r="I209" i="2"/>
  <c r="J209" i="2"/>
  <c r="K209" i="2"/>
  <c r="L209" i="2"/>
  <c r="Z212" i="1"/>
  <c r="F210" i="2"/>
  <c r="G210" i="2"/>
  <c r="I210" i="2"/>
  <c r="J210" i="2"/>
  <c r="K210" i="2"/>
  <c r="L210" i="2"/>
  <c r="Z213" i="1"/>
  <c r="F211" i="2"/>
  <c r="G211" i="2"/>
  <c r="I211" i="2"/>
  <c r="J211" i="2"/>
  <c r="K211" i="2"/>
  <c r="L211" i="2"/>
  <c r="Z214" i="1"/>
  <c r="F212" i="2"/>
  <c r="G212" i="2"/>
  <c r="I212" i="2"/>
  <c r="J212" i="2"/>
  <c r="K212" i="2"/>
  <c r="L212" i="2"/>
  <c r="Z215" i="1"/>
  <c r="F213" i="2"/>
  <c r="G213" i="2"/>
  <c r="I213" i="2"/>
  <c r="J213" i="2"/>
  <c r="K213" i="2"/>
  <c r="L213" i="2"/>
  <c r="Z216" i="1"/>
  <c r="F214" i="2"/>
  <c r="G214" i="2"/>
  <c r="I214" i="2"/>
  <c r="J214" i="2"/>
  <c r="K214" i="2"/>
  <c r="L214" i="2"/>
  <c r="Z217" i="1"/>
  <c r="F215" i="2"/>
  <c r="G215" i="2"/>
  <c r="I215" i="2"/>
  <c r="J215" i="2"/>
  <c r="K215" i="2"/>
  <c r="L215" i="2"/>
  <c r="Z218" i="1"/>
  <c r="F216" i="2"/>
  <c r="G216" i="2"/>
  <c r="I216" i="2"/>
  <c r="J216" i="2"/>
  <c r="K216" i="2"/>
  <c r="L216" i="2"/>
  <c r="Z219" i="1"/>
  <c r="F217" i="2"/>
  <c r="G217" i="2"/>
  <c r="I217" i="2"/>
  <c r="J217" i="2"/>
  <c r="K217" i="2"/>
  <c r="L217" i="2"/>
  <c r="Z220" i="1"/>
  <c r="F218" i="2"/>
  <c r="G218" i="2"/>
  <c r="I218" i="2"/>
  <c r="J218" i="2"/>
  <c r="K218" i="2"/>
  <c r="L218" i="2"/>
  <c r="Z221" i="1"/>
  <c r="F219" i="2"/>
  <c r="G219" i="2"/>
  <c r="I219" i="2"/>
  <c r="J219" i="2"/>
  <c r="K219" i="2"/>
  <c r="L219" i="2"/>
  <c r="Z222" i="1"/>
  <c r="F220" i="2"/>
  <c r="G220" i="2"/>
  <c r="I220" i="2"/>
  <c r="J220" i="2"/>
  <c r="K220" i="2"/>
  <c r="L220" i="2"/>
  <c r="Z223" i="1"/>
  <c r="F221" i="2"/>
  <c r="G221" i="2"/>
  <c r="I221" i="2"/>
  <c r="J221" i="2"/>
  <c r="K221" i="2"/>
  <c r="L221" i="2"/>
  <c r="Z224" i="1"/>
  <c r="F222" i="2"/>
  <c r="G222" i="2"/>
  <c r="I222" i="2"/>
  <c r="J222" i="2"/>
  <c r="K222" i="2"/>
  <c r="L222" i="2"/>
  <c r="Z225" i="1"/>
  <c r="F223" i="2"/>
  <c r="G223" i="2"/>
  <c r="I223" i="2"/>
  <c r="J223" i="2"/>
  <c r="K223" i="2"/>
  <c r="L223" i="2"/>
  <c r="Z226" i="1"/>
  <c r="F224" i="2"/>
  <c r="G224" i="2"/>
  <c r="I224" i="2"/>
  <c r="J224" i="2"/>
  <c r="K224" i="2"/>
  <c r="L224" i="2"/>
  <c r="Z227" i="1"/>
  <c r="F225" i="2"/>
  <c r="G225" i="2"/>
  <c r="I225" i="2"/>
  <c r="J225" i="2"/>
  <c r="K225" i="2"/>
  <c r="L225" i="2"/>
  <c r="Z228" i="1"/>
  <c r="F226" i="2"/>
  <c r="G226" i="2"/>
  <c r="I226" i="2"/>
  <c r="J226" i="2"/>
  <c r="K226" i="2"/>
  <c r="L226" i="2"/>
  <c r="Z229" i="1"/>
  <c r="F227" i="2"/>
  <c r="G227" i="2"/>
  <c r="I227" i="2"/>
  <c r="J227" i="2"/>
  <c r="K227" i="2"/>
  <c r="L227" i="2"/>
  <c r="Z230" i="1"/>
  <c r="F228" i="2"/>
  <c r="G228" i="2"/>
  <c r="I228" i="2"/>
  <c r="J228" i="2"/>
  <c r="K228" i="2"/>
  <c r="L228" i="2"/>
  <c r="Z231" i="1"/>
  <c r="F229" i="2"/>
  <c r="G229" i="2"/>
  <c r="I229" i="2"/>
  <c r="J229" i="2"/>
  <c r="K229" i="2"/>
  <c r="L229" i="2"/>
  <c r="Z232" i="1"/>
  <c r="F230" i="2"/>
  <c r="G230" i="2"/>
  <c r="I230" i="2"/>
  <c r="J230" i="2"/>
  <c r="K230" i="2"/>
  <c r="L230" i="2"/>
  <c r="Z233" i="1"/>
  <c r="F231" i="2"/>
  <c r="G231" i="2"/>
  <c r="I231" i="2"/>
  <c r="J231" i="2"/>
  <c r="K231" i="2"/>
  <c r="L231" i="2"/>
  <c r="Z234" i="1"/>
  <c r="F232" i="2"/>
  <c r="G232" i="2"/>
  <c r="I232" i="2"/>
  <c r="J232" i="2"/>
  <c r="K232" i="2"/>
  <c r="L232" i="2"/>
  <c r="Z235" i="1"/>
  <c r="F233" i="2"/>
  <c r="G233" i="2"/>
  <c r="I233" i="2"/>
  <c r="J233" i="2"/>
  <c r="K233" i="2"/>
  <c r="L233" i="2"/>
  <c r="Z236" i="1"/>
  <c r="F234" i="2"/>
  <c r="G234" i="2"/>
  <c r="I234" i="2"/>
  <c r="J234" i="2"/>
  <c r="K234" i="2"/>
  <c r="L234" i="2"/>
  <c r="Z237" i="1"/>
  <c r="F235" i="2"/>
  <c r="G235" i="2"/>
  <c r="I235" i="2"/>
  <c r="J235" i="2"/>
  <c r="K235" i="2"/>
  <c r="L235" i="2"/>
  <c r="Z238" i="1"/>
  <c r="F236" i="2"/>
  <c r="G236" i="2"/>
  <c r="I236" i="2"/>
  <c r="J236" i="2"/>
  <c r="K236" i="2"/>
  <c r="L236" i="2"/>
  <c r="Z239" i="1"/>
  <c r="F237" i="2"/>
  <c r="G237" i="2"/>
  <c r="I237" i="2"/>
  <c r="J237" i="2"/>
  <c r="K237" i="2"/>
  <c r="L237" i="2"/>
  <c r="Z240" i="1"/>
  <c r="F238" i="2"/>
  <c r="G238" i="2"/>
  <c r="I238" i="2"/>
  <c r="J238" i="2"/>
  <c r="K238" i="2"/>
  <c r="L238" i="2"/>
  <c r="Z241" i="1"/>
  <c r="F239" i="2"/>
  <c r="G239" i="2"/>
  <c r="I239" i="2"/>
  <c r="J239" i="2"/>
  <c r="K239" i="2"/>
  <c r="L239" i="2"/>
  <c r="Z242" i="1"/>
  <c r="F240" i="2"/>
  <c r="G240" i="2"/>
  <c r="I240" i="2"/>
  <c r="J240" i="2"/>
  <c r="K240" i="2"/>
  <c r="L240" i="2"/>
  <c r="Z243" i="1"/>
  <c r="F241" i="2"/>
  <c r="G241" i="2"/>
  <c r="I241" i="2"/>
  <c r="J241" i="2"/>
  <c r="K241" i="2"/>
  <c r="L241" i="2"/>
  <c r="Z244" i="1"/>
  <c r="F242" i="2"/>
  <c r="G242" i="2"/>
  <c r="I242" i="2"/>
  <c r="J242" i="2"/>
  <c r="K242" i="2"/>
  <c r="L242" i="2"/>
  <c r="Z245" i="1"/>
  <c r="F243" i="2"/>
  <c r="G243" i="2"/>
  <c r="I243" i="2"/>
  <c r="J243" i="2"/>
  <c r="K243" i="2"/>
  <c r="L243" i="2"/>
  <c r="Z246" i="1"/>
  <c r="F244" i="2"/>
  <c r="G244" i="2"/>
  <c r="I244" i="2"/>
  <c r="J244" i="2"/>
  <c r="K244" i="2"/>
  <c r="L244" i="2"/>
  <c r="Z247" i="1"/>
  <c r="F245" i="2"/>
  <c r="G245" i="2"/>
  <c r="I245" i="2"/>
  <c r="J245" i="2"/>
  <c r="K245" i="2"/>
  <c r="L245" i="2"/>
  <c r="Z248" i="1"/>
  <c r="F246" i="2"/>
  <c r="G246" i="2"/>
  <c r="I246" i="2"/>
  <c r="J246" i="2"/>
  <c r="K246" i="2"/>
  <c r="L246" i="2"/>
  <c r="Z249" i="1"/>
  <c r="F247" i="2"/>
  <c r="G247" i="2"/>
  <c r="I247" i="2"/>
  <c r="J247" i="2"/>
  <c r="K247" i="2"/>
  <c r="L247" i="2"/>
  <c r="Z250" i="1"/>
  <c r="F248" i="2"/>
  <c r="G248" i="2"/>
  <c r="I248" i="2"/>
  <c r="J248" i="2"/>
  <c r="K248" i="2"/>
  <c r="L248" i="2"/>
  <c r="Z251" i="1"/>
  <c r="F249" i="2"/>
  <c r="G249" i="2"/>
  <c r="I249" i="2"/>
  <c r="J249" i="2"/>
  <c r="K249" i="2"/>
  <c r="L249" i="2"/>
  <c r="Z252" i="1"/>
  <c r="F250" i="2"/>
  <c r="G250" i="2"/>
  <c r="I250" i="2"/>
  <c r="J250" i="2"/>
  <c r="K250" i="2"/>
  <c r="L250" i="2"/>
  <c r="Z253" i="1"/>
  <c r="F251" i="2"/>
  <c r="G251" i="2"/>
  <c r="I251" i="2"/>
  <c r="J251" i="2"/>
  <c r="K251" i="2"/>
  <c r="L251" i="2"/>
  <c r="Z254" i="1"/>
  <c r="F252" i="2"/>
  <c r="G252" i="2"/>
  <c r="I252" i="2"/>
  <c r="J252" i="2"/>
  <c r="K252" i="2"/>
  <c r="L252" i="2"/>
  <c r="Z255" i="1"/>
  <c r="F253" i="2"/>
  <c r="G253" i="2"/>
  <c r="I253" i="2"/>
  <c r="J253" i="2"/>
  <c r="K253" i="2"/>
  <c r="L253" i="2"/>
  <c r="Z256" i="1"/>
  <c r="F254" i="2"/>
  <c r="G254" i="2"/>
  <c r="I254" i="2"/>
  <c r="J254" i="2"/>
  <c r="K254" i="2"/>
  <c r="L254" i="2"/>
  <c r="Z257" i="1"/>
  <c r="F255" i="2"/>
  <c r="G255" i="2"/>
  <c r="I255" i="2"/>
  <c r="J255" i="2"/>
  <c r="K255" i="2"/>
  <c r="L255" i="2"/>
  <c r="Z258" i="1"/>
  <c r="F256" i="2"/>
  <c r="G256" i="2"/>
  <c r="I256" i="2"/>
  <c r="J256" i="2"/>
  <c r="K256" i="2"/>
  <c r="L256" i="2"/>
  <c r="Z259" i="1"/>
  <c r="F257" i="2"/>
  <c r="G257" i="2"/>
  <c r="I257" i="2"/>
  <c r="J257" i="2"/>
  <c r="K257" i="2"/>
  <c r="L257" i="2"/>
  <c r="Z260" i="1"/>
  <c r="F258" i="2"/>
  <c r="G258" i="2"/>
  <c r="I258" i="2"/>
  <c r="J258" i="2"/>
  <c r="K258" i="2"/>
  <c r="L258" i="2"/>
  <c r="Z261" i="1"/>
  <c r="F259" i="2"/>
  <c r="G259" i="2"/>
  <c r="I259" i="2"/>
  <c r="J259" i="2"/>
  <c r="K259" i="2"/>
  <c r="L259" i="2"/>
  <c r="Z262" i="1"/>
  <c r="F260" i="2"/>
  <c r="G260" i="2"/>
  <c r="I260" i="2"/>
  <c r="J260" i="2"/>
  <c r="K260" i="2"/>
  <c r="L260" i="2"/>
  <c r="Z263" i="1"/>
  <c r="F261" i="2"/>
  <c r="G261" i="2"/>
  <c r="I261" i="2"/>
  <c r="J261" i="2"/>
  <c r="K261" i="2"/>
  <c r="L261" i="2"/>
  <c r="Z264" i="1"/>
  <c r="F262" i="2"/>
  <c r="G262" i="2"/>
  <c r="I262" i="2"/>
  <c r="J262" i="2"/>
  <c r="K262" i="2"/>
  <c r="L262" i="2"/>
  <c r="Z265" i="1"/>
  <c r="F263" i="2"/>
  <c r="G263" i="2"/>
  <c r="I263" i="2"/>
  <c r="J263" i="2"/>
  <c r="K263" i="2"/>
  <c r="L263" i="2"/>
  <c r="Z266" i="1"/>
  <c r="F264" i="2"/>
  <c r="G264" i="2"/>
  <c r="I264" i="2"/>
  <c r="J264" i="2"/>
  <c r="K264" i="2"/>
  <c r="L264" i="2"/>
  <c r="Z267" i="1"/>
  <c r="F265" i="2"/>
  <c r="G265" i="2"/>
  <c r="I265" i="2"/>
  <c r="J265" i="2"/>
  <c r="K265" i="2"/>
  <c r="L265" i="2"/>
  <c r="Z268" i="1"/>
  <c r="F266" i="2"/>
  <c r="G266" i="2"/>
  <c r="I266" i="2"/>
  <c r="J266" i="2"/>
  <c r="K266" i="2"/>
  <c r="L266" i="2"/>
  <c r="Z269" i="1"/>
  <c r="F267" i="2"/>
  <c r="G267" i="2"/>
  <c r="I267" i="2"/>
  <c r="J267" i="2"/>
  <c r="K267" i="2"/>
  <c r="L267" i="2"/>
  <c r="Z270" i="1"/>
  <c r="F268" i="2"/>
  <c r="G268" i="2"/>
  <c r="I268" i="2"/>
  <c r="J268" i="2"/>
  <c r="K268" i="2"/>
  <c r="L268" i="2"/>
  <c r="Z271" i="1"/>
  <c r="F269" i="2"/>
  <c r="G269" i="2"/>
  <c r="I269" i="2"/>
  <c r="J269" i="2"/>
  <c r="K269" i="2"/>
  <c r="L269" i="2"/>
  <c r="Z272" i="1"/>
  <c r="F270" i="2"/>
  <c r="G270" i="2"/>
  <c r="I270" i="2"/>
  <c r="J270" i="2"/>
  <c r="K270" i="2"/>
  <c r="L270" i="2"/>
  <c r="Z273" i="1"/>
  <c r="F271" i="2"/>
  <c r="G271" i="2"/>
  <c r="I271" i="2"/>
  <c r="J271" i="2"/>
  <c r="K271" i="2"/>
  <c r="L271" i="2"/>
  <c r="Z274" i="1"/>
  <c r="F272" i="2"/>
  <c r="G272" i="2"/>
  <c r="I272" i="2"/>
  <c r="J272" i="2"/>
  <c r="K272" i="2"/>
  <c r="L272" i="2"/>
  <c r="Z275" i="1"/>
  <c r="F273" i="2"/>
  <c r="G273" i="2"/>
  <c r="I273" i="2"/>
  <c r="J273" i="2"/>
  <c r="K273" i="2"/>
  <c r="L273" i="2"/>
  <c r="Z276" i="1"/>
  <c r="F274" i="2"/>
  <c r="G274" i="2"/>
  <c r="I274" i="2"/>
  <c r="J274" i="2"/>
  <c r="K274" i="2"/>
  <c r="L274" i="2"/>
  <c r="Z277" i="1"/>
  <c r="F275" i="2"/>
  <c r="G275" i="2"/>
  <c r="I275" i="2"/>
  <c r="J275" i="2"/>
  <c r="K275" i="2"/>
  <c r="L275" i="2"/>
  <c r="Z278" i="1"/>
  <c r="F276" i="2"/>
  <c r="G276" i="2"/>
  <c r="I276" i="2"/>
  <c r="J276" i="2"/>
  <c r="K276" i="2"/>
  <c r="L276" i="2"/>
  <c r="Z279" i="1"/>
  <c r="F277" i="2"/>
  <c r="G277" i="2"/>
  <c r="I277" i="2"/>
  <c r="J277" i="2"/>
  <c r="K277" i="2"/>
  <c r="L277" i="2"/>
  <c r="Z280" i="1"/>
  <c r="F278" i="2"/>
  <c r="G278" i="2"/>
  <c r="I278" i="2"/>
  <c r="J278" i="2"/>
  <c r="K278" i="2"/>
  <c r="L278" i="2"/>
  <c r="Z281" i="1"/>
  <c r="F279" i="2"/>
  <c r="G279" i="2"/>
  <c r="I279" i="2"/>
  <c r="J279" i="2"/>
  <c r="K279" i="2"/>
  <c r="L279" i="2"/>
  <c r="Z282" i="1"/>
  <c r="F280" i="2"/>
  <c r="G280" i="2"/>
  <c r="I280" i="2"/>
  <c r="J280" i="2"/>
  <c r="K280" i="2"/>
  <c r="L280" i="2"/>
  <c r="Z283" i="1"/>
  <c r="F281" i="2"/>
  <c r="G281" i="2"/>
  <c r="I281" i="2"/>
  <c r="J281" i="2"/>
  <c r="K281" i="2"/>
  <c r="L281" i="2"/>
  <c r="Z284" i="1"/>
  <c r="F282" i="2"/>
  <c r="G282" i="2"/>
  <c r="I282" i="2"/>
  <c r="J282" i="2"/>
  <c r="K282" i="2"/>
  <c r="L282" i="2"/>
  <c r="Z285" i="1"/>
  <c r="F283" i="2"/>
  <c r="G283" i="2"/>
  <c r="I283" i="2"/>
  <c r="J283" i="2"/>
  <c r="K283" i="2"/>
  <c r="L283" i="2"/>
  <c r="Z286" i="1"/>
  <c r="G284" i="2"/>
  <c r="I284" i="2"/>
  <c r="J284" i="2"/>
  <c r="K284" i="2"/>
  <c r="L284" i="2"/>
  <c r="Z287" i="1"/>
  <c r="F285" i="2"/>
  <c r="G285" i="2"/>
  <c r="I285" i="2"/>
  <c r="J285" i="2"/>
  <c r="K285" i="2"/>
  <c r="L285" i="2"/>
  <c r="Z288" i="1"/>
  <c r="F286" i="2"/>
  <c r="G286" i="2"/>
  <c r="I286" i="2"/>
  <c r="J286" i="2"/>
  <c r="K286" i="2"/>
  <c r="L286" i="2"/>
  <c r="Z289" i="1"/>
  <c r="F287" i="2"/>
  <c r="G287" i="2"/>
  <c r="I287" i="2"/>
  <c r="J287" i="2"/>
  <c r="K287" i="2"/>
  <c r="L287" i="2"/>
  <c r="Z290" i="1"/>
  <c r="F288" i="2"/>
  <c r="G288" i="2"/>
  <c r="I288" i="2"/>
  <c r="J288" i="2"/>
  <c r="K288" i="2"/>
  <c r="L288" i="2"/>
  <c r="Z291" i="1"/>
  <c r="F289" i="2"/>
  <c r="G289" i="2"/>
  <c r="I289" i="2"/>
  <c r="J289" i="2"/>
  <c r="K289" i="2"/>
  <c r="L289" i="2"/>
  <c r="Z292" i="1"/>
  <c r="F290" i="2"/>
  <c r="G290" i="2"/>
  <c r="I290" i="2"/>
  <c r="J290" i="2"/>
  <c r="K290" i="2"/>
  <c r="L290" i="2"/>
  <c r="Z293" i="1"/>
  <c r="F291" i="2"/>
  <c r="G291" i="2"/>
  <c r="I291" i="2"/>
  <c r="J291" i="2"/>
  <c r="K291" i="2"/>
  <c r="L291" i="2"/>
  <c r="Z294" i="1"/>
  <c r="F292" i="2"/>
  <c r="G292" i="2"/>
  <c r="I292" i="2"/>
  <c r="J292" i="2"/>
  <c r="K292" i="2"/>
  <c r="L292" i="2"/>
  <c r="Z295" i="1"/>
  <c r="F293" i="2"/>
  <c r="G293" i="2"/>
  <c r="I293" i="2"/>
  <c r="J293" i="2"/>
  <c r="K293" i="2"/>
  <c r="L293" i="2"/>
  <c r="Z296" i="1"/>
  <c r="F294" i="2"/>
  <c r="G294" i="2"/>
  <c r="I294" i="2"/>
  <c r="J294" i="2"/>
  <c r="K294" i="2"/>
  <c r="L294" i="2"/>
  <c r="Z297" i="1"/>
  <c r="F295" i="2"/>
  <c r="G295" i="2"/>
  <c r="I295" i="2"/>
  <c r="J295" i="2"/>
  <c r="K295" i="2"/>
  <c r="L295" i="2"/>
  <c r="Z298" i="1"/>
  <c r="F296" i="2"/>
  <c r="G296" i="2"/>
  <c r="I296" i="2"/>
  <c r="J296" i="2"/>
  <c r="K296" i="2"/>
  <c r="L296" i="2"/>
  <c r="Z299" i="1"/>
  <c r="F297" i="2"/>
  <c r="G297" i="2"/>
  <c r="I297" i="2"/>
  <c r="J297" i="2"/>
  <c r="K297" i="2"/>
  <c r="L297" i="2"/>
  <c r="Z300" i="1"/>
  <c r="F298" i="2"/>
  <c r="G298" i="2"/>
  <c r="I298" i="2"/>
  <c r="J298" i="2"/>
  <c r="K298" i="2"/>
  <c r="L298" i="2"/>
  <c r="Z301" i="1"/>
  <c r="F299" i="2"/>
  <c r="G299" i="2"/>
  <c r="I299" i="2"/>
  <c r="J299" i="2"/>
  <c r="K299" i="2"/>
  <c r="L299" i="2"/>
  <c r="Z302" i="1"/>
  <c r="F300" i="2"/>
  <c r="G300" i="2"/>
  <c r="I300" i="2"/>
  <c r="J300" i="2"/>
  <c r="K300" i="2"/>
  <c r="L300" i="2"/>
  <c r="Z303" i="1"/>
  <c r="F301" i="2"/>
  <c r="G301" i="2"/>
  <c r="I301" i="2"/>
  <c r="J301" i="2"/>
  <c r="K301" i="2"/>
  <c r="L301" i="2"/>
  <c r="Z304" i="1"/>
  <c r="F302" i="2"/>
  <c r="G302" i="2"/>
  <c r="I302" i="2"/>
  <c r="J302" i="2"/>
  <c r="K302" i="2"/>
  <c r="L302" i="2"/>
  <c r="Z305" i="1"/>
  <c r="F303" i="2"/>
  <c r="G303" i="2"/>
  <c r="I303" i="2"/>
  <c r="J303" i="2"/>
  <c r="K303" i="2"/>
  <c r="L303" i="2"/>
  <c r="Z306" i="1"/>
  <c r="F304" i="2"/>
  <c r="G304" i="2"/>
  <c r="I304" i="2"/>
  <c r="J304" i="2"/>
  <c r="K304" i="2"/>
  <c r="L304" i="2"/>
  <c r="Z307" i="1"/>
  <c r="G305" i="2"/>
  <c r="I305" i="2"/>
  <c r="J305" i="2"/>
  <c r="K305" i="2"/>
  <c r="L305" i="2"/>
  <c r="Z308" i="1"/>
  <c r="F306" i="2"/>
  <c r="G306" i="2"/>
  <c r="I306" i="2"/>
  <c r="J306" i="2"/>
  <c r="K306" i="2"/>
  <c r="L306" i="2"/>
  <c r="Z309" i="1"/>
  <c r="F307" i="2"/>
  <c r="G307" i="2"/>
  <c r="I307" i="2"/>
  <c r="J307" i="2"/>
  <c r="K307" i="2"/>
  <c r="L307" i="2"/>
  <c r="Z310" i="1"/>
  <c r="F308" i="2"/>
  <c r="G308" i="2"/>
  <c r="I308" i="2"/>
  <c r="J308" i="2"/>
  <c r="K308" i="2"/>
  <c r="L308" i="2"/>
  <c r="Z311" i="1"/>
  <c r="F309" i="2"/>
  <c r="G309" i="2"/>
  <c r="I309" i="2"/>
  <c r="J309" i="2"/>
  <c r="K309" i="2"/>
  <c r="L309" i="2"/>
  <c r="Z312" i="1"/>
  <c r="F310" i="2"/>
  <c r="G310" i="2"/>
  <c r="I310" i="2"/>
  <c r="J310" i="2"/>
  <c r="K310" i="2"/>
  <c r="L310" i="2"/>
  <c r="Z313" i="1"/>
  <c r="F311" i="2"/>
  <c r="G311" i="2"/>
  <c r="I311" i="2"/>
  <c r="J311" i="2"/>
  <c r="K311" i="2"/>
  <c r="L311" i="2"/>
  <c r="Z314" i="1"/>
  <c r="F312" i="2"/>
  <c r="G312" i="2"/>
  <c r="I312" i="2"/>
  <c r="J312" i="2"/>
  <c r="K312" i="2"/>
  <c r="L312" i="2"/>
  <c r="Z315" i="1"/>
  <c r="F313" i="2"/>
  <c r="G313" i="2"/>
  <c r="I313" i="2"/>
  <c r="J313" i="2"/>
  <c r="K313" i="2"/>
  <c r="L313" i="2"/>
  <c r="Z316" i="1"/>
  <c r="F314" i="2"/>
  <c r="G314" i="2"/>
  <c r="I314" i="2"/>
  <c r="J314" i="2"/>
  <c r="K314" i="2"/>
  <c r="L314" i="2"/>
  <c r="Z317" i="1"/>
  <c r="F315" i="2"/>
  <c r="G315" i="2"/>
  <c r="I315" i="2"/>
  <c r="J315" i="2"/>
  <c r="K315" i="2"/>
  <c r="L315" i="2"/>
  <c r="Z318" i="1"/>
  <c r="F316" i="2"/>
  <c r="G316" i="2"/>
  <c r="I316" i="2"/>
  <c r="J316" i="2"/>
  <c r="K316" i="2"/>
  <c r="L316" i="2"/>
  <c r="Z319" i="1"/>
  <c r="F317" i="2"/>
  <c r="G317" i="2"/>
  <c r="I317" i="2"/>
  <c r="J317" i="2"/>
  <c r="K317" i="2"/>
  <c r="L317" i="2"/>
  <c r="Z320" i="1"/>
  <c r="F318" i="2"/>
  <c r="G318" i="2"/>
  <c r="I318" i="2"/>
  <c r="J318" i="2"/>
  <c r="K318" i="2"/>
  <c r="L318" i="2"/>
  <c r="Z321" i="1"/>
  <c r="F319" i="2"/>
  <c r="G319" i="2"/>
  <c r="I319" i="2"/>
  <c r="J319" i="2"/>
  <c r="K319" i="2"/>
  <c r="L319" i="2"/>
  <c r="Z322" i="1"/>
  <c r="F320" i="2"/>
  <c r="G320" i="2"/>
  <c r="I320" i="2"/>
  <c r="J320" i="2"/>
  <c r="K320" i="2"/>
  <c r="L320" i="2"/>
  <c r="Z323" i="1"/>
  <c r="F321" i="2"/>
  <c r="G321" i="2"/>
  <c r="I321" i="2"/>
  <c r="J321" i="2"/>
  <c r="K321" i="2"/>
  <c r="L321" i="2"/>
  <c r="Z324" i="1"/>
  <c r="F322" i="2"/>
  <c r="G322" i="2"/>
  <c r="I322" i="2"/>
  <c r="J322" i="2"/>
  <c r="K322" i="2"/>
  <c r="L322" i="2"/>
  <c r="Z325" i="1"/>
  <c r="F323" i="2"/>
  <c r="G323" i="2"/>
  <c r="I323" i="2"/>
  <c r="J323" i="2"/>
  <c r="K323" i="2"/>
  <c r="L323" i="2"/>
  <c r="Z326" i="1"/>
  <c r="F324" i="2"/>
  <c r="G324" i="2"/>
  <c r="I324" i="2"/>
  <c r="J324" i="2"/>
  <c r="K324" i="2"/>
  <c r="L324" i="2"/>
  <c r="Z327" i="1"/>
  <c r="F325" i="2"/>
  <c r="G325" i="2"/>
  <c r="I325" i="2"/>
  <c r="J325" i="2"/>
  <c r="K325" i="2"/>
  <c r="L325" i="2"/>
  <c r="Z328" i="1"/>
  <c r="F326" i="2"/>
  <c r="G326" i="2"/>
  <c r="I326" i="2"/>
  <c r="J326" i="2"/>
  <c r="K326" i="2"/>
  <c r="L326" i="2"/>
  <c r="Z329" i="1"/>
  <c r="F327" i="2"/>
  <c r="G327" i="2"/>
  <c r="I327" i="2"/>
  <c r="J327" i="2"/>
  <c r="K327" i="2"/>
  <c r="L327" i="2"/>
  <c r="Z330" i="1"/>
  <c r="F328" i="2"/>
  <c r="G328" i="2"/>
  <c r="I328" i="2"/>
  <c r="J328" i="2"/>
  <c r="K328" i="2"/>
  <c r="L328" i="2"/>
  <c r="Z331" i="1"/>
  <c r="F329" i="2"/>
  <c r="G329" i="2"/>
  <c r="I329" i="2"/>
  <c r="J329" i="2"/>
  <c r="K329" i="2"/>
  <c r="L329" i="2"/>
  <c r="Z332" i="1"/>
  <c r="F330" i="2"/>
  <c r="G330" i="2"/>
  <c r="I330" i="2"/>
  <c r="J330" i="2"/>
  <c r="K330" i="2"/>
  <c r="L330" i="2"/>
  <c r="Z333" i="1"/>
  <c r="F331" i="2"/>
  <c r="G331" i="2"/>
  <c r="I331" i="2"/>
  <c r="J331" i="2"/>
  <c r="K331" i="2"/>
  <c r="L331" i="2"/>
  <c r="Z334" i="1"/>
  <c r="F332" i="2"/>
  <c r="G332" i="2"/>
  <c r="I332" i="2"/>
  <c r="J332" i="2"/>
  <c r="K332" i="2"/>
  <c r="L332" i="2"/>
  <c r="Z335" i="1"/>
  <c r="F333" i="2"/>
  <c r="G333" i="2"/>
  <c r="I333" i="2"/>
  <c r="J333" i="2"/>
  <c r="K333" i="2"/>
  <c r="L333" i="2"/>
  <c r="Z336" i="1"/>
  <c r="F334" i="2"/>
  <c r="G334" i="2"/>
  <c r="I334" i="2"/>
  <c r="J334" i="2"/>
  <c r="K334" i="2"/>
  <c r="L334" i="2"/>
  <c r="Z337" i="1"/>
  <c r="F335" i="2"/>
  <c r="G335" i="2"/>
  <c r="I335" i="2"/>
  <c r="J335" i="2"/>
  <c r="K335" i="2"/>
  <c r="L335" i="2"/>
  <c r="Z338" i="1"/>
  <c r="F336" i="2"/>
  <c r="G336" i="2"/>
  <c r="I336" i="2"/>
  <c r="J336" i="2"/>
  <c r="K336" i="2"/>
  <c r="L336" i="2"/>
  <c r="Z339" i="1"/>
  <c r="F337" i="2"/>
  <c r="G337" i="2"/>
  <c r="I337" i="2"/>
  <c r="J337" i="2"/>
  <c r="K337" i="2"/>
  <c r="L337" i="2"/>
  <c r="N6" i="2"/>
  <c r="N7" i="2"/>
  <c r="C22" i="7" s="1"/>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L1" i="10"/>
  <c r="F50" i="16"/>
  <c r="F126" i="15"/>
  <c r="L66" i="10"/>
  <c r="L25" i="10"/>
  <c r="L24" i="10"/>
  <c r="L67" i="10" s="1"/>
  <c r="L12" i="10"/>
  <c r="L58" i="10" s="1"/>
  <c r="L62" i="10" s="1"/>
  <c r="D11" i="14"/>
  <c r="P112" i="14" s="1"/>
  <c r="E11" i="14"/>
  <c r="Q106" i="14" s="1"/>
  <c r="I24" i="10"/>
  <c r="I67" i="10" s="1"/>
  <c r="J24" i="10"/>
  <c r="J67" i="10" s="1"/>
  <c r="K24" i="10"/>
  <c r="K67" i="10" s="1"/>
  <c r="F11" i="14"/>
  <c r="J61" i="14" s="1"/>
  <c r="I25" i="10"/>
  <c r="I68" i="10" s="1"/>
  <c r="J25" i="10"/>
  <c r="J68" i="10" s="1"/>
  <c r="K25" i="10"/>
  <c r="K68" i="10" s="1"/>
  <c r="L69" i="10"/>
  <c r="I69" i="10"/>
  <c r="J69" i="10"/>
  <c r="K69" i="10"/>
  <c r="L70" i="10"/>
  <c r="I70" i="10"/>
  <c r="J70" i="10"/>
  <c r="K70" i="10"/>
  <c r="L71" i="10"/>
  <c r="I71" i="10"/>
  <c r="J71" i="10"/>
  <c r="K71" i="10"/>
  <c r="G11" i="14"/>
  <c r="I51" i="14" s="1"/>
  <c r="H11" i="14"/>
  <c r="M85" i="14" s="1"/>
  <c r="I11" i="14"/>
  <c r="J53" i="14" s="1"/>
  <c r="J11" i="14"/>
  <c r="F76" i="14" s="1"/>
  <c r="K11" i="14"/>
  <c r="P77" i="14" s="1"/>
  <c r="I66" i="10"/>
  <c r="J66" i="10"/>
  <c r="K66" i="10"/>
  <c r="I12" i="10"/>
  <c r="I58" i="10" s="1"/>
  <c r="J12" i="10"/>
  <c r="J58" i="10" s="1"/>
  <c r="K12" i="10"/>
  <c r="F64" i="14"/>
  <c r="M54" i="10"/>
  <c r="M28" i="10"/>
  <c r="M27" i="10"/>
  <c r="M26" i="10"/>
  <c r="M23" i="10"/>
  <c r="M22" i="10"/>
  <c r="B5" i="7"/>
  <c r="J1" i="10" s="1"/>
  <c r="I1" i="10"/>
  <c r="Q1" i="2"/>
  <c r="K1" i="14"/>
  <c r="E1" i="13"/>
  <c r="H120" i="7"/>
  <c r="H118" i="7"/>
  <c r="H116" i="7"/>
  <c r="H111" i="7"/>
  <c r="H110" i="7"/>
  <c r="H107" i="7"/>
  <c r="H106" i="7"/>
  <c r="H94" i="7"/>
  <c r="H96" i="7"/>
  <c r="H92" i="7"/>
  <c r="H91" i="7"/>
  <c r="H87" i="7"/>
  <c r="H85" i="7"/>
  <c r="E129" i="14"/>
  <c r="D32" i="14"/>
  <c r="D33" i="14"/>
  <c r="D34" i="14"/>
  <c r="F129" i="14"/>
  <c r="G129" i="14"/>
  <c r="H129" i="14"/>
  <c r="I129" i="14"/>
  <c r="J129" i="14"/>
  <c r="K129" i="14"/>
  <c r="L129" i="14"/>
  <c r="M129" i="14"/>
  <c r="N129" i="14"/>
  <c r="O129" i="14"/>
  <c r="P129" i="14"/>
  <c r="Q129" i="14"/>
  <c r="R129" i="14"/>
  <c r="S129" i="14"/>
  <c r="D24" i="14"/>
  <c r="D25" i="14"/>
  <c r="D26" i="14"/>
  <c r="D27" i="14"/>
  <c r="D28" i="14"/>
  <c r="D29" i="14"/>
  <c r="D30" i="14"/>
  <c r="D31" i="14"/>
  <c r="D35" i="14"/>
  <c r="F38" i="14"/>
  <c r="G38" i="14"/>
  <c r="H38" i="14"/>
  <c r="I38" i="14"/>
  <c r="J38" i="14"/>
  <c r="K38" i="14"/>
  <c r="L38" i="14"/>
  <c r="M38" i="14"/>
  <c r="N38" i="14"/>
  <c r="O38" i="14"/>
  <c r="P38" i="14"/>
  <c r="Q38" i="14"/>
  <c r="R38" i="14"/>
  <c r="S38" i="14"/>
  <c r="E38" i="14"/>
  <c r="V1" i="11"/>
  <c r="B82" i="7"/>
  <c r="B46" i="7"/>
  <c r="B2" i="12"/>
  <c r="L1" i="12"/>
  <c r="M1" i="9"/>
  <c r="I46" i="7" s="1"/>
  <c r="H1" i="5"/>
  <c r="AD1" i="1"/>
  <c r="H3" i="8"/>
  <c r="A82" i="7"/>
  <c r="A46" i="7"/>
  <c r="E21" i="7"/>
  <c r="O1" i="4"/>
  <c r="H112" i="14"/>
  <c r="L112" i="14"/>
  <c r="J114" i="14"/>
  <c r="N114" i="14"/>
  <c r="K95" i="14"/>
  <c r="M95" i="14"/>
  <c r="L96" i="14"/>
  <c r="N96" i="14"/>
  <c r="M40" i="14"/>
  <c r="O40" i="14"/>
  <c r="N41" i="14"/>
  <c r="P41" i="14"/>
  <c r="O42" i="14"/>
  <c r="Q42" i="14"/>
  <c r="M86" i="14"/>
  <c r="Q86" i="14"/>
  <c r="L87" i="14"/>
  <c r="Q115" i="14"/>
  <c r="S115" i="14"/>
  <c r="S97" i="14"/>
  <c r="F115" i="14"/>
  <c r="E115" i="14"/>
  <c r="G54" i="14"/>
  <c r="I34" i="10"/>
  <c r="I77" i="10" s="1"/>
  <c r="K53" i="14"/>
  <c r="Q53" i="14"/>
  <c r="K64" i="14"/>
  <c r="Q64" i="14"/>
  <c r="K75" i="14"/>
  <c r="Q75" i="14"/>
  <c r="P53" i="14"/>
  <c r="P64" i="14"/>
  <c r="G86" i="14"/>
  <c r="S86" i="14"/>
  <c r="E43" i="14"/>
  <c r="Q112" i="14"/>
  <c r="S112" i="14"/>
  <c r="R113" i="14"/>
  <c r="I114" i="14"/>
  <c r="S114" i="14"/>
  <c r="J94" i="14"/>
  <c r="E95" i="14"/>
  <c r="J112" i="14"/>
  <c r="M113" i="14"/>
  <c r="L114" i="14"/>
  <c r="O94" i="14"/>
  <c r="J95" i="14"/>
  <c r="E96" i="14"/>
  <c r="K96" i="14"/>
  <c r="J40" i="14"/>
  <c r="L40" i="14"/>
  <c r="K41" i="14"/>
  <c r="M41" i="14"/>
  <c r="L42" i="14"/>
  <c r="N42" i="14"/>
  <c r="K43" i="14"/>
  <c r="I43" i="14"/>
  <c r="P97" i="14"/>
  <c r="R97" i="14"/>
  <c r="H43" i="14"/>
  <c r="F43" i="14"/>
  <c r="F284" i="2"/>
  <c r="F59" i="7" l="1"/>
  <c r="E57" i="7" s="1"/>
  <c r="C17" i="7"/>
  <c r="C12" i="7"/>
  <c r="C16" i="7"/>
  <c r="E16" i="7" s="1"/>
  <c r="C11" i="7"/>
  <c r="E11" i="7" s="1"/>
  <c r="N85" i="14"/>
  <c r="N43" i="14"/>
  <c r="J97" i="14"/>
  <c r="Q43" i="14"/>
  <c r="F42" i="14"/>
  <c r="E41" i="14"/>
  <c r="S96" i="14"/>
  <c r="R95" i="14"/>
  <c r="R99" i="14" s="1"/>
  <c r="K94" i="14"/>
  <c r="I113" i="14"/>
  <c r="R94" i="14"/>
  <c r="Q114" i="14"/>
  <c r="L113" i="14"/>
  <c r="K112" i="14"/>
  <c r="N115" i="14"/>
  <c r="M97" i="14"/>
  <c r="K115" i="14"/>
  <c r="I42" i="14"/>
  <c r="H41" i="14"/>
  <c r="G40" i="14"/>
  <c r="F96" i="14"/>
  <c r="Q94" i="14"/>
  <c r="O113" i="14"/>
  <c r="P43" i="14"/>
  <c r="H97" i="14"/>
  <c r="S43" i="14"/>
  <c r="S41" i="14"/>
  <c r="R40" i="14"/>
  <c r="R45" i="14" s="1"/>
  <c r="Q96" i="14"/>
  <c r="L95" i="14"/>
  <c r="P114" i="14"/>
  <c r="N112" i="14"/>
  <c r="L94" i="14"/>
  <c r="K114" i="14"/>
  <c r="J113" i="14"/>
  <c r="I112" i="14"/>
  <c r="L115" i="14"/>
  <c r="K97" i="14"/>
  <c r="I115" i="14"/>
  <c r="G42" i="14"/>
  <c r="F41" i="14"/>
  <c r="E40" i="14"/>
  <c r="S95" i="14"/>
  <c r="M94" i="14"/>
  <c r="K113" i="14"/>
  <c r="K117" i="14" s="1"/>
  <c r="R63" i="14"/>
  <c r="O84" i="14"/>
  <c r="E60" i="14"/>
  <c r="L63" i="14"/>
  <c r="N50" i="14"/>
  <c r="N62" i="14"/>
  <c r="I37" i="10"/>
  <c r="I80" i="10" s="1"/>
  <c r="R52" i="14"/>
  <c r="E62" i="14"/>
  <c r="M104" i="14"/>
  <c r="E66" i="14"/>
  <c r="N73" i="14"/>
  <c r="G51" i="14"/>
  <c r="S72" i="14"/>
  <c r="F124" i="14"/>
  <c r="M73" i="14"/>
  <c r="H66" i="14"/>
  <c r="E55" i="14"/>
  <c r="N66" i="14"/>
  <c r="P84" i="14"/>
  <c r="J51" i="14"/>
  <c r="J32" i="10"/>
  <c r="J75" i="10" s="1"/>
  <c r="E71" i="14"/>
  <c r="H103" i="14"/>
  <c r="P54" i="14"/>
  <c r="N121" i="14"/>
  <c r="L104" i="14"/>
  <c r="I121" i="14"/>
  <c r="J43" i="14"/>
  <c r="R43" i="14"/>
  <c r="N97" i="14"/>
  <c r="F97" i="14"/>
  <c r="M43" i="14"/>
  <c r="R42" i="14"/>
  <c r="J42" i="14"/>
  <c r="Q41" i="14"/>
  <c r="I41" i="14"/>
  <c r="P40" i="14"/>
  <c r="H40" i="14"/>
  <c r="O96" i="14"/>
  <c r="I96" i="14"/>
  <c r="P95" i="14"/>
  <c r="H95" i="14"/>
  <c r="G94" i="14"/>
  <c r="H114" i="14"/>
  <c r="E113" i="14"/>
  <c r="F112" i="14"/>
  <c r="F117" i="14" s="1"/>
  <c r="P94" i="14"/>
  <c r="H94" i="14"/>
  <c r="O114" i="14"/>
  <c r="G114" i="14"/>
  <c r="P113" i="14"/>
  <c r="H113" i="14"/>
  <c r="O112" i="14"/>
  <c r="G112" i="14"/>
  <c r="E86" i="14"/>
  <c r="R75" i="14"/>
  <c r="L53" i="14"/>
  <c r="I75" i="14"/>
  <c r="I64" i="14"/>
  <c r="I53" i="14"/>
  <c r="G76" i="14"/>
  <c r="R115" i="14"/>
  <c r="J115" i="14"/>
  <c r="Q97" i="14"/>
  <c r="I97" i="14"/>
  <c r="O115" i="14"/>
  <c r="O117" i="14" s="1"/>
  <c r="G115" i="14"/>
  <c r="M42" i="14"/>
  <c r="M45" i="14" s="1"/>
  <c r="E42" i="14"/>
  <c r="L41" i="14"/>
  <c r="S40" i="14"/>
  <c r="K40" i="14"/>
  <c r="R96" i="14"/>
  <c r="J96" i="14"/>
  <c r="J99" i="14" s="1"/>
  <c r="Q95" i="14"/>
  <c r="I95" i="14"/>
  <c r="I94" i="14"/>
  <c r="F114" i="14"/>
  <c r="G113" i="14"/>
  <c r="N53" i="14"/>
  <c r="O103" i="14"/>
  <c r="J104" i="14"/>
  <c r="R71" i="14"/>
  <c r="S87" i="14"/>
  <c r="L43" i="14"/>
  <c r="E97" i="14"/>
  <c r="L97" i="14"/>
  <c r="L99" i="14" s="1"/>
  <c r="G43" i="14"/>
  <c r="O43" i="14"/>
  <c r="P42" i="14"/>
  <c r="P45" i="14" s="1"/>
  <c r="H42" i="14"/>
  <c r="O41" i="14"/>
  <c r="G41" i="14"/>
  <c r="N40" i="14"/>
  <c r="N45" i="14" s="1"/>
  <c r="F40" i="14"/>
  <c r="F45" i="14" s="1"/>
  <c r="M96" i="14"/>
  <c r="G96" i="14"/>
  <c r="N95" i="14"/>
  <c r="S94" i="14"/>
  <c r="E94" i="14"/>
  <c r="Q113" i="14"/>
  <c r="R112" i="14"/>
  <c r="G95" i="14"/>
  <c r="N94" i="14"/>
  <c r="F94" i="14"/>
  <c r="M114" i="14"/>
  <c r="E114" i="14"/>
  <c r="N113" i="14"/>
  <c r="F113" i="14"/>
  <c r="M112" i="14"/>
  <c r="E112" i="14"/>
  <c r="H86" i="14"/>
  <c r="F75" i="14"/>
  <c r="S75" i="14"/>
  <c r="S64" i="14"/>
  <c r="S53" i="14"/>
  <c r="K34" i="10"/>
  <c r="K77" i="10" s="1"/>
  <c r="M65" i="14"/>
  <c r="P115" i="14"/>
  <c r="H115" i="14"/>
  <c r="O97" i="14"/>
  <c r="G97" i="14"/>
  <c r="M115" i="14"/>
  <c r="F106" i="14"/>
  <c r="R86" i="14"/>
  <c r="S42" i="14"/>
  <c r="K42" i="14"/>
  <c r="R41" i="14"/>
  <c r="J41" i="14"/>
  <c r="Q40" i="14"/>
  <c r="I40" i="14"/>
  <c r="P96" i="14"/>
  <c r="H96" i="14"/>
  <c r="O95" i="14"/>
  <c r="F95" i="14"/>
  <c r="R114" i="14"/>
  <c r="S113" i="14"/>
  <c r="S117" i="14" s="1"/>
  <c r="N64" i="14"/>
  <c r="F53" i="14"/>
  <c r="O105" i="14"/>
  <c r="I36" i="10"/>
  <c r="I79" i="10" s="1"/>
  <c r="J83" i="14"/>
  <c r="K61" i="14"/>
  <c r="J88" i="14"/>
  <c r="N84" i="14"/>
  <c r="L51" i="14"/>
  <c r="G62" i="14"/>
  <c r="M66" i="14"/>
  <c r="O73" i="14"/>
  <c r="L73" i="14"/>
  <c r="H62" i="14"/>
  <c r="Q51" i="14"/>
  <c r="M49" i="14"/>
  <c r="K37" i="10"/>
  <c r="K80" i="10" s="1"/>
  <c r="E122" i="14"/>
  <c r="Q105" i="14"/>
  <c r="J60" i="14"/>
  <c r="F71" i="14"/>
  <c r="K123" i="14"/>
  <c r="N77" i="14"/>
  <c r="O55" i="14"/>
  <c r="F65" i="14"/>
  <c r="H87" i="14"/>
  <c r="M83" i="14"/>
  <c r="Q50" i="14"/>
  <c r="J87" i="14"/>
  <c r="N76" i="14"/>
  <c r="H88" i="14"/>
  <c r="P83" i="14"/>
  <c r="P88" i="14"/>
  <c r="R54" i="14"/>
  <c r="K106" i="14"/>
  <c r="H84" i="14"/>
  <c r="G84" i="14"/>
  <c r="K32" i="10"/>
  <c r="K75" i="10" s="1"/>
  <c r="R51" i="14"/>
  <c r="M62" i="14"/>
  <c r="E73" i="14"/>
  <c r="G77" i="14"/>
  <c r="F73" i="14"/>
  <c r="F62" i="14"/>
  <c r="O51" i="14"/>
  <c r="F66" i="14"/>
  <c r="M84" i="14"/>
  <c r="I55" i="14"/>
  <c r="M122" i="14"/>
  <c r="K30" i="10"/>
  <c r="K73" i="10" s="1"/>
  <c r="L66" i="14"/>
  <c r="J105" i="14"/>
  <c r="F122" i="14"/>
  <c r="F77" i="14"/>
  <c r="G55" i="14"/>
  <c r="N65" i="14"/>
  <c r="J35" i="10"/>
  <c r="J78" i="10" s="1"/>
  <c r="O88" i="14"/>
  <c r="E84" i="14"/>
  <c r="N82" i="14"/>
  <c r="I124" i="14"/>
  <c r="F84" i="14"/>
  <c r="J37" i="10"/>
  <c r="J80" i="10" s="1"/>
  <c r="L55" i="14"/>
  <c r="O62" i="14"/>
  <c r="G73" i="14"/>
  <c r="O77" i="14"/>
  <c r="S71" i="14"/>
  <c r="P62" i="14"/>
  <c r="P61" i="14"/>
  <c r="G50" i="14"/>
  <c r="H61" i="14"/>
  <c r="P72" i="14"/>
  <c r="H50" i="14"/>
  <c r="S83" i="14"/>
  <c r="E50" i="14"/>
  <c r="E61" i="14"/>
  <c r="M61" i="14"/>
  <c r="E72" i="14"/>
  <c r="M72" i="14"/>
  <c r="K50" i="14"/>
  <c r="N61" i="14"/>
  <c r="N72" i="14"/>
  <c r="J50" i="14"/>
  <c r="Q83" i="14"/>
  <c r="N83" i="14"/>
  <c r="P50" i="14"/>
  <c r="J31" i="10"/>
  <c r="J74" i="10" s="1"/>
  <c r="K83" i="14"/>
  <c r="Q61" i="14"/>
  <c r="Q72" i="14"/>
  <c r="F72" i="14"/>
  <c r="I83" i="14"/>
  <c r="E83" i="14"/>
  <c r="O50" i="14"/>
  <c r="L61" i="14"/>
  <c r="F50" i="14"/>
  <c r="G83" i="14"/>
  <c r="H83" i="14"/>
  <c r="I50" i="14"/>
  <c r="G61" i="14"/>
  <c r="O61" i="14"/>
  <c r="G72" i="14"/>
  <c r="O72" i="14"/>
  <c r="S50" i="14"/>
  <c r="R61" i="14"/>
  <c r="R72" i="14"/>
  <c r="K31" i="10"/>
  <c r="K74" i="10" s="1"/>
  <c r="L31" i="10"/>
  <c r="L74" i="10" s="1"/>
  <c r="R83" i="14"/>
  <c r="L83" i="14"/>
  <c r="M50" i="14"/>
  <c r="I61" i="14"/>
  <c r="I72" i="14"/>
  <c r="F61" i="14"/>
  <c r="R50" i="14"/>
  <c r="F83" i="14"/>
  <c r="L50" i="14"/>
  <c r="K72" i="14"/>
  <c r="I31" i="10"/>
  <c r="I74" i="10" s="1"/>
  <c r="O83" i="14"/>
  <c r="D129" i="14"/>
  <c r="R65" i="14"/>
  <c r="J54" i="14"/>
  <c r="K54" i="14"/>
  <c r="G65" i="14"/>
  <c r="O65" i="14"/>
  <c r="H76" i="14"/>
  <c r="P76" i="14"/>
  <c r="H65" i="14"/>
  <c r="K76" i="14"/>
  <c r="L54" i="14"/>
  <c r="Q87" i="14"/>
  <c r="N87" i="14"/>
  <c r="K87" i="14"/>
  <c r="M76" i="14"/>
  <c r="I54" i="14"/>
  <c r="S54" i="14"/>
  <c r="S65" i="14"/>
  <c r="E54" i="14"/>
  <c r="K35" i="10"/>
  <c r="K78" i="10" s="1"/>
  <c r="F87" i="14"/>
  <c r="Q76" i="14"/>
  <c r="O54" i="14"/>
  <c r="I65" i="14"/>
  <c r="Q65" i="14"/>
  <c r="J76" i="14"/>
  <c r="R76" i="14"/>
  <c r="L65" i="14"/>
  <c r="O76" i="14"/>
  <c r="H54" i="14"/>
  <c r="I35" i="10"/>
  <c r="I78" i="10" s="1"/>
  <c r="L35" i="10"/>
  <c r="L78" i="10" s="1"/>
  <c r="R87" i="14"/>
  <c r="E87" i="14"/>
  <c r="F54" i="14"/>
  <c r="E76" i="14"/>
  <c r="G87" i="14"/>
  <c r="P87" i="14"/>
  <c r="K65" i="14"/>
  <c r="L76" i="14"/>
  <c r="P65" i="14"/>
  <c r="S76" i="14"/>
  <c r="I87" i="14"/>
  <c r="N54" i="14"/>
  <c r="J72" i="14"/>
  <c r="S61" i="14"/>
  <c r="M87" i="14"/>
  <c r="M54" i="14"/>
  <c r="E65" i="14"/>
  <c r="H72" i="14"/>
  <c r="M66" i="10"/>
  <c r="I117" i="14"/>
  <c r="G122" i="14"/>
  <c r="Q122" i="14"/>
  <c r="R53" i="14"/>
  <c r="J64" i="14"/>
  <c r="H75" i="14"/>
  <c r="H60" i="14"/>
  <c r="I104" i="14"/>
  <c r="G123" i="14"/>
  <c r="P86" i="14"/>
  <c r="O86" i="14"/>
  <c r="N75" i="14"/>
  <c r="L64" i="14"/>
  <c r="H53" i="14"/>
  <c r="O75" i="14"/>
  <c r="G75" i="14"/>
  <c r="O64" i="14"/>
  <c r="G64" i="14"/>
  <c r="O53" i="14"/>
  <c r="G53" i="14"/>
  <c r="Q117" i="14"/>
  <c r="H82" i="14"/>
  <c r="S82" i="14"/>
  <c r="N86" i="14"/>
  <c r="I86" i="14"/>
  <c r="D38" i="14"/>
  <c r="P104" i="14"/>
  <c r="P123" i="14"/>
  <c r="G60" i="14"/>
  <c r="P121" i="14"/>
  <c r="N123" i="14"/>
  <c r="M105" i="14"/>
  <c r="R64" i="14"/>
  <c r="P75" i="14"/>
  <c r="N105" i="14"/>
  <c r="L103" i="14"/>
  <c r="J122" i="14"/>
  <c r="L86" i="14"/>
  <c r="K86" i="14"/>
  <c r="J75" i="14"/>
  <c r="H64" i="14"/>
  <c r="J34" i="10"/>
  <c r="J77" i="10" s="1"/>
  <c r="M75" i="14"/>
  <c r="E75" i="14"/>
  <c r="M64" i="14"/>
  <c r="E64" i="14"/>
  <c r="M53" i="14"/>
  <c r="E53" i="14"/>
  <c r="J106" i="14"/>
  <c r="J86" i="14"/>
  <c r="L34" i="10"/>
  <c r="L77" i="10" s="1"/>
  <c r="L75" i="14"/>
  <c r="I82" i="7"/>
  <c r="F8" i="1"/>
  <c r="Q43" i="11"/>
  <c r="Q33" i="11"/>
  <c r="Q22" i="11"/>
  <c r="Q13" i="11"/>
  <c r="S216" i="11"/>
  <c r="Q10" i="11"/>
  <c r="T15" i="11"/>
  <c r="T19" i="11"/>
  <c r="T25" i="11"/>
  <c r="T26" i="11"/>
  <c r="T32" i="11"/>
  <c r="Q35" i="11"/>
  <c r="T41" i="11"/>
  <c r="T43" i="11"/>
  <c r="Q49" i="11"/>
  <c r="T51" i="11"/>
  <c r="Q53" i="11"/>
  <c r="T57" i="11"/>
  <c r="T59" i="11"/>
  <c r="T60" i="11"/>
  <c r="T62" i="11"/>
  <c r="T64" i="11"/>
  <c r="T65" i="11"/>
  <c r="Q67" i="11"/>
  <c r="T67" i="11"/>
  <c r="T69" i="11"/>
  <c r="T72" i="11"/>
  <c r="Q73" i="11"/>
  <c r="T75" i="11"/>
  <c r="Q79" i="11"/>
  <c r="Q80" i="11"/>
  <c r="T81" i="11"/>
  <c r="T85" i="11"/>
  <c r="Q87" i="11"/>
  <c r="T87" i="11"/>
  <c r="T104" i="11"/>
  <c r="T105" i="11"/>
  <c r="T109" i="11"/>
  <c r="T113" i="11"/>
  <c r="T114" i="11"/>
  <c r="T119" i="11"/>
  <c r="T123" i="11"/>
  <c r="T124" i="11"/>
  <c r="T126" i="11"/>
  <c r="T127" i="11"/>
  <c r="T128" i="11"/>
  <c r="T131" i="11"/>
  <c r="T133" i="11"/>
  <c r="T136" i="11"/>
  <c r="T139" i="11"/>
  <c r="T143" i="11"/>
  <c r="T151" i="11"/>
  <c r="T153" i="11"/>
  <c r="T156" i="11"/>
  <c r="T158" i="11"/>
  <c r="T159" i="11"/>
  <c r="T160" i="11"/>
  <c r="T161" i="11"/>
  <c r="T165" i="11"/>
  <c r="T169" i="11"/>
  <c r="T175" i="11"/>
  <c r="T188" i="11"/>
  <c r="T189" i="11"/>
  <c r="T190" i="11"/>
  <c r="T191" i="11"/>
  <c r="T192" i="11"/>
  <c r="T193" i="11"/>
  <c r="T197" i="11"/>
  <c r="T201" i="11"/>
  <c r="T203" i="11"/>
  <c r="T211" i="11"/>
  <c r="T212" i="11"/>
  <c r="T216" i="11"/>
  <c r="T219" i="11"/>
  <c r="T223" i="11"/>
  <c r="T227" i="11"/>
  <c r="T228" i="11"/>
  <c r="T233" i="11"/>
  <c r="T235" i="11"/>
  <c r="T240" i="11"/>
  <c r="T243" i="11"/>
  <c r="T245" i="11"/>
  <c r="T249" i="11"/>
  <c r="T251" i="11"/>
  <c r="T263" i="11"/>
  <c r="T271" i="11"/>
  <c r="T279" i="11"/>
  <c r="S322" i="11"/>
  <c r="S323" i="11"/>
  <c r="S325" i="11"/>
  <c r="S326" i="11"/>
  <c r="S327" i="11"/>
  <c r="S329" i="11"/>
  <c r="S330" i="11"/>
  <c r="S331" i="11"/>
  <c r="S335" i="11"/>
  <c r="S336" i="11"/>
  <c r="M71" i="10"/>
  <c r="M70" i="10"/>
  <c r="M67" i="10"/>
  <c r="M69" i="10"/>
  <c r="F68" i="7"/>
  <c r="E70" i="7" s="1"/>
  <c r="E68" i="7"/>
  <c r="F70" i="7" s="1"/>
  <c r="D321" i="1"/>
  <c r="AC321" i="1" s="1"/>
  <c r="AD321" i="1" s="1"/>
  <c r="E319" i="2" s="1"/>
  <c r="E323" i="5" s="1"/>
  <c r="O322" i="11"/>
  <c r="H20" i="1"/>
  <c r="AB20" i="1" s="1"/>
  <c r="M18" i="2" s="1"/>
  <c r="R21" i="11"/>
  <c r="H28" i="1"/>
  <c r="AB28" i="1" s="1"/>
  <c r="M26" i="2" s="1"/>
  <c r="I27" i="12" s="1"/>
  <c r="R29" i="11"/>
  <c r="H60" i="1"/>
  <c r="AB60" i="1" s="1"/>
  <c r="M58" i="2" s="1"/>
  <c r="Q58" i="2" s="1"/>
  <c r="R61" i="11"/>
  <c r="H68" i="1"/>
  <c r="AB68" i="1" s="1"/>
  <c r="M66" i="2" s="1"/>
  <c r="Q66" i="2" s="1"/>
  <c r="R69" i="11"/>
  <c r="H84" i="1"/>
  <c r="AB84" i="1" s="1"/>
  <c r="M82" i="2" s="1"/>
  <c r="I83" i="12" s="1"/>
  <c r="R85" i="11"/>
  <c r="J83" i="12" s="1"/>
  <c r="H332" i="1"/>
  <c r="AB332" i="1" s="1"/>
  <c r="M330" i="2" s="1"/>
  <c r="Q330" i="2" s="1"/>
  <c r="R333" i="11"/>
  <c r="R305" i="11"/>
  <c r="J303" i="12" s="1"/>
  <c r="R241" i="11"/>
  <c r="J239" i="12" s="1"/>
  <c r="R209" i="11"/>
  <c r="R145" i="11"/>
  <c r="R49" i="11"/>
  <c r="J47" i="12" s="1"/>
  <c r="H324" i="1"/>
  <c r="AB324" i="1" s="1"/>
  <c r="M322" i="2" s="1"/>
  <c r="G326" i="5" s="1"/>
  <c r="H308" i="1"/>
  <c r="AB308" i="1" s="1"/>
  <c r="M306" i="2" s="1"/>
  <c r="G310" i="5" s="1"/>
  <c r="H280" i="1"/>
  <c r="AB280" i="1" s="1"/>
  <c r="M278" i="2" s="1"/>
  <c r="H236" i="1"/>
  <c r="AB236" i="1" s="1"/>
  <c r="M234" i="2" s="1"/>
  <c r="G238" i="5" s="1"/>
  <c r="H188" i="1"/>
  <c r="AB188" i="1" s="1"/>
  <c r="M186" i="2" s="1"/>
  <c r="G190" i="5" s="1"/>
  <c r="H184" i="1"/>
  <c r="AB184" i="1" s="1"/>
  <c r="M182" i="2" s="1"/>
  <c r="G186" i="5" s="1"/>
  <c r="H124" i="1"/>
  <c r="AB124" i="1" s="1"/>
  <c r="M122" i="2" s="1"/>
  <c r="H116" i="1"/>
  <c r="AB116" i="1" s="1"/>
  <c r="M114" i="2" s="1"/>
  <c r="G118" i="5" s="1"/>
  <c r="H56" i="1"/>
  <c r="AB56" i="1" s="1"/>
  <c r="M54" i="2" s="1"/>
  <c r="G58" i="5" s="1"/>
  <c r="E221" i="1"/>
  <c r="AA221" i="1" s="1"/>
  <c r="D219" i="2" s="1"/>
  <c r="O220" i="12"/>
  <c r="J248" i="12"/>
  <c r="R217" i="11"/>
  <c r="J215" i="12" s="1"/>
  <c r="R153" i="11"/>
  <c r="R98" i="11"/>
  <c r="J96" i="12" s="1"/>
  <c r="H320" i="1"/>
  <c r="AB320" i="1" s="1"/>
  <c r="M318" i="2" s="1"/>
  <c r="G322" i="5" s="1"/>
  <c r="H300" i="1"/>
  <c r="AB300" i="1" s="1"/>
  <c r="M298" i="2" s="1"/>
  <c r="G302" i="5" s="1"/>
  <c r="H292" i="1"/>
  <c r="AB292" i="1" s="1"/>
  <c r="M290" i="2" s="1"/>
  <c r="Q290" i="2" s="1"/>
  <c r="H276" i="1"/>
  <c r="AB276" i="1" s="1"/>
  <c r="M274" i="2" s="1"/>
  <c r="G278" i="5" s="1"/>
  <c r="H224" i="1"/>
  <c r="AB224" i="1" s="1"/>
  <c r="M222" i="2" s="1"/>
  <c r="G226" i="5" s="1"/>
  <c r="H196" i="1"/>
  <c r="AB196" i="1" s="1"/>
  <c r="M194" i="2" s="1"/>
  <c r="G198" i="5" s="1"/>
  <c r="H176" i="1"/>
  <c r="AB176" i="1" s="1"/>
  <c r="M174" i="2" s="1"/>
  <c r="I175" i="12" s="1"/>
  <c r="H169" i="1"/>
  <c r="AB169" i="1" s="1"/>
  <c r="M167" i="2" s="1"/>
  <c r="G171" i="5" s="1"/>
  <c r="H164" i="1"/>
  <c r="AB164" i="1" s="1"/>
  <c r="M162" i="2" s="1"/>
  <c r="G166" i="5" s="1"/>
  <c r="H112" i="1"/>
  <c r="AB112" i="1" s="1"/>
  <c r="M110" i="2" s="1"/>
  <c r="Q110" i="2" s="1"/>
  <c r="H100" i="1"/>
  <c r="AB100" i="1" s="1"/>
  <c r="M98" i="2" s="1"/>
  <c r="Q98" i="2" s="1"/>
  <c r="H96" i="1"/>
  <c r="AB96" i="1" s="1"/>
  <c r="M94" i="2" s="1"/>
  <c r="I95" i="12" s="1"/>
  <c r="H88" i="1"/>
  <c r="AB88" i="1" s="1"/>
  <c r="M86" i="2" s="1"/>
  <c r="G90" i="5" s="1"/>
  <c r="H76" i="1"/>
  <c r="AB76" i="1" s="1"/>
  <c r="M74" i="2" s="1"/>
  <c r="G78" i="5" s="1"/>
  <c r="H52" i="1"/>
  <c r="AB52" i="1" s="1"/>
  <c r="M50" i="2" s="1"/>
  <c r="G54" i="5" s="1"/>
  <c r="H41" i="1"/>
  <c r="AB41" i="1" s="1"/>
  <c r="M39" i="2" s="1"/>
  <c r="I40" i="12" s="1"/>
  <c r="H32" i="1"/>
  <c r="AB32" i="1" s="1"/>
  <c r="M30" i="2" s="1"/>
  <c r="Q30" i="2" s="1"/>
  <c r="H13" i="1"/>
  <c r="AB13" i="1" s="1"/>
  <c r="M11" i="2" s="1"/>
  <c r="Q11" i="2" s="1"/>
  <c r="F13" i="1"/>
  <c r="Q14" i="11"/>
  <c r="F19" i="1"/>
  <c r="AA19" i="1" s="1"/>
  <c r="D17" i="2" s="1"/>
  <c r="P17" i="2" s="1"/>
  <c r="Q20" i="11"/>
  <c r="E18" i="12" s="1"/>
  <c r="F24" i="1"/>
  <c r="Q25" i="11"/>
  <c r="F29" i="1"/>
  <c r="Q30" i="11"/>
  <c r="F35" i="1"/>
  <c r="Q36" i="11"/>
  <c r="Q65" i="11"/>
  <c r="F64" i="1"/>
  <c r="Q69" i="11"/>
  <c r="F68" i="1"/>
  <c r="H44" i="1"/>
  <c r="AB44" i="1" s="1"/>
  <c r="M42" i="2" s="1"/>
  <c r="Q42" i="2" s="1"/>
  <c r="R45" i="11"/>
  <c r="J43" i="12" s="1"/>
  <c r="H148" i="1"/>
  <c r="AB148" i="1" s="1"/>
  <c r="M146" i="2" s="1"/>
  <c r="G150" i="5" s="1"/>
  <c r="R149" i="11"/>
  <c r="J147" i="12" s="1"/>
  <c r="H156" i="1"/>
  <c r="AB156" i="1" s="1"/>
  <c r="M154" i="2" s="1"/>
  <c r="Q154" i="2" s="1"/>
  <c r="R157" i="11"/>
  <c r="J155" i="12" s="1"/>
  <c r="H212" i="1"/>
  <c r="AB212" i="1" s="1"/>
  <c r="M210" i="2" s="1"/>
  <c r="I211" i="12" s="1"/>
  <c r="R213" i="11"/>
  <c r="J211" i="12" s="1"/>
  <c r="H228" i="1"/>
  <c r="AB228" i="1" s="1"/>
  <c r="M226" i="2" s="1"/>
  <c r="G230" i="5" s="1"/>
  <c r="R229" i="11"/>
  <c r="P19" i="12"/>
  <c r="P133" i="11"/>
  <c r="R337" i="11"/>
  <c r="J335" i="12" s="1"/>
  <c r="R273" i="11"/>
  <c r="J271" i="12" s="1"/>
  <c r="R81" i="11"/>
  <c r="R17" i="11"/>
  <c r="J15" i="12" s="1"/>
  <c r="H180" i="1"/>
  <c r="AB180" i="1" s="1"/>
  <c r="M178" i="2" s="1"/>
  <c r="G182" i="5" s="1"/>
  <c r="H140" i="1"/>
  <c r="AB140" i="1" s="1"/>
  <c r="M138" i="2" s="1"/>
  <c r="G142" i="5" s="1"/>
  <c r="O7" i="12"/>
  <c r="R302" i="11"/>
  <c r="J300" i="12" s="1"/>
  <c r="R270" i="11"/>
  <c r="J268" i="12" s="1"/>
  <c r="R249" i="11"/>
  <c r="R226" i="11"/>
  <c r="R194" i="11"/>
  <c r="J192" i="12" s="1"/>
  <c r="R174" i="11"/>
  <c r="R162" i="11"/>
  <c r="R142" i="11"/>
  <c r="O27" i="12"/>
  <c r="D8" i="1"/>
  <c r="E7" i="12" s="1"/>
  <c r="Q92" i="11"/>
  <c r="Q85" i="11"/>
  <c r="Q62" i="11"/>
  <c r="Q56" i="11"/>
  <c r="Q51" i="11"/>
  <c r="Q46" i="11"/>
  <c r="Q38" i="11"/>
  <c r="Q32" i="11"/>
  <c r="E30" i="12" s="1"/>
  <c r="Q24" i="11"/>
  <c r="Q17" i="11"/>
  <c r="R330" i="11"/>
  <c r="J328" i="12" s="1"/>
  <c r="R310" i="11"/>
  <c r="J308" i="12" s="1"/>
  <c r="R298" i="11"/>
  <c r="R289" i="11"/>
  <c r="R278" i="11"/>
  <c r="R257" i="11"/>
  <c r="J255" i="12" s="1"/>
  <c r="R234" i="11"/>
  <c r="R214" i="11"/>
  <c r="R182" i="11"/>
  <c r="J180" i="12" s="1"/>
  <c r="R161" i="11"/>
  <c r="R129" i="11"/>
  <c r="R118" i="11"/>
  <c r="R106" i="11"/>
  <c r="J104" i="12" s="1"/>
  <c r="R86" i="11"/>
  <c r="R74" i="11"/>
  <c r="R22" i="11"/>
  <c r="H8" i="1"/>
  <c r="AB8" i="1" s="1"/>
  <c r="M6" i="2" s="1"/>
  <c r="G10" i="5" s="1"/>
  <c r="H316" i="1"/>
  <c r="AB316" i="1" s="1"/>
  <c r="M314" i="2" s="1"/>
  <c r="G318" i="5" s="1"/>
  <c r="H260" i="1"/>
  <c r="AB260" i="1" s="1"/>
  <c r="M258" i="2" s="1"/>
  <c r="G262" i="5" s="1"/>
  <c r="H252" i="1"/>
  <c r="AB252" i="1" s="1"/>
  <c r="M250" i="2" s="1"/>
  <c r="G254" i="5" s="1"/>
  <c r="H244" i="1"/>
  <c r="AB244" i="1" s="1"/>
  <c r="M242" i="2" s="1"/>
  <c r="G246" i="5" s="1"/>
  <c r="H204" i="1"/>
  <c r="AB204" i="1" s="1"/>
  <c r="M202" i="2" s="1"/>
  <c r="G206" i="5" s="1"/>
  <c r="H172" i="1"/>
  <c r="AB172" i="1" s="1"/>
  <c r="M170" i="2" s="1"/>
  <c r="G174" i="5" s="1"/>
  <c r="H108" i="1"/>
  <c r="AB108" i="1" s="1"/>
  <c r="M106" i="2" s="1"/>
  <c r="I107" i="12" s="1"/>
  <c r="F86" i="1"/>
  <c r="F78" i="1"/>
  <c r="AA78" i="1" s="1"/>
  <c r="D76" i="2" s="1"/>
  <c r="D80" i="5" s="1"/>
  <c r="F48" i="1"/>
  <c r="AA48" i="1" s="1"/>
  <c r="D46" i="2" s="1"/>
  <c r="H12" i="1"/>
  <c r="AB12" i="1" s="1"/>
  <c r="M10" i="2" s="1"/>
  <c r="I11" i="12" s="1"/>
  <c r="S215" i="11"/>
  <c r="P218" i="11"/>
  <c r="P221" i="11"/>
  <c r="P226" i="11"/>
  <c r="P229" i="11"/>
  <c r="S231" i="11"/>
  <c r="O231" i="12"/>
  <c r="O235" i="12"/>
  <c r="P237" i="11"/>
  <c r="P242" i="11"/>
  <c r="P245" i="11"/>
  <c r="S247" i="11"/>
  <c r="O248" i="12"/>
  <c r="P250" i="11"/>
  <c r="S254" i="11"/>
  <c r="S255" i="11"/>
  <c r="S256" i="11"/>
  <c r="S257" i="11"/>
  <c r="S258" i="11"/>
  <c r="S259" i="11"/>
  <c r="S260" i="11"/>
  <c r="S263" i="11"/>
  <c r="S264" i="11"/>
  <c r="S266" i="11"/>
  <c r="S267" i="11"/>
  <c r="S271" i="11"/>
  <c r="S272" i="11"/>
  <c r="P273" i="11"/>
  <c r="S274" i="11"/>
  <c r="S275" i="11"/>
  <c r="S276" i="11"/>
  <c r="O275" i="12"/>
  <c r="P277" i="11"/>
  <c r="S279" i="11"/>
  <c r="S280" i="11"/>
  <c r="S282" i="11"/>
  <c r="S283" i="11"/>
  <c r="S284" i="11"/>
  <c r="P285" i="11"/>
  <c r="S287" i="11"/>
  <c r="S288" i="11"/>
  <c r="S290" i="11"/>
  <c r="S291" i="11"/>
  <c r="S292" i="11"/>
  <c r="S293" i="11"/>
  <c r="O292" i="12"/>
  <c r="S295" i="11"/>
  <c r="S296" i="11"/>
  <c r="S298" i="11"/>
  <c r="S299" i="11"/>
  <c r="S300" i="11"/>
  <c r="P301" i="11"/>
  <c r="O301" i="12"/>
  <c r="S303" i="11"/>
  <c r="S304" i="11"/>
  <c r="P305" i="11"/>
  <c r="S306" i="11"/>
  <c r="S307" i="11"/>
  <c r="S308" i="11"/>
  <c r="O307" i="12"/>
  <c r="S310" i="11"/>
  <c r="S311" i="11"/>
  <c r="S312" i="11"/>
  <c r="S315" i="11"/>
  <c r="S316" i="11"/>
  <c r="P317" i="11"/>
  <c r="P318" i="11"/>
  <c r="S319" i="11"/>
  <c r="S320" i="11"/>
  <c r="S321" i="11"/>
  <c r="T322" i="11"/>
  <c r="T323" i="11"/>
  <c r="T324" i="11"/>
  <c r="T325" i="11"/>
  <c r="O324" i="12"/>
  <c r="Q327" i="11"/>
  <c r="T327" i="11"/>
  <c r="T328" i="11"/>
  <c r="T329" i="11"/>
  <c r="T330" i="11"/>
  <c r="T331" i="11"/>
  <c r="T334" i="11"/>
  <c r="Q335" i="11"/>
  <c r="T335" i="11"/>
  <c r="T336" i="11"/>
  <c r="P337" i="11"/>
  <c r="T337" i="11"/>
  <c r="T338" i="11"/>
  <c r="T339" i="11"/>
  <c r="T340" i="11"/>
  <c r="J19" i="12"/>
  <c r="J11" i="12"/>
  <c r="N6" i="19"/>
  <c r="J320" i="12"/>
  <c r="J296" i="12"/>
  <c r="J288" i="12"/>
  <c r="J280" i="12"/>
  <c r="J272" i="12"/>
  <c r="J264" i="12"/>
  <c r="J256" i="12"/>
  <c r="J243" i="12"/>
  <c r="J235" i="12"/>
  <c r="J227" i="12"/>
  <c r="J203" i="12"/>
  <c r="J195" i="12"/>
  <c r="J187" i="12"/>
  <c r="P25" i="12"/>
  <c r="P27" i="12"/>
  <c r="P47" i="12"/>
  <c r="P60" i="12"/>
  <c r="Q60" i="12" s="1"/>
  <c r="P72" i="12"/>
  <c r="P82" i="12"/>
  <c r="P85" i="12"/>
  <c r="P121" i="12"/>
  <c r="P144" i="12"/>
  <c r="P145" i="12"/>
  <c r="P167" i="12"/>
  <c r="P175" i="12"/>
  <c r="Q175" i="12" s="1"/>
  <c r="P181" i="12"/>
  <c r="P183" i="12"/>
  <c r="P191" i="12"/>
  <c r="P193" i="12"/>
  <c r="P195" i="12"/>
  <c r="P199" i="12"/>
  <c r="P201" i="12"/>
  <c r="P203" i="12"/>
  <c r="P205" i="12"/>
  <c r="P207" i="12"/>
  <c r="P213" i="12"/>
  <c r="P217" i="12"/>
  <c r="P227" i="12"/>
  <c r="P231" i="12"/>
  <c r="P234" i="12"/>
  <c r="P235" i="12"/>
  <c r="Q235" i="12" s="1"/>
  <c r="P237" i="12"/>
  <c r="P239" i="12"/>
  <c r="P240" i="12"/>
  <c r="P241" i="12"/>
  <c r="P249" i="12"/>
  <c r="P250" i="12"/>
  <c r="P255" i="12"/>
  <c r="P257" i="12"/>
  <c r="P259" i="12"/>
  <c r="P262" i="12"/>
  <c r="P266" i="12"/>
  <c r="P278" i="12"/>
  <c r="P294" i="12"/>
  <c r="P316" i="12"/>
  <c r="P325" i="12"/>
  <c r="P327" i="12"/>
  <c r="P328" i="12"/>
  <c r="P329" i="12"/>
  <c r="P333" i="12"/>
  <c r="P338" i="12"/>
  <c r="F7" i="8"/>
  <c r="Y39" i="11"/>
  <c r="Y71" i="11"/>
  <c r="Y103" i="11"/>
  <c r="Y125" i="11"/>
  <c r="Y165" i="11"/>
  <c r="Y180" i="11"/>
  <c r="Y184" i="11"/>
  <c r="Y191" i="11"/>
  <c r="Y198" i="11"/>
  <c r="Y204" i="11"/>
  <c r="Y213" i="11"/>
  <c r="Y217" i="11"/>
  <c r="Y225" i="11"/>
  <c r="Y227" i="11"/>
  <c r="Y238" i="11"/>
  <c r="Y248" i="11"/>
  <c r="Y255" i="11"/>
  <c r="Y260" i="11"/>
  <c r="Y262" i="11"/>
  <c r="Y267" i="11"/>
  <c r="Y269" i="11"/>
  <c r="Y271" i="11"/>
  <c r="Y273" i="11"/>
  <c r="Y275" i="11"/>
  <c r="Y279" i="11"/>
  <c r="Y281" i="11"/>
  <c r="Y285" i="11"/>
  <c r="Y288" i="11"/>
  <c r="Y302" i="11"/>
  <c r="Y307" i="11"/>
  <c r="Y309" i="11"/>
  <c r="Y312" i="11"/>
  <c r="Y315" i="11"/>
  <c r="Y317" i="11"/>
  <c r="Y319" i="11"/>
  <c r="Y321" i="11"/>
  <c r="Y324" i="11"/>
  <c r="Y328" i="11"/>
  <c r="Y332" i="11"/>
  <c r="Y337" i="11"/>
  <c r="P15" i="12"/>
  <c r="J16" i="12"/>
  <c r="J8" i="12"/>
  <c r="P7" i="12"/>
  <c r="Q7" i="12" s="1"/>
  <c r="Y145" i="11"/>
  <c r="Y179" i="11"/>
  <c r="Y182" i="11"/>
  <c r="Y190" i="11"/>
  <c r="Y192" i="11"/>
  <c r="Y206" i="11"/>
  <c r="Y210" i="11"/>
  <c r="Y212" i="11"/>
  <c r="Y214" i="11"/>
  <c r="Y216" i="11"/>
  <c r="Y224" i="11"/>
  <c r="Y226" i="11"/>
  <c r="Y231" i="11"/>
  <c r="Y235" i="11"/>
  <c r="Y240" i="11"/>
  <c r="Y247" i="11"/>
  <c r="Y249" i="11"/>
  <c r="Y263" i="11"/>
  <c r="Y270" i="11"/>
  <c r="Y272" i="11"/>
  <c r="Y274" i="11"/>
  <c r="Y277" i="11"/>
  <c r="Y278" i="11"/>
  <c r="Y283" i="11"/>
  <c r="Y287" i="11"/>
  <c r="Y293" i="11"/>
  <c r="Y297" i="11"/>
  <c r="Y299" i="11"/>
  <c r="Y301" i="11"/>
  <c r="Y304" i="11"/>
  <c r="Y308" i="11"/>
  <c r="Y310" i="11"/>
  <c r="Y311" i="11"/>
  <c r="Y313" i="11"/>
  <c r="Y322" i="11"/>
  <c r="Y325" i="11"/>
  <c r="Y333" i="11"/>
  <c r="Y336" i="11"/>
  <c r="P11" i="12"/>
  <c r="H6" i="19"/>
  <c r="Q131" i="2"/>
  <c r="I327" i="12"/>
  <c r="I296" i="12"/>
  <c r="Q335" i="2"/>
  <c r="I320" i="12"/>
  <c r="Q311" i="2"/>
  <c r="I304" i="12"/>
  <c r="I288" i="12"/>
  <c r="I279" i="12"/>
  <c r="Q38" i="2"/>
  <c r="I159" i="12"/>
  <c r="Q19" i="2"/>
  <c r="Q247" i="2"/>
  <c r="I263" i="12"/>
  <c r="Q287" i="2"/>
  <c r="Q299" i="2"/>
  <c r="I20" i="12"/>
  <c r="I39" i="12"/>
  <c r="G291" i="5"/>
  <c r="Q50" i="2"/>
  <c r="Q264" i="2"/>
  <c r="Q70" i="2"/>
  <c r="Q34" i="2"/>
  <c r="AA31" i="1"/>
  <c r="D29" i="2" s="1"/>
  <c r="D33" i="5" s="1"/>
  <c r="F33" i="5" s="1"/>
  <c r="AA24" i="1"/>
  <c r="D22" i="2" s="1"/>
  <c r="D26" i="5" s="1"/>
  <c r="AA62" i="1"/>
  <c r="D60" i="2" s="1"/>
  <c r="P60" i="2" s="1"/>
  <c r="AA141" i="1"/>
  <c r="D139" i="2" s="1"/>
  <c r="D143" i="5" s="1"/>
  <c r="I316" i="12"/>
  <c r="I60" i="12"/>
  <c r="J177" i="12"/>
  <c r="J193" i="12"/>
  <c r="J225" i="12"/>
  <c r="J241" i="12"/>
  <c r="J261" i="12"/>
  <c r="J301" i="12"/>
  <c r="J317" i="12"/>
  <c r="J329" i="12"/>
  <c r="J12" i="12"/>
  <c r="H7" i="8"/>
  <c r="G7" i="8"/>
  <c r="F67" i="7"/>
  <c r="E69" i="7" s="1"/>
  <c r="H26" i="7"/>
  <c r="I105" i="10"/>
  <c r="M105" i="10" s="1"/>
  <c r="AA232" i="1"/>
  <c r="D230" i="2" s="1"/>
  <c r="D234" i="5" s="1"/>
  <c r="AA71" i="1"/>
  <c r="D69" i="2" s="1"/>
  <c r="D73" i="5" s="1"/>
  <c r="F73" i="5" s="1"/>
  <c r="P78" i="11"/>
  <c r="AA61" i="1"/>
  <c r="D59" i="2" s="1"/>
  <c r="AA146" i="1"/>
  <c r="D144" i="2" s="1"/>
  <c r="D148" i="5" s="1"/>
  <c r="AA152" i="1"/>
  <c r="D150" i="2" s="1"/>
  <c r="D151" i="12" s="1"/>
  <c r="O25" i="11"/>
  <c r="P50" i="11"/>
  <c r="D236" i="1"/>
  <c r="AC236" i="1" s="1"/>
  <c r="AD236" i="1" s="1"/>
  <c r="E234" i="2" s="1"/>
  <c r="E238" i="5" s="1"/>
  <c r="AA130" i="1"/>
  <c r="D128" i="2" s="1"/>
  <c r="D132" i="5" s="1"/>
  <c r="AA20" i="1"/>
  <c r="D18" i="2" s="1"/>
  <c r="D22" i="5" s="1"/>
  <c r="S18" i="11"/>
  <c r="AA63" i="1"/>
  <c r="D61" i="2" s="1"/>
  <c r="D65" i="5" s="1"/>
  <c r="AA227" i="1"/>
  <c r="D225" i="2" s="1"/>
  <c r="D229" i="5" s="1"/>
  <c r="F229" i="5" s="1"/>
  <c r="P9" i="12"/>
  <c r="J244" i="12"/>
  <c r="O108" i="12"/>
  <c r="D45" i="1"/>
  <c r="AC45" i="1" s="1"/>
  <c r="AD45" i="1" s="1"/>
  <c r="E43" i="2" s="1"/>
  <c r="E47" i="5" s="1"/>
  <c r="O35" i="12"/>
  <c r="D36" i="1"/>
  <c r="AC36" i="1" s="1"/>
  <c r="AD36" i="1" s="1"/>
  <c r="E34" i="2" s="1"/>
  <c r="E38" i="5" s="1"/>
  <c r="D60" i="1"/>
  <c r="AC60" i="1" s="1"/>
  <c r="AD60" i="1" s="1"/>
  <c r="E58" i="2" s="1"/>
  <c r="E62" i="5" s="1"/>
  <c r="O59" i="12"/>
  <c r="S66" i="11"/>
  <c r="P66" i="11"/>
  <c r="O87" i="12"/>
  <c r="D88" i="1"/>
  <c r="AC88" i="1" s="1"/>
  <c r="AD88" i="1" s="1"/>
  <c r="E86" i="2" s="1"/>
  <c r="E90" i="5" s="1"/>
  <c r="D124" i="1"/>
  <c r="AC124" i="1" s="1"/>
  <c r="AD124" i="1" s="1"/>
  <c r="E122" i="2" s="1"/>
  <c r="E126" i="5" s="1"/>
  <c r="O123" i="12"/>
  <c r="D125" i="1"/>
  <c r="AC125" i="1" s="1"/>
  <c r="AD125" i="1" s="1"/>
  <c r="E123" i="2" s="1"/>
  <c r="E127" i="5" s="1"/>
  <c r="O124" i="12"/>
  <c r="O140" i="12"/>
  <c r="D141" i="1"/>
  <c r="AC141" i="1" s="1"/>
  <c r="AD141" i="1" s="1"/>
  <c r="E139" i="2" s="1"/>
  <c r="E143" i="5" s="1"/>
  <c r="S142" i="11"/>
  <c r="P142" i="11"/>
  <c r="D144" i="1"/>
  <c r="AC144" i="1" s="1"/>
  <c r="AD144" i="1" s="1"/>
  <c r="E142" i="2" s="1"/>
  <c r="E146" i="5" s="1"/>
  <c r="O143" i="12"/>
  <c r="S234" i="11"/>
  <c r="P234" i="11"/>
  <c r="D269" i="1"/>
  <c r="AC269" i="1" s="1"/>
  <c r="AD269" i="1" s="1"/>
  <c r="E267" i="2" s="1"/>
  <c r="E271" i="5" s="1"/>
  <c r="O268" i="12"/>
  <c r="O284" i="12"/>
  <c r="D285" i="1"/>
  <c r="AC285" i="1" s="1"/>
  <c r="AD285" i="1" s="1"/>
  <c r="E283" i="2" s="1"/>
  <c r="E287" i="5" s="1"/>
  <c r="P289" i="11"/>
  <c r="S289" i="11"/>
  <c r="D292" i="1"/>
  <c r="AC292" i="1" s="1"/>
  <c r="AD292" i="1" s="1"/>
  <c r="E290" i="2" s="1"/>
  <c r="E294" i="5" s="1"/>
  <c r="O291" i="12"/>
  <c r="S297" i="11"/>
  <c r="P297" i="11"/>
  <c r="O11" i="11"/>
  <c r="O49" i="12"/>
  <c r="P63" i="11"/>
  <c r="P207" i="11"/>
  <c r="I99" i="12"/>
  <c r="P282" i="11"/>
  <c r="P33" i="11"/>
  <c r="P13" i="11"/>
  <c r="J7" i="12"/>
  <c r="O67" i="12"/>
  <c r="O11" i="12"/>
  <c r="D33" i="1"/>
  <c r="AC33" i="1" s="1"/>
  <c r="AD33" i="1" s="1"/>
  <c r="E31" i="2" s="1"/>
  <c r="E35" i="5" s="1"/>
  <c r="P253" i="12"/>
  <c r="I260" i="12"/>
  <c r="Q227" i="2"/>
  <c r="O244" i="12"/>
  <c r="O48" i="12"/>
  <c r="D232" i="1"/>
  <c r="AC232" i="1" s="1"/>
  <c r="AD232" i="1" s="1"/>
  <c r="E230" i="2" s="1"/>
  <c r="S250" i="11"/>
  <c r="D13" i="1"/>
  <c r="AC13" i="1" s="1"/>
  <c r="AD13" i="1" s="1"/>
  <c r="E11" i="2" s="1"/>
  <c r="E15" i="5" s="1"/>
  <c r="O12" i="12"/>
  <c r="Q12" i="12" s="1"/>
  <c r="D16" i="1"/>
  <c r="AC16" i="1" s="1"/>
  <c r="AD16" i="1" s="1"/>
  <c r="E14" i="2" s="1"/>
  <c r="E18" i="5" s="1"/>
  <c r="O15" i="12"/>
  <c r="S25" i="11"/>
  <c r="P25" i="11"/>
  <c r="S26" i="11"/>
  <c r="P26" i="11"/>
  <c r="D40" i="1"/>
  <c r="AC40" i="1" s="1"/>
  <c r="AD40" i="1" s="1"/>
  <c r="E38" i="2" s="1"/>
  <c r="E42" i="5" s="1"/>
  <c r="O39" i="12"/>
  <c r="O47" i="12"/>
  <c r="D48" i="1"/>
  <c r="AC48" i="1" s="1"/>
  <c r="AD48" i="1" s="1"/>
  <c r="E46" i="2" s="1"/>
  <c r="E50" i="5" s="1"/>
  <c r="O63" i="12"/>
  <c r="D64" i="1"/>
  <c r="AC64" i="1" s="1"/>
  <c r="AD64" i="1" s="1"/>
  <c r="E62" i="2" s="1"/>
  <c r="E66" i="5" s="1"/>
  <c r="S65" i="11"/>
  <c r="P65" i="11"/>
  <c r="D81" i="1"/>
  <c r="AC81" i="1" s="1"/>
  <c r="AD81" i="1" s="1"/>
  <c r="E79" i="2" s="1"/>
  <c r="E83" i="5" s="1"/>
  <c r="O80" i="12"/>
  <c r="S82" i="11"/>
  <c r="P82" i="11"/>
  <c r="D93" i="1"/>
  <c r="AC93" i="1" s="1"/>
  <c r="AD93" i="1" s="1"/>
  <c r="E91" i="2" s="1"/>
  <c r="E95" i="5" s="1"/>
  <c r="O92" i="12"/>
  <c r="D104" i="1"/>
  <c r="AC104" i="1" s="1"/>
  <c r="AD104" i="1" s="1"/>
  <c r="E102" i="2" s="1"/>
  <c r="E106" i="5" s="1"/>
  <c r="O103" i="12"/>
  <c r="D128" i="1"/>
  <c r="AC128" i="1" s="1"/>
  <c r="AD128" i="1" s="1"/>
  <c r="E126" i="2" s="1"/>
  <c r="E130" i="5" s="1"/>
  <c r="O127" i="12"/>
  <c r="D129" i="1"/>
  <c r="AC129" i="1" s="1"/>
  <c r="AD129" i="1" s="1"/>
  <c r="E127" i="2" s="1"/>
  <c r="E131" i="5" s="1"/>
  <c r="O128" i="12"/>
  <c r="O223" i="12"/>
  <c r="D224" i="1"/>
  <c r="AC224" i="1" s="1"/>
  <c r="AD224" i="1" s="1"/>
  <c r="E222" i="2" s="1"/>
  <c r="E226" i="5" s="1"/>
  <c r="S265" i="11"/>
  <c r="P265" i="11"/>
  <c r="P55" i="11"/>
  <c r="O85" i="12"/>
  <c r="P131" i="11"/>
  <c r="P171" i="11"/>
  <c r="P235" i="11"/>
  <c r="P315" i="11"/>
  <c r="O17" i="11"/>
  <c r="P77" i="11"/>
  <c r="P41" i="11"/>
  <c r="O212" i="12"/>
  <c r="O75" i="12"/>
  <c r="O23" i="12"/>
  <c r="D276" i="1"/>
  <c r="AC276" i="1" s="1"/>
  <c r="AD276" i="1" s="1"/>
  <c r="E274" i="2" s="1"/>
  <c r="E278" i="5" s="1"/>
  <c r="D249" i="1"/>
  <c r="AC249" i="1" s="1"/>
  <c r="AD249" i="1" s="1"/>
  <c r="E247" i="2" s="1"/>
  <c r="E251" i="5" s="1"/>
  <c r="D176" i="1"/>
  <c r="AC176" i="1" s="1"/>
  <c r="AD176" i="1" s="1"/>
  <c r="E174" i="2" s="1"/>
  <c r="E178" i="5" s="1"/>
  <c r="D61" i="1"/>
  <c r="AC61" i="1" s="1"/>
  <c r="AD61" i="1" s="1"/>
  <c r="E59" i="2" s="1"/>
  <c r="E63" i="5" s="1"/>
  <c r="S110" i="11"/>
  <c r="AA69" i="1"/>
  <c r="D67" i="2" s="1"/>
  <c r="D71" i="5" s="1"/>
  <c r="O89" i="11"/>
  <c r="E88" i="1"/>
  <c r="S89" i="11"/>
  <c r="S92" i="11"/>
  <c r="S93" i="11"/>
  <c r="P94" i="11"/>
  <c r="O95" i="12"/>
  <c r="S97" i="11"/>
  <c r="S98" i="11"/>
  <c r="S99" i="11"/>
  <c r="S100" i="11"/>
  <c r="S101" i="11"/>
  <c r="S104" i="11"/>
  <c r="S105" i="11"/>
  <c r="S106" i="11"/>
  <c r="S107" i="11"/>
  <c r="S108" i="11"/>
  <c r="S109" i="11"/>
  <c r="S111" i="11"/>
  <c r="S113" i="11"/>
  <c r="S114" i="11"/>
  <c r="O115" i="12"/>
  <c r="S118" i="11"/>
  <c r="P121" i="11"/>
  <c r="P122" i="11"/>
  <c r="S125" i="11"/>
  <c r="S126" i="11"/>
  <c r="P129" i="11"/>
  <c r="P130" i="11"/>
  <c r="S132" i="11"/>
  <c r="S136" i="11"/>
  <c r="S137" i="11"/>
  <c r="S139" i="11"/>
  <c r="S140" i="11"/>
  <c r="S141" i="11"/>
  <c r="S143" i="11"/>
  <c r="S144" i="11"/>
  <c r="S145" i="11"/>
  <c r="S146" i="11"/>
  <c r="S148" i="11"/>
  <c r="O147" i="12"/>
  <c r="S149" i="11"/>
  <c r="S152" i="11"/>
  <c r="S154" i="11"/>
  <c r="S156" i="11"/>
  <c r="O155" i="12"/>
  <c r="E156" i="1"/>
  <c r="E155" i="12" s="1"/>
  <c r="P157" i="11"/>
  <c r="S158" i="11"/>
  <c r="O160" i="12"/>
  <c r="E161" i="1"/>
  <c r="AA161" i="1" s="1"/>
  <c r="D159" i="2" s="1"/>
  <c r="S162" i="11"/>
  <c r="S163" i="11"/>
  <c r="S164" i="11"/>
  <c r="S168" i="11"/>
  <c r="S170" i="11"/>
  <c r="S171" i="11"/>
  <c r="S172" i="11"/>
  <c r="P173" i="11"/>
  <c r="S175" i="11"/>
  <c r="S176" i="11"/>
  <c r="S177" i="11"/>
  <c r="S180" i="11"/>
  <c r="P181" i="11"/>
  <c r="S187" i="11"/>
  <c r="S188" i="11"/>
  <c r="S192" i="11"/>
  <c r="S193" i="11"/>
  <c r="S195" i="11"/>
  <c r="S196" i="11"/>
  <c r="O195" i="12"/>
  <c r="S198" i="11"/>
  <c r="S199" i="11"/>
  <c r="S200" i="11"/>
  <c r="S202" i="11"/>
  <c r="S203" i="11"/>
  <c r="S204" i="11"/>
  <c r="S207" i="11"/>
  <c r="S208" i="11"/>
  <c r="S211" i="11"/>
  <c r="S212" i="11"/>
  <c r="O211" i="12"/>
  <c r="S213" i="11"/>
  <c r="P214" i="11"/>
  <c r="O215" i="12"/>
  <c r="P217" i="11"/>
  <c r="O216" i="12"/>
  <c r="E217" i="1"/>
  <c r="E216" i="12" s="1"/>
  <c r="S218" i="11"/>
  <c r="S220" i="11"/>
  <c r="S222" i="11"/>
  <c r="S223" i="11"/>
  <c r="S225" i="11"/>
  <c r="O224" i="12"/>
  <c r="E225" i="1"/>
  <c r="E224" i="12" s="1"/>
  <c r="S226" i="11"/>
  <c r="S227" i="11"/>
  <c r="S229" i="11"/>
  <c r="S230" i="11"/>
  <c r="P233" i="11"/>
  <c r="S235" i="11"/>
  <c r="S236" i="11"/>
  <c r="P238" i="11"/>
  <c r="S239" i="11"/>
  <c r="S240" i="11"/>
  <c r="S241" i="11"/>
  <c r="S243" i="11"/>
  <c r="S244" i="11"/>
  <c r="S245" i="11"/>
  <c r="P246" i="11"/>
  <c r="S248" i="11"/>
  <c r="P249" i="11"/>
  <c r="AA251" i="1"/>
  <c r="D249" i="2" s="1"/>
  <c r="D253" i="5" s="1"/>
  <c r="AA284" i="1"/>
  <c r="D282" i="2" s="1"/>
  <c r="D283" i="12" s="1"/>
  <c r="Q11" i="11"/>
  <c r="E9" i="12" s="1"/>
  <c r="F10" i="1"/>
  <c r="AA10" i="1" s="1"/>
  <c r="D8" i="2" s="1"/>
  <c r="D12" i="5" s="1"/>
  <c r="F12" i="5" s="1"/>
  <c r="O64" i="12"/>
  <c r="Q83" i="11"/>
  <c r="E81" i="12" s="1"/>
  <c r="F82" i="1"/>
  <c r="AA82" i="1" s="1"/>
  <c r="D80" i="2" s="1"/>
  <c r="S9" i="11"/>
  <c r="T254" i="11"/>
  <c r="Q255" i="11"/>
  <c r="E253" i="12" s="1"/>
  <c r="T255" i="11"/>
  <c r="T256" i="11"/>
  <c r="T257" i="11"/>
  <c r="T259" i="11"/>
  <c r="T264" i="11"/>
  <c r="O12" i="11"/>
  <c r="J80" i="12"/>
  <c r="J92" i="12"/>
  <c r="J95" i="12"/>
  <c r="J100" i="12"/>
  <c r="J139" i="12"/>
  <c r="J175" i="12"/>
  <c r="J176" i="12"/>
  <c r="J179" i="12"/>
  <c r="J183" i="12"/>
  <c r="J184" i="12"/>
  <c r="J191" i="12"/>
  <c r="J196" i="12"/>
  <c r="J199" i="12"/>
  <c r="J204" i="12"/>
  <c r="J207" i="12"/>
  <c r="J208" i="12"/>
  <c r="J212" i="12"/>
  <c r="J216" i="12"/>
  <c r="J219" i="12"/>
  <c r="J223" i="12"/>
  <c r="J224" i="12"/>
  <c r="J228" i="12"/>
  <c r="J231" i="12"/>
  <c r="J240" i="12"/>
  <c r="J247" i="12"/>
  <c r="J251" i="12"/>
  <c r="J252" i="12"/>
  <c r="J259" i="12"/>
  <c r="J263" i="12"/>
  <c r="J267" i="12"/>
  <c r="J275" i="12"/>
  <c r="J276" i="12"/>
  <c r="J279" i="12"/>
  <c r="J283" i="12"/>
  <c r="J284" i="12"/>
  <c r="J295" i="12"/>
  <c r="J299" i="12"/>
  <c r="J304" i="12"/>
  <c r="J307" i="12"/>
  <c r="J312" i="12"/>
  <c r="J315" i="12"/>
  <c r="J316" i="12"/>
  <c r="J319" i="12"/>
  <c r="AA147" i="1"/>
  <c r="D145" i="2" s="1"/>
  <c r="AA43" i="1"/>
  <c r="D41" i="2" s="1"/>
  <c r="D45" i="5" s="1"/>
  <c r="F45" i="5" s="1"/>
  <c r="AA139" i="1"/>
  <c r="D137" i="2" s="1"/>
  <c r="D141" i="5" s="1"/>
  <c r="F141" i="5" s="1"/>
  <c r="AA153" i="1"/>
  <c r="D151" i="2" s="1"/>
  <c r="D155" i="5" s="1"/>
  <c r="AA244" i="1"/>
  <c r="D242" i="2" s="1"/>
  <c r="J331" i="12"/>
  <c r="Y19" i="11"/>
  <c r="G307" i="5"/>
  <c r="I16" i="12"/>
  <c r="I335" i="12"/>
  <c r="I208" i="12"/>
  <c r="Q127" i="2"/>
  <c r="J327" i="12"/>
  <c r="J311" i="12"/>
  <c r="J40" i="12"/>
  <c r="AA289" i="1"/>
  <c r="D287" i="2" s="1"/>
  <c r="D291" i="5" s="1"/>
  <c r="AA260" i="1"/>
  <c r="D258" i="2" s="1"/>
  <c r="D262" i="5" s="1"/>
  <c r="AA131" i="1"/>
  <c r="D129" i="2" s="1"/>
  <c r="P129" i="2" s="1"/>
  <c r="AA72" i="1"/>
  <c r="D70" i="2" s="1"/>
  <c r="AA25" i="1"/>
  <c r="D23" i="2" s="1"/>
  <c r="D27" i="5" s="1"/>
  <c r="I103" i="12"/>
  <c r="AA135" i="1"/>
  <c r="D133" i="2" s="1"/>
  <c r="D137" i="5" s="1"/>
  <c r="F137" i="5" s="1"/>
  <c r="AA52" i="1"/>
  <c r="D50" i="2" s="1"/>
  <c r="D54" i="5" s="1"/>
  <c r="Y9" i="11"/>
  <c r="AA142" i="1"/>
  <c r="D140" i="2" s="1"/>
  <c r="P14" i="12"/>
  <c r="U6" i="11"/>
  <c r="Q295" i="2"/>
  <c r="P247" i="12"/>
  <c r="AA249" i="1"/>
  <c r="D247" i="2" s="1"/>
  <c r="AA143" i="1"/>
  <c r="D141" i="2" s="1"/>
  <c r="P141" i="2" s="1"/>
  <c r="AA144" i="1"/>
  <c r="D142" i="2" s="1"/>
  <c r="AA155" i="1"/>
  <c r="D153" i="2" s="1"/>
  <c r="D157" i="5" s="1"/>
  <c r="AA179" i="1"/>
  <c r="D177" i="2" s="1"/>
  <c r="D181" i="5" s="1"/>
  <c r="AA243" i="1"/>
  <c r="D241" i="2" s="1"/>
  <c r="D245" i="5" s="1"/>
  <c r="F245" i="5" s="1"/>
  <c r="AA246" i="1"/>
  <c r="D244" i="2" s="1"/>
  <c r="D248" i="5" s="1"/>
  <c r="F248" i="5" s="1"/>
  <c r="Y331" i="11"/>
  <c r="P13" i="12"/>
  <c r="I92" i="12"/>
  <c r="J332" i="12"/>
  <c r="J324" i="12"/>
  <c r="AA306" i="1"/>
  <c r="D304" i="2" s="1"/>
  <c r="AA132" i="1"/>
  <c r="D130" i="2" s="1"/>
  <c r="D134" i="5" s="1"/>
  <c r="F134" i="5" s="1"/>
  <c r="Y340" i="11"/>
  <c r="AA45" i="1"/>
  <c r="D43" i="2" s="1"/>
  <c r="Y205" i="11"/>
  <c r="P10" i="12"/>
  <c r="AA95" i="1"/>
  <c r="D93" i="2" s="1"/>
  <c r="D97" i="5" s="1"/>
  <c r="AA104" i="1"/>
  <c r="D102" i="2" s="1"/>
  <c r="D106" i="5" s="1"/>
  <c r="AA140" i="1"/>
  <c r="D138" i="2" s="1"/>
  <c r="D142" i="5" s="1"/>
  <c r="F142" i="5" s="1"/>
  <c r="Q15" i="2"/>
  <c r="P204" i="12"/>
  <c r="P313" i="12"/>
  <c r="P18" i="12"/>
  <c r="P265" i="12"/>
  <c r="J188" i="12"/>
  <c r="AA235" i="1"/>
  <c r="D233" i="2" s="1"/>
  <c r="D237" i="5" s="1"/>
  <c r="F237" i="5" s="1"/>
  <c r="AA224" i="1"/>
  <c r="D222" i="2" s="1"/>
  <c r="D226" i="5" s="1"/>
  <c r="AA91" i="1"/>
  <c r="D89" i="2" s="1"/>
  <c r="P89" i="2" s="1"/>
  <c r="AA83" i="1"/>
  <c r="D81" i="2" s="1"/>
  <c r="D85" i="5" s="1"/>
  <c r="F85" i="5" s="1"/>
  <c r="AA79" i="1"/>
  <c r="D77" i="2" s="1"/>
  <c r="D81" i="5" s="1"/>
  <c r="AA77" i="1"/>
  <c r="D75" i="2" s="1"/>
  <c r="AA65" i="1"/>
  <c r="D63" i="2" s="1"/>
  <c r="G311" i="5"/>
  <c r="Q307" i="2"/>
  <c r="O254" i="11"/>
  <c r="D253" i="1"/>
  <c r="AC253" i="1" s="1"/>
  <c r="AD253" i="1" s="1"/>
  <c r="E251" i="2" s="1"/>
  <c r="E255" i="5" s="1"/>
  <c r="O256" i="12"/>
  <c r="D257" i="1"/>
  <c r="AC257" i="1" s="1"/>
  <c r="AD257" i="1" s="1"/>
  <c r="E255" i="2" s="1"/>
  <c r="E259" i="5" s="1"/>
  <c r="O259" i="12"/>
  <c r="D260" i="1"/>
  <c r="AC260" i="1" s="1"/>
  <c r="AD260" i="1" s="1"/>
  <c r="E258" i="2" s="1"/>
  <c r="S261" i="11"/>
  <c r="P261" i="11"/>
  <c r="D264" i="1"/>
  <c r="AC264" i="1" s="1"/>
  <c r="AD264" i="1" s="1"/>
  <c r="E262" i="2" s="1"/>
  <c r="E266" i="5" s="1"/>
  <c r="O263" i="12"/>
  <c r="O264" i="12"/>
  <c r="D265" i="1"/>
  <c r="AC265" i="1" s="1"/>
  <c r="AD265" i="1" s="1"/>
  <c r="E263" i="2" s="1"/>
  <c r="E267" i="5" s="1"/>
  <c r="S270" i="11"/>
  <c r="P270" i="11"/>
  <c r="D277" i="1"/>
  <c r="AC277" i="1" s="1"/>
  <c r="AD277" i="1" s="1"/>
  <c r="E275" i="2" s="1"/>
  <c r="E279" i="5" s="1"/>
  <c r="O276" i="12"/>
  <c r="S278" i="11"/>
  <c r="P278" i="11"/>
  <c r="O280" i="12"/>
  <c r="D281" i="1"/>
  <c r="AC281" i="1" s="1"/>
  <c r="AD281" i="1" s="1"/>
  <c r="E279" i="2" s="1"/>
  <c r="E283" i="5" s="1"/>
  <c r="S286" i="11"/>
  <c r="P286" i="11"/>
  <c r="D288" i="1"/>
  <c r="AC288" i="1" s="1"/>
  <c r="AD288" i="1" s="1"/>
  <c r="E286" i="2" s="1"/>
  <c r="E290" i="5" s="1"/>
  <c r="O287" i="12"/>
  <c r="O288" i="12"/>
  <c r="D289" i="1"/>
  <c r="AC289" i="1" s="1"/>
  <c r="AD289" i="1" s="1"/>
  <c r="E287" i="2" s="1"/>
  <c r="P294" i="11"/>
  <c r="S294" i="11"/>
  <c r="Q340" i="11"/>
  <c r="G339" i="1"/>
  <c r="AA339" i="1" s="1"/>
  <c r="D337" i="2" s="1"/>
  <c r="R35" i="11"/>
  <c r="J33" i="12" s="1"/>
  <c r="H34" i="1"/>
  <c r="AB34" i="1" s="1"/>
  <c r="M32" i="2" s="1"/>
  <c r="I33" i="12" s="1"/>
  <c r="P43" i="11"/>
  <c r="H42" i="1"/>
  <c r="AB42" i="1" s="1"/>
  <c r="M40" i="2" s="1"/>
  <c r="G44" i="5" s="1"/>
  <c r="P279" i="11"/>
  <c r="P295" i="11"/>
  <c r="R323" i="11"/>
  <c r="J321" i="12" s="1"/>
  <c r="H322" i="1"/>
  <c r="AB322" i="1" s="1"/>
  <c r="M320" i="2" s="1"/>
  <c r="G324" i="5" s="1"/>
  <c r="P174" i="12"/>
  <c r="Y176" i="11"/>
  <c r="Y186" i="11"/>
  <c r="P184" i="12"/>
  <c r="Y199" i="11"/>
  <c r="P197" i="12"/>
  <c r="Y211" i="11"/>
  <c r="P209" i="12"/>
  <c r="Y220" i="11"/>
  <c r="P218" i="12"/>
  <c r="Y223" i="11"/>
  <c r="P221" i="12"/>
  <c r="Y234" i="11"/>
  <c r="P232" i="12"/>
  <c r="Y265" i="11"/>
  <c r="P263" i="12"/>
  <c r="Q263" i="12" s="1"/>
  <c r="Y294" i="11"/>
  <c r="P292" i="12"/>
  <c r="P293" i="12"/>
  <c r="Y295" i="11"/>
  <c r="P314" i="12"/>
  <c r="Y316" i="11"/>
  <c r="P337" i="12"/>
  <c r="Y339" i="11"/>
  <c r="Y229" i="11"/>
  <c r="P311" i="12"/>
  <c r="P270" i="12"/>
  <c r="P293" i="11"/>
  <c r="P258" i="11"/>
  <c r="E194" i="12"/>
  <c r="E186" i="12"/>
  <c r="E147" i="12"/>
  <c r="E99" i="12"/>
  <c r="O335" i="12"/>
  <c r="O261" i="12"/>
  <c r="AA216" i="1"/>
  <c r="D214" i="2" s="1"/>
  <c r="D218" i="5" s="1"/>
  <c r="AA76" i="1"/>
  <c r="D74" i="2" s="1"/>
  <c r="S277" i="11"/>
  <c r="AA239" i="1"/>
  <c r="D237" i="2" s="1"/>
  <c r="P237" i="2" s="1"/>
  <c r="P335" i="12"/>
  <c r="P334" i="12"/>
  <c r="P290" i="11"/>
  <c r="P274" i="11"/>
  <c r="O313" i="12"/>
  <c r="O279" i="12"/>
  <c r="O260" i="12"/>
  <c r="O65" i="12"/>
  <c r="D293" i="1"/>
  <c r="AC293" i="1" s="1"/>
  <c r="AD293" i="1" s="1"/>
  <c r="E291" i="2" s="1"/>
  <c r="E295" i="5" s="1"/>
  <c r="S262" i="11"/>
  <c r="P262" i="11"/>
  <c r="D268" i="1"/>
  <c r="AC268" i="1" s="1"/>
  <c r="AD268" i="1" s="1"/>
  <c r="E266" i="2" s="1"/>
  <c r="E270" i="5" s="1"/>
  <c r="O267" i="12"/>
  <c r="O272" i="12"/>
  <c r="D273" i="1"/>
  <c r="AC273" i="1" s="1"/>
  <c r="AD273" i="1" s="1"/>
  <c r="E271" i="2" s="1"/>
  <c r="E275" i="5" s="1"/>
  <c r="S281" i="11"/>
  <c r="P281" i="11"/>
  <c r="D296" i="1"/>
  <c r="AC296" i="1" s="1"/>
  <c r="AD296" i="1" s="1"/>
  <c r="E294" i="2" s="1"/>
  <c r="E298" i="5" s="1"/>
  <c r="O295" i="12"/>
  <c r="O296" i="12"/>
  <c r="D297" i="1"/>
  <c r="AC297" i="1" s="1"/>
  <c r="AD297" i="1" s="1"/>
  <c r="E295" i="2" s="1"/>
  <c r="E299" i="5" s="1"/>
  <c r="D301" i="1"/>
  <c r="AC301" i="1" s="1"/>
  <c r="AD301" i="1" s="1"/>
  <c r="E299" i="2" s="1"/>
  <c r="E303" i="5" s="1"/>
  <c r="O300" i="12"/>
  <c r="S302" i="11"/>
  <c r="P302" i="11"/>
  <c r="Q324" i="11"/>
  <c r="E322" i="12" s="1"/>
  <c r="G323" i="1"/>
  <c r="AA323" i="1" s="1"/>
  <c r="D321" i="2" s="1"/>
  <c r="O129" i="12"/>
  <c r="H130" i="1"/>
  <c r="AB130" i="1" s="1"/>
  <c r="M128" i="2" s="1"/>
  <c r="I129" i="12" s="1"/>
  <c r="R131" i="11"/>
  <c r="J129" i="12" s="1"/>
  <c r="R135" i="11"/>
  <c r="J133" i="12" s="1"/>
  <c r="H134" i="1"/>
  <c r="AB134" i="1" s="1"/>
  <c r="M132" i="2" s="1"/>
  <c r="I133" i="12" s="1"/>
  <c r="P179" i="12"/>
  <c r="Y181" i="11"/>
  <c r="Y187" i="11"/>
  <c r="P185" i="12"/>
  <c r="P187" i="12"/>
  <c r="Y189" i="11"/>
  <c r="Y200" i="11"/>
  <c r="P198" i="12"/>
  <c r="P219" i="12"/>
  <c r="Y221" i="11"/>
  <c r="P243" i="12"/>
  <c r="Y245" i="11"/>
  <c r="P251" i="12"/>
  <c r="Y253" i="11"/>
  <c r="Y282" i="11"/>
  <c r="P280" i="12"/>
  <c r="Y289" i="11"/>
  <c r="P287" i="12"/>
  <c r="P303" i="12"/>
  <c r="Y305" i="11"/>
  <c r="Y334" i="11"/>
  <c r="P332" i="12"/>
  <c r="Q303" i="2"/>
  <c r="P211" i="12"/>
  <c r="Q218" i="2"/>
  <c r="I219" i="12"/>
  <c r="P327" i="11"/>
  <c r="E198" i="12"/>
  <c r="E190" i="12"/>
  <c r="E139" i="12"/>
  <c r="O283" i="12"/>
  <c r="G335" i="5"/>
  <c r="I332" i="12"/>
  <c r="O249" i="12"/>
  <c r="P326" i="12"/>
  <c r="Y237" i="11"/>
  <c r="P331" i="12"/>
  <c r="Y242" i="11"/>
  <c r="Y197" i="11"/>
  <c r="Y261" i="11"/>
  <c r="P223" i="12"/>
  <c r="P196" i="12"/>
  <c r="P298" i="11"/>
  <c r="P266" i="11"/>
  <c r="O271" i="12"/>
  <c r="E108" i="1"/>
  <c r="AA108" i="1" s="1"/>
  <c r="D106" i="2" s="1"/>
  <c r="O107" i="12"/>
  <c r="E136" i="1"/>
  <c r="AA136" i="1" s="1"/>
  <c r="D134" i="2" s="1"/>
  <c r="D138" i="5" s="1"/>
  <c r="F138" i="5" s="1"/>
  <c r="O135" i="12"/>
  <c r="AA167" i="1"/>
  <c r="D165" i="2" s="1"/>
  <c r="P165" i="2" s="1"/>
  <c r="E206" i="1"/>
  <c r="AA206" i="1" s="1"/>
  <c r="D204" i="2" s="1"/>
  <c r="O205" i="12"/>
  <c r="O209" i="12"/>
  <c r="E248" i="1"/>
  <c r="E247" i="12" s="1"/>
  <c r="O247" i="12"/>
  <c r="S285" i="11"/>
  <c r="Q19" i="12"/>
  <c r="I308" i="12"/>
  <c r="Q78" i="2"/>
  <c r="AA292" i="1"/>
  <c r="D290" i="2" s="1"/>
  <c r="D294" i="5" s="1"/>
  <c r="P241" i="11"/>
  <c r="P225" i="11"/>
  <c r="P158" i="11"/>
  <c r="P149" i="11"/>
  <c r="P141" i="11"/>
  <c r="P114" i="11"/>
  <c r="P105" i="11"/>
  <c r="J323" i="12"/>
  <c r="J287" i="12"/>
  <c r="J232" i="12"/>
  <c r="J200" i="12"/>
  <c r="O243" i="12"/>
  <c r="O228" i="12"/>
  <c r="O139" i="12"/>
  <c r="O112" i="12"/>
  <c r="O99" i="12"/>
  <c r="E250" i="1"/>
  <c r="AA250" i="1" s="1"/>
  <c r="D248" i="2" s="1"/>
  <c r="AA133" i="1"/>
  <c r="D131" i="2" s="1"/>
  <c r="D135" i="5" s="1"/>
  <c r="F9" i="1"/>
  <c r="O8" i="12"/>
  <c r="Q8" i="12" s="1"/>
  <c r="F14" i="1"/>
  <c r="AA14" i="1" s="1"/>
  <c r="D12" i="2" s="1"/>
  <c r="D16" i="5" s="1"/>
  <c r="F16" i="5" s="1"/>
  <c r="Q15" i="11"/>
  <c r="E13" i="12" s="1"/>
  <c r="F17" i="1"/>
  <c r="AA17" i="1" s="1"/>
  <c r="D15" i="2" s="1"/>
  <c r="O16" i="12"/>
  <c r="Q16" i="12" s="1"/>
  <c r="F18" i="1"/>
  <c r="AA18" i="1" s="1"/>
  <c r="D16" i="2" s="1"/>
  <c r="Q19" i="11"/>
  <c r="E17" i="12" s="1"/>
  <c r="F22" i="1"/>
  <c r="AA22" i="1" s="1"/>
  <c r="D20" i="2" s="1"/>
  <c r="D24" i="5" s="1"/>
  <c r="F24" i="5" s="1"/>
  <c r="Q23" i="11"/>
  <c r="E21" i="12" s="1"/>
  <c r="F26" i="1"/>
  <c r="Q27" i="11"/>
  <c r="F30" i="1"/>
  <c r="AA30" i="1" s="1"/>
  <c r="D28" i="2" s="1"/>
  <c r="Q31" i="11"/>
  <c r="F32" i="1"/>
  <c r="O31" i="12"/>
  <c r="Q40" i="11"/>
  <c r="F39" i="1"/>
  <c r="AA39" i="1" s="1"/>
  <c r="D37" i="2" s="1"/>
  <c r="O43" i="12"/>
  <c r="Q45" i="11"/>
  <c r="O55" i="12"/>
  <c r="Q57" i="11"/>
  <c r="E55" i="12" s="1"/>
  <c r="F56" i="1"/>
  <c r="Q61" i="11"/>
  <c r="F60" i="1"/>
  <c r="AA60" i="1" s="1"/>
  <c r="D58" i="2" s="1"/>
  <c r="Q75" i="11"/>
  <c r="F74" i="1"/>
  <c r="O79" i="12"/>
  <c r="F80" i="1"/>
  <c r="AA80" i="1" s="1"/>
  <c r="D78" i="2" s="1"/>
  <c r="O78" i="2" s="1"/>
  <c r="E145" i="1"/>
  <c r="AA145" i="1" s="1"/>
  <c r="D143" i="2" s="1"/>
  <c r="P143" i="2" s="1"/>
  <c r="O144" i="12"/>
  <c r="O181" i="12"/>
  <c r="AA200" i="1"/>
  <c r="D198" i="2" s="1"/>
  <c r="D202" i="5" s="1"/>
  <c r="AA211" i="1"/>
  <c r="D209" i="2" s="1"/>
  <c r="E220" i="1"/>
  <c r="AA220" i="1" s="1"/>
  <c r="D218" i="2" s="1"/>
  <c r="O218" i="2" s="1"/>
  <c r="O219" i="12"/>
  <c r="E228" i="1"/>
  <c r="E227" i="12" s="1"/>
  <c r="O227" i="12"/>
  <c r="E240" i="1"/>
  <c r="O239" i="12"/>
  <c r="O269" i="11"/>
  <c r="E268" i="1"/>
  <c r="I303" i="12"/>
  <c r="Q283" i="2"/>
  <c r="I276" i="12"/>
  <c r="Q267" i="2"/>
  <c r="I236" i="12"/>
  <c r="I224" i="12"/>
  <c r="P230" i="11"/>
  <c r="P222" i="11"/>
  <c r="P146" i="11"/>
  <c r="P137" i="11"/>
  <c r="P113" i="11"/>
  <c r="P101" i="11"/>
  <c r="P93" i="11"/>
  <c r="E45" i="12"/>
  <c r="J336" i="12"/>
  <c r="J292" i="12"/>
  <c r="J260" i="12"/>
  <c r="O240" i="12"/>
  <c r="O131" i="12"/>
  <c r="O111" i="12"/>
  <c r="O96" i="12"/>
  <c r="AA219" i="1"/>
  <c r="D217" i="2" s="1"/>
  <c r="D218" i="12" s="1"/>
  <c r="E116" i="1"/>
  <c r="AA116" i="1" s="1"/>
  <c r="D114" i="2" s="1"/>
  <c r="E96" i="1"/>
  <c r="AA236" i="1"/>
  <c r="D234" i="2" s="1"/>
  <c r="AA230" i="1"/>
  <c r="D228" i="2" s="1"/>
  <c r="D232" i="5" s="1"/>
  <c r="F232" i="5" s="1"/>
  <c r="AA228" i="1"/>
  <c r="D226" i="2" s="1"/>
  <c r="D230" i="5" s="1"/>
  <c r="AA75" i="1"/>
  <c r="D73" i="2" s="1"/>
  <c r="D77" i="5" s="1"/>
  <c r="F77" i="5" s="1"/>
  <c r="AA67" i="1"/>
  <c r="D65" i="2" s="1"/>
  <c r="P65" i="2" s="1"/>
  <c r="T11" i="11"/>
  <c r="T12" i="11"/>
  <c r="T29" i="11"/>
  <c r="T33" i="11"/>
  <c r="T35" i="11"/>
  <c r="T37" i="11"/>
  <c r="T45" i="11"/>
  <c r="T47" i="11"/>
  <c r="T49" i="11"/>
  <c r="T55" i="11"/>
  <c r="T61" i="11"/>
  <c r="T63" i="11"/>
  <c r="T73" i="11"/>
  <c r="T77" i="11"/>
  <c r="T79" i="11"/>
  <c r="T83" i="11"/>
  <c r="O151" i="12"/>
  <c r="J291" i="12"/>
  <c r="J236" i="12"/>
  <c r="J220" i="12"/>
  <c r="AA231" i="1"/>
  <c r="D229" i="2" s="1"/>
  <c r="P73" i="11"/>
  <c r="T89" i="11"/>
  <c r="T91" i="11"/>
  <c r="O91" i="12"/>
  <c r="T93" i="11"/>
  <c r="T95" i="11"/>
  <c r="T97" i="11"/>
  <c r="T99" i="11"/>
  <c r="T115" i="11"/>
  <c r="T117" i="11"/>
  <c r="T129" i="11"/>
  <c r="O137" i="11"/>
  <c r="S153" i="11"/>
  <c r="S157" i="11"/>
  <c r="S160" i="11"/>
  <c r="O214" i="11"/>
  <c r="S214" i="11"/>
  <c r="S217" i="11"/>
  <c r="S219" i="11"/>
  <c r="S224" i="11"/>
  <c r="O226" i="11"/>
  <c r="S228" i="11"/>
  <c r="S232" i="11"/>
  <c r="S233" i="11"/>
  <c r="S237" i="11"/>
  <c r="S238" i="11"/>
  <c r="S242" i="11"/>
  <c r="S246" i="11"/>
  <c r="S251" i="11"/>
  <c r="S252" i="11"/>
  <c r="T9" i="11"/>
  <c r="S11" i="11"/>
  <c r="S34" i="11"/>
  <c r="S35" i="11"/>
  <c r="AA35" i="1"/>
  <c r="D33" i="2" s="1"/>
  <c r="S37" i="11"/>
  <c r="S39" i="11"/>
  <c r="O41" i="11"/>
  <c r="S43" i="11"/>
  <c r="S45" i="11"/>
  <c r="S47" i="11"/>
  <c r="S49" i="11"/>
  <c r="S57" i="11"/>
  <c r="S59" i="11"/>
  <c r="S61" i="11"/>
  <c r="S62" i="11"/>
  <c r="S64" i="11"/>
  <c r="S67" i="11"/>
  <c r="S68" i="11"/>
  <c r="S69" i="11"/>
  <c r="S72" i="11"/>
  <c r="S90" i="11"/>
  <c r="O121" i="11"/>
  <c r="S121" i="11"/>
  <c r="S122" i="11"/>
  <c r="S124" i="11"/>
  <c r="S128" i="11"/>
  <c r="S129" i="11"/>
  <c r="S130" i="11"/>
  <c r="S133" i="11"/>
  <c r="T137" i="11"/>
  <c r="T141" i="11"/>
  <c r="T145" i="11"/>
  <c r="T147" i="11"/>
  <c r="T149" i="11"/>
  <c r="T163" i="11"/>
  <c r="T171" i="11"/>
  <c r="T173" i="11"/>
  <c r="T181" i="11"/>
  <c r="T183" i="11"/>
  <c r="T214" i="11"/>
  <c r="T230" i="11"/>
  <c r="T234" i="11"/>
  <c r="T246" i="11"/>
  <c r="T250" i="11"/>
  <c r="T270" i="11"/>
  <c r="T275" i="11"/>
  <c r="T276" i="11"/>
  <c r="T278" i="11"/>
  <c r="T280" i="11"/>
  <c r="T282" i="11"/>
  <c r="T283" i="11"/>
  <c r="T284" i="11"/>
  <c r="T286" i="11"/>
  <c r="T289" i="11"/>
  <c r="T291" i="11"/>
  <c r="T296" i="11"/>
  <c r="T297" i="11"/>
  <c r="T302" i="11"/>
  <c r="T305" i="11"/>
  <c r="T308" i="11"/>
  <c r="T310" i="11"/>
  <c r="T312" i="11"/>
  <c r="T313" i="11"/>
  <c r="T315" i="11"/>
  <c r="T316" i="11"/>
  <c r="T319" i="11"/>
  <c r="T320" i="11"/>
  <c r="S324" i="11"/>
  <c r="S328" i="11"/>
  <c r="S333" i="11"/>
  <c r="S334" i="11"/>
  <c r="S161" i="11"/>
  <c r="P161" i="11"/>
  <c r="P165" i="11"/>
  <c r="S165" i="11"/>
  <c r="O169" i="11"/>
  <c r="E168" i="1"/>
  <c r="E167" i="12" s="1"/>
  <c r="O167" i="12"/>
  <c r="O171" i="11"/>
  <c r="E170" i="1"/>
  <c r="E169" i="12" s="1"/>
  <c r="S174" i="11"/>
  <c r="P174" i="11"/>
  <c r="O175" i="11"/>
  <c r="O173" i="12"/>
  <c r="E177" i="1"/>
  <c r="O176" i="12"/>
  <c r="E188" i="1"/>
  <c r="AA188" i="1" s="1"/>
  <c r="D186" i="2" s="1"/>
  <c r="D190" i="5" s="1"/>
  <c r="F190" i="5" s="1"/>
  <c r="O187" i="12"/>
  <c r="E189" i="1"/>
  <c r="E188" i="12" s="1"/>
  <c r="O188" i="12"/>
  <c r="E190" i="1"/>
  <c r="AA190" i="1" s="1"/>
  <c r="D188" i="2" s="1"/>
  <c r="O189" i="12"/>
  <c r="O193" i="11"/>
  <c r="E192" i="1"/>
  <c r="E191" i="12" s="1"/>
  <c r="O192" i="12"/>
  <c r="E193" i="1"/>
  <c r="S194" i="11"/>
  <c r="P194" i="11"/>
  <c r="S197" i="11"/>
  <c r="P197" i="11"/>
  <c r="O198" i="11"/>
  <c r="E197" i="1"/>
  <c r="AA197" i="1" s="1"/>
  <c r="D195" i="2" s="1"/>
  <c r="D196" i="12" s="1"/>
  <c r="E198" i="1"/>
  <c r="AA198" i="1" s="1"/>
  <c r="D196" i="2" s="1"/>
  <c r="O197" i="12"/>
  <c r="E202" i="1"/>
  <c r="AA202" i="1" s="1"/>
  <c r="D200" i="2" s="1"/>
  <c r="O201" i="12"/>
  <c r="AA207" i="1"/>
  <c r="D205" i="2" s="1"/>
  <c r="D206" i="12" s="1"/>
  <c r="O207" i="12"/>
  <c r="E208" i="1"/>
  <c r="E209" i="1"/>
  <c r="E208" i="12" s="1"/>
  <c r="O208" i="12"/>
  <c r="O306" i="11"/>
  <c r="O304" i="12"/>
  <c r="D305" i="1"/>
  <c r="AC305" i="1" s="1"/>
  <c r="AD305" i="1" s="1"/>
  <c r="E303" i="2" s="1"/>
  <c r="E307" i="5" s="1"/>
  <c r="S309" i="11"/>
  <c r="P309" i="11"/>
  <c r="D312" i="1"/>
  <c r="AC312" i="1" s="1"/>
  <c r="AD312" i="1" s="1"/>
  <c r="E310" i="2" s="1"/>
  <c r="E314" i="5" s="1"/>
  <c r="O311" i="12"/>
  <c r="S313" i="11"/>
  <c r="P313" i="11"/>
  <c r="D313" i="1"/>
  <c r="O312" i="12"/>
  <c r="S314" i="11"/>
  <c r="P314" i="11"/>
  <c r="D318" i="1"/>
  <c r="AC318" i="1" s="1"/>
  <c r="AD318" i="1" s="1"/>
  <c r="E316" i="2" s="1"/>
  <c r="E320" i="5" s="1"/>
  <c r="O317" i="12"/>
  <c r="O321" i="11"/>
  <c r="D320" i="1"/>
  <c r="AC320" i="1" s="1"/>
  <c r="AD320" i="1" s="1"/>
  <c r="E318" i="2" s="1"/>
  <c r="E322" i="5" s="1"/>
  <c r="O320" i="12"/>
  <c r="G321" i="1"/>
  <c r="AA321" i="1" s="1"/>
  <c r="D319" i="2" s="1"/>
  <c r="Q322" i="11"/>
  <c r="P322" i="11"/>
  <c r="P323" i="11"/>
  <c r="O321" i="12"/>
  <c r="G322" i="1"/>
  <c r="AA322" i="1" s="1"/>
  <c r="D320" i="2" s="1"/>
  <c r="Q328" i="11"/>
  <c r="E326" i="12" s="1"/>
  <c r="G327" i="1"/>
  <c r="AA327" i="1" s="1"/>
  <c r="D325" i="2" s="1"/>
  <c r="P329" i="11"/>
  <c r="G328" i="1"/>
  <c r="AA328" i="1" s="1"/>
  <c r="D326" i="2" s="1"/>
  <c r="O327" i="12"/>
  <c r="Q329" i="11"/>
  <c r="E327" i="12" s="1"/>
  <c r="P330" i="11"/>
  <c r="G329" i="1"/>
  <c r="AA329" i="1" s="1"/>
  <c r="D327" i="2" s="1"/>
  <c r="O328" i="12"/>
  <c r="Q330" i="11"/>
  <c r="E328" i="12" s="1"/>
  <c r="G331" i="1"/>
  <c r="AA331" i="1" s="1"/>
  <c r="D329" i="2" s="1"/>
  <c r="D333" i="5" s="1"/>
  <c r="Q332" i="11"/>
  <c r="G332" i="1"/>
  <c r="AA332" i="1" s="1"/>
  <c r="D330" i="2" s="1"/>
  <c r="O331" i="12"/>
  <c r="Q333" i="11"/>
  <c r="E331" i="12" s="1"/>
  <c r="P333" i="11"/>
  <c r="Q336" i="11"/>
  <c r="E334" i="12" s="1"/>
  <c r="G335" i="1"/>
  <c r="AA335" i="1" s="1"/>
  <c r="D333" i="2" s="1"/>
  <c r="D337" i="5" s="1"/>
  <c r="H14" i="1"/>
  <c r="AB14" i="1" s="1"/>
  <c r="M12" i="2" s="1"/>
  <c r="G16" i="5" s="1"/>
  <c r="P15" i="11"/>
  <c r="O13" i="12"/>
  <c r="R15" i="11"/>
  <c r="J13" i="12" s="1"/>
  <c r="H22" i="1"/>
  <c r="AB22" i="1" s="1"/>
  <c r="M20" i="2" s="1"/>
  <c r="G24" i="5" s="1"/>
  <c r="O21" i="12"/>
  <c r="R23" i="11"/>
  <c r="J21" i="12" s="1"/>
  <c r="H30" i="1"/>
  <c r="AB30" i="1" s="1"/>
  <c r="M28" i="2" s="1"/>
  <c r="P31" i="11"/>
  <c r="R31" i="11"/>
  <c r="J29" i="12" s="1"/>
  <c r="H38" i="1"/>
  <c r="AB38" i="1" s="1"/>
  <c r="M36" i="2" s="1"/>
  <c r="Q36" i="2" s="1"/>
  <c r="R39" i="11"/>
  <c r="J37" i="12" s="1"/>
  <c r="O45" i="12"/>
  <c r="P47" i="11"/>
  <c r="R47" i="11"/>
  <c r="J45" i="12" s="1"/>
  <c r="H58" i="1"/>
  <c r="AB58" i="1" s="1"/>
  <c r="M56" i="2" s="1"/>
  <c r="G60" i="5" s="1"/>
  <c r="R59" i="11"/>
  <c r="J57" i="12" s="1"/>
  <c r="P59" i="11"/>
  <c r="O57" i="12"/>
  <c r="H66" i="1"/>
  <c r="AB66" i="1" s="1"/>
  <c r="M64" i="2" s="1"/>
  <c r="P67" i="11"/>
  <c r="H74" i="1"/>
  <c r="AB74" i="1" s="1"/>
  <c r="M72" i="2" s="1"/>
  <c r="I73" i="12" s="1"/>
  <c r="R75" i="11"/>
  <c r="J73" i="12" s="1"/>
  <c r="P75" i="11"/>
  <c r="H94" i="1"/>
  <c r="AB94" i="1" s="1"/>
  <c r="M92" i="2" s="1"/>
  <c r="Q92" i="2" s="1"/>
  <c r="R95" i="11"/>
  <c r="J93" i="12" s="1"/>
  <c r="O93" i="12"/>
  <c r="H102" i="1"/>
  <c r="AB102" i="1" s="1"/>
  <c r="M100" i="2" s="1"/>
  <c r="I101" i="12" s="1"/>
  <c r="R103" i="11"/>
  <c r="J101" i="12" s="1"/>
  <c r="H106" i="1"/>
  <c r="AB106" i="1" s="1"/>
  <c r="M104" i="2" s="1"/>
  <c r="G108" i="5" s="1"/>
  <c r="R107" i="11"/>
  <c r="J105" i="12" s="1"/>
  <c r="O105" i="12"/>
  <c r="O109" i="12"/>
  <c r="P111" i="11"/>
  <c r="H110" i="1"/>
  <c r="AB110" i="1" s="1"/>
  <c r="M108" i="2" s="1"/>
  <c r="G112" i="5" s="1"/>
  <c r="R111" i="11"/>
  <c r="J109" i="12" s="1"/>
  <c r="H118" i="1"/>
  <c r="AB118" i="1" s="1"/>
  <c r="M116" i="2" s="1"/>
  <c r="I117" i="12" s="1"/>
  <c r="O117" i="12"/>
  <c r="R119" i="11"/>
  <c r="J117" i="12" s="1"/>
  <c r="H138" i="1"/>
  <c r="AB138" i="1" s="1"/>
  <c r="M136" i="2" s="1"/>
  <c r="G140" i="5" s="1"/>
  <c r="O137" i="12"/>
  <c r="R139" i="11"/>
  <c r="J137" i="12" s="1"/>
  <c r="P139" i="11"/>
  <c r="P147" i="11"/>
  <c r="O145" i="12"/>
  <c r="H154" i="1"/>
  <c r="AB154" i="1" s="1"/>
  <c r="M152" i="2" s="1"/>
  <c r="I153" i="12" s="1"/>
  <c r="R155" i="11"/>
  <c r="J153" i="12" s="1"/>
  <c r="O153" i="12"/>
  <c r="P163" i="11"/>
  <c r="H162" i="1"/>
  <c r="AB162" i="1" s="1"/>
  <c r="M160" i="2" s="1"/>
  <c r="I161" i="12" s="1"/>
  <c r="H174" i="1"/>
  <c r="AB174" i="1" s="1"/>
  <c r="M172" i="2" s="1"/>
  <c r="G176" i="5" s="1"/>
  <c r="P175" i="11"/>
  <c r="R175" i="11"/>
  <c r="J173" i="12" s="1"/>
  <c r="H182" i="1"/>
  <c r="AB182" i="1" s="1"/>
  <c r="M180" i="2" s="1"/>
  <c r="G184" i="5" s="1"/>
  <c r="R183" i="11"/>
  <c r="J181" i="12" s="1"/>
  <c r="P183" i="11"/>
  <c r="H190" i="1"/>
  <c r="AB190" i="1" s="1"/>
  <c r="M188" i="2" s="1"/>
  <c r="P191" i="11"/>
  <c r="R191" i="11"/>
  <c r="J189" i="12" s="1"/>
  <c r="R199" i="11"/>
  <c r="J197" i="12" s="1"/>
  <c r="P199" i="11"/>
  <c r="H206" i="1"/>
  <c r="AB206" i="1" s="1"/>
  <c r="M204" i="2" s="1"/>
  <c r="R207" i="11"/>
  <c r="J205" i="12" s="1"/>
  <c r="P215" i="11"/>
  <c r="O213" i="12"/>
  <c r="R215" i="11"/>
  <c r="J213" i="12" s="1"/>
  <c r="H214" i="1"/>
  <c r="AB214" i="1" s="1"/>
  <c r="M212" i="2" s="1"/>
  <c r="H222" i="1"/>
  <c r="AB222" i="1" s="1"/>
  <c r="M220" i="2" s="1"/>
  <c r="G224" i="5" s="1"/>
  <c r="R223" i="11"/>
  <c r="J221" i="12" s="1"/>
  <c r="P223" i="11"/>
  <c r="H230" i="1"/>
  <c r="AB230" i="1" s="1"/>
  <c r="M228" i="2" s="1"/>
  <c r="P231" i="11"/>
  <c r="O229" i="12"/>
  <c r="R231" i="11"/>
  <c r="J229" i="12" s="1"/>
  <c r="R239" i="11"/>
  <c r="J237" i="12" s="1"/>
  <c r="H238" i="1"/>
  <c r="AB238" i="1" s="1"/>
  <c r="M236" i="2" s="1"/>
  <c r="O237" i="12"/>
  <c r="Q237" i="12" s="1"/>
  <c r="P239" i="11"/>
  <c r="P247" i="11"/>
  <c r="O245" i="12"/>
  <c r="R247" i="11"/>
  <c r="J245" i="12" s="1"/>
  <c r="H254" i="1"/>
  <c r="AB254" i="1" s="1"/>
  <c r="M252" i="2" s="1"/>
  <c r="I253" i="12" s="1"/>
  <c r="R255" i="11"/>
  <c r="J253" i="12" s="1"/>
  <c r="H258" i="1"/>
  <c r="AB258" i="1" s="1"/>
  <c r="M256" i="2" s="1"/>
  <c r="O257" i="12"/>
  <c r="R259" i="11"/>
  <c r="J257" i="12" s="1"/>
  <c r="P259" i="11"/>
  <c r="O265" i="12"/>
  <c r="R267" i="11"/>
  <c r="J265" i="12" s="1"/>
  <c r="O273" i="12"/>
  <c r="P275" i="11"/>
  <c r="R275" i="11"/>
  <c r="J273" i="12" s="1"/>
  <c r="H282" i="1"/>
  <c r="AB282" i="1" s="1"/>
  <c r="M280" i="2" s="1"/>
  <c r="O281" i="12"/>
  <c r="P283" i="11"/>
  <c r="O285" i="12"/>
  <c r="P287" i="11"/>
  <c r="H286" i="1"/>
  <c r="AB286" i="1" s="1"/>
  <c r="M284" i="2" s="1"/>
  <c r="I285" i="12" s="1"/>
  <c r="R287" i="11"/>
  <c r="J285" i="12" s="1"/>
  <c r="H294" i="1"/>
  <c r="AB294" i="1" s="1"/>
  <c r="M292" i="2" s="1"/>
  <c r="I293" i="12" s="1"/>
  <c r="R295" i="11"/>
  <c r="J293" i="12" s="1"/>
  <c r="H298" i="1"/>
  <c r="AB298" i="1" s="1"/>
  <c r="M296" i="2" s="1"/>
  <c r="G300" i="5" s="1"/>
  <c r="P299" i="11"/>
  <c r="P307" i="11"/>
  <c r="H306" i="1"/>
  <c r="AB306" i="1" s="1"/>
  <c r="M304" i="2" s="1"/>
  <c r="G308" i="5" s="1"/>
  <c r="R307" i="11"/>
  <c r="J305" i="12" s="1"/>
  <c r="H310" i="1"/>
  <c r="AB310" i="1" s="1"/>
  <c r="M308" i="2" s="1"/>
  <c r="I309" i="12" s="1"/>
  <c r="R311" i="11"/>
  <c r="J309" i="12" s="1"/>
  <c r="P311" i="11"/>
  <c r="H318" i="1"/>
  <c r="AB318" i="1" s="1"/>
  <c r="M316" i="2" s="1"/>
  <c r="I317" i="12" s="1"/>
  <c r="P319" i="11"/>
  <c r="H326" i="1"/>
  <c r="AB326" i="1" s="1"/>
  <c r="M324" i="2" s="1"/>
  <c r="R327" i="11"/>
  <c r="J325" i="12" s="1"/>
  <c r="H338" i="1"/>
  <c r="AB338" i="1" s="1"/>
  <c r="M336" i="2" s="1"/>
  <c r="R339" i="11"/>
  <c r="J337" i="12" s="1"/>
  <c r="Y188" i="11"/>
  <c r="P186" i="12"/>
  <c r="P200" i="12"/>
  <c r="Y202" i="11"/>
  <c r="Y218" i="11"/>
  <c r="P216" i="12"/>
  <c r="Y222" i="11"/>
  <c r="P220" i="12"/>
  <c r="Q220" i="12" s="1"/>
  <c r="P226" i="12"/>
  <c r="Y228" i="11"/>
  <c r="Y230" i="11"/>
  <c r="P228" i="12"/>
  <c r="Y244" i="11"/>
  <c r="P242" i="12"/>
  <c r="P244" i="12"/>
  <c r="Y246" i="11"/>
  <c r="Y256" i="11"/>
  <c r="P254" i="12"/>
  <c r="Y284" i="11"/>
  <c r="P282" i="12"/>
  <c r="Y286" i="11"/>
  <c r="P284" i="12"/>
  <c r="Y290" i="11"/>
  <c r="P288" i="12"/>
  <c r="Y292" i="11"/>
  <c r="P290" i="12"/>
  <c r="Y298" i="11"/>
  <c r="P296" i="12"/>
  <c r="Y300" i="11"/>
  <c r="P298" i="12"/>
  <c r="P304" i="12"/>
  <c r="Y306" i="11"/>
  <c r="Y314" i="11"/>
  <c r="P312" i="12"/>
  <c r="Y320" i="11"/>
  <c r="P318" i="12"/>
  <c r="Y338" i="11"/>
  <c r="P336" i="12"/>
  <c r="Y318" i="11"/>
  <c r="P330" i="12"/>
  <c r="Y183" i="11"/>
  <c r="Y215" i="11"/>
  <c r="Y239" i="11"/>
  <c r="P285" i="12"/>
  <c r="P267" i="12"/>
  <c r="P215" i="12"/>
  <c r="P315" i="12"/>
  <c r="P225" i="12"/>
  <c r="P277" i="12"/>
  <c r="P305" i="12"/>
  <c r="P260" i="12"/>
  <c r="P180" i="12"/>
  <c r="P177" i="12"/>
  <c r="P214" i="12"/>
  <c r="P178" i="12"/>
  <c r="P258" i="12"/>
  <c r="P188" i="12"/>
  <c r="P198" i="11"/>
  <c r="P107" i="11"/>
  <c r="Q323" i="11"/>
  <c r="E321" i="12" s="1"/>
  <c r="R299" i="11"/>
  <c r="J297" i="12" s="1"/>
  <c r="O308" i="12"/>
  <c r="O221" i="12"/>
  <c r="O196" i="12"/>
  <c r="H274" i="1"/>
  <c r="AB274" i="1" s="1"/>
  <c r="M272" i="2" s="1"/>
  <c r="I273" i="12" s="1"/>
  <c r="H246" i="1"/>
  <c r="AB246" i="1" s="1"/>
  <c r="M244" i="2" s="1"/>
  <c r="H146" i="1"/>
  <c r="AB146" i="1" s="1"/>
  <c r="M144" i="2" s="1"/>
  <c r="Q144" i="2" s="1"/>
  <c r="H90" i="1"/>
  <c r="AB90" i="1" s="1"/>
  <c r="M88" i="2" s="1"/>
  <c r="H82" i="1"/>
  <c r="AB82" i="1" s="1"/>
  <c r="M80" i="2" s="1"/>
  <c r="I81" i="12" s="1"/>
  <c r="Y296" i="11"/>
  <c r="Y264" i="11"/>
  <c r="Y252" i="11"/>
  <c r="P276" i="12"/>
  <c r="P308" i="12"/>
  <c r="Q308" i="12" s="1"/>
  <c r="Y177" i="11"/>
  <c r="Y185" i="11"/>
  <c r="Y193" i="11"/>
  <c r="Y201" i="11"/>
  <c r="Y209" i="11"/>
  <c r="Y233" i="11"/>
  <c r="Y241" i="11"/>
  <c r="Y257" i="11"/>
  <c r="Y327" i="11"/>
  <c r="Y335" i="11"/>
  <c r="P236" i="12"/>
  <c r="P299" i="12"/>
  <c r="P20" i="12"/>
  <c r="P279" i="12"/>
  <c r="P295" i="12"/>
  <c r="P319" i="12"/>
  <c r="P245" i="12"/>
  <c r="P275" i="12"/>
  <c r="Q275" i="12" s="1"/>
  <c r="P297" i="12"/>
  <c r="P229" i="12"/>
  <c r="P189" i="12"/>
  <c r="P323" i="12"/>
  <c r="P309" i="12"/>
  <c r="P261" i="12"/>
  <c r="P273" i="12"/>
  <c r="P182" i="12"/>
  <c r="P222" i="12"/>
  <c r="P302" i="12"/>
  <c r="P202" i="12"/>
  <c r="P306" i="12"/>
  <c r="P208" i="12"/>
  <c r="P321" i="11"/>
  <c r="P306" i="11"/>
  <c r="P193" i="11"/>
  <c r="P23" i="11"/>
  <c r="R283" i="11"/>
  <c r="J281" i="12" s="1"/>
  <c r="R163" i="11"/>
  <c r="J161" i="12" s="1"/>
  <c r="O293" i="12"/>
  <c r="O191" i="12"/>
  <c r="O73" i="12"/>
  <c r="E212" i="1"/>
  <c r="AA212" i="1" s="1"/>
  <c r="D210" i="2" s="1"/>
  <c r="E210" i="1"/>
  <c r="AA210" i="1" s="1"/>
  <c r="D208" i="2" s="1"/>
  <c r="D212" i="5" s="1"/>
  <c r="F212" i="5" s="1"/>
  <c r="S318" i="11"/>
  <c r="S173" i="11"/>
  <c r="Y236" i="11"/>
  <c r="P246" i="12"/>
  <c r="I240" i="12"/>
  <c r="Q215" i="2"/>
  <c r="O161" i="11"/>
  <c r="E160" i="1"/>
  <c r="AA160" i="1" s="1"/>
  <c r="D158" i="2" s="1"/>
  <c r="D162" i="5" s="1"/>
  <c r="F162" i="5" s="1"/>
  <c r="O159" i="12"/>
  <c r="E162" i="1"/>
  <c r="AA162" i="1" s="1"/>
  <c r="D160" i="2" s="1"/>
  <c r="O161" i="12"/>
  <c r="E164" i="1"/>
  <c r="AA164" i="1" s="1"/>
  <c r="D162" i="2" s="1"/>
  <c r="D166" i="5" s="1"/>
  <c r="F166" i="5" s="1"/>
  <c r="O163" i="12"/>
  <c r="S169" i="11"/>
  <c r="P169" i="11"/>
  <c r="O173" i="11"/>
  <c r="E172" i="1"/>
  <c r="AA172" i="1" s="1"/>
  <c r="D170" i="2" s="1"/>
  <c r="O171" i="12"/>
  <c r="E173" i="1"/>
  <c r="AA173" i="1" s="1"/>
  <c r="D171" i="2" s="1"/>
  <c r="D175" i="5" s="1"/>
  <c r="O172" i="12"/>
  <c r="S178" i="11"/>
  <c r="P178" i="11"/>
  <c r="E180" i="1"/>
  <c r="AA180" i="1" s="1"/>
  <c r="D178" i="2" s="1"/>
  <c r="D182" i="5" s="1"/>
  <c r="F182" i="5" s="1"/>
  <c r="O179" i="12"/>
  <c r="P185" i="11"/>
  <c r="S185" i="11"/>
  <c r="S186" i="11"/>
  <c r="P186" i="11"/>
  <c r="S189" i="11"/>
  <c r="P189" i="11"/>
  <c r="P190" i="11"/>
  <c r="S190" i="11"/>
  <c r="O195" i="11"/>
  <c r="E194" i="1"/>
  <c r="O193" i="12"/>
  <c r="E204" i="1"/>
  <c r="O203" i="12"/>
  <c r="S206" i="11"/>
  <c r="P206" i="11"/>
  <c r="S209" i="11"/>
  <c r="P209" i="11"/>
  <c r="S210" i="11"/>
  <c r="P210" i="11"/>
  <c r="O303" i="11"/>
  <c r="D302" i="1"/>
  <c r="AC302" i="1" s="1"/>
  <c r="AD302" i="1" s="1"/>
  <c r="E300" i="2" s="1"/>
  <c r="E304" i="5" s="1"/>
  <c r="O305" i="12"/>
  <c r="D306" i="1"/>
  <c r="AC306" i="1" s="1"/>
  <c r="AD306" i="1" s="1"/>
  <c r="E304" i="2" s="1"/>
  <c r="E308" i="5" s="1"/>
  <c r="D310" i="1"/>
  <c r="AC310" i="1" s="1"/>
  <c r="AD310" i="1" s="1"/>
  <c r="E308" i="2" s="1"/>
  <c r="E312" i="5" s="1"/>
  <c r="O309" i="12"/>
  <c r="O317" i="11"/>
  <c r="O315" i="12"/>
  <c r="D317" i="1"/>
  <c r="AC317" i="1" s="1"/>
  <c r="AD317" i="1" s="1"/>
  <c r="E315" i="2" s="1"/>
  <c r="E319" i="5" s="1"/>
  <c r="O316" i="12"/>
  <c r="Q325" i="11"/>
  <c r="P325" i="11"/>
  <c r="O323" i="12"/>
  <c r="G325" i="1"/>
  <c r="AA325" i="1" s="1"/>
  <c r="D323" i="2" s="1"/>
  <c r="Q326" i="11"/>
  <c r="G326" i="1"/>
  <c r="AA326" i="1" s="1"/>
  <c r="D324" i="2" s="1"/>
  <c r="P324" i="2" s="1"/>
  <c r="O325" i="12"/>
  <c r="P334" i="11"/>
  <c r="G333" i="1"/>
  <c r="AA333" i="1" s="1"/>
  <c r="D331" i="2" s="1"/>
  <c r="O332" i="12"/>
  <c r="Q334" i="11"/>
  <c r="E332" i="12" s="1"/>
  <c r="P335" i="11"/>
  <c r="O333" i="12"/>
  <c r="Q337" i="11"/>
  <c r="E335" i="12" s="1"/>
  <c r="G336" i="1"/>
  <c r="AA336" i="1" s="1"/>
  <c r="D334" i="2" s="1"/>
  <c r="G337" i="1"/>
  <c r="AA337" i="1" s="1"/>
  <c r="D335" i="2" s="1"/>
  <c r="Q338" i="11"/>
  <c r="H10" i="1"/>
  <c r="AB10" i="1" s="1"/>
  <c r="M8" i="2" s="1"/>
  <c r="G12" i="5" s="1"/>
  <c r="O9" i="12"/>
  <c r="R11" i="11"/>
  <c r="J9" i="12" s="1"/>
  <c r="P11" i="11"/>
  <c r="H18" i="1"/>
  <c r="AB18" i="1" s="1"/>
  <c r="M16" i="2" s="1"/>
  <c r="G20" i="5" s="1"/>
  <c r="P19" i="11"/>
  <c r="H26" i="1"/>
  <c r="AB26" i="1" s="1"/>
  <c r="M24" i="2" s="1"/>
  <c r="G28" i="5" s="1"/>
  <c r="R27" i="11"/>
  <c r="P27" i="11"/>
  <c r="O33" i="12"/>
  <c r="P35" i="11"/>
  <c r="R43" i="11"/>
  <c r="O41" i="12"/>
  <c r="P51" i="11"/>
  <c r="H50" i="1"/>
  <c r="AB50" i="1" s="1"/>
  <c r="M48" i="2" s="1"/>
  <c r="H54" i="1"/>
  <c r="AB54" i="1" s="1"/>
  <c r="M52" i="2" s="1"/>
  <c r="R55" i="11"/>
  <c r="J53" i="12" s="1"/>
  <c r="O61" i="12"/>
  <c r="H62" i="1"/>
  <c r="AB62" i="1" s="1"/>
  <c r="M60" i="2" s="1"/>
  <c r="G64" i="5" s="1"/>
  <c r="R63" i="11"/>
  <c r="H70" i="1"/>
  <c r="AB70" i="1" s="1"/>
  <c r="M68" i="2" s="1"/>
  <c r="G72" i="5" s="1"/>
  <c r="R71" i="11"/>
  <c r="J69" i="12" s="1"/>
  <c r="H78" i="1"/>
  <c r="AB78" i="1" s="1"/>
  <c r="M76" i="2" s="1"/>
  <c r="P79" i="11"/>
  <c r="R79" i="11"/>
  <c r="J77" i="12" s="1"/>
  <c r="R87" i="11"/>
  <c r="J85" i="12" s="1"/>
  <c r="H86" i="1"/>
  <c r="AB86" i="1" s="1"/>
  <c r="M84" i="2" s="1"/>
  <c r="Q84" i="2" s="1"/>
  <c r="P87" i="11"/>
  <c r="H98" i="1"/>
  <c r="AB98" i="1" s="1"/>
  <c r="M96" i="2" s="1"/>
  <c r="Q96" i="2" s="1"/>
  <c r="P99" i="11"/>
  <c r="H122" i="1"/>
  <c r="AB122" i="1" s="1"/>
  <c r="M120" i="2" s="1"/>
  <c r="G124" i="5" s="1"/>
  <c r="R123" i="11"/>
  <c r="P123" i="11"/>
  <c r="O121" i="12"/>
  <c r="H126" i="1"/>
  <c r="AB126" i="1" s="1"/>
  <c r="M124" i="2" s="1"/>
  <c r="G128" i="5" s="1"/>
  <c r="O125" i="12"/>
  <c r="R127" i="11"/>
  <c r="J125" i="12" s="1"/>
  <c r="P127" i="11"/>
  <c r="P143" i="11"/>
  <c r="H142" i="1"/>
  <c r="AB142" i="1" s="1"/>
  <c r="M140" i="2" s="1"/>
  <c r="R143" i="11"/>
  <c r="J141" i="12" s="1"/>
  <c r="H150" i="1"/>
  <c r="AB150" i="1" s="1"/>
  <c r="M148" i="2" s="1"/>
  <c r="O149" i="12"/>
  <c r="R151" i="11"/>
  <c r="H158" i="1"/>
  <c r="AB158" i="1" s="1"/>
  <c r="M156" i="2" s="1"/>
  <c r="R159" i="11"/>
  <c r="J157" i="12" s="1"/>
  <c r="H166" i="1"/>
  <c r="AB166" i="1" s="1"/>
  <c r="M164" i="2" s="1"/>
  <c r="R167" i="11"/>
  <c r="R171" i="11"/>
  <c r="J169" i="12" s="1"/>
  <c r="H170" i="1"/>
  <c r="AB170" i="1" s="1"/>
  <c r="M168" i="2" s="1"/>
  <c r="Q168" i="2" s="1"/>
  <c r="H178" i="1"/>
  <c r="AB178" i="1" s="1"/>
  <c r="M176" i="2" s="1"/>
  <c r="Q176" i="2" s="1"/>
  <c r="P179" i="11"/>
  <c r="H186" i="1"/>
  <c r="AB186" i="1" s="1"/>
  <c r="M184" i="2" s="1"/>
  <c r="I185" i="12" s="1"/>
  <c r="R187" i="11"/>
  <c r="J185" i="12" s="1"/>
  <c r="H194" i="1"/>
  <c r="AB194" i="1" s="1"/>
  <c r="M192" i="2" s="1"/>
  <c r="P195" i="11"/>
  <c r="H202" i="1"/>
  <c r="AB202" i="1" s="1"/>
  <c r="M200" i="2" s="1"/>
  <c r="I201" i="12" s="1"/>
  <c r="R203" i="11"/>
  <c r="J201" i="12" s="1"/>
  <c r="P203" i="11"/>
  <c r="H210" i="1"/>
  <c r="AB210" i="1" s="1"/>
  <c r="M208" i="2" s="1"/>
  <c r="I209" i="12" s="1"/>
  <c r="P211" i="11"/>
  <c r="O217" i="12"/>
  <c r="R219" i="11"/>
  <c r="J217" i="12" s="1"/>
  <c r="H226" i="1"/>
  <c r="AB226" i="1" s="1"/>
  <c r="M224" i="2" s="1"/>
  <c r="P227" i="11"/>
  <c r="O225" i="12"/>
  <c r="R235" i="11"/>
  <c r="J233" i="12" s="1"/>
  <c r="O233" i="12"/>
  <c r="H242" i="1"/>
  <c r="AB242" i="1" s="1"/>
  <c r="M240" i="2" s="1"/>
  <c r="Q240" i="2" s="1"/>
  <c r="O241" i="12"/>
  <c r="P243" i="11"/>
  <c r="H250" i="1"/>
  <c r="AB250" i="1" s="1"/>
  <c r="M248" i="2" s="1"/>
  <c r="G252" i="5" s="1"/>
  <c r="R251" i="11"/>
  <c r="J249" i="12" s="1"/>
  <c r="P263" i="11"/>
  <c r="H262" i="1"/>
  <c r="AB262" i="1" s="1"/>
  <c r="M260" i="2" s="1"/>
  <c r="O269" i="12"/>
  <c r="R271" i="11"/>
  <c r="J269" i="12" s="1"/>
  <c r="P271" i="11"/>
  <c r="H270" i="1"/>
  <c r="AB270" i="1" s="1"/>
  <c r="M268" i="2" s="1"/>
  <c r="R279" i="11"/>
  <c r="J277" i="12" s="1"/>
  <c r="H278" i="1"/>
  <c r="AB278" i="1" s="1"/>
  <c r="M276" i="2" s="1"/>
  <c r="O289" i="12"/>
  <c r="P291" i="11"/>
  <c r="H290" i="1"/>
  <c r="AB290" i="1" s="1"/>
  <c r="M288" i="2" s="1"/>
  <c r="R291" i="11"/>
  <c r="J289" i="12" s="1"/>
  <c r="H302" i="1"/>
  <c r="AB302" i="1" s="1"/>
  <c r="M300" i="2" s="1"/>
  <c r="G304" i="5" s="1"/>
  <c r="P303" i="11"/>
  <c r="R315" i="11"/>
  <c r="J313" i="12" s="1"/>
  <c r="H314" i="1"/>
  <c r="AB314" i="1" s="1"/>
  <c r="M312" i="2" s="1"/>
  <c r="G316" i="5" s="1"/>
  <c r="Y178" i="11"/>
  <c r="P176" i="12"/>
  <c r="Y194" i="11"/>
  <c r="P192" i="12"/>
  <c r="Y196" i="11"/>
  <c r="P194" i="12"/>
  <c r="Y208" i="11"/>
  <c r="P206" i="12"/>
  <c r="Y232" i="11"/>
  <c r="P230" i="12"/>
  <c r="P248" i="12"/>
  <c r="Y250" i="11"/>
  <c r="Y254" i="11"/>
  <c r="P252" i="12"/>
  <c r="Y258" i="11"/>
  <c r="P256" i="12"/>
  <c r="P264" i="12"/>
  <c r="Y266" i="11"/>
  <c r="Y276" i="11"/>
  <c r="P274" i="12"/>
  <c r="Y291" i="11"/>
  <c r="P289" i="12"/>
  <c r="Y303" i="11"/>
  <c r="P301" i="12"/>
  <c r="Q301" i="12" s="1"/>
  <c r="Y323" i="11"/>
  <c r="P321" i="12"/>
  <c r="Y326" i="11"/>
  <c r="P324" i="12"/>
  <c r="Y207" i="11"/>
  <c r="P271" i="12"/>
  <c r="P233" i="12"/>
  <c r="P286" i="12"/>
  <c r="P272" i="12"/>
  <c r="P326" i="11"/>
  <c r="P310" i="11"/>
  <c r="P251" i="11"/>
  <c r="P177" i="11"/>
  <c r="P83" i="11"/>
  <c r="Q339" i="11"/>
  <c r="R115" i="11"/>
  <c r="J113" i="12" s="1"/>
  <c r="R51" i="11"/>
  <c r="J49" i="12" s="1"/>
  <c r="O329" i="12"/>
  <c r="O169" i="12"/>
  <c r="O97" i="12"/>
  <c r="H330" i="1"/>
  <c r="AB330" i="1" s="1"/>
  <c r="M328" i="2" s="1"/>
  <c r="I329" i="12" s="1"/>
  <c r="D308" i="1"/>
  <c r="H198" i="1"/>
  <c r="AB198" i="1" s="1"/>
  <c r="M196" i="2" s="1"/>
  <c r="Q196" i="2" s="1"/>
  <c r="Y280" i="11"/>
  <c r="Y268" i="11"/>
  <c r="P310" i="12"/>
  <c r="Y195" i="11"/>
  <c r="Y203" i="11"/>
  <c r="Y219" i="11"/>
  <c r="Y243" i="11"/>
  <c r="Y251" i="11"/>
  <c r="Y259" i="11"/>
  <c r="Y329" i="11"/>
  <c r="G282" i="5"/>
  <c r="Y330" i="11"/>
  <c r="P300" i="12"/>
  <c r="P268" i="12"/>
  <c r="P283" i="12"/>
  <c r="P281" i="12"/>
  <c r="P307" i="12"/>
  <c r="Q307" i="12" s="1"/>
  <c r="P269" i="12"/>
  <c r="P291" i="12"/>
  <c r="P212" i="12"/>
  <c r="P190" i="12"/>
  <c r="P238" i="12"/>
  <c r="P210" i="12"/>
  <c r="P322" i="12"/>
  <c r="P224" i="12"/>
  <c r="P320" i="12"/>
  <c r="P317" i="12"/>
  <c r="P331" i="11"/>
  <c r="P267" i="11"/>
  <c r="P219" i="11"/>
  <c r="P213" i="11"/>
  <c r="P187" i="11"/>
  <c r="P162" i="11"/>
  <c r="P151" i="11"/>
  <c r="Q331" i="11"/>
  <c r="E329" i="12" s="1"/>
  <c r="R335" i="11"/>
  <c r="J333" i="12" s="1"/>
  <c r="R211" i="11"/>
  <c r="J209" i="12" s="1"/>
  <c r="R147" i="11"/>
  <c r="J145" i="12" s="1"/>
  <c r="R19" i="11"/>
  <c r="J17" i="12" s="1"/>
  <c r="O319" i="12"/>
  <c r="O277" i="12"/>
  <c r="O185" i="12"/>
  <c r="O141" i="12"/>
  <c r="O29" i="12"/>
  <c r="O17" i="12"/>
  <c r="Q17" i="12" s="1"/>
  <c r="G334" i="1"/>
  <c r="AA334" i="1" s="1"/>
  <c r="D332" i="2" s="1"/>
  <c r="D336" i="5" s="1"/>
  <c r="F336" i="5" s="1"/>
  <c r="H336" i="5" s="1"/>
  <c r="D316" i="1"/>
  <c r="AC316" i="1" s="1"/>
  <c r="AD316" i="1" s="1"/>
  <c r="E314" i="2" s="1"/>
  <c r="E318" i="5" s="1"/>
  <c r="H234" i="1"/>
  <c r="AB234" i="1" s="1"/>
  <c r="M232" i="2" s="1"/>
  <c r="I233" i="12" s="1"/>
  <c r="H218" i="1"/>
  <c r="AB218" i="1" s="1"/>
  <c r="M216" i="2" s="1"/>
  <c r="Q216" i="2" s="1"/>
  <c r="S73" i="11"/>
  <c r="E243" i="12"/>
  <c r="E98" i="12"/>
  <c r="E94" i="12"/>
  <c r="E86" i="12"/>
  <c r="E74" i="12"/>
  <c r="E48" i="12"/>
  <c r="AA215" i="1"/>
  <c r="D213" i="2" s="1"/>
  <c r="D217" i="5" s="1"/>
  <c r="O73" i="11"/>
  <c r="O71" i="12"/>
  <c r="D77" i="1"/>
  <c r="AC77" i="1" s="1"/>
  <c r="AD77" i="1" s="1"/>
  <c r="E75" i="2" s="1"/>
  <c r="E79" i="5" s="1"/>
  <c r="O76" i="12"/>
  <c r="D78" i="1"/>
  <c r="AC78" i="1" s="1"/>
  <c r="AD78" i="1" s="1"/>
  <c r="E76" i="2" s="1"/>
  <c r="E80" i="5" s="1"/>
  <c r="O77" i="12"/>
  <c r="S81" i="11"/>
  <c r="P81" i="11"/>
  <c r="O83" i="11"/>
  <c r="O81" i="12"/>
  <c r="D84" i="1"/>
  <c r="AC84" i="1" s="1"/>
  <c r="AD84" i="1" s="1"/>
  <c r="E82" i="2" s="1"/>
  <c r="E86" i="5" s="1"/>
  <c r="O83" i="12"/>
  <c r="S85" i="11"/>
  <c r="P85" i="11"/>
  <c r="S86" i="11"/>
  <c r="P86" i="11"/>
  <c r="Q90" i="11"/>
  <c r="P90" i="11"/>
  <c r="G90" i="1"/>
  <c r="AA90" i="1" s="1"/>
  <c r="D88" i="2" s="1"/>
  <c r="D92" i="5" s="1"/>
  <c r="F92" i="5" s="1"/>
  <c r="O89" i="12"/>
  <c r="Q91" i="11"/>
  <c r="E89" i="12" s="1"/>
  <c r="P91" i="11"/>
  <c r="G93" i="1"/>
  <c r="AA93" i="1" s="1"/>
  <c r="D91" i="2" s="1"/>
  <c r="Q94" i="11"/>
  <c r="G94" i="1"/>
  <c r="AA94" i="1" s="1"/>
  <c r="D92" i="2" s="1"/>
  <c r="P95" i="11"/>
  <c r="Q95" i="11"/>
  <c r="E93" i="12" s="1"/>
  <c r="Q154" i="11"/>
  <c r="P154" i="11"/>
  <c r="O155" i="11"/>
  <c r="F154" i="1"/>
  <c r="AA154" i="1" s="1"/>
  <c r="D152" i="2" s="1"/>
  <c r="D156" i="5" s="1"/>
  <c r="F156" i="5" s="1"/>
  <c r="Q155" i="11"/>
  <c r="E153" i="12" s="1"/>
  <c r="P155" i="11"/>
  <c r="F157" i="1"/>
  <c r="AA157" i="1" s="1"/>
  <c r="D155" i="2" s="1"/>
  <c r="O156" i="12"/>
  <c r="Q158" i="11"/>
  <c r="E156" i="12" s="1"/>
  <c r="P159" i="11"/>
  <c r="O157" i="12"/>
  <c r="Q159" i="11"/>
  <c r="E157" i="12" s="1"/>
  <c r="AA238" i="1"/>
  <c r="D236" i="2" s="1"/>
  <c r="D240" i="5" s="1"/>
  <c r="F240" i="5" s="1"/>
  <c r="AA263" i="1"/>
  <c r="D261" i="2" s="1"/>
  <c r="D265" i="5" s="1"/>
  <c r="AA247" i="1"/>
  <c r="D245" i="2" s="1"/>
  <c r="P245" i="2" s="1"/>
  <c r="AA223" i="1"/>
  <c r="D221" i="2" s="1"/>
  <c r="D225" i="5" s="1"/>
  <c r="F225" i="5" s="1"/>
  <c r="Y14" i="11"/>
  <c r="Y10" i="11"/>
  <c r="O10" i="11"/>
  <c r="E9" i="1"/>
  <c r="E8" i="12" s="1"/>
  <c r="E74" i="7" s="1"/>
  <c r="E80" i="7" s="1"/>
  <c r="P10" i="11"/>
  <c r="S10" i="11"/>
  <c r="O33" i="11"/>
  <c r="E32" i="1"/>
  <c r="E31" i="12" s="1"/>
  <c r="O45" i="11"/>
  <c r="E44" i="1"/>
  <c r="O65" i="11"/>
  <c r="E64" i="1"/>
  <c r="O67" i="11"/>
  <c r="E66" i="1"/>
  <c r="AA66" i="1" s="1"/>
  <c r="D64" i="2" s="1"/>
  <c r="O69" i="11"/>
  <c r="E68" i="1"/>
  <c r="AA68" i="1" s="1"/>
  <c r="D66" i="2" s="1"/>
  <c r="D70" i="5" s="1"/>
  <c r="F70" i="5" s="1"/>
  <c r="O135" i="11"/>
  <c r="D134" i="1"/>
  <c r="AC134" i="1" s="1"/>
  <c r="AD134" i="1" s="1"/>
  <c r="E132" i="2" s="1"/>
  <c r="E136" i="5" s="1"/>
  <c r="AA318" i="1"/>
  <c r="D316" i="2" s="1"/>
  <c r="AA299" i="1"/>
  <c r="D297" i="2" s="1"/>
  <c r="D301" i="5" s="1"/>
  <c r="F301" i="5" s="1"/>
  <c r="AA23" i="1"/>
  <c r="D21" i="2" s="1"/>
  <c r="P21" i="2" s="1"/>
  <c r="T27" i="11"/>
  <c r="O153" i="11"/>
  <c r="O159" i="11"/>
  <c r="O271" i="11"/>
  <c r="O15" i="11"/>
  <c r="O31" i="11"/>
  <c r="D30" i="1"/>
  <c r="AC30" i="1" s="1"/>
  <c r="AD30" i="1" s="1"/>
  <c r="E28" i="2" s="1"/>
  <c r="E32" i="5" s="1"/>
  <c r="O97" i="11"/>
  <c r="F96" i="1"/>
  <c r="O227" i="11"/>
  <c r="O235" i="11"/>
  <c r="O57" i="11"/>
  <c r="S58" i="11"/>
  <c r="O71" i="11"/>
  <c r="O91" i="11"/>
  <c r="T92" i="11"/>
  <c r="T94" i="11"/>
  <c r="T96" i="11"/>
  <c r="O105" i="11"/>
  <c r="O109" i="11"/>
  <c r="O111" i="11"/>
  <c r="S123" i="11"/>
  <c r="O129" i="11"/>
  <c r="O131" i="11"/>
  <c r="S131" i="11"/>
  <c r="O133" i="11"/>
  <c r="O147" i="11"/>
  <c r="S150" i="11"/>
  <c r="T168" i="11"/>
  <c r="T178" i="11"/>
  <c r="O222" i="11"/>
  <c r="O250" i="11"/>
  <c r="O258" i="11"/>
  <c r="O261" i="11"/>
  <c r="O265" i="11"/>
  <c r="T269" i="11"/>
  <c r="T290" i="11"/>
  <c r="T301" i="11"/>
  <c r="O13" i="11"/>
  <c r="S14" i="11"/>
  <c r="T16" i="11"/>
  <c r="T17" i="11"/>
  <c r="T20" i="11"/>
  <c r="T22" i="11"/>
  <c r="T23" i="11"/>
  <c r="T40" i="11"/>
  <c r="T50" i="11"/>
  <c r="S75" i="11"/>
  <c r="S79" i="11"/>
  <c r="O95" i="11"/>
  <c r="T101" i="11"/>
  <c r="O185" i="11"/>
  <c r="O202" i="11"/>
  <c r="O203" i="11"/>
  <c r="O213" i="11"/>
  <c r="O277" i="11"/>
  <c r="O279" i="11"/>
  <c r="O285" i="11"/>
  <c r="O287" i="11"/>
  <c r="O309" i="11"/>
  <c r="O311" i="11"/>
  <c r="S340" i="11"/>
  <c r="O16" i="11"/>
  <c r="P152" i="11"/>
  <c r="P160" i="11"/>
  <c r="P284" i="11"/>
  <c r="P296" i="11"/>
  <c r="P312" i="11"/>
  <c r="P324" i="11"/>
  <c r="P332" i="11"/>
  <c r="W6" i="11"/>
  <c r="T14" i="11"/>
  <c r="S16" i="11"/>
  <c r="S17" i="11"/>
  <c r="S20" i="11"/>
  <c r="S22" i="11"/>
  <c r="S27" i="11"/>
  <c r="S29" i="11"/>
  <c r="O28" i="12"/>
  <c r="P30" i="11"/>
  <c r="O39" i="11"/>
  <c r="S40" i="11"/>
  <c r="O51" i="11"/>
  <c r="S52" i="11"/>
  <c r="S54" i="11"/>
  <c r="S55" i="11"/>
  <c r="S56" i="11"/>
  <c r="AA57" i="1"/>
  <c r="D55" i="2" s="1"/>
  <c r="D59" i="5" s="1"/>
  <c r="T82" i="11"/>
  <c r="S91" i="11"/>
  <c r="O103" i="11"/>
  <c r="P115" i="11"/>
  <c r="S116" i="11"/>
  <c r="S117" i="11"/>
  <c r="P119" i="11"/>
  <c r="S120" i="11"/>
  <c r="O119" i="12"/>
  <c r="T121" i="11"/>
  <c r="T146" i="11"/>
  <c r="S155" i="11"/>
  <c r="O167" i="11"/>
  <c r="S181" i="11"/>
  <c r="S182" i="11"/>
  <c r="S184" i="11"/>
  <c r="T185" i="11"/>
  <c r="T198" i="11"/>
  <c r="T206" i="11"/>
  <c r="T208" i="11"/>
  <c r="T210" i="11"/>
  <c r="O218" i="11"/>
  <c r="T221" i="11"/>
  <c r="O238" i="11"/>
  <c r="O293" i="11"/>
  <c r="O297" i="11"/>
  <c r="T303" i="11"/>
  <c r="O325" i="11"/>
  <c r="T326" i="11"/>
  <c r="T332" i="11"/>
  <c r="Y36" i="11"/>
  <c r="P37" i="12"/>
  <c r="P38" i="12"/>
  <c r="Y48" i="11"/>
  <c r="Y49" i="11"/>
  <c r="P49" i="12"/>
  <c r="Y52" i="11"/>
  <c r="P57" i="12"/>
  <c r="Y68" i="11"/>
  <c r="P69" i="12"/>
  <c r="Y83" i="11"/>
  <c r="Y84" i="11"/>
  <c r="P84" i="12"/>
  <c r="Y88" i="11"/>
  <c r="Y97" i="11"/>
  <c r="Y100" i="11"/>
  <c r="P109" i="12"/>
  <c r="J121" i="12"/>
  <c r="Y124" i="11"/>
  <c r="Y132" i="11"/>
  <c r="P131" i="12"/>
  <c r="Y141" i="11"/>
  <c r="J143" i="12"/>
  <c r="Y146" i="11"/>
  <c r="Y152" i="11"/>
  <c r="P161" i="12"/>
  <c r="J163" i="12"/>
  <c r="J171" i="12"/>
  <c r="S253" i="11"/>
  <c r="P253" i="11"/>
  <c r="G253" i="1"/>
  <c r="AA253" i="1" s="1"/>
  <c r="D251" i="2" s="1"/>
  <c r="D255" i="5" s="1"/>
  <c r="O252" i="12"/>
  <c r="Q254" i="11"/>
  <c r="P254" i="11"/>
  <c r="G255" i="1"/>
  <c r="AA255" i="1" s="1"/>
  <c r="D253" i="2" s="1"/>
  <c r="D257" i="5" s="1"/>
  <c r="Q256" i="11"/>
  <c r="E254" i="12" s="1"/>
  <c r="P256" i="11"/>
  <c r="O254" i="12"/>
  <c r="G256" i="1"/>
  <c r="AA256" i="1" s="1"/>
  <c r="D254" i="2" s="1"/>
  <c r="O254" i="2" s="1"/>
  <c r="O255" i="12"/>
  <c r="Q257" i="11"/>
  <c r="E255" i="12" s="1"/>
  <c r="P257" i="11"/>
  <c r="S338" i="11"/>
  <c r="P338" i="11"/>
  <c r="O10" i="12"/>
  <c r="R12" i="11"/>
  <c r="P12" i="11"/>
  <c r="H11" i="1"/>
  <c r="AB11" i="1" s="1"/>
  <c r="M9" i="2" s="1"/>
  <c r="H23" i="1"/>
  <c r="AB23" i="1" s="1"/>
  <c r="M21" i="2" s="1"/>
  <c r="G25" i="5" s="1"/>
  <c r="O22" i="12"/>
  <c r="R24" i="11"/>
  <c r="J22" i="12" s="1"/>
  <c r="P24" i="11"/>
  <c r="R32" i="11"/>
  <c r="J30" i="12" s="1"/>
  <c r="P32" i="11"/>
  <c r="O30" i="12"/>
  <c r="H31" i="1"/>
  <c r="AB31" i="1" s="1"/>
  <c r="M29" i="2" s="1"/>
  <c r="H39" i="1"/>
  <c r="AB39" i="1" s="1"/>
  <c r="M37" i="2" s="1"/>
  <c r="O38" i="12"/>
  <c r="P40" i="11"/>
  <c r="R40" i="11"/>
  <c r="J38" i="12" s="1"/>
  <c r="H47" i="1"/>
  <c r="AB47" i="1" s="1"/>
  <c r="M45" i="2" s="1"/>
  <c r="Q45" i="2" s="1"/>
  <c r="R48" i="11"/>
  <c r="J46" i="12" s="1"/>
  <c r="P48" i="11"/>
  <c r="O46" i="12"/>
  <c r="O58" i="12"/>
  <c r="R60" i="11"/>
  <c r="J58" i="12" s="1"/>
  <c r="P60" i="11"/>
  <c r="H59" i="1"/>
  <c r="AB59" i="1" s="1"/>
  <c r="M57" i="2" s="1"/>
  <c r="G61" i="5" s="1"/>
  <c r="H67" i="1"/>
  <c r="AB67" i="1" s="1"/>
  <c r="M65" i="2" s="1"/>
  <c r="O66" i="12"/>
  <c r="R68" i="11"/>
  <c r="J66" i="12" s="1"/>
  <c r="P68" i="11"/>
  <c r="H79" i="1"/>
  <c r="AB79" i="1" s="1"/>
  <c r="M77" i="2" s="1"/>
  <c r="G81" i="5" s="1"/>
  <c r="P80" i="11"/>
  <c r="R80" i="11"/>
  <c r="J78" i="12" s="1"/>
  <c r="O78" i="12"/>
  <c r="H87" i="1"/>
  <c r="AB87" i="1" s="1"/>
  <c r="M85" i="2" s="1"/>
  <c r="I86" i="12" s="1"/>
  <c r="O86" i="12"/>
  <c r="P88" i="11"/>
  <c r="R88" i="11"/>
  <c r="J86" i="12" s="1"/>
  <c r="O94" i="12"/>
  <c r="P96" i="11"/>
  <c r="H95" i="1"/>
  <c r="AB95" i="1" s="1"/>
  <c r="M93" i="2" s="1"/>
  <c r="I94" i="12" s="1"/>
  <c r="R96" i="11"/>
  <c r="J94" i="12" s="1"/>
  <c r="H103" i="1"/>
  <c r="AB103" i="1" s="1"/>
  <c r="M101" i="2" s="1"/>
  <c r="I102" i="12" s="1"/>
  <c r="R104" i="11"/>
  <c r="J102" i="12" s="1"/>
  <c r="P104" i="11"/>
  <c r="O102" i="12"/>
  <c r="R116" i="11"/>
  <c r="J114" i="12" s="1"/>
  <c r="P116" i="11"/>
  <c r="H115" i="1"/>
  <c r="AB115" i="1" s="1"/>
  <c r="M113" i="2" s="1"/>
  <c r="I114" i="12" s="1"/>
  <c r="R120" i="11"/>
  <c r="J118" i="12" s="1"/>
  <c r="H119" i="1"/>
  <c r="AB119" i="1" s="1"/>
  <c r="M117" i="2" s="1"/>
  <c r="Q117" i="2" s="1"/>
  <c r="P120" i="11"/>
  <c r="H131" i="1"/>
  <c r="AB131" i="1" s="1"/>
  <c r="M129" i="2" s="1"/>
  <c r="O130" i="12"/>
  <c r="P132" i="11"/>
  <c r="R132" i="11"/>
  <c r="J130" i="12" s="1"/>
  <c r="H135" i="1"/>
  <c r="AB135" i="1" s="1"/>
  <c r="M133" i="2" s="1"/>
  <c r="O134" i="12"/>
  <c r="R136" i="11"/>
  <c r="J134" i="12" s="1"/>
  <c r="H147" i="1"/>
  <c r="AB147" i="1" s="1"/>
  <c r="M145" i="2" s="1"/>
  <c r="G149" i="5" s="1"/>
  <c r="P148" i="11"/>
  <c r="O146" i="12"/>
  <c r="R148" i="11"/>
  <c r="J146" i="12" s="1"/>
  <c r="H155" i="1"/>
  <c r="AB155" i="1" s="1"/>
  <c r="M153" i="2" s="1"/>
  <c r="G157" i="5" s="1"/>
  <c r="O154" i="12"/>
  <c r="R156" i="11"/>
  <c r="J154" i="12" s="1"/>
  <c r="H163" i="1"/>
  <c r="AB163" i="1" s="1"/>
  <c r="M161" i="2" s="1"/>
  <c r="G165" i="5" s="1"/>
  <c r="O162" i="12"/>
  <c r="R164" i="11"/>
  <c r="J162" i="12" s="1"/>
  <c r="H175" i="1"/>
  <c r="AB175" i="1" s="1"/>
  <c r="M173" i="2" s="1"/>
  <c r="G177" i="5" s="1"/>
  <c r="O174" i="12"/>
  <c r="P176" i="11"/>
  <c r="R176" i="11"/>
  <c r="J174" i="12" s="1"/>
  <c r="H187" i="1"/>
  <c r="AB187" i="1" s="1"/>
  <c r="M185" i="2" s="1"/>
  <c r="G189" i="5" s="1"/>
  <c r="P188" i="11"/>
  <c r="R188" i="11"/>
  <c r="J186" i="12" s="1"/>
  <c r="H199" i="1"/>
  <c r="AB199" i="1" s="1"/>
  <c r="M197" i="2" s="1"/>
  <c r="P200" i="11"/>
  <c r="R200" i="11"/>
  <c r="J198" i="12" s="1"/>
  <c r="H211" i="1"/>
  <c r="AB211" i="1" s="1"/>
  <c r="M209" i="2" s="1"/>
  <c r="I210" i="12" s="1"/>
  <c r="P212" i="11"/>
  <c r="O210" i="12"/>
  <c r="R212" i="11"/>
  <c r="J210" i="12" s="1"/>
  <c r="H215" i="1"/>
  <c r="AB215" i="1" s="1"/>
  <c r="M213" i="2" s="1"/>
  <c r="G217" i="5" s="1"/>
  <c r="P216" i="11"/>
  <c r="O214" i="12"/>
  <c r="R216" i="11"/>
  <c r="J214" i="12" s="1"/>
  <c r="O228" i="11"/>
  <c r="H227" i="1"/>
  <c r="AB227" i="1" s="1"/>
  <c r="M225" i="2" s="1"/>
  <c r="P228" i="11"/>
  <c r="O226" i="12"/>
  <c r="R228" i="11"/>
  <c r="J226" i="12" s="1"/>
  <c r="H231" i="1"/>
  <c r="AB231" i="1" s="1"/>
  <c r="M229" i="2" s="1"/>
  <c r="I230" i="12" s="1"/>
  <c r="P232" i="11"/>
  <c r="O230" i="12"/>
  <c r="R232" i="11"/>
  <c r="J230" i="12" s="1"/>
  <c r="H243" i="1"/>
  <c r="AB243" i="1" s="1"/>
  <c r="M241" i="2" s="1"/>
  <c r="I242" i="12" s="1"/>
  <c r="R244" i="11"/>
  <c r="J242" i="12" s="1"/>
  <c r="O242" i="12"/>
  <c r="P244" i="11"/>
  <c r="H247" i="1"/>
  <c r="AB247" i="1" s="1"/>
  <c r="M245" i="2" s="1"/>
  <c r="R248" i="11"/>
  <c r="J246" i="12" s="1"/>
  <c r="O246" i="12"/>
  <c r="P248" i="11"/>
  <c r="H259" i="1"/>
  <c r="AB259" i="1" s="1"/>
  <c r="M257" i="2" s="1"/>
  <c r="R260" i="11"/>
  <c r="J258" i="12" s="1"/>
  <c r="P260" i="11"/>
  <c r="O258" i="12"/>
  <c r="H271" i="1"/>
  <c r="AB271" i="1" s="1"/>
  <c r="M269" i="2" s="1"/>
  <c r="O270" i="12"/>
  <c r="R272" i="11"/>
  <c r="J270" i="12" s="1"/>
  <c r="H275" i="1"/>
  <c r="AB275" i="1" s="1"/>
  <c r="M273" i="2" s="1"/>
  <c r="O274" i="12"/>
  <c r="R276" i="11"/>
  <c r="J274" i="12" s="1"/>
  <c r="H287" i="1"/>
  <c r="AB287" i="1" s="1"/>
  <c r="M285" i="2" s="1"/>
  <c r="G289" i="5" s="1"/>
  <c r="O286" i="12"/>
  <c r="R288" i="11"/>
  <c r="J286" i="12" s="1"/>
  <c r="H299" i="1"/>
  <c r="AB299" i="1" s="1"/>
  <c r="M297" i="2" s="1"/>
  <c r="G301" i="5" s="1"/>
  <c r="O298" i="12"/>
  <c r="R300" i="11"/>
  <c r="J298" i="12" s="1"/>
  <c r="H303" i="1"/>
  <c r="AB303" i="1" s="1"/>
  <c r="M301" i="2" s="1"/>
  <c r="R304" i="11"/>
  <c r="J302" i="12" s="1"/>
  <c r="O302" i="12"/>
  <c r="H315" i="1"/>
  <c r="AB315" i="1" s="1"/>
  <c r="M313" i="2" s="1"/>
  <c r="Q313" i="2" s="1"/>
  <c r="R316" i="11"/>
  <c r="J314" i="12" s="1"/>
  <c r="O314" i="12"/>
  <c r="H327" i="1"/>
  <c r="AB327" i="1" s="1"/>
  <c r="M325" i="2" s="1"/>
  <c r="R328" i="11"/>
  <c r="J326" i="12" s="1"/>
  <c r="O326" i="12"/>
  <c r="R336" i="11"/>
  <c r="J334" i="12" s="1"/>
  <c r="H335" i="1"/>
  <c r="AB335" i="1" s="1"/>
  <c r="M333" i="2" s="1"/>
  <c r="G337" i="5" s="1"/>
  <c r="O334" i="12"/>
  <c r="P21" i="12"/>
  <c r="Y26" i="11"/>
  <c r="P24" i="12"/>
  <c r="J24" i="12"/>
  <c r="Y28" i="11"/>
  <c r="P26" i="12"/>
  <c r="Y30" i="11"/>
  <c r="P28" i="12"/>
  <c r="Y33" i="11"/>
  <c r="P31" i="12"/>
  <c r="J31" i="12"/>
  <c r="Y42" i="11"/>
  <c r="P40" i="12"/>
  <c r="Y44" i="11"/>
  <c r="P42" i="12"/>
  <c r="P45" i="12"/>
  <c r="Y47" i="11"/>
  <c r="Y50" i="11"/>
  <c r="P48" i="12"/>
  <c r="Y53" i="11"/>
  <c r="J51" i="12"/>
  <c r="P53" i="12"/>
  <c r="Y58" i="11"/>
  <c r="J56" i="12"/>
  <c r="P56" i="12"/>
  <c r="Y61" i="11"/>
  <c r="P59" i="12"/>
  <c r="J59" i="12"/>
  <c r="Y63" i="11"/>
  <c r="P61" i="12"/>
  <c r="Y65" i="11"/>
  <c r="P63" i="12"/>
  <c r="J63" i="12"/>
  <c r="J65" i="12"/>
  <c r="P65" i="12"/>
  <c r="Y69" i="11"/>
  <c r="J67" i="12"/>
  <c r="P67" i="12"/>
  <c r="Y72" i="11"/>
  <c r="P70" i="12"/>
  <c r="P73" i="12"/>
  <c r="Y75" i="11"/>
  <c r="Y76" i="11"/>
  <c r="P74" i="12"/>
  <c r="P77" i="12"/>
  <c r="Y79" i="11"/>
  <c r="Y89" i="11"/>
  <c r="P87" i="12"/>
  <c r="J87" i="12"/>
  <c r="Y90" i="11"/>
  <c r="P88" i="12"/>
  <c r="J88" i="12"/>
  <c r="J89" i="12"/>
  <c r="P89" i="12"/>
  <c r="Y91" i="11"/>
  <c r="Y92" i="11"/>
  <c r="P90" i="12"/>
  <c r="Y93" i="11"/>
  <c r="P91" i="12"/>
  <c r="J91" i="12"/>
  <c r="Y94" i="11"/>
  <c r="P92" i="12"/>
  <c r="Y95" i="11"/>
  <c r="Y96" i="11"/>
  <c r="P94" i="12"/>
  <c r="Y98" i="11"/>
  <c r="P96" i="12"/>
  <c r="Y101" i="11"/>
  <c r="J99" i="12"/>
  <c r="P99" i="12"/>
  <c r="Y102" i="11"/>
  <c r="P100" i="12"/>
  <c r="P101" i="12"/>
  <c r="Y104" i="11"/>
  <c r="P102" i="12"/>
  <c r="Y105" i="11"/>
  <c r="P103" i="12"/>
  <c r="J103" i="12"/>
  <c r="Y106" i="11"/>
  <c r="P104" i="12"/>
  <c r="Y107" i="11"/>
  <c r="Y108" i="11"/>
  <c r="P106" i="12"/>
  <c r="J107" i="12"/>
  <c r="K107" i="12" s="1"/>
  <c r="Y109" i="11"/>
  <c r="P107" i="12"/>
  <c r="Y110" i="11"/>
  <c r="P108" i="12"/>
  <c r="J108" i="12"/>
  <c r="Y112" i="11"/>
  <c r="P110" i="12"/>
  <c r="Y113" i="11"/>
  <c r="P111" i="12"/>
  <c r="J111" i="12"/>
  <c r="Y114" i="11"/>
  <c r="P112" i="12"/>
  <c r="J112" i="12"/>
  <c r="P113" i="12"/>
  <c r="Y116" i="11"/>
  <c r="P114" i="12"/>
  <c r="P115" i="12"/>
  <c r="Y117" i="11"/>
  <c r="Y118" i="11"/>
  <c r="J116" i="12"/>
  <c r="P116" i="12"/>
  <c r="Y119" i="11"/>
  <c r="P117" i="12"/>
  <c r="Y120" i="11"/>
  <c r="P118" i="12"/>
  <c r="Y121" i="11"/>
  <c r="P119" i="12"/>
  <c r="J119" i="12"/>
  <c r="Y122" i="11"/>
  <c r="J120" i="12"/>
  <c r="J123" i="12"/>
  <c r="P123" i="12"/>
  <c r="P124" i="12"/>
  <c r="Y126" i="11"/>
  <c r="J124" i="12"/>
  <c r="P125" i="12"/>
  <c r="Y127" i="11"/>
  <c r="Y128" i="11"/>
  <c r="P126" i="12"/>
  <c r="Y129" i="11"/>
  <c r="J127" i="12"/>
  <c r="Y130" i="11"/>
  <c r="J128" i="12"/>
  <c r="P128" i="12"/>
  <c r="P129" i="12"/>
  <c r="Y134" i="11"/>
  <c r="P132" i="12"/>
  <c r="J132" i="12"/>
  <c r="Y135" i="11"/>
  <c r="P133" i="12"/>
  <c r="Y136" i="11"/>
  <c r="P134" i="12"/>
  <c r="J135" i="12"/>
  <c r="P135" i="12"/>
  <c r="Y137" i="11"/>
  <c r="Y138" i="11"/>
  <c r="P136" i="12"/>
  <c r="Y139" i="11"/>
  <c r="Y140" i="11"/>
  <c r="P138" i="12"/>
  <c r="Y142" i="11"/>
  <c r="J140" i="12"/>
  <c r="P140" i="12"/>
  <c r="Y143" i="11"/>
  <c r="P141" i="12"/>
  <c r="Y144" i="11"/>
  <c r="P142" i="12"/>
  <c r="Y147" i="11"/>
  <c r="Y148" i="11"/>
  <c r="P146" i="12"/>
  <c r="P147" i="12"/>
  <c r="Y149" i="11"/>
  <c r="Y150" i="11"/>
  <c r="P148" i="12"/>
  <c r="J148" i="12"/>
  <c r="Y151" i="11"/>
  <c r="J149" i="12"/>
  <c r="P149" i="12"/>
  <c r="P151" i="12"/>
  <c r="Q151" i="12" s="1"/>
  <c r="J151" i="12"/>
  <c r="Y154" i="11"/>
  <c r="P152" i="12"/>
  <c r="J152" i="12"/>
  <c r="P153" i="12"/>
  <c r="Y156" i="11"/>
  <c r="P154" i="12"/>
  <c r="Y157" i="11"/>
  <c r="Y158" i="11"/>
  <c r="J156" i="12"/>
  <c r="P156" i="12"/>
  <c r="Y159" i="11"/>
  <c r="P157" i="12"/>
  <c r="Y160" i="11"/>
  <c r="P158" i="12"/>
  <c r="P159" i="12"/>
  <c r="Y161" i="11"/>
  <c r="J159" i="12"/>
  <c r="Y162" i="11"/>
  <c r="P160" i="12"/>
  <c r="J160" i="12"/>
  <c r="Y164" i="11"/>
  <c r="P162" i="12"/>
  <c r="Y166" i="11"/>
  <c r="J164" i="12"/>
  <c r="P164" i="12"/>
  <c r="Y167" i="11"/>
  <c r="P165" i="12"/>
  <c r="J165" i="12"/>
  <c r="P166" i="12"/>
  <c r="Y168" i="11"/>
  <c r="J167" i="12"/>
  <c r="Y169" i="11"/>
  <c r="Y170" i="11"/>
  <c r="P168" i="12"/>
  <c r="J168" i="12"/>
  <c r="P169" i="12"/>
  <c r="Y171" i="11"/>
  <c r="Y172" i="11"/>
  <c r="P170" i="12"/>
  <c r="Y174" i="11"/>
  <c r="P172" i="12"/>
  <c r="Y175" i="11"/>
  <c r="P173" i="12"/>
  <c r="Y51" i="11"/>
  <c r="Y111" i="11"/>
  <c r="Y131" i="11"/>
  <c r="Y153" i="11"/>
  <c r="Y173" i="11"/>
  <c r="P34" i="12"/>
  <c r="P98" i="12"/>
  <c r="P127" i="12"/>
  <c r="J172" i="12"/>
  <c r="P86" i="12"/>
  <c r="P120" i="12"/>
  <c r="P139" i="12"/>
  <c r="P164" i="11"/>
  <c r="P156" i="11"/>
  <c r="P136" i="11"/>
  <c r="Y40" i="11"/>
  <c r="O252" i="11"/>
  <c r="D251" i="1"/>
  <c r="AC251" i="1" s="1"/>
  <c r="AD251" i="1" s="1"/>
  <c r="E249" i="2" s="1"/>
  <c r="E253" i="5" s="1"/>
  <c r="O250" i="12"/>
  <c r="G254" i="1"/>
  <c r="AA254" i="1" s="1"/>
  <c r="D252" i="2" s="1"/>
  <c r="P252" i="2" s="1"/>
  <c r="O253" i="12"/>
  <c r="P255" i="11"/>
  <c r="S339" i="11"/>
  <c r="P339" i="11"/>
  <c r="O18" i="12"/>
  <c r="H19" i="1"/>
  <c r="AB19" i="1" s="1"/>
  <c r="M17" i="2" s="1"/>
  <c r="Q17" i="2" s="1"/>
  <c r="R20" i="11"/>
  <c r="J18" i="12" s="1"/>
  <c r="P20" i="11"/>
  <c r="O20" i="11"/>
  <c r="H35" i="1"/>
  <c r="AB35" i="1" s="1"/>
  <c r="M33" i="2" s="1"/>
  <c r="I34" i="12" s="1"/>
  <c r="R36" i="11"/>
  <c r="J34" i="12" s="1"/>
  <c r="P36" i="11"/>
  <c r="O34" i="12"/>
  <c r="R52" i="11"/>
  <c r="J50" i="12" s="1"/>
  <c r="P52" i="11"/>
  <c r="O50" i="12"/>
  <c r="H51" i="1"/>
  <c r="AB51" i="1" s="1"/>
  <c r="M49" i="2" s="1"/>
  <c r="I50" i="12" s="1"/>
  <c r="H63" i="1"/>
  <c r="AB63" i="1" s="1"/>
  <c r="M61" i="2" s="1"/>
  <c r="G65" i="5" s="1"/>
  <c r="O62" i="12"/>
  <c r="R64" i="11"/>
  <c r="J62" i="12" s="1"/>
  <c r="P64" i="11"/>
  <c r="H75" i="1"/>
  <c r="AB75" i="1" s="1"/>
  <c r="M73" i="2" s="1"/>
  <c r="G77" i="5" s="1"/>
  <c r="P76" i="11"/>
  <c r="R76" i="11"/>
  <c r="J74" i="12" s="1"/>
  <c r="O74" i="12"/>
  <c r="O90" i="12"/>
  <c r="P92" i="11"/>
  <c r="H91" i="1"/>
  <c r="AB91" i="1" s="1"/>
  <c r="M89" i="2" s="1"/>
  <c r="G93" i="5" s="1"/>
  <c r="R92" i="11"/>
  <c r="J90" i="12" s="1"/>
  <c r="O106" i="12"/>
  <c r="R108" i="11"/>
  <c r="J106" i="12" s="1"/>
  <c r="P108" i="11"/>
  <c r="H107" i="1"/>
  <c r="AB107" i="1" s="1"/>
  <c r="M105" i="2" s="1"/>
  <c r="Q105" i="2" s="1"/>
  <c r="H127" i="1"/>
  <c r="AB127" i="1" s="1"/>
  <c r="M125" i="2" s="1"/>
  <c r="G129" i="5" s="1"/>
  <c r="R128" i="11"/>
  <c r="J126" i="12" s="1"/>
  <c r="O126" i="12"/>
  <c r="P128" i="11"/>
  <c r="H143" i="1"/>
  <c r="AB143" i="1" s="1"/>
  <c r="M141" i="2" s="1"/>
  <c r="P144" i="11"/>
  <c r="O142" i="12"/>
  <c r="R144" i="11"/>
  <c r="J142" i="12" s="1"/>
  <c r="H159" i="1"/>
  <c r="AB159" i="1" s="1"/>
  <c r="M157" i="2" s="1"/>
  <c r="G161" i="5" s="1"/>
  <c r="O158" i="12"/>
  <c r="R160" i="11"/>
  <c r="J158" i="12" s="1"/>
  <c r="H171" i="1"/>
  <c r="AB171" i="1" s="1"/>
  <c r="M169" i="2" s="1"/>
  <c r="G173" i="5" s="1"/>
  <c r="O170" i="12"/>
  <c r="P172" i="11"/>
  <c r="R172" i="11"/>
  <c r="J170" i="12" s="1"/>
  <c r="H183" i="1"/>
  <c r="AB183" i="1" s="1"/>
  <c r="M181" i="2" s="1"/>
  <c r="I182" i="12" s="1"/>
  <c r="P184" i="11"/>
  <c r="R184" i="11"/>
  <c r="J182" i="12" s="1"/>
  <c r="H195" i="1"/>
  <c r="AB195" i="1" s="1"/>
  <c r="M193" i="2" s="1"/>
  <c r="Q193" i="2" s="1"/>
  <c r="P196" i="11"/>
  <c r="R196" i="11"/>
  <c r="J194" i="12" s="1"/>
  <c r="H203" i="1"/>
  <c r="AB203" i="1" s="1"/>
  <c r="M201" i="2" s="1"/>
  <c r="I202" i="12" s="1"/>
  <c r="O204" i="11"/>
  <c r="O202" i="12"/>
  <c r="R204" i="11"/>
  <c r="J202" i="12" s="1"/>
  <c r="P204" i="11"/>
  <c r="H219" i="1"/>
  <c r="AB219" i="1" s="1"/>
  <c r="M217" i="2" s="1"/>
  <c r="G221" i="5" s="1"/>
  <c r="P220" i="11"/>
  <c r="O218" i="12"/>
  <c r="R220" i="11"/>
  <c r="J218" i="12" s="1"/>
  <c r="O236" i="11"/>
  <c r="O234" i="12"/>
  <c r="P236" i="11"/>
  <c r="H235" i="1"/>
  <c r="AB235" i="1" s="1"/>
  <c r="M233" i="2" s="1"/>
  <c r="R236" i="11"/>
  <c r="J234" i="12" s="1"/>
  <c r="H255" i="1"/>
  <c r="AB255" i="1" s="1"/>
  <c r="M253" i="2" s="1"/>
  <c r="G257" i="5" s="1"/>
  <c r="R256" i="11"/>
  <c r="J254" i="12" s="1"/>
  <c r="H267" i="1"/>
  <c r="AB267" i="1" s="1"/>
  <c r="M265" i="2" s="1"/>
  <c r="R268" i="11"/>
  <c r="J266" i="12" s="1"/>
  <c r="H279" i="1"/>
  <c r="AB279" i="1" s="1"/>
  <c r="M277" i="2" s="1"/>
  <c r="I278" i="12" s="1"/>
  <c r="O278" i="12"/>
  <c r="R280" i="11"/>
  <c r="J278" i="12" s="1"/>
  <c r="H291" i="1"/>
  <c r="AB291" i="1" s="1"/>
  <c r="M289" i="2" s="1"/>
  <c r="G293" i="5" s="1"/>
  <c r="O290" i="12"/>
  <c r="R292" i="11"/>
  <c r="J290" i="12" s="1"/>
  <c r="R308" i="11"/>
  <c r="J306" i="12" s="1"/>
  <c r="H307" i="1"/>
  <c r="AB307" i="1" s="1"/>
  <c r="M305" i="2" s="1"/>
  <c r="I306" i="12" s="1"/>
  <c r="O306" i="12"/>
  <c r="H319" i="1"/>
  <c r="AB319" i="1" s="1"/>
  <c r="M317" i="2" s="1"/>
  <c r="G321" i="5" s="1"/>
  <c r="R320" i="11"/>
  <c r="J318" i="12" s="1"/>
  <c r="O318" i="12"/>
  <c r="H339" i="1"/>
  <c r="AB339" i="1" s="1"/>
  <c r="M337" i="2" s="1"/>
  <c r="G341" i="5" s="1"/>
  <c r="R340" i="11"/>
  <c r="J338" i="12" s="1"/>
  <c r="P340" i="11"/>
  <c r="Y22" i="11"/>
  <c r="J20" i="12"/>
  <c r="Y25" i="11"/>
  <c r="P23" i="12"/>
  <c r="J23" i="12"/>
  <c r="Y29" i="11"/>
  <c r="J27" i="12"/>
  <c r="Y32" i="11"/>
  <c r="P30" i="12"/>
  <c r="P33" i="12"/>
  <c r="Y38" i="11"/>
  <c r="J36" i="12"/>
  <c r="Y41" i="11"/>
  <c r="P39" i="12"/>
  <c r="J39" i="12"/>
  <c r="Y45" i="11"/>
  <c r="P43" i="12"/>
  <c r="Y56" i="11"/>
  <c r="P54" i="12"/>
  <c r="Y59" i="11"/>
  <c r="Y62" i="11"/>
  <c r="J60" i="12"/>
  <c r="Y66" i="11"/>
  <c r="P64" i="12"/>
  <c r="J64" i="12"/>
  <c r="Y73" i="11"/>
  <c r="P71" i="12"/>
  <c r="J71" i="12"/>
  <c r="Y77" i="11"/>
  <c r="P75" i="12"/>
  <c r="Y80" i="11"/>
  <c r="P78" i="12"/>
  <c r="Y82" i="11"/>
  <c r="P80" i="12"/>
  <c r="Y86" i="11"/>
  <c r="J84" i="12"/>
  <c r="P97" i="12"/>
  <c r="J97" i="12"/>
  <c r="Y23" i="11"/>
  <c r="Y55" i="11"/>
  <c r="Y87" i="11"/>
  <c r="Y115" i="11"/>
  <c r="Y133" i="11"/>
  <c r="Y155" i="11"/>
  <c r="P171" i="12"/>
  <c r="P50" i="12"/>
  <c r="P93" i="12"/>
  <c r="P143" i="12"/>
  <c r="P51" i="12"/>
  <c r="J61" i="12"/>
  <c r="J136" i="12"/>
  <c r="J75" i="12"/>
  <c r="P95" i="12"/>
  <c r="P163" i="12"/>
  <c r="P46" i="12"/>
  <c r="P336" i="11"/>
  <c r="P328" i="11"/>
  <c r="P320" i="11"/>
  <c r="P316" i="11"/>
  <c r="P308" i="11"/>
  <c r="P304" i="11"/>
  <c r="P300" i="11"/>
  <c r="P292" i="11"/>
  <c r="P288" i="11"/>
  <c r="P280" i="11"/>
  <c r="P276" i="11"/>
  <c r="P272" i="11"/>
  <c r="O253" i="11"/>
  <c r="D252" i="1"/>
  <c r="AC252" i="1" s="1"/>
  <c r="AD252" i="1" s="1"/>
  <c r="E250" i="2" s="1"/>
  <c r="E254" i="5" s="1"/>
  <c r="O251" i="12"/>
  <c r="O338" i="11"/>
  <c r="D337" i="1"/>
  <c r="AC337" i="1" s="1"/>
  <c r="AD337" i="1" s="1"/>
  <c r="E335" i="2" s="1"/>
  <c r="E339" i="5" s="1"/>
  <c r="D338" i="1"/>
  <c r="AC338" i="1" s="1"/>
  <c r="AD338" i="1" s="1"/>
  <c r="E336" i="2" s="1"/>
  <c r="E340" i="5" s="1"/>
  <c r="O337" i="12"/>
  <c r="O338" i="12"/>
  <c r="D339" i="1"/>
  <c r="AC339" i="1" s="1"/>
  <c r="AD339" i="1" s="1"/>
  <c r="E337" i="2" s="1"/>
  <c r="E341" i="5" s="1"/>
  <c r="O14" i="12"/>
  <c r="R16" i="11"/>
  <c r="J14" i="12" s="1"/>
  <c r="P16" i="11"/>
  <c r="H15" i="1"/>
  <c r="AB15" i="1" s="1"/>
  <c r="M13" i="2" s="1"/>
  <c r="G17" i="5" s="1"/>
  <c r="H27" i="1"/>
  <c r="AB27" i="1" s="1"/>
  <c r="M25" i="2" s="1"/>
  <c r="G29" i="5" s="1"/>
  <c r="R28" i="11"/>
  <c r="J26" i="12" s="1"/>
  <c r="P28" i="11"/>
  <c r="O26" i="12"/>
  <c r="H43" i="1"/>
  <c r="AB43" i="1" s="1"/>
  <c r="M41" i="2" s="1"/>
  <c r="G45" i="5" s="1"/>
  <c r="R44" i="11"/>
  <c r="J42" i="12" s="1"/>
  <c r="P44" i="11"/>
  <c r="O42" i="12"/>
  <c r="H55" i="1"/>
  <c r="AB55" i="1" s="1"/>
  <c r="M53" i="2" s="1"/>
  <c r="Q53" i="2" s="1"/>
  <c r="R56" i="11"/>
  <c r="J54" i="12" s="1"/>
  <c r="O54" i="12"/>
  <c r="P56" i="11"/>
  <c r="O70" i="12"/>
  <c r="R72" i="11"/>
  <c r="J70" i="12" s="1"/>
  <c r="P72" i="11"/>
  <c r="H71" i="1"/>
  <c r="AB71" i="1" s="1"/>
  <c r="M69" i="2" s="1"/>
  <c r="G73" i="5" s="1"/>
  <c r="H83" i="1"/>
  <c r="AB83" i="1" s="1"/>
  <c r="M81" i="2" s="1"/>
  <c r="G85" i="5" s="1"/>
  <c r="P84" i="11"/>
  <c r="R84" i="11"/>
  <c r="J82" i="12" s="1"/>
  <c r="O82" i="12"/>
  <c r="O98" i="12"/>
  <c r="P100" i="11"/>
  <c r="H99" i="1"/>
  <c r="AB99" i="1" s="1"/>
  <c r="M97" i="2" s="1"/>
  <c r="G101" i="5" s="1"/>
  <c r="R100" i="11"/>
  <c r="J98" i="12" s="1"/>
  <c r="O110" i="12"/>
  <c r="R112" i="11"/>
  <c r="J110" i="12" s="1"/>
  <c r="P112" i="11"/>
  <c r="H111" i="1"/>
  <c r="AB111" i="1" s="1"/>
  <c r="M109" i="2" s="1"/>
  <c r="G113" i="5" s="1"/>
  <c r="H123" i="1"/>
  <c r="AB123" i="1" s="1"/>
  <c r="M121" i="2" s="1"/>
  <c r="G125" i="5" s="1"/>
  <c r="R124" i="11"/>
  <c r="J122" i="12" s="1"/>
  <c r="O122" i="12"/>
  <c r="P124" i="11"/>
  <c r="H139" i="1"/>
  <c r="AB139" i="1" s="1"/>
  <c r="M137" i="2" s="1"/>
  <c r="I138" i="12" s="1"/>
  <c r="P140" i="11"/>
  <c r="O138" i="12"/>
  <c r="R140" i="11"/>
  <c r="J138" i="12" s="1"/>
  <c r="H151" i="1"/>
  <c r="AB151" i="1" s="1"/>
  <c r="M149" i="2" s="1"/>
  <c r="O150" i="12"/>
  <c r="R152" i="11"/>
  <c r="J150" i="12" s="1"/>
  <c r="O166" i="12"/>
  <c r="P168" i="11"/>
  <c r="R168" i="11"/>
  <c r="J166" i="12" s="1"/>
  <c r="H167" i="1"/>
  <c r="AB167" i="1" s="1"/>
  <c r="M165" i="2" s="1"/>
  <c r="G169" i="5" s="1"/>
  <c r="H179" i="1"/>
  <c r="AB179" i="1" s="1"/>
  <c r="M177" i="2" s="1"/>
  <c r="G181" i="5" s="1"/>
  <c r="P180" i="11"/>
  <c r="R180" i="11"/>
  <c r="J178" i="12" s="1"/>
  <c r="H191" i="1"/>
  <c r="AB191" i="1" s="1"/>
  <c r="M189" i="2" s="1"/>
  <c r="G193" i="5" s="1"/>
  <c r="P192" i="11"/>
  <c r="R192" i="11"/>
  <c r="J190" i="12" s="1"/>
  <c r="O206" i="12"/>
  <c r="H207" i="1"/>
  <c r="AB207" i="1" s="1"/>
  <c r="M205" i="2" s="1"/>
  <c r="I206" i="12" s="1"/>
  <c r="P208" i="11"/>
  <c r="R208" i="11"/>
  <c r="J206" i="12" s="1"/>
  <c r="H223" i="1"/>
  <c r="AB223" i="1" s="1"/>
  <c r="M221" i="2" s="1"/>
  <c r="P224" i="11"/>
  <c r="O222" i="12"/>
  <c r="R224" i="11"/>
  <c r="J222" i="12" s="1"/>
  <c r="H239" i="1"/>
  <c r="AB239" i="1" s="1"/>
  <c r="M237" i="2" s="1"/>
  <c r="G241" i="5" s="1"/>
  <c r="R240" i="11"/>
  <c r="J238" i="12" s="1"/>
  <c r="O238" i="12"/>
  <c r="P240" i="11"/>
  <c r="H251" i="1"/>
  <c r="AB251" i="1" s="1"/>
  <c r="M249" i="2" s="1"/>
  <c r="R252" i="11"/>
  <c r="J250" i="12" s="1"/>
  <c r="P252" i="11"/>
  <c r="H263" i="1"/>
  <c r="AB263" i="1" s="1"/>
  <c r="M261" i="2" s="1"/>
  <c r="R264" i="11"/>
  <c r="J262" i="12" s="1"/>
  <c r="P264" i="11"/>
  <c r="O262" i="12"/>
  <c r="H283" i="1"/>
  <c r="AB283" i="1" s="1"/>
  <c r="M281" i="2" s="1"/>
  <c r="G285" i="5" s="1"/>
  <c r="O282" i="12"/>
  <c r="R284" i="11"/>
  <c r="J282" i="12" s="1"/>
  <c r="H295" i="1"/>
  <c r="AB295" i="1" s="1"/>
  <c r="M293" i="2" s="1"/>
  <c r="G297" i="5" s="1"/>
  <c r="O294" i="12"/>
  <c r="Q294" i="12" s="1"/>
  <c r="R296" i="11"/>
  <c r="J294" i="12" s="1"/>
  <c r="R312" i="11"/>
  <c r="J310" i="12" s="1"/>
  <c r="H311" i="1"/>
  <c r="AB311" i="1" s="1"/>
  <c r="M309" i="2" s="1"/>
  <c r="G313" i="5" s="1"/>
  <c r="O310" i="12"/>
  <c r="H323" i="1"/>
  <c r="AB323" i="1" s="1"/>
  <c r="M321" i="2" s="1"/>
  <c r="R324" i="11"/>
  <c r="J322" i="12" s="1"/>
  <c r="O322" i="12"/>
  <c r="H331" i="1"/>
  <c r="AB331" i="1" s="1"/>
  <c r="M329" i="2" s="1"/>
  <c r="G333" i="5" s="1"/>
  <c r="R332" i="11"/>
  <c r="J330" i="12" s="1"/>
  <c r="Y24" i="11"/>
  <c r="P22" i="12"/>
  <c r="J25" i="12"/>
  <c r="Y27" i="11"/>
  <c r="P29" i="12"/>
  <c r="Y31" i="11"/>
  <c r="Y34" i="11"/>
  <c r="J32" i="12"/>
  <c r="Y37" i="11"/>
  <c r="P35" i="12"/>
  <c r="J35" i="12"/>
  <c r="J41" i="12"/>
  <c r="P41" i="12"/>
  <c r="Y43" i="11"/>
  <c r="Y46" i="11"/>
  <c r="P44" i="12"/>
  <c r="Q44" i="12" s="1"/>
  <c r="J44" i="12"/>
  <c r="Y54" i="11"/>
  <c r="P52" i="12"/>
  <c r="J52" i="12"/>
  <c r="Y57" i="11"/>
  <c r="J55" i="12"/>
  <c r="P55" i="12"/>
  <c r="Y60" i="11"/>
  <c r="P58" i="12"/>
  <c r="Y64" i="11"/>
  <c r="P62" i="12"/>
  <c r="Y70" i="11"/>
  <c r="P68" i="12"/>
  <c r="J68" i="12"/>
  <c r="Y74" i="11"/>
  <c r="J72" i="12"/>
  <c r="Y78" i="11"/>
  <c r="J76" i="12"/>
  <c r="P76" i="12"/>
  <c r="Y81" i="11"/>
  <c r="J79" i="12"/>
  <c r="P79" i="12"/>
  <c r="P81" i="12"/>
  <c r="J81" i="12"/>
  <c r="Y85" i="11"/>
  <c r="Y35" i="11"/>
  <c r="Y67" i="11"/>
  <c r="Y99" i="11"/>
  <c r="Y123" i="11"/>
  <c r="Y163" i="11"/>
  <c r="J28" i="12"/>
  <c r="J48" i="12"/>
  <c r="P66" i="12"/>
  <c r="P105" i="12"/>
  <c r="P155" i="12"/>
  <c r="P83" i="12"/>
  <c r="J131" i="12"/>
  <c r="J144" i="12"/>
  <c r="J115" i="12"/>
  <c r="P137" i="12"/>
  <c r="P32" i="12"/>
  <c r="Q32" i="12" s="1"/>
  <c r="P150" i="12"/>
  <c r="P36" i="12"/>
  <c r="P130" i="12"/>
  <c r="P122" i="12"/>
  <c r="O336" i="12"/>
  <c r="O198" i="12"/>
  <c r="O194" i="12"/>
  <c r="O190" i="12"/>
  <c r="O186" i="12"/>
  <c r="G222" i="5"/>
  <c r="AA8" i="1"/>
  <c r="D6" i="2" s="1"/>
  <c r="D10" i="5" s="1"/>
  <c r="E29" i="1"/>
  <c r="O220" i="11"/>
  <c r="E26" i="1"/>
  <c r="O27" i="11"/>
  <c r="O25" i="12"/>
  <c r="O29" i="11"/>
  <c r="E28" i="1"/>
  <c r="AA28" i="1" s="1"/>
  <c r="D26" i="2" s="1"/>
  <c r="D52" i="1"/>
  <c r="AC52" i="1" s="1"/>
  <c r="AD52" i="1" s="1"/>
  <c r="E50" i="2" s="1"/>
  <c r="O51" i="12"/>
  <c r="S53" i="11"/>
  <c r="P53" i="11"/>
  <c r="D54" i="1"/>
  <c r="AC54" i="1" s="1"/>
  <c r="AD54" i="1" s="1"/>
  <c r="E52" i="2" s="1"/>
  <c r="O53" i="12"/>
  <c r="O56" i="11"/>
  <c r="D55" i="1"/>
  <c r="AC55" i="1" s="1"/>
  <c r="AD55" i="1" s="1"/>
  <c r="E53" i="2" s="1"/>
  <c r="E57" i="5" s="1"/>
  <c r="G56" i="1"/>
  <c r="P57" i="11"/>
  <c r="O115" i="11"/>
  <c r="O113" i="12"/>
  <c r="D114" i="1"/>
  <c r="AC114" i="1" s="1"/>
  <c r="AD114" i="1" s="1"/>
  <c r="E112" i="2" s="1"/>
  <c r="E116" i="5" s="1"/>
  <c r="O114" i="12"/>
  <c r="O120" i="11"/>
  <c r="O118" i="12"/>
  <c r="O179" i="11"/>
  <c r="D178" i="1"/>
  <c r="AC178" i="1" s="1"/>
  <c r="AD178" i="1" s="1"/>
  <c r="E176" i="2" s="1"/>
  <c r="E180" i="5" s="1"/>
  <c r="O177" i="12"/>
  <c r="D179" i="1"/>
  <c r="AC179" i="1" s="1"/>
  <c r="AD179" i="1" s="1"/>
  <c r="E177" i="2" s="1"/>
  <c r="E181" i="5" s="1"/>
  <c r="O178" i="12"/>
  <c r="O184" i="11"/>
  <c r="D183" i="1"/>
  <c r="AC183" i="1" s="1"/>
  <c r="AD183" i="1" s="1"/>
  <c r="E181" i="2" s="1"/>
  <c r="E185" i="5" s="1"/>
  <c r="O182" i="12"/>
  <c r="G184" i="1"/>
  <c r="AA184" i="1" s="1"/>
  <c r="D182" i="2" s="1"/>
  <c r="O183" i="12"/>
  <c r="G185" i="1"/>
  <c r="AA185" i="1" s="1"/>
  <c r="D183" i="2" s="1"/>
  <c r="D187" i="5" s="1"/>
  <c r="Q186" i="11"/>
  <c r="AA27" i="1"/>
  <c r="D25" i="2" s="1"/>
  <c r="D29" i="5" s="1"/>
  <c r="F29" i="5" s="1"/>
  <c r="AA264" i="1"/>
  <c r="D262" i="2" s="1"/>
  <c r="D266" i="5" s="1"/>
  <c r="AA252" i="1"/>
  <c r="D250" i="2" s="1"/>
  <c r="D254" i="5" s="1"/>
  <c r="AA46" i="1"/>
  <c r="D44" i="2" s="1"/>
  <c r="D45" i="12" s="1"/>
  <c r="X6" i="11"/>
  <c r="Y18" i="11"/>
  <c r="O72" i="11"/>
  <c r="O136" i="11"/>
  <c r="O248" i="11"/>
  <c r="AA302" i="1"/>
  <c r="D300" i="2" s="1"/>
  <c r="AA295" i="1"/>
  <c r="D293" i="2" s="1"/>
  <c r="D297" i="5" s="1"/>
  <c r="AA291" i="1"/>
  <c r="D289" i="2" s="1"/>
  <c r="D293" i="5" s="1"/>
  <c r="F293" i="5" s="1"/>
  <c r="AA287" i="1"/>
  <c r="D285" i="2" s="1"/>
  <c r="D286" i="12" s="1"/>
  <c r="AA285" i="1"/>
  <c r="D283" i="2" s="1"/>
  <c r="D287" i="5" s="1"/>
  <c r="AA181" i="1"/>
  <c r="D179" i="2" s="1"/>
  <c r="P179" i="2" s="1"/>
  <c r="AA12" i="1"/>
  <c r="D10" i="2" s="1"/>
  <c r="D14" i="5" s="1"/>
  <c r="F14" i="5" s="1"/>
  <c r="O59" i="11"/>
  <c r="O123" i="11"/>
  <c r="O187" i="11"/>
  <c r="O200" i="11"/>
  <c r="AA316" i="1"/>
  <c r="D314" i="2" s="1"/>
  <c r="D318" i="5" s="1"/>
  <c r="AA296" i="1"/>
  <c r="D294" i="2" s="1"/>
  <c r="D298" i="5" s="1"/>
  <c r="AA288" i="1"/>
  <c r="D286" i="2" s="1"/>
  <c r="AA183" i="1"/>
  <c r="D181" i="2" s="1"/>
  <c r="D185" i="5" s="1"/>
  <c r="AA113" i="1"/>
  <c r="D111" i="2" s="1"/>
  <c r="D112" i="12" s="1"/>
  <c r="V6" i="11"/>
  <c r="O24" i="11"/>
  <c r="O32" i="11"/>
  <c r="O96" i="11"/>
  <c r="O160" i="11"/>
  <c r="T10" i="11"/>
  <c r="K6" i="11"/>
  <c r="O23" i="11"/>
  <c r="T24" i="11"/>
  <c r="T28" i="11"/>
  <c r="T30" i="11"/>
  <c r="S36" i="11"/>
  <c r="T39" i="11"/>
  <c r="T42" i="11"/>
  <c r="T44" i="11"/>
  <c r="T46" i="11"/>
  <c r="T48" i="11"/>
  <c r="S51" i="11"/>
  <c r="O53" i="11"/>
  <c r="O55" i="11"/>
  <c r="O81" i="11"/>
  <c r="O82" i="11"/>
  <c r="T90" i="11"/>
  <c r="O93" i="11"/>
  <c r="S95" i="11"/>
  <c r="T103" i="11"/>
  <c r="T106" i="11"/>
  <c r="T108" i="11"/>
  <c r="T110" i="11"/>
  <c r="T112" i="11"/>
  <c r="S115" i="11"/>
  <c r="O117" i="11"/>
  <c r="S119" i="11"/>
  <c r="O145" i="11"/>
  <c r="O146" i="11"/>
  <c r="T154" i="11"/>
  <c r="O157" i="11"/>
  <c r="S159" i="11"/>
  <c r="T167" i="11"/>
  <c r="T170" i="11"/>
  <c r="T172" i="11"/>
  <c r="T174" i="11"/>
  <c r="T176" i="11"/>
  <c r="S179" i="11"/>
  <c r="O181" i="11"/>
  <c r="S183" i="11"/>
  <c r="T187" i="11"/>
  <c r="O212" i="11"/>
  <c r="O224" i="11"/>
  <c r="O275" i="11"/>
  <c r="AA16" i="1"/>
  <c r="D14" i="2" s="1"/>
  <c r="D18" i="5" s="1"/>
  <c r="O19" i="11"/>
  <c r="O35" i="11"/>
  <c r="O37" i="11"/>
  <c r="O40" i="11"/>
  <c r="O63" i="11"/>
  <c r="O64" i="11"/>
  <c r="O77" i="11"/>
  <c r="O79" i="11"/>
  <c r="O88" i="11"/>
  <c r="O99" i="11"/>
  <c r="O101" i="11"/>
  <c r="O104" i="11"/>
  <c r="O127" i="11"/>
  <c r="O128" i="11"/>
  <c r="O141" i="11"/>
  <c r="O143" i="11"/>
  <c r="O152" i="11"/>
  <c r="O163" i="11"/>
  <c r="O165" i="11"/>
  <c r="O168" i="11"/>
  <c r="O191" i="11"/>
  <c r="O192" i="11"/>
  <c r="O208" i="11"/>
  <c r="O210" i="11"/>
  <c r="O217" i="11"/>
  <c r="T218" i="11"/>
  <c r="O230" i="11"/>
  <c r="O232" i="11"/>
  <c r="O237" i="11"/>
  <c r="T238" i="11"/>
  <c r="T242" i="11"/>
  <c r="O263" i="11"/>
  <c r="S317" i="11"/>
  <c r="O319" i="11"/>
  <c r="O324" i="11"/>
  <c r="S12" i="11"/>
  <c r="T18" i="11"/>
  <c r="T21" i="11"/>
  <c r="S24" i="11"/>
  <c r="S28" i="11"/>
  <c r="O30" i="11"/>
  <c r="S30" i="11"/>
  <c r="T34" i="11"/>
  <c r="T36" i="11"/>
  <c r="T38" i="11"/>
  <c r="S44" i="11"/>
  <c r="S46" i="11"/>
  <c r="O48" i="11"/>
  <c r="O49" i="11"/>
  <c r="O50" i="11"/>
  <c r="T58" i="11"/>
  <c r="O61" i="11"/>
  <c r="S63" i="11"/>
  <c r="T71" i="11"/>
  <c r="T74" i="11"/>
  <c r="T76" i="11"/>
  <c r="T78" i="11"/>
  <c r="T80" i="11"/>
  <c r="S83" i="11"/>
  <c r="O85" i="11"/>
  <c r="S87" i="11"/>
  <c r="O113" i="11"/>
  <c r="O114" i="11"/>
  <c r="T122" i="11"/>
  <c r="O125" i="11"/>
  <c r="S127" i="11"/>
  <c r="T135" i="11"/>
  <c r="T138" i="11"/>
  <c r="T140" i="11"/>
  <c r="T142" i="11"/>
  <c r="T144" i="11"/>
  <c r="S147" i="11"/>
  <c r="O149" i="11"/>
  <c r="S151" i="11"/>
  <c r="T155" i="11"/>
  <c r="O177" i="11"/>
  <c r="O178" i="11"/>
  <c r="T186" i="11"/>
  <c r="O189" i="11"/>
  <c r="S191" i="11"/>
  <c r="T202" i="11"/>
  <c r="T205" i="11"/>
  <c r="O216" i="11"/>
  <c r="O219" i="11"/>
  <c r="T222" i="11"/>
  <c r="O244" i="11"/>
  <c r="O246" i="11"/>
  <c r="S249" i="11"/>
  <c r="O251" i="11"/>
  <c r="O274" i="11"/>
  <c r="O290" i="11"/>
  <c r="O292" i="11"/>
  <c r="O307" i="11"/>
  <c r="O333" i="11"/>
  <c r="O335" i="11"/>
  <c r="O337" i="11"/>
  <c r="S337" i="11"/>
  <c r="S48" i="11"/>
  <c r="T52" i="11"/>
  <c r="T54" i="11"/>
  <c r="T56" i="11"/>
  <c r="O62" i="11"/>
  <c r="T66" i="11"/>
  <c r="T68" i="11"/>
  <c r="T70" i="11"/>
  <c r="S71" i="11"/>
  <c r="O80" i="11"/>
  <c r="T84" i="11"/>
  <c r="O84" i="12"/>
  <c r="T86" i="11"/>
  <c r="T88" i="11"/>
  <c r="O94" i="11"/>
  <c r="T98" i="11"/>
  <c r="T100" i="11"/>
  <c r="T102" i="11"/>
  <c r="S103" i="11"/>
  <c r="O112" i="11"/>
  <c r="T116" i="11"/>
  <c r="O116" i="12"/>
  <c r="T118" i="11"/>
  <c r="T120" i="11"/>
  <c r="O126" i="11"/>
  <c r="T130" i="11"/>
  <c r="T132" i="11"/>
  <c r="T134" i="11"/>
  <c r="S135" i="11"/>
  <c r="O144" i="11"/>
  <c r="T148" i="11"/>
  <c r="T150" i="11"/>
  <c r="T152" i="11"/>
  <c r="O158" i="11"/>
  <c r="T162" i="11"/>
  <c r="T164" i="11"/>
  <c r="T166" i="11"/>
  <c r="S167" i="11"/>
  <c r="O176" i="11"/>
  <c r="T180" i="11"/>
  <c r="O180" i="12"/>
  <c r="T182" i="11"/>
  <c r="T184" i="11"/>
  <c r="O190" i="11"/>
  <c r="T194" i="11"/>
  <c r="T196" i="11"/>
  <c r="S205" i="11"/>
  <c r="O211" i="11"/>
  <c r="S221" i="11"/>
  <c r="O225" i="11"/>
  <c r="T226" i="11"/>
  <c r="O243" i="11"/>
  <c r="O257" i="11"/>
  <c r="T258" i="11"/>
  <c r="T262" i="11"/>
  <c r="T268" i="11"/>
  <c r="S269" i="11"/>
  <c r="O273" i="11"/>
  <c r="S273" i="11"/>
  <c r="T274" i="11"/>
  <c r="O291" i="11"/>
  <c r="O295" i="11"/>
  <c r="S301" i="11"/>
  <c r="S305" i="11"/>
  <c r="T306" i="11"/>
  <c r="O329" i="11"/>
  <c r="S332" i="11"/>
  <c r="T333" i="11"/>
  <c r="T237" i="11"/>
  <c r="O240" i="11"/>
  <c r="O242" i="11"/>
  <c r="O245" i="11"/>
  <c r="T253" i="11"/>
  <c r="O256" i="11"/>
  <c r="O259" i="11"/>
  <c r="O260" i="11"/>
  <c r="O281" i="11"/>
  <c r="O289" i="11"/>
  <c r="T294" i="11"/>
  <c r="T300" i="11"/>
  <c r="O313" i="11"/>
  <c r="O316" i="11"/>
  <c r="O323" i="11"/>
  <c r="O327" i="11"/>
  <c r="O339" i="11"/>
  <c r="J6" i="11"/>
  <c r="O266" i="11"/>
  <c r="O282" i="11"/>
  <c r="O298" i="11"/>
  <c r="O314" i="11"/>
  <c r="O330" i="11"/>
  <c r="D23" i="7"/>
  <c r="F107" i="7"/>
  <c r="E14" i="7"/>
  <c r="I96" i="10"/>
  <c r="M96" i="10" s="1"/>
  <c r="E22" i="7"/>
  <c r="E23" i="7" s="1"/>
  <c r="Q155" i="2"/>
  <c r="I84" i="12"/>
  <c r="G87" i="5"/>
  <c r="E325" i="12"/>
  <c r="G323" i="5"/>
  <c r="Q319" i="2"/>
  <c r="AA320" i="1"/>
  <c r="D318" i="2" s="1"/>
  <c r="AA319" i="1"/>
  <c r="D317" i="2" s="1"/>
  <c r="D321" i="5" s="1"/>
  <c r="F321" i="5" s="1"/>
  <c r="Q315" i="2"/>
  <c r="G319" i="5"/>
  <c r="AA313" i="1"/>
  <c r="D311" i="2" s="1"/>
  <c r="D315" i="5" s="1"/>
  <c r="Q263" i="2"/>
  <c r="I264" i="12"/>
  <c r="I164" i="12"/>
  <c r="Q239" i="2"/>
  <c r="Q259" i="2"/>
  <c r="I268" i="12"/>
  <c r="I232" i="12"/>
  <c r="Q139" i="2"/>
  <c r="I140" i="12"/>
  <c r="I292" i="12"/>
  <c r="Q291" i="2"/>
  <c r="Q90" i="2"/>
  <c r="I91" i="12"/>
  <c r="I287" i="12"/>
  <c r="G290" i="5"/>
  <c r="E96" i="12"/>
  <c r="AA278" i="1"/>
  <c r="D276" i="2" s="1"/>
  <c r="D280" i="5" s="1"/>
  <c r="AA272" i="1"/>
  <c r="D270" i="2" s="1"/>
  <c r="D274" i="5" s="1"/>
  <c r="F274" i="5" s="1"/>
  <c r="H274" i="5" s="1"/>
  <c r="AA269" i="1"/>
  <c r="D267" i="2" s="1"/>
  <c r="AA37" i="1"/>
  <c r="D35" i="2" s="1"/>
  <c r="D39" i="5" s="1"/>
  <c r="E245" i="12"/>
  <c r="E241" i="12"/>
  <c r="E237" i="12"/>
  <c r="AA310" i="1"/>
  <c r="D308" i="2" s="1"/>
  <c r="AA279" i="1"/>
  <c r="D277" i="2" s="1"/>
  <c r="D281" i="5" s="1"/>
  <c r="AA196" i="1"/>
  <c r="D194" i="2" s="1"/>
  <c r="D195" i="12" s="1"/>
  <c r="AA165" i="1"/>
  <c r="D163" i="2" s="1"/>
  <c r="D167" i="5" s="1"/>
  <c r="AA163" i="1"/>
  <c r="D161" i="2" s="1"/>
  <c r="D162" i="12" s="1"/>
  <c r="AA159" i="1"/>
  <c r="D157" i="2" s="1"/>
  <c r="D161" i="5" s="1"/>
  <c r="AA158" i="1"/>
  <c r="D156" i="2" s="1"/>
  <c r="AA55" i="1"/>
  <c r="D53" i="2" s="1"/>
  <c r="D57" i="5" s="1"/>
  <c r="AA49" i="1"/>
  <c r="D47" i="2" s="1"/>
  <c r="P47" i="2" s="1"/>
  <c r="Q271" i="2"/>
  <c r="AA115" i="1"/>
  <c r="D113" i="2" s="1"/>
  <c r="P113" i="2" s="1"/>
  <c r="AA112" i="1"/>
  <c r="D110" i="2" s="1"/>
  <c r="D111" i="12" s="1"/>
  <c r="AA110" i="1"/>
  <c r="D108" i="2" s="1"/>
  <c r="AA107" i="1"/>
  <c r="D105" i="2" s="1"/>
  <c r="D109" i="5" s="1"/>
  <c r="F109" i="5" s="1"/>
  <c r="AA99" i="1"/>
  <c r="D97" i="2" s="1"/>
  <c r="D98" i="12" s="1"/>
  <c r="AA92" i="1"/>
  <c r="D90" i="2" s="1"/>
  <c r="P90" i="2" s="1"/>
  <c r="AA85" i="1"/>
  <c r="D83" i="2" s="1"/>
  <c r="D87" i="5" s="1"/>
  <c r="F87" i="5" s="1"/>
  <c r="H4" i="2"/>
  <c r="AA267" i="1"/>
  <c r="D265" i="2" s="1"/>
  <c r="D269" i="5" s="1"/>
  <c r="AA266" i="1"/>
  <c r="D264" i="2" s="1"/>
  <c r="P264" i="2" s="1"/>
  <c r="AA262" i="1"/>
  <c r="D260" i="2" s="1"/>
  <c r="P260" i="2" s="1"/>
  <c r="G210" i="5"/>
  <c r="Q206" i="2"/>
  <c r="Q111" i="2"/>
  <c r="G115" i="5"/>
  <c r="Q130" i="2"/>
  <c r="G134" i="5"/>
  <c r="G314" i="5"/>
  <c r="I311" i="12"/>
  <c r="I291" i="12"/>
  <c r="E11" i="5"/>
  <c r="G294" i="5"/>
  <c r="G143" i="5"/>
  <c r="G266" i="5"/>
  <c r="Q326" i="2"/>
  <c r="Q207" i="2"/>
  <c r="I248" i="12"/>
  <c r="AA338" i="1"/>
  <c r="D336" i="2" s="1"/>
  <c r="D340" i="5" s="1"/>
  <c r="I284" i="12"/>
  <c r="I132" i="12"/>
  <c r="Q310" i="2"/>
  <c r="Q302" i="2"/>
  <c r="G178" i="5"/>
  <c r="Q231" i="2"/>
  <c r="Q223" i="2"/>
  <c r="G227" i="5"/>
  <c r="I216" i="12"/>
  <c r="G66" i="5"/>
  <c r="Q62" i="2"/>
  <c r="I63" i="12"/>
  <c r="E65" i="5"/>
  <c r="G338" i="5"/>
  <c r="Q334" i="2"/>
  <c r="I252" i="12"/>
  <c r="Q251" i="2"/>
  <c r="Q286" i="2"/>
  <c r="I272" i="12"/>
  <c r="G275" i="5"/>
  <c r="Q275" i="2"/>
  <c r="I156" i="12"/>
  <c r="Q323" i="2"/>
  <c r="I324" i="12"/>
  <c r="AA294" i="1"/>
  <c r="D292" i="2" s="1"/>
  <c r="AA293" i="1"/>
  <c r="D291" i="2" s="1"/>
  <c r="D295" i="5" s="1"/>
  <c r="AA290" i="1"/>
  <c r="D288" i="2" s="1"/>
  <c r="P288" i="2" s="1"/>
  <c r="AA286" i="1"/>
  <c r="D284" i="2" s="1"/>
  <c r="D288" i="5" s="1"/>
  <c r="F288" i="5" s="1"/>
  <c r="E257" i="5"/>
  <c r="I228" i="12"/>
  <c r="I244" i="12"/>
  <c r="AA213" i="1"/>
  <c r="D211" i="2" s="1"/>
  <c r="D215" i="5" s="1"/>
  <c r="F215" i="5" s="1"/>
  <c r="Q332" i="2"/>
  <c r="AA330" i="1"/>
  <c r="D328" i="2" s="1"/>
  <c r="D332" i="5" s="1"/>
  <c r="AA283" i="1"/>
  <c r="D281" i="2" s="1"/>
  <c r="P281" i="2" s="1"/>
  <c r="AA281" i="1"/>
  <c r="D279" i="2" s="1"/>
  <c r="D283" i="5" s="1"/>
  <c r="AA276" i="1"/>
  <c r="D274" i="2" s="1"/>
  <c r="Q163" i="2"/>
  <c r="E313" i="12"/>
  <c r="E289" i="12"/>
  <c r="E120" i="12"/>
  <c r="AA273" i="1"/>
  <c r="D271" i="2" s="1"/>
  <c r="D275" i="5" s="1"/>
  <c r="AA271" i="1"/>
  <c r="D269" i="2" s="1"/>
  <c r="D273" i="5" s="1"/>
  <c r="F273" i="5" s="1"/>
  <c r="AA203" i="1"/>
  <c r="D201" i="2" s="1"/>
  <c r="D202" i="12" s="1"/>
  <c r="AA199" i="1"/>
  <c r="D197" i="2" s="1"/>
  <c r="D198" i="12" s="1"/>
  <c r="AA324" i="1"/>
  <c r="D322" i="2" s="1"/>
  <c r="AA297" i="1"/>
  <c r="D295" i="2" s="1"/>
  <c r="AA274" i="1"/>
  <c r="D272" i="2" s="1"/>
  <c r="D276" i="5" s="1"/>
  <c r="AA257" i="1"/>
  <c r="D255" i="2" s="1"/>
  <c r="AA245" i="1"/>
  <c r="D243" i="2" s="1"/>
  <c r="P243" i="2" s="1"/>
  <c r="AA234" i="1"/>
  <c r="D232" i="2" s="1"/>
  <c r="D236" i="5" s="1"/>
  <c r="F236" i="5" s="1"/>
  <c r="E150" i="12"/>
  <c r="E16" i="12"/>
  <c r="AA307" i="1"/>
  <c r="D305" i="2" s="1"/>
  <c r="D309" i="5" s="1"/>
  <c r="F309" i="5" s="1"/>
  <c r="AA151" i="1"/>
  <c r="D149" i="2" s="1"/>
  <c r="D150" i="12" s="1"/>
  <c r="I128" i="12"/>
  <c r="AA125" i="1"/>
  <c r="D123" i="2" s="1"/>
  <c r="D127" i="5" s="1"/>
  <c r="AA120" i="1"/>
  <c r="D118" i="2" s="1"/>
  <c r="O118" i="2" s="1"/>
  <c r="AA15" i="1"/>
  <c r="D13" i="2" s="1"/>
  <c r="P13" i="2" s="1"/>
  <c r="AA242" i="1"/>
  <c r="D240" i="2" s="1"/>
  <c r="P240" i="2" s="1"/>
  <c r="AA241" i="1"/>
  <c r="D239" i="2" s="1"/>
  <c r="D243" i="5" s="1"/>
  <c r="E310" i="12"/>
  <c r="E278" i="12"/>
  <c r="E274" i="12"/>
  <c r="E195" i="12"/>
  <c r="AA317" i="1"/>
  <c r="D315" i="2" s="1"/>
  <c r="AA315" i="1"/>
  <c r="D313" i="2" s="1"/>
  <c r="D317" i="5" s="1"/>
  <c r="F317" i="5" s="1"/>
  <c r="AA312" i="1"/>
  <c r="D310" i="2" s="1"/>
  <c r="AA311" i="1"/>
  <c r="D309" i="2" s="1"/>
  <c r="D313" i="5" s="1"/>
  <c r="F313" i="5" s="1"/>
  <c r="AA308" i="1"/>
  <c r="D306" i="2" s="1"/>
  <c r="D310" i="5" s="1"/>
  <c r="AA305" i="1"/>
  <c r="D303" i="2" s="1"/>
  <c r="AA304" i="1"/>
  <c r="D302" i="2" s="1"/>
  <c r="D306" i="5" s="1"/>
  <c r="AA303" i="1"/>
  <c r="D301" i="2" s="1"/>
  <c r="D305" i="5" s="1"/>
  <c r="F305" i="5" s="1"/>
  <c r="AA195" i="1"/>
  <c r="D193" i="2" s="1"/>
  <c r="P193" i="2" s="1"/>
  <c r="Q191" i="2"/>
  <c r="AA191" i="1"/>
  <c r="D189" i="2" s="1"/>
  <c r="D193" i="5" s="1"/>
  <c r="AA187" i="1"/>
  <c r="D185" i="2" s="1"/>
  <c r="D186" i="12" s="1"/>
  <c r="AA176" i="1"/>
  <c r="D174" i="2" s="1"/>
  <c r="AA175" i="1"/>
  <c r="D173" i="2" s="1"/>
  <c r="D177" i="5" s="1"/>
  <c r="AA129" i="1"/>
  <c r="D127" i="2" s="1"/>
  <c r="D131" i="5" s="1"/>
  <c r="AA124" i="1"/>
  <c r="D122" i="2" s="1"/>
  <c r="D126" i="5" s="1"/>
  <c r="AA119" i="1"/>
  <c r="D117" i="2" s="1"/>
  <c r="AA114" i="1"/>
  <c r="D112" i="2" s="1"/>
  <c r="D116" i="5" s="1"/>
  <c r="AA111" i="1"/>
  <c r="D109" i="2" s="1"/>
  <c r="D110" i="12" s="1"/>
  <c r="AA109" i="1"/>
  <c r="D107" i="2" s="1"/>
  <c r="D108" i="12" s="1"/>
  <c r="Q103" i="2"/>
  <c r="AA103" i="1"/>
  <c r="D101" i="2" s="1"/>
  <c r="D102" i="12" s="1"/>
  <c r="AA101" i="1"/>
  <c r="D99" i="2" s="1"/>
  <c r="D103" i="5" s="1"/>
  <c r="AA100" i="1"/>
  <c r="D98" i="2" s="1"/>
  <c r="P98" i="2" s="1"/>
  <c r="AA98" i="1"/>
  <c r="D96" i="2" s="1"/>
  <c r="D100" i="5" s="1"/>
  <c r="F100" i="5" s="1"/>
  <c r="AA97" i="1"/>
  <c r="D95" i="2" s="1"/>
  <c r="D99" i="5" s="1"/>
  <c r="F99" i="5" s="1"/>
  <c r="AA89" i="1"/>
  <c r="D87" i="2" s="1"/>
  <c r="D91" i="5" s="1"/>
  <c r="AA87" i="1"/>
  <c r="D85" i="2" s="1"/>
  <c r="AA84" i="1"/>
  <c r="D82" i="2" s="1"/>
  <c r="AA59" i="1"/>
  <c r="D57" i="2" s="1"/>
  <c r="P57" i="2" s="1"/>
  <c r="AA13" i="1"/>
  <c r="D11" i="2" s="1"/>
  <c r="D15" i="5" s="1"/>
  <c r="AA11" i="1"/>
  <c r="D9" i="2" s="1"/>
  <c r="D13" i="5" s="1"/>
  <c r="F13" i="5" s="1"/>
  <c r="E132" i="5"/>
  <c r="E28" i="5"/>
  <c r="I35" i="12"/>
  <c r="G38" i="5"/>
  <c r="G27" i="5"/>
  <c r="I24" i="12"/>
  <c r="G283" i="5"/>
  <c r="I280" i="12"/>
  <c r="G268" i="5"/>
  <c r="I265" i="12"/>
  <c r="G127" i="5"/>
  <c r="Q123" i="2"/>
  <c r="I124" i="12"/>
  <c r="AA51" i="1"/>
  <c r="D49" i="2" s="1"/>
  <c r="D53" i="5" s="1"/>
  <c r="F53" i="5" s="1"/>
  <c r="G50" i="5"/>
  <c r="Q46" i="2"/>
  <c r="I47" i="12"/>
  <c r="AA34" i="1"/>
  <c r="D32" i="2" s="1"/>
  <c r="AA33" i="1"/>
  <c r="D31" i="2" s="1"/>
  <c r="AA50" i="1"/>
  <c r="D48" i="2" s="1"/>
  <c r="D52" i="5" s="1"/>
  <c r="F52" i="5" s="1"/>
  <c r="AA58" i="1"/>
  <c r="D56" i="2" s="1"/>
  <c r="E26" i="5"/>
  <c r="G339" i="5"/>
  <c r="I336" i="12"/>
  <c r="Q327" i="2"/>
  <c r="I328" i="12"/>
  <c r="E164" i="5"/>
  <c r="G51" i="5"/>
  <c r="Q47" i="2"/>
  <c r="G63" i="5"/>
  <c r="Q59" i="2"/>
  <c r="E241" i="5"/>
  <c r="E265" i="5"/>
  <c r="I200" i="12"/>
  <c r="Q199" i="2"/>
  <c r="G199" i="5"/>
  <c r="Q195" i="2"/>
  <c r="I196" i="12"/>
  <c r="I188" i="12"/>
  <c r="Q187" i="2"/>
  <c r="G183" i="5"/>
  <c r="I180" i="12"/>
  <c r="E183" i="5"/>
  <c r="I148" i="12"/>
  <c r="Q147" i="2"/>
  <c r="G151" i="5"/>
  <c r="G122" i="5"/>
  <c r="I119" i="12"/>
  <c r="G106" i="5"/>
  <c r="Q102" i="2"/>
  <c r="E97" i="5"/>
  <c r="AA47" i="1"/>
  <c r="D45" i="2" s="1"/>
  <c r="D46" i="12" s="1"/>
  <c r="AA40" i="1"/>
  <c r="D38" i="2" s="1"/>
  <c r="G18" i="5"/>
  <c r="I15" i="12"/>
  <c r="Q14" i="2"/>
  <c r="Q10" i="2"/>
  <c r="G203" i="5"/>
  <c r="Q118" i="2"/>
  <c r="Q179" i="2"/>
  <c r="Q279" i="2"/>
  <c r="Q119" i="2"/>
  <c r="I120" i="12"/>
  <c r="G239" i="5"/>
  <c r="Q235" i="2"/>
  <c r="G74" i="5"/>
  <c r="I71" i="12"/>
  <c r="I8" i="12"/>
  <c r="Q7" i="2"/>
  <c r="G11" i="5"/>
  <c r="C20" i="7"/>
  <c r="AA282" i="1"/>
  <c r="D280" i="2" s="1"/>
  <c r="G315" i="5"/>
  <c r="I312" i="12"/>
  <c r="I333" i="12"/>
  <c r="I112" i="12"/>
  <c r="I48" i="12"/>
  <c r="Q43" i="2"/>
  <c r="Q35" i="2"/>
  <c r="Q23" i="2"/>
  <c r="AA301" i="1"/>
  <c r="D299" i="2" s="1"/>
  <c r="E173" i="12"/>
  <c r="E102" i="12"/>
  <c r="E33" i="12"/>
  <c r="Q331" i="2"/>
  <c r="AA128" i="1"/>
  <c r="D126" i="2" s="1"/>
  <c r="AA127" i="1"/>
  <c r="D125" i="2" s="1"/>
  <c r="D129" i="5" s="1"/>
  <c r="F129" i="5" s="1"/>
  <c r="AA126" i="1"/>
  <c r="D124" i="2" s="1"/>
  <c r="D128" i="5" s="1"/>
  <c r="F128" i="5" s="1"/>
  <c r="AA123" i="1"/>
  <c r="D121" i="2" s="1"/>
  <c r="D125" i="5" s="1"/>
  <c r="F125" i="5" s="1"/>
  <c r="AA122" i="1"/>
  <c r="D120" i="2" s="1"/>
  <c r="P120" i="2" s="1"/>
  <c r="AA121" i="1"/>
  <c r="D119" i="2" s="1"/>
  <c r="O119" i="2" s="1"/>
  <c r="AA117" i="1"/>
  <c r="D115" i="2" s="1"/>
  <c r="P115" i="2" s="1"/>
  <c r="Q243" i="2"/>
  <c r="AA280" i="1"/>
  <c r="D278" i="2" s="1"/>
  <c r="D282" i="5" s="1"/>
  <c r="F282" i="5" s="1"/>
  <c r="AA261" i="1"/>
  <c r="D259" i="2" s="1"/>
  <c r="P259" i="2" s="1"/>
  <c r="AA178" i="1"/>
  <c r="D176" i="2" s="1"/>
  <c r="Q255" i="2"/>
  <c r="AA277" i="1"/>
  <c r="D275" i="2" s="1"/>
  <c r="AA265" i="1"/>
  <c r="D263" i="2" s="1"/>
  <c r="AA259" i="1"/>
  <c r="D257" i="2" s="1"/>
  <c r="P257" i="2" s="1"/>
  <c r="AA258" i="1"/>
  <c r="D256" i="2" s="1"/>
  <c r="D257" i="12" s="1"/>
  <c r="AA174" i="1"/>
  <c r="D172" i="2" s="1"/>
  <c r="D176" i="5" s="1"/>
  <c r="F176" i="5" s="1"/>
  <c r="AA148" i="1"/>
  <c r="D146" i="2" s="1"/>
  <c r="D147" i="12" s="1"/>
  <c r="I79" i="12"/>
  <c r="Q278" i="2"/>
  <c r="I267" i="12"/>
  <c r="Q262" i="2"/>
  <c r="Q246" i="2"/>
  <c r="Q238" i="2"/>
  <c r="AA171" i="1"/>
  <c r="D169" i="2" s="1"/>
  <c r="P169" i="2" s="1"/>
  <c r="E323" i="12"/>
  <c r="E291" i="12"/>
  <c r="E283" i="12"/>
  <c r="E279" i="12"/>
  <c r="E234" i="12"/>
  <c r="E206" i="12"/>
  <c r="E180" i="12"/>
  <c r="E162" i="12"/>
  <c r="E158" i="12"/>
  <c r="E114" i="12"/>
  <c r="E106" i="12"/>
  <c r="E84" i="12"/>
  <c r="E71" i="12"/>
  <c r="E62" i="12"/>
  <c r="AA36" i="1"/>
  <c r="D34" i="2" s="1"/>
  <c r="D38" i="5" s="1"/>
  <c r="E318" i="12"/>
  <c r="E306" i="12"/>
  <c r="E302" i="12"/>
  <c r="E298" i="12"/>
  <c r="E294" i="12"/>
  <c r="E286" i="12"/>
  <c r="E282" i="12"/>
  <c r="E270" i="12"/>
  <c r="E265" i="12"/>
  <c r="E261" i="12"/>
  <c r="E257" i="12"/>
  <c r="E233" i="12"/>
  <c r="E221" i="12"/>
  <c r="E217" i="12"/>
  <c r="E213" i="12"/>
  <c r="E183" i="12"/>
  <c r="E166" i="12"/>
  <c r="E145" i="12"/>
  <c r="E141" i="12"/>
  <c r="E131" i="12"/>
  <c r="E109" i="12"/>
  <c r="E91" i="12"/>
  <c r="E75" i="12"/>
  <c r="E70" i="12"/>
  <c r="E57" i="12"/>
  <c r="E23" i="12"/>
  <c r="AA81" i="1"/>
  <c r="D79" i="2" s="1"/>
  <c r="AA54" i="1"/>
  <c r="D52" i="2" s="1"/>
  <c r="D56" i="5" s="1"/>
  <c r="E161" i="5"/>
  <c r="E158" i="5"/>
  <c r="E81" i="5"/>
  <c r="E98" i="5"/>
  <c r="Q150" i="2"/>
  <c r="G154" i="5"/>
  <c r="I151" i="12"/>
  <c r="E177" i="5"/>
  <c r="E193" i="5"/>
  <c r="E175" i="5"/>
  <c r="E163" i="5"/>
  <c r="E157" i="5"/>
  <c r="E148" i="5"/>
  <c r="J4" i="2"/>
  <c r="E328" i="5"/>
  <c r="K4" i="2"/>
  <c r="Q219" i="2"/>
  <c r="G223" i="5"/>
  <c r="I220" i="12"/>
  <c r="G215" i="5"/>
  <c r="I212" i="12"/>
  <c r="Q211" i="2"/>
  <c r="I192" i="12"/>
  <c r="G195" i="5"/>
  <c r="I184" i="12"/>
  <c r="Q183" i="2"/>
  <c r="G187" i="5"/>
  <c r="G163" i="5"/>
  <c r="I160" i="12"/>
  <c r="Q159" i="2"/>
  <c r="I152" i="12"/>
  <c r="G155" i="5"/>
  <c r="Q151" i="2"/>
  <c r="I144" i="12"/>
  <c r="Q143" i="2"/>
  <c r="Q135" i="2"/>
  <c r="I136" i="12"/>
  <c r="G139" i="5"/>
  <c r="Q166" i="2"/>
  <c r="G170" i="5"/>
  <c r="I167" i="12"/>
  <c r="I204" i="12"/>
  <c r="G207" i="5"/>
  <c r="Q203" i="2"/>
  <c r="I176" i="12"/>
  <c r="G179" i="5"/>
  <c r="Q175" i="2"/>
  <c r="I283" i="12"/>
  <c r="I251" i="12"/>
  <c r="Q214" i="2"/>
  <c r="I215" i="12"/>
  <c r="Q190" i="2"/>
  <c r="I191" i="12"/>
  <c r="Q142" i="2"/>
  <c r="I143" i="12"/>
  <c r="I113" i="12"/>
  <c r="Q112" i="2"/>
  <c r="Q44" i="2"/>
  <c r="I45" i="12"/>
  <c r="E250" i="5"/>
  <c r="E218" i="5"/>
  <c r="E174" i="5"/>
  <c r="E172" i="5"/>
  <c r="E37" i="5"/>
  <c r="G4" i="2"/>
  <c r="I172" i="12"/>
  <c r="G175" i="5"/>
  <c r="Q171" i="2"/>
  <c r="G126" i="5"/>
  <c r="I123" i="12"/>
  <c r="Q122" i="2"/>
  <c r="Q266" i="2"/>
  <c r="I239" i="12"/>
  <c r="Q282" i="2"/>
  <c r="I255" i="12"/>
  <c r="G258" i="5"/>
  <c r="Q254" i="2"/>
  <c r="G250" i="5"/>
  <c r="I247" i="12"/>
  <c r="G107" i="5"/>
  <c r="I104" i="12"/>
  <c r="Q39" i="2"/>
  <c r="I116" i="12"/>
  <c r="Q115" i="2"/>
  <c r="I88" i="12"/>
  <c r="Q87" i="2"/>
  <c r="I76" i="12"/>
  <c r="Q75" i="2"/>
  <c r="I72" i="12"/>
  <c r="Q71" i="2"/>
  <c r="I64" i="12"/>
  <c r="Q63" i="2"/>
  <c r="Q31" i="2"/>
  <c r="I32" i="12"/>
  <c r="Q27" i="2"/>
  <c r="I28" i="12"/>
  <c r="N4" i="2"/>
  <c r="E338" i="5"/>
  <c r="E242" i="5"/>
  <c r="E230" i="5"/>
  <c r="G214" i="5"/>
  <c r="Q158" i="2"/>
  <c r="G162" i="5"/>
  <c r="I271" i="12"/>
  <c r="Q270" i="2"/>
  <c r="I231" i="12"/>
  <c r="Q230" i="2"/>
  <c r="I147" i="12"/>
  <c r="E281" i="5"/>
  <c r="E243" i="5"/>
  <c r="E219" i="5"/>
  <c r="E217" i="5"/>
  <c r="E173" i="5"/>
  <c r="F91" i="7"/>
  <c r="E15" i="7"/>
  <c r="G111" i="5"/>
  <c r="I108" i="12"/>
  <c r="Q107" i="2"/>
  <c r="G26" i="5"/>
  <c r="Q22" i="2"/>
  <c r="G303" i="5"/>
  <c r="E332" i="5"/>
  <c r="I300" i="12"/>
  <c r="I131" i="12"/>
  <c r="Q174" i="2"/>
  <c r="I23" i="12"/>
  <c r="Q51" i="2"/>
  <c r="G55" i="5"/>
  <c r="I52" i="12"/>
  <c r="Q83" i="2"/>
  <c r="E198" i="5"/>
  <c r="F4" i="2"/>
  <c r="I295" i="12"/>
  <c r="Q294" i="2"/>
  <c r="G298" i="5"/>
  <c r="I96" i="12"/>
  <c r="E211" i="5"/>
  <c r="E197" i="5"/>
  <c r="Q79" i="2"/>
  <c r="I44" i="12"/>
  <c r="Q91" i="2"/>
  <c r="I207" i="12"/>
  <c r="L4" i="2"/>
  <c r="AA314" i="1"/>
  <c r="D312" i="2" s="1"/>
  <c r="P312" i="2" s="1"/>
  <c r="AA275" i="1"/>
  <c r="D273" i="2" s="1"/>
  <c r="E126" i="12"/>
  <c r="AA270" i="1"/>
  <c r="D268" i="2" s="1"/>
  <c r="E314" i="12"/>
  <c r="E121" i="12"/>
  <c r="E61" i="12"/>
  <c r="E49" i="12"/>
  <c r="AA222" i="1"/>
  <c r="D220" i="2" s="1"/>
  <c r="AA218" i="1"/>
  <c r="D216" i="2" s="1"/>
  <c r="AA214" i="1"/>
  <c r="D212" i="2" s="1"/>
  <c r="AA186" i="1"/>
  <c r="D184" i="2" s="1"/>
  <c r="E324" i="12"/>
  <c r="E271" i="12"/>
  <c r="E262" i="12"/>
  <c r="E258" i="12"/>
  <c r="E246" i="12"/>
  <c r="E242" i="12"/>
  <c r="E238" i="12"/>
  <c r="E230" i="12"/>
  <c r="E226" i="12"/>
  <c r="E222" i="12"/>
  <c r="E210" i="12"/>
  <c r="E154" i="12"/>
  <c r="E146" i="12"/>
  <c r="E118" i="12"/>
  <c r="E110" i="12"/>
  <c r="E66" i="12"/>
  <c r="E58" i="12"/>
  <c r="E50" i="12"/>
  <c r="E46" i="12"/>
  <c r="E42" i="12"/>
  <c r="E333" i="12"/>
  <c r="E293" i="12"/>
  <c r="E281" i="12"/>
  <c r="E277" i="12"/>
  <c r="E273" i="12"/>
  <c r="E269" i="12"/>
  <c r="E260" i="12"/>
  <c r="E244" i="12"/>
  <c r="E240" i="12"/>
  <c r="E236" i="12"/>
  <c r="E228" i="12"/>
  <c r="E212" i="12"/>
  <c r="E174" i="12"/>
  <c r="E170" i="12"/>
  <c r="E148" i="12"/>
  <c r="E116" i="12"/>
  <c r="E112" i="12"/>
  <c r="E108" i="12"/>
  <c r="E90" i="12"/>
  <c r="E82" i="12"/>
  <c r="E78" i="12"/>
  <c r="E64" i="12"/>
  <c r="E52" i="12"/>
  <c r="E34" i="12"/>
  <c r="E26" i="12"/>
  <c r="E22" i="12"/>
  <c r="E14" i="12"/>
  <c r="E10" i="12"/>
  <c r="AA309" i="1"/>
  <c r="D307" i="2" s="1"/>
  <c r="AA229" i="1"/>
  <c r="D227" i="2" s="1"/>
  <c r="AA226" i="1"/>
  <c r="D224" i="2" s="1"/>
  <c r="E308" i="12"/>
  <c r="E215" i="12"/>
  <c r="E202" i="12"/>
  <c r="E185" i="12"/>
  <c r="E151" i="12"/>
  <c r="E134" i="12"/>
  <c r="E129" i="12"/>
  <c r="E119" i="12"/>
  <c r="E111" i="12"/>
  <c r="E97" i="12"/>
  <c r="E38" i="12"/>
  <c r="E29" i="12"/>
  <c r="D6" i="4"/>
  <c r="E17" i="7"/>
  <c r="F106" i="7"/>
  <c r="D18" i="7"/>
  <c r="E13" i="7"/>
  <c r="E12" i="7"/>
  <c r="E297" i="5"/>
  <c r="E186" i="5"/>
  <c r="I4" i="2"/>
  <c r="G39" i="5"/>
  <c r="I36" i="12"/>
  <c r="Q67" i="2"/>
  <c r="I68" i="12"/>
  <c r="G103" i="5"/>
  <c r="I100" i="12"/>
  <c r="Q99" i="2"/>
  <c r="L68" i="10"/>
  <c r="E202" i="5"/>
  <c r="E337" i="5"/>
  <c r="Z6" i="1"/>
  <c r="G59" i="5"/>
  <c r="Q55" i="2"/>
  <c r="I56" i="12"/>
  <c r="G83" i="5"/>
  <c r="I80" i="12"/>
  <c r="Q198" i="2"/>
  <c r="I199" i="12"/>
  <c r="G138" i="5"/>
  <c r="Q134" i="2"/>
  <c r="I135" i="12"/>
  <c r="G130" i="5"/>
  <c r="Q126" i="2"/>
  <c r="I127" i="12"/>
  <c r="L74" i="14"/>
  <c r="S63" i="14"/>
  <c r="K63" i="14"/>
  <c r="M52" i="14"/>
  <c r="K52" i="14"/>
  <c r="F63" i="14"/>
  <c r="R74" i="14"/>
  <c r="J74" i="14"/>
  <c r="Q63" i="14"/>
  <c r="I63" i="14"/>
  <c r="I52" i="14"/>
  <c r="P52" i="14"/>
  <c r="H52" i="14"/>
  <c r="J33" i="10"/>
  <c r="J76" i="10" s="1"/>
  <c r="K85" i="14"/>
  <c r="S85" i="14"/>
  <c r="H85" i="14"/>
  <c r="P85" i="14"/>
  <c r="O74" i="14"/>
  <c r="H74" i="14"/>
  <c r="G63" i="14"/>
  <c r="N52" i="14"/>
  <c r="K33" i="10"/>
  <c r="K76" i="10" s="1"/>
  <c r="I85" i="14"/>
  <c r="L33" i="10"/>
  <c r="L76" i="10" s="1"/>
  <c r="L85" i="14"/>
  <c r="E85" i="14"/>
  <c r="P63" i="14"/>
  <c r="Q74" i="14"/>
  <c r="S52" i="14"/>
  <c r="P74" i="14"/>
  <c r="O63" i="14"/>
  <c r="E52" i="14"/>
  <c r="J52" i="14"/>
  <c r="O85" i="14"/>
  <c r="F85" i="14"/>
  <c r="R85" i="14"/>
  <c r="H63" i="14"/>
  <c r="I74" i="14"/>
  <c r="G74" i="14"/>
  <c r="N74" i="14"/>
  <c r="M63" i="14"/>
  <c r="F52" i="14"/>
  <c r="G52" i="14"/>
  <c r="M74" i="14"/>
  <c r="J63" i="14"/>
  <c r="N63" i="14"/>
  <c r="F74" i="14"/>
  <c r="E63" i="14"/>
  <c r="G85" i="14"/>
  <c r="J85" i="14"/>
  <c r="O52" i="14"/>
  <c r="K74" i="14"/>
  <c r="Q52" i="14"/>
  <c r="L52" i="14"/>
  <c r="Q85" i="14"/>
  <c r="I33" i="10"/>
  <c r="I76" i="10" s="1"/>
  <c r="E74" i="14"/>
  <c r="S74" i="14"/>
  <c r="E334" i="5"/>
  <c r="E285" i="5"/>
  <c r="E280" i="5"/>
  <c r="E276" i="5"/>
  <c r="E247" i="5"/>
  <c r="E179" i="5"/>
  <c r="J121" i="14"/>
  <c r="L123" i="14"/>
  <c r="N104" i="14"/>
  <c r="G71" i="14"/>
  <c r="R121" i="14"/>
  <c r="E103" i="14"/>
  <c r="G105" i="14"/>
  <c r="E49" i="14"/>
  <c r="K71" i="14"/>
  <c r="L30" i="10"/>
  <c r="L73" i="10" s="1"/>
  <c r="K124" i="14"/>
  <c r="S124" i="14"/>
  <c r="M106" i="14"/>
  <c r="G82" i="14"/>
  <c r="O82" i="14"/>
  <c r="L124" i="14"/>
  <c r="E124" i="14"/>
  <c r="L106" i="14"/>
  <c r="E106" i="14"/>
  <c r="J82" i="14"/>
  <c r="R82" i="14"/>
  <c r="F121" i="14"/>
  <c r="F104" i="14"/>
  <c r="L60" i="14"/>
  <c r="O71" i="14"/>
  <c r="M124" i="14"/>
  <c r="I106" i="14"/>
  <c r="S106" i="14"/>
  <c r="Q82" i="14"/>
  <c r="H124" i="14"/>
  <c r="R124" i="14"/>
  <c r="N106" i="14"/>
  <c r="F82" i="14"/>
  <c r="P82" i="14"/>
  <c r="E82" i="14"/>
  <c r="K121" i="14"/>
  <c r="Q121" i="14"/>
  <c r="H122" i="14"/>
  <c r="P122" i="14"/>
  <c r="I123" i="14"/>
  <c r="Q123" i="14"/>
  <c r="J103" i="14"/>
  <c r="R103" i="14"/>
  <c r="K104" i="14"/>
  <c r="S104" i="14"/>
  <c r="L105" i="14"/>
  <c r="R105" i="14"/>
  <c r="J30" i="10"/>
  <c r="J73" i="10" s="1"/>
  <c r="H49" i="14"/>
  <c r="L49" i="14"/>
  <c r="I60" i="14"/>
  <c r="S60" i="14"/>
  <c r="P71" i="14"/>
  <c r="Q71" i="14"/>
  <c r="I71" i="14"/>
  <c r="M60" i="14"/>
  <c r="O49" i="14"/>
  <c r="G49" i="14"/>
  <c r="S103" i="14"/>
  <c r="G103" i="14"/>
  <c r="J123" i="14"/>
  <c r="O60" i="14"/>
  <c r="I49" i="14"/>
  <c r="K105" i="14"/>
  <c r="R104" i="14"/>
  <c r="I103" i="14"/>
  <c r="O122" i="14"/>
  <c r="S122" i="14"/>
  <c r="G124" i="14"/>
  <c r="Q124" i="14"/>
  <c r="O106" i="14"/>
  <c r="K82" i="14"/>
  <c r="L29" i="10"/>
  <c r="L72" i="10" s="1"/>
  <c r="N124" i="14"/>
  <c r="H106" i="14"/>
  <c r="R106" i="14"/>
  <c r="L82" i="14"/>
  <c r="G121" i="14"/>
  <c r="M121" i="14"/>
  <c r="L122" i="14"/>
  <c r="E123" i="14"/>
  <c r="M123" i="14"/>
  <c r="F103" i="14"/>
  <c r="N103" i="14"/>
  <c r="G104" i="14"/>
  <c r="O104" i="14"/>
  <c r="H105" i="14"/>
  <c r="K29" i="10"/>
  <c r="F49" i="14"/>
  <c r="J49" i="14"/>
  <c r="N49" i="14"/>
  <c r="F60" i="14"/>
  <c r="K60" i="14"/>
  <c r="Q60" i="14"/>
  <c r="H71" i="14"/>
  <c r="N71" i="14"/>
  <c r="H123" i="14"/>
  <c r="Q103" i="14"/>
  <c r="I256" i="12"/>
  <c r="H121" i="14"/>
  <c r="I122" i="14"/>
  <c r="F123" i="14"/>
  <c r="R123" i="14"/>
  <c r="H104" i="14"/>
  <c r="E105" i="14"/>
  <c r="J29" i="10"/>
  <c r="S49" i="14"/>
  <c r="L71" i="14"/>
  <c r="P60" i="14"/>
  <c r="R49" i="14"/>
  <c r="I29" i="10"/>
  <c r="F105" i="14"/>
  <c r="E104" i="14"/>
  <c r="S123" i="14"/>
  <c r="R122" i="14"/>
  <c r="S121" i="14"/>
  <c r="E121" i="14"/>
  <c r="P124" i="14"/>
  <c r="M82" i="14"/>
  <c r="G106" i="14"/>
  <c r="E45" i="14"/>
  <c r="M12" i="10"/>
  <c r="K58" i="10"/>
  <c r="J36" i="10"/>
  <c r="J79" i="10" s="1"/>
  <c r="M77" i="14"/>
  <c r="E77" i="14"/>
  <c r="S66" i="14"/>
  <c r="K66" i="14"/>
  <c r="R55" i="14"/>
  <c r="J55" i="14"/>
  <c r="G88" i="14"/>
  <c r="Q55" i="14"/>
  <c r="S77" i="14"/>
  <c r="K77" i="14"/>
  <c r="Q66" i="14"/>
  <c r="I66" i="14"/>
  <c r="P55" i="14"/>
  <c r="H55" i="14"/>
  <c r="K36" i="10"/>
  <c r="K79" i="10" s="1"/>
  <c r="I88" i="14"/>
  <c r="L88" i="14"/>
  <c r="M88" i="14"/>
  <c r="I77" i="14"/>
  <c r="G66" i="14"/>
  <c r="F55" i="14"/>
  <c r="L37" i="10"/>
  <c r="L80" i="10" s="1"/>
  <c r="R88" i="14"/>
  <c r="F88" i="14"/>
  <c r="K88" i="14"/>
  <c r="S55" i="14"/>
  <c r="R66" i="14"/>
  <c r="R77" i="14"/>
  <c r="L77" i="14"/>
  <c r="M55" i="14"/>
  <c r="H77" i="14"/>
  <c r="P66" i="14"/>
  <c r="Q77" i="14"/>
  <c r="O66" i="14"/>
  <c r="N55" i="14"/>
  <c r="L36" i="10"/>
  <c r="L79" i="10" s="1"/>
  <c r="N88" i="14"/>
  <c r="Q88" i="14"/>
  <c r="K55" i="14"/>
  <c r="J66" i="14"/>
  <c r="J77" i="14"/>
  <c r="M103" i="14"/>
  <c r="S105" i="14"/>
  <c r="Q49" i="14"/>
  <c r="L121" i="14"/>
  <c r="K103" i="14"/>
  <c r="I105" i="14"/>
  <c r="I30" i="10"/>
  <c r="I73" i="10" s="1"/>
  <c r="K49" i="14"/>
  <c r="R60" i="14"/>
  <c r="M71" i="14"/>
  <c r="J71" i="14"/>
  <c r="N60" i="14"/>
  <c r="P49" i="14"/>
  <c r="P105" i="14"/>
  <c r="Q104" i="14"/>
  <c r="P103" i="14"/>
  <c r="O123" i="14"/>
  <c r="N122" i="14"/>
  <c r="O121" i="14"/>
  <c r="L117" i="14"/>
  <c r="Q95" i="2"/>
  <c r="G99" i="5"/>
  <c r="S88" i="14"/>
  <c r="E88" i="14"/>
  <c r="P106" i="14"/>
  <c r="J124" i="14"/>
  <c r="I82" i="14"/>
  <c r="O124" i="14"/>
  <c r="K122" i="14"/>
  <c r="O38" i="11"/>
  <c r="O36" i="12"/>
  <c r="D37" i="1"/>
  <c r="AC37" i="1" s="1"/>
  <c r="AD37" i="1" s="1"/>
  <c r="E35" i="2" s="1"/>
  <c r="S38" i="11"/>
  <c r="P38" i="11"/>
  <c r="G38" i="1"/>
  <c r="P39" i="11"/>
  <c r="Q39" i="11"/>
  <c r="O37" i="12"/>
  <c r="F41" i="1"/>
  <c r="O40" i="12"/>
  <c r="P42" i="11"/>
  <c r="Q42" i="11"/>
  <c r="E40" i="12" s="1"/>
  <c r="O70" i="11"/>
  <c r="O68" i="12"/>
  <c r="D69" i="1"/>
  <c r="AC69" i="1" s="1"/>
  <c r="AD69" i="1" s="1"/>
  <c r="E67" i="2" s="1"/>
  <c r="E71" i="5" s="1"/>
  <c r="S70" i="11"/>
  <c r="P70" i="11"/>
  <c r="G70" i="1"/>
  <c r="AA70" i="1" s="1"/>
  <c r="D68" i="2" s="1"/>
  <c r="P71" i="11"/>
  <c r="Q71" i="11"/>
  <c r="E69" i="12" s="1"/>
  <c r="O69" i="12"/>
  <c r="F73" i="1"/>
  <c r="AA73" i="1" s="1"/>
  <c r="D71" i="2" s="1"/>
  <c r="O72" i="12"/>
  <c r="P74" i="11"/>
  <c r="Q74" i="11"/>
  <c r="E72" i="12" s="1"/>
  <c r="O102" i="11"/>
  <c r="O100" i="12"/>
  <c r="D101" i="1"/>
  <c r="AC101" i="1" s="1"/>
  <c r="AD101" i="1" s="1"/>
  <c r="E99" i="2" s="1"/>
  <c r="S102" i="11"/>
  <c r="P102" i="11"/>
  <c r="G102" i="1"/>
  <c r="AA102" i="1" s="1"/>
  <c r="D100" i="2" s="1"/>
  <c r="P103" i="11"/>
  <c r="Q103" i="11"/>
  <c r="E101" i="12" s="1"/>
  <c r="O101" i="12"/>
  <c r="F105" i="1"/>
  <c r="AA105" i="1" s="1"/>
  <c r="D103" i="2" s="1"/>
  <c r="O104" i="12"/>
  <c r="P106" i="11"/>
  <c r="Q106" i="11"/>
  <c r="E104" i="12" s="1"/>
  <c r="O134" i="11"/>
  <c r="O132" i="12"/>
  <c r="D133" i="1"/>
  <c r="AC133" i="1" s="1"/>
  <c r="AD133" i="1" s="1"/>
  <c r="E131" i="2" s="1"/>
  <c r="S134" i="11"/>
  <c r="P134" i="11"/>
  <c r="Q135" i="11"/>
  <c r="O133" i="12"/>
  <c r="G134" i="1"/>
  <c r="AA134" i="1" s="1"/>
  <c r="D132" i="2" s="1"/>
  <c r="P135" i="11"/>
  <c r="O136" i="12"/>
  <c r="F137" i="1"/>
  <c r="AA137" i="1" s="1"/>
  <c r="D135" i="2" s="1"/>
  <c r="P138" i="11"/>
  <c r="Q138" i="11"/>
  <c r="E136" i="12" s="1"/>
  <c r="O166" i="11"/>
  <c r="O164" i="12"/>
  <c r="D165" i="1"/>
  <c r="AC165" i="1" s="1"/>
  <c r="AD165" i="1" s="1"/>
  <c r="E163" i="2" s="1"/>
  <c r="S166" i="11"/>
  <c r="P166" i="11"/>
  <c r="G166" i="1"/>
  <c r="AA166" i="1" s="1"/>
  <c r="D164" i="2" s="1"/>
  <c r="Q167" i="11"/>
  <c r="E165" i="12" s="1"/>
  <c r="O165" i="12"/>
  <c r="P167" i="11"/>
  <c r="O168" i="12"/>
  <c r="F169" i="1"/>
  <c r="AA169" i="1" s="1"/>
  <c r="D167" i="2" s="1"/>
  <c r="P170" i="11"/>
  <c r="Q170" i="11"/>
  <c r="E168" i="12" s="1"/>
  <c r="O201" i="11"/>
  <c r="O199" i="12"/>
  <c r="S201" i="11"/>
  <c r="P201" i="11"/>
  <c r="G201" i="1"/>
  <c r="AA201" i="1" s="1"/>
  <c r="D199" i="2" s="1"/>
  <c r="O200" i="12"/>
  <c r="P202" i="11"/>
  <c r="Q202" i="11"/>
  <c r="E200" i="12" s="1"/>
  <c r="F204" i="1"/>
  <c r="P205" i="11"/>
  <c r="Q205" i="11"/>
  <c r="O268" i="11"/>
  <c r="O266" i="12"/>
  <c r="D267" i="1"/>
  <c r="AC267" i="1" s="1"/>
  <c r="AD267" i="1" s="1"/>
  <c r="E265" i="2" s="1"/>
  <c r="S268" i="11"/>
  <c r="P268" i="11"/>
  <c r="G268" i="1"/>
  <c r="P269" i="11"/>
  <c r="Q269" i="11"/>
  <c r="Q54" i="14"/>
  <c r="J65" i="14"/>
  <c r="I76" i="14"/>
  <c r="O87" i="14"/>
  <c r="I32" i="10"/>
  <c r="I75" i="10" s="1"/>
  <c r="K51" i="14"/>
  <c r="S51" i="14"/>
  <c r="J62" i="14"/>
  <c r="R62" i="14"/>
  <c r="H73" i="14"/>
  <c r="P73" i="14"/>
  <c r="S73" i="14"/>
  <c r="K73" i="14"/>
  <c r="S62" i="14"/>
  <c r="K62" i="14"/>
  <c r="P51" i="14"/>
  <c r="H51" i="14"/>
  <c r="I84" i="14"/>
  <c r="Q84" i="14"/>
  <c r="J84" i="14"/>
  <c r="R84" i="14"/>
  <c r="E51" i="14"/>
  <c r="M51" i="14"/>
  <c r="L62" i="14"/>
  <c r="J73" i="14"/>
  <c r="R73" i="14"/>
  <c r="Q73" i="14"/>
  <c r="I73" i="14"/>
  <c r="Q62" i="14"/>
  <c r="I62" i="14"/>
  <c r="N51" i="14"/>
  <c r="F51" i="14"/>
  <c r="L32" i="10"/>
  <c r="L75" i="10" s="1"/>
  <c r="K84" i="14"/>
  <c r="S84" i="14"/>
  <c r="L84" i="14"/>
  <c r="E122" i="12"/>
  <c r="F86" i="14"/>
  <c r="L72" i="14"/>
  <c r="J84" i="10"/>
  <c r="I83" i="10"/>
  <c r="M83" i="10" s="1"/>
  <c r="E229" i="12"/>
  <c r="E199" i="12"/>
  <c r="E125" i="12"/>
  <c r="O22" i="11"/>
  <c r="E21" i="1"/>
  <c r="E20" i="12" s="1"/>
  <c r="O20" i="12"/>
  <c r="O26" i="11"/>
  <c r="D25" i="1"/>
  <c r="AC25" i="1" s="1"/>
  <c r="AD25" i="1" s="1"/>
  <c r="E23" i="2" s="1"/>
  <c r="O24" i="12"/>
  <c r="O58" i="11"/>
  <c r="D57" i="1"/>
  <c r="AC57" i="1" s="1"/>
  <c r="AD57" i="1" s="1"/>
  <c r="E55" i="2" s="1"/>
  <c r="O56" i="12"/>
  <c r="E86" i="1"/>
  <c r="O87" i="11"/>
  <c r="O90" i="11"/>
  <c r="D89" i="1"/>
  <c r="AC89" i="1" s="1"/>
  <c r="AD89" i="1" s="1"/>
  <c r="E87" i="2" s="1"/>
  <c r="O88" i="12"/>
  <c r="E118" i="1"/>
  <c r="AA118" i="1" s="1"/>
  <c r="D116" i="2" s="1"/>
  <c r="O119" i="11"/>
  <c r="O122" i="11"/>
  <c r="O120" i="12"/>
  <c r="O151" i="11"/>
  <c r="E150" i="1"/>
  <c r="AA150" i="1" s="1"/>
  <c r="D148" i="2" s="1"/>
  <c r="O154" i="11"/>
  <c r="O152" i="12"/>
  <c r="D153" i="1"/>
  <c r="AC153" i="1" s="1"/>
  <c r="AD153" i="1" s="1"/>
  <c r="E151" i="2" s="1"/>
  <c r="E182" i="1"/>
  <c r="AA182" i="1" s="1"/>
  <c r="D180" i="2" s="1"/>
  <c r="O183" i="11"/>
  <c r="O186" i="11"/>
  <c r="O184" i="12"/>
  <c r="D185" i="1"/>
  <c r="AC185" i="1" s="1"/>
  <c r="AD185" i="1" s="1"/>
  <c r="E183" i="2" s="1"/>
  <c r="O232" i="12"/>
  <c r="O234" i="11"/>
  <c r="E233" i="1"/>
  <c r="AA233" i="1" s="1"/>
  <c r="D231" i="2" s="1"/>
  <c r="G237" i="1"/>
  <c r="AA237" i="1" s="1"/>
  <c r="D235" i="2" s="1"/>
  <c r="O236" i="12"/>
  <c r="E290" i="12"/>
  <c r="E218" i="12"/>
  <c r="E214" i="12"/>
  <c r="E142" i="12"/>
  <c r="E138" i="12"/>
  <c r="E130" i="12"/>
  <c r="N6" i="11"/>
  <c r="F53" i="1"/>
  <c r="AA53" i="1" s="1"/>
  <c r="D51" i="2" s="1"/>
  <c r="O52" i="12"/>
  <c r="F149" i="1"/>
  <c r="AA149" i="1" s="1"/>
  <c r="D147" i="2" s="1"/>
  <c r="O148" i="12"/>
  <c r="O299" i="12"/>
  <c r="O301" i="11"/>
  <c r="E300" i="1"/>
  <c r="AA300" i="1" s="1"/>
  <c r="D298" i="2" s="1"/>
  <c r="O305" i="11"/>
  <c r="D304" i="1"/>
  <c r="AC304" i="1" s="1"/>
  <c r="AD304" i="1" s="1"/>
  <c r="E302" i="2" s="1"/>
  <c r="O303" i="12"/>
  <c r="O332" i="11"/>
  <c r="D331" i="1"/>
  <c r="AC331" i="1" s="1"/>
  <c r="AD331" i="1" s="1"/>
  <c r="E329" i="2" s="1"/>
  <c r="O330" i="12"/>
  <c r="E297" i="12"/>
  <c r="E285" i="12"/>
  <c r="E225" i="12"/>
  <c r="E79" i="12"/>
  <c r="E11" i="12"/>
  <c r="O43" i="11"/>
  <c r="E42" i="1"/>
  <c r="AA42" i="1" s="1"/>
  <c r="D40" i="2" s="1"/>
  <c r="O75" i="11"/>
  <c r="E74" i="1"/>
  <c r="O107" i="11"/>
  <c r="E106" i="1"/>
  <c r="AA106" i="1" s="1"/>
  <c r="D104" i="2" s="1"/>
  <c r="O139" i="11"/>
  <c r="E138" i="1"/>
  <c r="AA138" i="1" s="1"/>
  <c r="D136" i="2" s="1"/>
  <c r="O204" i="12"/>
  <c r="O206" i="11"/>
  <c r="E205" i="1"/>
  <c r="AA205" i="1" s="1"/>
  <c r="D203" i="2" s="1"/>
  <c r="F298" i="1"/>
  <c r="AA298" i="1" s="1"/>
  <c r="D296" i="2" s="1"/>
  <c r="O297" i="12"/>
  <c r="S21" i="11"/>
  <c r="O14" i="11"/>
  <c r="F6" i="11"/>
  <c r="M6" i="11"/>
  <c r="H6" i="11"/>
  <c r="O21" i="11"/>
  <c r="D20" i="1"/>
  <c r="E19" i="12" s="1"/>
  <c r="O42" i="11"/>
  <c r="O54" i="11"/>
  <c r="O74" i="11"/>
  <c r="O86" i="11"/>
  <c r="O106" i="11"/>
  <c r="O118" i="11"/>
  <c r="O138" i="11"/>
  <c r="O150" i="11"/>
  <c r="O170" i="11"/>
  <c r="O182" i="11"/>
  <c r="O205" i="11"/>
  <c r="O233" i="11"/>
  <c r="O300" i="11"/>
  <c r="L6" i="11"/>
  <c r="O34" i="11"/>
  <c r="O46" i="11"/>
  <c r="O47" i="11"/>
  <c r="O66" i="11"/>
  <c r="O78" i="11"/>
  <c r="O98" i="11"/>
  <c r="O110" i="11"/>
  <c r="O130" i="11"/>
  <c r="O142" i="11"/>
  <c r="O162" i="11"/>
  <c r="O174" i="11"/>
  <c r="O194" i="11"/>
  <c r="O221" i="11"/>
  <c r="O249" i="11"/>
  <c r="O284" i="11"/>
  <c r="G6" i="11"/>
  <c r="O18" i="11"/>
  <c r="O28" i="11"/>
  <c r="O36" i="11"/>
  <c r="O44" i="11"/>
  <c r="O52" i="11"/>
  <c r="O60" i="11"/>
  <c r="O68" i="11"/>
  <c r="O76" i="11"/>
  <c r="O84" i="11"/>
  <c r="O92" i="11"/>
  <c r="O100" i="11"/>
  <c r="O108" i="11"/>
  <c r="O116" i="11"/>
  <c r="O124" i="11"/>
  <c r="O132" i="11"/>
  <c r="O140" i="11"/>
  <c r="O148" i="11"/>
  <c r="O156" i="11"/>
  <c r="O164" i="11"/>
  <c r="O172" i="11"/>
  <c r="O180" i="11"/>
  <c r="O188" i="11"/>
  <c r="O196" i="11"/>
  <c r="O197" i="11"/>
  <c r="O209" i="11"/>
  <c r="O229" i="11"/>
  <c r="O241" i="11"/>
  <c r="O262" i="11"/>
  <c r="O278" i="11"/>
  <c r="O294" i="11"/>
  <c r="O310" i="11"/>
  <c r="O326" i="11"/>
  <c r="O9" i="11"/>
  <c r="I6" i="11"/>
  <c r="O199" i="11"/>
  <c r="O207" i="11"/>
  <c r="O215" i="11"/>
  <c r="O223" i="11"/>
  <c r="O231" i="11"/>
  <c r="O239" i="11"/>
  <c r="O247" i="11"/>
  <c r="O255" i="11"/>
  <c r="O276" i="11"/>
  <c r="O283" i="11"/>
  <c r="O286" i="11"/>
  <c r="O308" i="11"/>
  <c r="O315" i="11"/>
  <c r="O318" i="11"/>
  <c r="O340" i="11"/>
  <c r="O267" i="11"/>
  <c r="O270" i="11"/>
  <c r="O299" i="11"/>
  <c r="O302" i="11"/>
  <c r="O331" i="11"/>
  <c r="O334" i="11"/>
  <c r="O272" i="11"/>
  <c r="O288" i="11"/>
  <c r="O304" i="11"/>
  <c r="O320" i="11"/>
  <c r="O336" i="11"/>
  <c r="O264" i="11"/>
  <c r="O280" i="11"/>
  <c r="O296" i="11"/>
  <c r="O312" i="11"/>
  <c r="O328" i="11"/>
  <c r="F74" i="7" l="1"/>
  <c r="F80" i="7" s="1"/>
  <c r="Q25" i="12"/>
  <c r="L263" i="12"/>
  <c r="Q146" i="2"/>
  <c r="Q210" i="2"/>
  <c r="I51" i="12"/>
  <c r="G14" i="5"/>
  <c r="G102" i="5"/>
  <c r="Q106" i="2"/>
  <c r="Q250" i="2"/>
  <c r="I84" i="10"/>
  <c r="G110" i="5"/>
  <c r="Q114" i="2"/>
  <c r="G62" i="5"/>
  <c r="O45" i="14"/>
  <c r="F99" i="14"/>
  <c r="E117" i="14"/>
  <c r="S99" i="14"/>
  <c r="J117" i="14"/>
  <c r="K99" i="14"/>
  <c r="N117" i="14"/>
  <c r="M99" i="14"/>
  <c r="D43" i="14"/>
  <c r="L13" i="10" s="1"/>
  <c r="H117" i="14"/>
  <c r="K45" i="14"/>
  <c r="Q99" i="14"/>
  <c r="P99" i="14"/>
  <c r="G45" i="14"/>
  <c r="I45" i="14"/>
  <c r="D113" i="14"/>
  <c r="J15" i="10" s="1"/>
  <c r="D41" i="14"/>
  <c r="J13" i="10" s="1"/>
  <c r="D94" i="14"/>
  <c r="I14" i="10" s="1"/>
  <c r="J45" i="14"/>
  <c r="G99" i="14"/>
  <c r="D64" i="14"/>
  <c r="O99" i="14"/>
  <c r="Q45" i="14"/>
  <c r="M117" i="14"/>
  <c r="D114" i="14"/>
  <c r="K15" i="10" s="1"/>
  <c r="R117" i="14"/>
  <c r="D95" i="14"/>
  <c r="J14" i="10" s="1"/>
  <c r="E99" i="14"/>
  <c r="G117" i="14"/>
  <c r="H99" i="14"/>
  <c r="H45" i="14"/>
  <c r="D42" i="14"/>
  <c r="K13" i="10" s="1"/>
  <c r="P117" i="14"/>
  <c r="D96" i="14"/>
  <c r="K14" i="10" s="1"/>
  <c r="D115" i="14"/>
  <c r="L15" i="10" s="1"/>
  <c r="M80" i="10"/>
  <c r="D112" i="14"/>
  <c r="N99" i="14"/>
  <c r="K108" i="14"/>
  <c r="L57" i="14"/>
  <c r="L108" i="14"/>
  <c r="J108" i="14"/>
  <c r="D122" i="14"/>
  <c r="J40" i="10" s="1"/>
  <c r="D40" i="14"/>
  <c r="I13" i="10" s="1"/>
  <c r="D97" i="14"/>
  <c r="L14" i="10" s="1"/>
  <c r="I99" i="14"/>
  <c r="S45" i="14"/>
  <c r="M77" i="10"/>
  <c r="D76" i="14"/>
  <c r="L45" i="14"/>
  <c r="I126" i="14"/>
  <c r="D50" i="14"/>
  <c r="L126" i="14"/>
  <c r="D55" i="14"/>
  <c r="O57" i="14"/>
  <c r="G68" i="14"/>
  <c r="D54" i="14"/>
  <c r="N126" i="14"/>
  <c r="F79" i="14"/>
  <c r="D53" i="14"/>
  <c r="D75" i="14"/>
  <c r="D72" i="14"/>
  <c r="D83" i="14"/>
  <c r="N90" i="14"/>
  <c r="J68" i="14"/>
  <c r="H90" i="14"/>
  <c r="M78" i="10"/>
  <c r="M74" i="10"/>
  <c r="R57" i="14"/>
  <c r="O79" i="14"/>
  <c r="D61" i="14"/>
  <c r="M57" i="14"/>
  <c r="M79" i="14"/>
  <c r="H108" i="14"/>
  <c r="N79" i="14"/>
  <c r="S79" i="14"/>
  <c r="D87" i="14"/>
  <c r="D66" i="14"/>
  <c r="D86" i="14"/>
  <c r="R79" i="14"/>
  <c r="D84" i="14"/>
  <c r="D73" i="14"/>
  <c r="D65" i="14"/>
  <c r="I90" i="14"/>
  <c r="S90" i="14"/>
  <c r="P108" i="14"/>
  <c r="N68" i="14"/>
  <c r="M108" i="14"/>
  <c r="S57" i="14"/>
  <c r="H79" i="14"/>
  <c r="N57" i="14"/>
  <c r="F108" i="14"/>
  <c r="M126" i="14"/>
  <c r="O108" i="14"/>
  <c r="I57" i="14"/>
  <c r="S108" i="14"/>
  <c r="I79" i="14"/>
  <c r="R108" i="14"/>
  <c r="P126" i="14"/>
  <c r="O90" i="14"/>
  <c r="D74" i="14"/>
  <c r="H68" i="14"/>
  <c r="Q167" i="2"/>
  <c r="E47" i="12"/>
  <c r="Q274" i="2"/>
  <c r="Q94" i="2"/>
  <c r="G86" i="5"/>
  <c r="I115" i="12"/>
  <c r="K115" i="12" s="1"/>
  <c r="Q160" i="12"/>
  <c r="Q128" i="12"/>
  <c r="Q123" i="12"/>
  <c r="AA86" i="1"/>
  <c r="D84" i="2" s="1"/>
  <c r="D85" i="12" s="1"/>
  <c r="I168" i="12"/>
  <c r="K168" i="12" s="1"/>
  <c r="Q6" i="2"/>
  <c r="G98" i="5"/>
  <c r="E135" i="12"/>
  <c r="G43" i="5"/>
  <c r="Q103" i="12"/>
  <c r="M73" i="10"/>
  <c r="I7" i="12"/>
  <c r="K7" i="12" s="1"/>
  <c r="I235" i="12"/>
  <c r="K235" i="12" s="1"/>
  <c r="I243" i="12"/>
  <c r="L243" i="12" s="1"/>
  <c r="Q234" i="2"/>
  <c r="Q242" i="2"/>
  <c r="I275" i="12"/>
  <c r="L275" i="12" s="1"/>
  <c r="Q82" i="2"/>
  <c r="O242" i="2"/>
  <c r="I59" i="12"/>
  <c r="L59" i="12" s="1"/>
  <c r="D64" i="5"/>
  <c r="F64" i="5" s="1"/>
  <c r="H64" i="5" s="1"/>
  <c r="I334" i="12"/>
  <c r="L334" i="12" s="1"/>
  <c r="I22" i="12"/>
  <c r="K22" i="12" s="1"/>
  <c r="L60" i="12"/>
  <c r="Q314" i="2"/>
  <c r="I286" i="12"/>
  <c r="L286" i="12" s="1"/>
  <c r="L20" i="12"/>
  <c r="O143" i="2"/>
  <c r="D61" i="12"/>
  <c r="F61" i="12" s="1"/>
  <c r="I43" i="12"/>
  <c r="K43" i="12" s="1"/>
  <c r="P130" i="2"/>
  <c r="I93" i="12"/>
  <c r="K93" i="12" s="1"/>
  <c r="I155" i="12"/>
  <c r="L155" i="12" s="1"/>
  <c r="G158" i="5"/>
  <c r="I227" i="12"/>
  <c r="K227" i="12" s="1"/>
  <c r="Q162" i="2"/>
  <c r="G114" i="5"/>
  <c r="I171" i="12"/>
  <c r="K171" i="12" s="1"/>
  <c r="I163" i="12"/>
  <c r="K163" i="12" s="1"/>
  <c r="I31" i="12"/>
  <c r="K31" i="12" s="1"/>
  <c r="G46" i="5"/>
  <c r="Q318" i="2"/>
  <c r="L279" i="12"/>
  <c r="Q47" i="12"/>
  <c r="Q147" i="12"/>
  <c r="Q85" i="12"/>
  <c r="Q32" i="2"/>
  <c r="O322" i="2"/>
  <c r="I12" i="12"/>
  <c r="L12" i="12" s="1"/>
  <c r="Q74" i="2"/>
  <c r="K320" i="12"/>
  <c r="AA225" i="1"/>
  <c r="D223" i="2" s="1"/>
  <c r="D227" i="5" s="1"/>
  <c r="F227" i="5" s="1"/>
  <c r="H227" i="5" s="1"/>
  <c r="I183" i="12"/>
  <c r="K183" i="12" s="1"/>
  <c r="Q226" i="2"/>
  <c r="I187" i="12"/>
  <c r="L187" i="12" s="1"/>
  <c r="I139" i="12"/>
  <c r="K139" i="12" s="1"/>
  <c r="L320" i="12"/>
  <c r="Q170" i="2"/>
  <c r="I259" i="12"/>
  <c r="K259" i="12" s="1"/>
  <c r="AC8" i="1"/>
  <c r="AD8" i="1" s="1"/>
  <c r="E6" i="2" s="1"/>
  <c r="I315" i="12"/>
  <c r="K315" i="12" s="1"/>
  <c r="Q234" i="12"/>
  <c r="L107" i="12"/>
  <c r="L159" i="12"/>
  <c r="Q91" i="12"/>
  <c r="P282" i="2"/>
  <c r="Q325" i="12"/>
  <c r="H166" i="5"/>
  <c r="G34" i="5"/>
  <c r="Q258" i="2"/>
  <c r="Q138" i="2"/>
  <c r="K59" i="12"/>
  <c r="G70" i="5"/>
  <c r="H70" i="5" s="1"/>
  <c r="Q231" i="12"/>
  <c r="E124" i="12"/>
  <c r="Q222" i="2"/>
  <c r="Q202" i="2"/>
  <c r="P295" i="2"/>
  <c r="Q324" i="12"/>
  <c r="I331" i="12"/>
  <c r="K331" i="12" s="1"/>
  <c r="L332" i="12"/>
  <c r="Q292" i="12"/>
  <c r="L16" i="12"/>
  <c r="K279" i="12"/>
  <c r="Q11" i="12"/>
  <c r="Q194" i="2"/>
  <c r="I179" i="12"/>
  <c r="L179" i="12" s="1"/>
  <c r="H182" i="5"/>
  <c r="E320" i="12"/>
  <c r="G334" i="5"/>
  <c r="E87" i="12"/>
  <c r="Q148" i="12"/>
  <c r="Q266" i="12"/>
  <c r="I223" i="12"/>
  <c r="K223" i="12" s="1"/>
  <c r="I195" i="12"/>
  <c r="K195" i="12" s="1"/>
  <c r="I111" i="12"/>
  <c r="K111" i="12" s="1"/>
  <c r="Q178" i="2"/>
  <c r="O130" i="2"/>
  <c r="L24" i="12"/>
  <c r="I145" i="12"/>
  <c r="L145" i="12" s="1"/>
  <c r="E127" i="12"/>
  <c r="D256" i="12"/>
  <c r="I87" i="12"/>
  <c r="K87" i="12" s="1"/>
  <c r="E28" i="12"/>
  <c r="Q95" i="12"/>
  <c r="Q174" i="12"/>
  <c r="AA64" i="1"/>
  <c r="D62" i="2" s="1"/>
  <c r="D66" i="5" s="1"/>
  <c r="F66" i="5" s="1"/>
  <c r="H66" i="5" s="1"/>
  <c r="E92" i="12"/>
  <c r="E284" i="12"/>
  <c r="Q248" i="12"/>
  <c r="Q333" i="12"/>
  <c r="Q215" i="12"/>
  <c r="Q257" i="12"/>
  <c r="Q213" i="12"/>
  <c r="Q201" i="12"/>
  <c r="Q167" i="12"/>
  <c r="E256" i="12"/>
  <c r="Q54" i="2"/>
  <c r="D259" i="12"/>
  <c r="G15" i="5"/>
  <c r="Q322" i="2"/>
  <c r="Q26" i="2"/>
  <c r="Q27" i="12"/>
  <c r="I55" i="12"/>
  <c r="L55" i="12" s="1"/>
  <c r="D264" i="12"/>
  <c r="E280" i="12"/>
  <c r="Q298" i="2"/>
  <c r="I67" i="12"/>
  <c r="L67" i="12" s="1"/>
  <c r="G30" i="5"/>
  <c r="E211" i="12"/>
  <c r="E39" i="12"/>
  <c r="E220" i="12"/>
  <c r="Q186" i="2"/>
  <c r="O134" i="2"/>
  <c r="Q182" i="2"/>
  <c r="I105" i="12"/>
  <c r="L105" i="12" s="1"/>
  <c r="I203" i="12"/>
  <c r="K203" i="12" s="1"/>
  <c r="P153" i="2"/>
  <c r="E12" i="12"/>
  <c r="Q86" i="2"/>
  <c r="L128" i="12"/>
  <c r="I299" i="12"/>
  <c r="K299" i="12" s="1"/>
  <c r="Q306" i="2"/>
  <c r="I319" i="12"/>
  <c r="L319" i="12" s="1"/>
  <c r="D154" i="12"/>
  <c r="G154" i="12" s="1"/>
  <c r="I323" i="12"/>
  <c r="K323" i="12" s="1"/>
  <c r="Q278" i="12"/>
  <c r="Q218" i="12"/>
  <c r="Q129" i="12"/>
  <c r="Q255" i="12"/>
  <c r="Q203" i="12"/>
  <c r="Q191" i="12"/>
  <c r="Q240" i="12"/>
  <c r="I307" i="12"/>
  <c r="K307" i="12" s="1"/>
  <c r="E59" i="12"/>
  <c r="Q287" i="12"/>
  <c r="O74" i="2"/>
  <c r="I75" i="12"/>
  <c r="K75" i="12" s="1"/>
  <c r="L296" i="12"/>
  <c r="L264" i="12"/>
  <c r="Q338" i="12"/>
  <c r="Q241" i="12"/>
  <c r="Q217" i="12"/>
  <c r="Q121" i="12"/>
  <c r="Q327" i="12"/>
  <c r="Q181" i="12"/>
  <c r="Q249" i="12"/>
  <c r="Q259" i="12"/>
  <c r="Q193" i="12"/>
  <c r="K11" i="12"/>
  <c r="K288" i="12"/>
  <c r="D163" i="12"/>
  <c r="P111" i="2"/>
  <c r="D289" i="5"/>
  <c r="F289" i="5" s="1"/>
  <c r="H289" i="5" s="1"/>
  <c r="P29" i="2"/>
  <c r="E177" i="12"/>
  <c r="E248" i="12"/>
  <c r="G132" i="5"/>
  <c r="E209" i="12"/>
  <c r="L33" i="12"/>
  <c r="L27" i="12"/>
  <c r="P43" i="2"/>
  <c r="K316" i="12"/>
  <c r="G36" i="5"/>
  <c r="E264" i="12"/>
  <c r="D138" i="12"/>
  <c r="F138" i="12" s="1"/>
  <c r="O222" i="2"/>
  <c r="D145" i="12"/>
  <c r="G145" i="12" s="1"/>
  <c r="K296" i="12"/>
  <c r="Q262" i="12"/>
  <c r="Q82" i="12"/>
  <c r="Q329" i="12"/>
  <c r="Q316" i="12"/>
  <c r="Q239" i="12"/>
  <c r="Q72" i="12"/>
  <c r="L317" i="12"/>
  <c r="Q227" i="12"/>
  <c r="Q214" i="12"/>
  <c r="Q328" i="12"/>
  <c r="Q144" i="12"/>
  <c r="Q313" i="12"/>
  <c r="Q195" i="12"/>
  <c r="Q205" i="12"/>
  <c r="Q207" i="12"/>
  <c r="O6" i="19"/>
  <c r="Q199" i="12"/>
  <c r="Q183" i="12"/>
  <c r="Q250" i="12"/>
  <c r="Q145" i="12"/>
  <c r="L11" i="12"/>
  <c r="K84" i="12"/>
  <c r="Q223" i="12"/>
  <c r="Q211" i="12"/>
  <c r="Q115" i="12"/>
  <c r="Q87" i="12"/>
  <c r="L288" i="12"/>
  <c r="K317" i="12"/>
  <c r="K20" i="12"/>
  <c r="L304" i="12"/>
  <c r="Q247" i="12"/>
  <c r="K328" i="12"/>
  <c r="Q15" i="12"/>
  <c r="Q232" i="12"/>
  <c r="Q197" i="12"/>
  <c r="O144" i="2"/>
  <c r="F148" i="5"/>
  <c r="E182" i="12"/>
  <c r="E203" i="12"/>
  <c r="E275" i="12"/>
  <c r="F65" i="5"/>
  <c r="H65" i="5" s="1"/>
  <c r="E140" i="12"/>
  <c r="O234" i="2"/>
  <c r="E235" i="12"/>
  <c r="E35" i="12"/>
  <c r="Q205" i="2"/>
  <c r="O290" i="2"/>
  <c r="D154" i="5"/>
  <c r="F154" i="5" s="1"/>
  <c r="H154" i="5" s="1"/>
  <c r="D42" i="12"/>
  <c r="F42" i="12" s="1"/>
  <c r="D129" i="12"/>
  <c r="F129" i="12" s="1"/>
  <c r="K304" i="12"/>
  <c r="P128" i="2"/>
  <c r="O299" i="2"/>
  <c r="I173" i="12"/>
  <c r="L173" i="12" s="1"/>
  <c r="D30" i="12"/>
  <c r="F30" i="12" s="1"/>
  <c r="D275" i="12"/>
  <c r="D62" i="12"/>
  <c r="G62" i="12" s="1"/>
  <c r="P69" i="2"/>
  <c r="P46" i="2"/>
  <c r="K327" i="12"/>
  <c r="P290" i="2"/>
  <c r="D78" i="12"/>
  <c r="F78" i="12" s="1"/>
  <c r="D286" i="5"/>
  <c r="F286" i="5" s="1"/>
  <c r="H286" i="5" s="1"/>
  <c r="O150" i="2"/>
  <c r="Q300" i="2"/>
  <c r="D226" i="12"/>
  <c r="F226" i="12" s="1"/>
  <c r="P22" i="2"/>
  <c r="D23" i="12"/>
  <c r="F23" i="12" s="1"/>
  <c r="Q49" i="2"/>
  <c r="D316" i="12"/>
  <c r="P225" i="2"/>
  <c r="P61" i="2"/>
  <c r="D291" i="12"/>
  <c r="G291" i="12" s="1"/>
  <c r="P247" i="2"/>
  <c r="O230" i="2"/>
  <c r="F294" i="5"/>
  <c r="H294" i="5" s="1"/>
  <c r="O282" i="2"/>
  <c r="P77" i="2"/>
  <c r="F132" i="5"/>
  <c r="D70" i="12"/>
  <c r="G70" i="12" s="1"/>
  <c r="G84" i="5"/>
  <c r="P150" i="2"/>
  <c r="O22" i="2"/>
  <c r="P279" i="2"/>
  <c r="D48" i="12"/>
  <c r="G48" i="12" s="1"/>
  <c r="F26" i="5"/>
  <c r="H26" i="5" s="1"/>
  <c r="P41" i="2"/>
  <c r="F15" i="5"/>
  <c r="F127" i="5"/>
  <c r="H127" i="5" s="1"/>
  <c r="P144" i="2"/>
  <c r="F253" i="5"/>
  <c r="O29" i="2"/>
  <c r="O58" i="2"/>
  <c r="E132" i="12"/>
  <c r="P118" i="2"/>
  <c r="O211" i="2"/>
  <c r="D174" i="12"/>
  <c r="F174" i="12" s="1"/>
  <c r="L103" i="12"/>
  <c r="O138" i="2"/>
  <c r="D240" i="12"/>
  <c r="F240" i="12" s="1"/>
  <c r="P149" i="2"/>
  <c r="AA217" i="1"/>
  <c r="D215" i="2" s="1"/>
  <c r="D219" i="5" s="1"/>
  <c r="F219" i="5" s="1"/>
  <c r="H219" i="5" s="1"/>
  <c r="I110" i="12"/>
  <c r="K110" i="12" s="1"/>
  <c r="P139" i="2"/>
  <c r="L39" i="12"/>
  <c r="L335" i="12"/>
  <c r="F143" i="5"/>
  <c r="H143" i="5" s="1"/>
  <c r="L240" i="12"/>
  <c r="L216" i="12"/>
  <c r="L329" i="12"/>
  <c r="Q165" i="12"/>
  <c r="Q182" i="12"/>
  <c r="Q256" i="12"/>
  <c r="Q260" i="12"/>
  <c r="K228" i="12"/>
  <c r="Q83" i="12"/>
  <c r="Q253" i="12"/>
  <c r="Q63" i="12"/>
  <c r="K230" i="12"/>
  <c r="Q284" i="12"/>
  <c r="Q155" i="12"/>
  <c r="Q108" i="12"/>
  <c r="Q224" i="12"/>
  <c r="Q331" i="12"/>
  <c r="K276" i="12"/>
  <c r="Q243" i="12"/>
  <c r="D60" i="12"/>
  <c r="D290" i="12"/>
  <c r="F290" i="12" s="1"/>
  <c r="Q296" i="12"/>
  <c r="F202" i="5"/>
  <c r="H202" i="5" s="1"/>
  <c r="E128" i="12"/>
  <c r="G40" i="5"/>
  <c r="F80" i="5"/>
  <c r="O44" i="2"/>
  <c r="P236" i="2"/>
  <c r="F198" i="12"/>
  <c r="P226" i="2"/>
  <c r="G185" i="5"/>
  <c r="Q127" i="12"/>
  <c r="Q169" i="12"/>
  <c r="K164" i="12"/>
  <c r="Q132" i="2"/>
  <c r="I137" i="12"/>
  <c r="K137" i="12" s="1"/>
  <c r="P49" i="2"/>
  <c r="E205" i="12"/>
  <c r="O194" i="2"/>
  <c r="O109" i="2"/>
  <c r="AA88" i="1"/>
  <c r="D86" i="2" s="1"/>
  <c r="O86" i="2" s="1"/>
  <c r="H87" i="5"/>
  <c r="Q131" i="12"/>
  <c r="G136" i="5"/>
  <c r="Q261" i="12"/>
  <c r="L308" i="12"/>
  <c r="L133" i="12"/>
  <c r="O146" i="2"/>
  <c r="Q13" i="2"/>
  <c r="Q293" i="2"/>
  <c r="D227" i="12"/>
  <c r="F227" i="12" s="1"/>
  <c r="D251" i="5"/>
  <c r="F251" i="5" s="1"/>
  <c r="H251" i="5" s="1"/>
  <c r="P74" i="2"/>
  <c r="D221" i="5"/>
  <c r="F221" i="5" s="1"/>
  <c r="H221" i="5" s="1"/>
  <c r="L316" i="12"/>
  <c r="E175" i="12"/>
  <c r="I70" i="12"/>
  <c r="K70" i="12" s="1"/>
  <c r="P50" i="2"/>
  <c r="O64" i="2"/>
  <c r="Q9" i="12"/>
  <c r="D223" i="12"/>
  <c r="Q216" i="12"/>
  <c r="E103" i="12"/>
  <c r="D123" i="12"/>
  <c r="L252" i="12"/>
  <c r="D231" i="12"/>
  <c r="Q21" i="12"/>
  <c r="L236" i="12"/>
  <c r="K287" i="12"/>
  <c r="I217" i="12"/>
  <c r="K217" i="12" s="1"/>
  <c r="P181" i="2"/>
  <c r="O186" i="2"/>
  <c r="E123" i="12"/>
  <c r="E159" i="12"/>
  <c r="E197" i="12"/>
  <c r="E219" i="12"/>
  <c r="D214" i="12"/>
  <c r="F214" i="12" s="1"/>
  <c r="I106" i="12"/>
  <c r="K106" i="12" s="1"/>
  <c r="P230" i="2"/>
  <c r="Q185" i="2"/>
  <c r="K263" i="12"/>
  <c r="D63" i="5"/>
  <c r="F63" i="5" s="1"/>
  <c r="H63" i="5" s="1"/>
  <c r="P234" i="2"/>
  <c r="P25" i="2"/>
  <c r="K267" i="12"/>
  <c r="G209" i="5"/>
  <c r="O270" i="2"/>
  <c r="D22" i="12"/>
  <c r="G22" i="12" s="1"/>
  <c r="P174" i="2"/>
  <c r="E187" i="12"/>
  <c r="D139" i="12"/>
  <c r="F139" i="12" s="1"/>
  <c r="O181" i="2"/>
  <c r="L327" i="12"/>
  <c r="K138" i="12"/>
  <c r="Q14" i="12"/>
  <c r="Q80" i="12"/>
  <c r="Q75" i="12"/>
  <c r="Q140" i="12"/>
  <c r="Q92" i="12"/>
  <c r="Q48" i="12"/>
  <c r="Q305" i="12"/>
  <c r="Q273" i="12"/>
  <c r="K332" i="12"/>
  <c r="E143" i="12"/>
  <c r="L92" i="12"/>
  <c r="L260" i="12"/>
  <c r="G288" i="5"/>
  <c r="H288" i="5" s="1"/>
  <c r="D238" i="5"/>
  <c r="F238" i="5" s="1"/>
  <c r="H238" i="5" s="1"/>
  <c r="P162" i="2"/>
  <c r="Q96" i="12"/>
  <c r="Q315" i="12"/>
  <c r="AA74" i="1"/>
  <c r="D72" i="2" s="1"/>
  <c r="D73" i="12" s="1"/>
  <c r="E223" i="12"/>
  <c r="G220" i="5"/>
  <c r="P289" i="2"/>
  <c r="P102" i="2"/>
  <c r="K16" i="12"/>
  <c r="E163" i="12"/>
  <c r="E268" i="12"/>
  <c r="E44" i="12"/>
  <c r="E309" i="12"/>
  <c r="G156" i="5"/>
  <c r="H156" i="5" s="1"/>
  <c r="P137" i="2"/>
  <c r="I338" i="12"/>
  <c r="K338" i="12" s="1"/>
  <c r="P122" i="2"/>
  <c r="P213" i="2"/>
  <c r="Q8" i="2"/>
  <c r="K72" i="12"/>
  <c r="P138" i="2"/>
  <c r="O162" i="2"/>
  <c r="G206" i="12"/>
  <c r="O107" i="2"/>
  <c r="D103" i="12"/>
  <c r="G197" i="5"/>
  <c r="Q253" i="2"/>
  <c r="I254" i="12"/>
  <c r="K254" i="12" s="1"/>
  <c r="P267" i="2"/>
  <c r="F287" i="5"/>
  <c r="H287" i="5" s="1"/>
  <c r="F266" i="5"/>
  <c r="H266" i="5" s="1"/>
  <c r="Q35" i="12"/>
  <c r="Q39" i="12"/>
  <c r="Q67" i="12"/>
  <c r="Q10" i="12"/>
  <c r="Q291" i="12"/>
  <c r="Q272" i="12"/>
  <c r="Q289" i="12"/>
  <c r="O34" i="2"/>
  <c r="D81" i="12"/>
  <c r="G81" i="12" s="1"/>
  <c r="P80" i="2"/>
  <c r="D84" i="5"/>
  <c r="F84" i="5" s="1"/>
  <c r="D160" i="12"/>
  <c r="D163" i="5"/>
  <c r="F163" i="5" s="1"/>
  <c r="H163" i="5" s="1"/>
  <c r="I118" i="12"/>
  <c r="K118" i="12" s="1"/>
  <c r="G100" i="5"/>
  <c r="H100" i="5" s="1"/>
  <c r="AA32" i="1"/>
  <c r="D30" i="2" s="1"/>
  <c r="D31" i="12" s="1"/>
  <c r="F31" i="12" s="1"/>
  <c r="D48" i="5"/>
  <c r="F48" i="5" s="1"/>
  <c r="H48" i="5" s="1"/>
  <c r="O97" i="2"/>
  <c r="D268" i="12"/>
  <c r="L164" i="12"/>
  <c r="Q76" i="12"/>
  <c r="Q288" i="12"/>
  <c r="K92" i="12"/>
  <c r="K335" i="12"/>
  <c r="Q204" i="12"/>
  <c r="M84" i="10"/>
  <c r="P44" i="2"/>
  <c r="O123" i="2"/>
  <c r="P110" i="2"/>
  <c r="E231" i="12"/>
  <c r="E60" i="12"/>
  <c r="F46" i="12"/>
  <c r="E80" i="12"/>
  <c r="E319" i="12"/>
  <c r="Q77" i="2"/>
  <c r="E234" i="5"/>
  <c r="F234" i="5" s="1"/>
  <c r="H234" i="5" s="1"/>
  <c r="P20" i="2"/>
  <c r="D131" i="12"/>
  <c r="G131" i="12" s="1"/>
  <c r="Q161" i="2"/>
  <c r="O59" i="2"/>
  <c r="F157" i="5"/>
  <c r="H157" i="5" s="1"/>
  <c r="F81" i="5"/>
  <c r="H81" i="5" s="1"/>
  <c r="E287" i="12"/>
  <c r="O102" i="2"/>
  <c r="D127" i="12"/>
  <c r="P222" i="2"/>
  <c r="D39" i="12"/>
  <c r="AA170" i="1"/>
  <c r="D168" i="2" s="1"/>
  <c r="D169" i="12" s="1"/>
  <c r="G169" i="12" s="1"/>
  <c r="D237" i="12"/>
  <c r="G237" i="12" s="1"/>
  <c r="D32" i="12"/>
  <c r="F295" i="5"/>
  <c r="H295" i="5" s="1"/>
  <c r="P133" i="2"/>
  <c r="O139" i="2"/>
  <c r="Q172" i="2"/>
  <c r="D287" i="12"/>
  <c r="F287" i="12" s="1"/>
  <c r="Q178" i="12"/>
  <c r="AA56" i="1"/>
  <c r="D54" i="2" s="1"/>
  <c r="P54" i="2" s="1"/>
  <c r="Q23" i="12"/>
  <c r="Q268" i="12"/>
  <c r="Q323" i="12"/>
  <c r="Q179" i="12"/>
  <c r="Q244" i="12"/>
  <c r="K260" i="12"/>
  <c r="AA156" i="1"/>
  <c r="D154" i="2" s="1"/>
  <c r="D248" i="12"/>
  <c r="G188" i="5"/>
  <c r="D182" i="12"/>
  <c r="E276" i="12"/>
  <c r="E160" i="12"/>
  <c r="E15" i="12"/>
  <c r="D140" i="12"/>
  <c r="I37" i="12"/>
  <c r="K37" i="12" s="1"/>
  <c r="G21" i="5"/>
  <c r="D134" i="12"/>
  <c r="G134" i="12" s="1"/>
  <c r="Q68" i="2"/>
  <c r="L231" i="12"/>
  <c r="O247" i="2"/>
  <c r="P59" i="2"/>
  <c r="F18" i="5"/>
  <c r="H18" i="5" s="1"/>
  <c r="E32" i="12"/>
  <c r="L312" i="12"/>
  <c r="L196" i="12"/>
  <c r="Q20" i="2"/>
  <c r="Q128" i="2"/>
  <c r="G276" i="5"/>
  <c r="AA29" i="1"/>
  <c r="D27" i="2" s="1"/>
  <c r="D31" i="5" s="1"/>
  <c r="F31" i="5" s="1"/>
  <c r="H31" i="5" s="1"/>
  <c r="I109" i="12"/>
  <c r="L109" i="12" s="1"/>
  <c r="L284" i="12"/>
  <c r="P221" i="2"/>
  <c r="F185" i="5"/>
  <c r="I218" i="12"/>
  <c r="K218" i="12" s="1"/>
  <c r="Q97" i="2"/>
  <c r="P14" i="2"/>
  <c r="AA192" i="1"/>
  <c r="D190" i="2" s="1"/>
  <c r="D194" i="5" s="1"/>
  <c r="F194" i="5" s="1"/>
  <c r="H194" i="5" s="1"/>
  <c r="Q186" i="12"/>
  <c r="Q336" i="12"/>
  <c r="Q251" i="12"/>
  <c r="Q143" i="12"/>
  <c r="Q64" i="12"/>
  <c r="Q306" i="12"/>
  <c r="Q124" i="12"/>
  <c r="K99" i="12"/>
  <c r="Q89" i="12"/>
  <c r="Q59" i="12"/>
  <c r="Q314" i="12"/>
  <c r="Q49" i="12"/>
  <c r="Q212" i="12"/>
  <c r="Q233" i="12"/>
  <c r="E336" i="12"/>
  <c r="Q277" i="12"/>
  <c r="Q267" i="12"/>
  <c r="L303" i="12"/>
  <c r="Q13" i="12"/>
  <c r="K103" i="12"/>
  <c r="P156" i="2"/>
  <c r="D160" i="5"/>
  <c r="F160" i="5" s="1"/>
  <c r="G253" i="5"/>
  <c r="Q249" i="2"/>
  <c r="G225" i="5"/>
  <c r="H225" i="5" s="1"/>
  <c r="O221" i="2"/>
  <c r="G56" i="5"/>
  <c r="Q52" i="2"/>
  <c r="I53" i="12"/>
  <c r="K53" i="12" s="1"/>
  <c r="E193" i="12"/>
  <c r="AA194" i="1"/>
  <c r="D192" i="2" s="1"/>
  <c r="O192" i="2" s="1"/>
  <c r="G68" i="5"/>
  <c r="Q64" i="2"/>
  <c r="I65" i="12"/>
  <c r="L65" i="12" s="1"/>
  <c r="G32" i="5"/>
  <c r="Q28" i="2"/>
  <c r="AA208" i="1"/>
  <c r="D206" i="2" s="1"/>
  <c r="P206" i="2" s="1"/>
  <c r="E207" i="12"/>
  <c r="AA177" i="1"/>
  <c r="D175" i="2" s="1"/>
  <c r="D179" i="5" s="1"/>
  <c r="F179" i="5" s="1"/>
  <c r="H179" i="5" s="1"/>
  <c r="E176" i="12"/>
  <c r="E291" i="5"/>
  <c r="F291" i="5" s="1"/>
  <c r="H291" i="5" s="1"/>
  <c r="P287" i="2"/>
  <c r="D146" i="5"/>
  <c r="F146" i="5" s="1"/>
  <c r="H146" i="5" s="1"/>
  <c r="O142" i="2"/>
  <c r="D74" i="5"/>
  <c r="F74" i="5" s="1"/>
  <c r="H74" i="5" s="1"/>
  <c r="O70" i="2"/>
  <c r="P70" i="2"/>
  <c r="D71" i="12"/>
  <c r="F71" i="12" s="1"/>
  <c r="D146" i="12"/>
  <c r="F146" i="12" s="1"/>
  <c r="D149" i="5"/>
  <c r="F149" i="5" s="1"/>
  <c r="H149" i="5" s="1"/>
  <c r="O145" i="2"/>
  <c r="Q136" i="2"/>
  <c r="I321" i="12"/>
  <c r="K321" i="12" s="1"/>
  <c r="G261" i="5"/>
  <c r="Q257" i="2"/>
  <c r="Q241" i="2"/>
  <c r="G245" i="5"/>
  <c r="H245" i="5" s="1"/>
  <c r="Q225" i="2"/>
  <c r="I226" i="12"/>
  <c r="K226" i="12" s="1"/>
  <c r="G137" i="5"/>
  <c r="H137" i="5" s="1"/>
  <c r="Q133" i="2"/>
  <c r="P210" i="2"/>
  <c r="D214" i="5"/>
  <c r="F214" i="5" s="1"/>
  <c r="H214" i="5" s="1"/>
  <c r="AA44" i="1"/>
  <c r="D42" i="2" s="1"/>
  <c r="O42" i="2" s="1"/>
  <c r="E43" i="12"/>
  <c r="F147" i="12"/>
  <c r="G147" i="12"/>
  <c r="Q220" i="2"/>
  <c r="Q113" i="2"/>
  <c r="D292" i="5"/>
  <c r="F292" i="5" s="1"/>
  <c r="D289" i="12"/>
  <c r="F289" i="12" s="1"/>
  <c r="P145" i="2"/>
  <c r="P254" i="2"/>
  <c r="G237" i="5"/>
  <c r="H237" i="5" s="1"/>
  <c r="Q233" i="2"/>
  <c r="D223" i="5"/>
  <c r="F223" i="5" s="1"/>
  <c r="H223" i="5" s="1"/>
  <c r="D220" i="12"/>
  <c r="G325" i="5"/>
  <c r="I322" i="12"/>
  <c r="K322" i="12" s="1"/>
  <c r="I238" i="12"/>
  <c r="K238" i="12" s="1"/>
  <c r="Q237" i="2"/>
  <c r="I141" i="12"/>
  <c r="K141" i="12" s="1"/>
  <c r="G144" i="5"/>
  <c r="Q140" i="2"/>
  <c r="G92" i="5"/>
  <c r="H92" i="5" s="1"/>
  <c r="Q88" i="2"/>
  <c r="G328" i="5"/>
  <c r="Q324" i="2"/>
  <c r="I325" i="12"/>
  <c r="K325" i="12" s="1"/>
  <c r="I237" i="12"/>
  <c r="K237" i="12" s="1"/>
  <c r="Q236" i="2"/>
  <c r="AC313" i="1"/>
  <c r="AD313" i="1" s="1"/>
  <c r="E311" i="2" s="1"/>
  <c r="D312" i="12" s="1"/>
  <c r="E312" i="12"/>
  <c r="D144" i="5"/>
  <c r="F144" i="5" s="1"/>
  <c r="D141" i="12"/>
  <c r="F141" i="12" s="1"/>
  <c r="O140" i="2"/>
  <c r="P140" i="2"/>
  <c r="K208" i="12"/>
  <c r="L208" i="12"/>
  <c r="D246" i="5"/>
  <c r="F246" i="5" s="1"/>
  <c r="H246" i="5" s="1"/>
  <c r="D243" i="12"/>
  <c r="F243" i="12" s="1"/>
  <c r="P242" i="2"/>
  <c r="G305" i="5"/>
  <c r="H305" i="5" s="1"/>
  <c r="Q301" i="2"/>
  <c r="G273" i="5"/>
  <c r="H273" i="5" s="1"/>
  <c r="I270" i="12"/>
  <c r="L270" i="12" s="1"/>
  <c r="I246" i="12"/>
  <c r="L246" i="12" s="1"/>
  <c r="O245" i="2"/>
  <c r="G201" i="5"/>
  <c r="Q197" i="2"/>
  <c r="I198" i="12"/>
  <c r="K198" i="12" s="1"/>
  <c r="G133" i="5"/>
  <c r="I130" i="12"/>
  <c r="L130" i="12" s="1"/>
  <c r="Q93" i="2"/>
  <c r="G97" i="5"/>
  <c r="F255" i="5"/>
  <c r="H255" i="5" s="1"/>
  <c r="E311" i="12"/>
  <c r="Q100" i="12"/>
  <c r="D49" i="12"/>
  <c r="F49" i="12" s="1"/>
  <c r="Q129" i="2"/>
  <c r="P261" i="2"/>
  <c r="O111" i="2"/>
  <c r="D115" i="5"/>
  <c r="F115" i="5" s="1"/>
  <c r="H115" i="5" s="1"/>
  <c r="P209" i="2"/>
  <c r="D213" i="5"/>
  <c r="F213" i="5" s="1"/>
  <c r="K219" i="12"/>
  <c r="L219" i="12"/>
  <c r="D325" i="5"/>
  <c r="F325" i="5" s="1"/>
  <c r="D322" i="12"/>
  <c r="F322" i="12" s="1"/>
  <c r="F116" i="5"/>
  <c r="H116" i="5" s="1"/>
  <c r="F257" i="5"/>
  <c r="H257" i="5" s="1"/>
  <c r="Q135" i="12"/>
  <c r="D130" i="12"/>
  <c r="G130" i="12" s="1"/>
  <c r="Q108" i="2"/>
  <c r="D145" i="5"/>
  <c r="F145" i="5" s="1"/>
  <c r="I25" i="12"/>
  <c r="L25" i="12" s="1"/>
  <c r="Q317" i="2"/>
  <c r="D199" i="12"/>
  <c r="G199" i="12" s="1"/>
  <c r="D47" i="5"/>
  <c r="F47" i="5" s="1"/>
  <c r="H47" i="5" s="1"/>
  <c r="D133" i="5"/>
  <c r="F133" i="5" s="1"/>
  <c r="K27" i="12"/>
  <c r="E295" i="12"/>
  <c r="O292" i="2"/>
  <c r="P134" i="2"/>
  <c r="D135" i="12"/>
  <c r="L140" i="12"/>
  <c r="O25" i="2"/>
  <c r="Q173" i="12"/>
  <c r="Q99" i="12"/>
  <c r="H301" i="5"/>
  <c r="Q293" i="12"/>
  <c r="Q295" i="12"/>
  <c r="O228" i="2"/>
  <c r="D29" i="12"/>
  <c r="G29" i="12" s="1"/>
  <c r="K200" i="12"/>
  <c r="AA26" i="1"/>
  <c r="D24" i="2" s="1"/>
  <c r="P24" i="2" s="1"/>
  <c r="Q73" i="12"/>
  <c r="Q285" i="12"/>
  <c r="Q335" i="12"/>
  <c r="Q52" i="12"/>
  <c r="E133" i="12"/>
  <c r="Q132" i="12"/>
  <c r="O110" i="2"/>
  <c r="K303" i="12"/>
  <c r="E144" i="12"/>
  <c r="G57" i="5"/>
  <c r="O33" i="2"/>
  <c r="G37" i="5"/>
  <c r="P239" i="2"/>
  <c r="Q281" i="2"/>
  <c r="D142" i="12"/>
  <c r="G142" i="12" s="1"/>
  <c r="O43" i="2"/>
  <c r="D44" i="12"/>
  <c r="O56" i="2"/>
  <c r="O60" i="2"/>
  <c r="O308" i="2"/>
  <c r="Q84" i="12"/>
  <c r="E263" i="12"/>
  <c r="Q125" i="12"/>
  <c r="Q65" i="12"/>
  <c r="Q270" i="12"/>
  <c r="Q210" i="12"/>
  <c r="Q300" i="12"/>
  <c r="Q332" i="12"/>
  <c r="Q311" i="12"/>
  <c r="K232" i="12"/>
  <c r="O165" i="2"/>
  <c r="Q326" i="12"/>
  <c r="Q198" i="12"/>
  <c r="Q279" i="12"/>
  <c r="D38" i="12"/>
  <c r="G38" i="12" s="1"/>
  <c r="P37" i="2"/>
  <c r="D314" i="5"/>
  <c r="F314" i="5" s="1"/>
  <c r="H314" i="5" s="1"/>
  <c r="D311" i="12"/>
  <c r="D165" i="5"/>
  <c r="F165" i="5" s="1"/>
  <c r="H165" i="5" s="1"/>
  <c r="P161" i="2"/>
  <c r="P318" i="2"/>
  <c r="D322" i="5"/>
  <c r="F322" i="5" s="1"/>
  <c r="H322" i="5" s="1"/>
  <c r="G329" i="5"/>
  <c r="Q325" i="2"/>
  <c r="G89" i="5"/>
  <c r="Q85" i="2"/>
  <c r="G69" i="5"/>
  <c r="I66" i="12"/>
  <c r="L66" i="12" s="1"/>
  <c r="G41" i="5"/>
  <c r="Q37" i="2"/>
  <c r="G280" i="5"/>
  <c r="I277" i="12"/>
  <c r="K277" i="12" s="1"/>
  <c r="Q276" i="2"/>
  <c r="G244" i="5"/>
  <c r="O240" i="2"/>
  <c r="G160" i="5"/>
  <c r="Q156" i="2"/>
  <c r="D233" i="5"/>
  <c r="F233" i="5" s="1"/>
  <c r="D230" i="12"/>
  <c r="G230" i="12" s="1"/>
  <c r="D64" i="12"/>
  <c r="F64" i="12" s="1"/>
  <c r="O63" i="2"/>
  <c r="D67" i="5"/>
  <c r="F67" i="5" s="1"/>
  <c r="H67" i="5" s="1"/>
  <c r="P63" i="2"/>
  <c r="D308" i="5"/>
  <c r="F308" i="5" s="1"/>
  <c r="H308" i="5" s="1"/>
  <c r="P304" i="2"/>
  <c r="D305" i="12"/>
  <c r="E305" i="12"/>
  <c r="P93" i="2"/>
  <c r="P255" i="2"/>
  <c r="Q312" i="2"/>
  <c r="D271" i="12"/>
  <c r="F271" i="12" s="1"/>
  <c r="L200" i="12"/>
  <c r="P228" i="2"/>
  <c r="P217" i="2"/>
  <c r="I78" i="12"/>
  <c r="L78" i="12" s="1"/>
  <c r="D28" i="5"/>
  <c r="F28" i="5" s="1"/>
  <c r="H28" i="5" s="1"/>
  <c r="Q29" i="2"/>
  <c r="G33" i="5"/>
  <c r="H33" i="5" s="1"/>
  <c r="G292" i="5"/>
  <c r="Q288" i="2"/>
  <c r="Q208" i="2"/>
  <c r="G212" i="5"/>
  <c r="H212" i="5" s="1"/>
  <c r="E25" i="12"/>
  <c r="D110" i="5"/>
  <c r="F110" i="5" s="1"/>
  <c r="H110" i="5" s="1"/>
  <c r="P106" i="2"/>
  <c r="D79" i="5"/>
  <c r="F79" i="5" s="1"/>
  <c r="H79" i="5" s="1"/>
  <c r="P75" i="2"/>
  <c r="D90" i="12"/>
  <c r="G90" i="12" s="1"/>
  <c r="D93" i="5"/>
  <c r="F93" i="5" s="1"/>
  <c r="H93" i="5" s="1"/>
  <c r="Q297" i="12"/>
  <c r="O89" i="2"/>
  <c r="P271" i="2"/>
  <c r="I17" i="12"/>
  <c r="L17" i="12" s="1"/>
  <c r="D94" i="12"/>
  <c r="F94" i="12" s="1"/>
  <c r="D153" i="12"/>
  <c r="F153" i="12" s="1"/>
  <c r="P177" i="2"/>
  <c r="D222" i="5"/>
  <c r="F222" i="5" s="1"/>
  <c r="H222" i="5" s="1"/>
  <c r="D114" i="5"/>
  <c r="F114" i="5" s="1"/>
  <c r="L276" i="12"/>
  <c r="E54" i="12"/>
  <c r="P229" i="2"/>
  <c r="D328" i="5"/>
  <c r="F328" i="5" s="1"/>
  <c r="D229" i="12"/>
  <c r="F229" i="12" s="1"/>
  <c r="P270" i="2"/>
  <c r="P81" i="2"/>
  <c r="O241" i="2"/>
  <c r="D235" i="12"/>
  <c r="D76" i="12"/>
  <c r="O285" i="2"/>
  <c r="D234" i="12"/>
  <c r="F234" i="12" s="1"/>
  <c r="P314" i="2"/>
  <c r="D26" i="12"/>
  <c r="F26" i="12" s="1"/>
  <c r="E179" i="12"/>
  <c r="D319" i="12"/>
  <c r="P244" i="2"/>
  <c r="I313" i="12"/>
  <c r="L313" i="12" s="1"/>
  <c r="D183" i="5"/>
  <c r="F183" i="5" s="1"/>
  <c r="H183" i="5" s="1"/>
  <c r="D180" i="12"/>
  <c r="F180" i="12" s="1"/>
  <c r="O179" i="2"/>
  <c r="Q206" i="12"/>
  <c r="G269" i="5"/>
  <c r="I266" i="12"/>
  <c r="K266" i="12" s="1"/>
  <c r="O233" i="2"/>
  <c r="G205" i="5"/>
  <c r="Q201" i="2"/>
  <c r="D65" i="12"/>
  <c r="D68" i="5"/>
  <c r="F68" i="5" s="1"/>
  <c r="Q196" i="12"/>
  <c r="Q265" i="12"/>
  <c r="G240" i="5"/>
  <c r="H240" i="5" s="1"/>
  <c r="O236" i="2"/>
  <c r="G104" i="5"/>
  <c r="Q100" i="2"/>
  <c r="D143" i="12"/>
  <c r="P142" i="2"/>
  <c r="Q16" i="2"/>
  <c r="D82" i="12"/>
  <c r="G82" i="12" s="1"/>
  <c r="I9" i="12"/>
  <c r="K9" i="12" s="1"/>
  <c r="D172" i="12"/>
  <c r="D86" i="12"/>
  <c r="F86" i="12" s="1"/>
  <c r="P85" i="2"/>
  <c r="Q107" i="12"/>
  <c r="G13" i="5"/>
  <c r="H13" i="5" s="1"/>
  <c r="Q9" i="2"/>
  <c r="Q161" i="12"/>
  <c r="E272" i="12"/>
  <c r="AC308" i="1"/>
  <c r="AD308" i="1" s="1"/>
  <c r="E306" i="2" s="1"/>
  <c r="E310" i="5" s="1"/>
  <c r="F310" i="5" s="1"/>
  <c r="H310" i="5" s="1"/>
  <c r="E307" i="12"/>
  <c r="D37" i="5"/>
  <c r="F37" i="5" s="1"/>
  <c r="P33" i="2"/>
  <c r="D34" i="12"/>
  <c r="G34" i="12" s="1"/>
  <c r="D66" i="12"/>
  <c r="G66" i="12" s="1"/>
  <c r="D69" i="5"/>
  <c r="F69" i="5" s="1"/>
  <c r="L224" i="12"/>
  <c r="K224" i="12"/>
  <c r="AA240" i="1"/>
  <c r="D238" i="2" s="1"/>
  <c r="E239" i="12"/>
  <c r="Q152" i="12"/>
  <c r="Q88" i="12"/>
  <c r="Q136" i="12"/>
  <c r="Q104" i="12"/>
  <c r="Q37" i="12"/>
  <c r="O65" i="2"/>
  <c r="P272" i="2"/>
  <c r="Q184" i="2"/>
  <c r="O318" i="2"/>
  <c r="D178" i="12"/>
  <c r="E172" i="12"/>
  <c r="D242" i="12"/>
  <c r="F242" i="12" s="1"/>
  <c r="I241" i="12"/>
  <c r="L241" i="12" s="1"/>
  <c r="I289" i="12"/>
  <c r="L289" i="12" s="1"/>
  <c r="G121" i="5"/>
  <c r="I69" i="12"/>
  <c r="K69" i="12" s="1"/>
  <c r="Q285" i="2"/>
  <c r="I162" i="12"/>
  <c r="L162" i="12" s="1"/>
  <c r="I97" i="12"/>
  <c r="K97" i="12" s="1"/>
  <c r="D169" i="5"/>
  <c r="F169" i="5" s="1"/>
  <c r="H169" i="5" s="1"/>
  <c r="P285" i="2"/>
  <c r="P233" i="2"/>
  <c r="F97" i="5"/>
  <c r="I157" i="12"/>
  <c r="K157" i="12" s="1"/>
  <c r="D89" i="5"/>
  <c r="F89" i="5" s="1"/>
  <c r="O288" i="2"/>
  <c r="I174" i="12"/>
  <c r="O244" i="2"/>
  <c r="D245" i="12"/>
  <c r="F245" i="12" s="1"/>
  <c r="D21" i="12"/>
  <c r="G21" i="12" s="1"/>
  <c r="Q190" i="12"/>
  <c r="Q55" i="12"/>
  <c r="Q310" i="12"/>
  <c r="G153" i="5"/>
  <c r="Q149" i="2"/>
  <c r="Q70" i="12"/>
  <c r="Q170" i="12"/>
  <c r="O141" i="2"/>
  <c r="O21" i="2"/>
  <c r="D25" i="5"/>
  <c r="F25" i="5" s="1"/>
  <c r="H25" i="5" s="1"/>
  <c r="G312" i="5"/>
  <c r="Q308" i="2"/>
  <c r="G232" i="5"/>
  <c r="H232" i="5" s="1"/>
  <c r="I229" i="12"/>
  <c r="L229" i="12" s="1"/>
  <c r="Q228" i="2"/>
  <c r="G216" i="5"/>
  <c r="Q212" i="2"/>
  <c r="I213" i="12"/>
  <c r="K213" i="12" s="1"/>
  <c r="AA193" i="1"/>
  <c r="D191" i="2" s="1"/>
  <c r="O191" i="2" s="1"/>
  <c r="E192" i="12"/>
  <c r="P241" i="2"/>
  <c r="K133" i="12"/>
  <c r="D78" i="5"/>
  <c r="F78" i="5" s="1"/>
  <c r="H78" i="5" s="1"/>
  <c r="D75" i="12"/>
  <c r="F75" i="12" s="1"/>
  <c r="O275" i="2"/>
  <c r="F265" i="5"/>
  <c r="O117" i="2"/>
  <c r="Q79" i="12"/>
  <c r="Q322" i="12"/>
  <c r="Q222" i="12"/>
  <c r="Q93" i="12"/>
  <c r="Q18" i="12"/>
  <c r="Q172" i="12"/>
  <c r="Q158" i="12"/>
  <c r="Q274" i="12"/>
  <c r="O229" i="2"/>
  <c r="D317" i="12"/>
  <c r="AA9" i="1"/>
  <c r="D7" i="2" s="1"/>
  <c r="D8" i="12" s="1"/>
  <c r="F8" i="12" s="1"/>
  <c r="Q283" i="12"/>
  <c r="O48" i="2"/>
  <c r="P76" i="2"/>
  <c r="AA96" i="1"/>
  <c r="D94" i="2" s="1"/>
  <c r="D98" i="5" s="1"/>
  <c r="F98" i="5" s="1"/>
  <c r="K236" i="12"/>
  <c r="Q209" i="12"/>
  <c r="D338" i="12"/>
  <c r="H12" i="5"/>
  <c r="O8" i="2"/>
  <c r="F275" i="5"/>
  <c r="H275" i="5" s="1"/>
  <c r="L156" i="12"/>
  <c r="O108" i="2"/>
  <c r="Q41" i="12"/>
  <c r="Q138" i="12"/>
  <c r="Q318" i="12"/>
  <c r="Q126" i="12"/>
  <c r="Q153" i="12"/>
  <c r="Q119" i="12"/>
  <c r="Q112" i="12"/>
  <c r="Q334" i="12"/>
  <c r="Q38" i="12"/>
  <c r="Q57" i="12"/>
  <c r="L333" i="12"/>
  <c r="Q269" i="12"/>
  <c r="Q264" i="12"/>
  <c r="Q276" i="12"/>
  <c r="Q317" i="12"/>
  <c r="Q280" i="12"/>
  <c r="Q219" i="12"/>
  <c r="Q187" i="12"/>
  <c r="E338" i="12"/>
  <c r="L129" i="12"/>
  <c r="O325" i="2"/>
  <c r="P325" i="2"/>
  <c r="D326" i="12"/>
  <c r="G326" i="12" s="1"/>
  <c r="D329" i="5"/>
  <c r="F329" i="5" s="1"/>
  <c r="D339" i="5"/>
  <c r="F339" i="5" s="1"/>
  <c r="H339" i="5" s="1"/>
  <c r="O335" i="2"/>
  <c r="D17" i="12"/>
  <c r="F17" i="12" s="1"/>
  <c r="O16" i="2"/>
  <c r="D252" i="5"/>
  <c r="F252" i="5" s="1"/>
  <c r="H252" i="5" s="1"/>
  <c r="D249" i="12"/>
  <c r="O248" i="2"/>
  <c r="P248" i="2"/>
  <c r="F162" i="12"/>
  <c r="Q321" i="12"/>
  <c r="K308" i="12"/>
  <c r="D241" i="5"/>
  <c r="F241" i="5" s="1"/>
  <c r="H241" i="5" s="1"/>
  <c r="D238" i="12"/>
  <c r="F238" i="12" s="1"/>
  <c r="Q184" i="12"/>
  <c r="E267" i="12"/>
  <c r="P34" i="2"/>
  <c r="O177" i="2"/>
  <c r="P201" i="2"/>
  <c r="O156" i="2"/>
  <c r="P9" i="2"/>
  <c r="D299" i="5"/>
  <c r="F299" i="5" s="1"/>
  <c r="H299" i="5" s="1"/>
  <c r="E107" i="12"/>
  <c r="E288" i="12"/>
  <c r="E252" i="12"/>
  <c r="E65" i="12"/>
  <c r="O287" i="2"/>
  <c r="I290" i="12"/>
  <c r="K290" i="12" s="1"/>
  <c r="Q12" i="2"/>
  <c r="D57" i="12"/>
  <c r="G57" i="12" s="1"/>
  <c r="D166" i="12"/>
  <c r="F166" i="12" s="1"/>
  <c r="I14" i="12"/>
  <c r="K14" i="12" s="1"/>
  <c r="I294" i="12"/>
  <c r="K294" i="12" s="1"/>
  <c r="O258" i="2"/>
  <c r="I186" i="12"/>
  <c r="L186" i="12" s="1"/>
  <c r="I305" i="12"/>
  <c r="K305" i="12" s="1"/>
  <c r="O115" i="2"/>
  <c r="O75" i="2"/>
  <c r="D41" i="5"/>
  <c r="F41" i="5" s="1"/>
  <c r="D249" i="5"/>
  <c r="F249" i="5" s="1"/>
  <c r="D264" i="5"/>
  <c r="F264" i="5" s="1"/>
  <c r="O173" i="2"/>
  <c r="K94" i="12"/>
  <c r="O82" i="2"/>
  <c r="O69" i="2"/>
  <c r="L232" i="12"/>
  <c r="K268" i="12"/>
  <c r="T6" i="11"/>
  <c r="F298" i="5"/>
  <c r="H298" i="5" s="1"/>
  <c r="I90" i="12"/>
  <c r="L90" i="12" s="1"/>
  <c r="Q156" i="12"/>
  <c r="Q330" i="12"/>
  <c r="Q299" i="12"/>
  <c r="Q68" i="12"/>
  <c r="Q40" i="12"/>
  <c r="D35" i="12"/>
  <c r="D144" i="12"/>
  <c r="D150" i="5"/>
  <c r="F150" i="5" s="1"/>
  <c r="H150" i="5" s="1"/>
  <c r="D210" i="12"/>
  <c r="F210" i="12" s="1"/>
  <c r="D288" i="12"/>
  <c r="D157" i="12"/>
  <c r="F157" i="12" s="1"/>
  <c r="O38" i="2"/>
  <c r="O289" i="2"/>
  <c r="D147" i="5"/>
  <c r="F147" i="5" s="1"/>
  <c r="H147" i="5" s="1"/>
  <c r="O11" i="2"/>
  <c r="H73" i="5"/>
  <c r="E259" i="12"/>
  <c r="E300" i="12"/>
  <c r="E317" i="12"/>
  <c r="E201" i="12"/>
  <c r="E316" i="12"/>
  <c r="E95" i="12"/>
  <c r="I10" i="12"/>
  <c r="O304" i="2"/>
  <c r="Q173" i="2"/>
  <c r="Q269" i="2"/>
  <c r="I298" i="12"/>
  <c r="K298" i="12" s="1"/>
  <c r="L328" i="12"/>
  <c r="O133" i="2"/>
  <c r="O95" i="2"/>
  <c r="D120" i="12"/>
  <c r="F120" i="12" s="1"/>
  <c r="D278" i="12"/>
  <c r="G278" i="12" s="1"/>
  <c r="I41" i="12"/>
  <c r="K41" i="12" s="1"/>
  <c r="Q229" i="2"/>
  <c r="F230" i="5"/>
  <c r="H230" i="5" s="1"/>
  <c r="E262" i="5"/>
  <c r="F262" i="5" s="1"/>
  <c r="H262" i="5" s="1"/>
  <c r="L28" i="12"/>
  <c r="Q165" i="2"/>
  <c r="I190" i="12"/>
  <c r="L190" i="12" s="1"/>
  <c r="O225" i="2"/>
  <c r="Q265" i="2"/>
  <c r="K284" i="12"/>
  <c r="D109" i="12"/>
  <c r="G109" i="12" s="1"/>
  <c r="G309" i="5"/>
  <c r="H309" i="5" s="1"/>
  <c r="D215" i="12"/>
  <c r="F215" i="12" s="1"/>
  <c r="P109" i="2"/>
  <c r="K136" i="12"/>
  <c r="O174" i="2"/>
  <c r="P322" i="2"/>
  <c r="D246" i="12"/>
  <c r="F246" i="12" s="1"/>
  <c r="AA189" i="1"/>
  <c r="D187" i="2" s="1"/>
  <c r="P187" i="2" s="1"/>
  <c r="I57" i="12"/>
  <c r="L57" i="12" s="1"/>
  <c r="Q297" i="2"/>
  <c r="P173" i="2"/>
  <c r="G102" i="12"/>
  <c r="E296" i="12"/>
  <c r="P277" i="2"/>
  <c r="I134" i="12"/>
  <c r="L134" i="12" s="1"/>
  <c r="G180" i="5"/>
  <c r="K129" i="12"/>
  <c r="D91" i="12"/>
  <c r="F91" i="12" s="1"/>
  <c r="P316" i="2"/>
  <c r="I30" i="12"/>
  <c r="L30" i="12" s="1"/>
  <c r="O161" i="2"/>
  <c r="G117" i="5"/>
  <c r="G172" i="5"/>
  <c r="G148" i="5"/>
  <c r="I221" i="12"/>
  <c r="K221" i="12" s="1"/>
  <c r="K156" i="12"/>
  <c r="D86" i="5"/>
  <c r="F86" i="5" s="1"/>
  <c r="O112" i="2"/>
  <c r="O226" i="2"/>
  <c r="AA209" i="1"/>
  <c r="D207" i="2" s="1"/>
  <c r="D208" i="12" s="1"/>
  <c r="G208" i="12" s="1"/>
  <c r="D298" i="12"/>
  <c r="F298" i="12" s="1"/>
  <c r="G229" i="5"/>
  <c r="H229" i="5" s="1"/>
  <c r="O73" i="2"/>
  <c r="AA168" i="1"/>
  <c r="D166" i="2" s="1"/>
  <c r="E249" i="12"/>
  <c r="Q177" i="2"/>
  <c r="P73" i="2"/>
  <c r="O297" i="2"/>
  <c r="Q105" i="12"/>
  <c r="Q282" i="12"/>
  <c r="Q337" i="12"/>
  <c r="Q78" i="12"/>
  <c r="Q90" i="12"/>
  <c r="Q139" i="12"/>
  <c r="L91" i="12"/>
  <c r="Q286" i="12"/>
  <c r="Q258" i="12"/>
  <c r="Q86" i="12"/>
  <c r="Q22" i="12"/>
  <c r="Q254" i="12"/>
  <c r="O106" i="2"/>
  <c r="Q185" i="12"/>
  <c r="Q320" i="2"/>
  <c r="Q228" i="12"/>
  <c r="D74" i="12"/>
  <c r="AA248" i="1"/>
  <c r="D246" i="2" s="1"/>
  <c r="Q238" i="12"/>
  <c r="Q176" i="12"/>
  <c r="Q303" i="12"/>
  <c r="Q232" i="2"/>
  <c r="P258" i="2"/>
  <c r="O185" i="2"/>
  <c r="H313" i="5"/>
  <c r="D107" i="12"/>
  <c r="P297" i="2"/>
  <c r="I178" i="12"/>
  <c r="K178" i="12" s="1"/>
  <c r="H14" i="5"/>
  <c r="Q111" i="12"/>
  <c r="Q221" i="12"/>
  <c r="E83" i="12"/>
  <c r="Q236" i="12"/>
  <c r="AA268" i="1"/>
  <c r="D266" i="2" s="1"/>
  <c r="D270" i="5" s="1"/>
  <c r="F270" i="5" s="1"/>
  <c r="H270" i="5" s="1"/>
  <c r="Q133" i="12"/>
  <c r="P131" i="2"/>
  <c r="Q69" i="12"/>
  <c r="O217" i="2"/>
  <c r="F181" i="5"/>
  <c r="H181" i="5" s="1"/>
  <c r="P152" i="2"/>
  <c r="P146" i="2"/>
  <c r="O198" i="2"/>
  <c r="D309" i="12"/>
  <c r="P293" i="2"/>
  <c r="D125" i="12"/>
  <c r="G125" i="12" s="1"/>
  <c r="P38" i="2"/>
  <c r="K159" i="12"/>
  <c r="E115" i="12"/>
  <c r="E178" i="12"/>
  <c r="Q56" i="2"/>
  <c r="I29" i="12"/>
  <c r="L29" i="12" s="1"/>
  <c r="G96" i="5"/>
  <c r="P64" i="2"/>
  <c r="I310" i="12"/>
  <c r="L310" i="12" s="1"/>
  <c r="O214" i="2"/>
  <c r="O122" i="2"/>
  <c r="Q40" i="2"/>
  <c r="G233" i="5"/>
  <c r="D277" i="12"/>
  <c r="F277" i="12" s="1"/>
  <c r="L116" i="12"/>
  <c r="I166" i="12"/>
  <c r="L166" i="12" s="1"/>
  <c r="Q189" i="2"/>
  <c r="I258" i="12"/>
  <c r="K258" i="12" s="1"/>
  <c r="F218" i="5"/>
  <c r="H218" i="5" s="1"/>
  <c r="I302" i="12"/>
  <c r="K302" i="12" s="1"/>
  <c r="Q217" i="2"/>
  <c r="Q116" i="2"/>
  <c r="D113" i="5"/>
  <c r="F113" i="5" s="1"/>
  <c r="H113" i="5" s="1"/>
  <c r="D315" i="12"/>
  <c r="P157" i="2"/>
  <c r="E76" i="12"/>
  <c r="P299" i="2"/>
  <c r="I194" i="12"/>
  <c r="L194" i="12" s="1"/>
  <c r="P214" i="2"/>
  <c r="D262" i="12"/>
  <c r="F262" i="12" s="1"/>
  <c r="D197" i="5"/>
  <c r="F197" i="5" s="1"/>
  <c r="F57" i="5"/>
  <c r="O93" i="2"/>
  <c r="I21" i="12"/>
  <c r="D265" i="12"/>
  <c r="G265" i="12" s="1"/>
  <c r="O129" i="2"/>
  <c r="I169" i="12"/>
  <c r="L169" i="12" s="1"/>
  <c r="O128" i="2"/>
  <c r="E27" i="12"/>
  <c r="K128" i="12"/>
  <c r="P198" i="2"/>
  <c r="D254" i="12"/>
  <c r="G254" i="12" s="1"/>
  <c r="Q57" i="2"/>
  <c r="I98" i="12"/>
  <c r="K98" i="12" s="1"/>
  <c r="K291" i="12"/>
  <c r="I177" i="12"/>
  <c r="L177" i="12" s="1"/>
  <c r="P53" i="2"/>
  <c r="Q309" i="2"/>
  <c r="L287" i="12"/>
  <c r="I234" i="12"/>
  <c r="L234" i="12" s="1"/>
  <c r="Q69" i="2"/>
  <c r="P253" i="2"/>
  <c r="Q51" i="12"/>
  <c r="K278" i="12"/>
  <c r="K39" i="12"/>
  <c r="Q81" i="12"/>
  <c r="Q98" i="12"/>
  <c r="H85" i="5"/>
  <c r="Q46" i="12"/>
  <c r="Q43" i="12"/>
  <c r="Q33" i="12"/>
  <c r="O277" i="2"/>
  <c r="O169" i="2"/>
  <c r="Q134" i="12"/>
  <c r="Q31" i="12"/>
  <c r="Q302" i="12"/>
  <c r="Q246" i="12"/>
  <c r="Q242" i="12"/>
  <c r="Q226" i="12"/>
  <c r="E292" i="12"/>
  <c r="Q271" i="12"/>
  <c r="Q245" i="12"/>
  <c r="Q188" i="12"/>
  <c r="Q312" i="12"/>
  <c r="F206" i="12"/>
  <c r="L253" i="12"/>
  <c r="K253" i="12"/>
  <c r="D330" i="5"/>
  <c r="F330" i="5" s="1"/>
  <c r="H330" i="5" s="1"/>
  <c r="D327" i="12"/>
  <c r="G327" i="12" s="1"/>
  <c r="O326" i="2"/>
  <c r="D324" i="5"/>
  <c r="F324" i="5" s="1"/>
  <c r="H324" i="5" s="1"/>
  <c r="O320" i="2"/>
  <c r="D95" i="5"/>
  <c r="F95" i="5" s="1"/>
  <c r="H95" i="5" s="1"/>
  <c r="D92" i="12"/>
  <c r="O91" i="2"/>
  <c r="P91" i="2"/>
  <c r="D327" i="5"/>
  <c r="F327" i="5" s="1"/>
  <c r="H327" i="5" s="1"/>
  <c r="O323" i="2"/>
  <c r="D324" i="12"/>
  <c r="G324" i="12" s="1"/>
  <c r="P323" i="2"/>
  <c r="P160" i="2"/>
  <c r="O160" i="2"/>
  <c r="D161" i="12"/>
  <c r="D164" i="5"/>
  <c r="F164" i="5" s="1"/>
  <c r="O92" i="2"/>
  <c r="P92" i="2"/>
  <c r="D331" i="5"/>
  <c r="F331" i="5" s="1"/>
  <c r="H331" i="5" s="1"/>
  <c r="O327" i="2"/>
  <c r="D328" i="12"/>
  <c r="G328" i="12" s="1"/>
  <c r="P327" i="2"/>
  <c r="D27" i="12"/>
  <c r="O26" i="2"/>
  <c r="P26" i="2"/>
  <c r="D30" i="5"/>
  <c r="F30" i="5" s="1"/>
  <c r="P155" i="2"/>
  <c r="D156" i="12"/>
  <c r="G156" i="12" s="1"/>
  <c r="D338" i="5"/>
  <c r="F338" i="5" s="1"/>
  <c r="H338" i="5" s="1"/>
  <c r="D335" i="12"/>
  <c r="F335" i="12" s="1"/>
  <c r="P334" i="2"/>
  <c r="O334" i="2"/>
  <c r="D174" i="5"/>
  <c r="F174" i="5" s="1"/>
  <c r="H174" i="5" s="1"/>
  <c r="P170" i="2"/>
  <c r="P5" i="12"/>
  <c r="Q66" i="12"/>
  <c r="I269" i="12"/>
  <c r="Q268" i="2"/>
  <c r="G272" i="5"/>
  <c r="I193" i="12"/>
  <c r="G196" i="5"/>
  <c r="G168" i="5"/>
  <c r="I165" i="12"/>
  <c r="Q164" i="2"/>
  <c r="G80" i="5"/>
  <c r="I77" i="12"/>
  <c r="G340" i="5"/>
  <c r="I337" i="12"/>
  <c r="G208" i="5"/>
  <c r="Q204" i="2"/>
  <c r="I49" i="12"/>
  <c r="K49" i="12" s="1"/>
  <c r="O124" i="2"/>
  <c r="K312" i="12"/>
  <c r="O293" i="2"/>
  <c r="D219" i="12"/>
  <c r="O17" i="2"/>
  <c r="D336" i="12"/>
  <c r="O321" i="2"/>
  <c r="P123" i="2"/>
  <c r="Q33" i="2"/>
  <c r="Q296" i="2"/>
  <c r="Q24" i="2"/>
  <c r="I318" i="12"/>
  <c r="K318" i="12" s="1"/>
  <c r="O76" i="2"/>
  <c r="E161" i="12"/>
  <c r="L71" i="12"/>
  <c r="G236" i="5"/>
  <c r="H236" i="5" s="1"/>
  <c r="Q60" i="2"/>
  <c r="O316" i="2"/>
  <c r="O315" i="2"/>
  <c r="D306" i="12"/>
  <c r="F306" i="12" s="1"/>
  <c r="H321" i="5"/>
  <c r="G332" i="5"/>
  <c r="P300" i="2"/>
  <c r="Y6" i="11"/>
  <c r="O52" i="2"/>
  <c r="L83" i="12"/>
  <c r="Q290" i="12"/>
  <c r="Q298" i="12"/>
  <c r="Q230" i="12"/>
  <c r="E67" i="12"/>
  <c r="G152" i="5"/>
  <c r="I149" i="12"/>
  <c r="K149" i="12" s="1"/>
  <c r="Q319" i="12"/>
  <c r="Q280" i="2"/>
  <c r="G284" i="5"/>
  <c r="I281" i="12"/>
  <c r="Q56" i="12"/>
  <c r="Q200" i="12"/>
  <c r="Q101" i="12"/>
  <c r="O237" i="2"/>
  <c r="O243" i="2"/>
  <c r="D272" i="12"/>
  <c r="Q80" i="2"/>
  <c r="D337" i="12"/>
  <c r="Q169" i="2"/>
  <c r="Q48" i="2"/>
  <c r="D118" i="12"/>
  <c r="G118" i="12" s="1"/>
  <c r="P124" i="2"/>
  <c r="P283" i="2"/>
  <c r="F297" i="5"/>
  <c r="H297" i="5" s="1"/>
  <c r="P218" i="2"/>
  <c r="D187" i="12"/>
  <c r="O250" i="2"/>
  <c r="H77" i="5"/>
  <c r="H24" i="5"/>
  <c r="E63" i="12"/>
  <c r="E189" i="12"/>
  <c r="Q337" i="2"/>
  <c r="Q120" i="2"/>
  <c r="D114" i="12"/>
  <c r="F114" i="12" s="1"/>
  <c r="D77" i="12"/>
  <c r="I222" i="12"/>
  <c r="L222" i="12" s="1"/>
  <c r="D209" i="5"/>
  <c r="F209" i="5" s="1"/>
  <c r="D122" i="12"/>
  <c r="G122" i="12" s="1"/>
  <c r="P97" i="2"/>
  <c r="Q284" i="2"/>
  <c r="O98" i="2"/>
  <c r="Q157" i="2"/>
  <c r="I214" i="12"/>
  <c r="K214" i="12" s="1"/>
  <c r="L278" i="12"/>
  <c r="I297" i="12"/>
  <c r="K297" i="12" s="1"/>
  <c r="Q304" i="2"/>
  <c r="I125" i="12"/>
  <c r="K125" i="12" s="1"/>
  <c r="O126" i="2"/>
  <c r="P126" i="2"/>
  <c r="O81" i="2"/>
  <c r="I89" i="12"/>
  <c r="K89" i="12" s="1"/>
  <c r="O317" i="2"/>
  <c r="G120" i="5"/>
  <c r="D304" i="5"/>
  <c r="F304" i="5" s="1"/>
  <c r="H304" i="5" s="1"/>
  <c r="O262" i="2"/>
  <c r="K33" i="12"/>
  <c r="D325" i="12"/>
  <c r="F325" i="12" s="1"/>
  <c r="O314" i="2"/>
  <c r="K329" i="12"/>
  <c r="O13" i="2"/>
  <c r="O77" i="2"/>
  <c r="D158" i="12"/>
  <c r="F158" i="12" s="1"/>
  <c r="P45" i="2"/>
  <c r="E250" i="12"/>
  <c r="E315" i="12"/>
  <c r="I61" i="12"/>
  <c r="L61" i="12" s="1"/>
  <c r="I121" i="12"/>
  <c r="K121" i="12" s="1"/>
  <c r="L230" i="12"/>
  <c r="O152" i="2"/>
  <c r="H282" i="5"/>
  <c r="H129" i="5"/>
  <c r="Q181" i="2"/>
  <c r="K333" i="12"/>
  <c r="O61" i="2"/>
  <c r="K240" i="12"/>
  <c r="D51" i="12"/>
  <c r="P28" i="2"/>
  <c r="Q272" i="2"/>
  <c r="D32" i="5"/>
  <c r="F32" i="5" s="1"/>
  <c r="P276" i="2"/>
  <c r="P308" i="2"/>
  <c r="D320" i="5"/>
  <c r="F320" i="5" s="1"/>
  <c r="D117" i="5"/>
  <c r="F117" i="5" s="1"/>
  <c r="D318" i="12"/>
  <c r="G318" i="12" s="1"/>
  <c r="O37" i="2"/>
  <c r="O80" i="2"/>
  <c r="Q160" i="2"/>
  <c r="P105" i="2"/>
  <c r="O158" i="2"/>
  <c r="P303" i="2"/>
  <c r="Q21" i="2"/>
  <c r="O66" i="2"/>
  <c r="D290" i="5"/>
  <c r="F290" i="5" s="1"/>
  <c r="H290" i="5" s="1"/>
  <c r="D294" i="12"/>
  <c r="F294" i="12" s="1"/>
  <c r="P286" i="2"/>
  <c r="I126" i="12"/>
  <c r="L126" i="12" s="1"/>
  <c r="O286" i="2"/>
  <c r="D222" i="12"/>
  <c r="F222" i="12" s="1"/>
  <c r="E171" i="12"/>
  <c r="Q61" i="2"/>
  <c r="Q116" i="12"/>
  <c r="Q118" i="12"/>
  <c r="I142" i="12"/>
  <c r="L142" i="12" s="1"/>
  <c r="L99" i="12"/>
  <c r="Q194" i="12"/>
  <c r="Q29" i="12"/>
  <c r="Q26" i="12"/>
  <c r="Q142" i="12"/>
  <c r="I38" i="12"/>
  <c r="Q157" i="12"/>
  <c r="Q141" i="12"/>
  <c r="Q252" i="12"/>
  <c r="Q148" i="2"/>
  <c r="Q281" i="12"/>
  <c r="I197" i="12"/>
  <c r="G200" i="5"/>
  <c r="Q192" i="12"/>
  <c r="G204" i="5"/>
  <c r="Q200" i="2"/>
  <c r="Q208" i="12"/>
  <c r="Q309" i="12"/>
  <c r="Q225" i="12"/>
  <c r="G296" i="5"/>
  <c r="Q292" i="2"/>
  <c r="Q256" i="2"/>
  <c r="G260" i="5"/>
  <c r="I257" i="12"/>
  <c r="Q320" i="12"/>
  <c r="Q304" i="12"/>
  <c r="Q260" i="2"/>
  <c r="I261" i="12"/>
  <c r="G264" i="5"/>
  <c r="I85" i="12"/>
  <c r="K85" i="12" s="1"/>
  <c r="G88" i="5"/>
  <c r="Q252" i="2"/>
  <c r="G256" i="5"/>
  <c r="G76" i="5"/>
  <c r="Q72" i="2"/>
  <c r="Q221" i="2"/>
  <c r="P205" i="2"/>
  <c r="D101" i="5"/>
  <c r="F101" i="5" s="1"/>
  <c r="H101" i="5" s="1"/>
  <c r="I250" i="12"/>
  <c r="L250" i="12" s="1"/>
  <c r="O157" i="2"/>
  <c r="O45" i="2"/>
  <c r="H128" i="5"/>
  <c r="Q180" i="2"/>
  <c r="P66" i="2"/>
  <c r="G164" i="5"/>
  <c r="Q73" i="2"/>
  <c r="K91" i="12"/>
  <c r="Q316" i="2"/>
  <c r="Q150" i="12"/>
  <c r="Q71" i="12"/>
  <c r="Q202" i="12"/>
  <c r="Q34" i="12"/>
  <c r="Q336" i="2"/>
  <c r="I205" i="12"/>
  <c r="Q229" i="12"/>
  <c r="G192" i="5"/>
  <c r="I189" i="12"/>
  <c r="Q188" i="2"/>
  <c r="E337" i="12"/>
  <c r="E77" i="12"/>
  <c r="AA204" i="1"/>
  <c r="D202" i="2" s="1"/>
  <c r="O202" i="2" s="1"/>
  <c r="Q168" i="12"/>
  <c r="Q164" i="12"/>
  <c r="Q36" i="12"/>
  <c r="O271" i="2"/>
  <c r="O276" i="2"/>
  <c r="D284" i="12"/>
  <c r="I170" i="12"/>
  <c r="L170" i="12" s="1"/>
  <c r="G52" i="5"/>
  <c r="H52" i="5" s="1"/>
  <c r="D124" i="12"/>
  <c r="D334" i="12"/>
  <c r="G334" i="12" s="1"/>
  <c r="O209" i="2"/>
  <c r="P186" i="2"/>
  <c r="G162" i="12"/>
  <c r="G109" i="5"/>
  <c r="H109" i="5" s="1"/>
  <c r="Q152" i="2"/>
  <c r="I18" i="12"/>
  <c r="K18" i="12" s="1"/>
  <c r="O324" i="2"/>
  <c r="D61" i="5"/>
  <c r="F61" i="5" s="1"/>
  <c r="H61" i="5" s="1"/>
  <c r="O20" i="2"/>
  <c r="Q329" i="2"/>
  <c r="D263" i="5"/>
  <c r="F263" i="5" s="1"/>
  <c r="H263" i="5" s="1"/>
  <c r="I158" i="12"/>
  <c r="L158" i="12" s="1"/>
  <c r="O249" i="2"/>
  <c r="I301" i="12"/>
  <c r="K301" i="12" s="1"/>
  <c r="Q333" i="2"/>
  <c r="Q124" i="2"/>
  <c r="I326" i="12"/>
  <c r="L326" i="12" s="1"/>
  <c r="O328" i="2"/>
  <c r="D119" i="5"/>
  <c r="F119" i="5" s="1"/>
  <c r="H119" i="5" s="1"/>
  <c r="D130" i="5"/>
  <c r="F130" i="5" s="1"/>
  <c r="H130" i="5" s="1"/>
  <c r="Q104" i="2"/>
  <c r="Q321" i="2"/>
  <c r="F318" i="5"/>
  <c r="H318" i="5" s="1"/>
  <c r="L151" i="12"/>
  <c r="D9" i="12"/>
  <c r="G9" i="12" s="1"/>
  <c r="E196" i="12"/>
  <c r="F196" i="12" s="1"/>
  <c r="Q76" i="2"/>
  <c r="O205" i="2"/>
  <c r="D261" i="12"/>
  <c r="G261" i="12" s="1"/>
  <c r="D280" i="12"/>
  <c r="D312" i="5"/>
  <c r="F312" i="5" s="1"/>
  <c r="D67" i="12"/>
  <c r="O113" i="2"/>
  <c r="I13" i="12"/>
  <c r="K13" i="12" s="1"/>
  <c r="I181" i="12"/>
  <c r="G53" i="5"/>
  <c r="H53" i="5" s="1"/>
  <c r="O28" i="2"/>
  <c r="O85" i="2"/>
  <c r="H16" i="5"/>
  <c r="F102" i="12"/>
  <c r="E301" i="12"/>
  <c r="Q209" i="2"/>
  <c r="D250" i="12"/>
  <c r="I62" i="12"/>
  <c r="L62" i="12" s="1"/>
  <c r="K132" i="12"/>
  <c r="O210" i="2"/>
  <c r="D211" i="12"/>
  <c r="Q328" i="2"/>
  <c r="L84" i="12"/>
  <c r="G320" i="5"/>
  <c r="O253" i="2"/>
  <c r="Q180" i="12"/>
  <c r="P249" i="2"/>
  <c r="Q177" i="12"/>
  <c r="Q137" i="12"/>
  <c r="Q65" i="2"/>
  <c r="Q163" i="12"/>
  <c r="Q171" i="12"/>
  <c r="Q97" i="12"/>
  <c r="Q159" i="12"/>
  <c r="Q149" i="12"/>
  <c r="Q117" i="12"/>
  <c r="Q77" i="12"/>
  <c r="Q61" i="12"/>
  <c r="Q45" i="12"/>
  <c r="Q28" i="12"/>
  <c r="Q109" i="12"/>
  <c r="E304" i="12"/>
  <c r="Q192" i="2"/>
  <c r="I249" i="12"/>
  <c r="Q248" i="2"/>
  <c r="Q224" i="2"/>
  <c r="G228" i="5"/>
  <c r="I225" i="12"/>
  <c r="G248" i="5"/>
  <c r="H248" i="5" s="1"/>
  <c r="Q244" i="2"/>
  <c r="I245" i="12"/>
  <c r="Q189" i="12"/>
  <c r="D186" i="5"/>
  <c r="F186" i="5" s="1"/>
  <c r="H186" i="5" s="1"/>
  <c r="D183" i="12"/>
  <c r="F183" i="12" s="1"/>
  <c r="P182" i="2"/>
  <c r="O182" i="2"/>
  <c r="L114" i="12"/>
  <c r="K114" i="12"/>
  <c r="G265" i="5"/>
  <c r="I262" i="12"/>
  <c r="G141" i="5"/>
  <c r="H141" i="5" s="1"/>
  <c r="Q137" i="2"/>
  <c r="Q50" i="12"/>
  <c r="K153" i="12"/>
  <c r="L153" i="12"/>
  <c r="Q110" i="12"/>
  <c r="I274" i="12"/>
  <c r="G277" i="5"/>
  <c r="Q273" i="2"/>
  <c r="Q162" i="12"/>
  <c r="J10" i="12"/>
  <c r="J5" i="12" s="1"/>
  <c r="R6" i="11"/>
  <c r="E149" i="12"/>
  <c r="Q120" i="12"/>
  <c r="Q24" i="12"/>
  <c r="O281" i="2"/>
  <c r="D53" i="12"/>
  <c r="O283" i="2"/>
  <c r="D20" i="5"/>
  <c r="F20" i="5" s="1"/>
  <c r="H20" i="5" s="1"/>
  <c r="F254" i="5"/>
  <c r="H254" i="5" s="1"/>
  <c r="D12" i="12"/>
  <c r="D59" i="12"/>
  <c r="D21" i="5"/>
  <c r="F21" i="5" s="1"/>
  <c r="E251" i="12"/>
  <c r="I42" i="12"/>
  <c r="L42" i="12" s="1"/>
  <c r="D293" i="12"/>
  <c r="G293" i="12" s="1"/>
  <c r="I54" i="12"/>
  <c r="L54" i="12" s="1"/>
  <c r="E56" i="5"/>
  <c r="F56" i="5" s="1"/>
  <c r="K196" i="12"/>
  <c r="L291" i="12"/>
  <c r="H6" i="1"/>
  <c r="P96" i="2"/>
  <c r="O267" i="2"/>
  <c r="P326" i="2"/>
  <c r="P112" i="2"/>
  <c r="O279" i="2"/>
  <c r="I146" i="12"/>
  <c r="L146" i="12" s="1"/>
  <c r="I154" i="12"/>
  <c r="L154" i="12" s="1"/>
  <c r="I282" i="12"/>
  <c r="L282" i="12" s="1"/>
  <c r="D116" i="12"/>
  <c r="F116" i="12" s="1"/>
  <c r="D112" i="5"/>
  <c r="F112" i="5" s="1"/>
  <c r="H112" i="5" s="1"/>
  <c r="Q305" i="2"/>
  <c r="O50" i="2"/>
  <c r="D159" i="5"/>
  <c r="F159" i="5" s="1"/>
  <c r="H159" i="5" s="1"/>
  <c r="D301" i="12"/>
  <c r="D263" i="12"/>
  <c r="P159" i="2"/>
  <c r="P171" i="2"/>
  <c r="O155" i="2"/>
  <c r="D15" i="12"/>
  <c r="P8" i="2"/>
  <c r="D49" i="5"/>
  <c r="F49" i="5" s="1"/>
  <c r="O10" i="2"/>
  <c r="P320" i="2"/>
  <c r="P310" i="2"/>
  <c r="L132" i="12"/>
  <c r="O239" i="2"/>
  <c r="O260" i="2"/>
  <c r="D209" i="12"/>
  <c r="H45" i="5"/>
  <c r="O90" i="2"/>
  <c r="P321" i="2"/>
  <c r="K264" i="12"/>
  <c r="F340" i="5"/>
  <c r="Q25" i="2"/>
  <c r="L268" i="12"/>
  <c r="G213" i="5"/>
  <c r="Q113" i="12"/>
  <c r="Q122" i="12"/>
  <c r="Q42" i="12"/>
  <c r="Q62" i="12"/>
  <c r="I82" i="12"/>
  <c r="Q166" i="12"/>
  <c r="G105" i="5"/>
  <c r="Q101" i="2"/>
  <c r="Q94" i="12"/>
  <c r="Q58" i="12"/>
  <c r="G49" i="5"/>
  <c r="I46" i="12"/>
  <c r="D252" i="12"/>
  <c r="P52" i="2"/>
  <c r="P195" i="2"/>
  <c r="K151" i="12"/>
  <c r="D251" i="12"/>
  <c r="K28" i="12"/>
  <c r="D18" i="12"/>
  <c r="F18" i="12" s="1"/>
  <c r="P250" i="2"/>
  <c r="D62" i="5"/>
  <c r="F62" i="5" s="1"/>
  <c r="H62" i="5" s="1"/>
  <c r="E51" i="12"/>
  <c r="G151" i="12"/>
  <c r="G112" i="12"/>
  <c r="P294" i="2"/>
  <c r="O251" i="2"/>
  <c r="O305" i="2"/>
  <c r="P10" i="2"/>
  <c r="D295" i="12"/>
  <c r="D321" i="12"/>
  <c r="G321" i="12" s="1"/>
  <c r="H125" i="5"/>
  <c r="P185" i="2"/>
  <c r="M4" i="2"/>
  <c r="D97" i="12"/>
  <c r="F97" i="12" s="1"/>
  <c r="O313" i="2"/>
  <c r="D271" i="5"/>
  <c r="F271" i="5" s="1"/>
  <c r="H271" i="5" s="1"/>
  <c r="D113" i="12"/>
  <c r="K60" i="12"/>
  <c r="Q145" i="2"/>
  <c r="Q153" i="2"/>
  <c r="O261" i="2"/>
  <c r="O137" i="2"/>
  <c r="P108" i="2"/>
  <c r="I314" i="12"/>
  <c r="K314" i="12" s="1"/>
  <c r="E54" i="5"/>
  <c r="F54" i="5" s="1"/>
  <c r="H54" i="5" s="1"/>
  <c r="O300" i="2"/>
  <c r="P262" i="2"/>
  <c r="O159" i="2"/>
  <c r="K216" i="12"/>
  <c r="O14" i="2"/>
  <c r="H29" i="5"/>
  <c r="E113" i="12"/>
  <c r="D94" i="5"/>
  <c r="F94" i="5" s="1"/>
  <c r="H94" i="5" s="1"/>
  <c r="O41" i="2"/>
  <c r="Q89" i="2"/>
  <c r="D296" i="5"/>
  <c r="F296" i="5" s="1"/>
  <c r="P208" i="2"/>
  <c r="K252" i="12"/>
  <c r="L138" i="12"/>
  <c r="K83" i="12"/>
  <c r="Q54" i="12"/>
  <c r="I26" i="12"/>
  <c r="G145" i="5"/>
  <c r="Q141" i="2"/>
  <c r="Q106" i="12"/>
  <c r="Q109" i="2"/>
  <c r="Q114" i="12"/>
  <c r="Q146" i="12"/>
  <c r="Q130" i="12"/>
  <c r="Q102" i="12"/>
  <c r="I58" i="12"/>
  <c r="P263" i="2"/>
  <c r="D273" i="12"/>
  <c r="G273" i="12" s="1"/>
  <c r="O294" i="2"/>
  <c r="P11" i="2"/>
  <c r="P58" i="2"/>
  <c r="H293" i="5"/>
  <c r="Q121" i="2"/>
  <c r="P251" i="2"/>
  <c r="D11" i="12"/>
  <c r="G11" i="12" s="1"/>
  <c r="P328" i="2"/>
  <c r="O96" i="2"/>
  <c r="I150" i="12"/>
  <c r="K150" i="12" s="1"/>
  <c r="Q213" i="2"/>
  <c r="Q261" i="2"/>
  <c r="G317" i="5"/>
  <c r="H317" i="5" s="1"/>
  <c r="G198" i="12"/>
  <c r="O153" i="2"/>
  <c r="E53" i="12"/>
  <c r="D329" i="12"/>
  <c r="F329" i="12" s="1"/>
  <c r="L48" i="12"/>
  <c r="Q41" i="2"/>
  <c r="O171" i="2"/>
  <c r="D189" i="5"/>
  <c r="F189" i="5" s="1"/>
  <c r="H189" i="5" s="1"/>
  <c r="P292" i="2"/>
  <c r="O208" i="2"/>
  <c r="Q289" i="2"/>
  <c r="I122" i="12"/>
  <c r="L122" i="12" s="1"/>
  <c r="K140" i="12"/>
  <c r="O213" i="2"/>
  <c r="I330" i="12"/>
  <c r="Q81" i="2"/>
  <c r="Q53" i="12"/>
  <c r="K185" i="12"/>
  <c r="L185" i="12"/>
  <c r="G281" i="5"/>
  <c r="Q277" i="2"/>
  <c r="Q74" i="12"/>
  <c r="Q125" i="2"/>
  <c r="G249" i="5"/>
  <c r="Q245" i="2"/>
  <c r="Q154" i="12"/>
  <c r="Q30" i="12"/>
  <c r="D255" i="12"/>
  <c r="F255" i="12" s="1"/>
  <c r="D258" i="5"/>
  <c r="F258" i="5" s="1"/>
  <c r="H258" i="5" s="1"/>
  <c r="I74" i="12"/>
  <c r="D26" i="7"/>
  <c r="F131" i="5"/>
  <c r="H131" i="5" s="1"/>
  <c r="H134" i="5"/>
  <c r="F226" i="5"/>
  <c r="H226" i="5" s="1"/>
  <c r="F175" i="5"/>
  <c r="H175" i="5" s="1"/>
  <c r="F332" i="5"/>
  <c r="F276" i="5"/>
  <c r="F217" i="5"/>
  <c r="H217" i="5" s="1"/>
  <c r="F193" i="5"/>
  <c r="H193" i="5" s="1"/>
  <c r="H176" i="5"/>
  <c r="F280" i="5"/>
  <c r="F38" i="5"/>
  <c r="H38" i="5" s="1"/>
  <c r="F243" i="5"/>
  <c r="H243" i="5" s="1"/>
  <c r="F177" i="5"/>
  <c r="H177" i="5" s="1"/>
  <c r="H162" i="5"/>
  <c r="H190" i="5"/>
  <c r="F126" i="5"/>
  <c r="H126" i="5" s="1"/>
  <c r="F281" i="5"/>
  <c r="F161" i="5"/>
  <c r="H161" i="5" s="1"/>
  <c r="P232" i="2"/>
  <c r="E56" i="12"/>
  <c r="P333" i="2"/>
  <c r="D121" i="5"/>
  <c r="F121" i="5" s="1"/>
  <c r="O337" i="2"/>
  <c r="O336" i="2"/>
  <c r="D89" i="12"/>
  <c r="G89" i="12" s="1"/>
  <c r="O295" i="2"/>
  <c r="D122" i="5"/>
  <c r="F122" i="5" s="1"/>
  <c r="H122" i="5" s="1"/>
  <c r="P127" i="2"/>
  <c r="P82" i="2"/>
  <c r="O170" i="2"/>
  <c r="O149" i="2"/>
  <c r="O12" i="2"/>
  <c r="D99" i="12"/>
  <c r="F99" i="12" s="1"/>
  <c r="F283" i="5"/>
  <c r="H283" i="5" s="1"/>
  <c r="O197" i="2"/>
  <c r="O274" i="2"/>
  <c r="D190" i="12"/>
  <c r="G190" i="12" s="1"/>
  <c r="D54" i="12"/>
  <c r="O232" i="2"/>
  <c r="O264" i="2"/>
  <c r="D319" i="5"/>
  <c r="F319" i="5" s="1"/>
  <c r="H319" i="5" s="1"/>
  <c r="P12" i="2"/>
  <c r="D83" i="12"/>
  <c r="D106" i="12"/>
  <c r="F106" i="12" s="1"/>
  <c r="D159" i="12"/>
  <c r="D310" i="12"/>
  <c r="F310" i="12" s="1"/>
  <c r="P337" i="2"/>
  <c r="D198" i="5"/>
  <c r="F198" i="5" s="1"/>
  <c r="H198" i="5" s="1"/>
  <c r="P194" i="2"/>
  <c r="O291" i="2"/>
  <c r="F337" i="5"/>
  <c r="H337" i="5" s="1"/>
  <c r="P117" i="2"/>
  <c r="O88" i="2"/>
  <c r="K116" i="12"/>
  <c r="D119" i="12"/>
  <c r="G119" i="12" s="1"/>
  <c r="D153" i="5"/>
  <c r="F153" i="5" s="1"/>
  <c r="P178" i="2"/>
  <c r="O127" i="2"/>
  <c r="D13" i="12"/>
  <c r="F13" i="12" s="1"/>
  <c r="P219" i="2"/>
  <c r="D102" i="5"/>
  <c r="F102" i="5" s="1"/>
  <c r="H102" i="5" s="1"/>
  <c r="D47" i="12"/>
  <c r="P107" i="2"/>
  <c r="D179" i="12"/>
  <c r="O189" i="2"/>
  <c r="P269" i="2"/>
  <c r="P336" i="2"/>
  <c r="P83" i="2"/>
  <c r="O53" i="2"/>
  <c r="D233" i="12"/>
  <c r="F233" i="12" s="1"/>
  <c r="D268" i="5"/>
  <c r="F268" i="5" s="1"/>
  <c r="H268" i="5" s="1"/>
  <c r="P309" i="2"/>
  <c r="P315" i="2"/>
  <c r="O83" i="2"/>
  <c r="D84" i="12"/>
  <c r="G84" i="12" s="1"/>
  <c r="D302" i="12"/>
  <c r="F302" i="12" s="1"/>
  <c r="D341" i="5"/>
  <c r="F341" i="5" s="1"/>
  <c r="H341" i="5" s="1"/>
  <c r="O105" i="2"/>
  <c r="D50" i="5"/>
  <c r="F50" i="5" s="1"/>
  <c r="H50" i="5" s="1"/>
  <c r="P158" i="2"/>
  <c r="P317" i="2"/>
  <c r="L292" i="12"/>
  <c r="K292" i="12"/>
  <c r="O333" i="2"/>
  <c r="P88" i="2"/>
  <c r="D296" i="12"/>
  <c r="G108" i="12"/>
  <c r="O309" i="2"/>
  <c r="O219" i="2"/>
  <c r="D171" i="12"/>
  <c r="D128" i="12"/>
  <c r="O46" i="2"/>
  <c r="D111" i="5"/>
  <c r="F111" i="5" s="1"/>
  <c r="H111" i="5" s="1"/>
  <c r="P125" i="2"/>
  <c r="O301" i="2"/>
  <c r="P189" i="2"/>
  <c r="L228" i="12"/>
  <c r="O178" i="2"/>
  <c r="P301" i="2"/>
  <c r="D51" i="5"/>
  <c r="F51" i="5" s="1"/>
  <c r="H51" i="5" s="1"/>
  <c r="O47" i="2"/>
  <c r="L272" i="12"/>
  <c r="K272" i="12"/>
  <c r="L201" i="12"/>
  <c r="K201" i="12"/>
  <c r="L311" i="12"/>
  <c r="K311" i="12"/>
  <c r="H138" i="5"/>
  <c r="D292" i="12"/>
  <c r="P284" i="2"/>
  <c r="O284" i="2"/>
  <c r="K71" i="12"/>
  <c r="D82" i="5"/>
  <c r="F82" i="5" s="1"/>
  <c r="H82" i="5" s="1"/>
  <c r="E181" i="12"/>
  <c r="O303" i="2"/>
  <c r="P291" i="2"/>
  <c r="O9" i="2"/>
  <c r="P48" i="2"/>
  <c r="O269" i="2"/>
  <c r="O57" i="2"/>
  <c r="O120" i="2"/>
  <c r="D279" i="12"/>
  <c r="F279" i="12" s="1"/>
  <c r="D241" i="12"/>
  <c r="F241" i="12" s="1"/>
  <c r="D201" i="5"/>
  <c r="F201" i="5" s="1"/>
  <c r="P274" i="2"/>
  <c r="D175" i="12"/>
  <c r="L94" i="12"/>
  <c r="D14" i="12"/>
  <c r="D304" i="12"/>
  <c r="O101" i="2"/>
  <c r="D244" i="5"/>
  <c r="F244" i="5" s="1"/>
  <c r="D96" i="12"/>
  <c r="G96" i="12" s="1"/>
  <c r="G110" i="12"/>
  <c r="D256" i="5"/>
  <c r="F256" i="5" s="1"/>
  <c r="O252" i="2"/>
  <c r="D323" i="12"/>
  <c r="G323" i="12" s="1"/>
  <c r="D326" i="5"/>
  <c r="F326" i="5" s="1"/>
  <c r="H326" i="5" s="1"/>
  <c r="K102" i="12"/>
  <c r="L102" i="12"/>
  <c r="D205" i="5"/>
  <c r="F205" i="5" s="1"/>
  <c r="O201" i="2"/>
  <c r="O272" i="2"/>
  <c r="P95" i="2"/>
  <c r="D285" i="5"/>
  <c r="F285" i="5" s="1"/>
  <c r="H285" i="5" s="1"/>
  <c r="D282" i="12"/>
  <c r="G282" i="12" s="1"/>
  <c r="D212" i="12"/>
  <c r="G212" i="12" s="1"/>
  <c r="P211" i="2"/>
  <c r="L63" i="12"/>
  <c r="K63" i="12"/>
  <c r="P335" i="2"/>
  <c r="L182" i="12"/>
  <c r="K182" i="12"/>
  <c r="D307" i="5"/>
  <c r="F307" i="5" s="1"/>
  <c r="H307" i="5" s="1"/>
  <c r="D285" i="12"/>
  <c r="G285" i="12" s="1"/>
  <c r="F106" i="5"/>
  <c r="H106" i="5" s="1"/>
  <c r="D10" i="12"/>
  <c r="F10" i="12" s="1"/>
  <c r="P313" i="2"/>
  <c r="D58" i="12"/>
  <c r="F58" i="12" s="1"/>
  <c r="O172" i="2"/>
  <c r="D314" i="12"/>
  <c r="F314" i="12" s="1"/>
  <c r="P197" i="2"/>
  <c r="D178" i="5"/>
  <c r="F178" i="5" s="1"/>
  <c r="H178" i="5" s="1"/>
  <c r="D17" i="5"/>
  <c r="F17" i="5" s="1"/>
  <c r="H17" i="5" s="1"/>
  <c r="D270" i="12"/>
  <c r="P101" i="2"/>
  <c r="D93" i="12"/>
  <c r="D96" i="5"/>
  <c r="F96" i="5" s="1"/>
  <c r="D247" i="5"/>
  <c r="F247" i="5" s="1"/>
  <c r="H247" i="5" s="1"/>
  <c r="D244" i="12"/>
  <c r="F244" i="12" s="1"/>
  <c r="P305" i="2"/>
  <c r="L210" i="12"/>
  <c r="K210" i="12"/>
  <c r="O255" i="2"/>
  <c r="D259" i="5"/>
  <c r="F259" i="5" s="1"/>
  <c r="H259" i="5" s="1"/>
  <c r="O278" i="2"/>
  <c r="D278" i="5"/>
  <c r="F278" i="5" s="1"/>
  <c r="H278" i="5" s="1"/>
  <c r="D105" i="5"/>
  <c r="F105" i="5" s="1"/>
  <c r="O193" i="2"/>
  <c r="D194" i="12"/>
  <c r="O310" i="2"/>
  <c r="D253" i="12"/>
  <c r="F253" i="12" s="1"/>
  <c r="L244" i="12"/>
  <c r="K244" i="12"/>
  <c r="L324" i="12"/>
  <c r="K324" i="12"/>
  <c r="K86" i="12"/>
  <c r="L86" i="12"/>
  <c r="L175" i="12"/>
  <c r="K175" i="12"/>
  <c r="K248" i="12"/>
  <c r="L248" i="12"/>
  <c r="D68" i="12"/>
  <c r="L51" i="12"/>
  <c r="K51" i="12"/>
  <c r="D19" i="5"/>
  <c r="F19" i="5" s="1"/>
  <c r="H19" i="5" s="1"/>
  <c r="P15" i="2"/>
  <c r="O15" i="2"/>
  <c r="D258" i="12"/>
  <c r="G258" i="12" s="1"/>
  <c r="D261" i="5"/>
  <c r="F261" i="5" s="1"/>
  <c r="P330" i="2"/>
  <c r="O330" i="2"/>
  <c r="D334" i="5"/>
  <c r="F334" i="5" s="1"/>
  <c r="L124" i="12"/>
  <c r="K124" i="12"/>
  <c r="K273" i="12"/>
  <c r="L273" i="12"/>
  <c r="E68" i="12"/>
  <c r="O257" i="2"/>
  <c r="D79" i="12"/>
  <c r="F79" i="12" s="1"/>
  <c r="D123" i="5"/>
  <c r="F123" i="5" s="1"/>
  <c r="H123" i="5" s="1"/>
  <c r="D80" i="12"/>
  <c r="D83" i="5"/>
  <c r="F83" i="5" s="1"/>
  <c r="H83" i="5" s="1"/>
  <c r="P79" i="2"/>
  <c r="O332" i="2"/>
  <c r="D333" i="12"/>
  <c r="F333" i="12" s="1"/>
  <c r="O32" i="2"/>
  <c r="P32" i="2"/>
  <c r="D36" i="5"/>
  <c r="F36" i="5" s="1"/>
  <c r="F45" i="12"/>
  <c r="G45" i="12"/>
  <c r="D300" i="12"/>
  <c r="L72" i="12"/>
  <c r="P78" i="2"/>
  <c r="H142" i="5"/>
  <c r="L136" i="12"/>
  <c r="D173" i="12"/>
  <c r="G173" i="12" s="1"/>
  <c r="F151" i="12"/>
  <c r="D42" i="5"/>
  <c r="F42" i="5" s="1"/>
  <c r="H42" i="5" s="1"/>
  <c r="D50" i="12"/>
  <c r="AB6" i="1"/>
  <c r="K24" i="12"/>
  <c r="L267" i="12"/>
  <c r="O114" i="2"/>
  <c r="P114" i="2"/>
  <c r="D118" i="5"/>
  <c r="F118" i="5" s="1"/>
  <c r="H118" i="5" s="1"/>
  <c r="D115" i="12"/>
  <c r="D205" i="12"/>
  <c r="P204" i="2"/>
  <c r="D208" i="5"/>
  <c r="F208" i="5" s="1"/>
  <c r="L79" i="12"/>
  <c r="K79" i="12"/>
  <c r="D279" i="5"/>
  <c r="F279" i="5" s="1"/>
  <c r="H279" i="5" s="1"/>
  <c r="D276" i="12"/>
  <c r="P275" i="2"/>
  <c r="O204" i="2"/>
  <c r="P121" i="2"/>
  <c r="O121" i="2"/>
  <c r="D199" i="5"/>
  <c r="F199" i="5" s="1"/>
  <c r="H199" i="5" s="1"/>
  <c r="O195" i="2"/>
  <c r="K112" i="12"/>
  <c r="L112" i="12"/>
  <c r="O280" i="2"/>
  <c r="P280" i="2"/>
  <c r="D284" i="5"/>
  <c r="F284" i="5" s="1"/>
  <c r="D281" i="12"/>
  <c r="K8" i="12"/>
  <c r="L8" i="12"/>
  <c r="K120" i="12"/>
  <c r="L120" i="12"/>
  <c r="K119" i="12"/>
  <c r="L119" i="12"/>
  <c r="K148" i="12"/>
  <c r="L148" i="12"/>
  <c r="K188" i="12"/>
  <c r="L188" i="12"/>
  <c r="D60" i="5"/>
  <c r="F60" i="5" s="1"/>
  <c r="H60" i="5" s="1"/>
  <c r="P56" i="2"/>
  <c r="K47" i="12"/>
  <c r="L47" i="12"/>
  <c r="L265" i="12"/>
  <c r="K265" i="12"/>
  <c r="K35" i="12"/>
  <c r="L35" i="12"/>
  <c r="K161" i="12"/>
  <c r="L161" i="12"/>
  <c r="D33" i="12"/>
  <c r="D170" i="12"/>
  <c r="F170" i="12" s="1"/>
  <c r="D173" i="5"/>
  <c r="F173" i="5" s="1"/>
  <c r="H173" i="5" s="1"/>
  <c r="D335" i="5"/>
  <c r="F335" i="5" s="1"/>
  <c r="H335" i="5" s="1"/>
  <c r="O331" i="2"/>
  <c r="P331" i="2"/>
  <c r="D332" i="12"/>
  <c r="D126" i="12"/>
  <c r="G126" i="12" s="1"/>
  <c r="O125" i="2"/>
  <c r="L293" i="12"/>
  <c r="K293" i="12"/>
  <c r="D35" i="5"/>
  <c r="F35" i="5" s="1"/>
  <c r="H35" i="5" s="1"/>
  <c r="P31" i="2"/>
  <c r="L280" i="12"/>
  <c r="K280" i="12"/>
  <c r="D16" i="12"/>
  <c r="G16" i="12" s="1"/>
  <c r="D260" i="12"/>
  <c r="G260" i="12" s="1"/>
  <c r="D180" i="5"/>
  <c r="F180" i="5" s="1"/>
  <c r="O176" i="2"/>
  <c r="P176" i="2"/>
  <c r="D177" i="12"/>
  <c r="D121" i="12"/>
  <c r="D124" i="5"/>
  <c r="F124" i="5" s="1"/>
  <c r="H124" i="5" s="1"/>
  <c r="K209" i="12"/>
  <c r="L209" i="12"/>
  <c r="L336" i="12"/>
  <c r="K336" i="12"/>
  <c r="D267" i="5"/>
  <c r="F267" i="5" s="1"/>
  <c r="H267" i="5" s="1"/>
  <c r="E36" i="12"/>
  <c r="F218" i="12"/>
  <c r="O263" i="2"/>
  <c r="D331" i="12"/>
  <c r="F331" i="12" s="1"/>
  <c r="D303" i="5"/>
  <c r="F303" i="5" s="1"/>
  <c r="H303" i="5" s="1"/>
  <c r="O79" i="2"/>
  <c r="P16" i="2"/>
  <c r="F110" i="12"/>
  <c r="K48" i="12"/>
  <c r="P332" i="2"/>
  <c r="P119" i="2"/>
  <c r="P172" i="2"/>
  <c r="O259" i="2"/>
  <c r="P278" i="2"/>
  <c r="O31" i="2"/>
  <c r="O49" i="2"/>
  <c r="D260" i="5"/>
  <c r="F260" i="5" s="1"/>
  <c r="P256" i="2"/>
  <c r="O256" i="2"/>
  <c r="P196" i="2"/>
  <c r="D197" i="12"/>
  <c r="O196" i="2"/>
  <c r="D200" i="5"/>
  <c r="F200" i="5" s="1"/>
  <c r="J97" i="10"/>
  <c r="J99" i="10" s="1"/>
  <c r="F20" i="7"/>
  <c r="F23" i="7" s="1"/>
  <c r="C23" i="7"/>
  <c r="L233" i="12"/>
  <c r="K233" i="12"/>
  <c r="L15" i="12"/>
  <c r="K15" i="12"/>
  <c r="L180" i="12"/>
  <c r="K180" i="12"/>
  <c r="K50" i="12"/>
  <c r="L50" i="12"/>
  <c r="O227" i="2"/>
  <c r="D228" i="12"/>
  <c r="P227" i="2"/>
  <c r="D231" i="5"/>
  <c r="F231" i="5" s="1"/>
  <c r="H231" i="5" s="1"/>
  <c r="D277" i="5"/>
  <c r="F277" i="5" s="1"/>
  <c r="P273" i="2"/>
  <c r="D274" i="12"/>
  <c r="O273" i="2"/>
  <c r="L131" i="12"/>
  <c r="K131" i="12"/>
  <c r="G186" i="12"/>
  <c r="F186" i="12"/>
  <c r="L309" i="12"/>
  <c r="K309" i="12"/>
  <c r="L40" i="12"/>
  <c r="K40" i="12"/>
  <c r="L215" i="12"/>
  <c r="K215" i="12"/>
  <c r="K212" i="12"/>
  <c r="L212" i="12"/>
  <c r="G46" i="12"/>
  <c r="O200" i="2"/>
  <c r="D201" i="12"/>
  <c r="P200" i="2"/>
  <c r="D204" i="5"/>
  <c r="F204" i="5" s="1"/>
  <c r="P268" i="2"/>
  <c r="D272" i="5"/>
  <c r="F272" i="5" s="1"/>
  <c r="O268" i="2"/>
  <c r="D269" i="12"/>
  <c r="F150" i="12"/>
  <c r="G150" i="12"/>
  <c r="L32" i="12"/>
  <c r="K32" i="12"/>
  <c r="K202" i="12"/>
  <c r="L202" i="12"/>
  <c r="K247" i="12"/>
  <c r="L247" i="12"/>
  <c r="K306" i="12"/>
  <c r="L306" i="12"/>
  <c r="L204" i="12"/>
  <c r="K204" i="12"/>
  <c r="L152" i="12"/>
  <c r="K152" i="12"/>
  <c r="K95" i="12"/>
  <c r="L95" i="12"/>
  <c r="E100" i="12"/>
  <c r="H99" i="5"/>
  <c r="K231" i="12"/>
  <c r="D323" i="5"/>
  <c r="F323" i="5" s="1"/>
  <c r="H323" i="5" s="1"/>
  <c r="P319" i="2"/>
  <c r="D320" i="12"/>
  <c r="D188" i="5"/>
  <c r="F188" i="5" s="1"/>
  <c r="O184" i="2"/>
  <c r="D185" i="12"/>
  <c r="P184" i="2"/>
  <c r="D213" i="12"/>
  <c r="P212" i="2"/>
  <c r="O212" i="2"/>
  <c r="D216" i="5"/>
  <c r="F216" i="5" s="1"/>
  <c r="K207" i="12"/>
  <c r="L207" i="12"/>
  <c r="O319" i="2"/>
  <c r="K44" i="12"/>
  <c r="L44" i="12"/>
  <c r="L52" i="12"/>
  <c r="K52" i="12"/>
  <c r="L23" i="12"/>
  <c r="K23" i="12"/>
  <c r="F112" i="12"/>
  <c r="L147" i="12"/>
  <c r="K147" i="12"/>
  <c r="L271" i="12"/>
  <c r="K271" i="12"/>
  <c r="F257" i="12"/>
  <c r="G257" i="12"/>
  <c r="K88" i="12"/>
  <c r="L88" i="12"/>
  <c r="K239" i="12"/>
  <c r="L239" i="12"/>
  <c r="L123" i="12"/>
  <c r="K123" i="12"/>
  <c r="K143" i="12"/>
  <c r="L143" i="12"/>
  <c r="K191" i="12"/>
  <c r="L191" i="12"/>
  <c r="L235" i="12"/>
  <c r="L242" i="12"/>
  <c r="K242" i="12"/>
  <c r="K176" i="12"/>
  <c r="L176" i="12"/>
  <c r="K101" i="12"/>
  <c r="L101" i="12"/>
  <c r="L144" i="12"/>
  <c r="K144" i="12"/>
  <c r="L192" i="12"/>
  <c r="K192" i="12"/>
  <c r="L220" i="12"/>
  <c r="K220" i="12"/>
  <c r="D221" i="12"/>
  <c r="P220" i="2"/>
  <c r="D224" i="5"/>
  <c r="F224" i="5" s="1"/>
  <c r="H224" i="5" s="1"/>
  <c r="O220" i="2"/>
  <c r="D316" i="5"/>
  <c r="F316" i="5" s="1"/>
  <c r="H316" i="5" s="1"/>
  <c r="O312" i="2"/>
  <c r="D313" i="12"/>
  <c r="L73" i="12"/>
  <c r="K73" i="12"/>
  <c r="K295" i="12"/>
  <c r="L295" i="12"/>
  <c r="L300" i="12"/>
  <c r="K300" i="12"/>
  <c r="K108" i="12"/>
  <c r="L108" i="12"/>
  <c r="K64" i="12"/>
  <c r="L64" i="12"/>
  <c r="L76" i="12"/>
  <c r="K76" i="12"/>
  <c r="L172" i="12"/>
  <c r="K172" i="12"/>
  <c r="L113" i="12"/>
  <c r="K113" i="12"/>
  <c r="L251" i="12"/>
  <c r="K251" i="12"/>
  <c r="G286" i="12"/>
  <c r="F286" i="12"/>
  <c r="D311" i="5"/>
  <c r="F311" i="5" s="1"/>
  <c r="H311" i="5" s="1"/>
  <c r="P307" i="2"/>
  <c r="D308" i="12"/>
  <c r="O307" i="2"/>
  <c r="K96" i="12"/>
  <c r="L96" i="12"/>
  <c r="F195" i="12"/>
  <c r="G195" i="12"/>
  <c r="L211" i="12"/>
  <c r="K211" i="12"/>
  <c r="K34" i="12"/>
  <c r="L34" i="12"/>
  <c r="F98" i="12"/>
  <c r="G98" i="12"/>
  <c r="K255" i="12"/>
  <c r="L255" i="12"/>
  <c r="L45" i="12"/>
  <c r="K45" i="12"/>
  <c r="E73" i="12"/>
  <c r="P67" i="2"/>
  <c r="H215" i="5"/>
  <c r="D228" i="5"/>
  <c r="F228" i="5" s="1"/>
  <c r="D225" i="12"/>
  <c r="F225" i="12" s="1"/>
  <c r="O224" i="2"/>
  <c r="P224" i="2"/>
  <c r="O188" i="2"/>
  <c r="D192" i="5"/>
  <c r="F192" i="5" s="1"/>
  <c r="P188" i="2"/>
  <c r="D189" i="12"/>
  <c r="P216" i="2"/>
  <c r="D217" i="12"/>
  <c r="D220" i="5"/>
  <c r="F220" i="5" s="1"/>
  <c r="O216" i="2"/>
  <c r="K206" i="12"/>
  <c r="L206" i="12"/>
  <c r="F108" i="12"/>
  <c r="G22" i="5"/>
  <c r="Q18" i="2"/>
  <c r="I19" i="12"/>
  <c r="K285" i="12"/>
  <c r="L285" i="12"/>
  <c r="K104" i="12"/>
  <c r="L104" i="12"/>
  <c r="L283" i="12"/>
  <c r="K283" i="12"/>
  <c r="L117" i="12"/>
  <c r="K117" i="12"/>
  <c r="K167" i="12"/>
  <c r="L167" i="12"/>
  <c r="K160" i="12"/>
  <c r="L160" i="12"/>
  <c r="L184" i="12"/>
  <c r="K184" i="12"/>
  <c r="E18" i="7"/>
  <c r="E26" i="7" s="1"/>
  <c r="D105" i="12"/>
  <c r="D108" i="5"/>
  <c r="F108" i="5" s="1"/>
  <c r="H108" i="5" s="1"/>
  <c r="O104" i="2"/>
  <c r="P104" i="2"/>
  <c r="D55" i="5"/>
  <c r="F55" i="5" s="1"/>
  <c r="H55" i="5" s="1"/>
  <c r="P51" i="2"/>
  <c r="O51" i="2"/>
  <c r="D52" i="12"/>
  <c r="D152" i="12"/>
  <c r="E155" i="5"/>
  <c r="F155" i="5" s="1"/>
  <c r="H155" i="5" s="1"/>
  <c r="P151" i="2"/>
  <c r="O151" i="2"/>
  <c r="Q20" i="12"/>
  <c r="O5" i="12"/>
  <c r="D82" i="14"/>
  <c r="E90" i="14"/>
  <c r="D106" i="14"/>
  <c r="L39" i="10" s="1"/>
  <c r="K81" i="12"/>
  <c r="L81" i="12"/>
  <c r="D297" i="12"/>
  <c r="O296" i="2"/>
  <c r="P296" i="2"/>
  <c r="D300" i="5"/>
  <c r="F300" i="5" s="1"/>
  <c r="H300" i="5" s="1"/>
  <c r="E137" i="12"/>
  <c r="D148" i="12"/>
  <c r="D151" i="5"/>
  <c r="F151" i="5" s="1"/>
  <c r="H151" i="5" s="1"/>
  <c r="O147" i="2"/>
  <c r="P147" i="2"/>
  <c r="E91" i="5"/>
  <c r="F91" i="5" s="1"/>
  <c r="H91" i="5" s="1"/>
  <c r="P87" i="2"/>
  <c r="O87" i="2"/>
  <c r="D88" i="12"/>
  <c r="O6" i="11"/>
  <c r="S6" i="11"/>
  <c r="D207" i="5"/>
  <c r="F207" i="5" s="1"/>
  <c r="H207" i="5" s="1"/>
  <c r="D204" i="12"/>
  <c r="P203" i="2"/>
  <c r="O203" i="2"/>
  <c r="E24" i="12"/>
  <c r="E88" i="12"/>
  <c r="E266" i="12"/>
  <c r="O235" i="2"/>
  <c r="D239" i="5"/>
  <c r="F239" i="5" s="1"/>
  <c r="H239" i="5" s="1"/>
  <c r="P235" i="2"/>
  <c r="D236" i="12"/>
  <c r="E187" i="5"/>
  <c r="F187" i="5" s="1"/>
  <c r="H187" i="5" s="1"/>
  <c r="D184" i="12"/>
  <c r="P183" i="2"/>
  <c r="O183" i="2"/>
  <c r="O180" i="2"/>
  <c r="D181" i="12"/>
  <c r="D184" i="5"/>
  <c r="F184" i="5" s="1"/>
  <c r="H184" i="5" s="1"/>
  <c r="P180" i="2"/>
  <c r="D152" i="5"/>
  <c r="F152" i="5" s="1"/>
  <c r="P148" i="2"/>
  <c r="O148" i="2"/>
  <c r="D149" i="12"/>
  <c r="E59" i="5"/>
  <c r="F59" i="5" s="1"/>
  <c r="H59" i="5" s="1"/>
  <c r="D56" i="12"/>
  <c r="P55" i="2"/>
  <c r="O55" i="2"/>
  <c r="E41" i="12"/>
  <c r="E85" i="12"/>
  <c r="E184" i="12"/>
  <c r="E164" i="12"/>
  <c r="E204" i="12"/>
  <c r="D62" i="14"/>
  <c r="D51" i="14"/>
  <c r="D200" i="12"/>
  <c r="P199" i="2"/>
  <c r="D203" i="5"/>
  <c r="F203" i="5" s="1"/>
  <c r="H203" i="5" s="1"/>
  <c r="O199" i="2"/>
  <c r="P164" i="2"/>
  <c r="D165" i="12"/>
  <c r="D168" i="5"/>
  <c r="F168" i="5" s="1"/>
  <c r="O164" i="2"/>
  <c r="P135" i="2"/>
  <c r="O135" i="2"/>
  <c r="D139" i="5"/>
  <c r="F139" i="5" s="1"/>
  <c r="H139" i="5" s="1"/>
  <c r="D136" i="12"/>
  <c r="E135" i="5"/>
  <c r="F135" i="5" s="1"/>
  <c r="H135" i="5" s="1"/>
  <c r="D132" i="12"/>
  <c r="AA41" i="1"/>
  <c r="D39" i="2" s="1"/>
  <c r="F6" i="1"/>
  <c r="AA38" i="1"/>
  <c r="D36" i="2" s="1"/>
  <c r="G6" i="1"/>
  <c r="D88" i="14"/>
  <c r="P57" i="14"/>
  <c r="M90" i="14"/>
  <c r="S126" i="14"/>
  <c r="L79" i="14"/>
  <c r="H126" i="14"/>
  <c r="F68" i="14"/>
  <c r="D60" i="14"/>
  <c r="K72" i="10"/>
  <c r="N108" i="14"/>
  <c r="K90" i="14"/>
  <c r="G108" i="14"/>
  <c r="M68" i="14"/>
  <c r="S68" i="14"/>
  <c r="K126" i="14"/>
  <c r="L68" i="14"/>
  <c r="J90" i="14"/>
  <c r="E57" i="14"/>
  <c r="D49" i="14"/>
  <c r="G79" i="14"/>
  <c r="D71" i="14"/>
  <c r="D85" i="14"/>
  <c r="O67" i="2"/>
  <c r="K100" i="12"/>
  <c r="L100" i="12"/>
  <c r="L36" i="12"/>
  <c r="K36" i="12"/>
  <c r="O231" i="2"/>
  <c r="P231" i="2"/>
  <c r="D235" i="5"/>
  <c r="F235" i="5" s="1"/>
  <c r="H235" i="5" s="1"/>
  <c r="D232" i="12"/>
  <c r="E232" i="12"/>
  <c r="E103" i="5"/>
  <c r="F103" i="5" s="1"/>
  <c r="H103" i="5" s="1"/>
  <c r="D100" i="12"/>
  <c r="O99" i="2"/>
  <c r="P99" i="2"/>
  <c r="P6" i="11"/>
  <c r="R68" i="14"/>
  <c r="M79" i="10"/>
  <c r="I72" i="10"/>
  <c r="K256" i="12"/>
  <c r="L256" i="12"/>
  <c r="G283" i="12"/>
  <c r="F283" i="12"/>
  <c r="M68" i="10"/>
  <c r="G111" i="12"/>
  <c r="F111" i="12"/>
  <c r="E333" i="5"/>
  <c r="F333" i="5" s="1"/>
  <c r="H333" i="5" s="1"/>
  <c r="O329" i="2"/>
  <c r="D330" i="12"/>
  <c r="P329" i="2"/>
  <c r="E330" i="12"/>
  <c r="D88" i="5"/>
  <c r="F88" i="5" s="1"/>
  <c r="AA21" i="1"/>
  <c r="E6" i="1"/>
  <c r="E105" i="12"/>
  <c r="E299" i="12"/>
  <c r="D104" i="12"/>
  <c r="P103" i="2"/>
  <c r="D107" i="5"/>
  <c r="F107" i="5" s="1"/>
  <c r="H107" i="5" s="1"/>
  <c r="O103" i="2"/>
  <c r="D101" i="12"/>
  <c r="O100" i="2"/>
  <c r="P100" i="2"/>
  <c r="D104" i="5"/>
  <c r="F104" i="5" s="1"/>
  <c r="E37" i="12"/>
  <c r="Q6" i="11"/>
  <c r="O126" i="14"/>
  <c r="J79" i="14"/>
  <c r="K57" i="14"/>
  <c r="K62" i="10"/>
  <c r="M58" i="10"/>
  <c r="J72" i="10"/>
  <c r="Q108" i="14"/>
  <c r="Q68" i="14"/>
  <c r="J57" i="14"/>
  <c r="G126" i="14"/>
  <c r="I108" i="14"/>
  <c r="O68" i="14"/>
  <c r="G57" i="14"/>
  <c r="Q79" i="14"/>
  <c r="P90" i="14"/>
  <c r="F126" i="14"/>
  <c r="G90" i="14"/>
  <c r="E108" i="14"/>
  <c r="D103" i="14"/>
  <c r="I15" i="10"/>
  <c r="M76" i="10"/>
  <c r="D63" i="14"/>
  <c r="D52" i="14"/>
  <c r="K135" i="12"/>
  <c r="L135" i="12"/>
  <c r="K243" i="12"/>
  <c r="L68" i="12"/>
  <c r="K68" i="12"/>
  <c r="E68" i="14"/>
  <c r="F71" i="5"/>
  <c r="H71" i="5" s="1"/>
  <c r="G218" i="12"/>
  <c r="AC20" i="1"/>
  <c r="D6" i="1"/>
  <c r="D44" i="5"/>
  <c r="F44" i="5" s="1"/>
  <c r="H44" i="5" s="1"/>
  <c r="P40" i="2"/>
  <c r="O40" i="2"/>
  <c r="D41" i="12"/>
  <c r="E306" i="5"/>
  <c r="F306" i="5" s="1"/>
  <c r="H306" i="5" s="1"/>
  <c r="D303" i="12"/>
  <c r="O302" i="2"/>
  <c r="P302" i="2"/>
  <c r="P116" i="2"/>
  <c r="D117" i="12"/>
  <c r="O116" i="2"/>
  <c r="D120" i="5"/>
  <c r="F120" i="5" s="1"/>
  <c r="M75" i="10"/>
  <c r="I68" i="14"/>
  <c r="G202" i="12"/>
  <c r="F202" i="12"/>
  <c r="O136" i="2"/>
  <c r="P136" i="2"/>
  <c r="D140" i="5"/>
  <c r="F140" i="5" s="1"/>
  <c r="H140" i="5" s="1"/>
  <c r="D137" i="12"/>
  <c r="D299" i="12"/>
  <c r="P298" i="2"/>
  <c r="O298" i="2"/>
  <c r="D302" i="5"/>
  <c r="F302" i="5" s="1"/>
  <c r="H302" i="5" s="1"/>
  <c r="E27" i="5"/>
  <c r="F27" i="5" s="1"/>
  <c r="H27" i="5" s="1"/>
  <c r="P23" i="2"/>
  <c r="O23" i="2"/>
  <c r="D24" i="12"/>
  <c r="E117" i="12"/>
  <c r="E303" i="12"/>
  <c r="E152" i="12"/>
  <c r="O265" i="2"/>
  <c r="E269" i="5"/>
  <c r="F269" i="5" s="1"/>
  <c r="P265" i="2"/>
  <c r="D266" i="12"/>
  <c r="D168" i="12"/>
  <c r="D171" i="5"/>
  <c r="F171" i="5" s="1"/>
  <c r="H171" i="5" s="1"/>
  <c r="P167" i="2"/>
  <c r="O167" i="2"/>
  <c r="E167" i="5"/>
  <c r="F167" i="5" s="1"/>
  <c r="H167" i="5" s="1"/>
  <c r="D164" i="12"/>
  <c r="P163" i="2"/>
  <c r="O163" i="2"/>
  <c r="D133" i="12"/>
  <c r="O132" i="2"/>
  <c r="P132" i="2"/>
  <c r="D136" i="5"/>
  <c r="F136" i="5" s="1"/>
  <c r="O71" i="2"/>
  <c r="D72" i="12"/>
  <c r="P71" i="2"/>
  <c r="D75" i="5"/>
  <c r="F75" i="5" s="1"/>
  <c r="H75" i="5" s="1"/>
  <c r="P68" i="2"/>
  <c r="D72" i="5"/>
  <c r="F72" i="5" s="1"/>
  <c r="H72" i="5" s="1"/>
  <c r="O68" i="2"/>
  <c r="D69" i="12"/>
  <c r="E39" i="5"/>
  <c r="F39" i="5" s="1"/>
  <c r="H39" i="5" s="1"/>
  <c r="P35" i="2"/>
  <c r="D36" i="12"/>
  <c r="O35" i="2"/>
  <c r="Q57" i="14"/>
  <c r="D77" i="14"/>
  <c r="E126" i="14"/>
  <c r="D121" i="14"/>
  <c r="D104" i="14"/>
  <c r="J39" i="10" s="1"/>
  <c r="P68" i="14"/>
  <c r="D105" i="14"/>
  <c r="K39" i="10" s="1"/>
  <c r="K68" i="14"/>
  <c r="F57" i="14"/>
  <c r="D123" i="14"/>
  <c r="K40" i="10" s="1"/>
  <c r="L90" i="14"/>
  <c r="P79" i="14"/>
  <c r="H57" i="14"/>
  <c r="Q126" i="14"/>
  <c r="F90" i="14"/>
  <c r="Q90" i="14"/>
  <c r="R90" i="14"/>
  <c r="D124" i="14"/>
  <c r="L40" i="10" s="1"/>
  <c r="K79" i="14"/>
  <c r="R126" i="14"/>
  <c r="J126" i="14"/>
  <c r="L127" i="12"/>
  <c r="K127" i="12"/>
  <c r="L199" i="12"/>
  <c r="K199" i="12"/>
  <c r="L80" i="12"/>
  <c r="K80" i="12"/>
  <c r="L56" i="12"/>
  <c r="K56" i="12"/>
  <c r="E79" i="14"/>
  <c r="L168" i="12"/>
  <c r="O131" i="2"/>
  <c r="K275" i="12" l="1"/>
  <c r="O84" i="2"/>
  <c r="H98" i="5"/>
  <c r="H86" i="5"/>
  <c r="E10" i="5"/>
  <c r="F10" i="5" s="1"/>
  <c r="C10" i="7"/>
  <c r="F10" i="7" s="1"/>
  <c r="K18" i="10"/>
  <c r="J92" i="10"/>
  <c r="J94" i="10" s="1"/>
  <c r="J18" i="10"/>
  <c r="D45" i="14"/>
  <c r="J88" i="10"/>
  <c r="J90" i="10" s="1"/>
  <c r="J82" i="10"/>
  <c r="K88" i="10"/>
  <c r="K90" i="10" s="1"/>
  <c r="K92" i="10"/>
  <c r="K82" i="10" s="1"/>
  <c r="L18" i="10"/>
  <c r="D117" i="14"/>
  <c r="D99" i="14"/>
  <c r="L92" i="10"/>
  <c r="L94" i="10" s="1"/>
  <c r="N131" i="14"/>
  <c r="L88" i="10"/>
  <c r="L81" i="10" s="1"/>
  <c r="L131" i="14"/>
  <c r="O131" i="14"/>
  <c r="H131" i="14"/>
  <c r="D90" i="14"/>
  <c r="L38" i="10" s="1"/>
  <c r="L42" i="10" s="1"/>
  <c r="L53" i="10" s="1"/>
  <c r="L56" i="10" s="1"/>
  <c r="F131" i="14"/>
  <c r="E131" i="14"/>
  <c r="M131" i="14"/>
  <c r="D57" i="14"/>
  <c r="I38" i="10" s="1"/>
  <c r="I131" i="14"/>
  <c r="R131" i="14"/>
  <c r="S131" i="14"/>
  <c r="P131" i="14"/>
  <c r="P84" i="2"/>
  <c r="L7" i="12"/>
  <c r="L115" i="12"/>
  <c r="F135" i="12"/>
  <c r="G47" i="12"/>
  <c r="N47" i="12" s="1"/>
  <c r="L22" i="12"/>
  <c r="K334" i="12"/>
  <c r="G61" i="12"/>
  <c r="N61" i="12" s="1"/>
  <c r="K286" i="12"/>
  <c r="L43" i="12"/>
  <c r="K155" i="12"/>
  <c r="L299" i="12"/>
  <c r="L315" i="12"/>
  <c r="H328" i="5"/>
  <c r="K194" i="12"/>
  <c r="L87" i="12"/>
  <c r="G211" i="12"/>
  <c r="N211" i="12" s="1"/>
  <c r="L323" i="12"/>
  <c r="G163" i="12"/>
  <c r="L93" i="12"/>
  <c r="K55" i="12"/>
  <c r="D216" i="12"/>
  <c r="F216" i="12" s="1"/>
  <c r="F259" i="12"/>
  <c r="L307" i="12"/>
  <c r="F39" i="12"/>
  <c r="H15" i="5"/>
  <c r="K173" i="12"/>
  <c r="L31" i="12"/>
  <c r="L259" i="12"/>
  <c r="G124" i="12"/>
  <c r="N124" i="12" s="1"/>
  <c r="P62" i="2"/>
  <c r="H192" i="5"/>
  <c r="H148" i="5"/>
  <c r="L227" i="12"/>
  <c r="K187" i="12"/>
  <c r="G280" i="12"/>
  <c r="N280" i="12" s="1"/>
  <c r="O62" i="2"/>
  <c r="L171" i="12"/>
  <c r="L195" i="12"/>
  <c r="N195" i="12" s="1"/>
  <c r="K179" i="12"/>
  <c r="L163" i="12"/>
  <c r="H334" i="5"/>
  <c r="G235" i="12"/>
  <c r="N235" i="12" s="1"/>
  <c r="L75" i="12"/>
  <c r="F256" i="12"/>
  <c r="N16" i="12"/>
  <c r="D63" i="12"/>
  <c r="F63" i="12" s="1"/>
  <c r="G248" i="12"/>
  <c r="N248" i="12" s="1"/>
  <c r="F12" i="12"/>
  <c r="D7" i="12"/>
  <c r="F7" i="12" s="1"/>
  <c r="K145" i="12"/>
  <c r="H132" i="5"/>
  <c r="F59" i="12"/>
  <c r="D224" i="12"/>
  <c r="G224" i="12" s="1"/>
  <c r="N224" i="12" s="1"/>
  <c r="P223" i="2"/>
  <c r="H114" i="5"/>
  <c r="L331" i="12"/>
  <c r="K12" i="12"/>
  <c r="O223" i="2"/>
  <c r="L183" i="12"/>
  <c r="L139" i="12"/>
  <c r="L111" i="12"/>
  <c r="O6" i="2"/>
  <c r="P6" i="2"/>
  <c r="F284" i="12"/>
  <c r="G127" i="12"/>
  <c r="N127" i="12" s="1"/>
  <c r="K105" i="12"/>
  <c r="G320" i="12"/>
  <c r="N320" i="12" s="1"/>
  <c r="G42" i="12"/>
  <c r="N42" i="12" s="1"/>
  <c r="K67" i="12"/>
  <c r="G92" i="12"/>
  <c r="N92" i="12" s="1"/>
  <c r="K319" i="12"/>
  <c r="F264" i="12"/>
  <c r="G256" i="12"/>
  <c r="N256" i="12" s="1"/>
  <c r="F154" i="12"/>
  <c r="L203" i="12"/>
  <c r="L322" i="12"/>
  <c r="G135" i="12"/>
  <c r="N135" i="12" s="1"/>
  <c r="H36" i="5"/>
  <c r="G322" i="12"/>
  <c r="L223" i="12"/>
  <c r="G31" i="12"/>
  <c r="F220" i="12"/>
  <c r="G174" i="12"/>
  <c r="P192" i="2"/>
  <c r="F48" i="12"/>
  <c r="G141" i="12"/>
  <c r="G264" i="12"/>
  <c r="N264" i="12" s="1"/>
  <c r="L338" i="12"/>
  <c r="H30" i="5"/>
  <c r="K246" i="12"/>
  <c r="F177" i="12"/>
  <c r="F309" i="12"/>
  <c r="F209" i="12"/>
  <c r="G140" i="12"/>
  <c r="N140" i="12" s="1"/>
  <c r="G182" i="12"/>
  <c r="N182" i="12" s="1"/>
  <c r="G114" i="12"/>
  <c r="N114" i="12" s="1"/>
  <c r="G129" i="12"/>
  <c r="N129" i="12" s="1"/>
  <c r="G226" i="12"/>
  <c r="O175" i="2"/>
  <c r="D58" i="5"/>
  <c r="F58" i="5" s="1"/>
  <c r="H58" i="5" s="1"/>
  <c r="F70" i="12"/>
  <c r="O27" i="2"/>
  <c r="G241" i="12"/>
  <c r="N241" i="12" s="1"/>
  <c r="F265" i="12"/>
  <c r="D196" i="5"/>
  <c r="F196" i="5" s="1"/>
  <c r="H196" i="5" s="1"/>
  <c r="F22" i="12"/>
  <c r="F145" i="12"/>
  <c r="G138" i="12"/>
  <c r="N138" i="12" s="1"/>
  <c r="P175" i="2"/>
  <c r="G289" i="12"/>
  <c r="N289" i="12" s="1"/>
  <c r="K326" i="12"/>
  <c r="G78" i="12"/>
  <c r="N78" i="12" s="1"/>
  <c r="D193" i="12"/>
  <c r="G193" i="12" s="1"/>
  <c r="F291" i="12"/>
  <c r="L198" i="12"/>
  <c r="N198" i="12" s="1"/>
  <c r="H56" i="5"/>
  <c r="P30" i="2"/>
  <c r="H117" i="5"/>
  <c r="D176" i="12"/>
  <c r="F176" i="12" s="1"/>
  <c r="G32" i="12"/>
  <c r="N32" i="12" s="1"/>
  <c r="H84" i="5"/>
  <c r="O30" i="2"/>
  <c r="D34" i="5"/>
  <c r="F34" i="5" s="1"/>
  <c r="H34" i="5" s="1"/>
  <c r="G316" i="12"/>
  <c r="F275" i="12"/>
  <c r="N11" i="12"/>
  <c r="G300" i="12"/>
  <c r="N300" i="12" s="1"/>
  <c r="G290" i="12"/>
  <c r="G325" i="12"/>
  <c r="L318" i="12"/>
  <c r="N318" i="12" s="1"/>
  <c r="K42" i="12"/>
  <c r="F62" i="12"/>
  <c r="F80" i="12"/>
  <c r="G259" i="12"/>
  <c r="G144" i="12"/>
  <c r="N144" i="12" s="1"/>
  <c r="G275" i="12"/>
  <c r="N275" i="12" s="1"/>
  <c r="F316" i="12"/>
  <c r="G30" i="12"/>
  <c r="N30" i="12" s="1"/>
  <c r="L70" i="12"/>
  <c r="N70" i="12" s="1"/>
  <c r="G12" i="12"/>
  <c r="N12" i="12" s="1"/>
  <c r="F35" i="12"/>
  <c r="K130" i="12"/>
  <c r="P202" i="2"/>
  <c r="K142" i="12"/>
  <c r="O215" i="2"/>
  <c r="P190" i="2"/>
  <c r="D191" i="12"/>
  <c r="F191" i="12" s="1"/>
  <c r="G23" i="12"/>
  <c r="N23" i="12" s="1"/>
  <c r="D211" i="5"/>
  <c r="F211" i="5" s="1"/>
  <c r="H211" i="5" s="1"/>
  <c r="P215" i="2"/>
  <c r="F334" i="12"/>
  <c r="N316" i="12"/>
  <c r="F130" i="12"/>
  <c r="F89" i="12"/>
  <c r="G240" i="12"/>
  <c r="N240" i="12" s="1"/>
  <c r="G64" i="12"/>
  <c r="N64" i="12" s="1"/>
  <c r="G139" i="12"/>
  <c r="F76" i="12"/>
  <c r="O24" i="2"/>
  <c r="F268" i="12"/>
  <c r="G227" i="12"/>
  <c r="N227" i="12" s="1"/>
  <c r="G284" i="12"/>
  <c r="N284" i="12" s="1"/>
  <c r="D55" i="12"/>
  <c r="F55" i="12" s="1"/>
  <c r="G75" i="12"/>
  <c r="D25" i="12"/>
  <c r="F25" i="12" s="1"/>
  <c r="H253" i="5"/>
  <c r="N145" i="12"/>
  <c r="L121" i="12"/>
  <c r="G153" i="12"/>
  <c r="N153" i="12" s="1"/>
  <c r="O72" i="2"/>
  <c r="L106" i="12"/>
  <c r="L110" i="12"/>
  <c r="N110" i="12" s="1"/>
  <c r="F249" i="12"/>
  <c r="G311" i="12"/>
  <c r="N311" i="12" s="1"/>
  <c r="G15" i="12"/>
  <c r="N15" i="12" s="1"/>
  <c r="L214" i="12"/>
  <c r="G166" i="12"/>
  <c r="N166" i="12" s="1"/>
  <c r="K186" i="12"/>
  <c r="G99" i="12"/>
  <c r="N99" i="12" s="1"/>
  <c r="G159" i="12"/>
  <c r="N159" i="12" s="1"/>
  <c r="K66" i="12"/>
  <c r="F143" i="12"/>
  <c r="G309" i="12"/>
  <c r="N309" i="12" s="1"/>
  <c r="F92" i="12"/>
  <c r="F60" i="12"/>
  <c r="G196" i="12"/>
  <c r="N196" i="12" s="1"/>
  <c r="F128" i="12"/>
  <c r="N147" i="12"/>
  <c r="N323" i="12"/>
  <c r="F336" i="12"/>
  <c r="G319" i="12"/>
  <c r="N319" i="12" s="1"/>
  <c r="G103" i="12"/>
  <c r="N103" i="12" s="1"/>
  <c r="F47" i="12"/>
  <c r="F81" i="12"/>
  <c r="F11" i="12"/>
  <c r="G94" i="12"/>
  <c r="N94" i="12" s="1"/>
  <c r="G49" i="12"/>
  <c r="G234" i="12"/>
  <c r="N234" i="12" s="1"/>
  <c r="L137" i="12"/>
  <c r="F134" i="12"/>
  <c r="G214" i="12"/>
  <c r="F258" i="12"/>
  <c r="L226" i="12"/>
  <c r="F15" i="12"/>
  <c r="F131" i="12"/>
  <c r="N208" i="12"/>
  <c r="L254" i="12"/>
  <c r="N254" i="12" s="1"/>
  <c r="L89" i="12"/>
  <c r="N89" i="12" s="1"/>
  <c r="G71" i="12"/>
  <c r="N71" i="12" s="1"/>
  <c r="G253" i="12"/>
  <c r="N253" i="12" s="1"/>
  <c r="G271" i="12"/>
  <c r="N271" i="12" s="1"/>
  <c r="K310" i="12"/>
  <c r="K162" i="12"/>
  <c r="F261" i="12"/>
  <c r="F175" i="12"/>
  <c r="F44" i="12"/>
  <c r="F187" i="12"/>
  <c r="G231" i="12"/>
  <c r="N231" i="12" s="1"/>
  <c r="G60" i="12"/>
  <c r="N60" i="12" s="1"/>
  <c r="H325" i="5"/>
  <c r="H80" i="5"/>
  <c r="H276" i="5"/>
  <c r="H97" i="5"/>
  <c r="H296" i="5"/>
  <c r="H213" i="5"/>
  <c r="H136" i="5"/>
  <c r="H188" i="5"/>
  <c r="H32" i="5"/>
  <c r="F338" i="12"/>
  <c r="D76" i="5"/>
  <c r="F76" i="5" s="1"/>
  <c r="H76" i="5" s="1"/>
  <c r="K166" i="12"/>
  <c r="L97" i="12"/>
  <c r="K122" i="12"/>
  <c r="G296" i="12"/>
  <c r="N296" i="12" s="1"/>
  <c r="H197" i="5"/>
  <c r="H185" i="5"/>
  <c r="F182" i="12"/>
  <c r="P72" i="2"/>
  <c r="G268" i="12"/>
  <c r="N268" i="12" s="1"/>
  <c r="F140" i="12"/>
  <c r="F66" i="12"/>
  <c r="F326" i="12"/>
  <c r="G39" i="12"/>
  <c r="N39" i="12" s="1"/>
  <c r="L37" i="12"/>
  <c r="D172" i="5"/>
  <c r="F172" i="5" s="1"/>
  <c r="H172" i="5" s="1"/>
  <c r="G306" i="12"/>
  <c r="N306" i="12" s="1"/>
  <c r="H180" i="5"/>
  <c r="G276" i="12"/>
  <c r="N276" i="12" s="1"/>
  <c r="H208" i="5"/>
  <c r="L98" i="12"/>
  <c r="N98" i="12" s="1"/>
  <c r="G86" i="12"/>
  <c r="N86" i="12" s="1"/>
  <c r="F199" i="12"/>
  <c r="L321" i="12"/>
  <c r="N321" i="12" s="1"/>
  <c r="H121" i="5"/>
  <c r="H332" i="5"/>
  <c r="L218" i="12"/>
  <c r="N218" i="12" s="1"/>
  <c r="P86" i="2"/>
  <c r="L213" i="12"/>
  <c r="H209" i="5"/>
  <c r="G187" i="12"/>
  <c r="N187" i="12" s="1"/>
  <c r="G76" i="12"/>
  <c r="N76" i="12" s="1"/>
  <c r="L266" i="12"/>
  <c r="P311" i="2"/>
  <c r="F231" i="12"/>
  <c r="G44" i="12"/>
  <c r="N44" i="12" s="1"/>
  <c r="F123" i="12"/>
  <c r="L18" i="12"/>
  <c r="K190" i="12"/>
  <c r="G220" i="12"/>
  <c r="N220" i="12" s="1"/>
  <c r="L53" i="12"/>
  <c r="O168" i="2"/>
  <c r="N327" i="12"/>
  <c r="G317" i="12"/>
  <c r="N317" i="12" s="1"/>
  <c r="L217" i="12"/>
  <c r="G183" i="12"/>
  <c r="G238" i="12"/>
  <c r="F109" i="12"/>
  <c r="F169" i="12"/>
  <c r="F190" i="12"/>
  <c r="L238" i="12"/>
  <c r="D90" i="5"/>
  <c r="F90" i="5" s="1"/>
  <c r="H90" i="5" s="1"/>
  <c r="D87" i="12"/>
  <c r="G87" i="12" s="1"/>
  <c r="K78" i="12"/>
  <c r="F159" i="12"/>
  <c r="F263" i="12"/>
  <c r="F27" i="12"/>
  <c r="D43" i="12"/>
  <c r="F43" i="12" s="1"/>
  <c r="H133" i="5"/>
  <c r="H144" i="5"/>
  <c r="H160" i="5"/>
  <c r="F32" i="12"/>
  <c r="G160" i="12"/>
  <c r="N160" i="12" s="1"/>
  <c r="F223" i="12"/>
  <c r="F103" i="12"/>
  <c r="F248" i="12"/>
  <c r="G229" i="12"/>
  <c r="N229" i="12" s="1"/>
  <c r="F173" i="12"/>
  <c r="H41" i="5"/>
  <c r="G35" i="12"/>
  <c r="N35" i="12" s="1"/>
  <c r="G223" i="12"/>
  <c r="H168" i="5"/>
  <c r="D206" i="5"/>
  <c r="F206" i="5" s="1"/>
  <c r="H206" i="5" s="1"/>
  <c r="F163" i="12"/>
  <c r="L118" i="12"/>
  <c r="N118" i="12" s="1"/>
  <c r="H220" i="5"/>
  <c r="G243" i="12"/>
  <c r="N243" i="12" s="1"/>
  <c r="F21" i="12"/>
  <c r="K222" i="12"/>
  <c r="K250" i="12"/>
  <c r="F90" i="12"/>
  <c r="F197" i="12"/>
  <c r="H260" i="5"/>
  <c r="G338" i="12"/>
  <c r="N260" i="12"/>
  <c r="K57" i="12"/>
  <c r="F237" i="12"/>
  <c r="H105" i="5"/>
  <c r="N102" i="12"/>
  <c r="H201" i="5"/>
  <c r="P207" i="2"/>
  <c r="H145" i="5"/>
  <c r="G123" i="12"/>
  <c r="N123" i="12" s="1"/>
  <c r="N334" i="12"/>
  <c r="K109" i="12"/>
  <c r="D11" i="5"/>
  <c r="O94" i="2"/>
  <c r="L141" i="12"/>
  <c r="H89" i="5"/>
  <c r="H37" i="5"/>
  <c r="F312" i="12"/>
  <c r="L10" i="12"/>
  <c r="F178" i="12"/>
  <c r="F127" i="12"/>
  <c r="K170" i="12"/>
  <c r="G210" i="12"/>
  <c r="N210" i="12" s="1"/>
  <c r="D267" i="12"/>
  <c r="G267" i="12" s="1"/>
  <c r="N267" i="12" s="1"/>
  <c r="N206" i="12"/>
  <c r="K65" i="12"/>
  <c r="F300" i="12"/>
  <c r="D195" i="5"/>
  <c r="F195" i="5" s="1"/>
  <c r="H195" i="5" s="1"/>
  <c r="K169" i="12"/>
  <c r="O207" i="2"/>
  <c r="H256" i="5"/>
  <c r="H244" i="5"/>
  <c r="F171" i="12"/>
  <c r="O7" i="2"/>
  <c r="O54" i="2"/>
  <c r="H312" i="5"/>
  <c r="F219" i="12"/>
  <c r="N156" i="12"/>
  <c r="P168" i="2"/>
  <c r="D95" i="12"/>
  <c r="G95" i="12" s="1"/>
  <c r="N95" i="12" s="1"/>
  <c r="F305" i="12"/>
  <c r="F160" i="12"/>
  <c r="H164" i="5"/>
  <c r="H292" i="5"/>
  <c r="N283" i="12"/>
  <c r="G10" i="12"/>
  <c r="F142" i="12"/>
  <c r="K29" i="12"/>
  <c r="G242" i="12"/>
  <c r="N242" i="12" s="1"/>
  <c r="G120" i="12"/>
  <c r="N120" i="12" s="1"/>
  <c r="H216" i="5"/>
  <c r="L13" i="12"/>
  <c r="F84" i="12"/>
  <c r="G287" i="12"/>
  <c r="N287" i="12" s="1"/>
  <c r="K313" i="12"/>
  <c r="D28" i="12"/>
  <c r="G28" i="12" s="1"/>
  <c r="N28" i="12" s="1"/>
  <c r="H249" i="5"/>
  <c r="P7" i="2"/>
  <c r="F319" i="12"/>
  <c r="F161" i="12"/>
  <c r="N22" i="12"/>
  <c r="D46" i="5"/>
  <c r="F46" i="5" s="1"/>
  <c r="H46" i="5" s="1"/>
  <c r="F144" i="12"/>
  <c r="O190" i="2"/>
  <c r="P42" i="2"/>
  <c r="P94" i="2"/>
  <c r="H68" i="5"/>
  <c r="G295" i="12"/>
  <c r="N295" i="12" s="1"/>
  <c r="D158" i="5"/>
  <c r="F158" i="5" s="1"/>
  <c r="H158" i="5" s="1"/>
  <c r="D155" i="12"/>
  <c r="P154" i="2"/>
  <c r="O154" i="2"/>
  <c r="F113" i="12"/>
  <c r="F54" i="12"/>
  <c r="K17" i="12"/>
  <c r="P266" i="2"/>
  <c r="G246" i="12"/>
  <c r="N246" i="12" s="1"/>
  <c r="L14" i="12"/>
  <c r="N108" i="12"/>
  <c r="K25" i="12"/>
  <c r="F57" i="12"/>
  <c r="K282" i="12"/>
  <c r="P27" i="2"/>
  <c r="G245" i="12"/>
  <c r="C9" i="7"/>
  <c r="H21" i="5"/>
  <c r="G337" i="12"/>
  <c r="N278" i="12"/>
  <c r="F272" i="12"/>
  <c r="G172" i="12"/>
  <c r="N172" i="12" s="1"/>
  <c r="K270" i="12"/>
  <c r="F115" i="12"/>
  <c r="H261" i="5"/>
  <c r="G252" i="12"/>
  <c r="N252" i="12" s="1"/>
  <c r="G301" i="12"/>
  <c r="G288" i="12"/>
  <c r="N288" i="12" s="1"/>
  <c r="Q5" i="12"/>
  <c r="K158" i="12"/>
  <c r="L69" i="12"/>
  <c r="L302" i="12"/>
  <c r="G146" i="12"/>
  <c r="N146" i="12" s="1"/>
  <c r="F324" i="12"/>
  <c r="L325" i="12"/>
  <c r="L9" i="12"/>
  <c r="N9" i="12" s="1"/>
  <c r="K241" i="12"/>
  <c r="F172" i="12"/>
  <c r="F230" i="12"/>
  <c r="G312" i="12"/>
  <c r="N312" i="12" s="1"/>
  <c r="K54" i="12"/>
  <c r="L157" i="12"/>
  <c r="G180" i="12"/>
  <c r="N180" i="12" s="1"/>
  <c r="G26" i="12"/>
  <c r="K229" i="12"/>
  <c r="N265" i="12"/>
  <c r="F282" i="12"/>
  <c r="G143" i="12"/>
  <c r="N143" i="12" s="1"/>
  <c r="F179" i="12"/>
  <c r="F295" i="12"/>
  <c r="N62" i="12"/>
  <c r="D207" i="12"/>
  <c r="G107" i="12"/>
  <c r="N107" i="12" s="1"/>
  <c r="O206" i="2"/>
  <c r="G305" i="12"/>
  <c r="F311" i="12"/>
  <c r="E315" i="5"/>
  <c r="F315" i="5" s="1"/>
  <c r="H315" i="5" s="1"/>
  <c r="O311" i="2"/>
  <c r="K146" i="12"/>
  <c r="N66" i="12"/>
  <c r="K134" i="12"/>
  <c r="F53" i="12"/>
  <c r="L237" i="12"/>
  <c r="N237" i="12" s="1"/>
  <c r="F125" i="12"/>
  <c r="L49" i="12"/>
  <c r="F285" i="12"/>
  <c r="H104" i="5"/>
  <c r="G215" i="12"/>
  <c r="N215" i="12" s="1"/>
  <c r="F260" i="12"/>
  <c r="F29" i="12"/>
  <c r="G255" i="12"/>
  <c r="N255" i="12" s="1"/>
  <c r="L41" i="12"/>
  <c r="G158" i="12"/>
  <c r="N158" i="12" s="1"/>
  <c r="G233" i="12"/>
  <c r="N233" i="12" s="1"/>
  <c r="H284" i="5"/>
  <c r="D188" i="12"/>
  <c r="F188" i="12" s="1"/>
  <c r="L221" i="12"/>
  <c r="G54" i="12"/>
  <c r="N54" i="12" s="1"/>
  <c r="H57" i="5"/>
  <c r="L277" i="12"/>
  <c r="G65" i="12"/>
  <c r="N65" i="12" s="1"/>
  <c r="D210" i="5"/>
  <c r="F210" i="5" s="1"/>
  <c r="H210" i="5" s="1"/>
  <c r="F38" i="12"/>
  <c r="F34" i="12"/>
  <c r="F328" i="12"/>
  <c r="F83" i="12"/>
  <c r="L298" i="12"/>
  <c r="G178" i="12"/>
  <c r="L178" i="12"/>
  <c r="G249" i="12"/>
  <c r="H329" i="5"/>
  <c r="F235" i="12"/>
  <c r="G219" i="12"/>
  <c r="N219" i="12" s="1"/>
  <c r="N142" i="12"/>
  <c r="F327" i="12"/>
  <c r="G279" i="12"/>
  <c r="N279" i="12" s="1"/>
  <c r="G171" i="12"/>
  <c r="G263" i="12"/>
  <c r="N263" i="12" s="1"/>
  <c r="L305" i="12"/>
  <c r="F278" i="12"/>
  <c r="K289" i="12"/>
  <c r="G116" i="12"/>
  <c r="N116" i="12" s="1"/>
  <c r="F82" i="12"/>
  <c r="G106" i="12"/>
  <c r="G83" i="12"/>
  <c r="N83" i="12" s="1"/>
  <c r="D191" i="5"/>
  <c r="F191" i="5" s="1"/>
  <c r="H191" i="5" s="1"/>
  <c r="F254" i="12"/>
  <c r="H205" i="5"/>
  <c r="F292" i="12"/>
  <c r="F301" i="12"/>
  <c r="H265" i="5"/>
  <c r="G51" i="12"/>
  <c r="N51" i="12" s="1"/>
  <c r="F250" i="12"/>
  <c r="N122" i="12"/>
  <c r="F77" i="12"/>
  <c r="G27" i="12"/>
  <c r="N27" i="12" s="1"/>
  <c r="G315" i="12"/>
  <c r="H233" i="5"/>
  <c r="N29" i="12"/>
  <c r="F107" i="12"/>
  <c r="F288" i="12"/>
  <c r="H69" i="5"/>
  <c r="N34" i="12"/>
  <c r="F273" i="12"/>
  <c r="H269" i="5"/>
  <c r="P191" i="2"/>
  <c r="O187" i="2"/>
  <c r="H280" i="5"/>
  <c r="L125" i="12"/>
  <c r="N125" i="12" s="1"/>
  <c r="L258" i="12"/>
  <c r="N258" i="12" s="1"/>
  <c r="F293" i="12"/>
  <c r="G128" i="12"/>
  <c r="N128" i="12" s="1"/>
  <c r="F317" i="12"/>
  <c r="F156" i="12"/>
  <c r="G277" i="12"/>
  <c r="D192" i="12"/>
  <c r="F192" i="12" s="1"/>
  <c r="G262" i="12"/>
  <c r="K62" i="12"/>
  <c r="H153" i="5"/>
  <c r="P306" i="2"/>
  <c r="H49" i="5"/>
  <c r="D307" i="12"/>
  <c r="G307" i="12" s="1"/>
  <c r="G272" i="12"/>
  <c r="N272" i="12" s="1"/>
  <c r="O306" i="2"/>
  <c r="K174" i="12"/>
  <c r="L174" i="12"/>
  <c r="D242" i="5"/>
  <c r="F242" i="5" s="1"/>
  <c r="H242" i="5" s="1"/>
  <c r="D239" i="12"/>
  <c r="P238" i="2"/>
  <c r="O238" i="2"/>
  <c r="N154" i="12"/>
  <c r="G74" i="12"/>
  <c r="F74" i="12"/>
  <c r="D170" i="5"/>
  <c r="F170" i="5" s="1"/>
  <c r="H170" i="5" s="1"/>
  <c r="P166" i="2"/>
  <c r="F122" i="12"/>
  <c r="G179" i="12"/>
  <c r="N179" i="12" s="1"/>
  <c r="L294" i="12"/>
  <c r="G17" i="12"/>
  <c r="N17" i="12" s="1"/>
  <c r="H96" i="5"/>
  <c r="D167" i="12"/>
  <c r="G304" i="12"/>
  <c r="N304" i="12" s="1"/>
  <c r="G161" i="12"/>
  <c r="N161" i="12" s="1"/>
  <c r="N324" i="12"/>
  <c r="F296" i="12"/>
  <c r="G59" i="12"/>
  <c r="N59" i="12" s="1"/>
  <c r="G157" i="12"/>
  <c r="F252" i="12"/>
  <c r="G18" i="12"/>
  <c r="G79" i="12"/>
  <c r="N79" i="12" s="1"/>
  <c r="F118" i="12"/>
  <c r="O266" i="2"/>
  <c r="F9" i="12"/>
  <c r="Q4" i="2"/>
  <c r="G222" i="12"/>
  <c r="N222" i="12" s="1"/>
  <c r="L290" i="12"/>
  <c r="F315" i="12"/>
  <c r="G336" i="12"/>
  <c r="N336" i="12" s="1"/>
  <c r="G77" i="12"/>
  <c r="G91" i="12"/>
  <c r="N91" i="12" s="1"/>
  <c r="O166" i="2"/>
  <c r="F51" i="12"/>
  <c r="N293" i="12"/>
  <c r="K177" i="12"/>
  <c r="H320" i="5"/>
  <c r="G298" i="12"/>
  <c r="F124" i="12"/>
  <c r="N109" i="12"/>
  <c r="N151" i="12"/>
  <c r="F337" i="12"/>
  <c r="G335" i="12"/>
  <c r="N335" i="12" s="1"/>
  <c r="N130" i="12"/>
  <c r="H152" i="5"/>
  <c r="L297" i="12"/>
  <c r="H228" i="5"/>
  <c r="N162" i="12"/>
  <c r="N230" i="12"/>
  <c r="N90" i="12"/>
  <c r="H200" i="5"/>
  <c r="F65" i="12"/>
  <c r="F318" i="12"/>
  <c r="F280" i="12"/>
  <c r="L301" i="12"/>
  <c r="G209" i="12"/>
  <c r="N209" i="12" s="1"/>
  <c r="K126" i="12"/>
  <c r="F211" i="12"/>
  <c r="K30" i="12"/>
  <c r="N84" i="12"/>
  <c r="G113" i="12"/>
  <c r="N113" i="12" s="1"/>
  <c r="K234" i="12"/>
  <c r="G53" i="12"/>
  <c r="K90" i="12"/>
  <c r="H264" i="5"/>
  <c r="L85" i="12"/>
  <c r="N328" i="12"/>
  <c r="K21" i="12"/>
  <c r="L21" i="12"/>
  <c r="N21" i="12" s="1"/>
  <c r="O246" i="2"/>
  <c r="D250" i="5"/>
  <c r="F250" i="5" s="1"/>
  <c r="H250" i="5" s="1"/>
  <c r="D247" i="12"/>
  <c r="P246" i="2"/>
  <c r="F323" i="12"/>
  <c r="L269" i="12"/>
  <c r="K269" i="12"/>
  <c r="N199" i="12"/>
  <c r="H120" i="5"/>
  <c r="D203" i="12"/>
  <c r="G203" i="12" s="1"/>
  <c r="K10" i="12"/>
  <c r="N96" i="12"/>
  <c r="K154" i="12"/>
  <c r="H272" i="5"/>
  <c r="F96" i="12"/>
  <c r="F68" i="12"/>
  <c r="F304" i="12"/>
  <c r="K61" i="12"/>
  <c r="F251" i="12"/>
  <c r="G250" i="12"/>
  <c r="N250" i="12" s="1"/>
  <c r="K205" i="12"/>
  <c r="L205" i="12"/>
  <c r="L261" i="12"/>
  <c r="N261" i="12" s="1"/>
  <c r="K261" i="12"/>
  <c r="K38" i="12"/>
  <c r="L38" i="12"/>
  <c r="N38" i="12" s="1"/>
  <c r="L337" i="12"/>
  <c r="K337" i="12"/>
  <c r="K193" i="12"/>
  <c r="L193" i="12"/>
  <c r="K225" i="12"/>
  <c r="L225" i="12"/>
  <c r="L249" i="12"/>
  <c r="K249" i="12"/>
  <c r="G67" i="12"/>
  <c r="N67" i="12" s="1"/>
  <c r="F67" i="12"/>
  <c r="K189" i="12"/>
  <c r="L189" i="12"/>
  <c r="L281" i="12"/>
  <c r="K281" i="12"/>
  <c r="L165" i="12"/>
  <c r="K165" i="12"/>
  <c r="H88" i="5"/>
  <c r="I5" i="12"/>
  <c r="N48" i="12"/>
  <c r="F16" i="12"/>
  <c r="H204" i="5"/>
  <c r="G80" i="12"/>
  <c r="N80" i="12" s="1"/>
  <c r="L150" i="12"/>
  <c r="N150" i="12" s="1"/>
  <c r="N112" i="12"/>
  <c r="G13" i="12"/>
  <c r="N119" i="12"/>
  <c r="G8" i="12"/>
  <c r="N8" i="12" s="1"/>
  <c r="G294" i="12"/>
  <c r="H340" i="5"/>
  <c r="N291" i="12"/>
  <c r="L245" i="12"/>
  <c r="K245" i="12"/>
  <c r="L181" i="12"/>
  <c r="K181" i="12"/>
  <c r="L149" i="12"/>
  <c r="L257" i="12"/>
  <c r="N257" i="12" s="1"/>
  <c r="K257" i="12"/>
  <c r="L197" i="12"/>
  <c r="K197" i="12"/>
  <c r="L77" i="12"/>
  <c r="K77" i="12"/>
  <c r="L26" i="12"/>
  <c r="K26" i="12"/>
  <c r="K46" i="12"/>
  <c r="L46" i="12"/>
  <c r="N46" i="12" s="1"/>
  <c r="L82" i="12"/>
  <c r="N82" i="12" s="1"/>
  <c r="K82" i="12"/>
  <c r="K262" i="12"/>
  <c r="L262" i="12"/>
  <c r="G97" i="12"/>
  <c r="G8" i="5"/>
  <c r="G197" i="12"/>
  <c r="F321" i="12"/>
  <c r="N282" i="12"/>
  <c r="H277" i="5"/>
  <c r="N126" i="12"/>
  <c r="K274" i="12"/>
  <c r="L274" i="12"/>
  <c r="F119" i="12"/>
  <c r="G251" i="12"/>
  <c r="N251" i="12" s="1"/>
  <c r="G177" i="12"/>
  <c r="N177" i="12" s="1"/>
  <c r="G314" i="12"/>
  <c r="G329" i="12"/>
  <c r="N329" i="12" s="1"/>
  <c r="L314" i="12"/>
  <c r="G310" i="12"/>
  <c r="N310" i="12" s="1"/>
  <c r="K330" i="12"/>
  <c r="L330" i="12"/>
  <c r="N273" i="12"/>
  <c r="G333" i="12"/>
  <c r="N333" i="12" s="1"/>
  <c r="G68" i="12"/>
  <c r="N68" i="12" s="1"/>
  <c r="H281" i="5"/>
  <c r="L74" i="12"/>
  <c r="K74" i="12"/>
  <c r="K58" i="12"/>
  <c r="L58" i="12"/>
  <c r="G115" i="12"/>
  <c r="N115" i="12" s="1"/>
  <c r="G58" i="12"/>
  <c r="G244" i="12"/>
  <c r="N244" i="12" s="1"/>
  <c r="N57" i="12"/>
  <c r="G175" i="12"/>
  <c r="N175" i="12" s="1"/>
  <c r="G331" i="12"/>
  <c r="F208" i="12"/>
  <c r="G302" i="12"/>
  <c r="N111" i="12"/>
  <c r="N131" i="12"/>
  <c r="G14" i="12"/>
  <c r="F14" i="12"/>
  <c r="G292" i="12"/>
  <c r="N292" i="12" s="1"/>
  <c r="F276" i="12"/>
  <c r="G194" i="12"/>
  <c r="N194" i="12" s="1"/>
  <c r="F194" i="12"/>
  <c r="G170" i="12"/>
  <c r="N170" i="12" s="1"/>
  <c r="F126" i="12"/>
  <c r="N212" i="12"/>
  <c r="F212" i="12"/>
  <c r="G93" i="12"/>
  <c r="F93" i="12"/>
  <c r="G270" i="12"/>
  <c r="N270" i="12" s="1"/>
  <c r="F270" i="12"/>
  <c r="G205" i="12"/>
  <c r="F205" i="12"/>
  <c r="N285" i="12"/>
  <c r="N173" i="12"/>
  <c r="I23" i="7"/>
  <c r="E111" i="7"/>
  <c r="F111" i="7"/>
  <c r="G121" i="12"/>
  <c r="F121" i="12"/>
  <c r="F320" i="12"/>
  <c r="N45" i="12"/>
  <c r="F332" i="12"/>
  <c r="G332" i="12"/>
  <c r="N332" i="12" s="1"/>
  <c r="G33" i="12"/>
  <c r="N33" i="12" s="1"/>
  <c r="F33" i="12"/>
  <c r="E87" i="7"/>
  <c r="E88" i="7" s="1"/>
  <c r="J59" i="10"/>
  <c r="F50" i="12"/>
  <c r="G50" i="12"/>
  <c r="N50" i="12" s="1"/>
  <c r="G281" i="12"/>
  <c r="F281" i="12"/>
  <c r="N202" i="12"/>
  <c r="N169" i="12"/>
  <c r="N190" i="12"/>
  <c r="N134" i="12"/>
  <c r="L19" i="12"/>
  <c r="K19" i="12"/>
  <c r="N326" i="12"/>
  <c r="G274" i="12"/>
  <c r="F274" i="12"/>
  <c r="G225" i="12"/>
  <c r="G217" i="12"/>
  <c r="F217" i="12"/>
  <c r="F221" i="12"/>
  <c r="G221" i="12"/>
  <c r="F213" i="12"/>
  <c r="G213" i="12"/>
  <c r="F201" i="12"/>
  <c r="G201" i="12"/>
  <c r="N201" i="12" s="1"/>
  <c r="N186" i="12"/>
  <c r="F228" i="12"/>
  <c r="G228" i="12"/>
  <c r="N228" i="12" s="1"/>
  <c r="N81" i="12"/>
  <c r="N286" i="12"/>
  <c r="E5" i="12"/>
  <c r="F189" i="12"/>
  <c r="G189" i="12"/>
  <c r="F308" i="12"/>
  <c r="G308" i="12"/>
  <c r="N308" i="12" s="1"/>
  <c r="F313" i="12"/>
  <c r="G313" i="12"/>
  <c r="N313" i="12" s="1"/>
  <c r="G185" i="12"/>
  <c r="N185" i="12" s="1"/>
  <c r="F185" i="12"/>
  <c r="G269" i="12"/>
  <c r="F269" i="12"/>
  <c r="F72" i="12"/>
  <c r="G72" i="12"/>
  <c r="N72" i="12" s="1"/>
  <c r="F164" i="12"/>
  <c r="G164" i="12"/>
  <c r="N164" i="12" s="1"/>
  <c r="M15" i="10"/>
  <c r="F232" i="12"/>
  <c r="G232" i="12"/>
  <c r="N232" i="12" s="1"/>
  <c r="M13" i="10"/>
  <c r="I18" i="10"/>
  <c r="D68" i="14"/>
  <c r="J38" i="10" s="1"/>
  <c r="J42" i="10" s="1"/>
  <c r="J53" i="10" s="1"/>
  <c r="J56" i="10" s="1"/>
  <c r="G136" i="12"/>
  <c r="N136" i="12" s="1"/>
  <c r="F136" i="12"/>
  <c r="F105" i="12"/>
  <c r="G105" i="12"/>
  <c r="N105" i="12" s="1"/>
  <c r="I40" i="10"/>
  <c r="M40" i="10" s="1"/>
  <c r="D126" i="14"/>
  <c r="F69" i="12"/>
  <c r="G69" i="12"/>
  <c r="G137" i="12"/>
  <c r="F137" i="12"/>
  <c r="F36" i="12"/>
  <c r="G36" i="12"/>
  <c r="N36" i="12" s="1"/>
  <c r="G117" i="12"/>
  <c r="N117" i="12" s="1"/>
  <c r="F117" i="12"/>
  <c r="F303" i="12"/>
  <c r="G303" i="12"/>
  <c r="N303" i="12" s="1"/>
  <c r="G330" i="12"/>
  <c r="F330" i="12"/>
  <c r="F100" i="12"/>
  <c r="G100" i="12"/>
  <c r="N100" i="12" s="1"/>
  <c r="D40" i="5"/>
  <c r="F40" i="5" s="1"/>
  <c r="H40" i="5" s="1"/>
  <c r="O36" i="2"/>
  <c r="D37" i="12"/>
  <c r="P36" i="2"/>
  <c r="G200" i="12"/>
  <c r="N200" i="12" s="1"/>
  <c r="F200" i="12"/>
  <c r="G149" i="12"/>
  <c r="F149" i="12"/>
  <c r="G236" i="12"/>
  <c r="N236" i="12" s="1"/>
  <c r="F236" i="12"/>
  <c r="F73" i="12"/>
  <c r="G73" i="12"/>
  <c r="N73" i="12" s="1"/>
  <c r="G152" i="12"/>
  <c r="N152" i="12" s="1"/>
  <c r="F152" i="12"/>
  <c r="Q131" i="14"/>
  <c r="G133" i="12"/>
  <c r="N133" i="12" s="1"/>
  <c r="F133" i="12"/>
  <c r="F168" i="12"/>
  <c r="G168" i="12"/>
  <c r="N168" i="12" s="1"/>
  <c r="G24" i="12"/>
  <c r="N24" i="12" s="1"/>
  <c r="F24" i="12"/>
  <c r="F41" i="12"/>
  <c r="G41" i="12"/>
  <c r="G131" i="14"/>
  <c r="J131" i="14"/>
  <c r="M72" i="10"/>
  <c r="M14" i="10"/>
  <c r="O39" i="2"/>
  <c r="P39" i="2"/>
  <c r="D43" i="5"/>
  <c r="F43" i="5" s="1"/>
  <c r="H43" i="5" s="1"/>
  <c r="D40" i="12"/>
  <c r="G56" i="12"/>
  <c r="N56" i="12" s="1"/>
  <c r="F56" i="12"/>
  <c r="F181" i="12"/>
  <c r="G181" i="12"/>
  <c r="F184" i="12"/>
  <c r="G184" i="12"/>
  <c r="N184" i="12" s="1"/>
  <c r="F148" i="12"/>
  <c r="G148" i="12"/>
  <c r="N148" i="12" s="1"/>
  <c r="F52" i="12"/>
  <c r="G52" i="12"/>
  <c r="N52" i="12" s="1"/>
  <c r="F85" i="12"/>
  <c r="G85" i="12"/>
  <c r="G297" i="12"/>
  <c r="F297" i="12"/>
  <c r="G266" i="12"/>
  <c r="F266" i="12"/>
  <c r="F299" i="12"/>
  <c r="G299" i="12"/>
  <c r="AD20" i="1"/>
  <c r="AC6" i="1"/>
  <c r="H10" i="5"/>
  <c r="D108" i="14"/>
  <c r="I39" i="10"/>
  <c r="I88" i="10" s="1"/>
  <c r="K131" i="14"/>
  <c r="F101" i="12"/>
  <c r="G101" i="12"/>
  <c r="N101" i="12" s="1"/>
  <c r="F104" i="12"/>
  <c r="G104" i="12"/>
  <c r="N104" i="12" s="1"/>
  <c r="D19" i="2"/>
  <c r="AA6" i="1"/>
  <c r="D79" i="14"/>
  <c r="K38" i="10" s="1"/>
  <c r="K42" i="10" s="1"/>
  <c r="K53" i="10" s="1"/>
  <c r="K56" i="10" s="1"/>
  <c r="F132" i="12"/>
  <c r="G132" i="12"/>
  <c r="N132" i="12" s="1"/>
  <c r="F165" i="12"/>
  <c r="G165" i="12"/>
  <c r="G204" i="12"/>
  <c r="N204" i="12" s="1"/>
  <c r="F204" i="12"/>
  <c r="F88" i="12"/>
  <c r="G88" i="12"/>
  <c r="N88" i="12" s="1"/>
  <c r="J81" i="10" l="1"/>
  <c r="J86" i="10" s="1"/>
  <c r="K94" i="10"/>
  <c r="K81" i="10"/>
  <c r="K86" i="10" s="1"/>
  <c r="L82" i="10"/>
  <c r="L86" i="10" s="1"/>
  <c r="L90" i="10"/>
  <c r="N299" i="12"/>
  <c r="N315" i="12"/>
  <c r="N87" i="12"/>
  <c r="N259" i="12"/>
  <c r="G63" i="12"/>
  <c r="N63" i="12" s="1"/>
  <c r="F193" i="12"/>
  <c r="N163" i="12"/>
  <c r="G216" i="12"/>
  <c r="N216" i="12" s="1"/>
  <c r="N307" i="12"/>
  <c r="N31" i="12"/>
  <c r="N93" i="12"/>
  <c r="N203" i="12"/>
  <c r="N75" i="12"/>
  <c r="F11" i="5"/>
  <c r="H11" i="5" s="1"/>
  <c r="G7" i="12"/>
  <c r="N7" i="12" s="1"/>
  <c r="F224" i="12"/>
  <c r="N322" i="12"/>
  <c r="N171" i="12"/>
  <c r="N331" i="12"/>
  <c r="N174" i="12"/>
  <c r="N183" i="12"/>
  <c r="G191" i="12"/>
  <c r="N191" i="12" s="1"/>
  <c r="N338" i="12"/>
  <c r="N223" i="12"/>
  <c r="N139" i="12"/>
  <c r="N141" i="12"/>
  <c r="N137" i="12"/>
  <c r="G25" i="12"/>
  <c r="N25" i="12" s="1"/>
  <c r="N226" i="12"/>
  <c r="G176" i="12"/>
  <c r="N176" i="12" s="1"/>
  <c r="F9" i="7"/>
  <c r="F18" i="7" s="1"/>
  <c r="I18" i="7" s="1"/>
  <c r="I44" i="10" s="1"/>
  <c r="N290" i="12"/>
  <c r="N325" i="12"/>
  <c r="N238" i="12"/>
  <c r="N97" i="12"/>
  <c r="N214" i="12"/>
  <c r="N121" i="12"/>
  <c r="F87" i="12"/>
  <c r="G55" i="12"/>
  <c r="N55" i="12" s="1"/>
  <c r="G188" i="12"/>
  <c r="N188" i="12" s="1"/>
  <c r="N106" i="12"/>
  <c r="F95" i="12"/>
  <c r="C18" i="7"/>
  <c r="E85" i="7" s="1"/>
  <c r="N49" i="12"/>
  <c r="N53" i="12"/>
  <c r="N213" i="12"/>
  <c r="N262" i="12"/>
  <c r="N245" i="12"/>
  <c r="F267" i="12"/>
  <c r="N249" i="12"/>
  <c r="N10" i="12"/>
  <c r="N330" i="12"/>
  <c r="N217" i="12"/>
  <c r="N18" i="12"/>
  <c r="N205" i="12"/>
  <c r="I97" i="10"/>
  <c r="G43" i="12"/>
  <c r="N43" i="12" s="1"/>
  <c r="N13" i="12"/>
  <c r="N298" i="12"/>
  <c r="N266" i="12"/>
  <c r="N41" i="12"/>
  <c r="N305" i="12"/>
  <c r="N77" i="12"/>
  <c r="N269" i="12"/>
  <c r="N193" i="12"/>
  <c r="N301" i="12"/>
  <c r="N157" i="12"/>
  <c r="F307" i="12"/>
  <c r="N337" i="12"/>
  <c r="F155" i="12"/>
  <c r="G155" i="12"/>
  <c r="N155" i="12" s="1"/>
  <c r="N26" i="12"/>
  <c r="N294" i="12"/>
  <c r="N221" i="12"/>
  <c r="N14" i="12"/>
  <c r="F28" i="12"/>
  <c r="G192" i="12"/>
  <c r="N192" i="12" s="1"/>
  <c r="N165" i="12"/>
  <c r="N297" i="12"/>
  <c r="N277" i="12"/>
  <c r="N149" i="12"/>
  <c r="N69" i="12"/>
  <c r="N302" i="12"/>
  <c r="F207" i="12"/>
  <c r="G207" i="12"/>
  <c r="N207" i="12" s="1"/>
  <c r="N225" i="12"/>
  <c r="N178" i="12"/>
  <c r="N85" i="12"/>
  <c r="F239" i="12"/>
  <c r="G239" i="12"/>
  <c r="N239" i="12" s="1"/>
  <c r="F167" i="12"/>
  <c r="G167" i="12"/>
  <c r="N167" i="12" s="1"/>
  <c r="F203" i="12"/>
  <c r="N189" i="12"/>
  <c r="N314" i="12"/>
  <c r="N74" i="12"/>
  <c r="F247" i="12"/>
  <c r="G247" i="12"/>
  <c r="N247" i="12" s="1"/>
  <c r="N181" i="12"/>
  <c r="N197" i="12"/>
  <c r="N274" i="12"/>
  <c r="L5" i="12"/>
  <c r="N281" i="12"/>
  <c r="N58" i="12"/>
  <c r="K5" i="12"/>
  <c r="F97" i="7"/>
  <c r="F96" i="7" s="1"/>
  <c r="J48" i="10"/>
  <c r="J50" i="10" s="1"/>
  <c r="J60" i="10" s="1"/>
  <c r="J62" i="10" s="1"/>
  <c r="J44" i="10"/>
  <c r="J46" i="10" s="1"/>
  <c r="E118" i="7"/>
  <c r="F119" i="7" s="1"/>
  <c r="F118" i="7"/>
  <c r="E119" i="7" s="1"/>
  <c r="J106" i="10"/>
  <c r="J108" i="10" s="1"/>
  <c r="I81" i="10"/>
  <c r="M88" i="10"/>
  <c r="I90" i="10"/>
  <c r="D23" i="5"/>
  <c r="D8" i="5" s="1"/>
  <c r="P19" i="2"/>
  <c r="D20" i="12"/>
  <c r="O19" i="2"/>
  <c r="D4" i="2"/>
  <c r="D340" i="2" s="1"/>
  <c r="D342" i="2" s="1"/>
  <c r="E18" i="2"/>
  <c r="AD6" i="1"/>
  <c r="G40" i="12"/>
  <c r="N40" i="12" s="1"/>
  <c r="F40" i="12"/>
  <c r="D131" i="14"/>
  <c r="I92" i="10"/>
  <c r="M39" i="10"/>
  <c r="I42" i="10"/>
  <c r="I53" i="10" s="1"/>
  <c r="F37" i="12"/>
  <c r="G37" i="12"/>
  <c r="N37" i="12" s="1"/>
  <c r="M38" i="10"/>
  <c r="E116" i="7" l="1"/>
  <c r="F117" i="7" s="1"/>
  <c r="F26" i="7"/>
  <c r="E110" i="7"/>
  <c r="F116" i="7"/>
  <c r="E117" i="7" s="1"/>
  <c r="I26" i="7"/>
  <c r="E121" i="7" s="1"/>
  <c r="F120" i="7" s="1"/>
  <c r="F110" i="7"/>
  <c r="I106" i="10"/>
  <c r="M106" i="10" s="1"/>
  <c r="C26" i="7"/>
  <c r="I59" i="10"/>
  <c r="M59" i="10" s="1"/>
  <c r="E86" i="7"/>
  <c r="F95" i="7" s="1"/>
  <c r="F94" i="7" s="1"/>
  <c r="M97" i="10"/>
  <c r="I99" i="10"/>
  <c r="F102" i="7"/>
  <c r="E103" i="7" s="1"/>
  <c r="J101" i="10" s="1"/>
  <c r="J103" i="10" s="1"/>
  <c r="M44" i="10"/>
  <c r="I46" i="10"/>
  <c r="I94" i="10"/>
  <c r="I82" i="10"/>
  <c r="M82" i="10" s="1"/>
  <c r="M92" i="10"/>
  <c r="F23" i="5"/>
  <c r="H23" i="5" s="1"/>
  <c r="M53" i="10"/>
  <c r="I56" i="10"/>
  <c r="E22" i="5"/>
  <c r="O18" i="2"/>
  <c r="O4" i="2" s="1"/>
  <c r="E4" i="2"/>
  <c r="D19" i="12"/>
  <c r="P18" i="2"/>
  <c r="P4" i="2" s="1"/>
  <c r="G20" i="12"/>
  <c r="N20" i="12" s="1"/>
  <c r="F20" i="12"/>
  <c r="M81" i="10"/>
  <c r="I86" i="10" l="1"/>
  <c r="I108" i="10"/>
  <c r="F121" i="7"/>
  <c r="E120" i="7" s="1"/>
  <c r="E124" i="7" s="1"/>
  <c r="I48" i="10"/>
  <c r="M48" i="10" s="1"/>
  <c r="F93" i="7"/>
  <c r="F92" i="7" s="1"/>
  <c r="E8" i="5"/>
  <c r="F22" i="5"/>
  <c r="F19" i="12"/>
  <c r="F5" i="12" s="1"/>
  <c r="G19" i="12"/>
  <c r="D5" i="12"/>
  <c r="F124" i="7" l="1"/>
  <c r="I50" i="10"/>
  <c r="I60" i="10" s="1"/>
  <c r="I62" i="10" s="1"/>
  <c r="F100" i="7"/>
  <c r="E101" i="7" s="1"/>
  <c r="I101" i="10" s="1"/>
  <c r="M101" i="10" s="1"/>
  <c r="N19" i="12"/>
  <c r="N5" i="12" s="1"/>
  <c r="G5" i="12"/>
  <c r="H22" i="5"/>
  <c r="H8" i="5" s="1"/>
  <c r="F8" i="5"/>
  <c r="I103" i="10" l="1"/>
  <c r="M60" i="10"/>
  <c r="E114" i="7"/>
  <c r="F114" i="7"/>
</calcChain>
</file>

<file path=xl/comments1.xml><?xml version="1.0" encoding="utf-8"?>
<comments xmlns="http://schemas.openxmlformats.org/spreadsheetml/2006/main">
  <authors>
    <author>colleenl</author>
  </authors>
  <commentList>
    <comment ref="B50" authorId="0">
      <text>
        <r>
          <rPr>
            <b/>
            <sz val="10"/>
            <color indexed="81"/>
            <rFont val="Tahoma"/>
            <family val="2"/>
          </rPr>
          <t>colleenl:</t>
        </r>
        <r>
          <rPr>
            <sz val="10"/>
            <color indexed="81"/>
            <rFont val="Tahoma"/>
            <family val="2"/>
          </rPr>
          <t xml:space="preserve">
Account will have debit balance if current year shift exceeds May-July tax receipts.
Otherwise, zero.</t>
        </r>
      </text>
    </comment>
    <comment ref="B99" authorId="0">
      <text>
        <r>
          <rPr>
            <b/>
            <sz val="10"/>
            <color indexed="81"/>
            <rFont val="Tahoma"/>
            <family val="2"/>
          </rPr>
          <t xml:space="preserve">colleenl:
</t>
        </r>
        <r>
          <rPr>
            <sz val="10"/>
            <color indexed="81"/>
            <rFont val="Tahoma"/>
            <family val="2"/>
          </rPr>
          <t>Credit</t>
        </r>
        <r>
          <rPr>
            <sz val="10"/>
            <color indexed="81"/>
            <rFont val="Tahoma"/>
            <family val="2"/>
          </rPr>
          <t xml:space="preserve"> balance when state aids are reduced because of shift.
Debit balance when state aids are repaid because shift is reduced.
Zero when shift percentage is zero in both years.
Account 020+299=0</t>
        </r>
      </text>
    </comment>
    <comment ref="B108" authorId="0">
      <text>
        <r>
          <rPr>
            <b/>
            <sz val="10"/>
            <color indexed="81"/>
            <rFont val="Tahoma"/>
            <family val="2"/>
          </rPr>
          <t xml:space="preserve">colleenl:
</t>
        </r>
        <r>
          <rPr>
            <sz val="10"/>
            <color indexed="81"/>
            <rFont val="Tahoma"/>
            <family val="2"/>
          </rPr>
          <t>D</t>
        </r>
        <r>
          <rPr>
            <sz val="10"/>
            <color indexed="81"/>
            <rFont val="Tahoma"/>
            <family val="2"/>
          </rPr>
          <t>ebit balance when state aids are reduced because of shift.
Credit balance when state aids are repaid because shift is reduced.
Zero when shift percentage is zero in both years.
Account 020+299=0</t>
        </r>
      </text>
    </comment>
  </commentList>
</comments>
</file>

<file path=xl/comments2.xml><?xml version="1.0" encoding="utf-8"?>
<comments xmlns="http://schemas.openxmlformats.org/spreadsheetml/2006/main">
  <authors>
    <author>colleenl</author>
    <author>Leemon, Colleen</author>
  </authors>
  <commentList>
    <comment ref="D4" authorId="0">
      <text>
        <r>
          <rPr>
            <b/>
            <sz val="10"/>
            <color indexed="81"/>
            <rFont val="Tahoma"/>
            <family val="2"/>
          </rPr>
          <t>colleenl:</t>
        </r>
        <r>
          <rPr>
            <sz val="10"/>
            <color indexed="81"/>
            <rFont val="Tahoma"/>
            <family val="2"/>
          </rPr>
          <t xml:space="preserve">
From Revenue plus taconite credits
</t>
        </r>
      </text>
    </comment>
    <comment ref="E4" authorId="1">
      <text>
        <r>
          <rPr>
            <b/>
            <sz val="8"/>
            <color indexed="81"/>
            <rFont val="Tahoma"/>
            <family val="2"/>
          </rPr>
          <t>Leemon, Colleen:</t>
        </r>
        <r>
          <rPr>
            <sz val="8"/>
            <color indexed="81"/>
            <rFont val="Tahoma"/>
            <family val="2"/>
          </rPr>
          <t xml:space="preserve">
Total prelimary credits from Revenue plus taconite credits from counties.
</t>
        </r>
      </text>
    </comment>
  </commentList>
</comments>
</file>

<file path=xl/comments3.xml><?xml version="1.0" encoding="utf-8"?>
<comments xmlns="http://schemas.openxmlformats.org/spreadsheetml/2006/main">
  <authors>
    <author>colleenl</author>
    <author>Leemon, Colleen</author>
  </authors>
  <commentList>
    <comment ref="N2" authorId="0">
      <text>
        <r>
          <rPr>
            <b/>
            <sz val="8"/>
            <color indexed="81"/>
            <rFont val="Arial"/>
            <family val="2"/>
          </rPr>
          <t xml:space="preserve">colleenl:
</t>
        </r>
        <r>
          <rPr>
            <sz val="8"/>
            <color indexed="81"/>
            <rFont val="Arial"/>
            <family val="2"/>
          </rPr>
          <t>Amounts in this column are used as May-June 2014 tax receipts for metering of Ideas payments.  Also used as estimate of May-June 2015 tax receipts if no change in tax shift.</t>
        </r>
      </text>
    </comment>
    <comment ref="Q3" authorId="1">
      <text>
        <r>
          <rPr>
            <b/>
            <sz val="8"/>
            <color indexed="81"/>
            <rFont val="Arial"/>
            <family val="2"/>
          </rPr>
          <t>colleenl:</t>
        </r>
        <r>
          <rPr>
            <sz val="8"/>
            <color indexed="81"/>
            <rFont val="Arial"/>
            <family val="2"/>
          </rPr>
          <t xml:space="preserve">
Amounts in this column are used for FY 2012 total tax receipts for Ideas, prior to adjusting for tax shift.</t>
        </r>
      </text>
    </comment>
  </commentList>
</comments>
</file>

<file path=xl/connections.xml><?xml version="1.0" encoding="utf-8"?>
<connections xmlns="http://schemas.openxmlformats.org/spreadsheetml/2006/main">
  <connection id="1" name="Connection" type="1" refreshedVersion="4" background="1" saveData="1">
    <dbPr connection="Description=Databridge;DRIVER=SQL Server;SERVER=edu-sql2008datb;UID=databridge_ro;Trusted_Connection=Yes;APP=Microsoft Data Access Components;WSID=PFD5BBYM11;DATABASE=DataBridge;Network=DBMSSOCN" command="SELECT generalledger2.dat_yer, generalledger2.dst_num, generalledger2.dst_tye, generalledger2.gen_lgr_num, generalledger2.fun_num, generalledger2.end_bal_amt_x000d__x000a_FROM DataBridge.databridge_app_user.generalledger2 generalledger2_x000d__x000a_WHERE (generalledger2.dat_yer='12-13') AND (generalledger2.gen_lgr_num=$2.14) AND (generalledger2.fun_num=1)_x000d__x000a_ORDER BY generalledger2.dst_num, generalledger2.dst_tye, generalledger2.fun_num"/>
  </connection>
  <connection id="2" name="Connection1" type="1" refreshedVersion="4" background="1" saveData="1">
    <dbPr connection="Description=Databridge;DRIVER=SQL Server;SERVER=edu-sql2008datb;UID=JaCarlson;Trusted_Connection=Yes;APP=Microsoft Data Access Components;WSID=PFD5BBYM11;DATABASE=DataBridge" command="SELECT generalledger2.dat_yer, generalledger2.dst_num, generalledger2.dst_tye, generalledger2.gen_lgr_num, generalledger2.fun_num, generalledger2.end_bal_amt_x000d__x000a_FROM DataBridge.databridge_app_user.generalledger2 generalledger2_x000d__x000a_WHERE (generalledger2.dat_yer='12-13') AND (generalledger2.gen_lgr_num=$2.14) AND (generalledger2.fun_num=4)_x000d__x000a_ORDER BY generalledger2.dst_num, generalledger2.dst_tye"/>
  </connection>
</connections>
</file>

<file path=xl/sharedStrings.xml><?xml version="1.0" encoding="utf-8"?>
<sst xmlns="http://schemas.openxmlformats.org/spreadsheetml/2006/main" count="6636" uniqueCount="1247">
  <si>
    <t>This section shows how to determine the balance to be reflected in each account at year-end after all tax entries (including the property tax shift entries) have been made.  Balance sheet accounts are listed first and then revenue source codes.  Also shown is the source document where the data for each step of the reconcilation can be obtained.</t>
  </si>
  <si>
    <t>(adjustment to balance GNL 214 account with SRC 211)</t>
  </si>
  <si>
    <t>See comments by accounts GNL 214 and SRC 020 and 299</t>
  </si>
  <si>
    <t>OPEB</t>
  </si>
  <si>
    <r>
      <t>Note:</t>
    </r>
    <r>
      <rPr>
        <sz val="8"/>
        <color indexed="10"/>
        <rFont val="Arial"/>
        <family val="2"/>
      </rPr>
      <t xml:space="preserve">  District should override when actual data is available</t>
    </r>
  </si>
  <si>
    <t xml:space="preserve">AITKIN          </t>
  </si>
  <si>
    <t xml:space="preserve">MINNEAPOLIS     </t>
  </si>
  <si>
    <t xml:space="preserve">HILL CITY       </t>
  </si>
  <si>
    <t xml:space="preserve">MCGREGOR        </t>
  </si>
  <si>
    <t xml:space="preserve">SOUTH ST. PAUL  </t>
  </si>
  <si>
    <t xml:space="preserve">ANOKA-HENNEPIN  </t>
  </si>
  <si>
    <t xml:space="preserve">CENTENNIAL      </t>
  </si>
  <si>
    <t>COLUMBIA HEIGHTS</t>
  </si>
  <si>
    <t xml:space="preserve">FRIDLEY         </t>
  </si>
  <si>
    <t xml:space="preserve">ST. FRANCIS     </t>
  </si>
  <si>
    <t>SPRING LAKE PARK</t>
  </si>
  <si>
    <t xml:space="preserve">DETROIT LAKES   </t>
  </si>
  <si>
    <t xml:space="preserve">FRAZEE-VERGAS   </t>
  </si>
  <si>
    <t xml:space="preserve">BEMIDJI         </t>
  </si>
  <si>
    <t xml:space="preserve">BLACKDUCK       </t>
  </si>
  <si>
    <t xml:space="preserve">KELLIHER        </t>
  </si>
  <si>
    <t xml:space="preserve">RED LAKE        </t>
  </si>
  <si>
    <t xml:space="preserve">SAUK RAPIDS     </t>
  </si>
  <si>
    <t xml:space="preserve">FOLEY           </t>
  </si>
  <si>
    <t xml:space="preserve">ST. CLAIR       </t>
  </si>
  <si>
    <t xml:space="preserve">MANKATO         </t>
  </si>
  <si>
    <t xml:space="preserve">COMFREY         </t>
  </si>
  <si>
    <t xml:space="preserve">SLEEPY EYE      </t>
  </si>
  <si>
    <t xml:space="preserve">SPRINGFIELD     </t>
  </si>
  <si>
    <t xml:space="preserve">NEW ULM         </t>
  </si>
  <si>
    <t xml:space="preserve">BARNUM          </t>
  </si>
  <si>
    <t xml:space="preserve">CARLTON         </t>
  </si>
  <si>
    <t xml:space="preserve">CLOQUET         </t>
  </si>
  <si>
    <t xml:space="preserve">CROMWELL-WRIGHT </t>
  </si>
  <si>
    <t xml:space="preserve">MOOSE LAKE      </t>
  </si>
  <si>
    <t xml:space="preserve">ESKO            </t>
  </si>
  <si>
    <t xml:space="preserve">WRENSHALL       </t>
  </si>
  <si>
    <t xml:space="preserve">NORWOOD         </t>
  </si>
  <si>
    <t xml:space="preserve">WACONIA         </t>
  </si>
  <si>
    <t xml:space="preserve">WATERTOWN-MAYER </t>
  </si>
  <si>
    <t xml:space="preserve">CHASKA          </t>
  </si>
  <si>
    <t>WALKER-HACKENSAC</t>
  </si>
  <si>
    <t>CASS LAKE-BENA S</t>
  </si>
  <si>
    <t xml:space="preserve">PILLAGER        </t>
  </si>
  <si>
    <t>NORTHLAND COMMUN</t>
  </si>
  <si>
    <t xml:space="preserve">MONTEVIDEO      </t>
  </si>
  <si>
    <t xml:space="preserve">NORTH BRANCH    </t>
  </si>
  <si>
    <t xml:space="preserve">RUSH CITY       </t>
  </si>
  <si>
    <t xml:space="preserve">BARNESVILLE     </t>
  </si>
  <si>
    <t xml:space="preserve">HAWLEY          </t>
  </si>
  <si>
    <t xml:space="preserve">MOORHEAD        </t>
  </si>
  <si>
    <t xml:space="preserve">BAGLEY          </t>
  </si>
  <si>
    <t xml:space="preserve">COOK COUNTY     </t>
  </si>
  <si>
    <t xml:space="preserve">MOUNTAIN LAKE   </t>
  </si>
  <si>
    <t xml:space="preserve">WINDOM          </t>
  </si>
  <si>
    <t xml:space="preserve">BRAINERD        </t>
  </si>
  <si>
    <t xml:space="preserve">CROSBY-IRONTON  </t>
  </si>
  <si>
    <t xml:space="preserve">PEQUOT LAKES    </t>
  </si>
  <si>
    <t xml:space="preserve">BURNSVILLE      </t>
  </si>
  <si>
    <t xml:space="preserve">FARMINGTON      </t>
  </si>
  <si>
    <t xml:space="preserve">LAKEVILLE       </t>
  </si>
  <si>
    <t xml:space="preserve">RANDOLPH        </t>
  </si>
  <si>
    <t xml:space="preserve">ROSEMOUNT-APPLE </t>
  </si>
  <si>
    <t>WEST ST. PAUL-ME</t>
  </si>
  <si>
    <t>INVER GROVE HEIG</t>
  </si>
  <si>
    <t xml:space="preserve">HASTINGS        </t>
  </si>
  <si>
    <t xml:space="preserve">HAYFIELD        </t>
  </si>
  <si>
    <t>KASSON-MANTORVIL</t>
  </si>
  <si>
    <t xml:space="preserve">ALEXANDRIA      </t>
  </si>
  <si>
    <t xml:space="preserve">BRANDON         </t>
  </si>
  <si>
    <t xml:space="preserve">EVANSVILLE      </t>
  </si>
  <si>
    <t xml:space="preserve">OSAKIS          </t>
  </si>
  <si>
    <t xml:space="preserve">CHATFIELD       </t>
  </si>
  <si>
    <t xml:space="preserve">LANESBORO       </t>
  </si>
  <si>
    <t xml:space="preserve">MABEL-CANTON    </t>
  </si>
  <si>
    <t>RUSHFORD-PETERSO</t>
  </si>
  <si>
    <t xml:space="preserve">ALBERT LEA      </t>
  </si>
  <si>
    <t xml:space="preserve">ALDEN           </t>
  </si>
  <si>
    <t xml:space="preserve">CANNON FALLS    </t>
  </si>
  <si>
    <t xml:space="preserve">GOODHUE         </t>
  </si>
  <si>
    <t xml:space="preserve">PINE ISLAND     </t>
  </si>
  <si>
    <t xml:space="preserve">RED WING        </t>
  </si>
  <si>
    <t xml:space="preserve">ASHBY           </t>
  </si>
  <si>
    <t xml:space="preserve">HERMAN-NORCROSS </t>
  </si>
  <si>
    <t xml:space="preserve">HOPKINS         </t>
  </si>
  <si>
    <t xml:space="preserve">BLOOMINGTON     </t>
  </si>
  <si>
    <t xml:space="preserve">EDEN PRAIRIE    </t>
  </si>
  <si>
    <t xml:space="preserve">EDINA           </t>
  </si>
  <si>
    <t xml:space="preserve">MINNETONKA      </t>
  </si>
  <si>
    <t xml:space="preserve">WESTONKA        </t>
  </si>
  <si>
    <t xml:space="preserve">ORONO           </t>
  </si>
  <si>
    <t xml:space="preserve">OSSEO           </t>
  </si>
  <si>
    <t xml:space="preserve">RICHFIELD       </t>
  </si>
  <si>
    <t xml:space="preserve">ROBBINSDALE     </t>
  </si>
  <si>
    <t xml:space="preserve">ST. ANTHONY-NEW </t>
  </si>
  <si>
    <t xml:space="preserve">ST. LOUIS PARK  </t>
  </si>
  <si>
    <t xml:space="preserve">WAYZATA         </t>
  </si>
  <si>
    <t xml:space="preserve">BROOKLYN CENTER </t>
  </si>
  <si>
    <t xml:space="preserve">HOUSTON         </t>
  </si>
  <si>
    <t xml:space="preserve">SPRING GROVE    </t>
  </si>
  <si>
    <t xml:space="preserve">CALEDONIA       </t>
  </si>
  <si>
    <t>LACRESCENT-HOKAH</t>
  </si>
  <si>
    <t xml:space="preserve">LAPORTE         </t>
  </si>
  <si>
    <t xml:space="preserve">NEVIS           </t>
  </si>
  <si>
    <t xml:space="preserve">PARK RAPIDS     </t>
  </si>
  <si>
    <t xml:space="preserve">BRAHAM          </t>
  </si>
  <si>
    <t xml:space="preserve">GREENWAY        </t>
  </si>
  <si>
    <t xml:space="preserve">DEER RIVER      </t>
  </si>
  <si>
    <t xml:space="preserve">GRAND RAPIDS    </t>
  </si>
  <si>
    <t>NASHWAUK-KEEWATI</t>
  </si>
  <si>
    <t xml:space="preserve">FRANCONIA       </t>
  </si>
  <si>
    <t>HERON LAKE-OKABE</t>
  </si>
  <si>
    <t xml:space="preserve">MORA            </t>
  </si>
  <si>
    <t xml:space="preserve">OGILVIE         </t>
  </si>
  <si>
    <t>NEW LONDON-SPICE</t>
  </si>
  <si>
    <t xml:space="preserve">WILLMAR         </t>
  </si>
  <si>
    <t xml:space="preserve">LANCASTER       </t>
  </si>
  <si>
    <t>INTERNATIONAL FA</t>
  </si>
  <si>
    <t>LITTLEFORK-BIG F</t>
  </si>
  <si>
    <t>SOUTH KOOCHICHIN</t>
  </si>
  <si>
    <t xml:space="preserve">DAWSON-BOYD     </t>
  </si>
  <si>
    <t xml:space="preserve">LAKE SUPERIOR   </t>
  </si>
  <si>
    <t>LAKE OF THE WOOD</t>
  </si>
  <si>
    <t>CLEVELAND PUBLIC</t>
  </si>
  <si>
    <t xml:space="preserve">HENDRICKS       </t>
  </si>
  <si>
    <t xml:space="preserve">IVANHOE         </t>
  </si>
  <si>
    <t xml:space="preserve">LAKE BENTON     </t>
  </si>
  <si>
    <t xml:space="preserve">MARSHALL        </t>
  </si>
  <si>
    <t xml:space="preserve">MINNEOTA        </t>
  </si>
  <si>
    <t xml:space="preserve">LYND            </t>
  </si>
  <si>
    <t xml:space="preserve">HUTCHINSON      </t>
  </si>
  <si>
    <t xml:space="preserve">LESTER PRAIRIE  </t>
  </si>
  <si>
    <t xml:space="preserve">MAHNOMEN        </t>
  </si>
  <si>
    <t xml:space="preserve">WAUBUN          </t>
  </si>
  <si>
    <t xml:space="preserve">MARSHALL COUNTY </t>
  </si>
  <si>
    <t xml:space="preserve">GRYGLA          </t>
  </si>
  <si>
    <t xml:space="preserve">TRUMAN          </t>
  </si>
  <si>
    <t>EDEN VALLEY-WATK</t>
  </si>
  <si>
    <t xml:space="preserve">LITCHFIELD      </t>
  </si>
  <si>
    <t xml:space="preserve">DASSEL-COKATO   </t>
  </si>
  <si>
    <t xml:space="preserve">ISLE            </t>
  </si>
  <si>
    <t xml:space="preserve">PRINCETON       </t>
  </si>
  <si>
    <t xml:space="preserve">ONAMIA          </t>
  </si>
  <si>
    <t xml:space="preserve">LITTLE FALLS    </t>
  </si>
  <si>
    <t xml:space="preserve">PIERZ           </t>
  </si>
  <si>
    <t xml:space="preserve">ROYALTON        </t>
  </si>
  <si>
    <t xml:space="preserve">SWANVILLE       </t>
  </si>
  <si>
    <t xml:space="preserve">UPSALA          </t>
  </si>
  <si>
    <t xml:space="preserve">AUSTIN          </t>
  </si>
  <si>
    <t xml:space="preserve">GRAND MEADOW    </t>
  </si>
  <si>
    <t xml:space="preserve">LYLE            </t>
  </si>
  <si>
    <t xml:space="preserve">LEROY           </t>
  </si>
  <si>
    <t xml:space="preserve">SOUTHLAND       </t>
  </si>
  <si>
    <t xml:space="preserve">FULDA           </t>
  </si>
  <si>
    <t xml:space="preserve">NICOLLET        </t>
  </si>
  <si>
    <t xml:space="preserve">ST. PETER       </t>
  </si>
  <si>
    <t xml:space="preserve">ADRIAN          </t>
  </si>
  <si>
    <t xml:space="preserve">BREWSTER        </t>
  </si>
  <si>
    <t xml:space="preserve">ELLSWORTH       </t>
  </si>
  <si>
    <t xml:space="preserve">ROUND LAKE      </t>
  </si>
  <si>
    <t xml:space="preserve">WORTHINGTON     </t>
  </si>
  <si>
    <t xml:space="preserve">BYRON           </t>
  </si>
  <si>
    <t xml:space="preserve">DOVER-EYOTA     </t>
  </si>
  <si>
    <t xml:space="preserve">STEWARTVILLE    </t>
  </si>
  <si>
    <t xml:space="preserve">ROCHESTER       </t>
  </si>
  <si>
    <t xml:space="preserve">BATTLE LAKE     </t>
  </si>
  <si>
    <t xml:space="preserve">FERGUS FALLS    </t>
  </si>
  <si>
    <t xml:space="preserve">HENNING         </t>
  </si>
  <si>
    <t xml:space="preserve">PARKERS PRAIRIE </t>
  </si>
  <si>
    <t xml:space="preserve">PELICAN RAPIDS  </t>
  </si>
  <si>
    <t xml:space="preserve">PERHAM          </t>
  </si>
  <si>
    <t xml:space="preserve">UNDERWOOD       </t>
  </si>
  <si>
    <t xml:space="preserve">NEW YORK MILLS  </t>
  </si>
  <si>
    <t xml:space="preserve">GOODRIDGE       </t>
  </si>
  <si>
    <t>THIEF RIVER FALL</t>
  </si>
  <si>
    <t xml:space="preserve">WILLOW RIVER    </t>
  </si>
  <si>
    <t xml:space="preserve">PINE CITY       </t>
  </si>
  <si>
    <t xml:space="preserve">EDGERTON        </t>
  </si>
  <si>
    <t xml:space="preserve">CLIMAX          </t>
  </si>
  <si>
    <t xml:space="preserve">CROOKSTON       </t>
  </si>
  <si>
    <t>EAST GRAND FORKS</t>
  </si>
  <si>
    <t>FERTILE-BELTRAMI</t>
  </si>
  <si>
    <t xml:space="preserve">FISHER          </t>
  </si>
  <si>
    <t xml:space="preserve">FOSSTON         </t>
  </si>
  <si>
    <t xml:space="preserve">CYRUS           </t>
  </si>
  <si>
    <t xml:space="preserve">MOUNDS VIEW     </t>
  </si>
  <si>
    <t>NORTH ST PAUL-MA</t>
  </si>
  <si>
    <t xml:space="preserve">ROSEVILLE       </t>
  </si>
  <si>
    <t xml:space="preserve">WHITE BEAR LAKE </t>
  </si>
  <si>
    <t xml:space="preserve">ST. PAUL        </t>
  </si>
  <si>
    <t xml:space="preserve">OKLEE           </t>
  </si>
  <si>
    <t xml:space="preserve">PLUMMER         </t>
  </si>
  <si>
    <t xml:space="preserve">RED LAKE FALLS  </t>
  </si>
  <si>
    <t xml:space="preserve">MILROY          </t>
  </si>
  <si>
    <t xml:space="preserve">WABASSO         </t>
  </si>
  <si>
    <t xml:space="preserve">FARIBAULT       </t>
  </si>
  <si>
    <t xml:space="preserve">NORTHFIELD      </t>
  </si>
  <si>
    <t>HILLS-BEAVER CRE</t>
  </si>
  <si>
    <t xml:space="preserve">BADGER          </t>
  </si>
  <si>
    <t xml:space="preserve">ROSEAU          </t>
  </si>
  <si>
    <t xml:space="preserve">WARROAD         </t>
  </si>
  <si>
    <t xml:space="preserve">CHISHOLM        </t>
  </si>
  <si>
    <t xml:space="preserve">ELY             </t>
  </si>
  <si>
    <t xml:space="preserve">FLOODWOOD       </t>
  </si>
  <si>
    <t xml:space="preserve">HERMANTOWN      </t>
  </si>
  <si>
    <t xml:space="preserve">HIBBING         </t>
  </si>
  <si>
    <t xml:space="preserve">PROCTOR         </t>
  </si>
  <si>
    <t xml:space="preserve">VIRGINIA        </t>
  </si>
  <si>
    <t xml:space="preserve">NETT LAKE       </t>
  </si>
  <si>
    <t xml:space="preserve">DULUTH          </t>
  </si>
  <si>
    <t>MOUNTAIN IRON-BU</t>
  </si>
  <si>
    <t xml:space="preserve">BELLE PLAINE    </t>
  </si>
  <si>
    <t xml:space="preserve">JORDAN          </t>
  </si>
  <si>
    <t xml:space="preserve">SHAKOPEE        </t>
  </si>
  <si>
    <t xml:space="preserve">NEW PRAGUE AREA </t>
  </si>
  <si>
    <t xml:space="preserve">BECKER          </t>
  </si>
  <si>
    <t xml:space="preserve">BIG LAKE        </t>
  </si>
  <si>
    <t xml:space="preserve">ELK RIVER       </t>
  </si>
  <si>
    <t xml:space="preserve">HOLDINGFORD     </t>
  </si>
  <si>
    <t xml:space="preserve">KIMBALL         </t>
  </si>
  <si>
    <t xml:space="preserve">MELROSE         </t>
  </si>
  <si>
    <t xml:space="preserve">PAYNESVILLE     </t>
  </si>
  <si>
    <t xml:space="preserve">ST. CLOUD       </t>
  </si>
  <si>
    <t xml:space="preserve">SAUK CENTRE     </t>
  </si>
  <si>
    <t xml:space="preserve">ALBANY          </t>
  </si>
  <si>
    <t xml:space="preserve">SARTELL         </t>
  </si>
  <si>
    <t xml:space="preserve">ROCORI          </t>
  </si>
  <si>
    <t>BLOOMING PRAIRIE</t>
  </si>
  <si>
    <t xml:space="preserve">OWATONNA        </t>
  </si>
  <si>
    <t xml:space="preserve">MEDFORD         </t>
  </si>
  <si>
    <t xml:space="preserve">HANCOCK         </t>
  </si>
  <si>
    <t xml:space="preserve">MORRIS          </t>
  </si>
  <si>
    <t xml:space="preserve">CHOKIO-ALBERTA  </t>
  </si>
  <si>
    <t>KERKHOVEN-MURDOC</t>
  </si>
  <si>
    <t xml:space="preserve">BENSON          </t>
  </si>
  <si>
    <t xml:space="preserve">BERTHA-HEWITT   </t>
  </si>
  <si>
    <t xml:space="preserve">BROWERVILLE     </t>
  </si>
  <si>
    <t xml:space="preserve">BROWNS VALLEY   </t>
  </si>
  <si>
    <t>WHEATON AREA SCH</t>
  </si>
  <si>
    <t xml:space="preserve">WABASHA-KELLOGG </t>
  </si>
  <si>
    <t xml:space="preserve">LAKE CITY       </t>
  </si>
  <si>
    <t xml:space="preserve">PRINSBURG       </t>
  </si>
  <si>
    <t xml:space="preserve">VERNDALE        </t>
  </si>
  <si>
    <t xml:space="preserve">SEBEKA          </t>
  </si>
  <si>
    <t xml:space="preserve">MENAHGA         </t>
  </si>
  <si>
    <t xml:space="preserve">WASECA          </t>
  </si>
  <si>
    <t xml:space="preserve">FOREST LAKE     </t>
  </si>
  <si>
    <t xml:space="preserve">MAHTOMEDI       </t>
  </si>
  <si>
    <t>SOUTH WASHINGTON</t>
  </si>
  <si>
    <t xml:space="preserve">STILLWATER      </t>
  </si>
  <si>
    <t xml:space="preserve">BUTTERFIELD     </t>
  </si>
  <si>
    <t xml:space="preserve">MADELIA         </t>
  </si>
  <si>
    <t xml:space="preserve">ST. JAMES       </t>
  </si>
  <si>
    <t xml:space="preserve">BRECKENRIDGE    </t>
  </si>
  <si>
    <t xml:space="preserve">ROTHSAY         </t>
  </si>
  <si>
    <t xml:space="preserve">CAMPBELL-TINTAH </t>
  </si>
  <si>
    <t xml:space="preserve">LEWISTON-ALTURA </t>
  </si>
  <si>
    <t xml:space="preserve">ST. CHARLES     </t>
  </si>
  <si>
    <t>WINONA AREA PUBL</t>
  </si>
  <si>
    <t xml:space="preserve">ANNANDALE       </t>
  </si>
  <si>
    <t xml:space="preserve">BUFFALO         </t>
  </si>
  <si>
    <t xml:space="preserve">DELANO          </t>
  </si>
  <si>
    <t xml:space="preserve">MAPLE LAKE      </t>
  </si>
  <si>
    <t xml:space="preserve">MONTICELLO      </t>
  </si>
  <si>
    <t xml:space="preserve">ROCKFORD        </t>
  </si>
  <si>
    <t>ST. MICHAEL-ALBE</t>
  </si>
  <si>
    <t xml:space="preserve">CANBY           </t>
  </si>
  <si>
    <t>CAMBRIDGE-ISANTI</t>
  </si>
  <si>
    <t xml:space="preserve">MILACA          </t>
  </si>
  <si>
    <t xml:space="preserve">ULEN-HITTERDAL  </t>
  </si>
  <si>
    <t>LAKE CRYSTAL-WEL</t>
  </si>
  <si>
    <t xml:space="preserve">TRITON          </t>
  </si>
  <si>
    <t>UNITED SOUTH CEN</t>
  </si>
  <si>
    <t xml:space="preserve">MAPLE RIVER     </t>
  </si>
  <si>
    <t xml:space="preserve">KINGSLAND       </t>
  </si>
  <si>
    <t>ST. LOUIS COUNTY</t>
  </si>
  <si>
    <t>WATERVILLE-ELYSI</t>
  </si>
  <si>
    <t xml:space="preserve">CHISAGO LAKES   </t>
  </si>
  <si>
    <t xml:space="preserve">MINNEWASKA      </t>
  </si>
  <si>
    <t xml:space="preserve">EVELETH-GILBERT </t>
  </si>
  <si>
    <t>WADENA-DEER CREE</t>
  </si>
  <si>
    <t>BUFFALO LAKE-HEC</t>
  </si>
  <si>
    <t>DILWORTH-GLYNDON</t>
  </si>
  <si>
    <t>HINCKLEY-FINLAYS</t>
  </si>
  <si>
    <t xml:space="preserve">LAKEVIEW        </t>
  </si>
  <si>
    <t xml:space="preserve">N.R.H.E.G.      </t>
  </si>
  <si>
    <t>MURRAY COUNTY CE</t>
  </si>
  <si>
    <t xml:space="preserve">STAPLES-MOTLEY  </t>
  </si>
  <si>
    <t xml:space="preserve">KITTSON CENTRAL </t>
  </si>
  <si>
    <t>KENYON-WANAMINGO</t>
  </si>
  <si>
    <t>PINE RIVER-BACKU</t>
  </si>
  <si>
    <t>WARREN-ALVARADO-</t>
  </si>
  <si>
    <t xml:space="preserve">M.A.C.C.R.A.Y.  </t>
  </si>
  <si>
    <t xml:space="preserve">LUVERNE         </t>
  </si>
  <si>
    <t xml:space="preserve">YELLOW MEDICINE </t>
  </si>
  <si>
    <t>FILLMORE CENTRAL</t>
  </si>
  <si>
    <t>NORMAN COUNTY EA</t>
  </si>
  <si>
    <t xml:space="preserve">SIBLEY EAST     </t>
  </si>
  <si>
    <t>CLEARBROOK-GONVI</t>
  </si>
  <si>
    <t>WEST CENTRAL ARE</t>
  </si>
  <si>
    <t xml:space="preserve">TRI-COUNTY      </t>
  </si>
  <si>
    <t>BELGRADE-BROOTEN</t>
  </si>
  <si>
    <t xml:space="preserve">G.F.W.          </t>
  </si>
  <si>
    <t xml:space="preserve">A.C.G.C.        </t>
  </si>
  <si>
    <t>LESUEUR-HENDERSO</t>
  </si>
  <si>
    <t>MARTIN COUNTY WE</t>
  </si>
  <si>
    <t>NORMAN COUNTY WE</t>
  </si>
  <si>
    <t>BIRD ISLAND-OLIV</t>
  </si>
  <si>
    <t>GRANADA HUNTLEY-</t>
  </si>
  <si>
    <t xml:space="preserve">EAST CENTRAL    </t>
  </si>
  <si>
    <t xml:space="preserve">WIN-E-MAC       </t>
  </si>
  <si>
    <t>GREENBUSH-MIDDLE</t>
  </si>
  <si>
    <t>HOWARD LAKE-WAVE</t>
  </si>
  <si>
    <t>PIPESTONE AREA S</t>
  </si>
  <si>
    <t xml:space="preserve">MESABI EAST     </t>
  </si>
  <si>
    <t>FAIRMONT AREA SC</t>
  </si>
  <si>
    <t>LONG PRAIRIE-GRE</t>
  </si>
  <si>
    <t xml:space="preserve">CEDAR MOUNTAIN  </t>
  </si>
  <si>
    <t>EAGLE VALLEY PUB</t>
  </si>
  <si>
    <t>ZUMBROTA-MAZEPPA</t>
  </si>
  <si>
    <t>JANESVILLE-WALDO</t>
  </si>
  <si>
    <t>LAC QUI PARLE VA</t>
  </si>
  <si>
    <t xml:space="preserve">ADA-BORUP       </t>
  </si>
  <si>
    <t>STEPHEN-ARGYLE C</t>
  </si>
  <si>
    <t>GLENCOE-SILVER L</t>
  </si>
  <si>
    <t xml:space="preserve">BLUE EARTH AREA </t>
  </si>
  <si>
    <t>RED ROCK CENTRAL</t>
  </si>
  <si>
    <t>GLENVILLE-EMMONS</t>
  </si>
  <si>
    <t>CLINTON-GRACEVIL</t>
  </si>
  <si>
    <t>LAKE PARK AUDUBO</t>
  </si>
  <si>
    <t xml:space="preserve">RENVILLE COUNTY </t>
  </si>
  <si>
    <t>JACKSON COUNTY C</t>
  </si>
  <si>
    <t>REDWOOD AREA SCH</t>
  </si>
  <si>
    <t>WESTBROOK-WALNUT</t>
  </si>
  <si>
    <t>Comm Service</t>
  </si>
  <si>
    <t>Reemploy</t>
  </si>
  <si>
    <t>Hea Ben</t>
  </si>
  <si>
    <t>100% Shift Total</t>
  </si>
  <si>
    <t>Add'l Referendum</t>
  </si>
  <si>
    <t>Total Aid Adjust</t>
  </si>
  <si>
    <t>State Total</t>
  </si>
  <si>
    <t>PINE POINT</t>
  </si>
  <si>
    <t>Genl RMV Other</t>
  </si>
  <si>
    <t>Genl NTC Voter</t>
  </si>
  <si>
    <t>Genl NTC Other</t>
  </si>
  <si>
    <t>Integ--1st Class</t>
  </si>
  <si>
    <t>Hea Ben Adjust</t>
  </si>
  <si>
    <t>Int Adj PY--1st Class</t>
  </si>
  <si>
    <t>Int Adj 2YP--1st Class</t>
  </si>
  <si>
    <t>General Shift Aid Adjust</t>
  </si>
  <si>
    <t xml:space="preserve"> Comm Serv Aid Adjust</t>
  </si>
  <si>
    <t>Comm Serv at Shift %</t>
  </si>
  <si>
    <t>Refer Aid Adjust</t>
  </si>
  <si>
    <t>Addl Refer Shift</t>
  </si>
  <si>
    <t>Genl with Aid Adjust</t>
  </si>
  <si>
    <t>Refer with Aid Adjust</t>
  </si>
  <si>
    <t>Refer No Aid Adjust</t>
  </si>
  <si>
    <t>100% Shift</t>
  </si>
  <si>
    <t>Reemploy Resv</t>
  </si>
  <si>
    <t>Reemploy Unrsv</t>
  </si>
  <si>
    <t>Addl Retire</t>
  </si>
  <si>
    <t>PROPERTY TAX SHIFT YEAR-END RECONCILIATION</t>
  </si>
  <si>
    <t>Enter District Number</t>
  </si>
  <si>
    <t>A</t>
  </si>
  <si>
    <t>General - Shift &amp; Adjust Aid</t>
  </si>
  <si>
    <t>B</t>
  </si>
  <si>
    <t xml:space="preserve">General - Operating Referendum (with aid adjust) </t>
  </si>
  <si>
    <t>C</t>
  </si>
  <si>
    <t>General - Operating Referendum (no aid adjust)</t>
  </si>
  <si>
    <t>D</t>
  </si>
  <si>
    <t>General - Addl Referendum Shift</t>
  </si>
  <si>
    <t>E</t>
  </si>
  <si>
    <t>F</t>
  </si>
  <si>
    <t>G</t>
  </si>
  <si>
    <t>General - Reemploy Ins (Reserved)</t>
  </si>
  <si>
    <t>H</t>
  </si>
  <si>
    <t>General - Reemploy Ins (Unreserved)</t>
  </si>
  <si>
    <t>I</t>
  </si>
  <si>
    <t>General - Legislative Changes</t>
  </si>
  <si>
    <t>J</t>
  </si>
  <si>
    <t>General Fund Total</t>
  </si>
  <si>
    <t>K</t>
  </si>
  <si>
    <t>Comm Serv - Shift &amp; Adjust Aid</t>
  </si>
  <si>
    <t>L</t>
  </si>
  <si>
    <t>Comm Serv - 100% Shift, No Adjust</t>
  </si>
  <si>
    <t>M</t>
  </si>
  <si>
    <t>Comm Serv - Legislative Change</t>
  </si>
  <si>
    <t>N</t>
  </si>
  <si>
    <t>Comm Serv Fund Total</t>
  </si>
  <si>
    <t>O</t>
  </si>
  <si>
    <t>Total</t>
  </si>
  <si>
    <t>Definitions of levy categories within funds</t>
  </si>
  <si>
    <t>Shift &amp; Adjust Aid</t>
  </si>
  <si>
    <t>Operating referendum (with aid adjust)</t>
  </si>
  <si>
    <t>Operating referendum (no aid adjust)</t>
  </si>
  <si>
    <t>Addl referendum shift</t>
  </si>
  <si>
    <t>due to the net of changes in the allocation of HACA and the increase in referendum equalization aid.</t>
  </si>
  <si>
    <t>This amount will be constant from year to year.</t>
  </si>
  <si>
    <t>100% shift, no adjust</t>
  </si>
  <si>
    <t>Reemploy Ins (reserved)</t>
  </si>
  <si>
    <t>Reemploy Ins (unreserved)</t>
  </si>
  <si>
    <t>Legislative changes</t>
  </si>
  <si>
    <t>ASSUMPTIONS:</t>
  </si>
  <si>
    <t>1)</t>
  </si>
  <si>
    <t>2)</t>
  </si>
  <si>
    <t>have been coded to 214 to zero out the account.  If not, the following entry should be made:</t>
  </si>
  <si>
    <t>Debit</t>
  </si>
  <si>
    <t>Credit</t>
  </si>
  <si>
    <t>REV</t>
  </si>
  <si>
    <t>01-005-000-000-211-000</t>
  </si>
  <si>
    <t>Gen Ed Revenue</t>
  </si>
  <si>
    <t>GNL</t>
  </si>
  <si>
    <t>01-214</t>
  </si>
  <si>
    <t>Adv of Unearned Gen Ed</t>
  </si>
  <si>
    <t>3)</t>
  </si>
  <si>
    <t>If not, the following entries should be made:</t>
  </si>
  <si>
    <t>01-005-000-000-299-000</t>
  </si>
  <si>
    <t>Prop Tax Shift Adjustment</t>
  </si>
  <si>
    <t>04-005-000-000-299-000</t>
  </si>
  <si>
    <t>01-005-000-XXX-XXX-000</t>
  </si>
  <si>
    <t>State Aid Receivable or State Aid Revenue</t>
  </si>
  <si>
    <t>04-005-000-XXX-XXX-000</t>
  </si>
  <si>
    <t>General
Fund</t>
  </si>
  <si>
    <t>Comm Service Fund</t>
  </si>
  <si>
    <t>Mobile Home Taxes</t>
  </si>
  <si>
    <t>Total May/June/July Tax Settlement Receipts</t>
  </si>
  <si>
    <t>01-235</t>
  </si>
  <si>
    <t>Prop Tax Sub Years</t>
  </si>
  <si>
    <t>04-235</t>
  </si>
  <si>
    <t>04-214</t>
  </si>
  <si>
    <t>Local Property Taxes--Reemployment</t>
  </si>
  <si>
    <t>01-005-000-830-001-000</t>
  </si>
  <si>
    <t>Local Property Taxes--Career Technical</t>
  </si>
  <si>
    <t>01-005-000-830-211-000 (if not enough tax receipts)</t>
  </si>
  <si>
    <t>Gen Ed Revenue--Career Technical</t>
  </si>
  <si>
    <t xml:space="preserve">01-005-000-000-001-000 </t>
  </si>
  <si>
    <t>Local Property Taxes</t>
  </si>
  <si>
    <t>01-005-000-000-211-000 (if not enough tax receipts)</t>
  </si>
  <si>
    <t>04-005-000-XXX-001-000</t>
  </si>
  <si>
    <t>04-005-000-XXX-211-000</t>
  </si>
  <si>
    <t xml:space="preserve">01-005-000-000-296-000 </t>
  </si>
  <si>
    <t>Property Tax Shift Offset Adjustment</t>
  </si>
  <si>
    <t>04-005-000-000-211-000</t>
  </si>
  <si>
    <t xml:space="preserve">04-005-000-000-296-000 </t>
  </si>
  <si>
    <t>(reverse prior year shift)</t>
  </si>
  <si>
    <t>01-005-000-000-020-000</t>
  </si>
  <si>
    <t>Prop Tax Shift Revenue</t>
  </si>
  <si>
    <t>04-005-000-000-020-000</t>
  </si>
  <si>
    <t>State Aid Adjustment for Shift</t>
  </si>
  <si>
    <t>01-101</t>
  </si>
  <si>
    <t>Cash</t>
  </si>
  <si>
    <t>04-101</t>
  </si>
  <si>
    <t>01-213</t>
  </si>
  <si>
    <t>Property Tax Shift Adjustment</t>
  </si>
  <si>
    <t>(modification by fund to correct (increase or decrease) property tax shift adjustment and redistribution of prior adjustment per Ideas report)</t>
  </si>
  <si>
    <t>General - 100% Shift, No Adjust</t>
  </si>
  <si>
    <t>General - Career Technical</t>
  </si>
  <si>
    <t>Career Technical</t>
  </si>
  <si>
    <t>Shift at</t>
  </si>
  <si>
    <t>General Fund</t>
  </si>
  <si>
    <t>Comm Serv Fund</t>
  </si>
  <si>
    <t>PROPERTY TAX SHIFT</t>
  </si>
  <si>
    <t>Early Recognition Levies</t>
  </si>
  <si>
    <t>Other Levies</t>
  </si>
  <si>
    <t>Column 3 is the revenue change to be recognized as a result of the levies shifted with with no aid reduction (net of column 1 and column 2 for these categories).</t>
  </si>
  <si>
    <t>Balance Sheet Acccounts:</t>
  </si>
  <si>
    <t>Tax Settlement Reports (Form 52)</t>
  </si>
  <si>
    <t>(Do not include any July payments)</t>
  </si>
  <si>
    <t>General Ledger</t>
  </si>
  <si>
    <t>Taxes Receivable Report (Form 51)</t>
  </si>
  <si>
    <t>Amount by which tax shift exceeds property tax receipts</t>
  </si>
  <si>
    <t>Revenue Accounts:</t>
  </si>
  <si>
    <t>Amount of General Ed Aid recognized early for shift with aid reduction</t>
  </si>
  <si>
    <t>The following categories are mutually exclusive, that is, each levy appears in one category only.</t>
  </si>
  <si>
    <t>Total General Aid Adjust</t>
  </si>
  <si>
    <t>Prinsburg Exclusion NTC Voter</t>
  </si>
  <si>
    <t>Prinsburg Exclusion RMV Voter</t>
  </si>
  <si>
    <t>Property Taxes for Subsequent Years (GNL 235) entries have already taken place.  Prior to the tax shift entries the balance</t>
  </si>
  <si>
    <t>Reemploy Adjust Reserved</t>
  </si>
  <si>
    <t>Reemploy Adjust Unreserved</t>
  </si>
  <si>
    <t>CSE Levy for Credit Allocation</t>
  </si>
  <si>
    <t>Genl Levy for Credit Allocation</t>
  </si>
  <si>
    <t>Total Levy for Credit Allocation</t>
  </si>
  <si>
    <t>Computed Credits for Tax Shift</t>
  </si>
  <si>
    <t>Total Levy</t>
  </si>
  <si>
    <t>Estimated Gened Recognition</t>
  </si>
  <si>
    <t>Includes selected levies that have been adjusted based on legislation that changes a levy authority after the levy has</t>
  </si>
  <si>
    <t>Legislative Changes Genl Fund</t>
  </si>
  <si>
    <t>Legislative Changes Comm Serv</t>
  </si>
  <si>
    <t>Leg Changes Genl Fund</t>
  </si>
  <si>
    <t>Leg Changes Comm Serv</t>
  </si>
  <si>
    <t>Total Gross Shift</t>
  </si>
  <si>
    <t>The first section shows the property tax shift report for the school district, with a definition for each tax shift category.</t>
  </si>
  <si>
    <t>RTR</t>
  </si>
  <si>
    <t>PLAINVIEW-ELGIN-MILLV</t>
  </si>
  <si>
    <t>Includes levies that are shifted at 100% and for which there is no reduction to state aid.  This category</t>
  </si>
  <si>
    <t>includes integration for first class districts, additional retirement, health benefits, and related adjustments.</t>
  </si>
  <si>
    <t>01-005-000-000-001-000</t>
  </si>
  <si>
    <t>Community Service Fund</t>
  </si>
  <si>
    <t>Shiftable Oth Gen
(E+F+G-U-X-Y-AA)</t>
  </si>
  <si>
    <t>Shiftable Comm Serv (H-T-V)</t>
  </si>
  <si>
    <t>Notes:</t>
  </si>
  <si>
    <t>To select a specific district, type the district number in cell A3  (use 1.2 for Minneapolis) and press enter.  Information for the selected district will then appear in the report.  Running a macro is not required.</t>
  </si>
  <si>
    <t>Reconciation of Property Tax Accounts</t>
  </si>
  <si>
    <t>General</t>
  </si>
  <si>
    <t>Comm Serv</t>
  </si>
  <si>
    <t>Report of Credits from Dept of Revenue</t>
  </si>
  <si>
    <t>Credits on Taxes receivable minus credits from Revenue</t>
  </si>
  <si>
    <t>Tax Shift Entry</t>
  </si>
  <si>
    <t>Levy Limitation &amp; Certification Report</t>
  </si>
  <si>
    <t>Entries to record property taxes</t>
  </si>
  <si>
    <t>Jan 1</t>
  </si>
  <si>
    <t>GL 110</t>
  </si>
  <si>
    <t>Current Taxes Receivable</t>
  </si>
  <si>
    <t>GL 235</t>
  </si>
  <si>
    <t>Deferred Revenue</t>
  </si>
  <si>
    <t>To record current year levy as taxes receivable</t>
  </si>
  <si>
    <t>GL 111</t>
  </si>
  <si>
    <t>Delinquent Taxes Receivable</t>
  </si>
  <si>
    <t>To transfer current taxes receivable to delinquent taxes</t>
  </si>
  <si>
    <t>Jan - July</t>
  </si>
  <si>
    <t>GL 101</t>
  </si>
  <si>
    <t>SRC 009</t>
  </si>
  <si>
    <t>Fiscal Disparities</t>
  </si>
  <si>
    <t>SRC 014</t>
  </si>
  <si>
    <t>Taconite Homestead Credit</t>
  </si>
  <si>
    <t>SRC 019</t>
  </si>
  <si>
    <t>Miscellaneous tax revenue</t>
  </si>
  <si>
    <t>To record first half tax settlements received from counties</t>
  </si>
  <si>
    <t>June 30</t>
  </si>
  <si>
    <t>GL 214</t>
  </si>
  <si>
    <t>Advance of Unearned Gened</t>
  </si>
  <si>
    <t>SRC 001</t>
  </si>
  <si>
    <t>Tax Revenue</t>
  </si>
  <si>
    <t>Tax Revenue (Portions with Finance Codes)</t>
  </si>
  <si>
    <t>To record current year tax shift</t>
  </si>
  <si>
    <t>July 1</t>
  </si>
  <si>
    <t>To reverse prior year tax shift</t>
  </si>
  <si>
    <t>To record levy revenue for current year</t>
  </si>
  <si>
    <t>To reduce taxes receivable for amount to be paid by state credits</t>
  </si>
  <si>
    <t>To reduce taxes receivable for amount to be paid by fiscal disparities</t>
  </si>
  <si>
    <t>To reduce taxes receivable for amount to be paid by taconite homestead credit</t>
  </si>
  <si>
    <t>Debit/Credit</t>
  </si>
  <si>
    <t>Credit/Debit</t>
  </si>
  <si>
    <t>To adjust taxes receivable for county auditor adjustments</t>
  </si>
  <si>
    <t>Oct - Jan</t>
  </si>
  <si>
    <t>GL 009</t>
  </si>
  <si>
    <t>GL 014</t>
  </si>
  <si>
    <t>To record second half tax settlements received from counties</t>
  </si>
  <si>
    <t>To reduce taxes receivable for abatements</t>
  </si>
  <si>
    <t>To reduce taxes receivable for seventh-year write offs</t>
  </si>
  <si>
    <t>GL 231</t>
  </si>
  <si>
    <t>Deferred Revenue--Delinquent Taxes</t>
  </si>
  <si>
    <t>To adjust deferred revenue for delinquent taxes</t>
  </si>
  <si>
    <t>Community Serv</t>
  </si>
  <si>
    <t>Debt Service</t>
  </si>
  <si>
    <r>
      <t xml:space="preserve">The </t>
    </r>
    <r>
      <rPr>
        <b/>
        <sz val="8"/>
        <rFont val="Arial"/>
        <family val="2"/>
      </rPr>
      <t xml:space="preserve">"Reports" tab </t>
    </r>
    <r>
      <rPr>
        <sz val="8"/>
        <rFont val="Arial"/>
        <family val="2"/>
      </rPr>
      <t>shows the property tax shift report for a selected school district.</t>
    </r>
  </si>
  <si>
    <t>SRC 211</t>
  </si>
  <si>
    <t>Tax Shift Report (column 6)</t>
  </si>
  <si>
    <t>Tax Shift Report (column 2 - lines A+B or K )</t>
  </si>
  <si>
    <t>Tax Shift Report (column 1 - lines A+B or K)</t>
  </si>
  <si>
    <t>Year end receivable (payable) adjustment for property tax shift</t>
  </si>
  <si>
    <t>Tax Shift Report (column 2 - lines C+D+E+F+G+H+I or L+M)</t>
  </si>
  <si>
    <t>Tax Shift Report (column 1 - lines C+D+E+F+G+H+I or L+M)</t>
  </si>
  <si>
    <t>All other fields will compute, including those that come from the Tax Shift spreadsheet</t>
  </si>
  <si>
    <t>Note:</t>
  </si>
  <si>
    <t>Tax Shift Report (column 1 - line J or N)</t>
  </si>
  <si>
    <t>Tax Shift Report (column 5 - line J or N)</t>
  </si>
  <si>
    <t>Tax Shift Report (column 6 - line J or N)</t>
  </si>
  <si>
    <t>Certified Levy</t>
  </si>
  <si>
    <t>Debit (Credit)</t>
  </si>
  <si>
    <t>(Credit)</t>
  </si>
  <si>
    <t>Increase (decrease) to credits by county</t>
  </si>
  <si>
    <t>Asset  and expenditure accounts would normally have a debit balance</t>
  </si>
  <si>
    <t>Liability and revenue accounts would normally have a credit balance</t>
  </si>
  <si>
    <t>Account balances are indicated as debit or (credit) balance</t>
  </si>
  <si>
    <t>Data entered on Funds tab will carryover and be used to allocate adjustments and abatements</t>
  </si>
  <si>
    <t>On Reports tab enter your district # in cell A3 so correct tax shift amounts carryover</t>
  </si>
  <si>
    <t>On this tab enter data in highlighted fields only--from source indicated</t>
  </si>
  <si>
    <t>Enter debits as positive and credits as negative, as indicated in column H</t>
  </si>
  <si>
    <t>Year end payable (receivable) for property tax shift</t>
  </si>
  <si>
    <t>Date</t>
  </si>
  <si>
    <t>Subtotal</t>
  </si>
  <si>
    <t>Enter certified levies for each year below</t>
  </si>
  <si>
    <t>Also used to allocate adjustments and abatements on Accounts tab</t>
  </si>
  <si>
    <t>This data is used to report certified levies on Accounts tab</t>
  </si>
  <si>
    <t>Debt Serv</t>
  </si>
  <si>
    <t>Pay 2007</t>
  </si>
  <si>
    <t>Taxes receivable</t>
  </si>
  <si>
    <t>Fiscal disparities</t>
  </si>
  <si>
    <t>Miscellaneous taxes</t>
  </si>
  <si>
    <t>Total settlement</t>
  </si>
  <si>
    <t>County</t>
  </si>
  <si>
    <t>Pay 2008</t>
  </si>
  <si>
    <t>Taconite homestead</t>
  </si>
  <si>
    <t>Taconite homestead credit</t>
  </si>
  <si>
    <t>Amounts will be allocated to funds based upon certified levies above</t>
  </si>
  <si>
    <t>Settlements will be totaled by year and fund for carryover to Accounts tab</t>
  </si>
  <si>
    <t>Total Certified Levy</t>
  </si>
  <si>
    <t>Delinquent Taxes receivable</t>
  </si>
  <si>
    <t>Current Taxes receivable</t>
  </si>
  <si>
    <t>State Aid Adjustment
Src Code 299</t>
  </si>
  <si>
    <t>Revenue Adjustment
Src Code 299</t>
  </si>
  <si>
    <t>If settlement sheet from the county already shows settlements by fund:</t>
  </si>
  <si>
    <r>
      <t xml:space="preserve">Debit
</t>
    </r>
    <r>
      <rPr>
        <sz val="8"/>
        <rFont val="Arial"/>
        <family val="2"/>
      </rPr>
      <t>(Credit)</t>
    </r>
  </si>
  <si>
    <r>
      <t xml:space="preserve">Credit
</t>
    </r>
    <r>
      <rPr>
        <sz val="8"/>
        <rFont val="Arial"/>
        <family val="2"/>
      </rPr>
      <t>(Debit)</t>
    </r>
  </si>
  <si>
    <t>If more columns are needed, insert between column M and S</t>
  </si>
  <si>
    <t>Lesser of Gross Shift or Tax Receipts (but not less than zero)</t>
  </si>
  <si>
    <t>Positve amount indicates state aid payment</t>
  </si>
  <si>
    <t xml:space="preserve">Negative amount indicates reduction to state aid payments </t>
  </si>
  <si>
    <t>Pay 2009</t>
  </si>
  <si>
    <t>The entries start with the levy being certified by the school board and work through a full year of accounting entries.</t>
  </si>
  <si>
    <t>Note:  Property tax shift entry shown on "Report" tab combines the June 30th entry to record the current year tax shift (entry just above this note) with the prior July 1st entry to reverse the prior year tax shift (entry similar to entry below, but for the previous July 1st).</t>
  </si>
  <si>
    <t>Genl RMV Voter</t>
  </si>
  <si>
    <t>Includes reemployment insurance levy adjustments for FY 2003 shifted at 100% with no aid adjustment.</t>
  </si>
  <si>
    <t>Includes reemployment insurance levy and adjustments for FY 2004 and later shifted at 100% with no aid adjustment.</t>
  </si>
  <si>
    <t>This category is the Pay 2001 referendum levy shifted at 31%.  This amount will be constant from year to year.</t>
  </si>
  <si>
    <t>This is an additional revenue shift for districts that had a decrease in Pay 1994 referendum levy</t>
  </si>
  <si>
    <t>Entry to GNL 214 minus entries to SRC 211</t>
  </si>
  <si>
    <t>Entry toGNL 214 minus entries to SRC 211</t>
  </si>
  <si>
    <t>Enter data in green highlighted cells</t>
  </si>
  <si>
    <t>Unprotect this tab and enter settlement data directly into cells E56 through S145, orange outlined section below</t>
  </si>
  <si>
    <t>Caution:  You will be overriding the formulas in these cells</t>
  </si>
  <si>
    <t>dat_yer</t>
  </si>
  <si>
    <t>dst_num</t>
  </si>
  <si>
    <t>dst_tye</t>
  </si>
  <si>
    <t>gen_lgr_num</t>
  </si>
  <si>
    <t>fun_num</t>
  </si>
  <si>
    <t>end_bal_amt</t>
  </si>
  <si>
    <t>Pay 2001
Refer Shift</t>
  </si>
  <si>
    <t>Total General Fund Shift</t>
  </si>
  <si>
    <t>Total Comm Serv Fund Shift</t>
  </si>
  <si>
    <t>Pay 2010</t>
  </si>
  <si>
    <t xml:space="preserve">ORTONVILLE-BELLINGHAM  </t>
  </si>
  <si>
    <t>TRACY AREA</t>
  </si>
  <si>
    <t>Watch for consolidated districts</t>
  </si>
  <si>
    <t>Genl RMV Voter Levy</t>
  </si>
  <si>
    <t>Genl RMV Other Levy</t>
  </si>
  <si>
    <t>Genl NTC Voter Levy</t>
  </si>
  <si>
    <t>Genl NTC Other Levy</t>
  </si>
  <si>
    <t>Comm Service Levy</t>
  </si>
  <si>
    <t>Debt Voter Levy</t>
  </si>
  <si>
    <t>Debt Other Levy</t>
  </si>
  <si>
    <t>OPEB Voter Levy</t>
  </si>
  <si>
    <t>OPEB Other Levy</t>
  </si>
  <si>
    <t>Career technical levy and adjustment shifted at 100% with no aid adjustment.</t>
  </si>
  <si>
    <t>Career Tech Adjust</t>
  </si>
  <si>
    <t>Certain levies have been--and will continue to be--shifted 100% with no aid reduction.  Recognizing these levies early gets the revenue into the same fiscal year as the related expenditures.  There is no state aid adjustment for this portion of the shift.</t>
  </si>
  <si>
    <t>Starting in fiscal year 2004, the shift was expanded to include all other general and community service fund levies, net of tax credits.  There is a corresponding state aid adjustment for this portion of the property tax shift, making this portion of the shift revenue neutral to school districts each year.  If the shift at the end of the current year is larger than the shift at the end of the previous year, state aid for the current year is reduced for the net increase in the shift.  If the shift at the end of the current year is less than the shift at the end of the previous year, state aid for the current year is increased for the net decrease in the shift.</t>
  </si>
  <si>
    <t>Est Pay 2010 Credits</t>
  </si>
  <si>
    <t>Levy</t>
  </si>
  <si>
    <t>Credits</t>
  </si>
  <si>
    <t>Net Levy</t>
  </si>
  <si>
    <t>Tax Settlement Reports (Form 52) for each July</t>
  </si>
  <si>
    <t>Pay 2011</t>
  </si>
  <si>
    <t>Column 4 is the net shift amount to be recognized as a result of levies shifted with an aid reduction.  A negative amount in this column represents a debit balance in source 020 and related crebit balance in source 299.</t>
  </si>
  <si>
    <t>Column 5 is the state aid payment (reduction) that is being made in the current year for the property tax shift.</t>
  </si>
  <si>
    <t>Column 6 represents the state aid payment (reduction) that will be made next year, for this year's tax shift.  Column 4 plus column 5 plus column 6 should equal zero.</t>
  </si>
  <si>
    <r>
      <t>Enter data on the</t>
    </r>
    <r>
      <rPr>
        <b/>
        <sz val="8"/>
        <rFont val="Arial"/>
        <family val="2"/>
      </rPr>
      <t xml:space="preserve"> Funds tab</t>
    </r>
    <r>
      <rPr>
        <sz val="8"/>
        <rFont val="Arial"/>
        <family val="2"/>
      </rPr>
      <t xml:space="preserve"> if you want to use the reconciliation feature in the Accounts tab. </t>
    </r>
  </si>
  <si>
    <r>
      <t xml:space="preserve">The </t>
    </r>
    <r>
      <rPr>
        <b/>
        <sz val="8"/>
        <rFont val="Arial"/>
        <family val="2"/>
      </rPr>
      <t>Accounts tab</t>
    </r>
    <r>
      <rPr>
        <sz val="8"/>
        <rFont val="Arial"/>
        <family val="2"/>
      </rPr>
      <t xml:space="preserve"> provides a year-end reconciliation for each tax-related account.</t>
    </r>
  </si>
  <si>
    <r>
      <t xml:space="preserve">The </t>
    </r>
    <r>
      <rPr>
        <b/>
        <sz val="8"/>
        <rFont val="Arial"/>
        <family val="2"/>
      </rPr>
      <t>Entries tab</t>
    </r>
    <r>
      <rPr>
        <sz val="8"/>
        <rFont val="Arial"/>
        <family val="2"/>
      </rPr>
      <t xml:space="preserve"> shows standard accounting entries for recording property taxes.</t>
    </r>
  </si>
  <si>
    <t>The other tabs in this spreadsheet provide the data that is used to create the tax shift report shown in the Reports tab.</t>
  </si>
  <si>
    <t>The second section discusses the assumptions that have been made in generating the entries to record the tax shift.  Also review the Accounts tab and Entries tab.</t>
  </si>
  <si>
    <t>This tab can serve as a year-end reconcilation tool.  Enter data in the highlighted fields on this tab and in the Funds tab.  All other fields in this tab will automatically be computed.</t>
  </si>
  <si>
    <t>Starting in fiscal year 2006, the shift percentage for other levies was set to zero percent.</t>
  </si>
  <si>
    <t>Prel Pay 2010 Credits</t>
  </si>
  <si>
    <t>been certified (See Minnesota Statutes, section 126C.48, subdivision 6).  The revenue shift is at 100% and there is</t>
  </si>
  <si>
    <t>STR 21,22-1</t>
  </si>
  <si>
    <t>STR 21,22-2</t>
  </si>
  <si>
    <t>STR 21,22-3</t>
  </si>
  <si>
    <t>STR 21,22-4</t>
  </si>
  <si>
    <t>STR 21,22-5</t>
  </si>
  <si>
    <t>STR 21,22-6</t>
  </si>
  <si>
    <t>STR 21,22-7</t>
  </si>
  <si>
    <t>STR 21,22-9</t>
  </si>
  <si>
    <t>STR 21,22-8</t>
  </si>
  <si>
    <t>GDS Levy for Credit Allocation</t>
  </si>
  <si>
    <t>OPEB Levy for Credit Allocation</t>
  </si>
  <si>
    <t>Estimated Total Credits</t>
  </si>
  <si>
    <t>Estimated Credits Allocation?
1=Yes, 0=No</t>
  </si>
  <si>
    <t>Credits by Fund from Revenue</t>
  </si>
  <si>
    <t>Fund 1</t>
  </si>
  <si>
    <t>Fund 4</t>
  </si>
  <si>
    <t>Fund 7</t>
  </si>
  <si>
    <t>Fund 47</t>
  </si>
  <si>
    <t>Est/Act Fund 1 Credits</t>
  </si>
  <si>
    <t>Est/Act Fund 4 Credits</t>
  </si>
  <si>
    <t>Est/Act Fund 7 Credits</t>
  </si>
  <si>
    <t>Est/Act Fund 47 Credits</t>
  </si>
  <si>
    <t>Shift at 48.6%</t>
  </si>
  <si>
    <t>Pay 2012</t>
  </si>
  <si>
    <t>FY 2013</t>
  </si>
  <si>
    <t>Starting in fiscal year 2011, the shift percentage for other levies was set to 48.6 percent, and based on gross levies (before subtraction of credits).</t>
  </si>
  <si>
    <t>From Certified Levy Summaries</t>
  </si>
  <si>
    <t>IDEAS from State Aid Adjustment (Column 5).xlsx</t>
  </si>
  <si>
    <t xml:space="preserve">If you have questions about the property tax shift or about using  this spreadsheet, contact Terri Yetter by phone at 651-582-8868 or by e-mail at terri.yetter@state.mn.us. </t>
  </si>
  <si>
    <t>File created from IDEAS run under S:\common\TAXSFTR</t>
  </si>
  <si>
    <t>File created from LEVY run under S:\common\TAXSHIFT</t>
  </si>
  <si>
    <t>Tri City</t>
  </si>
  <si>
    <t>Pay 2013</t>
  </si>
  <si>
    <t>12 Pay 13</t>
  </si>
  <si>
    <t>FY 2014</t>
  </si>
  <si>
    <t>06/30/13</t>
  </si>
  <si>
    <t xml:space="preserve">(1A)           </t>
  </si>
  <si>
    <t xml:space="preserve">(1B)             </t>
  </si>
  <si>
    <t xml:space="preserve">(1C)           </t>
  </si>
  <si>
    <t xml:space="preserve">(1D)           </t>
  </si>
  <si>
    <t xml:space="preserve">(1E)           </t>
  </si>
  <si>
    <t xml:space="preserve">(1F)           </t>
  </si>
  <si>
    <t xml:space="preserve">(1G)           </t>
  </si>
  <si>
    <t xml:space="preserve">(1H)           </t>
  </si>
  <si>
    <t xml:space="preserve">(1I)           </t>
  </si>
  <si>
    <t xml:space="preserve">(1K)           </t>
  </si>
  <si>
    <t xml:space="preserve">    (1M)           </t>
  </si>
  <si>
    <t>MNT-LVY-ADJ-SHF</t>
  </si>
  <si>
    <t>MNT-REF-LVY-SHF-2</t>
  </si>
  <si>
    <t>MNT-REF-LVY-SHF</t>
  </si>
  <si>
    <t>REF-HAC-LVY-SHF</t>
  </si>
  <si>
    <t>MNT-CAR-TEC-SHF</t>
  </si>
  <si>
    <t>MNT-NON-AID-SHF</t>
  </si>
  <si>
    <t>MNT-UNE-RES-SHF</t>
  </si>
  <si>
    <t>MNT-UNE-UNR-SHF</t>
  </si>
  <si>
    <t>MNT-LEG-CHG-SHF</t>
  </si>
  <si>
    <t>CSE-LVY-ADJ-SHF</t>
  </si>
  <si>
    <t xml:space="preserve">    CSE-LEG-CHG-SHF</t>
  </si>
  <si>
    <t>22-1</t>
  </si>
  <si>
    <t>22-2</t>
  </si>
  <si>
    <t>22-3</t>
  </si>
  <si>
    <t>22-4</t>
  </si>
  <si>
    <t>22-5</t>
  </si>
  <si>
    <t>22-6</t>
  </si>
  <si>
    <t>22-7</t>
  </si>
  <si>
    <t>22-8</t>
  </si>
  <si>
    <t>22-9</t>
  </si>
  <si>
    <t>ref_mkt_tot_lvy</t>
  </si>
  <si>
    <t>gen_rmv_tot_crt</t>
  </si>
  <si>
    <t>ref_tcp_tot_lvy</t>
  </si>
  <si>
    <t>tax_cpc_lvy_crt</t>
  </si>
  <si>
    <t>cse_lvy_crt</t>
  </si>
  <si>
    <t>gds_vtr_tot_lvy</t>
  </si>
  <si>
    <t>gds_oth_tot_lvy</t>
  </si>
  <si>
    <t>pvt_lvy_crt</t>
  </si>
  <si>
    <t>pno_lvy_crt</t>
  </si>
  <si>
    <t>tot_lvy_crt</t>
  </si>
  <si>
    <t>Difference</t>
  </si>
  <si>
    <t>12-13</t>
  </si>
  <si>
    <t>Credit Tab</t>
  </si>
  <si>
    <t>11-12</t>
  </si>
  <si>
    <t>Pay 2014</t>
  </si>
  <si>
    <t>13 Pay 14</t>
  </si>
  <si>
    <t>FY 2015</t>
  </si>
  <si>
    <t>06/30/14</t>
  </si>
  <si>
    <t>07/01/2013 to 06/30/2014</t>
  </si>
  <si>
    <t>07/01/2013 to 04/30/2014</t>
  </si>
  <si>
    <t>05/01/2014 to 06/30/2014</t>
  </si>
  <si>
    <t>DST-TYE</t>
  </si>
  <si>
    <t>AITKIN PUBLIC SCHOOL DIST</t>
  </si>
  <si>
    <t>MINNEAPOLIS PUBLIC SCHOOL</t>
  </si>
  <si>
    <t>HILL CITY PUBLIC SCHOOL D</t>
  </si>
  <si>
    <t>MCGREGOR PUBLIC SCHOOL DI</t>
  </si>
  <si>
    <t>SOUTH ST. PAUL PUBLIC SCH</t>
  </si>
  <si>
    <t>ANOKA-HENNEPIN PUBLIC SCH</t>
  </si>
  <si>
    <t xml:space="preserve">CENTENNIAL PUBLIC SCHOOL </t>
  </si>
  <si>
    <t>COLUMBIA HEIGHTS PUBLIC S</t>
  </si>
  <si>
    <t>FRIDLEY PUBLIC SCHOOL DIS</t>
  </si>
  <si>
    <t>ST. FRANCIS PUBLIC SCHOOL</t>
  </si>
  <si>
    <t>SPRING LAKE PARK PUBLIC S</t>
  </si>
  <si>
    <t>DETROIT LAKES PUBLIC SCHO</t>
  </si>
  <si>
    <t>FRAZEE-VERGAS PUBLIC SCHO</t>
  </si>
  <si>
    <t xml:space="preserve">PINE POINT PUBLIC SCHOOL </t>
  </si>
  <si>
    <t>BEMIDJI PUBLIC SCHOOL DIS</t>
  </si>
  <si>
    <t>BLACKDUCK PUBLIC SCHOOL D</t>
  </si>
  <si>
    <t>KELLIHER PUBLIC SCHOOL DI</t>
  </si>
  <si>
    <t>RED LAKE PUBLIC SCHOOL DI</t>
  </si>
  <si>
    <t>SAUK RAPIDS-RICE PUBLIC S</t>
  </si>
  <si>
    <t>FOLEY PUBLIC SCHOOL DISTR</t>
  </si>
  <si>
    <t>ST. CLAIR PUBLIC SCHOOL D</t>
  </si>
  <si>
    <t>MANKATO PUBLIC SCHOOL DIS</t>
  </si>
  <si>
    <t>COMFREY PUBLIC SCHOOL DIS</t>
  </si>
  <si>
    <t xml:space="preserve">SLEEPY EYE PUBLIC SCHOOL </t>
  </si>
  <si>
    <t>SPRINGFIELD PUBLIC SCHOOL</t>
  </si>
  <si>
    <t>NEW ULM PUBLIC SCHOOL DIS</t>
  </si>
  <si>
    <t>BARNUM PUBLIC SCHOOL DIST</t>
  </si>
  <si>
    <t>CARLTON PUBLIC SCHOOL DIS</t>
  </si>
  <si>
    <t>CLOQUET PUBLIC SCHOOL DIS</t>
  </si>
  <si>
    <t>CROMWELL-WRIGHT PUBLIC SC</t>
  </si>
  <si>
    <t xml:space="preserve">MOOSE LAKE PUBLIC SCHOOL </t>
  </si>
  <si>
    <t>ESKO PUBLIC SCHOOL DISTRI</t>
  </si>
  <si>
    <t>WRENSHALL PUBLIC SCHOOL D</t>
  </si>
  <si>
    <t>CENTRAL PUBLIC SCHOOL DIS</t>
  </si>
  <si>
    <t>WACONIA PUBLIC SCHOOL DIS</t>
  </si>
  <si>
    <t>WATERTOWN-MAYER PUBLIC SC</t>
  </si>
  <si>
    <t>EASTERN CARVER COUNTY PUB</t>
  </si>
  <si>
    <t xml:space="preserve">WALKER-HACKENSACK-AKELEY </t>
  </si>
  <si>
    <t>CASS LAKE-BENA PUBLIC SCH</t>
  </si>
  <si>
    <t>PILLAGER PUBLIC SCHOOL DI</t>
  </si>
  <si>
    <t>NORTHLAND COMMUNITY SCHOO</t>
  </si>
  <si>
    <t xml:space="preserve">MONTEVIDEO PUBLIC SCHOOL </t>
  </si>
  <si>
    <t>NORTH BRANCH PUBLIC SCHOO</t>
  </si>
  <si>
    <t>RUSH CITY PUBLIC SCHOOL D</t>
  </si>
  <si>
    <t>BARNESVILLE PUBLIC SCHOOL</t>
  </si>
  <si>
    <t>HAWLEY PUBLIC SCHOOL DIST</t>
  </si>
  <si>
    <t>MOORHEAD PUBLIC SCHOOL DI</t>
  </si>
  <si>
    <t>BAGLEY PUBLIC SCHOOL DIST</t>
  </si>
  <si>
    <t>COOK COUNTY PUBLIC SCHOOL</t>
  </si>
  <si>
    <t>MOUNTAIN LAKE PUBLIC SCHO</t>
  </si>
  <si>
    <t>WINDOM PUBLIC SCHOOL DIST</t>
  </si>
  <si>
    <t>BRAINERD PUBLIC SCHOOL DI</t>
  </si>
  <si>
    <t>CROSBY-IRONTON PUBLIC SCH</t>
  </si>
  <si>
    <t>PEQUOT LAKES PUBLIC SCHOO</t>
  </si>
  <si>
    <t xml:space="preserve">BURNSVILLE PUBLIC SCHOOL </t>
  </si>
  <si>
    <t xml:space="preserve">FARMINGTON PUBLIC SCHOOL </t>
  </si>
  <si>
    <t>LAKEVILLE PUBLIC SCHOOL D</t>
  </si>
  <si>
    <t>RANDOLPH PUBLIC SCHOOL DI</t>
  </si>
  <si>
    <t>ROSEMOUNT-APPLE VALLEY-EA</t>
  </si>
  <si>
    <t>WEST ST. PAUL-MENDOTA HTS</t>
  </si>
  <si>
    <t>INVER GROVE HEIGHTS SCHOO</t>
  </si>
  <si>
    <t>HASTINGS PUBLIC SCHOOL DI</t>
  </si>
  <si>
    <t>HAYFIELD PUBLIC SCHOOL DI</t>
  </si>
  <si>
    <t>KASSON-MANTORVILLE SCHOOL</t>
  </si>
  <si>
    <t xml:space="preserve">ALEXANDRIA PUBLIC SCHOOL </t>
  </si>
  <si>
    <t>OSAKIS PUBLIC SCHOOL DIST</t>
  </si>
  <si>
    <t xml:space="preserve">CHATFIELD PUBLIC SCHOOLS </t>
  </si>
  <si>
    <t>LANESBORO PUBLIC SCHOOL D</t>
  </si>
  <si>
    <t>MABEL-CANTON PUBLIC SCHOO</t>
  </si>
  <si>
    <t xml:space="preserve">RUSHFORD-PETERSON PUBLIC </t>
  </si>
  <si>
    <t xml:space="preserve">ALBERT LEA PUBLIC SCHOOL </t>
  </si>
  <si>
    <t>ALDEN-CONGER PUBLIC SCHOO</t>
  </si>
  <si>
    <t>CANNON FALLS PUBLIC SCHOO</t>
  </si>
  <si>
    <t>GOODHUE PUBLIC SCHOOL DIS</t>
  </si>
  <si>
    <t>PINE ISLAND PUBLIC SCHOOL</t>
  </si>
  <si>
    <t>RED WING PUBLIC SCHOOL DI</t>
  </si>
  <si>
    <t>ASHBY PUBLIC SCHOOL DISTR</t>
  </si>
  <si>
    <t>HERMAN-NORCROSS SCHOOL DI</t>
  </si>
  <si>
    <t>HOPKINS PUBLIC SCHOOL DIS</t>
  </si>
  <si>
    <t>BLOOMINGTON PUBLIC SCHOOL</t>
  </si>
  <si>
    <t>EDEN PRAIRIE PUBLIC SCHOO</t>
  </si>
  <si>
    <t>EDINA PUBLIC SCHOOL DISTR</t>
  </si>
  <si>
    <t xml:space="preserve">MINNETONKA PUBLIC SCHOOL </t>
  </si>
  <si>
    <t>WESTONKA PUBLIC SCHOOL DI</t>
  </si>
  <si>
    <t>ORONO PUBLIC SCHOOL DISTR</t>
  </si>
  <si>
    <t>OSSEO PUBLIC SCHOOL DISTR</t>
  </si>
  <si>
    <t>RICHFIELD PUBLIC SCHOOL D</t>
  </si>
  <si>
    <t>ROBBINSDALE PUBLIC SCHOOL</t>
  </si>
  <si>
    <t xml:space="preserve">ST. ANTHONY-NEW BRIGHTON </t>
  </si>
  <si>
    <t>ST. LOUIS PARK PUBLIC SCH</t>
  </si>
  <si>
    <t>WAYZATA PUBLIC SCHOOL DIS</t>
  </si>
  <si>
    <t>BROOKLYN CENTER SCHOOL DI</t>
  </si>
  <si>
    <t>HOUSTON PUBLIC SCHOOL DIS</t>
  </si>
  <si>
    <t>SPRING GROVE SCHOOL DISTR</t>
  </si>
  <si>
    <t>CALEDONIA PUBLIC SCHOOL D</t>
  </si>
  <si>
    <t xml:space="preserve">LA CRESCENT-HOKAH SCHOOL </t>
  </si>
  <si>
    <t>LAPORTE PUBLIC SCHOOL DIS</t>
  </si>
  <si>
    <t>NEVIS PUBLIC SCHOOL DISTR</t>
  </si>
  <si>
    <t>PARK RAPIDS PUBLIC SCHOOL</t>
  </si>
  <si>
    <t>BRAHAM PUBLIC SCHOOL DIST</t>
  </si>
  <si>
    <t>GREENWAY PUBLIC SCHOOL DI</t>
  </si>
  <si>
    <t xml:space="preserve">DEER RIVER PUBLIC SCHOOL </t>
  </si>
  <si>
    <t>GRAND RAPIDS PUBLIC SCHOO</t>
  </si>
  <si>
    <t xml:space="preserve">NASHWAUK-KEEWATIN SCHOOL </t>
  </si>
  <si>
    <t>FRANCONIA PUBLIC SCHOOL D</t>
  </si>
  <si>
    <t>HERON LAKE-OKABENA SCHOOL</t>
  </si>
  <si>
    <t>MORA PUBLIC SCHOOL DISTRI</t>
  </si>
  <si>
    <t>OGILVIE PUBLIC SCHOOL DIS</t>
  </si>
  <si>
    <t xml:space="preserve">NEW LONDON-SPICER SCHOOL </t>
  </si>
  <si>
    <t>WILLMAR PUBLIC SCHOOL DIS</t>
  </si>
  <si>
    <t>LANCASTER PUBLIC SCHOOL D</t>
  </si>
  <si>
    <t>INTERNATIONAL FALLS SCHOO</t>
  </si>
  <si>
    <t>LITTLEFORK-BIG FALLS SCHO</t>
  </si>
  <si>
    <t xml:space="preserve">SOUTH KOOCHICHING SCHOOL </t>
  </si>
  <si>
    <t>DAWSON-BOYD PUBLIC SCHOOL</t>
  </si>
  <si>
    <t>LAKE SUPERIOR PUBLIC SCHO</t>
  </si>
  <si>
    <t xml:space="preserve">LAKE OF THE WOODS SCHOOL </t>
  </si>
  <si>
    <t>CLEVELAND PUBLIC SCHOOL D</t>
  </si>
  <si>
    <t>HENDRICKS PUBLIC SCHOOL D</t>
  </si>
  <si>
    <t>IVANHOE PUBLIC SCHOOL DIS</t>
  </si>
  <si>
    <t>LAKE BENTON PUBLIC SCHOOL</t>
  </si>
  <si>
    <t>MARSHALL PUBLIC SCHOOL DI</t>
  </si>
  <si>
    <t>MINNEOTA PUBLIC SCHOOL DI</t>
  </si>
  <si>
    <t>LYND PUBLIC SCHOOL DISTRI</t>
  </si>
  <si>
    <t xml:space="preserve">HUTCHINSON PUBLIC SCHOOL </t>
  </si>
  <si>
    <t>LESTER PRAIRIE PUBLIC SCH</t>
  </si>
  <si>
    <t>MAHNOMEN PUBLIC SCHOOL DI</t>
  </si>
  <si>
    <t xml:space="preserve">WAUBUN-OGEMA-WHITE EARTH </t>
  </si>
  <si>
    <t>MARSHALL COUNTY CENTRAL S</t>
  </si>
  <si>
    <t>GRYGLA PUBLIC SCHOOL DIST</t>
  </si>
  <si>
    <t>TRUMAN PUBLIC SCHOOL DIST</t>
  </si>
  <si>
    <t>EDEN VALLEY-WATKINS SCHOO</t>
  </si>
  <si>
    <t xml:space="preserve">LITCHFIELD PUBLIC SCHOOL </t>
  </si>
  <si>
    <t>DASSEL-COKATO PUBLIC SCHO</t>
  </si>
  <si>
    <t>ISLE PUBLIC SCHOOL DISTRI</t>
  </si>
  <si>
    <t>PRINCETON PUBLIC SCHOOL D</t>
  </si>
  <si>
    <t>ONAMIA PUBLIC SCHOOL DIST</t>
  </si>
  <si>
    <t>LITTLE FALLS PUBLIC SCHOO</t>
  </si>
  <si>
    <t>PIERZ PUBLIC SCHOOL DISTR</t>
  </si>
  <si>
    <t>ROYALTON PUBLIC SCHOOL DI</t>
  </si>
  <si>
    <t>SWANVILLE PUBLIC SCHOOL D</t>
  </si>
  <si>
    <t>UPSALA PUBLIC SCHOOL DIST</t>
  </si>
  <si>
    <t>AUSTIN PUBLIC SCHOOL DIST</t>
  </si>
  <si>
    <t>GRAND MEADOW PUBLIC SCHOO</t>
  </si>
  <si>
    <t>LYLE PUBLIC SCHOOL DISTRI</t>
  </si>
  <si>
    <t>LEROY-OSTRANDER PUBLIC SC</t>
  </si>
  <si>
    <t>SOUTHLAND PUBLIC SCHOOL D</t>
  </si>
  <si>
    <t>FULDA PUBLIC SCHOOL DISTR</t>
  </si>
  <si>
    <t>NICOLLET PUBLIC SCHOOL DI</t>
  </si>
  <si>
    <t>ST. PETER PUBLIC SCHOOL D</t>
  </si>
  <si>
    <t>ADRIAN PUBLIC SCHOOL DIST</t>
  </si>
  <si>
    <t>ELLSWORTH PUBLIC SCHOOL D</t>
  </si>
  <si>
    <t>WORTHINGTON PUBLIC SCHOOL</t>
  </si>
  <si>
    <t>BYRON PUBLIC SCHOOL DISTR</t>
  </si>
  <si>
    <t>DOVER-EYOTA PUBLIC SCHOOL</t>
  </si>
  <si>
    <t>STEWARTVILLE PUBLIC SCHOO</t>
  </si>
  <si>
    <t>ROCHESTER PUBLIC SCHOOL D</t>
  </si>
  <si>
    <t>BATTLE LAKE PUBLIC SCHOOL</t>
  </si>
  <si>
    <t>FERGUS FALLS PUBLIC SCHOO</t>
  </si>
  <si>
    <t>HENNING PUBLIC SCHOOL DIS</t>
  </si>
  <si>
    <t>PARKERS PRAIRIE PUBLIC SC</t>
  </si>
  <si>
    <t>PELICAN RAPIDS PUBLIC SCH</t>
  </si>
  <si>
    <t>PERHAM-DENT PUBLIC SCHOOL</t>
  </si>
  <si>
    <t>UNDERWOOD PUBLIC SCHOOL D</t>
  </si>
  <si>
    <t>NEW YORK MILLS PUBLIC SCH</t>
  </si>
  <si>
    <t>GOODRIDGE PUBLIC SCHOOL D</t>
  </si>
  <si>
    <t xml:space="preserve">THIEF RIVER FALLS SCHOOL </t>
  </si>
  <si>
    <t>WILLOW RIVER PUBLIC SCHOO</t>
  </si>
  <si>
    <t>PINE CITY PUBLIC SCHOOL D</t>
  </si>
  <si>
    <t>EDGERTON PUBLIC SCHOOL DI</t>
  </si>
  <si>
    <t>CLIMAX-SHELLY PUBLIC SCHO</t>
  </si>
  <si>
    <t>CROOKSTON PUBLIC SCHOOL D</t>
  </si>
  <si>
    <t>EAST GRAND FORKS PUBLIC S</t>
  </si>
  <si>
    <t>FERTILE-BELTRAMI SCHOOL D</t>
  </si>
  <si>
    <t>FISHER PUBLIC SCHOOL DIST</t>
  </si>
  <si>
    <t>FOSSTON PUBLIC SCHOOL DIS</t>
  </si>
  <si>
    <t>MOUNDS VIEW PUBLIC SCHOOL</t>
  </si>
  <si>
    <t>NORTH ST PAUL-MAPLEWOOD S</t>
  </si>
  <si>
    <t>ROSEVILLE PUBLIC SCHOOL D</t>
  </si>
  <si>
    <t>WHITE BEAR LAKE SCHOOL DI</t>
  </si>
  <si>
    <t>ST. PAUL PUBLIC SCHOOL DI</t>
  </si>
  <si>
    <t>RED LAKE FALLS PUBLIC SCH</t>
  </si>
  <si>
    <t>MILROY PUBLIC SCHOOL DIST</t>
  </si>
  <si>
    <t>WABASSO PUBLIC SCHOOL DIS</t>
  </si>
  <si>
    <t>FARIBAULT PUBLIC SCHOOL D</t>
  </si>
  <si>
    <t xml:space="preserve">NORTHFIELD PUBLIC SCHOOL </t>
  </si>
  <si>
    <t>HILLS-BEAVER CREEK SCHOOL</t>
  </si>
  <si>
    <t>BADGER PUBLIC SCHOOL DIST</t>
  </si>
  <si>
    <t>ROSEAU PUBLIC SCHOOL DIST</t>
  </si>
  <si>
    <t>WARROAD PUBLIC SCHOOL DIS</t>
  </si>
  <si>
    <t>CHISHOLM PUBLIC SCHOOL DI</t>
  </si>
  <si>
    <t>ELY PUBLIC SCHOOL DISTRIC</t>
  </si>
  <si>
    <t>FLOODWOOD PUBLIC SCHOOL D</t>
  </si>
  <si>
    <t xml:space="preserve">HERMANTOWN PUBLIC SCHOOL </t>
  </si>
  <si>
    <t>HIBBING PUBLIC SCHOOL DIS</t>
  </si>
  <si>
    <t>PROCTOR PUBLIC SCHOOL DIS</t>
  </si>
  <si>
    <t>VIRGINIA PUBLIC SCHOOL DI</t>
  </si>
  <si>
    <t>NETT LAKE PUBLIC SCHOOL D</t>
  </si>
  <si>
    <t>DULUTH PUBLIC SCHOOL DIST</t>
  </si>
  <si>
    <t>MOUNTAIN IRON-BUHL SCHOOL</t>
  </si>
  <si>
    <t>BELLE PLAINE PUBLIC SCHOO</t>
  </si>
  <si>
    <t>JORDAN PUBLIC SCHOOL DIST</t>
  </si>
  <si>
    <t>PRIOR LAKE-SAVAGE AREA SC</t>
  </si>
  <si>
    <t>SHAKOPEE PUBLIC SCHOOL DI</t>
  </si>
  <si>
    <t xml:space="preserve">NEW PRAGUE AREA SCHOOLS  </t>
  </si>
  <si>
    <t>BECKER PUBLIC SCHOOL DIST</t>
  </si>
  <si>
    <t>BIG LAKE PUBLIC SCHOOL DI</t>
  </si>
  <si>
    <t>ELK RIVER PUBLIC SCHOOL D</t>
  </si>
  <si>
    <t>HOLDINGFORD PUBLIC SCHOOL</t>
  </si>
  <si>
    <t>KIMBALL PUBLIC SCHOOL DIS</t>
  </si>
  <si>
    <t>MELROSE PUBLIC SCHOOL DIS</t>
  </si>
  <si>
    <t>PAYNESVILLE PUBLIC SCHOOL</t>
  </si>
  <si>
    <t>ST. CLOUD PUBLIC SCHOOL D</t>
  </si>
  <si>
    <t>SAUK CENTRE PUBLIC SCHOOL</t>
  </si>
  <si>
    <t>ALBANY PUBLIC SCHOOL DIST</t>
  </si>
  <si>
    <t>SARTELL-ST. STEPHEN SCHOO</t>
  </si>
  <si>
    <t>ROCORI PUBLIC SCHOOL DIST</t>
  </si>
  <si>
    <t>BLOOMING PRAIRIE PUBLIC S</t>
  </si>
  <si>
    <t>OWATONNA PUBLIC SCHOOL DI</t>
  </si>
  <si>
    <t>MEDFORD PUBLIC SCHOOL DIS</t>
  </si>
  <si>
    <t>HANCOCK PUBLIC SCHOOL DIS</t>
  </si>
  <si>
    <t>CHOKIO-ALBERTA PUBLIC SCH</t>
  </si>
  <si>
    <t>KERKHOVEN-MURDOCK-SUNBURG</t>
  </si>
  <si>
    <t>BENSON PUBLIC SCHOOL DIST</t>
  </si>
  <si>
    <t>BERTHA-HEWITT PUBLIC SCHO</t>
  </si>
  <si>
    <t>BROWERVILLE PUBLIC SCHOOL</t>
  </si>
  <si>
    <t>BROWNS VALLEY PUBLIC SCHO</t>
  </si>
  <si>
    <t>WHEATON AREA PUBLIC SCHOO</t>
  </si>
  <si>
    <t>WABASHA-KELLOGG PUBLIC SC</t>
  </si>
  <si>
    <t>LAKE CITY PUBLIC SCHOOL D</t>
  </si>
  <si>
    <t>PRINSBURG PUBLIC SCHOOL D</t>
  </si>
  <si>
    <t>VERNDALE PUBLIC SCHOOL DI</t>
  </si>
  <si>
    <t>SEBEKA PUBLIC SCHOOL DIST</t>
  </si>
  <si>
    <t>MENAHGA PUBLIC SCHOOL DIS</t>
  </si>
  <si>
    <t>WASECA PUBLIC SCHOOL DIST</t>
  </si>
  <si>
    <t>FOREST LAKE PUBLIC SCHOOL</t>
  </si>
  <si>
    <t>MAHTOMEDI PUBLIC SCHOOL D</t>
  </si>
  <si>
    <t>SOUTH WASHINGTON COUNTY S</t>
  </si>
  <si>
    <t>STILLWATER AREA PUBLIC SC</t>
  </si>
  <si>
    <t>BUTTERFIELD PUBLIC SCHOOL</t>
  </si>
  <si>
    <t>MADELIA PUBLIC SCHOOL DIS</t>
  </si>
  <si>
    <t>ST. JAMES PUBLIC SCHOOL D</t>
  </si>
  <si>
    <t>BRECKENRIDGE PUBLIC SCHOO</t>
  </si>
  <si>
    <t>ROTHSAY PUBLIC SCHOOL DIS</t>
  </si>
  <si>
    <t>CAMPBELL-TINTAH PUBLIC SC</t>
  </si>
  <si>
    <t>LEWISTON-ALTURA PUBLIC SC</t>
  </si>
  <si>
    <t>ST. CHARLES PUBLIC SCHOOL</t>
  </si>
  <si>
    <t>WINONA AREA PUBLIC SCHOOL</t>
  </si>
  <si>
    <t>ANNANDALE PUBLIC SCHOOL D</t>
  </si>
  <si>
    <t xml:space="preserve">BUFFALO-HANOVER-MONTROSE </t>
  </si>
  <si>
    <t>DELANO PUBLIC SCHOOL DIST</t>
  </si>
  <si>
    <t xml:space="preserve">MAPLE LAKE PUBLIC SCHOOL </t>
  </si>
  <si>
    <t xml:space="preserve">MONTICELLO PUBLIC SCHOOL </t>
  </si>
  <si>
    <t>ROCKFORD PUBLIC SCHOOL DI</t>
  </si>
  <si>
    <t>ST. MICHAEL-ALBERTVILLE S</t>
  </si>
  <si>
    <t>CANBY PUBLIC SCHOOL DISTR</t>
  </si>
  <si>
    <t>CAMBRIDGE-ISANTI PUBLIC S</t>
  </si>
  <si>
    <t>MILACA PUBLIC SCHOOL DIST</t>
  </si>
  <si>
    <t>ULEN-HITTERDAL PUBLIC SCH</t>
  </si>
  <si>
    <t>LAKE CRYSTAL-WELLCOME MEM</t>
  </si>
  <si>
    <t xml:space="preserve">TRITON SCHOOL DISTRICT   </t>
  </si>
  <si>
    <t>UNITED SOUTH CENTRAL SCHO</t>
  </si>
  <si>
    <t>MAPLE RIVER SCHOOL DISTRI</t>
  </si>
  <si>
    <t>KINGSLAND PUBLIC SCHOOL D</t>
  </si>
  <si>
    <t>ST. LOUIS COUNTY SCHOOL D</t>
  </si>
  <si>
    <t>WATERVILLE-ELYSIAN-MORRIS</t>
  </si>
  <si>
    <t>CHISAGO LAKES SCHOOL DIST</t>
  </si>
  <si>
    <t>MINNEWASKA SCHOOL DISTRIC</t>
  </si>
  <si>
    <t>EVELETH-GILBERT SCHOOL DI</t>
  </si>
  <si>
    <t xml:space="preserve">WADENA-DEER CREEK SCHOOL </t>
  </si>
  <si>
    <t>BUFFALO LK-HECTOR-STEWART</t>
  </si>
  <si>
    <t xml:space="preserve">DILWORTH-GLYNDON-FELTON  </t>
  </si>
  <si>
    <t>HINCKLEY-FINLAYSON SCHOOL</t>
  </si>
  <si>
    <t xml:space="preserve">LAKEVIEW SCHOOL DISTRICT </t>
  </si>
  <si>
    <t xml:space="preserve">NRHEG SCHOOL DISTRICT    </t>
  </si>
  <si>
    <t>MURRAY COUNTY CENTRAL SCH</t>
  </si>
  <si>
    <t>STAPLES-MOTLEY SCHOOL DIS</t>
  </si>
  <si>
    <t>KITTSON CENTRAL SCHOOL DI</t>
  </si>
  <si>
    <t>KENYON-WANAMINGO SCHOOL D</t>
  </si>
  <si>
    <t xml:space="preserve">PINE RIVER-BACKUS SCHOOL </t>
  </si>
  <si>
    <t>WARREN-ALVARADO-OSLO SCHO</t>
  </si>
  <si>
    <t>M.A.C.C.R.A.Y. SCHOOL DIS</t>
  </si>
  <si>
    <t>LUVERNE PUBLIC SCHOOL DIS</t>
  </si>
  <si>
    <t xml:space="preserve">YELLOW MEDICINE EAST     </t>
  </si>
  <si>
    <t xml:space="preserve">FILLMORE CENTRAL         </t>
  </si>
  <si>
    <t>NORMAN COUNTY EAST SCHOOL</t>
  </si>
  <si>
    <t>SIBLEY EAST SCHOOL DISTRI</t>
  </si>
  <si>
    <t>CLEARBROOK-GONVICK SCHOOL</t>
  </si>
  <si>
    <t xml:space="preserve">WEST CENTRAL AREA        </t>
  </si>
  <si>
    <t>TRI-COUNTY SCHOOL DISTRIC</t>
  </si>
  <si>
    <t>BELGRADE-BROOTEN-ELROSA S</t>
  </si>
  <si>
    <t xml:space="preserve">G.F.W.                   </t>
  </si>
  <si>
    <t xml:space="preserve">A.C.G.C.                 </t>
  </si>
  <si>
    <t>LE SUEUR-HENDERSON SCHOOL</t>
  </si>
  <si>
    <t>MARTIN COUNTY WEST SCHOOL</t>
  </si>
  <si>
    <t>NORMAN COUNTY WEST SCHOOL</t>
  </si>
  <si>
    <t>BIRD ISLAND-OLIVIA-LAKE L</t>
  </si>
  <si>
    <t>GRANADA HUNTLEY-EAST CHAI</t>
  </si>
  <si>
    <t>EAST CENTRAL SCHOOL DISTR</t>
  </si>
  <si>
    <t>WIN-E-MAC SCHOOL DISTRICT</t>
  </si>
  <si>
    <t>GREENBUSH-MIDDLE RIVER SC</t>
  </si>
  <si>
    <t>HOWARD LAKE-WAVERLY-WINST</t>
  </si>
  <si>
    <t>PIPESTONE AREA SCHOOL DIS</t>
  </si>
  <si>
    <t>MESABI EAST SCHOOL DISTRI</t>
  </si>
  <si>
    <t>FAIRMONT AREA SCHOOL DIST</t>
  </si>
  <si>
    <t>LONG PRAIRIE-GREY EAGLE S</t>
  </si>
  <si>
    <t>CEDAR MOUNTAIN SCHOOL DIS</t>
  </si>
  <si>
    <t>EAGLE VALLEY PUBLIC SCHOO</t>
  </si>
  <si>
    <t>ZUMBROTA-MAZEPPA SCHOOL D</t>
  </si>
  <si>
    <t>JANESVILLE-WALDORF-PEMBER</t>
  </si>
  <si>
    <t>LAC QUI PARLE VALLEY SCHO</t>
  </si>
  <si>
    <t>ADA-BORUP PUBLIC SCHOOL D</t>
  </si>
  <si>
    <t>STEPHEN-ARGYLE CENTRAL SC</t>
  </si>
  <si>
    <t>GLENCOE-SILVER LAKE SCHOO</t>
  </si>
  <si>
    <t>BLUE EARTH AREA PUBLIC SC</t>
  </si>
  <si>
    <t>RED ROCK CENTRAL SCHOOL D</t>
  </si>
  <si>
    <t>GLENVILLE-EMMONS SCHOOL D</t>
  </si>
  <si>
    <t>CLINTON-GRACEVILLE-BEARDS</t>
  </si>
  <si>
    <t xml:space="preserve">LAKE PARK AUDUBON SCHOOL </t>
  </si>
  <si>
    <t>RENVILLE COUNTY WEST SCHO</t>
  </si>
  <si>
    <t>JACKSON COUNTY CENTRAL SC</t>
  </si>
  <si>
    <t>REDWOOD AREA SCHOOL DISTR</t>
  </si>
  <si>
    <t>WESTBROOK-WALNUT GROVE SC</t>
  </si>
  <si>
    <t>PLAINVIEW-ELGIN-MILLVILLE</t>
  </si>
  <si>
    <t xml:space="preserve">RTR PUBLIC SCHOOLS       </t>
  </si>
  <si>
    <t>ORTONVILLE PUBLIC SCHOOLS</t>
  </si>
  <si>
    <t xml:space="preserve">TRACY AREA PUBLIC SCHOOL </t>
  </si>
  <si>
    <t>TRI-CITY UNITED SCHOOL DI</t>
  </si>
  <si>
    <t>MORRIS AREA PUBLIC SCHOOLS</t>
  </si>
  <si>
    <t>RED LAKE COUNTY CENTRAL</t>
  </si>
  <si>
    <t>ROUND LAKE-BREWSTER PUBLIC S</t>
  </si>
  <si>
    <t>BRANDON-EVANSVILLE PUBLIC S</t>
  </si>
  <si>
    <t xml:space="preserve">                                                                                                                                                                                                                                                                                                                                                                                                                                                                                                                                                                                                                                                                                                                                                                                                         </t>
  </si>
  <si>
    <t>G:\Finance|Colleen's Files\Taxshift\Shift 12-13\Final Taxshift\TAXSHIFT-final history 12-13.xlsx</t>
  </si>
  <si>
    <t xml:space="preserve">Pay 2014 STR  Pay 2014 STR (G:\Finance\Colleen's Files\Levies\Levy Pay 2014\School Tax Reports &amp;Edits\Query Pay 2014 School Tax Report Data.xls         
</t>
  </si>
  <si>
    <t>STR column-row</t>
  </si>
  <si>
    <t>21-1</t>
  </si>
  <si>
    <t>21-2</t>
  </si>
  <si>
    <t>21-3</t>
  </si>
  <si>
    <t>21-4</t>
  </si>
  <si>
    <t>21-5</t>
  </si>
  <si>
    <t>21-6</t>
  </si>
  <si>
    <t>21-7</t>
  </si>
  <si>
    <t>21-8</t>
  </si>
  <si>
    <t>21-9</t>
  </si>
  <si>
    <t>dst_act_sts</t>
  </si>
  <si>
    <t>mnt_crt_tax_lvy_6</t>
  </si>
  <si>
    <t>mnt_cua_tax_adj_6</t>
  </si>
  <si>
    <t>mnt_crt_tax_lvy_5</t>
  </si>
  <si>
    <t>mnt_cua_tax_adj_5</t>
  </si>
  <si>
    <t>mnt_crt_tax_lvy_3</t>
  </si>
  <si>
    <t>mnt_cua_tax_adj_3</t>
  </si>
  <si>
    <t>mnt_crt_tax_lvy</t>
  </si>
  <si>
    <t>mnt_cua_tax_adj</t>
  </si>
  <si>
    <t>cse_crt_tax_lvy</t>
  </si>
  <si>
    <t>cse_cua_tax_adj</t>
  </si>
  <si>
    <t>gds_crt_tax_lvy</t>
  </si>
  <si>
    <t>gds_cua_tax_adj</t>
  </si>
  <si>
    <t>gds_crt_tax_lvy_2</t>
  </si>
  <si>
    <t>gds_cua_tax_adj_2</t>
  </si>
  <si>
    <t>peb_crt_tax_lvy</t>
  </si>
  <si>
    <t>peb_cua_tax_adj</t>
  </si>
  <si>
    <t>peb_crt_tax_lvy_2</t>
  </si>
  <si>
    <t>peb_cua_tax_adj_2</t>
  </si>
  <si>
    <t>13-14</t>
  </si>
  <si>
    <t>calc</t>
  </si>
  <si>
    <t>STR Total</t>
  </si>
  <si>
    <t>Cert Levy Total</t>
  </si>
  <si>
    <t>Dist</t>
  </si>
  <si>
    <t>Type</t>
  </si>
  <si>
    <t>Name</t>
  </si>
  <si>
    <t>ROUND LAKE-BREWSTER</t>
  </si>
  <si>
    <t>BRANDON-EVANSVILLE</t>
  </si>
  <si>
    <t>TRI-CITY UNITED</t>
  </si>
  <si>
    <t>WESTBROOK-WALNUT-GROVE</t>
  </si>
  <si>
    <t>REDWOOD AREA</t>
  </si>
  <si>
    <t>JACKSON COUNTY CENTRAL</t>
  </si>
  <si>
    <t>RENVILLE COUNTY WEST</t>
  </si>
  <si>
    <t>LAKE PARK AUDUBON</t>
  </si>
  <si>
    <t>CLINTON-GRACEVILLE-B</t>
  </si>
  <si>
    <t>GLENCOE-SILVER LAKE</t>
  </si>
  <si>
    <t>STEPHEN-ARGYLE CENTRAL</t>
  </si>
  <si>
    <t>LAC QUI PARLE VALLEY</t>
  </si>
  <si>
    <t>JANESVILLE-WALDORF-P</t>
  </si>
  <si>
    <t>EAGLE VALLEY PUBLIC SCH</t>
  </si>
  <si>
    <t>LONG PRAIRIE-GREY EAGLE</t>
  </si>
  <si>
    <t>FAIRMONT AREA</t>
  </si>
  <si>
    <t>PIPESTONE AREA</t>
  </si>
  <si>
    <t>HOWARD LAKE-WAVERLY-W</t>
  </si>
  <si>
    <t>GREENBUSH-MIDDLE RIVER</t>
  </si>
  <si>
    <t>GRANADA HUNTLEY-EAST C</t>
  </si>
  <si>
    <t>EAST CENTRAL</t>
  </si>
  <si>
    <t>BIRD ISLAND-OLIVIA LAKE</t>
  </si>
  <si>
    <t>NORMAN COUNTY WEST</t>
  </si>
  <si>
    <t>MARTIN COUNTY WEST</t>
  </si>
  <si>
    <t>LESUEUR-HENDERSON</t>
  </si>
  <si>
    <t>BELGRADE-BROOTEN-ELROSA</t>
  </si>
  <si>
    <t>WEST CENTRAL AREA</t>
  </si>
  <si>
    <t>CLEARBROOK-GONVICK</t>
  </si>
  <si>
    <t>NORMAN COUNTY EAST</t>
  </si>
  <si>
    <t>YELLOW MEDICINE EAST</t>
  </si>
  <si>
    <t>WARREN-ALVARADO-O</t>
  </si>
  <si>
    <t>PINE RIVER-BACKUS</t>
  </si>
  <si>
    <t>MURRAY COUNTY CENTRAL</t>
  </si>
  <si>
    <t>HINCKLEY-FINLAYSON</t>
  </si>
  <si>
    <t>DILWORTH-GLYNDON-F</t>
  </si>
  <si>
    <t>BUFFALO LK-HECTOR-S</t>
  </si>
  <si>
    <t>WADENA-DEER CREEK</t>
  </si>
  <si>
    <t>WATERVILLE-ELYSIAN-M</t>
  </si>
  <si>
    <t>UNITED SOUTH CENTRAL</t>
  </si>
  <si>
    <t>LAKE CRYSTAL-WELLCOME</t>
  </si>
  <si>
    <t>MORRIS AREA</t>
  </si>
  <si>
    <t>CENTRAL</t>
  </si>
  <si>
    <t>EASTERN CARVER COUNTY</t>
  </si>
  <si>
    <t>WALKER-HACKENSACK-A</t>
  </si>
  <si>
    <t>CASS LAKE-BENA</t>
  </si>
  <si>
    <t>INVER GROVE HEIGHTS</t>
  </si>
  <si>
    <t>KASSON-MANTORVILLE</t>
  </si>
  <si>
    <t>RUSHFORD-PETERSON</t>
  </si>
  <si>
    <t>ALDEN-CONGER</t>
  </si>
  <si>
    <t>ST. ANTHONY-NEW BRIGHTON</t>
  </si>
  <si>
    <t>NASHWAUK-KEEWATIN</t>
  </si>
  <si>
    <t>HERON LAKE-OKABENA</t>
  </si>
  <si>
    <t>NEW LONDON-SPICER</t>
  </si>
  <si>
    <t>INTERNATIONAL FALLS</t>
  </si>
  <si>
    <t>LITTLEFORK-BIG FALLS</t>
  </si>
  <si>
    <t>SOUTH KOOCHICHING</t>
  </si>
  <si>
    <t>LAKE OF THE WOODS</t>
  </si>
  <si>
    <t>WAUBUN-OGEMA-WHITE E</t>
  </si>
  <si>
    <t>EDEN VALLEY-WATKINS</t>
  </si>
  <si>
    <t>LEROY-OSTRANDER</t>
  </si>
  <si>
    <t>PERHAM-DENT</t>
  </si>
  <si>
    <t>THIEF RIVER FALLS</t>
  </si>
  <si>
    <t>CLIMAX-SHELLY</t>
  </si>
  <si>
    <t>NORTH ST PAUL-MAPLEWOOD</t>
  </si>
  <si>
    <t>HILLS-BEAVER CREEK</t>
  </si>
  <si>
    <t>MOUNTAIN IRON-BUHL</t>
  </si>
  <si>
    <t>PRIOR LAKE-SAVAGE</t>
  </si>
  <si>
    <t>SARTELL-ST. STEPHEN</t>
  </si>
  <si>
    <t>KERKHOVEN-MURDOCK-S</t>
  </si>
  <si>
    <t>WINONA AREA</t>
  </si>
  <si>
    <t>ST. MICHAEL-ALBERTVILLE</t>
  </si>
  <si>
    <t>Query Date 07-06-14</t>
  </si>
  <si>
    <t>MNT-TAC-SLP-HMC</t>
  </si>
  <si>
    <t>CSE-TAC-SLP-HMC</t>
  </si>
  <si>
    <t>GDS-TAC-SLP-HMC</t>
  </si>
  <si>
    <t>PEB-TAC-SLP-HMC</t>
  </si>
  <si>
    <t>ACU-TAC-SLP-CRD</t>
  </si>
  <si>
    <t>TOTAL</t>
  </si>
  <si>
    <t>GENERAL</t>
  </si>
  <si>
    <t>DEBT</t>
  </si>
  <si>
    <t>COMMED</t>
  </si>
  <si>
    <t>DIST</t>
  </si>
  <si>
    <t>TYPE</t>
  </si>
  <si>
    <t>NAME</t>
  </si>
  <si>
    <t>Pay 2014 Levy Summary data (G:\Finance\LEVY\levy summaries\…\......xls)</t>
  </si>
  <si>
    <t>dsg_lvy</t>
  </si>
  <si>
    <t>mnt_lvy_ini_une</t>
  </si>
  <si>
    <t>car_tec_lvy_crt</t>
  </si>
  <si>
    <t>hea_ben_lvy</t>
  </si>
  <si>
    <t>add_ret_lvy</t>
  </si>
  <si>
    <t>dsg_adj_lvy</t>
  </si>
  <si>
    <t>dsg_adj_lvy_2</t>
  </si>
  <si>
    <t>une_adj_lvy</t>
  </si>
  <si>
    <t>mnt_lvy_une_fb1</t>
  </si>
  <si>
    <t>car_tec_adj_lvy</t>
  </si>
  <si>
    <t>hea_ben_adj_lvy</t>
  </si>
  <si>
    <t>ref_mkt_err_crt</t>
  </si>
  <si>
    <t>ref_tcp_err_crt</t>
  </si>
  <si>
    <t>fixed</t>
  </si>
  <si>
    <t>PRIOR LAKE-SAVAG</t>
  </si>
  <si>
    <t>cos-num</t>
  </si>
  <si>
    <t>dist</t>
  </si>
  <si>
    <t>type</t>
  </si>
  <si>
    <t>NORTH ST PAUL-MAPLEWOOD O</t>
  </si>
  <si>
    <t>A.C.G.C. PUBLIC SCHOOL DI</t>
  </si>
  <si>
    <t>MORRIS AREA PUBLIC SCHOOL</t>
  </si>
  <si>
    <t>RED LAKE COUNTY CENTRAL P</t>
  </si>
  <si>
    <t>ROUND LAKE-BREWSTER PUBLI</t>
  </si>
  <si>
    <t>BRANDON-EVANSVILLE PUBLIC</t>
  </si>
  <si>
    <t>Total May-June 2014 Tax Receipts for Ideas</t>
  </si>
  <si>
    <t>Starting in fiscal year 2014, the shift percentage for other levies was again set to zero percent.</t>
  </si>
  <si>
    <t>GDS Debt</t>
  </si>
  <si>
    <t>OPEB Debt</t>
  </si>
  <si>
    <t>line left blank intentionally</t>
  </si>
  <si>
    <t>End of worksheet</t>
  </si>
  <si>
    <t>n/a</t>
  </si>
  <si>
    <t>rest of column left blank intentionally</t>
  </si>
  <si>
    <t>coulumn left blank intentionally</t>
  </si>
  <si>
    <t>rest of coulumn left blank intentionally</t>
  </si>
  <si>
    <t>rest of line left blank</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</si>
</sst>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7" formatCode="&quot;$&quot;#,##0.00_);\(&quot;$&quot;#,##0.00\)"/>
    <numFmt numFmtId="44" formatCode="_(&quot;$&quot;* #,##0.00_);_(&quot;$&quot;* \(#,##0.00\);_(&quot;$&quot;* &quot;-&quot;??_);_(@_)"/>
    <numFmt numFmtId="43" formatCode="_(* #,##0.00_);_(* \(#,##0.00\);_(* &quot;-&quot;??_);_(@_)"/>
    <numFmt numFmtId="164" formatCode="0.0%"/>
    <numFmt numFmtId="165" formatCode="0_);\(0\)"/>
    <numFmt numFmtId="166" formatCode="mm/dd/yy"/>
    <numFmt numFmtId="167" formatCode="mm/dd/yy;@"/>
    <numFmt numFmtId="168" formatCode="[$-409]mmmm\ d\,\ yyyy;@"/>
    <numFmt numFmtId="169" formatCode="0.0_);\(0.0\)"/>
    <numFmt numFmtId="170" formatCode="#,##0.000_);\(#,##0.000\)"/>
    <numFmt numFmtId="171" formatCode="_(* #,##0_);_(* \(#,##0\);_(* &quot;-&quot;??_);_(@_)"/>
  </numFmts>
  <fonts count="56" x14ac:knownFonts="1">
    <font>
      <sz val="8"/>
      <name val="Arial"/>
      <family val="2"/>
    </font>
    <font>
      <sz val="10"/>
      <name val="Arial"/>
      <family val="2"/>
    </font>
    <font>
      <sz val="8"/>
      <name val="Arial"/>
      <family val="2"/>
    </font>
    <font>
      <b/>
      <sz val="8"/>
      <name val="Arial"/>
      <family val="2"/>
    </font>
    <font>
      <sz val="8"/>
      <color indexed="10"/>
      <name val="Arial"/>
      <family val="2"/>
    </font>
    <font>
      <sz val="10"/>
      <color indexed="81"/>
      <name val="Tahoma"/>
      <family val="2"/>
    </font>
    <font>
      <b/>
      <sz val="10"/>
      <color indexed="81"/>
      <name val="Tahoma"/>
      <family val="2"/>
    </font>
    <font>
      <b/>
      <sz val="8"/>
      <color indexed="10"/>
      <name val="Arial"/>
      <family val="2"/>
    </font>
    <font>
      <b/>
      <sz val="8"/>
      <color indexed="81"/>
      <name val="Arial"/>
      <family val="2"/>
    </font>
    <font>
      <sz val="8"/>
      <color indexed="81"/>
      <name val="Arial"/>
      <family val="2"/>
    </font>
    <font>
      <sz val="8"/>
      <color indexed="81"/>
      <name val="Tahoma"/>
      <family val="2"/>
    </font>
    <font>
      <b/>
      <sz val="8"/>
      <color indexed="81"/>
      <name val="Tahoma"/>
      <family val="2"/>
    </font>
    <font>
      <sz val="11"/>
      <name val="Times New Roman"/>
      <family val="1"/>
    </font>
    <font>
      <sz val="8.5"/>
      <name val="Arial"/>
      <family val="2"/>
    </font>
    <font>
      <sz val="12"/>
      <name val="Arial"/>
      <family val="2"/>
    </font>
    <font>
      <b/>
      <sz val="8.5"/>
      <name val="Arial"/>
      <family val="2"/>
    </font>
    <font>
      <sz val="9"/>
      <name val="Arial"/>
      <family val="2"/>
    </font>
    <font>
      <sz val="10"/>
      <name val="Arial"/>
      <family val="2"/>
    </font>
    <font>
      <sz val="11"/>
      <color theme="1"/>
      <name val="Calibri"/>
      <family val="2"/>
      <scheme val="minor"/>
    </font>
    <font>
      <sz val="10"/>
      <color theme="1"/>
      <name val="Arial"/>
      <family val="2"/>
    </font>
    <font>
      <sz val="11"/>
      <color theme="0"/>
      <name val="Calibri"/>
      <family val="2"/>
      <scheme val="minor"/>
    </font>
    <font>
      <sz val="10"/>
      <color theme="0"/>
      <name val="Arial"/>
      <family val="2"/>
    </font>
    <font>
      <sz val="11"/>
      <color rgb="FF9C0006"/>
      <name val="Calibri"/>
      <family val="2"/>
      <scheme val="minor"/>
    </font>
    <font>
      <sz val="10"/>
      <color rgb="FF9C0006"/>
      <name val="Arial"/>
      <family val="2"/>
    </font>
    <font>
      <b/>
      <sz val="11"/>
      <color rgb="FFFA7D00"/>
      <name val="Calibri"/>
      <family val="2"/>
      <scheme val="minor"/>
    </font>
    <font>
      <b/>
      <sz val="10"/>
      <color rgb="FFFA7D00"/>
      <name val="Arial"/>
      <family val="2"/>
    </font>
    <font>
      <b/>
      <sz val="11"/>
      <color theme="0"/>
      <name val="Calibri"/>
      <family val="2"/>
      <scheme val="minor"/>
    </font>
    <font>
      <b/>
      <sz val="10"/>
      <color theme="0"/>
      <name val="Arial"/>
      <family val="2"/>
    </font>
    <font>
      <i/>
      <sz val="11"/>
      <color rgb="FF7F7F7F"/>
      <name val="Calibri"/>
      <family val="2"/>
      <scheme val="minor"/>
    </font>
    <font>
      <i/>
      <sz val="10"/>
      <color rgb="FF7F7F7F"/>
      <name val="Arial"/>
      <family val="2"/>
    </font>
    <font>
      <sz val="11"/>
      <color rgb="FF006100"/>
      <name val="Calibri"/>
      <family val="2"/>
      <scheme val="minor"/>
    </font>
    <font>
      <sz val="10"/>
      <color rgb="FF006100"/>
      <name val="Arial"/>
      <family val="2"/>
    </font>
    <font>
      <b/>
      <sz val="15"/>
      <color theme="3"/>
      <name val="Calibri"/>
      <family val="2"/>
      <scheme val="minor"/>
    </font>
    <font>
      <b/>
      <sz val="15"/>
      <color theme="3"/>
      <name val="Arial"/>
      <family val="2"/>
    </font>
    <font>
      <b/>
      <sz val="13"/>
      <color theme="3"/>
      <name val="Calibri"/>
      <family val="2"/>
      <scheme val="minor"/>
    </font>
    <font>
      <b/>
      <sz val="13"/>
      <color theme="3"/>
      <name val="Arial"/>
      <family val="2"/>
    </font>
    <font>
      <b/>
      <sz val="11"/>
      <color theme="3"/>
      <name val="Calibri"/>
      <family val="2"/>
      <scheme val="minor"/>
    </font>
    <font>
      <b/>
      <sz val="11"/>
      <color theme="3"/>
      <name val="Arial"/>
      <family val="2"/>
    </font>
    <font>
      <sz val="11"/>
      <color rgb="FF3F3F76"/>
      <name val="Calibri"/>
      <family val="2"/>
      <scheme val="minor"/>
    </font>
    <font>
      <sz val="10"/>
      <color rgb="FF3F3F76"/>
      <name val="Arial"/>
      <family val="2"/>
    </font>
    <font>
      <sz val="11"/>
      <color rgb="FFFA7D00"/>
      <name val="Calibri"/>
      <family val="2"/>
      <scheme val="minor"/>
    </font>
    <font>
      <sz val="10"/>
      <color rgb="FFFA7D00"/>
      <name val="Arial"/>
      <family val="2"/>
    </font>
    <font>
      <sz val="11"/>
      <color rgb="FF9C6500"/>
      <name val="Calibri"/>
      <family val="2"/>
      <scheme val="minor"/>
    </font>
    <font>
      <sz val="10"/>
      <color rgb="FF9C6500"/>
      <name val="Arial"/>
      <family val="2"/>
    </font>
    <font>
      <b/>
      <sz val="11"/>
      <color rgb="FF3F3F3F"/>
      <name val="Calibri"/>
      <family val="2"/>
      <scheme val="minor"/>
    </font>
    <font>
      <b/>
      <sz val="10"/>
      <color rgb="FF3F3F3F"/>
      <name val="Arial"/>
      <family val="2"/>
    </font>
    <font>
      <b/>
      <sz val="18"/>
      <color theme="3"/>
      <name val="Cambria"/>
      <family val="2"/>
      <scheme val="major"/>
    </font>
    <font>
      <b/>
      <sz val="11"/>
      <color theme="1"/>
      <name val="Calibri"/>
      <family val="2"/>
      <scheme val="minor"/>
    </font>
    <font>
      <b/>
      <sz val="10"/>
      <color theme="1"/>
      <name val="Arial"/>
      <family val="2"/>
    </font>
    <font>
      <sz val="11"/>
      <color rgb="FFFF0000"/>
      <name val="Calibri"/>
      <family val="2"/>
      <scheme val="minor"/>
    </font>
    <font>
      <sz val="10"/>
      <color rgb="FFFF0000"/>
      <name val="Arial"/>
      <family val="2"/>
    </font>
    <font>
      <b/>
      <sz val="10"/>
      <color rgb="FFFF0000"/>
      <name val="Arial"/>
      <family val="2"/>
    </font>
    <font>
      <sz val="8"/>
      <color theme="1"/>
      <name val="Arial"/>
      <family val="2"/>
    </font>
    <font>
      <sz val="8"/>
      <color rgb="FF0070C0"/>
      <name val="Arial"/>
      <family val="2"/>
    </font>
    <font>
      <sz val="8"/>
      <color theme="4" tint="-0.249977111117893"/>
      <name val="Arial"/>
      <family val="2"/>
    </font>
    <font>
      <sz val="8"/>
      <color theme="0"/>
      <name val="Arial"/>
      <family val="2"/>
    </font>
  </fonts>
  <fills count="42">
    <fill>
      <patternFill patternType="none"/>
    </fill>
    <fill>
      <patternFill patternType="gray125"/>
    </fill>
    <fill>
      <patternFill patternType="solid">
        <fgColor indexed="41"/>
        <bgColor indexed="64"/>
      </patternFill>
    </fill>
    <fill>
      <patternFill patternType="solid">
        <fgColor indexed="47"/>
        <bgColor indexed="64"/>
      </patternFill>
    </fill>
    <fill>
      <patternFill patternType="solid">
        <fgColor indexed="45"/>
        <bgColor indexed="64"/>
      </patternFill>
    </fill>
    <fill>
      <patternFill patternType="solid">
        <fgColor indexed="43"/>
        <bgColor indexed="64"/>
      </patternFill>
    </fill>
    <fill>
      <patternFill patternType="solid">
        <fgColor indexed="42"/>
        <bgColor indexed="64"/>
      </patternFill>
    </fill>
    <fill>
      <patternFill patternType="solid">
        <fgColor indexed="13"/>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6" tint="0.39997558519241921"/>
        <bgColor indexed="64"/>
      </patternFill>
    </fill>
    <fill>
      <patternFill patternType="solid">
        <fgColor theme="0"/>
        <bgColor indexed="64"/>
      </patternFill>
    </fill>
    <fill>
      <patternFill patternType="solid">
        <fgColor rgb="FFFFFF00"/>
        <bgColor indexed="64"/>
      </patternFill>
    </fill>
  </fills>
  <borders count="32">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double">
        <color indexed="64"/>
      </bottom>
      <diagonal/>
    </border>
    <border>
      <left/>
      <right style="thin">
        <color indexed="64"/>
      </right>
      <top/>
      <bottom style="double">
        <color indexed="64"/>
      </bottom>
      <diagonal/>
    </border>
    <border diagonalDown="1">
      <left/>
      <right/>
      <top/>
      <bottom/>
      <diagonal style="thin">
        <color indexed="64"/>
      </diagonal>
    </border>
    <border diagonalUp="1">
      <left/>
      <right/>
      <top/>
      <bottom/>
      <diagonal style="thin">
        <color indexed="64"/>
      </diagonal>
    </border>
    <border>
      <left/>
      <right/>
      <top style="thin">
        <color indexed="64"/>
      </top>
      <bottom style="double">
        <color indexed="64"/>
      </bottom>
      <diagonal/>
    </border>
    <border>
      <left style="thick">
        <color indexed="52"/>
      </left>
      <right/>
      <top style="thick">
        <color indexed="52"/>
      </top>
      <bottom/>
      <diagonal/>
    </border>
    <border>
      <left/>
      <right/>
      <top style="thick">
        <color indexed="52"/>
      </top>
      <bottom/>
      <diagonal/>
    </border>
    <border>
      <left/>
      <right style="thick">
        <color indexed="52"/>
      </right>
      <top style="thick">
        <color indexed="52"/>
      </top>
      <bottom/>
      <diagonal/>
    </border>
    <border>
      <left style="thick">
        <color indexed="52"/>
      </left>
      <right/>
      <top/>
      <bottom/>
      <diagonal/>
    </border>
    <border>
      <left/>
      <right style="thick">
        <color indexed="52"/>
      </right>
      <top/>
      <bottom/>
      <diagonal/>
    </border>
    <border>
      <left style="thick">
        <color indexed="52"/>
      </left>
      <right/>
      <top/>
      <bottom style="thick">
        <color indexed="52"/>
      </bottom>
      <diagonal/>
    </border>
    <border>
      <left/>
      <right/>
      <top/>
      <bottom style="thick">
        <color indexed="52"/>
      </bottom>
      <diagonal/>
    </border>
    <border>
      <left/>
      <right style="thick">
        <color indexed="52"/>
      </right>
      <top/>
      <bottom style="thick">
        <color indexed="52"/>
      </bottom>
      <diagonal/>
    </border>
    <border>
      <left style="medium">
        <color indexed="64"/>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144">
    <xf numFmtId="39" fontId="0" fillId="0" borderId="0"/>
    <xf numFmtId="0" fontId="18" fillId="8" borderId="0" applyNumberFormat="0" applyBorder="0" applyAlignment="0" applyProtection="0"/>
    <xf numFmtId="0" fontId="19" fillId="8" borderId="0" applyNumberFormat="0" applyBorder="0" applyAlignment="0" applyProtection="0"/>
    <xf numFmtId="0" fontId="18" fillId="9" borderId="0" applyNumberFormat="0" applyBorder="0" applyAlignment="0" applyProtection="0"/>
    <xf numFmtId="0" fontId="19" fillId="9" borderId="0" applyNumberFormat="0" applyBorder="0" applyAlignment="0" applyProtection="0"/>
    <xf numFmtId="0" fontId="18" fillId="10" borderId="0" applyNumberFormat="0" applyBorder="0" applyAlignment="0" applyProtection="0"/>
    <xf numFmtId="0" fontId="19" fillId="10" borderId="0" applyNumberFormat="0" applyBorder="0" applyAlignment="0" applyProtection="0"/>
    <xf numFmtId="0" fontId="18" fillId="11" borderId="0" applyNumberFormat="0" applyBorder="0" applyAlignment="0" applyProtection="0"/>
    <xf numFmtId="0" fontId="19" fillId="11" borderId="0" applyNumberFormat="0" applyBorder="0" applyAlignment="0" applyProtection="0"/>
    <xf numFmtId="0" fontId="18" fillId="12" borderId="0" applyNumberFormat="0" applyBorder="0" applyAlignment="0" applyProtection="0"/>
    <xf numFmtId="0" fontId="19" fillId="12" borderId="0" applyNumberFormat="0" applyBorder="0" applyAlignment="0" applyProtection="0"/>
    <xf numFmtId="0" fontId="18" fillId="13" borderId="0" applyNumberFormat="0" applyBorder="0" applyAlignment="0" applyProtection="0"/>
    <xf numFmtId="0" fontId="19" fillId="13" borderId="0" applyNumberFormat="0" applyBorder="0" applyAlignment="0" applyProtection="0"/>
    <xf numFmtId="0" fontId="18" fillId="14" borderId="0" applyNumberFormat="0" applyBorder="0" applyAlignment="0" applyProtection="0"/>
    <xf numFmtId="0" fontId="19" fillId="14" borderId="0" applyNumberFormat="0" applyBorder="0" applyAlignment="0" applyProtection="0"/>
    <xf numFmtId="0" fontId="18" fillId="15" borderId="0" applyNumberFormat="0" applyBorder="0" applyAlignment="0" applyProtection="0"/>
    <xf numFmtId="0" fontId="19" fillId="15" borderId="0" applyNumberFormat="0" applyBorder="0" applyAlignment="0" applyProtection="0"/>
    <xf numFmtId="0" fontId="18" fillId="16" borderId="0" applyNumberFormat="0" applyBorder="0" applyAlignment="0" applyProtection="0"/>
    <xf numFmtId="0" fontId="19" fillId="16" borderId="0" applyNumberFormat="0" applyBorder="0" applyAlignment="0" applyProtection="0"/>
    <xf numFmtId="0" fontId="18" fillId="17" borderId="0" applyNumberFormat="0" applyBorder="0" applyAlignment="0" applyProtection="0"/>
    <xf numFmtId="0" fontId="19" fillId="17" borderId="0" applyNumberFormat="0" applyBorder="0" applyAlignment="0" applyProtection="0"/>
    <xf numFmtId="0" fontId="18" fillId="18" borderId="0" applyNumberFormat="0" applyBorder="0" applyAlignment="0" applyProtection="0"/>
    <xf numFmtId="0" fontId="19" fillId="18" borderId="0" applyNumberFormat="0" applyBorder="0" applyAlignment="0" applyProtection="0"/>
    <xf numFmtId="0" fontId="18" fillId="19" borderId="0" applyNumberFormat="0" applyBorder="0" applyAlignment="0" applyProtection="0"/>
    <xf numFmtId="0" fontId="19" fillId="19" borderId="0" applyNumberFormat="0" applyBorder="0" applyAlignment="0" applyProtection="0"/>
    <xf numFmtId="0" fontId="20" fillId="20" borderId="0" applyNumberFormat="0" applyBorder="0" applyAlignment="0" applyProtection="0"/>
    <xf numFmtId="0" fontId="21" fillId="20" borderId="0" applyNumberFormat="0" applyBorder="0" applyAlignment="0" applyProtection="0"/>
    <xf numFmtId="0" fontId="20" fillId="21" borderId="0" applyNumberFormat="0" applyBorder="0" applyAlignment="0" applyProtection="0"/>
    <xf numFmtId="0" fontId="21" fillId="21" borderId="0" applyNumberFormat="0" applyBorder="0" applyAlignment="0" applyProtection="0"/>
    <xf numFmtId="0" fontId="20" fillId="22" borderId="0" applyNumberFormat="0" applyBorder="0" applyAlignment="0" applyProtection="0"/>
    <xf numFmtId="0" fontId="21" fillId="22" borderId="0" applyNumberFormat="0" applyBorder="0" applyAlignment="0" applyProtection="0"/>
    <xf numFmtId="0" fontId="20" fillId="23" borderId="0" applyNumberFormat="0" applyBorder="0" applyAlignment="0" applyProtection="0"/>
    <xf numFmtId="0" fontId="21" fillId="23" borderId="0" applyNumberFormat="0" applyBorder="0" applyAlignment="0" applyProtection="0"/>
    <xf numFmtId="0" fontId="20" fillId="24" borderId="0" applyNumberFormat="0" applyBorder="0" applyAlignment="0" applyProtection="0"/>
    <xf numFmtId="0" fontId="21" fillId="24" borderId="0" applyNumberFormat="0" applyBorder="0" applyAlignment="0" applyProtection="0"/>
    <xf numFmtId="0" fontId="20" fillId="25" borderId="0" applyNumberFormat="0" applyBorder="0" applyAlignment="0" applyProtection="0"/>
    <xf numFmtId="0" fontId="21" fillId="25" borderId="0" applyNumberFormat="0" applyBorder="0" applyAlignment="0" applyProtection="0"/>
    <xf numFmtId="0" fontId="20" fillId="26" borderId="0" applyNumberFormat="0" applyBorder="0" applyAlignment="0" applyProtection="0"/>
    <xf numFmtId="0" fontId="21" fillId="26" borderId="0" applyNumberFormat="0" applyBorder="0" applyAlignment="0" applyProtection="0"/>
    <xf numFmtId="0" fontId="20" fillId="27" borderId="0" applyNumberFormat="0" applyBorder="0" applyAlignment="0" applyProtection="0"/>
    <xf numFmtId="0" fontId="21" fillId="27" borderId="0" applyNumberFormat="0" applyBorder="0" applyAlignment="0" applyProtection="0"/>
    <xf numFmtId="0" fontId="20" fillId="28" borderId="0" applyNumberFormat="0" applyBorder="0" applyAlignment="0" applyProtection="0"/>
    <xf numFmtId="0" fontId="21" fillId="28" borderId="0" applyNumberFormat="0" applyBorder="0" applyAlignment="0" applyProtection="0"/>
    <xf numFmtId="0" fontId="20" fillId="29" borderId="0" applyNumberFormat="0" applyBorder="0" applyAlignment="0" applyProtection="0"/>
    <xf numFmtId="0" fontId="21" fillId="29" borderId="0" applyNumberFormat="0" applyBorder="0" applyAlignment="0" applyProtection="0"/>
    <xf numFmtId="0" fontId="20" fillId="30" borderId="0" applyNumberFormat="0" applyBorder="0" applyAlignment="0" applyProtection="0"/>
    <xf numFmtId="0" fontId="21" fillId="30" borderId="0" applyNumberFormat="0" applyBorder="0" applyAlignment="0" applyProtection="0"/>
    <xf numFmtId="0" fontId="20" fillId="31" borderId="0" applyNumberFormat="0" applyBorder="0" applyAlignment="0" applyProtection="0"/>
    <xf numFmtId="0" fontId="21" fillId="31" borderId="0" applyNumberFormat="0" applyBorder="0" applyAlignment="0" applyProtection="0"/>
    <xf numFmtId="0" fontId="22" fillId="32" borderId="0" applyNumberFormat="0" applyBorder="0" applyAlignment="0" applyProtection="0"/>
    <xf numFmtId="0" fontId="23" fillId="32" borderId="0" applyNumberFormat="0" applyBorder="0" applyAlignment="0" applyProtection="0"/>
    <xf numFmtId="0" fontId="24" fillId="33" borderId="23" applyNumberFormat="0" applyAlignment="0" applyProtection="0"/>
    <xf numFmtId="0" fontId="25" fillId="33" borderId="23" applyNumberFormat="0" applyAlignment="0" applyProtection="0"/>
    <xf numFmtId="0" fontId="26" fillId="34" borderId="24" applyNumberFormat="0" applyAlignment="0" applyProtection="0"/>
    <xf numFmtId="0" fontId="27" fillId="34" borderId="24" applyNumberFormat="0" applyAlignment="0" applyProtection="0"/>
    <xf numFmtId="43" fontId="1" fillId="0" borderId="0" applyFont="0" applyFill="0" applyBorder="0" applyAlignment="0" applyProtection="0"/>
    <xf numFmtId="39"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7"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30" fillId="35" borderId="0" applyNumberFormat="0" applyBorder="0" applyAlignment="0" applyProtection="0"/>
    <xf numFmtId="0" fontId="31" fillId="35" borderId="0" applyNumberFormat="0" applyBorder="0" applyAlignment="0" applyProtection="0"/>
    <xf numFmtId="0" fontId="32" fillId="0" borderId="25" applyNumberFormat="0" applyFill="0" applyAlignment="0" applyProtection="0"/>
    <xf numFmtId="0" fontId="33" fillId="0" borderId="25" applyNumberFormat="0" applyFill="0" applyAlignment="0" applyProtection="0"/>
    <xf numFmtId="0" fontId="34" fillId="0" borderId="26" applyNumberFormat="0" applyFill="0" applyAlignment="0" applyProtection="0"/>
    <xf numFmtId="0" fontId="35" fillId="0" borderId="26" applyNumberFormat="0" applyFill="0" applyAlignment="0" applyProtection="0"/>
    <xf numFmtId="0" fontId="36" fillId="0" borderId="27" applyNumberFormat="0" applyFill="0" applyAlignment="0" applyProtection="0"/>
    <xf numFmtId="0" fontId="37" fillId="0" borderId="27" applyNumberFormat="0" applyFill="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8" fillId="36" borderId="23" applyNumberFormat="0" applyAlignment="0" applyProtection="0"/>
    <xf numFmtId="0" fontId="39" fillId="36" borderId="23" applyNumberFormat="0" applyAlignment="0" applyProtection="0"/>
    <xf numFmtId="0" fontId="40" fillId="0" borderId="28" applyNumberFormat="0" applyFill="0" applyAlignment="0" applyProtection="0"/>
    <xf numFmtId="0" fontId="41" fillId="0" borderId="28" applyNumberFormat="0" applyFill="0" applyAlignment="0" applyProtection="0"/>
    <xf numFmtId="0" fontId="42" fillId="37" borderId="0" applyNumberFormat="0" applyBorder="0" applyAlignment="0" applyProtection="0"/>
    <xf numFmtId="0" fontId="43" fillId="37" borderId="0" applyNumberFormat="0" applyBorder="0" applyAlignment="0" applyProtection="0"/>
    <xf numFmtId="39" fontId="13" fillId="0" borderId="0"/>
    <xf numFmtId="39" fontId="12" fillId="0" borderId="0"/>
    <xf numFmtId="0" fontId="17" fillId="0" borderId="0"/>
    <xf numFmtId="0" fontId="1" fillId="0" borderId="0"/>
    <xf numFmtId="39" fontId="2" fillId="0" borderId="0"/>
    <xf numFmtId="0" fontId="1" fillId="0" borderId="0"/>
    <xf numFmtId="0" fontId="1" fillId="0" borderId="0"/>
    <xf numFmtId="39" fontId="12" fillId="0" borderId="0"/>
    <xf numFmtId="39" fontId="2" fillId="0" borderId="0"/>
    <xf numFmtId="0" fontId="18" fillId="0" borderId="0"/>
    <xf numFmtId="0" fontId="18" fillId="0" borderId="0"/>
    <xf numFmtId="0" fontId="13" fillId="0" borderId="0"/>
    <xf numFmtId="0" fontId="19" fillId="0" borderId="0"/>
    <xf numFmtId="39" fontId="12" fillId="0" borderId="0"/>
    <xf numFmtId="0" fontId="14" fillId="0" borderId="0"/>
    <xf numFmtId="0" fontId="14" fillId="0" borderId="0"/>
    <xf numFmtId="0" fontId="14" fillId="0" borderId="0"/>
    <xf numFmtId="0" fontId="19" fillId="38" borderId="29" applyNumberFormat="0" applyFont="0" applyAlignment="0" applyProtection="0"/>
    <xf numFmtId="0" fontId="18" fillId="38" borderId="29" applyNumberFormat="0" applyFont="0" applyAlignment="0" applyProtection="0"/>
    <xf numFmtId="0" fontId="44" fillId="33" borderId="30" applyNumberFormat="0" applyAlignment="0" applyProtection="0"/>
    <xf numFmtId="0" fontId="45" fillId="33" borderId="30" applyNumberFormat="0" applyAlignment="0" applyProtection="0"/>
    <xf numFmtId="0" fontId="46" fillId="0" borderId="0" applyNumberFormat="0" applyFill="0" applyBorder="0" applyAlignment="0" applyProtection="0"/>
    <xf numFmtId="0" fontId="47" fillId="0" borderId="31" applyNumberFormat="0" applyFill="0" applyAlignment="0" applyProtection="0"/>
    <xf numFmtId="0" fontId="48" fillId="0" borderId="31" applyNumberFormat="0" applyFill="0" applyAlignment="0" applyProtection="0"/>
    <xf numFmtId="0" fontId="49" fillId="0" borderId="0" applyNumberFormat="0" applyFill="0" applyBorder="0" applyAlignment="0" applyProtection="0"/>
    <xf numFmtId="0" fontId="50" fillId="0" borderId="0" applyNumberFormat="0" applyFill="0" applyBorder="0" applyAlignment="0" applyProtection="0"/>
  </cellStyleXfs>
  <cellXfs count="250">
    <xf numFmtId="39" fontId="0" fillId="0" borderId="0" xfId="0"/>
    <xf numFmtId="39" fontId="2" fillId="0" borderId="0" xfId="0" applyFont="1"/>
    <xf numFmtId="43" fontId="2" fillId="0" borderId="0" xfId="0" applyNumberFormat="1" applyFont="1"/>
    <xf numFmtId="43" fontId="2" fillId="0" borderId="0" xfId="0" applyNumberFormat="1" applyFont="1" applyFill="1"/>
    <xf numFmtId="165" fontId="2" fillId="0" borderId="0" xfId="0" applyNumberFormat="1" applyFont="1"/>
    <xf numFmtId="165" fontId="2" fillId="0" borderId="0" xfId="0" applyNumberFormat="1" applyFont="1" applyAlignment="1">
      <alignment horizontal="center" wrapText="1"/>
    </xf>
    <xf numFmtId="39" fontId="2" fillId="0" borderId="0" xfId="0" applyFont="1" applyAlignment="1">
      <alignment horizontal="center" wrapText="1"/>
    </xf>
    <xf numFmtId="43" fontId="2" fillId="0" borderId="0" xfId="0" applyNumberFormat="1" applyFont="1" applyAlignment="1">
      <alignment horizontal="center" wrapText="1"/>
    </xf>
    <xf numFmtId="43" fontId="2" fillId="0" borderId="0" xfId="0" applyNumberFormat="1" applyFont="1" applyFill="1" applyAlignment="1">
      <alignment horizontal="center" wrapText="1"/>
    </xf>
    <xf numFmtId="39" fontId="3" fillId="0" borderId="0" xfId="0" applyFont="1"/>
    <xf numFmtId="165" fontId="3" fillId="0" borderId="0" xfId="0" applyNumberFormat="1" applyFont="1"/>
    <xf numFmtId="39" fontId="2" fillId="0" borderId="0" xfId="0" applyFont="1" applyAlignment="1">
      <alignment wrapText="1"/>
    </xf>
    <xf numFmtId="39" fontId="2" fillId="0" borderId="0" xfId="0" applyFont="1" applyAlignment="1"/>
    <xf numFmtId="39" fontId="3" fillId="0" borderId="0" xfId="0" applyFont="1" applyAlignment="1"/>
    <xf numFmtId="166" fontId="2" fillId="0" borderId="0" xfId="0" quotePrefix="1" applyNumberFormat="1" applyFont="1" applyAlignment="1">
      <alignment horizontal="right"/>
    </xf>
    <xf numFmtId="39" fontId="2" fillId="0" borderId="0" xfId="0" applyFont="1" applyAlignment="1">
      <alignment vertical="top" wrapText="1"/>
    </xf>
    <xf numFmtId="43" fontId="2" fillId="0" borderId="0" xfId="0" applyNumberFormat="1" applyFont="1" applyFill="1" applyBorder="1" applyAlignment="1">
      <alignment horizontal="center" wrapText="1"/>
    </xf>
    <xf numFmtId="165" fontId="2" fillId="0" borderId="0" xfId="0" applyNumberFormat="1" applyFont="1" applyFill="1"/>
    <xf numFmtId="39" fontId="0" fillId="0" borderId="0" xfId="0" applyFill="1"/>
    <xf numFmtId="43" fontId="2" fillId="0" borderId="0" xfId="0" applyNumberFormat="1" applyFont="1" applyFill="1" applyBorder="1"/>
    <xf numFmtId="39" fontId="0" fillId="0" borderId="0" xfId="0" applyAlignment="1">
      <alignment vertical="top" wrapText="1"/>
    </xf>
    <xf numFmtId="49" fontId="0" fillId="0" borderId="0" xfId="0" applyNumberFormat="1"/>
    <xf numFmtId="39" fontId="0" fillId="2" borderId="0" xfId="0" applyFill="1" applyProtection="1">
      <protection locked="0"/>
    </xf>
    <xf numFmtId="39" fontId="0" fillId="3" borderId="0" xfId="0" applyFill="1" applyProtection="1">
      <protection locked="0"/>
    </xf>
    <xf numFmtId="39" fontId="0" fillId="4" borderId="0" xfId="0" applyFill="1" applyProtection="1">
      <protection locked="0"/>
    </xf>
    <xf numFmtId="39" fontId="0" fillId="5" borderId="0" xfId="0" applyFill="1" applyProtection="1">
      <protection locked="0"/>
    </xf>
    <xf numFmtId="39" fontId="0" fillId="0" borderId="0" xfId="0" applyFill="1" applyProtection="1"/>
    <xf numFmtId="39" fontId="0" fillId="5" borderId="0" xfId="0" applyFill="1" applyAlignment="1" applyProtection="1">
      <alignment horizontal="right"/>
      <protection locked="0"/>
    </xf>
    <xf numFmtId="39" fontId="0" fillId="6" borderId="0" xfId="0" applyFill="1" applyAlignment="1" applyProtection="1">
      <alignment horizontal="right"/>
      <protection locked="0"/>
    </xf>
    <xf numFmtId="39" fontId="0" fillId="0" borderId="0" xfId="0" applyAlignment="1">
      <alignment wrapText="1"/>
    </xf>
    <xf numFmtId="44" fontId="2" fillId="2" borderId="1" xfId="83" applyNumberFormat="1" applyFont="1" applyFill="1" applyBorder="1" applyProtection="1">
      <protection locked="0"/>
    </xf>
    <xf numFmtId="43" fontId="2" fillId="2" borderId="0" xfId="83" applyNumberFormat="1" applyFont="1" applyFill="1" applyBorder="1" applyProtection="1">
      <protection locked="0"/>
    </xf>
    <xf numFmtId="44" fontId="2" fillId="2" borderId="0" xfId="83" applyNumberFormat="1" applyFont="1" applyFill="1" applyBorder="1" applyProtection="1">
      <protection locked="0"/>
    </xf>
    <xf numFmtId="43" fontId="2" fillId="2" borderId="1" xfId="0" applyNumberFormat="1" applyFont="1" applyFill="1" applyBorder="1" applyProtection="1">
      <protection locked="0"/>
    </xf>
    <xf numFmtId="43" fontId="2" fillId="2" borderId="2" xfId="83" applyNumberFormat="1" applyFont="1" applyFill="1" applyBorder="1" applyProtection="1">
      <protection locked="0"/>
    </xf>
    <xf numFmtId="43" fontId="2" fillId="2" borderId="3" xfId="0" applyNumberFormat="1" applyFont="1" applyFill="1" applyBorder="1" applyProtection="1">
      <protection locked="0"/>
    </xf>
    <xf numFmtId="0" fontId="3" fillId="7" borderId="0" xfId="55" applyNumberFormat="1" applyFont="1" applyFill="1" applyProtection="1">
      <protection locked="0"/>
    </xf>
    <xf numFmtId="167" fontId="0" fillId="0" borderId="0" xfId="0" applyNumberFormat="1"/>
    <xf numFmtId="39" fontId="0" fillId="0" borderId="0" xfId="0" applyFill="1" applyAlignment="1" applyProtection="1">
      <alignment horizontal="right"/>
    </xf>
    <xf numFmtId="39" fontId="0" fillId="0" borderId="0" xfId="0" applyProtection="1"/>
    <xf numFmtId="39" fontId="3" fillId="0" borderId="0" xfId="0" applyFont="1" applyAlignment="1" applyProtection="1">
      <alignment horizontal="left" indent="2"/>
    </xf>
    <xf numFmtId="165" fontId="3" fillId="0" borderId="0" xfId="0" applyNumberFormat="1" applyFont="1" applyAlignment="1" applyProtection="1">
      <alignment horizontal="left"/>
    </xf>
    <xf numFmtId="39" fontId="0" fillId="0" borderId="0" xfId="0" applyAlignment="1" applyProtection="1"/>
    <xf numFmtId="39" fontId="0" fillId="0" borderId="0" xfId="0" applyAlignment="1" applyProtection="1">
      <alignment horizontal="right"/>
    </xf>
    <xf numFmtId="167" fontId="0" fillId="0" borderId="0" xfId="0" applyNumberFormat="1" applyProtection="1"/>
    <xf numFmtId="165" fontId="2" fillId="0" borderId="0" xfId="0" applyNumberFormat="1" applyFont="1" applyAlignment="1" applyProtection="1">
      <alignment horizontal="left"/>
    </xf>
    <xf numFmtId="39" fontId="3" fillId="0" borderId="0" xfId="0" applyFont="1" applyAlignment="1" applyProtection="1">
      <alignment horizontal="center"/>
    </xf>
    <xf numFmtId="39" fontId="0" fillId="0" borderId="0" xfId="0" applyAlignment="1" applyProtection="1">
      <alignment horizontal="center"/>
    </xf>
    <xf numFmtId="39" fontId="3" fillId="0" borderId="0" xfId="0" applyFont="1" applyProtection="1"/>
    <xf numFmtId="39" fontId="2" fillId="0" borderId="0" xfId="0" applyFont="1" applyProtection="1"/>
    <xf numFmtId="39" fontId="0" fillId="0" borderId="0" xfId="0" applyAlignment="1" applyProtection="1">
      <alignment horizontal="left"/>
    </xf>
    <xf numFmtId="39" fontId="0" fillId="0" borderId="0" xfId="0" applyBorder="1" applyAlignment="1" applyProtection="1">
      <alignment horizontal="right"/>
    </xf>
    <xf numFmtId="39" fontId="0" fillId="0" borderId="0" xfId="0" applyBorder="1" applyProtection="1"/>
    <xf numFmtId="39" fontId="0" fillId="0" borderId="0" xfId="0" applyFill="1" applyAlignment="1" applyProtection="1">
      <alignment horizontal="left" indent="1"/>
    </xf>
    <xf numFmtId="39" fontId="0" fillId="0" borderId="0" xfId="0" applyFill="1" applyBorder="1" applyAlignment="1" applyProtection="1">
      <alignment horizontal="right"/>
    </xf>
    <xf numFmtId="39" fontId="0" fillId="0" borderId="0" xfId="0" applyAlignment="1" applyProtection="1">
      <alignment horizontal="left" indent="1"/>
    </xf>
    <xf numFmtId="39" fontId="0" fillId="0" borderId="0" xfId="0" applyBorder="1" applyAlignment="1" applyProtection="1"/>
    <xf numFmtId="39" fontId="0" fillId="0" borderId="0" xfId="0" applyAlignment="1" applyProtection="1">
      <alignment horizontal="left" indent="2"/>
    </xf>
    <xf numFmtId="39" fontId="2" fillId="0" borderId="0" xfId="0" applyFont="1" applyAlignment="1" applyProtection="1">
      <alignment horizontal="left" indent="2"/>
    </xf>
    <xf numFmtId="39" fontId="3" fillId="0" borderId="0" xfId="0" applyFont="1" applyAlignment="1" applyProtection="1">
      <alignment horizontal="left" indent="1"/>
    </xf>
    <xf numFmtId="39" fontId="0" fillId="0" borderId="0" xfId="0" quotePrefix="1" applyProtection="1"/>
    <xf numFmtId="39" fontId="0" fillId="0" borderId="0" xfId="0" quotePrefix="1" applyAlignment="1" applyProtection="1">
      <alignment horizontal="left" indent="2"/>
    </xf>
    <xf numFmtId="39" fontId="3" fillId="0" borderId="0" xfId="0" quotePrefix="1" applyFont="1" applyProtection="1"/>
    <xf numFmtId="166" fontId="2" fillId="0" borderId="0" xfId="0" applyNumberFormat="1" applyFont="1" applyProtection="1"/>
    <xf numFmtId="39" fontId="2" fillId="0" borderId="0" xfId="0" applyFont="1" applyFill="1" applyProtection="1"/>
    <xf numFmtId="165" fontId="2" fillId="0" borderId="0" xfId="0" applyNumberFormat="1" applyFont="1" applyAlignment="1" applyProtection="1">
      <alignment horizontal="center"/>
    </xf>
    <xf numFmtId="39" fontId="2" fillId="0" borderId="0" xfId="0" applyFont="1" applyAlignment="1" applyProtection="1">
      <alignment horizontal="center" wrapText="1"/>
    </xf>
    <xf numFmtId="39" fontId="2" fillId="0" borderId="0" xfId="0" applyFont="1" applyBorder="1" applyAlignment="1" applyProtection="1">
      <alignment horizontal="center" wrapText="1"/>
    </xf>
    <xf numFmtId="39" fontId="2" fillId="0" borderId="1" xfId="0" applyFont="1" applyBorder="1" applyAlignment="1" applyProtection="1">
      <alignment horizontal="center" wrapText="1"/>
    </xf>
    <xf numFmtId="39" fontId="2" fillId="0" borderId="0" xfId="0" applyFont="1" applyBorder="1" applyProtection="1"/>
    <xf numFmtId="39" fontId="2" fillId="0" borderId="0" xfId="0" applyFont="1" applyAlignment="1" applyProtection="1">
      <alignment horizontal="center"/>
    </xf>
    <xf numFmtId="39" fontId="2" fillId="0" borderId="0" xfId="0" applyFont="1" applyFill="1" applyAlignment="1" applyProtection="1">
      <alignment horizontal="center"/>
    </xf>
    <xf numFmtId="39" fontId="2" fillId="0" borderId="0" xfId="0" applyFont="1" applyFill="1" applyBorder="1" applyProtection="1"/>
    <xf numFmtId="37" fontId="2" fillId="0" borderId="0" xfId="0" applyNumberFormat="1" applyFont="1" applyAlignment="1" applyProtection="1">
      <alignment horizontal="center"/>
    </xf>
    <xf numFmtId="0" fontId="2" fillId="0" borderId="0" xfId="0" applyNumberFormat="1" applyFont="1" applyProtection="1"/>
    <xf numFmtId="0" fontId="3" fillId="0" borderId="4" xfId="0" applyNumberFormat="1" applyFont="1" applyBorder="1" applyProtection="1"/>
    <xf numFmtId="39" fontId="2" fillId="0" borderId="5" xfId="0" applyFont="1" applyBorder="1" applyProtection="1"/>
    <xf numFmtId="39" fontId="2" fillId="0" borderId="6" xfId="0" applyFont="1" applyBorder="1" applyProtection="1"/>
    <xf numFmtId="0" fontId="3" fillId="0" borderId="7" xfId="0" applyNumberFormat="1" applyFont="1" applyBorder="1" applyProtection="1"/>
    <xf numFmtId="39" fontId="2" fillId="0" borderId="1" xfId="0" applyFont="1" applyBorder="1" applyProtection="1"/>
    <xf numFmtId="0" fontId="2" fillId="0" borderId="7" xfId="0" applyNumberFormat="1" applyFont="1" applyBorder="1" applyProtection="1"/>
    <xf numFmtId="39" fontId="2" fillId="0" borderId="0" xfId="0" applyFont="1" applyBorder="1" applyAlignment="1" applyProtection="1">
      <alignment horizontal="center"/>
    </xf>
    <xf numFmtId="39" fontId="2" fillId="0" borderId="1" xfId="0" applyFont="1" applyBorder="1" applyAlignment="1" applyProtection="1">
      <alignment horizontal="center"/>
    </xf>
    <xf numFmtId="39" fontId="2" fillId="0" borderId="7" xfId="0" applyFont="1" applyBorder="1" applyProtection="1"/>
    <xf numFmtId="39" fontId="2" fillId="0" borderId="7" xfId="0" applyFont="1" applyFill="1" applyBorder="1" applyProtection="1"/>
    <xf numFmtId="0" fontId="2" fillId="0" borderId="7" xfId="0" applyNumberFormat="1" applyFont="1" applyBorder="1" applyAlignment="1" applyProtection="1">
      <alignment horizontal="left"/>
    </xf>
    <xf numFmtId="39" fontId="2" fillId="0" borderId="0" xfId="0" quotePrefix="1" applyFont="1" applyFill="1" applyBorder="1" applyProtection="1"/>
    <xf numFmtId="39" fontId="2" fillId="0" borderId="0" xfId="0" applyFont="1" applyFill="1" applyBorder="1" applyAlignment="1" applyProtection="1">
      <alignment horizontal="right"/>
    </xf>
    <xf numFmtId="39" fontId="2" fillId="0" borderId="1" xfId="0" applyFont="1" applyFill="1" applyBorder="1" applyAlignment="1" applyProtection="1">
      <alignment horizontal="right"/>
    </xf>
    <xf numFmtId="39" fontId="2" fillId="0" borderId="8" xfId="0" applyFont="1" applyFill="1" applyBorder="1" applyProtection="1"/>
    <xf numFmtId="39" fontId="2" fillId="0" borderId="2" xfId="0" quotePrefix="1" applyFont="1" applyFill="1" applyBorder="1" applyProtection="1"/>
    <xf numFmtId="39" fontId="2" fillId="0" borderId="2" xfId="0" applyFont="1" applyBorder="1" applyProtection="1"/>
    <xf numFmtId="39" fontId="2" fillId="0" borderId="3" xfId="0" applyFont="1" applyFill="1" applyBorder="1" applyAlignment="1" applyProtection="1">
      <alignment horizontal="right"/>
    </xf>
    <xf numFmtId="39" fontId="3" fillId="0" borderId="4" xfId="0" applyFont="1" applyBorder="1" applyAlignment="1" applyProtection="1">
      <alignment horizontal="left"/>
    </xf>
    <xf numFmtId="39" fontId="2" fillId="0" borderId="5" xfId="0" applyFont="1" applyBorder="1" applyAlignment="1" applyProtection="1">
      <alignment horizontal="center" wrapText="1"/>
    </xf>
    <xf numFmtId="39" fontId="2" fillId="0" borderId="6" xfId="0" applyFont="1" applyBorder="1" applyAlignment="1" applyProtection="1">
      <alignment horizontal="center" wrapText="1"/>
    </xf>
    <xf numFmtId="39" fontId="2" fillId="0" borderId="7" xfId="0" applyFont="1" applyFill="1" applyBorder="1" applyAlignment="1" applyProtection="1">
      <alignment horizontal="left"/>
    </xf>
    <xf numFmtId="39" fontId="2" fillId="0" borderId="8" xfId="0" applyFont="1" applyBorder="1" applyProtection="1"/>
    <xf numFmtId="39" fontId="2" fillId="0" borderId="2" xfId="0" applyFont="1" applyFill="1" applyBorder="1" applyProtection="1"/>
    <xf numFmtId="43" fontId="2" fillId="0" borderId="5" xfId="83" applyNumberFormat="1" applyFont="1" applyFill="1" applyBorder="1" applyProtection="1"/>
    <xf numFmtId="43" fontId="2" fillId="0" borderId="6" xfId="0" applyNumberFormat="1" applyFont="1" applyFill="1" applyBorder="1" applyProtection="1"/>
    <xf numFmtId="39" fontId="2" fillId="0" borderId="0" xfId="0" applyFont="1" applyFill="1" applyBorder="1" applyAlignment="1" applyProtection="1">
      <alignment horizontal="left" indent="2"/>
    </xf>
    <xf numFmtId="44" fontId="2" fillId="0" borderId="9" xfId="0" applyNumberFormat="1" applyFont="1" applyFill="1" applyBorder="1" applyProtection="1"/>
    <xf numFmtId="44" fontId="2" fillId="0" borderId="10" xfId="0" applyNumberFormat="1" applyFont="1" applyFill="1" applyBorder="1" applyProtection="1"/>
    <xf numFmtId="39" fontId="2" fillId="0" borderId="3" xfId="0" applyFont="1" applyBorder="1" applyProtection="1"/>
    <xf numFmtId="39" fontId="3" fillId="0" borderId="0" xfId="0" applyFont="1" applyBorder="1" applyAlignment="1" applyProtection="1">
      <alignment horizontal="center" wrapText="1"/>
    </xf>
    <xf numFmtId="39" fontId="2" fillId="0" borderId="0" xfId="0" quotePrefix="1" applyFont="1" applyProtection="1"/>
    <xf numFmtId="39" fontId="2" fillId="0" borderId="11" xfId="0" applyFont="1" applyBorder="1" applyProtection="1"/>
    <xf numFmtId="39" fontId="2" fillId="0" borderId="12" xfId="0" applyFont="1" applyBorder="1" applyProtection="1"/>
    <xf numFmtId="39" fontId="2" fillId="0" borderId="11" xfId="0" applyFont="1" applyFill="1" applyBorder="1" applyProtection="1"/>
    <xf numFmtId="39" fontId="2" fillId="0" borderId="12" xfId="0" applyFont="1" applyFill="1" applyBorder="1" applyProtection="1"/>
    <xf numFmtId="39" fontId="2" fillId="0" borderId="13" xfId="0" applyFont="1" applyBorder="1" applyProtection="1"/>
    <xf numFmtId="39" fontId="2" fillId="0" borderId="0" xfId="0" quotePrefix="1" applyFont="1" applyFill="1" applyProtection="1"/>
    <xf numFmtId="39" fontId="2" fillId="0" borderId="13" xfId="0" applyFont="1" applyFill="1" applyBorder="1" applyProtection="1"/>
    <xf numFmtId="43" fontId="2" fillId="0" borderId="0" xfId="0" applyNumberFormat="1" applyFont="1" applyProtection="1"/>
    <xf numFmtId="39" fontId="7" fillId="0" borderId="0" xfId="0" applyFont="1" applyProtection="1"/>
    <xf numFmtId="165" fontId="0" fillId="0" borderId="0" xfId="0" applyNumberFormat="1" applyProtection="1"/>
    <xf numFmtId="39" fontId="0" fillId="0" borderId="14" xfId="0" applyBorder="1" applyAlignment="1" applyProtection="1">
      <alignment horizontal="right"/>
    </xf>
    <xf numFmtId="39" fontId="0" fillId="0" borderId="15" xfId="0" applyBorder="1" applyAlignment="1" applyProtection="1">
      <alignment horizontal="right"/>
    </xf>
    <xf numFmtId="39" fontId="0" fillId="0" borderId="16" xfId="0" applyBorder="1" applyAlignment="1" applyProtection="1">
      <alignment horizontal="right"/>
    </xf>
    <xf numFmtId="39" fontId="0" fillId="0" borderId="17" xfId="0" applyBorder="1" applyAlignment="1" applyProtection="1">
      <alignment horizontal="right"/>
    </xf>
    <xf numFmtId="39" fontId="0" fillId="0" borderId="18" xfId="0" applyBorder="1" applyAlignment="1" applyProtection="1">
      <alignment horizontal="right"/>
    </xf>
    <xf numFmtId="39" fontId="0" fillId="0" borderId="18" xfId="0" applyBorder="1" applyProtection="1"/>
    <xf numFmtId="39" fontId="0" fillId="0" borderId="17" xfId="0" applyFill="1" applyBorder="1" applyAlignment="1" applyProtection="1">
      <alignment horizontal="right"/>
    </xf>
    <xf numFmtId="39" fontId="0" fillId="0" borderId="18" xfId="0" applyFill="1" applyBorder="1" applyAlignment="1" applyProtection="1">
      <alignment horizontal="right"/>
    </xf>
    <xf numFmtId="39" fontId="0" fillId="0" borderId="17" xfId="0" applyBorder="1" applyAlignment="1" applyProtection="1"/>
    <xf numFmtId="39" fontId="0" fillId="0" borderId="18" xfId="0" applyBorder="1" applyAlignment="1" applyProtection="1"/>
    <xf numFmtId="39" fontId="0" fillId="0" borderId="19" xfId="0" applyBorder="1" applyAlignment="1" applyProtection="1">
      <alignment horizontal="right"/>
    </xf>
    <xf numFmtId="39" fontId="0" fillId="0" borderId="20" xfId="0" applyBorder="1" applyAlignment="1" applyProtection="1">
      <alignment horizontal="right"/>
    </xf>
    <xf numFmtId="39" fontId="0" fillId="0" borderId="21" xfId="0" applyBorder="1" applyAlignment="1" applyProtection="1">
      <alignment horizontal="right"/>
    </xf>
    <xf numFmtId="39" fontId="0" fillId="0" borderId="0" xfId="0" applyFill="1" applyAlignment="1" applyProtection="1">
      <alignment horizontal="center"/>
    </xf>
    <xf numFmtId="39" fontId="3" fillId="0" borderId="0" xfId="0" applyFont="1" applyFill="1" applyAlignment="1" applyProtection="1">
      <alignment horizontal="center"/>
    </xf>
    <xf numFmtId="39" fontId="3" fillId="0" borderId="0" xfId="0" applyFont="1" applyFill="1" applyProtection="1"/>
    <xf numFmtId="165" fontId="0" fillId="0" borderId="0" xfId="0" applyNumberFormat="1"/>
    <xf numFmtId="167" fontId="2" fillId="0" borderId="0" xfId="0" applyNumberFormat="1" applyFont="1" applyFill="1"/>
    <xf numFmtId="167" fontId="0" fillId="0" borderId="0" xfId="0" applyNumberFormat="1" applyFill="1" applyProtection="1"/>
    <xf numFmtId="39" fontId="0" fillId="0" borderId="0" xfId="0" applyAlignment="1"/>
    <xf numFmtId="167" fontId="0" fillId="0" borderId="0" xfId="0" applyNumberFormat="1" applyFill="1"/>
    <xf numFmtId="43" fontId="0" fillId="0" borderId="0" xfId="0" applyNumberFormat="1" applyFill="1" applyAlignment="1">
      <alignment horizontal="center" wrapText="1"/>
    </xf>
    <xf numFmtId="164" fontId="3" fillId="0" borderId="0" xfId="0" applyNumberFormat="1" applyFont="1" applyFill="1" applyAlignment="1">
      <alignment horizontal="center" wrapText="1"/>
    </xf>
    <xf numFmtId="43" fontId="2" fillId="0" borderId="0" xfId="0" quotePrefix="1" applyNumberFormat="1" applyFont="1" applyAlignment="1">
      <alignment horizontal="center" wrapText="1"/>
    </xf>
    <xf numFmtId="43" fontId="2" fillId="0" borderId="0" xfId="0" quotePrefix="1" applyNumberFormat="1" applyFont="1" applyFill="1" applyAlignment="1">
      <alignment horizontal="center" wrapText="1"/>
    </xf>
    <xf numFmtId="43" fontId="2" fillId="0" borderId="22" xfId="0" applyNumberFormat="1" applyFont="1" applyFill="1" applyBorder="1"/>
    <xf numFmtId="43" fontId="2" fillId="0" borderId="22" xfId="0" applyNumberFormat="1" applyFont="1" applyFill="1" applyBorder="1" applyAlignment="1">
      <alignment horizontal="center" wrapText="1"/>
    </xf>
    <xf numFmtId="165" fontId="2" fillId="0" borderId="0" xfId="0" applyNumberFormat="1" applyFont="1" applyFill="1" applyAlignment="1">
      <alignment horizontal="center" wrapText="1"/>
    </xf>
    <xf numFmtId="39" fontId="0" fillId="0" borderId="0" xfId="0" applyAlignment="1">
      <alignment horizontal="left"/>
    </xf>
    <xf numFmtId="39" fontId="0" fillId="0" borderId="0" xfId="0" applyAlignment="1" applyProtection="1">
      <alignment horizontal="center" wrapText="1"/>
    </xf>
    <xf numFmtId="168" fontId="2" fillId="0" borderId="0" xfId="0" quotePrefix="1" applyNumberFormat="1" applyFont="1" applyAlignment="1" applyProtection="1">
      <alignment horizontal="center"/>
    </xf>
    <xf numFmtId="49" fontId="0" fillId="0" borderId="0" xfId="0" quotePrefix="1" applyNumberFormat="1"/>
    <xf numFmtId="43" fontId="0" fillId="0" borderId="0" xfId="0" applyNumberFormat="1" applyFill="1" applyAlignment="1">
      <alignment horizontal="center"/>
    </xf>
    <xf numFmtId="165" fontId="0" fillId="0" borderId="0" xfId="0" applyNumberFormat="1" applyFill="1"/>
    <xf numFmtId="43" fontId="0" fillId="0" borderId="0" xfId="0" applyNumberFormat="1" applyAlignment="1">
      <alignment horizontal="center" wrapText="1"/>
    </xf>
    <xf numFmtId="39" fontId="0" fillId="0" borderId="0" xfId="0" quotePrefix="1"/>
    <xf numFmtId="43" fontId="0" fillId="0" borderId="0" xfId="0" applyNumberFormat="1" applyFont="1" applyFill="1" applyAlignment="1">
      <alignment horizontal="center" wrapText="1"/>
    </xf>
    <xf numFmtId="165" fontId="0" fillId="0" borderId="0" xfId="0" applyNumberFormat="1" applyFont="1" applyFill="1"/>
    <xf numFmtId="43" fontId="0" fillId="0" borderId="0" xfId="0" applyNumberFormat="1" applyFont="1" applyFill="1" applyAlignment="1">
      <alignment horizontal="center"/>
    </xf>
    <xf numFmtId="43" fontId="0" fillId="0" borderId="0" xfId="0" applyNumberFormat="1" applyFont="1" applyFill="1" applyBorder="1" applyAlignment="1">
      <alignment horizontal="center"/>
    </xf>
    <xf numFmtId="165" fontId="51" fillId="0" borderId="0" xfId="0" applyNumberFormat="1" applyFont="1" applyAlignment="1">
      <alignment horizontal="left"/>
    </xf>
    <xf numFmtId="165" fontId="3" fillId="0" borderId="0" xfId="0" applyNumberFormat="1" applyFont="1" applyAlignment="1">
      <alignment horizontal="center"/>
    </xf>
    <xf numFmtId="165" fontId="0" fillId="0" borderId="0" xfId="0" applyNumberFormat="1" applyFont="1"/>
    <xf numFmtId="169" fontId="0" fillId="0" borderId="0" xfId="0" applyNumberFormat="1"/>
    <xf numFmtId="43" fontId="0" fillId="0" borderId="0" xfId="0" applyNumberFormat="1" applyFont="1"/>
    <xf numFmtId="43" fontId="0" fillId="0" borderId="0" xfId="0" applyNumberFormat="1" applyFont="1" applyFill="1"/>
    <xf numFmtId="39" fontId="0" fillId="0" borderId="0" xfId="0" applyFont="1"/>
    <xf numFmtId="39" fontId="0" fillId="39" borderId="0" xfId="0" applyFill="1"/>
    <xf numFmtId="165" fontId="2" fillId="40" borderId="0" xfId="0" applyNumberFormat="1" applyFont="1" applyFill="1"/>
    <xf numFmtId="43" fontId="2" fillId="41" borderId="0" xfId="0" applyNumberFormat="1" applyFont="1" applyFill="1"/>
    <xf numFmtId="43" fontId="0" fillId="0" borderId="0" xfId="0" applyNumberFormat="1" applyFont="1" applyFill="1" applyBorder="1"/>
    <xf numFmtId="0" fontId="13" fillId="0" borderId="0" xfId="129"/>
    <xf numFmtId="39" fontId="15" fillId="0" borderId="0" xfId="129" applyNumberFormat="1" applyFont="1"/>
    <xf numFmtId="39" fontId="13" fillId="0" borderId="0" xfId="129" applyNumberFormat="1"/>
    <xf numFmtId="165" fontId="15" fillId="0" borderId="0" xfId="129" applyNumberFormat="1" applyFont="1"/>
    <xf numFmtId="165" fontId="13" fillId="0" borderId="0" xfId="129" applyNumberFormat="1"/>
    <xf numFmtId="39" fontId="13" fillId="41" borderId="0" xfId="129" applyNumberFormat="1" applyFill="1"/>
    <xf numFmtId="39" fontId="13" fillId="40" borderId="0" xfId="129" applyNumberFormat="1" applyFill="1"/>
    <xf numFmtId="165" fontId="16" fillId="0" borderId="0" xfId="132" applyNumberFormat="1" applyFont="1"/>
    <xf numFmtId="39" fontId="16" fillId="0" borderId="0" xfId="132" applyNumberFormat="1" applyFont="1"/>
    <xf numFmtId="39" fontId="16" fillId="0" borderId="0" xfId="133" applyNumberFormat="1" applyFont="1"/>
    <xf numFmtId="39" fontId="16" fillId="0" borderId="0" xfId="134" applyNumberFormat="1" applyFont="1"/>
    <xf numFmtId="170" fontId="16" fillId="0" borderId="0" xfId="134" applyNumberFormat="1" applyFont="1"/>
    <xf numFmtId="39" fontId="16" fillId="0" borderId="0" xfId="119" applyNumberFormat="1" applyFont="1"/>
    <xf numFmtId="39" fontId="12" fillId="0" borderId="0" xfId="119" applyNumberFormat="1"/>
    <xf numFmtId="43" fontId="0" fillId="41" borderId="0" xfId="0" applyNumberFormat="1" applyFont="1" applyFill="1"/>
    <xf numFmtId="4" fontId="52" fillId="0" borderId="0" xfId="127" applyNumberFormat="1" applyFont="1"/>
    <xf numFmtId="43" fontId="52" fillId="0" borderId="0" xfId="75" applyFont="1"/>
    <xf numFmtId="0" fontId="52" fillId="0" borderId="0" xfId="127" applyFont="1"/>
    <xf numFmtId="39" fontId="0" fillId="0" borderId="0" xfId="0" applyAlignment="1">
      <alignment horizontal="centerContinuous" vertical="top" wrapText="1"/>
    </xf>
    <xf numFmtId="39" fontId="2" fillId="0" borderId="0" xfId="0" applyFont="1" applyAlignment="1">
      <alignment horizontal="centerContinuous" vertical="top" wrapText="1"/>
    </xf>
    <xf numFmtId="39" fontId="0" fillId="0" borderId="0" xfId="0" applyAlignment="1">
      <alignment horizontal="centerContinuous" wrapText="1"/>
    </xf>
    <xf numFmtId="39" fontId="0" fillId="0" borderId="0" xfId="0" applyFill="1" applyAlignment="1">
      <alignment horizontal="centerContinuous" vertical="top" wrapText="1"/>
    </xf>
    <xf numFmtId="39" fontId="2" fillId="0" borderId="0" xfId="0" applyFont="1" applyAlignment="1">
      <alignment horizontal="centerContinuous" wrapText="1"/>
    </xf>
    <xf numFmtId="39" fontId="0" fillId="0" borderId="0" xfId="0" applyFont="1" applyAlignment="1">
      <alignment horizontal="centerContinuous" vertical="top" wrapText="1"/>
    </xf>
    <xf numFmtId="43" fontId="53" fillId="0" borderId="0" xfId="0" applyNumberFormat="1" applyFont="1" applyFill="1" applyBorder="1" applyAlignment="1">
      <alignment horizontal="centerContinuous"/>
    </xf>
    <xf numFmtId="43" fontId="53" fillId="0" borderId="0" xfId="0" applyNumberFormat="1" applyFont="1" applyAlignment="1">
      <alignment horizontal="centerContinuous"/>
    </xf>
    <xf numFmtId="165" fontId="0" fillId="0" borderId="0" xfId="0" applyNumberFormat="1" applyFont="1" applyAlignment="1">
      <alignment horizontal="centerContinuous" wrapText="1"/>
    </xf>
    <xf numFmtId="43" fontId="54" fillId="0" borderId="0" xfId="0" applyNumberFormat="1" applyFont="1" applyFill="1" applyBorder="1" applyAlignment="1">
      <alignment horizontal="centerContinuous" wrapText="1"/>
    </xf>
    <xf numFmtId="165" fontId="3" fillId="0" borderId="0" xfId="0" applyNumberFormat="1" applyFont="1" applyAlignment="1">
      <alignment horizontal="centerContinuous"/>
    </xf>
    <xf numFmtId="43" fontId="2" fillId="0" borderId="0" xfId="0" applyNumberFormat="1" applyFont="1" applyFill="1" applyAlignment="1">
      <alignment horizontal="centerContinuous"/>
    </xf>
    <xf numFmtId="43" fontId="0" fillId="0" borderId="0" xfId="0" applyNumberFormat="1" applyFill="1" applyAlignment="1">
      <alignment horizontal="centerContinuous"/>
    </xf>
    <xf numFmtId="43" fontId="2" fillId="0" borderId="0" xfId="0" applyNumberFormat="1" applyFont="1" applyAlignment="1">
      <alignment horizontal="centerContinuous"/>
    </xf>
    <xf numFmtId="39" fontId="0" fillId="0" borderId="0" xfId="0" applyAlignment="1">
      <alignment horizontal="centerContinuous"/>
    </xf>
    <xf numFmtId="43" fontId="0" fillId="0" borderId="0" xfId="0" applyNumberFormat="1" applyFill="1" applyAlignment="1">
      <alignment horizontal="centerContinuous" wrapText="1"/>
    </xf>
    <xf numFmtId="43" fontId="3" fillId="0" borderId="0" xfId="0" applyNumberFormat="1" applyFont="1" applyFill="1" applyAlignment="1">
      <alignment horizontal="centerContinuous" wrapText="1"/>
    </xf>
    <xf numFmtId="43" fontId="3" fillId="0" borderId="0" xfId="0" applyNumberFormat="1" applyFont="1" applyAlignment="1">
      <alignment horizontal="centerContinuous" wrapText="1"/>
    </xf>
    <xf numFmtId="39" fontId="15" fillId="0" borderId="0" xfId="129" applyNumberFormat="1" applyFont="1" applyAlignment="1">
      <alignment horizontal="right"/>
    </xf>
    <xf numFmtId="43" fontId="0" fillId="0" borderId="0" xfId="0" applyNumberFormat="1" applyFont="1" applyAlignment="1">
      <alignment horizontal="center" wrapText="1"/>
    </xf>
    <xf numFmtId="39" fontId="0" fillId="0" borderId="0" xfId="0" applyAlignment="1">
      <alignment horizontal="center"/>
    </xf>
    <xf numFmtId="37" fontId="0" fillId="0" borderId="0" xfId="0" applyNumberFormat="1"/>
    <xf numFmtId="171" fontId="2" fillId="0" borderId="0" xfId="0" applyNumberFormat="1" applyFont="1"/>
    <xf numFmtId="43" fontId="2" fillId="0" borderId="0" xfId="55" applyFont="1"/>
    <xf numFmtId="43" fontId="0" fillId="0" borderId="0" xfId="0" applyNumberFormat="1" applyFont="1" applyAlignment="1">
      <alignment wrapText="1"/>
    </xf>
    <xf numFmtId="43" fontId="2" fillId="0" borderId="0" xfId="0" applyNumberFormat="1" applyFont="1" applyAlignment="1">
      <alignment horizontal="right"/>
    </xf>
    <xf numFmtId="43" fontId="0" fillId="0" borderId="0" xfId="0" applyNumberFormat="1" applyFont="1" applyAlignment="1">
      <alignment horizontal="right"/>
    </xf>
    <xf numFmtId="39" fontId="54" fillId="0" borderId="0" xfId="0" applyFont="1" applyBorder="1" applyAlignment="1">
      <alignment horizontal="center"/>
    </xf>
    <xf numFmtId="171" fontId="2" fillId="0" borderId="0" xfId="0" applyNumberFormat="1" applyFont="1" applyFill="1"/>
    <xf numFmtId="43" fontId="0" fillId="0" borderId="0" xfId="0" applyNumberFormat="1" applyFont="1" applyFill="1" applyAlignment="1">
      <alignment horizontal="right"/>
    </xf>
    <xf numFmtId="165" fontId="0" fillId="0" borderId="0" xfId="0" applyNumberFormat="1" applyFont="1" applyFill="1" applyAlignment="1">
      <alignment horizontal="center"/>
    </xf>
    <xf numFmtId="43" fontId="2" fillId="0" borderId="1" xfId="0" applyNumberFormat="1" applyFont="1" applyFill="1" applyBorder="1"/>
    <xf numFmtId="43" fontId="2" fillId="41" borderId="0" xfId="0" applyNumberFormat="1" applyFont="1" applyFill="1" applyBorder="1" applyAlignment="1">
      <alignment horizontal="center" wrapText="1"/>
    </xf>
    <xf numFmtId="39" fontId="13" fillId="0" borderId="0" xfId="118" applyBorder="1"/>
    <xf numFmtId="39" fontId="13" fillId="41" borderId="0" xfId="118" applyFill="1" applyBorder="1"/>
    <xf numFmtId="39" fontId="13" fillId="0" borderId="0" xfId="118" applyFill="1" applyBorder="1"/>
    <xf numFmtId="43" fontId="53" fillId="0" borderId="1" xfId="0" applyNumberFormat="1" applyFont="1" applyFill="1" applyBorder="1" applyAlignment="1">
      <alignment horizontal="centerContinuous"/>
    </xf>
    <xf numFmtId="39" fontId="54" fillId="0" borderId="1" xfId="0" applyFont="1" applyBorder="1" applyAlignment="1">
      <alignment horizontal="center"/>
    </xf>
    <xf numFmtId="43" fontId="2" fillId="41" borderId="1" xfId="0" applyNumberFormat="1" applyFont="1" applyFill="1" applyBorder="1" applyAlignment="1">
      <alignment horizontal="center" wrapText="1"/>
    </xf>
    <xf numFmtId="39" fontId="0" fillId="0" borderId="1" xfId="0" applyNumberFormat="1" applyBorder="1"/>
    <xf numFmtId="43" fontId="2" fillId="0" borderId="1" xfId="0" applyNumberFormat="1" applyFont="1" applyFill="1" applyBorder="1" applyAlignment="1">
      <alignment horizontal="center" wrapText="1"/>
    </xf>
    <xf numFmtId="39" fontId="13" fillId="0" borderId="0" xfId="129" applyNumberFormat="1" applyFill="1"/>
    <xf numFmtId="43" fontId="3" fillId="0" borderId="0" xfId="0" applyNumberFormat="1" applyFont="1" applyFill="1" applyBorder="1" applyAlignment="1">
      <alignment horizontal="center"/>
    </xf>
    <xf numFmtId="43" fontId="3" fillId="0" borderId="1" xfId="0" applyNumberFormat="1" applyFont="1" applyFill="1" applyBorder="1" applyAlignment="1">
      <alignment horizontal="center"/>
    </xf>
    <xf numFmtId="39" fontId="33" fillId="0" borderId="0" xfId="105" applyNumberFormat="1" applyBorder="1"/>
    <xf numFmtId="39" fontId="55" fillId="0" borderId="0" xfId="0" applyFont="1"/>
    <xf numFmtId="39" fontId="0" fillId="0" borderId="0" xfId="0" applyFont="1" applyAlignment="1">
      <alignment horizontal="left"/>
    </xf>
    <xf numFmtId="39" fontId="2" fillId="0" borderId="0" xfId="0" applyFont="1" applyAlignment="1">
      <alignment horizontal="center"/>
    </xf>
    <xf numFmtId="39" fontId="33" fillId="0" borderId="0" xfId="105" applyNumberFormat="1" applyBorder="1" applyProtection="1"/>
    <xf numFmtId="39" fontId="7" fillId="0" borderId="0" xfId="0" applyFont="1" applyAlignment="1" applyProtection="1">
      <alignment vertical="top" wrapText="1"/>
    </xf>
    <xf numFmtId="39" fontId="0" fillId="0" borderId="0" xfId="0" applyFont="1" applyProtection="1"/>
    <xf numFmtId="39" fontId="55" fillId="0" borderId="0" xfId="0" applyFont="1" applyProtection="1"/>
    <xf numFmtId="39" fontId="0" fillId="0" borderId="0" xfId="0" applyFont="1" applyFill="1" applyBorder="1" applyProtection="1"/>
    <xf numFmtId="165" fontId="33" fillId="0" borderId="0" xfId="105" applyNumberFormat="1" applyBorder="1" applyAlignment="1" applyProtection="1">
      <alignment horizontal="left"/>
    </xf>
    <xf numFmtId="39" fontId="0" fillId="0" borderId="0" xfId="0" applyAlignment="1">
      <alignment horizontal="left" vertical="top" wrapText="1"/>
    </xf>
    <xf numFmtId="49" fontId="33" fillId="0" borderId="0" xfId="105" applyNumberFormat="1" applyBorder="1"/>
    <xf numFmtId="49" fontId="55" fillId="0" borderId="0" xfId="0" applyNumberFormat="1" applyFont="1"/>
    <xf numFmtId="165" fontId="33" fillId="0" borderId="0" xfId="105" applyNumberFormat="1" applyBorder="1"/>
    <xf numFmtId="165" fontId="55" fillId="0" borderId="0" xfId="0" applyNumberFormat="1" applyFont="1"/>
    <xf numFmtId="165" fontId="55" fillId="0" borderId="0" xfId="0" applyNumberFormat="1" applyFont="1" applyAlignment="1">
      <alignment horizontal="center" wrapText="1"/>
    </xf>
    <xf numFmtId="165" fontId="33" fillId="0" borderId="0" xfId="105" applyNumberFormat="1" applyFill="1" applyBorder="1"/>
    <xf numFmtId="165" fontId="55" fillId="0" borderId="0" xfId="0" applyNumberFormat="1" applyFont="1" applyFill="1"/>
    <xf numFmtId="165" fontId="55" fillId="0" borderId="0" xfId="0" applyNumberFormat="1" applyFont="1" applyFill="1" applyAlignment="1">
      <alignment horizontal="center" wrapText="1"/>
    </xf>
    <xf numFmtId="39" fontId="33" fillId="0" borderId="0" xfId="105" applyNumberFormat="1" applyBorder="1" applyAlignment="1"/>
  </cellXfs>
  <cellStyles count="144">
    <cellStyle name="20% - Accent1" xfId="1" builtinId="30" customBuiltin="1"/>
    <cellStyle name="20% - Accent1 2" xfId="2"/>
    <cellStyle name="20% - Accent2" xfId="3" builtinId="34" customBuiltin="1"/>
    <cellStyle name="20% - Accent2 2" xfId="4"/>
    <cellStyle name="20% - Accent3" xfId="5" builtinId="38" customBuiltin="1"/>
    <cellStyle name="20% - Accent3 2" xfId="6"/>
    <cellStyle name="20% - Accent4" xfId="7" builtinId="42" customBuiltin="1"/>
    <cellStyle name="20% - Accent4 2" xfId="8"/>
    <cellStyle name="20% - Accent5" xfId="9" builtinId="46" customBuiltin="1"/>
    <cellStyle name="20% - Accent5 2" xfId="10"/>
    <cellStyle name="20% - Accent6" xfId="11" builtinId="50" customBuiltin="1"/>
    <cellStyle name="20% - Accent6 2" xfId="12"/>
    <cellStyle name="40% - Accent1" xfId="13" builtinId="31" customBuiltin="1"/>
    <cellStyle name="40% - Accent1 2" xfId="14"/>
    <cellStyle name="40% - Accent2" xfId="15" builtinId="35" customBuiltin="1"/>
    <cellStyle name="40% - Accent2 2" xfId="16"/>
    <cellStyle name="40% - Accent3" xfId="17" builtinId="39" customBuiltin="1"/>
    <cellStyle name="40% - Accent3 2" xfId="18"/>
    <cellStyle name="40% - Accent4" xfId="19" builtinId="43" customBuiltin="1"/>
    <cellStyle name="40% - Accent4 2" xfId="20"/>
    <cellStyle name="40% - Accent5" xfId="21" builtinId="47" customBuiltin="1"/>
    <cellStyle name="40% - Accent5 2" xfId="22"/>
    <cellStyle name="40% - Accent6" xfId="23" builtinId="51" customBuiltin="1"/>
    <cellStyle name="40% - Accent6 2" xfId="24"/>
    <cellStyle name="60% - Accent1" xfId="25" builtinId="32" customBuiltin="1"/>
    <cellStyle name="60% - Accent1 2" xfId="26"/>
    <cellStyle name="60% - Accent2" xfId="27" builtinId="36" customBuiltin="1"/>
    <cellStyle name="60% - Accent2 2" xfId="28"/>
    <cellStyle name="60% - Accent3" xfId="29" builtinId="40" customBuiltin="1"/>
    <cellStyle name="60% - Accent3 2" xfId="30"/>
    <cellStyle name="60% - Accent4" xfId="31" builtinId="44" customBuiltin="1"/>
    <cellStyle name="60% - Accent4 2" xfId="32"/>
    <cellStyle name="60% - Accent5" xfId="33" builtinId="48" customBuiltin="1"/>
    <cellStyle name="60% - Accent5 2" xfId="34"/>
    <cellStyle name="60% - Accent6" xfId="35" builtinId="52" customBuiltin="1"/>
    <cellStyle name="60% - Accent6 2" xfId="36"/>
    <cellStyle name="Accent1" xfId="37" builtinId="29" customBuiltin="1"/>
    <cellStyle name="Accent1 2" xfId="38"/>
    <cellStyle name="Accent2" xfId="39" builtinId="33" customBuiltin="1"/>
    <cellStyle name="Accent2 2" xfId="40"/>
    <cellStyle name="Accent3" xfId="41" builtinId="37" customBuiltin="1"/>
    <cellStyle name="Accent3 2" xfId="42"/>
    <cellStyle name="Accent4" xfId="43" builtinId="41" customBuiltin="1"/>
    <cellStyle name="Accent4 2" xfId="44"/>
    <cellStyle name="Accent5" xfId="45" builtinId="45" customBuiltin="1"/>
    <cellStyle name="Accent5 2" xfId="46"/>
    <cellStyle name="Accent6" xfId="47" builtinId="49" customBuiltin="1"/>
    <cellStyle name="Accent6 2" xfId="48"/>
    <cellStyle name="Bad" xfId="49" builtinId="27" customBuiltin="1"/>
    <cellStyle name="Bad 2" xfId="50"/>
    <cellStyle name="Calculation" xfId="51" builtinId="22" customBuiltin="1"/>
    <cellStyle name="Calculation 2" xfId="52"/>
    <cellStyle name="Check Cell" xfId="53" builtinId="23" customBuiltin="1"/>
    <cellStyle name="Check Cell 2" xfId="54"/>
    <cellStyle name="Comma" xfId="55" builtinId="3"/>
    <cellStyle name="Comma [2]" xfId="56"/>
    <cellStyle name="Comma 10" xfId="57"/>
    <cellStyle name="Comma 11" xfId="58"/>
    <cellStyle name="Comma 12" xfId="59"/>
    <cellStyle name="Comma 13" xfId="60"/>
    <cellStyle name="Comma 14" xfId="61"/>
    <cellStyle name="Comma 15" xfId="62"/>
    <cellStyle name="Comma 15 2" xfId="63"/>
    <cellStyle name="Comma 16" xfId="64"/>
    <cellStyle name="Comma 16 2" xfId="65"/>
    <cellStyle name="Comma 17" xfId="66"/>
    <cellStyle name="Comma 18" xfId="67"/>
    <cellStyle name="Comma 19" xfId="68"/>
    <cellStyle name="Comma 2" xfId="69"/>
    <cellStyle name="Comma 20" xfId="70"/>
    <cellStyle name="Comma 21" xfId="71"/>
    <cellStyle name="Comma 22" xfId="72"/>
    <cellStyle name="Comma 23" xfId="73"/>
    <cellStyle name="Comma 24" xfId="74"/>
    <cellStyle name="Comma 25" xfId="75"/>
    <cellStyle name="Comma 3" xfId="76"/>
    <cellStyle name="Comma 4" xfId="77"/>
    <cellStyle name="Comma 5" xfId="78"/>
    <cellStyle name="Comma 6" xfId="79"/>
    <cellStyle name="Comma 7" xfId="80"/>
    <cellStyle name="Comma 8" xfId="81"/>
    <cellStyle name="Comma 9" xfId="82"/>
    <cellStyle name="Currency" xfId="83" builtinId="4"/>
    <cellStyle name="Currency [2]" xfId="84"/>
    <cellStyle name="Currency 10" xfId="85"/>
    <cellStyle name="Currency 11" xfId="86"/>
    <cellStyle name="Currency 12" xfId="87"/>
    <cellStyle name="Currency 13" xfId="88"/>
    <cellStyle name="Currency 14" xfId="89"/>
    <cellStyle name="Currency 15" xfId="90"/>
    <cellStyle name="Currency 16" xfId="91"/>
    <cellStyle name="Currency 2" xfId="92"/>
    <cellStyle name="Currency 3" xfId="93"/>
    <cellStyle name="Currency 4" xfId="94"/>
    <cellStyle name="Currency 5" xfId="95"/>
    <cellStyle name="Currency 6" xfId="96"/>
    <cellStyle name="Currency 7" xfId="97"/>
    <cellStyle name="Currency 8" xfId="98"/>
    <cellStyle name="Currency 9" xfId="99"/>
    <cellStyle name="Explanatory Text" xfId="100" builtinId="53" customBuiltin="1"/>
    <cellStyle name="Explanatory Text 2" xfId="101"/>
    <cellStyle name="Good" xfId="102" builtinId="26" customBuiltin="1"/>
    <cellStyle name="Good 2" xfId="103"/>
    <cellStyle name="Heading 1" xfId="104" builtinId="16" customBuiltin="1"/>
    <cellStyle name="Heading 1 2" xfId="105"/>
    <cellStyle name="Heading 2" xfId="106" builtinId="17" customBuiltin="1"/>
    <cellStyle name="Heading 2 2" xfId="107"/>
    <cellStyle name="Heading 3" xfId="108" builtinId="18" customBuiltin="1"/>
    <cellStyle name="Heading 3 2" xfId="109"/>
    <cellStyle name="Heading 4" xfId="110" builtinId="19" customBuiltin="1"/>
    <cellStyle name="Heading 4 2" xfId="111"/>
    <cellStyle name="Input" xfId="112" builtinId="20" customBuiltin="1"/>
    <cellStyle name="Input 2" xfId="113"/>
    <cellStyle name="Linked Cell" xfId="114" builtinId="24" customBuiltin="1"/>
    <cellStyle name="Linked Cell 2" xfId="115"/>
    <cellStyle name="Neutral" xfId="116" builtinId="28" customBuiltin="1"/>
    <cellStyle name="Neutral 2" xfId="117"/>
    <cellStyle name="Normal" xfId="0" builtinId="0"/>
    <cellStyle name="Normal 10" xfId="118"/>
    <cellStyle name="Normal 11" xfId="119"/>
    <cellStyle name="Normal 12" xfId="120"/>
    <cellStyle name="Normal 12 2" xfId="121"/>
    <cellStyle name="Normal 13" xfId="122"/>
    <cellStyle name="Normal 2" xfId="123"/>
    <cellStyle name="Normal 3" xfId="124"/>
    <cellStyle name="Normal 4" xfId="125"/>
    <cellStyle name="Normal 5" xfId="126"/>
    <cellStyle name="Normal 6" xfId="127"/>
    <cellStyle name="Normal 6 2" xfId="128"/>
    <cellStyle name="Normal 7" xfId="129"/>
    <cellStyle name="Normal 8" xfId="130"/>
    <cellStyle name="Normal 9" xfId="131"/>
    <cellStyle name="Normal_05-06STRCol21-26L1-3" xfId="132"/>
    <cellStyle name="Normal_05-06STRCol21-26L4-6" xfId="133"/>
    <cellStyle name="Normal_05-06STRCol21-26L7-end" xfId="134"/>
    <cellStyle name="Note 2" xfId="135"/>
    <cellStyle name="Note 3" xfId="136"/>
    <cellStyle name="Output" xfId="137" builtinId="21" customBuiltin="1"/>
    <cellStyle name="Output 2" xfId="138"/>
    <cellStyle name="Title" xfId="139" builtinId="15" customBuiltin="1"/>
    <cellStyle name="Total" xfId="140" builtinId="25" customBuiltin="1"/>
    <cellStyle name="Total 2" xfId="141"/>
    <cellStyle name="Warning Text" xfId="142" builtinId="11" customBuiltin="1"/>
    <cellStyle name="Warning Text 2"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queryTables/queryTable1.xml><?xml version="1.0" encoding="utf-8"?>
<queryTable xmlns="http://schemas.openxmlformats.org/spreadsheetml/2006/main" name="Query from Databridge" connectionId="1" autoFormatId="16" applyNumberFormats="0" applyBorderFormats="0" applyFontFormats="1" applyPatternFormats="1" applyAlignmentFormats="0" applyWidthHeightFormats="0">
  <queryTableRefresh nextId="7">
    <queryTableFields count="6">
      <queryTableField id="1" name="dat_yer"/>
      <queryTableField id="2" name="dst_num"/>
      <queryTableField id="3" name="dst_tye"/>
      <queryTableField id="4" name="gen_lgr_num"/>
      <queryTableField id="5" name="fun_num"/>
      <queryTableField id="6" name="end_bal_amt"/>
    </queryTableFields>
  </queryTableRefresh>
</queryTable>
</file>

<file path=xl/queryTables/queryTable2.xml><?xml version="1.0" encoding="utf-8"?>
<queryTable xmlns="http://schemas.openxmlformats.org/spreadsheetml/2006/main" name="Query from Databridge" connectionId="2" autoFormatId="16" applyNumberFormats="0" applyBorderFormats="0" applyFontFormats="1" applyPatternFormats="1" applyAlignmentFormats="0" applyWidthHeightFormats="0">
  <queryTableRefresh nextId="7">
    <queryTableFields count="6">
      <queryTableField id="1" name="dat_yer"/>
      <queryTableField id="2" name="dst_num"/>
      <queryTableField id="3" name="dst_tye"/>
      <queryTableField id="4" name="gen_lgr_num"/>
      <queryTableField id="5" name="fun_num"/>
      <queryTableField id="6" name="end_bal_amt"/>
    </queryTableFields>
  </queryTableRefresh>
</query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queryTable" Target="../queryTables/queryTable2.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78"/>
  <sheetViews>
    <sheetView workbookViewId="0"/>
  </sheetViews>
  <sheetFormatPr defaultColWidth="0" defaultRowHeight="11.25" zeroHeight="1" x14ac:dyDescent="0.2"/>
  <cols>
    <col min="1" max="2" width="4.83203125" style="1" customWidth="1"/>
    <col min="3" max="3" width="10.83203125" style="1" customWidth="1"/>
    <col min="4" max="12" width="11.83203125" style="1" customWidth="1"/>
    <col min="13" max="13" width="12.83203125" style="1" customWidth="1"/>
    <col min="14" max="19" width="9.33203125" style="1" customWidth="1"/>
    <col min="20" max="20" width="22.1640625" style="1" bestFit="1" customWidth="1"/>
    <col min="21" max="21" width="22.1640625" style="12" hidden="1"/>
    <col min="22" max="16384" width="9.33203125" style="12" hidden="1"/>
  </cols>
  <sheetData>
    <row r="1" spans="1:20" s="233" customFormat="1" ht="19.5" x14ac:dyDescent="0.3">
      <c r="A1" s="230" t="s">
        <v>461</v>
      </c>
      <c r="B1" s="1"/>
      <c r="C1" s="1"/>
      <c r="D1" s="1"/>
      <c r="E1" s="1"/>
      <c r="F1" s="231" t="s">
        <v>1242</v>
      </c>
      <c r="G1" s="231" t="s">
        <v>1242</v>
      </c>
      <c r="H1" s="231" t="s">
        <v>1242</v>
      </c>
      <c r="I1" s="231" t="s">
        <v>1242</v>
      </c>
      <c r="J1" s="231" t="s">
        <v>1242</v>
      </c>
      <c r="K1" s="231" t="s">
        <v>1242</v>
      </c>
      <c r="L1" s="231" t="s">
        <v>1242</v>
      </c>
      <c r="M1" s="14">
        <f>Report!I1</f>
        <v>41828</v>
      </c>
      <c r="N1" s="231" t="s">
        <v>1244</v>
      </c>
      <c r="O1" s="5">
        <v>2014</v>
      </c>
      <c r="P1" t="s">
        <v>748</v>
      </c>
      <c r="Q1" s="152" t="s">
        <v>749</v>
      </c>
      <c r="R1" s="29" t="s">
        <v>750</v>
      </c>
      <c r="S1" s="6"/>
      <c r="T1" s="6"/>
    </row>
    <row r="2" spans="1:20" x14ac:dyDescent="0.2">
      <c r="A2" s="231" t="s">
        <v>1242</v>
      </c>
      <c r="B2" s="231" t="s">
        <v>1242</v>
      </c>
      <c r="C2" s="231" t="s">
        <v>1242</v>
      </c>
      <c r="D2" s="231" t="s">
        <v>1242</v>
      </c>
      <c r="E2" s="231" t="s">
        <v>1242</v>
      </c>
      <c r="F2" s="231" t="s">
        <v>1242</v>
      </c>
      <c r="G2" s="231" t="s">
        <v>1242</v>
      </c>
      <c r="H2" s="231" t="s">
        <v>1242</v>
      </c>
      <c r="I2" s="231" t="s">
        <v>1242</v>
      </c>
      <c r="J2" s="231" t="s">
        <v>1242</v>
      </c>
      <c r="K2" s="231" t="s">
        <v>1242</v>
      </c>
      <c r="L2" s="231" t="s">
        <v>1242</v>
      </c>
      <c r="M2" s="231" t="s">
        <v>1242</v>
      </c>
      <c r="N2" s="231"/>
      <c r="O2" s="231" t="s">
        <v>1245</v>
      </c>
      <c r="P2" t="s">
        <v>699</v>
      </c>
      <c r="Q2" s="152" t="s">
        <v>700</v>
      </c>
      <c r="R2" s="29" t="s">
        <v>701</v>
      </c>
      <c r="S2" s="148" t="s">
        <v>751</v>
      </c>
      <c r="T2" s="152" t="s">
        <v>752</v>
      </c>
    </row>
    <row r="3" spans="1:20" x14ac:dyDescent="0.2">
      <c r="A3" s="231" t="s">
        <v>1242</v>
      </c>
      <c r="B3" s="231" t="s">
        <v>1242</v>
      </c>
      <c r="C3" s="231" t="s">
        <v>1242</v>
      </c>
      <c r="D3" s="231" t="s">
        <v>1242</v>
      </c>
      <c r="E3" s="231" t="s">
        <v>1242</v>
      </c>
      <c r="F3" s="231" t="s">
        <v>1242</v>
      </c>
      <c r="G3" s="231" t="s">
        <v>1242</v>
      </c>
      <c r="H3" s="231" t="s">
        <v>1242</v>
      </c>
      <c r="I3" s="231" t="s">
        <v>1242</v>
      </c>
      <c r="J3" s="231" t="s">
        <v>1242</v>
      </c>
      <c r="K3" s="231" t="s">
        <v>1242</v>
      </c>
      <c r="L3" s="231" t="s">
        <v>1242</v>
      </c>
      <c r="M3" s="231" t="s">
        <v>1242</v>
      </c>
      <c r="N3" s="231"/>
      <c r="O3" s="231"/>
      <c r="P3" s="163" t="s">
        <v>690</v>
      </c>
      <c r="Q3" s="231" t="s">
        <v>1243</v>
      </c>
      <c r="R3" t="s">
        <v>691</v>
      </c>
      <c r="S3" s="148" t="s">
        <v>702</v>
      </c>
      <c r="T3" s="152" t="s">
        <v>753</v>
      </c>
    </row>
    <row r="4" spans="1:20" x14ac:dyDescent="0.2">
      <c r="A4" s="231" t="s">
        <v>1242</v>
      </c>
      <c r="B4" s="231" t="s">
        <v>1242</v>
      </c>
      <c r="C4" s="231" t="s">
        <v>1242</v>
      </c>
      <c r="D4" s="231" t="s">
        <v>1242</v>
      </c>
      <c r="E4" s="231" t="s">
        <v>1242</v>
      </c>
      <c r="F4" s="231" t="s">
        <v>1242</v>
      </c>
      <c r="G4" s="231" t="s">
        <v>1242</v>
      </c>
      <c r="H4" s="231" t="s">
        <v>1242</v>
      </c>
      <c r="I4" s="231" t="s">
        <v>1242</v>
      </c>
      <c r="J4" s="231" t="s">
        <v>1242</v>
      </c>
      <c r="K4" s="231" t="s">
        <v>1242</v>
      </c>
      <c r="L4" s="231" t="s">
        <v>1242</v>
      </c>
      <c r="M4" s="231" t="s">
        <v>1242</v>
      </c>
      <c r="N4" s="231"/>
      <c r="O4" s="231"/>
      <c r="P4" s="29" t="s">
        <v>654</v>
      </c>
      <c r="Q4" s="231"/>
      <c r="R4" s="231" t="s">
        <v>1243</v>
      </c>
      <c r="S4" s="231" t="s">
        <v>1243</v>
      </c>
      <c r="T4" t="s">
        <v>754</v>
      </c>
    </row>
    <row r="5" spans="1:20" ht="29.45" customHeight="1" x14ac:dyDescent="0.2">
      <c r="A5" s="186" t="str">
        <f>"The property tax shift is an accounting entry that takes a portion of the school district's property tax revenue and moves it forward one fiscal year, i.e.,  taxes that would otherwise be revenue for fiscal year "&amp;RIGHT(R1,4)&amp;" are shifted into fiscal year "&amp;RIGHT(R2,4)&amp;".  The property tax shift requirement is in Minnesota Statutes, section 123B.75, subdivision 5."</f>
        <v>The property tax shift is an accounting entry that takes a portion of the school district's property tax revenue and moves it forward one fiscal year, i.e.,  taxes that would otherwise be revenue for fiscal year 2015 are shifted into fiscal year 2014.  The property tax shift requirement is in Minnesota Statutes, section 123B.75, subdivision 5.</v>
      </c>
      <c r="B5" s="187"/>
      <c r="C5" s="187"/>
      <c r="D5" s="187"/>
      <c r="E5" s="187"/>
      <c r="F5" s="187"/>
      <c r="G5" s="187"/>
      <c r="H5" s="187"/>
      <c r="I5" s="187"/>
      <c r="J5" s="187"/>
      <c r="K5" s="187"/>
      <c r="L5" s="187"/>
      <c r="M5" s="187"/>
      <c r="P5" s="163" t="s">
        <v>632</v>
      </c>
      <c r="Q5" s="12"/>
      <c r="R5" s="12"/>
      <c r="S5" s="12"/>
      <c r="T5" s="231" t="s">
        <v>1243</v>
      </c>
    </row>
    <row r="6" spans="1:20" x14ac:dyDescent="0.2">
      <c r="A6" s="231" t="s">
        <v>1242</v>
      </c>
      <c r="B6" s="231" t="s">
        <v>1242</v>
      </c>
      <c r="C6" s="231" t="s">
        <v>1242</v>
      </c>
      <c r="D6" s="231" t="s">
        <v>1242</v>
      </c>
      <c r="E6" s="231" t="s">
        <v>1242</v>
      </c>
      <c r="F6" s="231" t="s">
        <v>1242</v>
      </c>
      <c r="G6" s="231" t="s">
        <v>1242</v>
      </c>
      <c r="H6" s="231" t="s">
        <v>1242</v>
      </c>
      <c r="I6" s="231" t="s">
        <v>1242</v>
      </c>
      <c r="J6" s="231" t="s">
        <v>1242</v>
      </c>
      <c r="K6" s="231" t="s">
        <v>1242</v>
      </c>
      <c r="L6" s="231" t="s">
        <v>1242</v>
      </c>
      <c r="M6" s="231" t="s">
        <v>1242</v>
      </c>
      <c r="N6" s="231"/>
      <c r="O6" s="231" t="s">
        <v>1242</v>
      </c>
      <c r="P6" s="29" t="s">
        <v>610</v>
      </c>
    </row>
    <row r="7" spans="1:20" x14ac:dyDescent="0.2">
      <c r="A7" s="231" t="s">
        <v>1242</v>
      </c>
      <c r="B7" s="231" t="s">
        <v>1242</v>
      </c>
      <c r="C7" s="231" t="s">
        <v>1242</v>
      </c>
      <c r="D7" s="231" t="s">
        <v>1242</v>
      </c>
      <c r="E7" s="231" t="s">
        <v>1242</v>
      </c>
      <c r="F7" s="231" t="s">
        <v>1242</v>
      </c>
      <c r="G7" s="231" t="s">
        <v>1242</v>
      </c>
      <c r="H7" s="231" t="s">
        <v>1242</v>
      </c>
      <c r="I7" s="231" t="s">
        <v>1242</v>
      </c>
      <c r="J7" s="231" t="s">
        <v>1242</v>
      </c>
      <c r="K7" s="231" t="s">
        <v>1242</v>
      </c>
      <c r="L7" s="231" t="s">
        <v>1242</v>
      </c>
      <c r="M7" s="231" t="s">
        <v>1242</v>
      </c>
      <c r="N7" s="231"/>
      <c r="O7" s="231" t="s">
        <v>1242</v>
      </c>
      <c r="P7" s="163" t="s">
        <v>593</v>
      </c>
    </row>
    <row r="8" spans="1:20" x14ac:dyDescent="0.2">
      <c r="A8" s="9" t="s">
        <v>501</v>
      </c>
      <c r="C8" s="231" t="s">
        <v>1242</v>
      </c>
      <c r="D8" s="231" t="s">
        <v>1242</v>
      </c>
      <c r="E8" s="231" t="s">
        <v>1242</v>
      </c>
      <c r="F8" s="231" t="s">
        <v>1242</v>
      </c>
      <c r="G8" s="231" t="s">
        <v>1242</v>
      </c>
      <c r="H8" s="231" t="s">
        <v>1242</v>
      </c>
      <c r="I8" s="231" t="s">
        <v>1242</v>
      </c>
      <c r="J8" s="231" t="s">
        <v>1242</v>
      </c>
      <c r="K8" s="231" t="s">
        <v>1242</v>
      </c>
      <c r="L8" s="231" t="s">
        <v>1242</v>
      </c>
      <c r="M8" s="231" t="s">
        <v>1242</v>
      </c>
      <c r="N8" s="231"/>
      <c r="O8" s="231" t="s">
        <v>1242</v>
      </c>
      <c r="P8" s="29" t="s">
        <v>587</v>
      </c>
    </row>
    <row r="9" spans="1:20" x14ac:dyDescent="0.2">
      <c r="A9" s="231" t="s">
        <v>1240</v>
      </c>
    </row>
    <row r="10" spans="1:20" ht="11.25" customHeight="1" x14ac:dyDescent="0.2">
      <c r="A10" s="189" t="str">
        <f>"For the June 30, "&amp;RIGHT(R2,4)&amp;", tax shift this spreadsheet is using the payable "&amp;RIGHT(P1,4)&amp;" final certified levies plus/minus county auditor adjustments."</f>
        <v>For the June 30, 2014, tax shift this spreadsheet is using the payable 2014 final certified levies plus/minus county auditor adjustments.</v>
      </c>
      <c r="B10" s="188"/>
      <c r="C10" s="188"/>
      <c r="D10" s="188"/>
      <c r="E10" s="188"/>
      <c r="F10" s="188"/>
      <c r="G10" s="188"/>
      <c r="H10" s="188"/>
      <c r="I10" s="188"/>
      <c r="J10" s="188"/>
      <c r="K10" s="188"/>
      <c r="L10" s="188"/>
      <c r="M10" s="188"/>
    </row>
    <row r="11" spans="1:20" x14ac:dyDescent="0.2">
      <c r="A11" s="231" t="s">
        <v>1240</v>
      </c>
      <c r="B11" s="29"/>
      <c r="C11" s="29"/>
      <c r="D11" s="29"/>
      <c r="E11" s="29"/>
      <c r="F11" s="29"/>
      <c r="G11" s="29"/>
      <c r="H11" s="29"/>
      <c r="I11" s="29"/>
      <c r="J11" s="29"/>
      <c r="K11" s="29"/>
      <c r="L11" s="29"/>
      <c r="M11" s="29"/>
    </row>
    <row r="12" spans="1:20" ht="9.9499999999999993" customHeight="1" x14ac:dyDescent="0.2">
      <c r="A12" s="189" t="str">
        <f>"Preliminary payable "&amp;RIGHT(P1,4)&amp;" credits are used in this spreadsheet.  The spreadsheet will be updated to use final payable "&amp;RIGHT(P1,4)&amp;" credits when that data is available."</f>
        <v>Preliminary payable 2014 credits are used in this spreadsheet.  The spreadsheet will be updated to use final payable 2014 credits when that data is available.</v>
      </c>
      <c r="B12" s="188"/>
      <c r="C12" s="188"/>
      <c r="D12" s="188"/>
      <c r="E12" s="188"/>
      <c r="F12" s="188"/>
      <c r="G12" s="188"/>
      <c r="H12" s="188"/>
      <c r="I12" s="188"/>
      <c r="J12" s="188"/>
      <c r="K12" s="188"/>
      <c r="L12" s="188"/>
      <c r="M12" s="188"/>
    </row>
    <row r="13" spans="1:20" x14ac:dyDescent="0.2">
      <c r="A13" s="231" t="s">
        <v>1240</v>
      </c>
      <c r="B13" s="29"/>
      <c r="C13" s="29"/>
      <c r="D13" s="29"/>
      <c r="E13" s="29"/>
      <c r="F13" s="29"/>
      <c r="G13" s="29"/>
      <c r="H13" s="29"/>
      <c r="I13" s="29"/>
      <c r="J13" s="29"/>
      <c r="K13" s="29"/>
      <c r="L13" s="29"/>
      <c r="M13" s="29"/>
    </row>
    <row r="14" spans="1:20" ht="36" customHeight="1" x14ac:dyDescent="0.2">
      <c r="A14" s="186" t="str">
        <f>"Tax receipts for May-July "&amp;RIGHT(R2,4)&amp;" for the general fund and community service fund have been estimated on the Receipts tab.  Preliminary payable "&amp;RIGHT(P1,4)&amp;" credits from the Department of Revenue are used in computing estimated tax receipts.  These estimates are carried over to cells E91 and F91 of the Report tab.  Districts should override these estimates when actual tax receipts are determined."</f>
        <v>Tax receipts for May-July 2014 for the general fund and community service fund have been estimated on the Receipts tab.  Preliminary payable 2014 credits from the Department of Revenue are used in computing estimated tax receipts.  These estimates are carried over to cells E91 and F91 of the Report tab.  Districts should override these estimates when actual tax receipts are determined.</v>
      </c>
      <c r="B14" s="188"/>
      <c r="C14" s="188"/>
      <c r="D14" s="188"/>
      <c r="E14" s="188"/>
      <c r="F14" s="188"/>
      <c r="G14" s="188"/>
      <c r="H14" s="188"/>
      <c r="I14" s="188"/>
      <c r="J14" s="188"/>
      <c r="K14" s="188"/>
      <c r="L14" s="188"/>
      <c r="M14" s="188"/>
      <c r="N14" s="15"/>
      <c r="O14" s="15"/>
    </row>
    <row r="15" spans="1:20" ht="11.25" hidden="1" customHeight="1" x14ac:dyDescent="0.2">
      <c r="A15" s="187"/>
      <c r="B15" s="188"/>
      <c r="C15" s="188"/>
      <c r="D15" s="188"/>
      <c r="E15" s="188"/>
      <c r="F15" s="188"/>
      <c r="G15" s="188"/>
      <c r="H15" s="188"/>
      <c r="I15" s="188"/>
      <c r="J15" s="188"/>
      <c r="K15" s="188"/>
      <c r="L15" s="188"/>
      <c r="M15" s="188"/>
      <c r="N15" s="15"/>
      <c r="O15" s="15"/>
    </row>
    <row r="16" spans="1:20" hidden="1" x14ac:dyDescent="0.2">
      <c r="A16" s="188"/>
      <c r="B16" s="188"/>
      <c r="C16" s="188"/>
      <c r="D16" s="188"/>
      <c r="E16" s="188"/>
      <c r="F16" s="188"/>
      <c r="G16" s="188"/>
      <c r="H16" s="188"/>
      <c r="I16" s="188"/>
      <c r="J16" s="188"/>
      <c r="K16" s="188"/>
      <c r="L16" s="188"/>
      <c r="M16" s="188"/>
      <c r="N16" s="15"/>
      <c r="O16" s="15"/>
    </row>
    <row r="17" spans="1:15" x14ac:dyDescent="0.2">
      <c r="A17" s="231" t="s">
        <v>1240</v>
      </c>
      <c r="B17" s="20"/>
      <c r="C17" s="20"/>
      <c r="D17" s="20"/>
      <c r="E17" s="20"/>
      <c r="F17" s="20"/>
      <c r="G17" s="20"/>
      <c r="H17" s="20"/>
      <c r="I17" s="20"/>
      <c r="J17" s="20"/>
      <c r="K17" s="20"/>
      <c r="L17" s="20"/>
      <c r="M17" s="20"/>
      <c r="N17" s="20"/>
      <c r="O17" s="20"/>
    </row>
    <row r="18" spans="1:15" x14ac:dyDescent="0.2">
      <c r="A18" s="13" t="s">
        <v>462</v>
      </c>
      <c r="B18" s="11"/>
      <c r="C18" s="11"/>
      <c r="D18" s="11"/>
      <c r="E18" s="231" t="s">
        <v>1242</v>
      </c>
      <c r="F18" s="231" t="s">
        <v>1242</v>
      </c>
      <c r="G18" s="231" t="s">
        <v>1242</v>
      </c>
      <c r="H18" s="231" t="s">
        <v>1242</v>
      </c>
      <c r="I18" s="231" t="s">
        <v>1242</v>
      </c>
      <c r="J18" s="231" t="s">
        <v>1242</v>
      </c>
      <c r="K18" s="231" t="s">
        <v>1242</v>
      </c>
      <c r="L18" s="231" t="s">
        <v>1242</v>
      </c>
      <c r="M18" s="231" t="s">
        <v>1242</v>
      </c>
    </row>
    <row r="19" spans="1:15" ht="22.5" x14ac:dyDescent="0.2">
      <c r="A19" s="186" t="s">
        <v>647</v>
      </c>
      <c r="B19" s="187"/>
      <c r="C19" s="187"/>
      <c r="D19" s="187"/>
      <c r="E19" s="187"/>
      <c r="F19" s="187"/>
      <c r="G19" s="187"/>
      <c r="H19" s="187"/>
      <c r="I19" s="187"/>
      <c r="J19" s="187"/>
      <c r="K19" s="187"/>
      <c r="L19" s="187"/>
      <c r="M19" s="187"/>
    </row>
    <row r="20" spans="1:15" x14ac:dyDescent="0.2">
      <c r="A20" s="231" t="s">
        <v>1240</v>
      </c>
      <c r="B20" s="187"/>
      <c r="C20" s="187"/>
      <c r="D20" s="187"/>
      <c r="E20" s="187"/>
      <c r="F20" s="187"/>
      <c r="G20" s="187"/>
      <c r="H20" s="187"/>
      <c r="I20" s="187"/>
      <c r="J20" s="187"/>
      <c r="K20" s="187"/>
      <c r="L20" s="187"/>
      <c r="M20" s="187"/>
    </row>
    <row r="21" spans="1:15" x14ac:dyDescent="0.2">
      <c r="A21" s="9" t="s">
        <v>463</v>
      </c>
      <c r="D21" s="231" t="s">
        <v>1242</v>
      </c>
      <c r="E21" s="231" t="s">
        <v>1242</v>
      </c>
      <c r="F21" s="231" t="s">
        <v>1242</v>
      </c>
      <c r="G21" s="231" t="s">
        <v>1242</v>
      </c>
      <c r="H21" s="231" t="s">
        <v>1242</v>
      </c>
      <c r="I21" s="231" t="s">
        <v>1242</v>
      </c>
      <c r="J21" s="231" t="s">
        <v>1242</v>
      </c>
      <c r="K21" s="231" t="s">
        <v>1242</v>
      </c>
      <c r="L21" s="231" t="s">
        <v>1242</v>
      </c>
      <c r="M21" s="231" t="s">
        <v>1242</v>
      </c>
    </row>
    <row r="22" spans="1:15" ht="45" x14ac:dyDescent="0.2">
      <c r="A22" s="186" t="s">
        <v>648</v>
      </c>
      <c r="B22" s="187"/>
      <c r="C22" s="187"/>
      <c r="D22" s="187"/>
      <c r="E22" s="187"/>
      <c r="F22" s="187"/>
      <c r="G22" s="187"/>
      <c r="H22" s="187"/>
      <c r="I22" s="187"/>
      <c r="J22" s="187"/>
      <c r="K22" s="187"/>
      <c r="L22" s="187"/>
      <c r="M22" s="187"/>
    </row>
    <row r="23" spans="1:15" hidden="1" x14ac:dyDescent="0.2">
      <c r="A23" s="187"/>
      <c r="B23" s="187"/>
      <c r="C23" s="187"/>
      <c r="D23" s="187"/>
      <c r="E23" s="187"/>
      <c r="F23" s="187"/>
      <c r="G23" s="187"/>
      <c r="H23" s="187"/>
      <c r="I23" s="187"/>
      <c r="J23" s="187"/>
      <c r="K23" s="187"/>
      <c r="L23" s="187"/>
      <c r="M23" s="187"/>
    </row>
    <row r="24" spans="1:15" hidden="1" x14ac:dyDescent="0.2">
      <c r="A24" s="187"/>
      <c r="B24" s="187"/>
      <c r="C24" s="187"/>
      <c r="D24" s="187"/>
      <c r="E24" s="187"/>
      <c r="F24" s="187"/>
      <c r="G24" s="187"/>
      <c r="H24" s="187"/>
      <c r="I24" s="187"/>
      <c r="J24" s="187"/>
      <c r="K24" s="187"/>
      <c r="L24" s="187"/>
      <c r="M24" s="187"/>
    </row>
    <row r="25" spans="1:15" hidden="1" x14ac:dyDescent="0.2">
      <c r="A25" s="187"/>
      <c r="B25" s="187"/>
      <c r="C25" s="187"/>
      <c r="D25" s="187"/>
      <c r="E25" s="187"/>
      <c r="F25" s="187"/>
      <c r="G25" s="187"/>
      <c r="H25" s="187"/>
      <c r="I25" s="187"/>
      <c r="J25" s="187"/>
      <c r="K25" s="187"/>
      <c r="L25" s="187"/>
      <c r="M25" s="187"/>
    </row>
    <row r="26" spans="1:15" x14ac:dyDescent="0.2">
      <c r="A26" s="231" t="s">
        <v>1240</v>
      </c>
      <c r="B26" s="15"/>
      <c r="C26" s="15"/>
      <c r="D26" s="15"/>
      <c r="E26" s="15"/>
      <c r="F26" s="15"/>
      <c r="G26" s="15"/>
      <c r="H26" s="15"/>
      <c r="I26" s="15"/>
      <c r="J26" s="15"/>
      <c r="K26" s="15"/>
      <c r="L26" s="15"/>
      <c r="M26" s="15"/>
    </row>
    <row r="27" spans="1:15" ht="9.9499999999999993" customHeight="1" x14ac:dyDescent="0.2">
      <c r="A27" s="186" t="s">
        <v>664</v>
      </c>
      <c r="B27" s="187"/>
      <c r="C27" s="187"/>
      <c r="D27" s="187"/>
      <c r="E27" s="187"/>
      <c r="F27" s="187"/>
      <c r="G27" s="187"/>
      <c r="H27" s="187"/>
      <c r="I27" s="187"/>
      <c r="J27" s="187"/>
      <c r="K27" s="187"/>
      <c r="L27" s="187"/>
      <c r="M27" s="187"/>
    </row>
    <row r="28" spans="1:15" x14ac:dyDescent="0.2">
      <c r="A28" s="186" t="s">
        <v>692</v>
      </c>
      <c r="B28" s="187"/>
      <c r="C28" s="187"/>
      <c r="D28" s="187"/>
      <c r="E28" s="187"/>
      <c r="F28" s="187"/>
      <c r="G28" s="187"/>
      <c r="H28" s="187"/>
      <c r="I28" s="187"/>
      <c r="J28" s="187"/>
      <c r="K28" s="187"/>
      <c r="L28" s="187"/>
      <c r="M28" s="187"/>
    </row>
    <row r="29" spans="1:15" x14ac:dyDescent="0.2">
      <c r="A29" s="186" t="s">
        <v>1237</v>
      </c>
      <c r="B29" s="187"/>
      <c r="C29" s="187"/>
      <c r="D29" s="187"/>
      <c r="E29" s="187"/>
      <c r="F29" s="187"/>
      <c r="G29" s="187"/>
      <c r="H29" s="187"/>
      <c r="I29" s="187"/>
      <c r="J29" s="187"/>
      <c r="K29" s="187"/>
      <c r="L29" s="187"/>
      <c r="M29" s="187"/>
    </row>
    <row r="30" spans="1:15" x14ac:dyDescent="0.2">
      <c r="A30" s="231" t="s">
        <v>1240</v>
      </c>
    </row>
    <row r="31" spans="1:15" x14ac:dyDescent="0.2">
      <c r="A31" s="1" t="s">
        <v>556</v>
      </c>
      <c r="I31" s="231" t="s">
        <v>1242</v>
      </c>
      <c r="J31" s="231" t="s">
        <v>1242</v>
      </c>
      <c r="K31" s="231" t="s">
        <v>1242</v>
      </c>
      <c r="L31" s="231" t="s">
        <v>1242</v>
      </c>
      <c r="M31" s="231" t="s">
        <v>1242</v>
      </c>
    </row>
    <row r="32" spans="1:15" ht="22.5" x14ac:dyDescent="0.2">
      <c r="B32" s="187" t="s">
        <v>502</v>
      </c>
      <c r="C32" s="187"/>
      <c r="D32" s="187"/>
      <c r="E32" s="187"/>
      <c r="F32" s="187"/>
      <c r="G32" s="187"/>
      <c r="H32" s="187"/>
      <c r="I32" s="187"/>
      <c r="J32" s="187"/>
      <c r="K32" s="187"/>
      <c r="L32" s="187"/>
      <c r="M32" s="187"/>
    </row>
    <row r="33" spans="1:13" hidden="1" x14ac:dyDescent="0.2">
      <c r="B33" s="187"/>
      <c r="C33" s="187"/>
      <c r="D33" s="187"/>
      <c r="E33" s="187"/>
      <c r="F33" s="187"/>
      <c r="G33" s="187"/>
      <c r="H33" s="187"/>
      <c r="I33" s="187"/>
      <c r="J33" s="187"/>
      <c r="K33" s="187"/>
      <c r="L33" s="187"/>
      <c r="M33" s="187"/>
    </row>
    <row r="34" spans="1:13" x14ac:dyDescent="0.2">
      <c r="A34" s="231" t="s">
        <v>1240</v>
      </c>
    </row>
    <row r="35" spans="1:13" x14ac:dyDescent="0.2">
      <c r="A35" s="231" t="s">
        <v>1242</v>
      </c>
      <c r="B35" s="1" t="s">
        <v>492</v>
      </c>
      <c r="K35" s="231" t="s">
        <v>1242</v>
      </c>
      <c r="L35" s="231" t="s">
        <v>1242</v>
      </c>
      <c r="M35" s="231" t="s">
        <v>1242</v>
      </c>
    </row>
    <row r="36" spans="1:13" x14ac:dyDescent="0.2">
      <c r="A36" s="231" t="s">
        <v>1242</v>
      </c>
      <c r="B36" s="231" t="s">
        <v>1242</v>
      </c>
      <c r="C36" s="145" t="str">
        <f>"Column 1 is the amount of payable "&amp;RIGHT(P1,4)&amp;" levy to be recognized in fiscal year "&amp;RIGHT(R2,4)&amp;"."</f>
        <v>Column 1 is the amount of payable 2014 levy to be recognized in fiscal year 2014.</v>
      </c>
      <c r="D36" s="15"/>
      <c r="E36" s="15"/>
      <c r="F36" s="15"/>
      <c r="G36" s="15"/>
      <c r="H36" s="15"/>
      <c r="I36" s="231" t="s">
        <v>1242</v>
      </c>
      <c r="J36" s="231" t="s">
        <v>1242</v>
      </c>
      <c r="K36" s="231" t="s">
        <v>1242</v>
      </c>
      <c r="L36" s="231" t="s">
        <v>1242</v>
      </c>
      <c r="M36" s="231" t="s">
        <v>1242</v>
      </c>
    </row>
    <row r="37" spans="1:13" x14ac:dyDescent="0.2">
      <c r="A37" s="231" t="s">
        <v>1242</v>
      </c>
      <c r="B37" s="231" t="s">
        <v>1242</v>
      </c>
      <c r="C37" s="145" t="str">
        <f>"Column 2 is the amount of payable "&amp;RIGHT(P2,4)&amp;" levy that was recognized in fiscal year "&amp;RIGHT(R3,4)&amp;"."</f>
        <v>Column 2 is the amount of payable 2013 levy that was recognized in fiscal year 2013.</v>
      </c>
      <c r="D37" s="15"/>
      <c r="E37" s="15"/>
      <c r="F37" s="15"/>
      <c r="G37" s="15"/>
      <c r="H37" s="15"/>
      <c r="I37" s="231" t="s">
        <v>1242</v>
      </c>
      <c r="J37" s="231" t="s">
        <v>1242</v>
      </c>
      <c r="K37" s="231" t="s">
        <v>1242</v>
      </c>
      <c r="L37" s="231" t="s">
        <v>1242</v>
      </c>
      <c r="M37" s="231" t="s">
        <v>1242</v>
      </c>
    </row>
    <row r="38" spans="1:13" ht="9.9499999999999993" customHeight="1" x14ac:dyDescent="0.2">
      <c r="A38" s="231" t="s">
        <v>1242</v>
      </c>
      <c r="B38" s="231" t="s">
        <v>1242</v>
      </c>
      <c r="C38" s="191" t="s">
        <v>464</v>
      </c>
      <c r="D38" s="187"/>
      <c r="E38" s="187"/>
      <c r="F38" s="187"/>
      <c r="G38" s="187"/>
      <c r="H38" s="187"/>
      <c r="I38" s="187"/>
      <c r="J38" s="187"/>
      <c r="K38" s="187"/>
      <c r="L38" s="187"/>
      <c r="M38" s="187"/>
    </row>
    <row r="39" spans="1:13" ht="22.5" x14ac:dyDescent="0.2">
      <c r="A39" s="231" t="s">
        <v>1242</v>
      </c>
      <c r="B39" s="231" t="s">
        <v>1242</v>
      </c>
      <c r="C39" s="186" t="s">
        <v>655</v>
      </c>
      <c r="D39" s="186"/>
      <c r="E39" s="186"/>
      <c r="F39" s="186"/>
      <c r="G39" s="186"/>
      <c r="H39" s="186"/>
      <c r="I39" s="186"/>
      <c r="J39" s="186"/>
      <c r="K39" s="186"/>
      <c r="L39" s="186"/>
      <c r="M39" s="186"/>
    </row>
    <row r="40" spans="1:13" x14ac:dyDescent="0.2">
      <c r="A40" s="231" t="s">
        <v>1240</v>
      </c>
      <c r="B40" s="15"/>
      <c r="C40" s="186"/>
      <c r="D40" s="186"/>
      <c r="E40" s="186"/>
      <c r="F40" s="186"/>
      <c r="G40" s="186"/>
      <c r="H40" s="186"/>
      <c r="I40" s="186"/>
      <c r="J40" s="186"/>
      <c r="K40" s="186"/>
      <c r="L40" s="186"/>
      <c r="M40" s="186"/>
    </row>
    <row r="41" spans="1:13" ht="9.9499999999999993" customHeight="1" x14ac:dyDescent="0.2">
      <c r="A41" s="231" t="s">
        <v>1242</v>
      </c>
      <c r="B41" s="231" t="s">
        <v>1242</v>
      </c>
      <c r="C41" s="186" t="s">
        <v>656</v>
      </c>
      <c r="D41" s="187"/>
      <c r="E41" s="187"/>
      <c r="F41" s="187"/>
      <c r="G41" s="187"/>
      <c r="H41" s="187"/>
      <c r="I41" s="187"/>
      <c r="J41" s="187"/>
      <c r="K41" s="187"/>
      <c r="L41" s="187"/>
      <c r="M41" s="187"/>
    </row>
    <row r="42" spans="1:13" ht="9.9499999999999993" customHeight="1" x14ac:dyDescent="0.2">
      <c r="A42" s="231" t="s">
        <v>1242</v>
      </c>
      <c r="B42" s="231" t="s">
        <v>1242</v>
      </c>
      <c r="C42" s="186" t="s">
        <v>657</v>
      </c>
      <c r="D42" s="187"/>
      <c r="E42" s="187"/>
      <c r="F42" s="187"/>
      <c r="G42" s="187"/>
      <c r="H42" s="187"/>
      <c r="I42" s="187"/>
      <c r="J42" s="187"/>
      <c r="K42" s="187"/>
      <c r="L42" s="187"/>
      <c r="M42" s="187"/>
    </row>
    <row r="43" spans="1:13" x14ac:dyDescent="0.2">
      <c r="A43" s="231" t="s">
        <v>1240</v>
      </c>
      <c r="B43" s="15"/>
      <c r="C43" s="15"/>
      <c r="D43" s="15"/>
      <c r="E43" s="15"/>
      <c r="F43" s="15"/>
      <c r="G43" s="15"/>
      <c r="H43" s="15"/>
      <c r="I43" s="15"/>
      <c r="J43" s="15"/>
      <c r="K43" s="15"/>
      <c r="L43" s="15"/>
      <c r="M43" s="15"/>
    </row>
    <row r="44" spans="1:13" ht="9.9499999999999993" customHeight="1" x14ac:dyDescent="0.2">
      <c r="A44" s="231" t="s">
        <v>1242</v>
      </c>
      <c r="B44" s="186" t="s">
        <v>662</v>
      </c>
      <c r="C44" s="186"/>
      <c r="D44" s="186"/>
      <c r="E44" s="186"/>
      <c r="F44" s="186"/>
      <c r="G44" s="186"/>
      <c r="H44" s="186"/>
      <c r="I44" s="186"/>
      <c r="J44" s="186"/>
      <c r="K44" s="186"/>
      <c r="L44" s="186"/>
      <c r="M44" s="186"/>
    </row>
    <row r="45" spans="1:13" x14ac:dyDescent="0.2">
      <c r="A45" s="231" t="s">
        <v>1240</v>
      </c>
      <c r="C45" s="15"/>
      <c r="D45" s="15"/>
      <c r="E45" s="15"/>
      <c r="F45" s="15"/>
      <c r="G45" s="15"/>
      <c r="H45" s="15"/>
      <c r="I45" s="15"/>
      <c r="J45" s="15"/>
      <c r="K45" s="15"/>
      <c r="L45" s="15"/>
      <c r="M45" s="15"/>
    </row>
    <row r="46" spans="1:13" ht="33.75" x14ac:dyDescent="0.2">
      <c r="A46" s="231" t="s">
        <v>1242</v>
      </c>
      <c r="B46" s="186" t="str">
        <f>"In the third section, estimated tax receipts for May, June and July "&amp;RIGHT(R2,4)&amp;" have been computed.  See blue highlighted area.  Override these estimates with actual tax settlement receipts for May, June and July "&amp;RIGHT(R2,4)&amp;" when this data is available.  If the gross shift amount is greater than May, June and July tax receipts, the district will recognize fiscal year "&amp;RIGHT(R1,4)&amp;" general education aid early in an amount equal to the difference between tax receipts and the gross shift."</f>
        <v>In the third section, estimated tax receipts for May, June and July 2014 have been computed.  See blue highlighted area.  Override these estimates with actual tax settlement receipts for May, June and July 2014 when this data is available.  If the gross shift amount is greater than May, June and July tax receipts, the district will recognize fiscal year 2015 general education aid early in an amount equal to the difference between tax receipts and the gross shift.</v>
      </c>
      <c r="C46" s="186"/>
      <c r="D46" s="186"/>
      <c r="E46" s="186"/>
      <c r="F46" s="186"/>
      <c r="G46" s="186"/>
      <c r="H46" s="186"/>
      <c r="I46" s="186"/>
      <c r="J46" s="186"/>
      <c r="K46" s="186"/>
      <c r="L46" s="186"/>
      <c r="M46" s="186"/>
    </row>
    <row r="47" spans="1:13" ht="11.25" hidden="1" customHeight="1" x14ac:dyDescent="0.2">
      <c r="B47" s="187"/>
      <c r="C47" s="186"/>
      <c r="D47" s="186"/>
      <c r="E47" s="186"/>
      <c r="F47" s="186"/>
      <c r="G47" s="186"/>
      <c r="H47" s="186"/>
      <c r="I47" s="186"/>
      <c r="J47" s="186"/>
      <c r="K47" s="186"/>
      <c r="L47" s="186"/>
      <c r="M47" s="186"/>
    </row>
    <row r="48" spans="1:13" hidden="1" x14ac:dyDescent="0.2">
      <c r="B48" s="186"/>
      <c r="C48" s="186"/>
      <c r="D48" s="186"/>
      <c r="E48" s="186"/>
      <c r="F48" s="186"/>
      <c r="G48" s="186"/>
      <c r="H48" s="186"/>
      <c r="I48" s="186"/>
      <c r="J48" s="186"/>
      <c r="K48" s="186"/>
      <c r="L48" s="186"/>
      <c r="M48" s="186"/>
    </row>
    <row r="49" spans="1:13" x14ac:dyDescent="0.2">
      <c r="A49" s="231" t="s">
        <v>1240</v>
      </c>
      <c r="B49" s="15"/>
      <c r="C49" s="15"/>
      <c r="D49" s="15"/>
      <c r="E49" s="15"/>
      <c r="F49" s="15"/>
      <c r="G49" s="15"/>
      <c r="H49" s="15"/>
      <c r="I49" s="15"/>
      <c r="J49" s="15"/>
      <c r="K49" s="15"/>
      <c r="L49" s="15"/>
      <c r="M49" s="15"/>
    </row>
    <row r="50" spans="1:13" ht="22.5" x14ac:dyDescent="0.2">
      <c r="A50" s="231" t="s">
        <v>1242</v>
      </c>
      <c r="B50" s="186" t="str">
        <f>"The fourth section provides information to make the year-end accounting entries for the fiscal year "&amp;RIGHT(R2,4)&amp;" property tax shift.  The entry will include any general education aid to be recognized early if tax settlement receipts entered in section three are less than the gross shift amount."</f>
        <v>The fourth section provides information to make the year-end accounting entries for the fiscal year 2014 property tax shift.  The entry will include any general education aid to be recognized early if tax settlement receipts entered in section three are less than the gross shift amount.</v>
      </c>
      <c r="C50" s="186"/>
      <c r="D50" s="186"/>
      <c r="E50" s="186"/>
      <c r="F50" s="186"/>
      <c r="G50" s="186"/>
      <c r="H50" s="186"/>
      <c r="I50" s="186"/>
      <c r="J50" s="186"/>
      <c r="K50" s="186"/>
      <c r="L50" s="186"/>
      <c r="M50" s="186"/>
    </row>
    <row r="51" spans="1:13" x14ac:dyDescent="0.2">
      <c r="A51" s="231" t="s">
        <v>1240</v>
      </c>
      <c r="B51" s="20"/>
      <c r="C51" s="20"/>
      <c r="D51" s="20"/>
      <c r="E51" s="20"/>
      <c r="F51" s="20"/>
      <c r="G51" s="20"/>
      <c r="H51" s="20"/>
      <c r="I51" s="20"/>
      <c r="J51" s="20"/>
      <c r="K51" s="20"/>
      <c r="L51" s="20"/>
      <c r="M51" s="20"/>
    </row>
    <row r="52" spans="1:13" x14ac:dyDescent="0.2">
      <c r="A52" t="s">
        <v>658</v>
      </c>
      <c r="B52" s="15"/>
      <c r="C52" s="15"/>
      <c r="D52" s="15"/>
      <c r="E52" s="15"/>
      <c r="F52" s="15"/>
      <c r="G52" s="15"/>
      <c r="H52" s="15"/>
      <c r="I52" s="231" t="s">
        <v>1242</v>
      </c>
      <c r="J52" s="231" t="s">
        <v>1242</v>
      </c>
      <c r="K52" s="231" t="s">
        <v>1242</v>
      </c>
      <c r="L52" s="231" t="s">
        <v>1242</v>
      </c>
      <c r="M52" s="231" t="s">
        <v>1242</v>
      </c>
    </row>
    <row r="53" spans="1:13" ht="22.5" x14ac:dyDescent="0.2">
      <c r="A53" s="231" t="s">
        <v>1242</v>
      </c>
      <c r="B53" s="186" t="str">
        <f>"Enter certified levy by fund for payable "&amp;RIGHT(P8,4)&amp;" through "&amp;RIGHT(P1,4)&amp;" in the yellow highlighted section.  Verify total certified levy.  This data is used in the Accounts tab to automatically enter the certifed levy and to allocate abatements and adjustments."</f>
        <v>Enter certified levy by fund for payable 2007 through 2014 in the yellow highlighted section.  Verify total certified levy.  This data is used in the Accounts tab to automatically enter the certifed levy and to allocate abatements and adjustments.</v>
      </c>
      <c r="C53" s="187"/>
      <c r="D53" s="187"/>
      <c r="E53" s="187"/>
      <c r="F53" s="187"/>
      <c r="G53" s="187"/>
      <c r="H53" s="187"/>
      <c r="I53" s="187"/>
      <c r="J53" s="187"/>
      <c r="K53" s="187"/>
      <c r="L53" s="187"/>
      <c r="M53" s="187"/>
    </row>
    <row r="54" spans="1:13" x14ac:dyDescent="0.2">
      <c r="A54" s="231" t="s">
        <v>1240</v>
      </c>
      <c r="B54" s="20"/>
      <c r="C54" s="20"/>
      <c r="D54" s="20"/>
      <c r="E54" s="20"/>
      <c r="F54" s="20"/>
      <c r="G54" s="20"/>
      <c r="H54" s="20"/>
      <c r="I54" s="20"/>
      <c r="J54" s="20"/>
      <c r="K54" s="20"/>
      <c r="L54" s="20"/>
      <c r="M54" s="20"/>
    </row>
    <row r="55" spans="1:13" ht="22.5" x14ac:dyDescent="0.2">
      <c r="A55" s="231" t="s">
        <v>1242</v>
      </c>
      <c r="B55" s="186" t="str">
        <f>"Enter tax settlements received during fiscal year "&amp;RIGHT(R2,4)&amp;" in the green highlighted section.  The green outlined section below will then show each settlement allocated by fund.  This data carries over as settlements received in the Accounts tab."</f>
        <v>Enter tax settlements received during fiscal year 2014 in the green highlighted section.  The green outlined section below will then show each settlement allocated by fund.  This data carries over as settlements received in the Accounts tab.</v>
      </c>
      <c r="C55" s="186"/>
      <c r="D55" s="186"/>
      <c r="E55" s="186"/>
      <c r="F55" s="186"/>
      <c r="G55" s="186"/>
      <c r="H55" s="186"/>
      <c r="I55" s="186"/>
      <c r="J55" s="186"/>
      <c r="K55" s="186"/>
      <c r="L55" s="186"/>
      <c r="M55" s="186"/>
    </row>
    <row r="56" spans="1:13" x14ac:dyDescent="0.2">
      <c r="A56" s="231" t="s">
        <v>1240</v>
      </c>
      <c r="B56" s="20"/>
      <c r="C56" s="20"/>
      <c r="D56" s="20"/>
      <c r="E56" s="20"/>
      <c r="F56" s="20"/>
      <c r="G56" s="20"/>
      <c r="H56" s="20"/>
      <c r="I56" s="20"/>
      <c r="J56" s="20"/>
      <c r="K56" s="20"/>
      <c r="L56" s="20"/>
      <c r="M56" s="20"/>
    </row>
    <row r="57" spans="1:13" x14ac:dyDescent="0.2">
      <c r="A57" t="s">
        <v>659</v>
      </c>
      <c r="H57" s="231" t="s">
        <v>1242</v>
      </c>
      <c r="I57" s="231" t="s">
        <v>1242</v>
      </c>
      <c r="J57" s="231" t="s">
        <v>1242</v>
      </c>
      <c r="K57" s="231" t="s">
        <v>1242</v>
      </c>
      <c r="L57" s="231" t="s">
        <v>1242</v>
      </c>
      <c r="M57" s="231" t="s">
        <v>1242</v>
      </c>
    </row>
    <row r="58" spans="1:13" ht="33.75" x14ac:dyDescent="0.2">
      <c r="A58" s="231" t="s">
        <v>1242</v>
      </c>
      <c r="B58" s="187" t="s">
        <v>0</v>
      </c>
      <c r="C58" s="187"/>
      <c r="D58" s="187"/>
      <c r="E58" s="187"/>
      <c r="F58" s="187"/>
      <c r="G58" s="187"/>
      <c r="H58" s="187"/>
      <c r="I58" s="187"/>
      <c r="J58" s="187"/>
      <c r="K58" s="187"/>
      <c r="L58" s="187"/>
      <c r="M58" s="187"/>
    </row>
    <row r="59" spans="1:13" ht="11.25" hidden="1" customHeight="1" x14ac:dyDescent="0.2">
      <c r="B59" s="187"/>
      <c r="C59" s="187"/>
      <c r="D59" s="187"/>
      <c r="E59" s="187"/>
      <c r="F59" s="187"/>
      <c r="G59" s="187"/>
      <c r="H59" s="187"/>
      <c r="I59" s="187"/>
      <c r="J59" s="187"/>
      <c r="K59" s="187"/>
      <c r="L59" s="187"/>
      <c r="M59" s="187"/>
    </row>
    <row r="60" spans="1:13" ht="11.25" hidden="1" customHeight="1" x14ac:dyDescent="0.2">
      <c r="B60" s="187"/>
      <c r="C60" s="187"/>
      <c r="D60" s="187"/>
      <c r="E60" s="187"/>
      <c r="F60" s="187"/>
      <c r="G60" s="187"/>
      <c r="H60" s="187"/>
      <c r="I60" s="187"/>
      <c r="J60" s="187"/>
      <c r="K60" s="187"/>
      <c r="L60" s="187"/>
      <c r="M60" s="187"/>
    </row>
    <row r="61" spans="1:13" x14ac:dyDescent="0.2">
      <c r="A61" s="231" t="s">
        <v>1240</v>
      </c>
      <c r="B61" s="15"/>
      <c r="C61" s="15"/>
      <c r="D61" s="15"/>
      <c r="E61" s="15"/>
      <c r="F61" s="15"/>
      <c r="G61" s="15"/>
      <c r="H61" s="15"/>
      <c r="I61" s="15"/>
      <c r="J61" s="15"/>
      <c r="K61" s="15"/>
      <c r="L61" s="15"/>
      <c r="M61" s="15"/>
    </row>
    <row r="62" spans="1:13" ht="22.5" x14ac:dyDescent="0.2">
      <c r="B62" s="186" t="s">
        <v>663</v>
      </c>
      <c r="C62" s="187"/>
      <c r="D62" s="187"/>
      <c r="E62" s="187"/>
      <c r="F62" s="187"/>
      <c r="G62" s="187"/>
      <c r="H62" s="187"/>
      <c r="I62" s="187"/>
      <c r="J62" s="187"/>
      <c r="K62" s="187"/>
      <c r="L62" s="187"/>
      <c r="M62" s="187"/>
    </row>
    <row r="63" spans="1:13" hidden="1" x14ac:dyDescent="0.2">
      <c r="B63" s="186"/>
      <c r="C63" s="186"/>
      <c r="D63" s="186"/>
      <c r="E63" s="186"/>
      <c r="F63" s="186"/>
      <c r="G63" s="186"/>
      <c r="H63" s="186"/>
      <c r="I63" s="186"/>
      <c r="J63" s="186"/>
      <c r="K63" s="186"/>
      <c r="L63" s="186"/>
      <c r="M63" s="186"/>
    </row>
    <row r="64" spans="1:13" x14ac:dyDescent="0.2">
      <c r="A64" s="231" t="s">
        <v>1240</v>
      </c>
      <c r="B64" s="20"/>
      <c r="C64" s="20"/>
      <c r="D64" s="20"/>
      <c r="E64" s="20"/>
      <c r="F64" s="20"/>
      <c r="G64" s="20"/>
      <c r="H64" s="20"/>
      <c r="I64" s="20"/>
      <c r="J64" s="20"/>
      <c r="K64" s="20"/>
      <c r="L64" s="20"/>
      <c r="M64" s="20"/>
    </row>
    <row r="65" spans="1:13" ht="11.25" customHeight="1" x14ac:dyDescent="0.2">
      <c r="A65" s="186" t="s">
        <v>660</v>
      </c>
      <c r="B65" s="188"/>
      <c r="C65" s="188"/>
      <c r="D65" s="188"/>
      <c r="E65" s="188"/>
      <c r="F65" s="188"/>
      <c r="G65" s="188"/>
      <c r="H65" s="188"/>
      <c r="I65" s="188"/>
      <c r="J65" s="188"/>
      <c r="K65" s="188"/>
      <c r="L65" s="188"/>
      <c r="M65" s="188"/>
    </row>
    <row r="66" spans="1:13" ht="11.25" customHeight="1" x14ac:dyDescent="0.2">
      <c r="A66" s="231" t="s">
        <v>1242</v>
      </c>
      <c r="B66" s="188" t="s">
        <v>611</v>
      </c>
      <c r="C66" s="188"/>
      <c r="D66" s="188"/>
      <c r="E66" s="188"/>
      <c r="F66" s="188"/>
      <c r="G66" s="188"/>
      <c r="H66" s="188"/>
      <c r="I66" s="188"/>
      <c r="J66" s="188"/>
      <c r="K66" s="188"/>
      <c r="L66" s="188"/>
      <c r="M66" s="188"/>
    </row>
    <row r="67" spans="1:13" ht="11.25" customHeight="1" x14ac:dyDescent="0.2">
      <c r="A67" s="231" t="s">
        <v>1240</v>
      </c>
      <c r="B67" s="29"/>
      <c r="C67" s="29"/>
      <c r="D67" s="29"/>
      <c r="E67" s="29"/>
      <c r="F67" s="29"/>
      <c r="G67" s="29"/>
      <c r="H67" s="29"/>
      <c r="I67" s="29"/>
      <c r="J67" s="29"/>
      <c r="K67" s="29"/>
      <c r="L67" s="29"/>
      <c r="M67" s="29"/>
    </row>
    <row r="68" spans="1:13" x14ac:dyDescent="0.2">
      <c r="A68" t="s">
        <v>661</v>
      </c>
      <c r="K68" s="231" t="s">
        <v>1242</v>
      </c>
      <c r="L68" s="231" t="s">
        <v>1242</v>
      </c>
      <c r="M68" s="231" t="s">
        <v>1242</v>
      </c>
    </row>
    <row r="69" spans="1:13" x14ac:dyDescent="0.2">
      <c r="A69" s="231" t="s">
        <v>1240</v>
      </c>
    </row>
    <row r="70" spans="1:13" ht="9.9499999999999993" customHeight="1" x14ac:dyDescent="0.2">
      <c r="A70" s="188" t="s">
        <v>695</v>
      </c>
      <c r="B70" s="190"/>
      <c r="C70" s="190"/>
      <c r="D70" s="190"/>
      <c r="E70" s="190"/>
      <c r="F70" s="190"/>
      <c r="G70" s="190"/>
      <c r="H70" s="190"/>
      <c r="I70" s="190"/>
      <c r="J70" s="190"/>
      <c r="K70" s="190"/>
      <c r="L70" s="190"/>
      <c r="M70" s="190"/>
    </row>
    <row r="71" spans="1:13" x14ac:dyDescent="0.2">
      <c r="A71" s="232" t="s">
        <v>1241</v>
      </c>
      <c r="B71" s="190"/>
      <c r="C71" s="190"/>
      <c r="D71" s="190"/>
      <c r="E71" s="190"/>
      <c r="F71" s="190"/>
      <c r="G71" s="190"/>
      <c r="H71" s="190"/>
      <c r="I71" s="190"/>
      <c r="J71" s="190"/>
      <c r="K71" s="190"/>
      <c r="L71" s="190"/>
      <c r="M71" s="190"/>
    </row>
    <row r="72" spans="1:13" hidden="1" x14ac:dyDescent="0.2"/>
    <row r="73" spans="1:13" hidden="1" x14ac:dyDescent="0.2"/>
    <row r="74" spans="1:13" hidden="1" x14ac:dyDescent="0.2"/>
    <row r="75" spans="1:13" hidden="1" x14ac:dyDescent="0.2"/>
    <row r="76" spans="1:13" hidden="1" x14ac:dyDescent="0.2"/>
    <row r="77" spans="1:13" hidden="1" x14ac:dyDescent="0.2"/>
    <row r="78" spans="1:13" hidden="1" x14ac:dyDescent="0.2"/>
  </sheetData>
  <phoneticPr fontId="0" type="noConversion"/>
  <pageMargins left="0.5" right="0.5" top="0.75" bottom="0.75" header="0.5" footer="0.5"/>
  <pageSetup scale="55"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48"/>
  <sheetViews>
    <sheetView zoomScaleNormal="100" workbookViewId="0"/>
  </sheetViews>
  <sheetFormatPr defaultColWidth="0" defaultRowHeight="11.25" zeroHeight="1" x14ac:dyDescent="0.2"/>
  <cols>
    <col min="1" max="1" width="8" style="49" customWidth="1"/>
    <col min="2" max="2" width="44.83203125" style="49" customWidth="1"/>
    <col min="3" max="5" width="15.83203125" style="49" customWidth="1"/>
    <col min="6" max="6" width="14.83203125" style="49" customWidth="1"/>
    <col min="7" max="7" width="5.83203125" style="49" customWidth="1"/>
    <col min="8" max="8" width="26.5" style="49" customWidth="1"/>
    <col min="9" max="9" width="15.83203125" style="49" customWidth="1"/>
    <col min="10" max="16384" width="9.33203125" style="49" hidden="1"/>
  </cols>
  <sheetData>
    <row r="1" spans="1:9" ht="19.5" x14ac:dyDescent="0.3">
      <c r="C1" s="234"/>
      <c r="D1" s="46" t="s">
        <v>361</v>
      </c>
      <c r="I1" s="63">
        <v>41828</v>
      </c>
    </row>
    <row r="2" spans="1:9" x14ac:dyDescent="0.2">
      <c r="D2" s="147" t="str">
        <f>Instructions!S2</f>
        <v>06/30/14</v>
      </c>
    </row>
    <row r="3" spans="1:9" x14ac:dyDescent="0.2">
      <c r="A3" s="36">
        <v>1</v>
      </c>
      <c r="B3" s="49" t="s">
        <v>362</v>
      </c>
    </row>
    <row r="4" spans="1:9" x14ac:dyDescent="0.2">
      <c r="C4" s="64"/>
    </row>
    <row r="5" spans="1:9" x14ac:dyDescent="0.2">
      <c r="B5" s="48" t="str">
        <f>VLOOKUP(A3,ShiftCY,3)</f>
        <v xml:space="preserve">AITKIN          </v>
      </c>
    </row>
    <row r="6" spans="1:9" x14ac:dyDescent="0.2">
      <c r="B6" s="48"/>
      <c r="C6" s="65">
        <v>1</v>
      </c>
      <c r="D6" s="65">
        <v>2</v>
      </c>
      <c r="E6" s="65">
        <v>3</v>
      </c>
      <c r="F6" s="65">
        <v>4</v>
      </c>
      <c r="G6" s="65"/>
      <c r="H6" s="65">
        <v>5</v>
      </c>
      <c r="I6" s="65">
        <v>6</v>
      </c>
    </row>
    <row r="7" spans="1:9" ht="33.75" x14ac:dyDescent="0.2">
      <c r="C7" s="66" t="str">
        <f>"Gross Shift Amount 
"&amp;Instructions!Q1</f>
        <v>Gross Shift Amount 
13 Pay 14</v>
      </c>
      <c r="D7" s="146" t="str">
        <f>"Replacement for "&amp;Instructions!Q2&amp;" Shift"</f>
        <v>Replacement for 12 Pay 13 Shift</v>
      </c>
      <c r="E7" s="146" t="str">
        <f>Instructions!R2&amp;"
Revenue Adjust
Src Code 001"</f>
        <v>FY 2014
Revenue Adjust
Src Code 001</v>
      </c>
      <c r="F7" s="67" t="str">
        <f>Instructions!R2&amp;" Net Shift Amount
Src Code 020"</f>
        <v>FY 2014 Net Shift Amount
Src Code 020</v>
      </c>
      <c r="G7" s="68"/>
      <c r="H7" s="66" t="s">
        <v>601</v>
      </c>
      <c r="I7" s="66" t="s">
        <v>602</v>
      </c>
    </row>
    <row r="8" spans="1:9" x14ac:dyDescent="0.2">
      <c r="F8" s="69"/>
      <c r="G8" s="68"/>
    </row>
    <row r="9" spans="1:9" x14ac:dyDescent="0.2">
      <c r="A9" s="70" t="s">
        <v>363</v>
      </c>
      <c r="B9" s="49" t="s">
        <v>364</v>
      </c>
      <c r="C9" s="49">
        <f>VLOOKUP($A$3,ShiftCY,4,FALSE)</f>
        <v>0</v>
      </c>
      <c r="D9" s="49">
        <f>VLOOKUP($A$3,ShiftPY,4,FALSE)</f>
        <v>348692.74</v>
      </c>
      <c r="F9" s="69">
        <f>C9-D9</f>
        <v>-348692.74</v>
      </c>
      <c r="G9" s="68"/>
    </row>
    <row r="10" spans="1:9" x14ac:dyDescent="0.2">
      <c r="A10" s="71" t="s">
        <v>365</v>
      </c>
      <c r="B10" s="64" t="s">
        <v>366</v>
      </c>
      <c r="C10" s="49">
        <f>VLOOKUP($A$3,ShiftCY,5,FALSE)</f>
        <v>0</v>
      </c>
      <c r="D10" s="49">
        <f>VLOOKUP($A$3,ShiftPY,5,FALSE)</f>
        <v>0</v>
      </c>
      <c r="E10" s="64"/>
      <c r="F10" s="69">
        <f>C10-D10</f>
        <v>0</v>
      </c>
      <c r="G10" s="68"/>
    </row>
    <row r="11" spans="1:9" x14ac:dyDescent="0.2">
      <c r="A11" s="71" t="s">
        <v>367</v>
      </c>
      <c r="B11" s="64" t="s">
        <v>368</v>
      </c>
      <c r="C11" s="49">
        <f>VLOOKUP($A$3,ShiftCY,6,FALSE)</f>
        <v>141143.88</v>
      </c>
      <c r="D11" s="49">
        <f>VLOOKUP($A$3,ShiftPY,6,FALSE)</f>
        <v>141143.88</v>
      </c>
      <c r="E11" s="49">
        <f t="shared" ref="E11:E17" si="0">C11-D11</f>
        <v>0</v>
      </c>
      <c r="F11" s="72"/>
      <c r="G11" s="68"/>
    </row>
    <row r="12" spans="1:9" x14ac:dyDescent="0.2">
      <c r="A12" s="70" t="s">
        <v>369</v>
      </c>
      <c r="B12" s="49" t="s">
        <v>370</v>
      </c>
      <c r="C12" s="49">
        <f>VLOOKUP($A$3,ShiftCY,7,FALSE)</f>
        <v>0</v>
      </c>
      <c r="D12" s="49">
        <f>VLOOKUP($A$3,ShiftPY,7,FALSE)</f>
        <v>0</v>
      </c>
      <c r="E12" s="49">
        <f t="shared" si="0"/>
        <v>0</v>
      </c>
      <c r="F12" s="69"/>
      <c r="G12" s="68"/>
    </row>
    <row r="13" spans="1:9" x14ac:dyDescent="0.2">
      <c r="A13" s="71" t="s">
        <v>371</v>
      </c>
      <c r="B13" s="64" t="s">
        <v>456</v>
      </c>
      <c r="C13" s="49">
        <f>VLOOKUP($A$3,ShiftCY,8,FALSE)</f>
        <v>30163.769999999997</v>
      </c>
      <c r="D13" s="49">
        <f>VLOOKUP($A$3,ShiftPY,8,FALSE)</f>
        <v>25644.59</v>
      </c>
      <c r="E13" s="64">
        <f t="shared" si="0"/>
        <v>4519.1799999999967</v>
      </c>
      <c r="F13" s="72"/>
      <c r="G13" s="68"/>
    </row>
    <row r="14" spans="1:9" x14ac:dyDescent="0.2">
      <c r="A14" s="71" t="s">
        <v>372</v>
      </c>
      <c r="B14" s="64" t="s">
        <v>455</v>
      </c>
      <c r="C14" s="49">
        <f>VLOOKUP($A$3,ShiftCY,9,FALSE)</f>
        <v>0</v>
      </c>
      <c r="D14" s="49">
        <f>VLOOKUP($A$3,ShiftPY,9,FALSE)</f>
        <v>0</v>
      </c>
      <c r="E14" s="64">
        <f t="shared" si="0"/>
        <v>0</v>
      </c>
      <c r="F14" s="72"/>
      <c r="G14" s="68"/>
    </row>
    <row r="15" spans="1:9" x14ac:dyDescent="0.2">
      <c r="A15" s="70" t="s">
        <v>373</v>
      </c>
      <c r="B15" s="49" t="s">
        <v>374</v>
      </c>
      <c r="C15" s="49">
        <f>VLOOKUP($A$3,ShiftCY,10,FALSE)</f>
        <v>0</v>
      </c>
      <c r="D15" s="49">
        <f>VLOOKUP($A$3,ShiftPY,10,FALSE)</f>
        <v>0</v>
      </c>
      <c r="E15" s="49">
        <f t="shared" si="0"/>
        <v>0</v>
      </c>
      <c r="F15" s="69"/>
      <c r="G15" s="68"/>
    </row>
    <row r="16" spans="1:9" x14ac:dyDescent="0.2">
      <c r="A16" s="73" t="s">
        <v>375</v>
      </c>
      <c r="B16" s="49" t="s">
        <v>376</v>
      </c>
      <c r="C16" s="49">
        <f>VLOOKUP($A$3,ShiftCY,11,FALSE)</f>
        <v>6695.76</v>
      </c>
      <c r="D16" s="49">
        <f>VLOOKUP($A$3,ShiftPY,11,FALSE)</f>
        <v>8234.6299999999992</v>
      </c>
      <c r="E16" s="49">
        <f t="shared" si="0"/>
        <v>-1538.869999999999</v>
      </c>
      <c r="F16" s="69"/>
      <c r="G16" s="68"/>
    </row>
    <row r="17" spans="1:9" x14ac:dyDescent="0.2">
      <c r="A17" s="70" t="s">
        <v>377</v>
      </c>
      <c r="B17" s="49" t="s">
        <v>378</v>
      </c>
      <c r="C17" s="49">
        <f>VLOOKUP($A$3,ShiftCY,12,FALSE)</f>
        <v>0</v>
      </c>
      <c r="D17" s="49">
        <f>VLOOKUP($A$3,ShiftPY,12,FALSE)</f>
        <v>0</v>
      </c>
      <c r="E17" s="49">
        <f t="shared" si="0"/>
        <v>0</v>
      </c>
      <c r="F17" s="69"/>
      <c r="G17" s="68"/>
    </row>
    <row r="18" spans="1:9" x14ac:dyDescent="0.2">
      <c r="A18" s="70" t="s">
        <v>379</v>
      </c>
      <c r="B18" s="49" t="s">
        <v>380</v>
      </c>
      <c r="C18" s="49">
        <f>SUM(C9:C17)</f>
        <v>178003.41</v>
      </c>
      <c r="D18" s="49">
        <f>SUM(D9:D17)</f>
        <v>523715.84000000003</v>
      </c>
      <c r="E18" s="49">
        <f>SUM(E9:E17)</f>
        <v>2980.3099999999977</v>
      </c>
      <c r="F18" s="69">
        <f>SUM(F9:F17)</f>
        <v>-348692.74</v>
      </c>
      <c r="G18" s="68"/>
      <c r="H18" s="49">
        <f>VLOOKUP($A$3,Ideas,4)</f>
        <v>354088.31</v>
      </c>
      <c r="I18" s="49">
        <f>-F18-H18</f>
        <v>-5395.570000000007</v>
      </c>
    </row>
    <row r="19" spans="1:9" x14ac:dyDescent="0.2">
      <c r="A19" s="70"/>
      <c r="F19" s="69"/>
      <c r="G19" s="68"/>
    </row>
    <row r="20" spans="1:9" x14ac:dyDescent="0.2">
      <c r="A20" s="70" t="s">
        <v>381</v>
      </c>
      <c r="B20" s="49" t="s">
        <v>382</v>
      </c>
      <c r="C20" s="49">
        <f>VLOOKUP($A$3,ShiftCY,13,FALSE)</f>
        <v>0</v>
      </c>
      <c r="D20" s="49">
        <f>VLOOKUP($A$3,ShiftPY,13,FALSE)</f>
        <v>5395.57</v>
      </c>
      <c r="F20" s="69">
        <f>C20-D20</f>
        <v>-5395.57</v>
      </c>
      <c r="G20" s="68"/>
    </row>
    <row r="21" spans="1:9" x14ac:dyDescent="0.2">
      <c r="A21" s="70" t="s">
        <v>383</v>
      </c>
      <c r="B21" s="49" t="s">
        <v>384</v>
      </c>
      <c r="C21" s="49">
        <v>0</v>
      </c>
      <c r="D21" s="49">
        <v>0</v>
      </c>
      <c r="E21" s="49">
        <f>C21-D21</f>
        <v>0</v>
      </c>
      <c r="F21" s="69"/>
      <c r="G21" s="68"/>
    </row>
    <row r="22" spans="1:9" x14ac:dyDescent="0.2">
      <c r="A22" s="70" t="s">
        <v>385</v>
      </c>
      <c r="B22" s="49" t="s">
        <v>386</v>
      </c>
      <c r="C22" s="49">
        <f>VLOOKUP($A$3,ShiftCY,14,FALSE)</f>
        <v>0</v>
      </c>
      <c r="D22" s="49">
        <f>VLOOKUP($A$3,ShiftPY,14,FALSE)</f>
        <v>0</v>
      </c>
      <c r="E22" s="49">
        <f>C22-D22</f>
        <v>0</v>
      </c>
      <c r="F22" s="69"/>
      <c r="G22" s="68"/>
    </row>
    <row r="23" spans="1:9" x14ac:dyDescent="0.2">
      <c r="A23" s="70" t="s">
        <v>387</v>
      </c>
      <c r="B23" s="49" t="s">
        <v>388</v>
      </c>
      <c r="C23" s="49">
        <f>SUM(C20:C22)</f>
        <v>0</v>
      </c>
      <c r="D23" s="49">
        <f>SUM(D20:D22)</f>
        <v>5395.57</v>
      </c>
      <c r="E23" s="49">
        <f>SUM(E20:E22)</f>
        <v>0</v>
      </c>
      <c r="F23" s="69">
        <f>SUM(F20:F22)</f>
        <v>-5395.57</v>
      </c>
      <c r="G23" s="68"/>
      <c r="H23" s="49">
        <f>VLOOKUP($A$3,Ideas,5)</f>
        <v>0</v>
      </c>
      <c r="I23" s="49">
        <f>-F23-H23</f>
        <v>5395.57</v>
      </c>
    </row>
    <row r="24" spans="1:9" x14ac:dyDescent="0.2">
      <c r="A24" s="70"/>
      <c r="F24" s="69"/>
      <c r="G24" s="68"/>
    </row>
    <row r="25" spans="1:9" x14ac:dyDescent="0.2">
      <c r="A25" s="70"/>
      <c r="F25" s="69"/>
      <c r="G25" s="68"/>
    </row>
    <row r="26" spans="1:9" x14ac:dyDescent="0.2">
      <c r="A26" s="70" t="s">
        <v>389</v>
      </c>
      <c r="B26" s="49" t="s">
        <v>390</v>
      </c>
      <c r="C26" s="49">
        <f>C18+C23</f>
        <v>178003.41</v>
      </c>
      <c r="D26" s="49">
        <f>D18+D23</f>
        <v>529111.41</v>
      </c>
      <c r="E26" s="49">
        <f>E18+E23</f>
        <v>2980.3099999999977</v>
      </c>
      <c r="F26" s="69">
        <f>F18+F23</f>
        <v>-354088.31</v>
      </c>
      <c r="G26" s="68"/>
      <c r="H26" s="49">
        <f>H18+H23</f>
        <v>354088.31</v>
      </c>
      <c r="I26" s="49">
        <f>I18+I23</f>
        <v>-7.2759576141834259E-12</v>
      </c>
    </row>
    <row r="27" spans="1:9" x14ac:dyDescent="0.2"/>
    <row r="28" spans="1:9" x14ac:dyDescent="0.2">
      <c r="A28" s="48" t="s">
        <v>391</v>
      </c>
    </row>
    <row r="29" spans="1:9" x14ac:dyDescent="0.2">
      <c r="A29" s="49" t="s">
        <v>473</v>
      </c>
    </row>
    <row r="30" spans="1:9" x14ac:dyDescent="0.2">
      <c r="B30" s="64" t="s">
        <v>392</v>
      </c>
      <c r="C30" s="64" t="str">
        <f>"For "&amp;Instructions!P1&amp;" this category includes all levies not identified below, shifted at 0.0%."</f>
        <v>For Pay 2014 this category includes all levies not identified below, shifted at 0.0%.</v>
      </c>
      <c r="D30" s="64"/>
      <c r="E30" s="64"/>
      <c r="F30" s="64"/>
      <c r="G30" s="64"/>
      <c r="H30" s="64"/>
    </row>
    <row r="31" spans="1:9" x14ac:dyDescent="0.2">
      <c r="B31" s="64"/>
      <c r="C31" s="64" t="str">
        <f>"For "&amp;Instructions!P2&amp;" this category includes all levies not identified below, shifted at 48.6%."</f>
        <v>For Pay 2013 this category includes all levies not identified below, shifted at 48.6%.</v>
      </c>
      <c r="D31" s="64"/>
      <c r="E31" s="64"/>
      <c r="F31" s="64"/>
      <c r="G31" s="64"/>
      <c r="H31" s="64"/>
    </row>
    <row r="32" spans="1:9" x14ac:dyDescent="0.2">
      <c r="B32" s="64" t="s">
        <v>393</v>
      </c>
      <c r="C32" s="64" t="str">
        <f>"For "&amp;Instructions!P1&amp;" this category is the greater of zero, or the "&amp;Instructions!P1&amp;" referendum levy shifted at 0.0% minus"</f>
        <v>For Pay 2014 this category is the greater of zero, or the Pay 2014 referendum levy shifted at 0.0% minus</v>
      </c>
      <c r="D32" s="64"/>
      <c r="E32" s="64"/>
      <c r="F32" s="64"/>
      <c r="G32" s="64"/>
      <c r="H32" s="64"/>
    </row>
    <row r="33" spans="1:9" x14ac:dyDescent="0.2">
      <c r="B33" s="64"/>
      <c r="C33" s="64" t="str">
        <f>"the Pay 2001 referendum shifted at 31%."</f>
        <v>the Pay 2001 referendum shifted at 31%.</v>
      </c>
      <c r="D33" s="64"/>
      <c r="E33" s="64"/>
      <c r="F33" s="64"/>
      <c r="G33" s="64"/>
      <c r="H33" s="64"/>
    </row>
    <row r="34" spans="1:9" x14ac:dyDescent="0.2">
      <c r="B34" s="64" t="s">
        <v>394</v>
      </c>
      <c r="C34" s="26" t="s">
        <v>616</v>
      </c>
      <c r="D34" s="64"/>
      <c r="E34" s="64"/>
      <c r="F34" s="64"/>
      <c r="G34" s="64"/>
      <c r="H34" s="64"/>
    </row>
    <row r="35" spans="1:9" x14ac:dyDescent="0.2">
      <c r="B35" s="49" t="s">
        <v>395</v>
      </c>
      <c r="C35" s="49" t="s">
        <v>617</v>
      </c>
    </row>
    <row r="36" spans="1:9" x14ac:dyDescent="0.2">
      <c r="C36" s="49" t="s">
        <v>396</v>
      </c>
    </row>
    <row r="37" spans="1:9" x14ac:dyDescent="0.2">
      <c r="C37" s="49" t="s">
        <v>397</v>
      </c>
    </row>
    <row r="38" spans="1:9" x14ac:dyDescent="0.2">
      <c r="B38" s="49" t="s">
        <v>457</v>
      </c>
      <c r="C38" s="49" t="s">
        <v>645</v>
      </c>
    </row>
    <row r="39" spans="1:9" x14ac:dyDescent="0.2">
      <c r="B39" s="49" t="s">
        <v>398</v>
      </c>
      <c r="C39" s="49" t="s">
        <v>495</v>
      </c>
    </row>
    <row r="40" spans="1:9" x14ac:dyDescent="0.2">
      <c r="C40" s="49" t="s">
        <v>496</v>
      </c>
    </row>
    <row r="41" spans="1:9" x14ac:dyDescent="0.2">
      <c r="B41" s="49" t="s">
        <v>399</v>
      </c>
      <c r="C41" s="49" t="s">
        <v>614</v>
      </c>
    </row>
    <row r="42" spans="1:9" x14ac:dyDescent="0.2">
      <c r="B42" s="49" t="s">
        <v>400</v>
      </c>
      <c r="C42" s="49" t="s">
        <v>615</v>
      </c>
    </row>
    <row r="43" spans="1:9" x14ac:dyDescent="0.2">
      <c r="B43" s="64" t="s">
        <v>401</v>
      </c>
      <c r="C43" s="49" t="s">
        <v>486</v>
      </c>
    </row>
    <row r="44" spans="1:9" x14ac:dyDescent="0.2">
      <c r="C44" s="39" t="s">
        <v>666</v>
      </c>
    </row>
    <row r="45" spans="1:9" x14ac:dyDescent="0.2">
      <c r="C45" s="64" t="str">
        <f>"no adjustment to state aids.  For "&amp;Instructions!P2&amp;" and "&amp;Instructions!P1&amp;" this category is zero."</f>
        <v>no adjustment to state aids.  For Pay 2013 and Pay 2014 this category is zero.</v>
      </c>
      <c r="D45" s="64"/>
      <c r="E45" s="64"/>
      <c r="F45" s="64"/>
      <c r="G45" s="64"/>
      <c r="H45" s="64"/>
      <c r="I45" s="64"/>
    </row>
    <row r="46" spans="1:9" x14ac:dyDescent="0.2">
      <c r="A46" s="74">
        <f>$A$3</f>
        <v>1</v>
      </c>
      <c r="B46" s="48" t="str">
        <f>VLOOKUP($A$3,ShiftCY,3)</f>
        <v xml:space="preserve">AITKIN          </v>
      </c>
      <c r="I46" s="63">
        <f>Instructions!$M$1</f>
        <v>41828</v>
      </c>
    </row>
    <row r="47" spans="1:9" x14ac:dyDescent="0.2">
      <c r="A47" s="75" t="s">
        <v>402</v>
      </c>
      <c r="B47" s="76"/>
      <c r="C47" s="76"/>
      <c r="D47" s="76"/>
      <c r="E47" s="76"/>
      <c r="F47" s="77"/>
      <c r="G47" s="70"/>
    </row>
    <row r="48" spans="1:9" x14ac:dyDescent="0.2">
      <c r="A48" s="78"/>
      <c r="B48" s="69"/>
      <c r="C48" s="69"/>
      <c r="D48" s="69"/>
      <c r="E48" s="69"/>
      <c r="F48" s="79"/>
      <c r="G48" s="70"/>
    </row>
    <row r="49" spans="1:8" x14ac:dyDescent="0.2">
      <c r="A49" s="80" t="s">
        <v>403</v>
      </c>
      <c r="B49" s="69" t="s">
        <v>477</v>
      </c>
      <c r="C49" s="69"/>
      <c r="D49" s="69"/>
      <c r="E49" s="69"/>
      <c r="F49" s="79"/>
      <c r="G49" s="70"/>
      <c r="H49" s="74"/>
    </row>
    <row r="50" spans="1:8" x14ac:dyDescent="0.2">
      <c r="A50" s="80"/>
      <c r="B50" s="69" t="str">
        <f>"in account 235 should equal the Certified "&amp;Instructions!P1&amp;" levy from the School Tax Report."</f>
        <v>in account 235 should equal the Certified Pay 2014 levy from the School Tax Report.</v>
      </c>
      <c r="C50" s="69"/>
      <c r="D50" s="69"/>
      <c r="E50" s="69"/>
      <c r="F50" s="79"/>
      <c r="G50" s="70"/>
    </row>
    <row r="51" spans="1:8" x14ac:dyDescent="0.2">
      <c r="A51" s="80"/>
      <c r="B51" s="69"/>
      <c r="C51" s="69"/>
      <c r="D51" s="69"/>
      <c r="E51" s="69"/>
      <c r="F51" s="79"/>
      <c r="G51" s="70"/>
    </row>
    <row r="52" spans="1:8" x14ac:dyDescent="0.2">
      <c r="A52" s="80"/>
      <c r="B52" s="69"/>
      <c r="C52" s="69"/>
      <c r="D52" s="69"/>
      <c r="E52" s="69"/>
      <c r="F52" s="79"/>
      <c r="G52" s="70"/>
    </row>
    <row r="53" spans="1:8" x14ac:dyDescent="0.2">
      <c r="A53" s="80"/>
      <c r="B53" s="69"/>
      <c r="C53" s="69"/>
      <c r="D53" s="69"/>
      <c r="E53" s="69"/>
      <c r="F53" s="79"/>
      <c r="G53" s="70"/>
    </row>
    <row r="54" spans="1:8" x14ac:dyDescent="0.2">
      <c r="A54" s="80" t="s">
        <v>404</v>
      </c>
      <c r="B54" s="69" t="str">
        <f>"If the Advance of Unearned General Education Revenue (GNL 214) was used in "&amp;Instructions!R3&amp;", enough general ed payments should"</f>
        <v>If the Advance of Unearned General Education Revenue (GNL 214) was used in FY 2013, enough general ed payments should</v>
      </c>
      <c r="C54" s="69"/>
      <c r="D54" s="69"/>
      <c r="E54" s="69"/>
      <c r="F54" s="79"/>
      <c r="G54" s="70"/>
    </row>
    <row r="55" spans="1:8" x14ac:dyDescent="0.2">
      <c r="A55" s="80"/>
      <c r="B55" s="69" t="s">
        <v>405</v>
      </c>
      <c r="C55" s="69"/>
      <c r="D55" s="69"/>
      <c r="E55" s="69"/>
      <c r="F55" s="79"/>
      <c r="G55" s="70"/>
    </row>
    <row r="56" spans="1:8" x14ac:dyDescent="0.2">
      <c r="A56" s="80"/>
      <c r="B56" s="69"/>
      <c r="C56" s="69"/>
      <c r="D56" s="69"/>
      <c r="E56" s="81" t="s">
        <v>406</v>
      </c>
      <c r="F56" s="82" t="s">
        <v>407</v>
      </c>
      <c r="G56" s="70"/>
    </row>
    <row r="57" spans="1:8" x14ac:dyDescent="0.2">
      <c r="A57" s="83" t="s">
        <v>408</v>
      </c>
      <c r="B57" s="49" t="s">
        <v>409</v>
      </c>
      <c r="C57" s="64" t="s">
        <v>410</v>
      </c>
      <c r="E57" s="49">
        <f>F59</f>
        <v>113799.41</v>
      </c>
      <c r="F57" s="79"/>
      <c r="G57" s="70"/>
    </row>
    <row r="58" spans="1:8" x14ac:dyDescent="0.2">
      <c r="A58" s="83" t="s">
        <v>408</v>
      </c>
      <c r="B58" s="49" t="s">
        <v>442</v>
      </c>
      <c r="C58" s="64" t="s">
        <v>410</v>
      </c>
      <c r="E58" s="49">
        <f>F60</f>
        <v>0</v>
      </c>
      <c r="F58" s="79"/>
      <c r="G58" s="70"/>
    </row>
    <row r="59" spans="1:8" x14ac:dyDescent="0.2">
      <c r="A59" s="84" t="s">
        <v>411</v>
      </c>
      <c r="B59" s="64" t="s">
        <v>412</v>
      </c>
      <c r="C59" s="49" t="s">
        <v>413</v>
      </c>
      <c r="E59" s="69"/>
      <c r="F59" s="79">
        <f>-VLOOKUP($A$3,Ideas,7)</f>
        <v>113799.41</v>
      </c>
      <c r="G59" s="70"/>
    </row>
    <row r="60" spans="1:8" x14ac:dyDescent="0.2">
      <c r="A60" s="84" t="s">
        <v>411</v>
      </c>
      <c r="B60" s="64" t="s">
        <v>429</v>
      </c>
      <c r="C60" s="49" t="s">
        <v>413</v>
      </c>
      <c r="E60" s="69"/>
      <c r="F60" s="79">
        <f>-VLOOKUP($A$3,Ideas,8)</f>
        <v>0</v>
      </c>
      <c r="G60" s="70"/>
    </row>
    <row r="61" spans="1:8" x14ac:dyDescent="0.2">
      <c r="A61" s="84"/>
      <c r="B61" s="64"/>
      <c r="F61" s="79"/>
      <c r="G61" s="70"/>
    </row>
    <row r="62" spans="1:8" x14ac:dyDescent="0.2">
      <c r="A62" s="84"/>
      <c r="B62" s="64"/>
      <c r="F62" s="79"/>
      <c r="G62" s="70"/>
    </row>
    <row r="63" spans="1:8" x14ac:dyDescent="0.2">
      <c r="A63" s="80"/>
      <c r="B63" s="69"/>
      <c r="C63" s="69"/>
      <c r="D63" s="69"/>
      <c r="E63" s="69"/>
      <c r="F63" s="79"/>
      <c r="G63" s="70"/>
    </row>
    <row r="64" spans="1:8" x14ac:dyDescent="0.2">
      <c r="A64" s="85" t="s">
        <v>414</v>
      </c>
      <c r="B64" s="69" t="str">
        <f>"The "&amp;Instructions!R2&amp;" tax shift payment adjustments reflected on the IDEAS reports should have been recorded to source 299."</f>
        <v>The FY 2014 tax shift payment adjustments reflected on the IDEAS reports should have been recorded to source 299.</v>
      </c>
      <c r="C64" s="69"/>
      <c r="D64" s="69"/>
      <c r="E64" s="69"/>
      <c r="F64" s="79"/>
      <c r="G64" s="70"/>
    </row>
    <row r="65" spans="1:8" x14ac:dyDescent="0.2">
      <c r="A65" s="80"/>
      <c r="B65" s="69" t="s">
        <v>415</v>
      </c>
      <c r="C65" s="69"/>
      <c r="D65" s="69"/>
      <c r="E65" s="69"/>
      <c r="F65" s="79"/>
      <c r="G65" s="70"/>
    </row>
    <row r="66" spans="1:8" x14ac:dyDescent="0.2">
      <c r="A66" s="83"/>
      <c r="B66" s="69"/>
      <c r="C66" s="69"/>
      <c r="D66" s="69"/>
      <c r="E66" s="81" t="s">
        <v>406</v>
      </c>
      <c r="F66" s="82" t="s">
        <v>407</v>
      </c>
      <c r="G66" s="70"/>
    </row>
    <row r="67" spans="1:8" x14ac:dyDescent="0.2">
      <c r="A67" s="84" t="s">
        <v>408</v>
      </c>
      <c r="B67" s="86" t="s">
        <v>416</v>
      </c>
      <c r="C67" s="72" t="s">
        <v>417</v>
      </c>
      <c r="D67" s="72"/>
      <c r="E67" s="87" t="str">
        <f>IF(H18&lt;=0,-H18," ")</f>
        <v xml:space="preserve"> </v>
      </c>
      <c r="F67" s="88">
        <f>IF(H18&lt;=0," ",H18)</f>
        <v>354088.31</v>
      </c>
      <c r="G67" s="70"/>
    </row>
    <row r="68" spans="1:8" x14ac:dyDescent="0.2">
      <c r="A68" s="84" t="s">
        <v>408</v>
      </c>
      <c r="B68" s="86" t="s">
        <v>418</v>
      </c>
      <c r="C68" s="72" t="s">
        <v>417</v>
      </c>
      <c r="D68" s="72"/>
      <c r="E68" s="87">
        <f>IF(H23&lt;=0,-H23," ")</f>
        <v>0</v>
      </c>
      <c r="F68" s="88" t="str">
        <f>IF(H23&lt;=0," ",H23)</f>
        <v xml:space="preserve"> </v>
      </c>
      <c r="G68" s="70"/>
    </row>
    <row r="69" spans="1:8" x14ac:dyDescent="0.2">
      <c r="A69" s="84" t="s">
        <v>408</v>
      </c>
      <c r="B69" s="86" t="s">
        <v>419</v>
      </c>
      <c r="C69" s="69" t="s">
        <v>420</v>
      </c>
      <c r="D69" s="69"/>
      <c r="E69" s="69">
        <f>F67</f>
        <v>354088.31</v>
      </c>
      <c r="F69" s="88" t="str">
        <f>E67</f>
        <v xml:space="preserve"> </v>
      </c>
      <c r="G69" s="70"/>
    </row>
    <row r="70" spans="1:8" x14ac:dyDescent="0.2">
      <c r="A70" s="84" t="s">
        <v>408</v>
      </c>
      <c r="B70" s="86" t="s">
        <v>421</v>
      </c>
      <c r="C70" s="69" t="s">
        <v>420</v>
      </c>
      <c r="D70" s="69"/>
      <c r="E70" s="69" t="str">
        <f>F68</f>
        <v xml:space="preserve"> </v>
      </c>
      <c r="F70" s="88">
        <f>E68</f>
        <v>0</v>
      </c>
      <c r="G70" s="70"/>
    </row>
    <row r="71" spans="1:8" x14ac:dyDescent="0.2">
      <c r="A71" s="89"/>
      <c r="B71" s="90"/>
      <c r="C71" s="91"/>
      <c r="D71" s="91"/>
      <c r="E71" s="91"/>
      <c r="F71" s="92"/>
      <c r="G71" s="70"/>
    </row>
    <row r="72" spans="1:8" ht="22.5" x14ac:dyDescent="0.2">
      <c r="A72" s="93" t="str">
        <f>"ENTER:  May/June/July "&amp;RIGHT(Instructions!R2,4)&amp;" Receipts for:"</f>
        <v>ENTER:  May/June/July 2014 Receipts for:</v>
      </c>
      <c r="B72" s="69"/>
      <c r="C72" s="69"/>
      <c r="D72" s="69"/>
      <c r="E72" s="94" t="s">
        <v>422</v>
      </c>
      <c r="F72" s="95" t="s">
        <v>423</v>
      </c>
      <c r="G72" s="70"/>
    </row>
    <row r="73" spans="1:8" x14ac:dyDescent="0.2">
      <c r="A73" s="96"/>
      <c r="B73" s="69"/>
      <c r="C73" s="69"/>
      <c r="D73" s="69"/>
      <c r="E73" s="69"/>
      <c r="F73" s="79"/>
      <c r="G73" s="70"/>
    </row>
    <row r="74" spans="1:8" ht="22.5" x14ac:dyDescent="0.2">
      <c r="A74" s="83"/>
      <c r="B74" s="72" t="str">
        <f>Instructions!P1&amp;" Real Estate and Personal Property Taxes"</f>
        <v>Pay 2014 Real Estate and Personal Property Taxes</v>
      </c>
      <c r="C74" s="69"/>
      <c r="D74" s="69"/>
      <c r="E74" s="32">
        <f>VLOOKUP($A3,Receipts!$A$7:$L$338,5,FALSE)</f>
        <v>424563.77</v>
      </c>
      <c r="F74" s="30">
        <f>VLOOKUP($A3,Receipts!$A$7:$L$338,10,FALSE)</f>
        <v>0</v>
      </c>
      <c r="G74" s="70"/>
      <c r="H74" s="235" t="s">
        <v>4</v>
      </c>
    </row>
    <row r="75" spans="1:8" x14ac:dyDescent="0.2">
      <c r="A75" s="83"/>
      <c r="B75" s="72" t="str">
        <f>Instructions!P2&amp;" and earlier Real Estate and Personal Property Taxes"</f>
        <v>Pay 2013 and earlier Real Estate and Personal Property Taxes</v>
      </c>
      <c r="C75" s="69"/>
      <c r="D75" s="69"/>
      <c r="E75" s="31">
        <v>0</v>
      </c>
      <c r="F75" s="33">
        <v>0</v>
      </c>
      <c r="G75" s="70"/>
    </row>
    <row r="76" spans="1:8" x14ac:dyDescent="0.2">
      <c r="A76" s="83"/>
      <c r="B76" s="72" t="str">
        <f>Instructions!P1&amp;" Fiscal Disparities"</f>
        <v>Pay 2014 Fiscal Disparities</v>
      </c>
      <c r="C76" s="69"/>
      <c r="D76" s="69"/>
      <c r="E76" s="31">
        <v>0</v>
      </c>
      <c r="F76" s="33">
        <v>0</v>
      </c>
      <c r="G76" s="70"/>
    </row>
    <row r="77" spans="1:8" x14ac:dyDescent="0.2">
      <c r="A77" s="83"/>
      <c r="B77" s="72" t="str">
        <f>Instructions!P1&amp;" Taconite Homestead Credit"</f>
        <v>Pay 2014 Taconite Homestead Credit</v>
      </c>
      <c r="C77" s="69"/>
      <c r="D77" s="69"/>
      <c r="E77" s="31">
        <v>0</v>
      </c>
      <c r="F77" s="33">
        <v>0</v>
      </c>
      <c r="G77" s="70"/>
    </row>
    <row r="78" spans="1:8" x14ac:dyDescent="0.2">
      <c r="A78" s="97"/>
      <c r="B78" s="98" t="s">
        <v>424</v>
      </c>
      <c r="C78" s="91"/>
      <c r="D78" s="91"/>
      <c r="E78" s="34">
        <v>0</v>
      </c>
      <c r="F78" s="35">
        <v>0</v>
      </c>
      <c r="G78" s="70"/>
    </row>
    <row r="79" spans="1:8" x14ac:dyDescent="0.2">
      <c r="A79" s="83"/>
      <c r="B79" s="72"/>
      <c r="C79" s="69"/>
      <c r="D79" s="69"/>
      <c r="E79" s="99"/>
      <c r="F79" s="100"/>
      <c r="G79" s="70"/>
    </row>
    <row r="80" spans="1:8" ht="12" thickBot="1" x14ac:dyDescent="0.25">
      <c r="A80" s="83"/>
      <c r="B80" s="101" t="s">
        <v>425</v>
      </c>
      <c r="C80" s="69"/>
      <c r="D80" s="69"/>
      <c r="E80" s="102">
        <f>SUM(E74:E78)</f>
        <v>424563.77</v>
      </c>
      <c r="F80" s="103">
        <f>SUM(F74:F78)</f>
        <v>0</v>
      </c>
      <c r="G80" s="70"/>
    </row>
    <row r="81" spans="1:9" ht="12" thickTop="1" x14ac:dyDescent="0.2">
      <c r="A81" s="97"/>
      <c r="B81" s="98"/>
      <c r="C81" s="91"/>
      <c r="D81" s="91"/>
      <c r="E81" s="91"/>
      <c r="F81" s="104"/>
    </row>
    <row r="82" spans="1:9" x14ac:dyDescent="0.2">
      <c r="A82" s="74">
        <f>$A$3</f>
        <v>1</v>
      </c>
      <c r="B82" s="48" t="str">
        <f>VLOOKUP($A$3,ShiftCY,3)</f>
        <v xml:space="preserve">AITKIN          </v>
      </c>
      <c r="C82" s="69"/>
      <c r="D82" s="69"/>
      <c r="E82" s="69"/>
      <c r="F82" s="69"/>
      <c r="I82" s="63">
        <f>Instructions!$M$1</f>
        <v>41828</v>
      </c>
    </row>
    <row r="83" spans="1:9" ht="22.5" x14ac:dyDescent="0.2">
      <c r="A83" s="48" t="str">
        <f>"Entry to record June "&amp;RIGHT(Instructions!R2,4)&amp;" property tax shift"</f>
        <v>Entry to record June 2014 property tax shift</v>
      </c>
      <c r="B83" s="72"/>
      <c r="C83" s="69"/>
      <c r="D83" s="69"/>
      <c r="E83" s="105" t="s">
        <v>604</v>
      </c>
      <c r="F83" s="105" t="s">
        <v>605</v>
      </c>
      <c r="H83" s="74"/>
    </row>
    <row r="84" spans="1:9" x14ac:dyDescent="0.2">
      <c r="B84" s="72"/>
      <c r="C84" s="69"/>
      <c r="D84" s="69"/>
      <c r="E84" s="69"/>
      <c r="F84" s="69"/>
    </row>
    <row r="85" spans="1:9" x14ac:dyDescent="0.2">
      <c r="A85" s="49" t="s">
        <v>411</v>
      </c>
      <c r="B85" s="106" t="s">
        <v>426</v>
      </c>
      <c r="C85" s="49" t="s">
        <v>427</v>
      </c>
      <c r="E85" s="64">
        <f>IF(C18&lt;E80,C18,E80)</f>
        <v>178003.41</v>
      </c>
      <c r="F85" s="64"/>
      <c r="G85" s="107"/>
      <c r="H85" s="49" t="str">
        <f>"Column "&amp;C6&amp;" - line "&amp;A18</f>
        <v>Column 1 - line J</v>
      </c>
    </row>
    <row r="86" spans="1:9" x14ac:dyDescent="0.2">
      <c r="B86" s="64" t="s">
        <v>412</v>
      </c>
      <c r="C86" s="49" t="s">
        <v>413</v>
      </c>
      <c r="E86" s="49">
        <f>IF(C18-E85&lt;0,0,C18-E85)</f>
        <v>0</v>
      </c>
      <c r="F86" s="64"/>
      <c r="G86" s="108"/>
    </row>
    <row r="87" spans="1:9" x14ac:dyDescent="0.2">
      <c r="A87" s="49" t="s">
        <v>411</v>
      </c>
      <c r="B87" s="106" t="s">
        <v>428</v>
      </c>
      <c r="C87" s="49" t="s">
        <v>427</v>
      </c>
      <c r="E87" s="64">
        <f>IF(C23&lt;F80,C23,F80)</f>
        <v>0</v>
      </c>
      <c r="F87" s="64"/>
      <c r="G87" s="107"/>
      <c r="H87" s="49" t="str">
        <f>"Column "&amp;C6&amp;" - line "&amp;A23</f>
        <v>Column 1 - line N</v>
      </c>
    </row>
    <row r="88" spans="1:9" x14ac:dyDescent="0.2">
      <c r="B88" s="64" t="s">
        <v>429</v>
      </c>
      <c r="C88" s="49" t="s">
        <v>413</v>
      </c>
      <c r="E88" s="49">
        <f>C23-E87</f>
        <v>0</v>
      </c>
      <c r="F88" s="64"/>
      <c r="G88" s="108"/>
    </row>
    <row r="89" spans="1:9" x14ac:dyDescent="0.2">
      <c r="B89" s="64" t="str">
        <f>"(recognition of gross shift for "&amp;Instructions!R2&amp;")"</f>
        <v>(recognition of gross shift for FY 2014)</v>
      </c>
      <c r="E89" s="64"/>
      <c r="F89" s="64"/>
    </row>
    <row r="90" spans="1:9" x14ac:dyDescent="0.2">
      <c r="A90" s="237" t="s">
        <v>1240</v>
      </c>
      <c r="B90" s="64"/>
      <c r="E90" s="64"/>
      <c r="F90" s="64"/>
    </row>
    <row r="91" spans="1:9" x14ac:dyDescent="0.2">
      <c r="A91" s="49" t="s">
        <v>408</v>
      </c>
      <c r="B91" s="106" t="s">
        <v>497</v>
      </c>
      <c r="C91" s="49" t="s">
        <v>430</v>
      </c>
      <c r="E91" s="64"/>
      <c r="F91" s="64">
        <f>C15</f>
        <v>0</v>
      </c>
      <c r="G91" s="69"/>
      <c r="H91" s="49" t="str">
        <f>"Column "&amp;C6&amp;" - line "&amp;A15</f>
        <v>Column 1 - line G</v>
      </c>
    </row>
    <row r="92" spans="1:9" x14ac:dyDescent="0.2">
      <c r="A92" s="49" t="s">
        <v>408</v>
      </c>
      <c r="B92" s="49" t="s">
        <v>431</v>
      </c>
      <c r="C92" s="49" t="s">
        <v>432</v>
      </c>
      <c r="E92" s="64"/>
      <c r="F92" s="64">
        <f>C13-F93</f>
        <v>30163.769999999997</v>
      </c>
      <c r="G92" s="107"/>
      <c r="H92" s="49" t="str">
        <f>"Column "&amp;C6&amp;" - line "&amp;A13</f>
        <v>Column 1 - line E</v>
      </c>
    </row>
    <row r="93" spans="1:9" x14ac:dyDescent="0.2">
      <c r="A93" s="49" t="s">
        <v>408</v>
      </c>
      <c r="B93" s="49" t="s">
        <v>433</v>
      </c>
      <c r="C93" s="49" t="s">
        <v>434</v>
      </c>
      <c r="E93" s="64"/>
      <c r="F93" s="64">
        <f>MIN(E86-F95,C13)</f>
        <v>0</v>
      </c>
      <c r="G93" s="108"/>
    </row>
    <row r="94" spans="1:9" x14ac:dyDescent="0.2">
      <c r="A94" s="49" t="s">
        <v>408</v>
      </c>
      <c r="B94" s="106" t="s">
        <v>435</v>
      </c>
      <c r="C94" s="49" t="s">
        <v>436</v>
      </c>
      <c r="E94" s="64"/>
      <c r="F94" s="64">
        <f>C11+C12+C14+C16+C17-F95</f>
        <v>147839.64000000001</v>
      </c>
      <c r="G94" s="107"/>
      <c r="H94" s="49" t="str">
        <f>"Column "&amp;C6&amp;" - line "&amp;A11&amp;"+"&amp;A12&amp;"+"&amp;A14&amp;"+"&amp;A16&amp;"+"&amp;A17</f>
        <v>Column 1 - line C+D+F+H+I</v>
      </c>
    </row>
    <row r="95" spans="1:9" x14ac:dyDescent="0.2">
      <c r="A95" s="49" t="s">
        <v>408</v>
      </c>
      <c r="B95" s="49" t="s">
        <v>437</v>
      </c>
      <c r="C95" s="49" t="s">
        <v>410</v>
      </c>
      <c r="E95" s="64"/>
      <c r="F95" s="64">
        <f>MIN(E86,MAX(0,C11+C12+C14+C16+C17))</f>
        <v>0</v>
      </c>
      <c r="G95" s="108"/>
    </row>
    <row r="96" spans="1:9" x14ac:dyDescent="0.2">
      <c r="A96" s="49" t="s">
        <v>408</v>
      </c>
      <c r="B96" s="106" t="s">
        <v>438</v>
      </c>
      <c r="C96" s="49" t="s">
        <v>436</v>
      </c>
      <c r="E96" s="64"/>
      <c r="F96" s="64">
        <f>C21+C22-F97</f>
        <v>0</v>
      </c>
      <c r="G96" s="107"/>
      <c r="H96" s="49" t="str">
        <f>"Column "&amp;C6&amp;" - line "&amp;A21&amp;"+"&amp;A22</f>
        <v>Column 1 - line L+M</v>
      </c>
    </row>
    <row r="97" spans="1:8" x14ac:dyDescent="0.2">
      <c r="A97" s="49" t="s">
        <v>408</v>
      </c>
      <c r="B97" s="106" t="s">
        <v>439</v>
      </c>
      <c r="C97" s="64" t="s">
        <v>410</v>
      </c>
      <c r="E97" s="64"/>
      <c r="F97" s="64">
        <f>E88</f>
        <v>0</v>
      </c>
      <c r="G97" s="108"/>
    </row>
    <row r="98" spans="1:8" x14ac:dyDescent="0.2">
      <c r="B98" s="49" t="str">
        <f>"(spread of early recognition items for "&amp;Instructions!R2&amp;")"</f>
        <v>(spread of early recognition items for FY 2014)</v>
      </c>
      <c r="E98" s="64"/>
      <c r="F98" s="64"/>
    </row>
    <row r="99" spans="1:8" x14ac:dyDescent="0.2">
      <c r="A99" s="237" t="s">
        <v>1240</v>
      </c>
      <c r="E99" s="64"/>
      <c r="F99" s="64"/>
    </row>
    <row r="100" spans="1:8" x14ac:dyDescent="0.2">
      <c r="A100" s="49" t="s">
        <v>408</v>
      </c>
      <c r="B100" s="49" t="s">
        <v>409</v>
      </c>
      <c r="C100" s="64" t="s">
        <v>410</v>
      </c>
      <c r="E100" s="64"/>
      <c r="F100" s="64">
        <f>E86-F93-F95</f>
        <v>0</v>
      </c>
      <c r="G100" s="107"/>
      <c r="H100" s="49" t="s">
        <v>618</v>
      </c>
    </row>
    <row r="101" spans="1:8" x14ac:dyDescent="0.2">
      <c r="A101" s="49" t="s">
        <v>408</v>
      </c>
      <c r="B101" s="49" t="s">
        <v>440</v>
      </c>
      <c r="C101" s="64" t="s">
        <v>441</v>
      </c>
      <c r="E101" s="64">
        <f>F100</f>
        <v>0</v>
      </c>
      <c r="F101" s="64"/>
      <c r="G101" s="108"/>
    </row>
    <row r="102" spans="1:8" x14ac:dyDescent="0.2">
      <c r="A102" s="64" t="s">
        <v>408</v>
      </c>
      <c r="B102" s="64" t="s">
        <v>442</v>
      </c>
      <c r="C102" s="64" t="s">
        <v>410</v>
      </c>
      <c r="D102" s="64"/>
      <c r="E102" s="64"/>
      <c r="F102" s="64">
        <f>E88-F97</f>
        <v>0</v>
      </c>
      <c r="G102" s="109"/>
      <c r="H102" s="64" t="s">
        <v>619</v>
      </c>
    </row>
    <row r="103" spans="1:8" x14ac:dyDescent="0.2">
      <c r="A103" s="64" t="s">
        <v>408</v>
      </c>
      <c r="B103" s="64" t="s">
        <v>443</v>
      </c>
      <c r="C103" s="64" t="s">
        <v>441</v>
      </c>
      <c r="D103" s="64"/>
      <c r="E103" s="64">
        <f>F102</f>
        <v>0</v>
      </c>
      <c r="F103" s="64"/>
      <c r="G103" s="110"/>
      <c r="H103" s="64"/>
    </row>
    <row r="104" spans="1:8" x14ac:dyDescent="0.2">
      <c r="A104" s="64"/>
      <c r="B104" s="64" t="s">
        <v>1</v>
      </c>
      <c r="C104" s="64"/>
      <c r="D104" s="64"/>
      <c r="E104" s="64"/>
      <c r="F104" s="64"/>
      <c r="G104" s="72"/>
      <c r="H104" s="64"/>
    </row>
    <row r="105" spans="1:8" x14ac:dyDescent="0.2">
      <c r="A105" s="237" t="s">
        <v>1240</v>
      </c>
      <c r="E105" s="64"/>
      <c r="F105" s="64"/>
    </row>
    <row r="106" spans="1:8" x14ac:dyDescent="0.2">
      <c r="A106" s="64" t="s">
        <v>408</v>
      </c>
      <c r="B106" s="64" t="s">
        <v>435</v>
      </c>
      <c r="C106" s="64" t="s">
        <v>436</v>
      </c>
      <c r="D106" s="64"/>
      <c r="E106" s="64"/>
      <c r="F106" s="64">
        <f>D9+D10</f>
        <v>348692.74</v>
      </c>
      <c r="G106" s="64"/>
      <c r="H106" s="49" t="str">
        <f>"Column "&amp;D6&amp;" - line "&amp;A9&amp;"+"&amp;A10</f>
        <v>Column 2 - line A+B</v>
      </c>
    </row>
    <row r="107" spans="1:8" x14ac:dyDescent="0.2">
      <c r="A107" s="64" t="s">
        <v>408</v>
      </c>
      <c r="B107" s="64" t="s">
        <v>438</v>
      </c>
      <c r="C107" s="64" t="s">
        <v>436</v>
      </c>
      <c r="D107" s="64"/>
      <c r="E107" s="64"/>
      <c r="F107" s="64">
        <f>D20</f>
        <v>5395.57</v>
      </c>
      <c r="G107" s="64"/>
      <c r="H107" s="49" t="str">
        <f>"Column "&amp;D6&amp;" - line "&amp;A20</f>
        <v>Column 2 - line K</v>
      </c>
    </row>
    <row r="108" spans="1:8" x14ac:dyDescent="0.2">
      <c r="B108" s="49" t="s">
        <v>444</v>
      </c>
      <c r="E108" s="64"/>
      <c r="F108" s="64"/>
    </row>
    <row r="109" spans="1:8" x14ac:dyDescent="0.2">
      <c r="A109" s="237" t="s">
        <v>1240</v>
      </c>
      <c r="E109" s="64"/>
      <c r="F109" s="64"/>
    </row>
    <row r="110" spans="1:8" x14ac:dyDescent="0.2">
      <c r="A110" s="49" t="s">
        <v>408</v>
      </c>
      <c r="B110" s="106" t="s">
        <v>445</v>
      </c>
      <c r="C110" s="64" t="s">
        <v>446</v>
      </c>
      <c r="E110" s="49">
        <f>IF($F18&lt;0,-$F18," ")</f>
        <v>348692.74</v>
      </c>
      <c r="F110" s="49" t="str">
        <f>IF($F18&lt;0," ",$F18)</f>
        <v xml:space="preserve"> </v>
      </c>
      <c r="H110" s="49" t="str">
        <f>"Column "&amp;F6&amp;" - line "&amp;A18</f>
        <v>Column 4 - line J</v>
      </c>
    </row>
    <row r="111" spans="1:8" x14ac:dyDescent="0.2">
      <c r="A111" s="49" t="s">
        <v>408</v>
      </c>
      <c r="B111" s="106" t="s">
        <v>447</v>
      </c>
      <c r="C111" s="64" t="s">
        <v>446</v>
      </c>
      <c r="E111" s="49">
        <f>IF($F23&lt;0,-$F23," ")</f>
        <v>5395.57</v>
      </c>
      <c r="F111" s="49" t="str">
        <f>IF($F23&lt;0," ",$F23)</f>
        <v xml:space="preserve"> </v>
      </c>
      <c r="H111" s="49" t="str">
        <f>"Column "&amp;F6&amp;" - line "&amp;A23</f>
        <v>Column 4 - line N</v>
      </c>
    </row>
    <row r="112" spans="1:8" x14ac:dyDescent="0.2">
      <c r="B112" s="49" t="str">
        <f>"(spread of tax shift amount for "&amp;Instructions!R2&amp;")"</f>
        <v>(spread of tax shift amount for FY 2014)</v>
      </c>
      <c r="C112" s="64"/>
    </row>
    <row r="113" spans="1:8" x14ac:dyDescent="0.2">
      <c r="A113" s="237" t="s">
        <v>1240</v>
      </c>
      <c r="C113" s="64"/>
    </row>
    <row r="114" spans="1:8" ht="12" thickBot="1" x14ac:dyDescent="0.25">
      <c r="A114" s="111"/>
      <c r="B114" s="111" t="s">
        <v>390</v>
      </c>
      <c r="C114" s="111"/>
      <c r="D114" s="111"/>
      <c r="E114" s="111">
        <f>SUM(E85:E113)</f>
        <v>532091.72</v>
      </c>
      <c r="F114" s="111">
        <f>SUM(F85:F113)</f>
        <v>532091.72</v>
      </c>
    </row>
    <row r="115" spans="1:8" ht="12" thickTop="1" x14ac:dyDescent="0.2">
      <c r="A115" s="237" t="s">
        <v>1240</v>
      </c>
    </row>
    <row r="116" spans="1:8" x14ac:dyDescent="0.2">
      <c r="A116" s="64" t="s">
        <v>408</v>
      </c>
      <c r="B116" s="112" t="s">
        <v>416</v>
      </c>
      <c r="C116" s="64" t="s">
        <v>448</v>
      </c>
      <c r="D116" s="64"/>
      <c r="E116" s="64">
        <f>IF(I18&lt;0,-I18," ")</f>
        <v>5395.570000000007</v>
      </c>
      <c r="F116" s="64" t="str">
        <f>IF(I18&lt;0," ",I18)</f>
        <v xml:space="preserve"> </v>
      </c>
      <c r="G116" s="107"/>
      <c r="H116" s="49" t="str">
        <f>"Column "&amp;I6&amp;" - line "&amp;A18</f>
        <v>Column 6 - line J</v>
      </c>
    </row>
    <row r="117" spans="1:8" x14ac:dyDescent="0.2">
      <c r="A117" s="64" t="s">
        <v>411</v>
      </c>
      <c r="B117" s="112" t="s">
        <v>449</v>
      </c>
      <c r="C117" s="64" t="s">
        <v>450</v>
      </c>
      <c r="D117" s="64"/>
      <c r="E117" s="64" t="str">
        <f>F116</f>
        <v xml:space="preserve"> </v>
      </c>
      <c r="F117" s="64">
        <f>E116</f>
        <v>5395.570000000007</v>
      </c>
      <c r="G117" s="108"/>
      <c r="H117" s="64"/>
    </row>
    <row r="118" spans="1:8" x14ac:dyDescent="0.2">
      <c r="A118" s="64" t="s">
        <v>408</v>
      </c>
      <c r="B118" s="112" t="s">
        <v>418</v>
      </c>
      <c r="C118" s="64" t="s">
        <v>448</v>
      </c>
      <c r="D118" s="64"/>
      <c r="E118" s="64" t="str">
        <f>IF(I23&lt;0,-I23," ")</f>
        <v xml:space="preserve"> </v>
      </c>
      <c r="F118" s="64">
        <f>IF(I23&lt;0," ",I23)</f>
        <v>5395.57</v>
      </c>
      <c r="G118" s="107"/>
      <c r="H118" s="49" t="str">
        <f>"Column "&amp;I6&amp;" - line "&amp;A23</f>
        <v>Column 6 - line N</v>
      </c>
    </row>
    <row r="119" spans="1:8" x14ac:dyDescent="0.2">
      <c r="A119" s="64" t="s">
        <v>411</v>
      </c>
      <c r="B119" s="64" t="s">
        <v>451</v>
      </c>
      <c r="C119" s="64" t="s">
        <v>450</v>
      </c>
      <c r="D119" s="64"/>
      <c r="E119" s="64">
        <f>F118</f>
        <v>5395.57</v>
      </c>
      <c r="F119" s="49" t="str">
        <f>E118</f>
        <v xml:space="preserve"> </v>
      </c>
      <c r="G119" s="108"/>
      <c r="H119" s="64"/>
    </row>
    <row r="120" spans="1:8" x14ac:dyDescent="0.2">
      <c r="A120" s="64" t="s">
        <v>411</v>
      </c>
      <c r="B120" s="64" t="s">
        <v>452</v>
      </c>
      <c r="C120" s="64" t="s">
        <v>453</v>
      </c>
      <c r="D120" s="64"/>
      <c r="E120" s="64" t="str">
        <f>F121</f>
        <v xml:space="preserve"> </v>
      </c>
      <c r="F120" s="64">
        <f>E121</f>
        <v>7.2759576141834259E-12</v>
      </c>
      <c r="G120" s="107"/>
      <c r="H120" s="49" t="str">
        <f>"Column "&amp;I6&amp;" - line "&amp;A26</f>
        <v>Column 6 - line O</v>
      </c>
    </row>
    <row r="121" spans="1:8" x14ac:dyDescent="0.2">
      <c r="A121" s="64" t="s">
        <v>411</v>
      </c>
      <c r="B121" s="112" t="s">
        <v>449</v>
      </c>
      <c r="C121" s="64" t="s">
        <v>450</v>
      </c>
      <c r="D121" s="64"/>
      <c r="E121" s="64">
        <f>IF(I26&lt;0,-I26," ")</f>
        <v>7.2759576141834259E-12</v>
      </c>
      <c r="F121" s="64" t="str">
        <f>IF(I26&lt;0," ",I26)</f>
        <v xml:space="preserve"> </v>
      </c>
      <c r="G121" s="108"/>
    </row>
    <row r="122" spans="1:8" x14ac:dyDescent="0.2">
      <c r="A122" s="64"/>
      <c r="B122" s="64" t="s">
        <v>454</v>
      </c>
      <c r="C122" s="64"/>
      <c r="D122" s="64"/>
      <c r="E122" s="64"/>
      <c r="G122" s="64"/>
      <c r="H122" s="64"/>
    </row>
    <row r="123" spans="1:8" x14ac:dyDescent="0.2">
      <c r="A123" s="237" t="s">
        <v>1240</v>
      </c>
      <c r="B123" s="64"/>
      <c r="C123" s="64"/>
      <c r="D123" s="64"/>
      <c r="E123" s="64"/>
      <c r="G123" s="64"/>
      <c r="H123" s="64"/>
    </row>
    <row r="124" spans="1:8" ht="12" thickBot="1" x14ac:dyDescent="0.25">
      <c r="A124" s="113"/>
      <c r="B124" s="113" t="s">
        <v>390</v>
      </c>
      <c r="C124" s="113"/>
      <c r="D124" s="113"/>
      <c r="E124" s="113">
        <f>SUM(E116:E123)</f>
        <v>10791.140000000014</v>
      </c>
      <c r="F124" s="113">
        <f>SUM(F116:F123)</f>
        <v>10791.140000000014</v>
      </c>
      <c r="G124" s="64"/>
      <c r="H124" s="64"/>
    </row>
    <row r="125" spans="1:8" ht="12" thickTop="1" x14ac:dyDescent="0.2">
      <c r="A125" s="238" t="s">
        <v>1241</v>
      </c>
      <c r="B125" s="64"/>
      <c r="C125" s="64"/>
      <c r="D125" s="64"/>
      <c r="E125" s="64"/>
      <c r="G125" s="64"/>
      <c r="H125" s="64"/>
    </row>
    <row r="126" spans="1:8" hidden="1" x14ac:dyDescent="0.2">
      <c r="A126" s="64"/>
      <c r="B126" s="64"/>
      <c r="C126" s="64"/>
      <c r="D126" s="64"/>
      <c r="E126" s="64"/>
      <c r="F126" s="64"/>
      <c r="G126" s="64"/>
      <c r="H126" s="64"/>
    </row>
    <row r="127" spans="1:8" hidden="1" x14ac:dyDescent="0.2">
      <c r="A127" s="64"/>
      <c r="C127" s="64"/>
      <c r="D127" s="64"/>
      <c r="E127" s="64"/>
      <c r="F127" s="64"/>
      <c r="G127" s="64"/>
      <c r="H127" s="64"/>
    </row>
    <row r="128" spans="1:8" hidden="1" x14ac:dyDescent="0.2">
      <c r="A128" s="114"/>
      <c r="B128" s="114"/>
      <c r="C128" s="114"/>
      <c r="D128" s="114"/>
    </row>
    <row r="129" spans="1:4" hidden="1" x14ac:dyDescent="0.2">
      <c r="A129" s="114"/>
      <c r="B129" s="114"/>
      <c r="C129" s="114"/>
      <c r="D129" s="114"/>
    </row>
    <row r="130" spans="1:4" hidden="1" x14ac:dyDescent="0.2">
      <c r="A130" s="114"/>
      <c r="B130" s="114"/>
      <c r="C130" s="114"/>
      <c r="D130" s="114"/>
    </row>
    <row r="131" spans="1:4" hidden="1" x14ac:dyDescent="0.2">
      <c r="A131" s="114"/>
      <c r="B131" s="114"/>
      <c r="C131" s="114"/>
      <c r="D131" s="114"/>
    </row>
    <row r="132" spans="1:4" hidden="1" x14ac:dyDescent="0.2">
      <c r="A132" s="114"/>
      <c r="B132" s="114"/>
      <c r="C132" s="114"/>
      <c r="D132" s="114"/>
    </row>
    <row r="133" spans="1:4" hidden="1" x14ac:dyDescent="0.2">
      <c r="A133" s="114"/>
      <c r="B133" s="114"/>
      <c r="C133" s="114"/>
      <c r="D133" s="114"/>
    </row>
    <row r="134" spans="1:4" hidden="1" x14ac:dyDescent="0.2">
      <c r="A134" s="114"/>
      <c r="B134" s="114"/>
      <c r="C134" s="114"/>
      <c r="D134" s="114"/>
    </row>
    <row r="135" spans="1:4" hidden="1" x14ac:dyDescent="0.2">
      <c r="A135" s="114"/>
      <c r="B135" s="114"/>
      <c r="C135" s="114"/>
      <c r="D135" s="114"/>
    </row>
    <row r="136" spans="1:4" hidden="1" x14ac:dyDescent="0.2">
      <c r="A136" s="114"/>
      <c r="B136" s="114"/>
      <c r="C136" s="114"/>
      <c r="D136" s="114"/>
    </row>
    <row r="137" spans="1:4" hidden="1" x14ac:dyDescent="0.2">
      <c r="A137" s="114"/>
      <c r="B137" s="114"/>
      <c r="C137" s="114"/>
      <c r="D137" s="114"/>
    </row>
    <row r="138" spans="1:4" hidden="1" x14ac:dyDescent="0.2">
      <c r="A138" s="114"/>
      <c r="B138" s="114"/>
      <c r="C138" s="114"/>
      <c r="D138" s="114"/>
    </row>
    <row r="139" spans="1:4" hidden="1" x14ac:dyDescent="0.2">
      <c r="A139" s="114"/>
      <c r="B139" s="114"/>
      <c r="C139" s="114"/>
      <c r="D139" s="114"/>
    </row>
    <row r="140" spans="1:4" hidden="1" x14ac:dyDescent="0.2">
      <c r="A140" s="114"/>
      <c r="B140" s="114"/>
      <c r="C140" s="114"/>
      <c r="D140" s="114"/>
    </row>
    <row r="141" spans="1:4" hidden="1" x14ac:dyDescent="0.2">
      <c r="A141" s="114"/>
      <c r="B141" s="114"/>
      <c r="C141" s="114"/>
      <c r="D141" s="114"/>
    </row>
    <row r="142" spans="1:4" hidden="1" x14ac:dyDescent="0.2">
      <c r="A142" s="114"/>
      <c r="B142" s="114"/>
      <c r="C142" s="114"/>
      <c r="D142" s="114"/>
    </row>
    <row r="143" spans="1:4" hidden="1" x14ac:dyDescent="0.2">
      <c r="A143" s="114"/>
      <c r="B143" s="114"/>
      <c r="C143" s="114"/>
      <c r="D143" s="114"/>
    </row>
    <row r="144" spans="1:4" hidden="1" x14ac:dyDescent="0.2">
      <c r="A144" s="114"/>
      <c r="B144" s="114"/>
      <c r="C144" s="114"/>
      <c r="D144" s="114"/>
    </row>
    <row r="145" spans="1:4" hidden="1" x14ac:dyDescent="0.2">
      <c r="A145" s="114"/>
      <c r="B145" s="114"/>
      <c r="C145" s="114"/>
      <c r="D145" s="114"/>
    </row>
    <row r="146" spans="1:4" hidden="1" x14ac:dyDescent="0.2">
      <c r="A146" s="114"/>
      <c r="B146" s="114"/>
      <c r="C146" s="114"/>
      <c r="D146" s="114"/>
    </row>
    <row r="147" spans="1:4" hidden="1" x14ac:dyDescent="0.2">
      <c r="A147" s="114"/>
      <c r="B147" s="114"/>
      <c r="C147" s="114"/>
      <c r="D147" s="114"/>
    </row>
    <row r="148" spans="1:4" hidden="1" x14ac:dyDescent="0.2">
      <c r="A148" s="114"/>
      <c r="B148" s="114"/>
      <c r="C148" s="114"/>
      <c r="D148" s="114"/>
    </row>
    <row r="149" spans="1:4" hidden="1" x14ac:dyDescent="0.2">
      <c r="A149" s="114"/>
      <c r="B149" s="114"/>
      <c r="C149" s="114"/>
      <c r="D149" s="114"/>
    </row>
    <row r="150" spans="1:4" hidden="1" x14ac:dyDescent="0.2">
      <c r="A150" s="114"/>
      <c r="B150" s="114"/>
      <c r="C150" s="114"/>
      <c r="D150" s="114"/>
    </row>
    <row r="151" spans="1:4" hidden="1" x14ac:dyDescent="0.2">
      <c r="A151" s="114"/>
      <c r="B151" s="114"/>
      <c r="C151" s="114"/>
      <c r="D151" s="114"/>
    </row>
    <row r="152" spans="1:4" hidden="1" x14ac:dyDescent="0.2">
      <c r="A152" s="114"/>
      <c r="B152" s="114"/>
      <c r="C152" s="114"/>
      <c r="D152" s="114"/>
    </row>
    <row r="153" spans="1:4" hidden="1" x14ac:dyDescent="0.2">
      <c r="A153" s="114"/>
      <c r="B153" s="114"/>
      <c r="C153" s="114"/>
      <c r="D153" s="114"/>
    </row>
    <row r="154" spans="1:4" hidden="1" x14ac:dyDescent="0.2">
      <c r="A154" s="114"/>
      <c r="B154" s="114"/>
      <c r="C154" s="114"/>
      <c r="D154" s="114"/>
    </row>
    <row r="155" spans="1:4" hidden="1" x14ac:dyDescent="0.2">
      <c r="A155" s="114"/>
      <c r="B155" s="114"/>
      <c r="C155" s="114"/>
      <c r="D155" s="114"/>
    </row>
    <row r="156" spans="1:4" hidden="1" x14ac:dyDescent="0.2">
      <c r="A156" s="114"/>
      <c r="B156" s="114"/>
      <c r="C156" s="114"/>
      <c r="D156" s="114"/>
    </row>
    <row r="157" spans="1:4" hidden="1" x14ac:dyDescent="0.2">
      <c r="A157" s="114"/>
      <c r="B157" s="114"/>
      <c r="C157" s="114"/>
      <c r="D157" s="114"/>
    </row>
    <row r="158" spans="1:4" hidden="1" x14ac:dyDescent="0.2">
      <c r="A158" s="114"/>
      <c r="B158" s="114"/>
      <c r="C158" s="114"/>
      <c r="D158" s="114"/>
    </row>
    <row r="159" spans="1:4" hidden="1" x14ac:dyDescent="0.2">
      <c r="A159" s="114"/>
      <c r="B159" s="114"/>
      <c r="C159" s="114"/>
      <c r="D159" s="114"/>
    </row>
    <row r="160" spans="1:4" hidden="1" x14ac:dyDescent="0.2">
      <c r="A160" s="114"/>
      <c r="B160" s="114"/>
      <c r="C160" s="114"/>
      <c r="D160" s="114"/>
    </row>
    <row r="161" spans="1:4" hidden="1" x14ac:dyDescent="0.2">
      <c r="A161" s="114"/>
      <c r="B161" s="114"/>
      <c r="C161" s="114"/>
      <c r="D161" s="114"/>
    </row>
    <row r="162" spans="1:4" hidden="1" x14ac:dyDescent="0.2">
      <c r="A162" s="114"/>
      <c r="B162" s="114"/>
      <c r="C162" s="114"/>
      <c r="D162" s="114"/>
    </row>
    <row r="163" spans="1:4" hidden="1" x14ac:dyDescent="0.2">
      <c r="A163" s="114"/>
      <c r="B163" s="114"/>
      <c r="C163" s="114"/>
      <c r="D163" s="114"/>
    </row>
    <row r="164" spans="1:4" hidden="1" x14ac:dyDescent="0.2">
      <c r="A164" s="114"/>
      <c r="B164" s="114"/>
      <c r="C164" s="114"/>
      <c r="D164" s="114"/>
    </row>
    <row r="165" spans="1:4" hidden="1" x14ac:dyDescent="0.2">
      <c r="A165" s="114"/>
      <c r="B165" s="114"/>
      <c r="C165" s="114"/>
      <c r="D165" s="114"/>
    </row>
    <row r="166" spans="1:4" hidden="1" x14ac:dyDescent="0.2">
      <c r="A166" s="114"/>
      <c r="B166" s="114"/>
      <c r="C166" s="114"/>
      <c r="D166" s="114"/>
    </row>
    <row r="167" spans="1:4" hidden="1" x14ac:dyDescent="0.2">
      <c r="A167" s="114"/>
      <c r="B167" s="114"/>
      <c r="C167" s="114"/>
      <c r="D167" s="114"/>
    </row>
    <row r="168" spans="1:4" hidden="1" x14ac:dyDescent="0.2">
      <c r="A168" s="114"/>
      <c r="B168" s="114"/>
      <c r="C168" s="114"/>
      <c r="D168" s="114"/>
    </row>
    <row r="169" spans="1:4" hidden="1" x14ac:dyDescent="0.2">
      <c r="A169" s="114"/>
      <c r="B169" s="114"/>
      <c r="C169" s="114"/>
      <c r="D169" s="114"/>
    </row>
    <row r="170" spans="1:4" hidden="1" x14ac:dyDescent="0.2">
      <c r="A170" s="114"/>
      <c r="B170" s="114"/>
      <c r="C170" s="114"/>
      <c r="D170" s="114"/>
    </row>
    <row r="171" spans="1:4" hidden="1" x14ac:dyDescent="0.2">
      <c r="A171" s="114"/>
      <c r="B171" s="114"/>
      <c r="C171" s="114"/>
      <c r="D171" s="114"/>
    </row>
    <row r="172" spans="1:4" hidden="1" x14ac:dyDescent="0.2">
      <c r="A172" s="114"/>
      <c r="B172" s="114"/>
      <c r="C172" s="114"/>
      <c r="D172" s="114"/>
    </row>
    <row r="173" spans="1:4" hidden="1" x14ac:dyDescent="0.2">
      <c r="A173" s="114"/>
      <c r="B173" s="114"/>
      <c r="C173" s="114"/>
      <c r="D173" s="114"/>
    </row>
    <row r="174" spans="1:4" hidden="1" x14ac:dyDescent="0.2">
      <c r="A174" s="114"/>
      <c r="B174" s="114"/>
      <c r="C174" s="114"/>
      <c r="D174" s="114"/>
    </row>
    <row r="175" spans="1:4" hidden="1" x14ac:dyDescent="0.2">
      <c r="A175" s="114"/>
      <c r="B175" s="114"/>
      <c r="C175" s="114"/>
      <c r="D175" s="114"/>
    </row>
    <row r="176" spans="1:4" hidden="1" x14ac:dyDescent="0.2">
      <c r="A176" s="114"/>
      <c r="B176" s="114"/>
      <c r="C176" s="114"/>
      <c r="D176" s="114"/>
    </row>
    <row r="177" spans="1:4" hidden="1" x14ac:dyDescent="0.2">
      <c r="A177" s="114"/>
      <c r="B177" s="114"/>
      <c r="C177" s="114"/>
      <c r="D177" s="114"/>
    </row>
    <row r="178" spans="1:4" hidden="1" x14ac:dyDescent="0.2">
      <c r="A178" s="114"/>
      <c r="B178" s="114"/>
      <c r="C178" s="114"/>
      <c r="D178" s="114"/>
    </row>
    <row r="179" spans="1:4" hidden="1" x14ac:dyDescent="0.2">
      <c r="A179" s="114"/>
      <c r="B179" s="114"/>
      <c r="C179" s="114"/>
      <c r="D179" s="114"/>
    </row>
    <row r="180" spans="1:4" hidden="1" x14ac:dyDescent="0.2">
      <c r="A180" s="114"/>
      <c r="B180" s="114"/>
      <c r="C180" s="114"/>
      <c r="D180" s="114"/>
    </row>
    <row r="181" spans="1:4" hidden="1" x14ac:dyDescent="0.2">
      <c r="A181" s="114"/>
      <c r="B181" s="114"/>
      <c r="C181" s="114"/>
      <c r="D181" s="114"/>
    </row>
    <row r="182" spans="1:4" hidden="1" x14ac:dyDescent="0.2">
      <c r="A182" s="114"/>
      <c r="B182" s="114"/>
      <c r="C182" s="114"/>
      <c r="D182" s="114"/>
    </row>
    <row r="183" spans="1:4" hidden="1" x14ac:dyDescent="0.2">
      <c r="A183" s="114"/>
      <c r="B183" s="114"/>
      <c r="C183" s="114"/>
      <c r="D183" s="114"/>
    </row>
    <row r="184" spans="1:4" hidden="1" x14ac:dyDescent="0.2">
      <c r="A184" s="114"/>
      <c r="B184" s="114"/>
      <c r="C184" s="114"/>
      <c r="D184" s="114"/>
    </row>
    <row r="185" spans="1:4" hidden="1" x14ac:dyDescent="0.2">
      <c r="A185" s="114"/>
      <c r="B185" s="114"/>
      <c r="C185" s="114"/>
      <c r="D185" s="114"/>
    </row>
    <row r="186" spans="1:4" hidden="1" x14ac:dyDescent="0.2">
      <c r="A186" s="114"/>
      <c r="B186" s="114"/>
      <c r="C186" s="114"/>
      <c r="D186" s="114"/>
    </row>
    <row r="187" spans="1:4" hidden="1" x14ac:dyDescent="0.2">
      <c r="A187" s="114"/>
      <c r="B187" s="114"/>
      <c r="C187" s="114"/>
      <c r="D187" s="114"/>
    </row>
    <row r="188" spans="1:4" hidden="1" x14ac:dyDescent="0.2">
      <c r="A188" s="114"/>
      <c r="B188" s="114"/>
      <c r="C188" s="114"/>
      <c r="D188" s="114"/>
    </row>
    <row r="189" spans="1:4" hidden="1" x14ac:dyDescent="0.2">
      <c r="A189" s="114"/>
      <c r="B189" s="114"/>
      <c r="C189" s="114"/>
      <c r="D189" s="114"/>
    </row>
    <row r="190" spans="1:4" hidden="1" x14ac:dyDescent="0.2">
      <c r="A190" s="114"/>
      <c r="B190" s="114"/>
      <c r="C190" s="114"/>
      <c r="D190" s="114"/>
    </row>
    <row r="191" spans="1:4" hidden="1" x14ac:dyDescent="0.2">
      <c r="A191" s="114"/>
      <c r="B191" s="114"/>
      <c r="C191" s="114"/>
      <c r="D191" s="114"/>
    </row>
    <row r="192" spans="1:4" hidden="1" x14ac:dyDescent="0.2">
      <c r="A192" s="114"/>
      <c r="B192" s="114"/>
      <c r="C192" s="114"/>
      <c r="D192" s="114"/>
    </row>
    <row r="193" spans="1:4" hidden="1" x14ac:dyDescent="0.2">
      <c r="A193" s="114"/>
      <c r="B193" s="114"/>
      <c r="C193" s="114"/>
      <c r="D193" s="114"/>
    </row>
    <row r="194" spans="1:4" hidden="1" x14ac:dyDescent="0.2">
      <c r="A194" s="114"/>
      <c r="B194" s="114"/>
      <c r="C194" s="114"/>
      <c r="D194" s="114"/>
    </row>
    <row r="195" spans="1:4" hidden="1" x14ac:dyDescent="0.2">
      <c r="A195" s="114"/>
      <c r="B195" s="114"/>
      <c r="C195" s="114"/>
      <c r="D195" s="114"/>
    </row>
    <row r="196" spans="1:4" hidden="1" x14ac:dyDescent="0.2">
      <c r="A196" s="114"/>
      <c r="B196" s="114"/>
      <c r="C196" s="114"/>
      <c r="D196" s="114"/>
    </row>
    <row r="197" spans="1:4" hidden="1" x14ac:dyDescent="0.2">
      <c r="A197" s="114"/>
      <c r="B197" s="114"/>
      <c r="C197" s="114"/>
      <c r="D197" s="114"/>
    </row>
    <row r="198" spans="1:4" hidden="1" x14ac:dyDescent="0.2">
      <c r="A198" s="114"/>
      <c r="B198" s="114"/>
      <c r="C198" s="114"/>
      <c r="D198" s="114"/>
    </row>
    <row r="199" spans="1:4" hidden="1" x14ac:dyDescent="0.2">
      <c r="A199" s="114"/>
      <c r="B199" s="114"/>
      <c r="C199" s="114"/>
      <c r="D199" s="114"/>
    </row>
    <row r="200" spans="1:4" hidden="1" x14ac:dyDescent="0.2">
      <c r="A200" s="114"/>
      <c r="B200" s="114"/>
      <c r="C200" s="114"/>
      <c r="D200" s="114"/>
    </row>
    <row r="201" spans="1:4" hidden="1" x14ac:dyDescent="0.2">
      <c r="A201" s="114"/>
      <c r="B201" s="114"/>
      <c r="C201" s="114"/>
      <c r="D201" s="114"/>
    </row>
    <row r="202" spans="1:4" hidden="1" x14ac:dyDescent="0.2">
      <c r="A202" s="114"/>
      <c r="B202" s="114"/>
      <c r="C202" s="114"/>
      <c r="D202" s="114"/>
    </row>
    <row r="203" spans="1:4" hidden="1" x14ac:dyDescent="0.2">
      <c r="A203" s="114"/>
      <c r="B203" s="114"/>
      <c r="C203" s="114"/>
      <c r="D203" s="114"/>
    </row>
    <row r="204" spans="1:4" hidden="1" x14ac:dyDescent="0.2">
      <c r="A204" s="114"/>
      <c r="B204" s="114"/>
      <c r="C204" s="114"/>
      <c r="D204" s="114"/>
    </row>
    <row r="205" spans="1:4" hidden="1" x14ac:dyDescent="0.2">
      <c r="A205" s="114"/>
      <c r="B205" s="114"/>
      <c r="C205" s="114"/>
      <c r="D205" s="114"/>
    </row>
    <row r="206" spans="1:4" hidden="1" x14ac:dyDescent="0.2">
      <c r="A206" s="114"/>
      <c r="B206" s="114"/>
      <c r="C206" s="114"/>
      <c r="D206" s="114"/>
    </row>
    <row r="207" spans="1:4" hidden="1" x14ac:dyDescent="0.2">
      <c r="A207" s="114"/>
      <c r="B207" s="114"/>
      <c r="C207" s="114"/>
      <c r="D207" s="114"/>
    </row>
    <row r="208" spans="1:4" hidden="1" x14ac:dyDescent="0.2">
      <c r="A208" s="114"/>
      <c r="B208" s="114"/>
      <c r="C208" s="114"/>
      <c r="D208" s="114"/>
    </row>
    <row r="209" spans="1:4" hidden="1" x14ac:dyDescent="0.2">
      <c r="A209" s="114"/>
      <c r="B209" s="114"/>
      <c r="C209" s="114"/>
      <c r="D209" s="114"/>
    </row>
    <row r="210" spans="1:4" hidden="1" x14ac:dyDescent="0.2">
      <c r="A210" s="114"/>
      <c r="B210" s="114"/>
      <c r="C210" s="114"/>
      <c r="D210" s="114"/>
    </row>
    <row r="211" spans="1:4" hidden="1" x14ac:dyDescent="0.2">
      <c r="A211" s="114"/>
      <c r="B211" s="114"/>
      <c r="C211" s="114"/>
      <c r="D211" s="114"/>
    </row>
    <row r="212" spans="1:4" hidden="1" x14ac:dyDescent="0.2">
      <c r="A212" s="114"/>
      <c r="B212" s="114"/>
      <c r="C212" s="114"/>
      <c r="D212" s="114"/>
    </row>
    <row r="213" spans="1:4" hidden="1" x14ac:dyDescent="0.2">
      <c r="A213" s="114"/>
      <c r="B213" s="114"/>
      <c r="C213" s="114"/>
      <c r="D213" s="114"/>
    </row>
    <row r="214" spans="1:4" hidden="1" x14ac:dyDescent="0.2">
      <c r="A214" s="114"/>
      <c r="B214" s="114"/>
      <c r="C214" s="114"/>
      <c r="D214" s="114"/>
    </row>
    <row r="215" spans="1:4" hidden="1" x14ac:dyDescent="0.2">
      <c r="A215" s="114"/>
      <c r="B215" s="114"/>
      <c r="C215" s="114"/>
      <c r="D215" s="114"/>
    </row>
    <row r="216" spans="1:4" hidden="1" x14ac:dyDescent="0.2">
      <c r="A216" s="114"/>
      <c r="B216" s="114"/>
      <c r="C216" s="114"/>
      <c r="D216" s="114"/>
    </row>
    <row r="217" spans="1:4" hidden="1" x14ac:dyDescent="0.2">
      <c r="A217" s="114"/>
      <c r="B217" s="114"/>
      <c r="C217" s="114"/>
      <c r="D217" s="114"/>
    </row>
    <row r="218" spans="1:4" hidden="1" x14ac:dyDescent="0.2">
      <c r="A218" s="114"/>
      <c r="B218" s="114"/>
      <c r="C218" s="114"/>
      <c r="D218" s="114"/>
    </row>
    <row r="219" spans="1:4" hidden="1" x14ac:dyDescent="0.2">
      <c r="A219" s="114"/>
      <c r="B219" s="114"/>
      <c r="C219" s="114"/>
      <c r="D219" s="114"/>
    </row>
    <row r="220" spans="1:4" hidden="1" x14ac:dyDescent="0.2">
      <c r="A220" s="114"/>
      <c r="B220" s="114"/>
      <c r="C220" s="114"/>
      <c r="D220" s="114"/>
    </row>
    <row r="221" spans="1:4" hidden="1" x14ac:dyDescent="0.2">
      <c r="A221" s="114"/>
      <c r="B221" s="114"/>
      <c r="C221" s="114"/>
      <c r="D221" s="114"/>
    </row>
    <row r="222" spans="1:4" hidden="1" x14ac:dyDescent="0.2">
      <c r="A222" s="114"/>
      <c r="B222" s="114"/>
      <c r="C222" s="114"/>
      <c r="D222" s="114"/>
    </row>
    <row r="223" spans="1:4" hidden="1" x14ac:dyDescent="0.2">
      <c r="A223" s="114"/>
      <c r="B223" s="114"/>
      <c r="C223" s="114"/>
      <c r="D223" s="114"/>
    </row>
    <row r="224" spans="1:4" hidden="1" x14ac:dyDescent="0.2">
      <c r="A224" s="114"/>
      <c r="B224" s="114"/>
      <c r="C224" s="114"/>
      <c r="D224" s="114"/>
    </row>
    <row r="225" spans="1:4" hidden="1" x14ac:dyDescent="0.2">
      <c r="A225" s="114"/>
      <c r="B225" s="114"/>
      <c r="C225" s="114"/>
      <c r="D225" s="114"/>
    </row>
    <row r="226" spans="1:4" hidden="1" x14ac:dyDescent="0.2">
      <c r="A226" s="114"/>
      <c r="B226" s="114"/>
      <c r="C226" s="114"/>
      <c r="D226" s="114"/>
    </row>
    <row r="227" spans="1:4" hidden="1" x14ac:dyDescent="0.2">
      <c r="A227" s="114"/>
      <c r="B227" s="114"/>
      <c r="C227" s="114"/>
      <c r="D227" s="114"/>
    </row>
    <row r="228" spans="1:4" hidden="1" x14ac:dyDescent="0.2">
      <c r="A228" s="114"/>
      <c r="B228" s="114"/>
      <c r="C228" s="114"/>
      <c r="D228" s="114"/>
    </row>
    <row r="229" spans="1:4" hidden="1" x14ac:dyDescent="0.2">
      <c r="A229" s="114"/>
      <c r="B229" s="114"/>
      <c r="C229" s="114"/>
      <c r="D229" s="114"/>
    </row>
    <row r="230" spans="1:4" hidden="1" x14ac:dyDescent="0.2">
      <c r="A230" s="114"/>
      <c r="B230" s="114"/>
      <c r="C230" s="114"/>
      <c r="D230" s="114"/>
    </row>
    <row r="231" spans="1:4" hidden="1" x14ac:dyDescent="0.2">
      <c r="A231" s="114"/>
      <c r="B231" s="114"/>
      <c r="C231" s="114"/>
      <c r="D231" s="114"/>
    </row>
    <row r="232" spans="1:4" hidden="1" x14ac:dyDescent="0.2">
      <c r="A232" s="114"/>
      <c r="B232" s="114"/>
      <c r="C232" s="114"/>
      <c r="D232" s="114"/>
    </row>
    <row r="233" spans="1:4" hidden="1" x14ac:dyDescent="0.2">
      <c r="A233" s="114"/>
      <c r="B233" s="114"/>
      <c r="C233" s="114"/>
      <c r="D233" s="114"/>
    </row>
    <row r="234" spans="1:4" hidden="1" x14ac:dyDescent="0.2">
      <c r="A234" s="114"/>
      <c r="B234" s="114"/>
      <c r="C234" s="114"/>
      <c r="D234" s="114"/>
    </row>
    <row r="235" spans="1:4" hidden="1" x14ac:dyDescent="0.2">
      <c r="A235" s="114"/>
      <c r="B235" s="114"/>
      <c r="C235" s="114"/>
      <c r="D235" s="114"/>
    </row>
    <row r="236" spans="1:4" hidden="1" x14ac:dyDescent="0.2">
      <c r="A236" s="114"/>
      <c r="B236" s="114"/>
      <c r="C236" s="114"/>
      <c r="D236" s="114"/>
    </row>
    <row r="237" spans="1:4" hidden="1" x14ac:dyDescent="0.2">
      <c r="A237" s="114"/>
      <c r="B237" s="114"/>
      <c r="C237" s="114"/>
      <c r="D237" s="114"/>
    </row>
    <row r="238" spans="1:4" hidden="1" x14ac:dyDescent="0.2">
      <c r="A238" s="114"/>
      <c r="B238" s="114"/>
      <c r="C238" s="114"/>
      <c r="D238" s="114"/>
    </row>
    <row r="239" spans="1:4" hidden="1" x14ac:dyDescent="0.2">
      <c r="A239" s="114"/>
      <c r="B239" s="114"/>
      <c r="C239" s="114"/>
      <c r="D239" s="114"/>
    </row>
    <row r="240" spans="1:4" hidden="1" x14ac:dyDescent="0.2">
      <c r="A240" s="114"/>
      <c r="B240" s="114"/>
      <c r="C240" s="114"/>
      <c r="D240" s="114"/>
    </row>
    <row r="241" spans="1:4" hidden="1" x14ac:dyDescent="0.2">
      <c r="A241" s="114"/>
      <c r="B241" s="114"/>
      <c r="C241" s="114"/>
      <c r="D241" s="114"/>
    </row>
    <row r="242" spans="1:4" hidden="1" x14ac:dyDescent="0.2">
      <c r="A242" s="114"/>
      <c r="B242" s="114"/>
      <c r="C242" s="114"/>
      <c r="D242" s="114"/>
    </row>
    <row r="243" spans="1:4" hidden="1" x14ac:dyDescent="0.2">
      <c r="A243" s="114"/>
      <c r="B243" s="114"/>
      <c r="C243" s="114"/>
      <c r="D243" s="114"/>
    </row>
    <row r="244" spans="1:4" hidden="1" x14ac:dyDescent="0.2">
      <c r="A244" s="114"/>
      <c r="B244" s="114"/>
      <c r="C244" s="114"/>
      <c r="D244" s="114"/>
    </row>
    <row r="245" spans="1:4" hidden="1" x14ac:dyDescent="0.2">
      <c r="A245" s="114"/>
      <c r="B245" s="114"/>
      <c r="C245" s="114"/>
      <c r="D245" s="114"/>
    </row>
    <row r="246" spans="1:4" hidden="1" x14ac:dyDescent="0.2">
      <c r="A246" s="114"/>
      <c r="B246" s="114"/>
      <c r="C246" s="114"/>
      <c r="D246" s="114"/>
    </row>
    <row r="247" spans="1:4" hidden="1" x14ac:dyDescent="0.2">
      <c r="A247" s="114"/>
      <c r="B247" s="114"/>
      <c r="C247" s="114"/>
      <c r="D247" s="114"/>
    </row>
    <row r="248" spans="1:4" hidden="1" x14ac:dyDescent="0.2">
      <c r="A248" s="114"/>
      <c r="B248" s="114"/>
      <c r="C248" s="114"/>
      <c r="D248" s="114"/>
    </row>
    <row r="249" spans="1:4" hidden="1" x14ac:dyDescent="0.2">
      <c r="A249" s="114"/>
      <c r="B249" s="114"/>
      <c r="C249" s="114"/>
      <c r="D249" s="114"/>
    </row>
    <row r="250" spans="1:4" hidden="1" x14ac:dyDescent="0.2">
      <c r="A250" s="114"/>
      <c r="B250" s="114"/>
      <c r="C250" s="114"/>
      <c r="D250" s="114"/>
    </row>
    <row r="251" spans="1:4" hidden="1" x14ac:dyDescent="0.2">
      <c r="A251" s="114"/>
      <c r="B251" s="114"/>
      <c r="C251" s="114"/>
      <c r="D251" s="114"/>
    </row>
    <row r="252" spans="1:4" hidden="1" x14ac:dyDescent="0.2">
      <c r="A252" s="114"/>
      <c r="B252" s="114"/>
      <c r="C252" s="114"/>
      <c r="D252" s="114"/>
    </row>
    <row r="253" spans="1:4" hidden="1" x14ac:dyDescent="0.2">
      <c r="A253" s="114"/>
      <c r="B253" s="114"/>
      <c r="C253" s="114"/>
      <c r="D253" s="114"/>
    </row>
    <row r="254" spans="1:4" hidden="1" x14ac:dyDescent="0.2">
      <c r="A254" s="114"/>
      <c r="B254" s="114"/>
      <c r="C254" s="114"/>
      <c r="D254" s="114"/>
    </row>
    <row r="255" spans="1:4" hidden="1" x14ac:dyDescent="0.2">
      <c r="A255" s="114"/>
      <c r="B255" s="114"/>
      <c r="C255" s="114"/>
      <c r="D255" s="114"/>
    </row>
    <row r="256" spans="1:4" hidden="1" x14ac:dyDescent="0.2">
      <c r="A256" s="114"/>
      <c r="B256" s="114"/>
      <c r="C256" s="114"/>
      <c r="D256" s="114"/>
    </row>
    <row r="257" spans="1:4" hidden="1" x14ac:dyDescent="0.2">
      <c r="A257" s="114"/>
      <c r="B257" s="114"/>
      <c r="C257" s="114"/>
      <c r="D257" s="114"/>
    </row>
    <row r="258" spans="1:4" hidden="1" x14ac:dyDescent="0.2">
      <c r="A258" s="114"/>
      <c r="B258" s="114"/>
      <c r="C258" s="114"/>
      <c r="D258" s="114"/>
    </row>
    <row r="259" spans="1:4" hidden="1" x14ac:dyDescent="0.2">
      <c r="A259" s="114"/>
      <c r="B259" s="114"/>
      <c r="C259" s="114"/>
      <c r="D259" s="114"/>
    </row>
    <row r="260" spans="1:4" hidden="1" x14ac:dyDescent="0.2">
      <c r="A260" s="114"/>
      <c r="B260" s="114"/>
      <c r="C260" s="114"/>
      <c r="D260" s="114"/>
    </row>
    <row r="261" spans="1:4" hidden="1" x14ac:dyDescent="0.2">
      <c r="A261" s="114"/>
      <c r="B261" s="114"/>
      <c r="C261" s="114"/>
      <c r="D261" s="114"/>
    </row>
    <row r="262" spans="1:4" hidden="1" x14ac:dyDescent="0.2">
      <c r="A262" s="114"/>
      <c r="B262" s="114"/>
      <c r="C262" s="114"/>
      <c r="D262" s="114"/>
    </row>
    <row r="263" spans="1:4" hidden="1" x14ac:dyDescent="0.2">
      <c r="A263" s="114"/>
      <c r="B263" s="114"/>
      <c r="C263" s="114"/>
      <c r="D263" s="114"/>
    </row>
    <row r="264" spans="1:4" hidden="1" x14ac:dyDescent="0.2">
      <c r="A264" s="114"/>
      <c r="B264" s="114"/>
      <c r="C264" s="114"/>
      <c r="D264" s="114"/>
    </row>
    <row r="265" spans="1:4" hidden="1" x14ac:dyDescent="0.2">
      <c r="A265" s="114"/>
      <c r="B265" s="114"/>
      <c r="C265" s="114"/>
      <c r="D265" s="114"/>
    </row>
    <row r="266" spans="1:4" hidden="1" x14ac:dyDescent="0.2">
      <c r="A266" s="114"/>
      <c r="B266" s="114"/>
      <c r="C266" s="114"/>
      <c r="D266" s="114"/>
    </row>
    <row r="267" spans="1:4" hidden="1" x14ac:dyDescent="0.2">
      <c r="A267" s="114"/>
      <c r="B267" s="114"/>
      <c r="C267" s="114"/>
      <c r="D267" s="114"/>
    </row>
    <row r="268" spans="1:4" hidden="1" x14ac:dyDescent="0.2">
      <c r="A268" s="114"/>
      <c r="B268" s="114"/>
      <c r="C268" s="114"/>
      <c r="D268" s="114"/>
    </row>
    <row r="269" spans="1:4" hidden="1" x14ac:dyDescent="0.2">
      <c r="A269" s="114"/>
      <c r="B269" s="114"/>
      <c r="C269" s="114"/>
      <c r="D269" s="114"/>
    </row>
    <row r="270" spans="1:4" hidden="1" x14ac:dyDescent="0.2">
      <c r="A270" s="114"/>
      <c r="B270" s="114"/>
      <c r="C270" s="114"/>
      <c r="D270" s="114"/>
    </row>
    <row r="271" spans="1:4" hidden="1" x14ac:dyDescent="0.2">
      <c r="A271" s="114"/>
      <c r="B271" s="114"/>
      <c r="C271" s="114"/>
      <c r="D271" s="114"/>
    </row>
    <row r="272" spans="1:4" hidden="1" x14ac:dyDescent="0.2">
      <c r="A272" s="114"/>
      <c r="B272" s="114"/>
      <c r="C272" s="114"/>
      <c r="D272" s="114"/>
    </row>
    <row r="273" spans="1:4" hidden="1" x14ac:dyDescent="0.2">
      <c r="A273" s="114"/>
      <c r="B273" s="114"/>
      <c r="C273" s="114"/>
      <c r="D273" s="114"/>
    </row>
    <row r="274" spans="1:4" hidden="1" x14ac:dyDescent="0.2">
      <c r="A274" s="114"/>
      <c r="B274" s="114"/>
      <c r="C274" s="114"/>
      <c r="D274" s="114"/>
    </row>
    <row r="275" spans="1:4" hidden="1" x14ac:dyDescent="0.2">
      <c r="A275" s="114"/>
      <c r="B275" s="114"/>
      <c r="C275" s="114"/>
      <c r="D275" s="114"/>
    </row>
    <row r="276" spans="1:4" hidden="1" x14ac:dyDescent="0.2">
      <c r="A276" s="114"/>
      <c r="B276" s="114"/>
      <c r="C276" s="114"/>
      <c r="D276" s="114"/>
    </row>
    <row r="277" spans="1:4" hidden="1" x14ac:dyDescent="0.2">
      <c r="A277" s="114"/>
      <c r="B277" s="114"/>
      <c r="C277" s="114"/>
      <c r="D277" s="114"/>
    </row>
    <row r="278" spans="1:4" hidden="1" x14ac:dyDescent="0.2">
      <c r="A278" s="114"/>
      <c r="B278" s="114"/>
      <c r="C278" s="114"/>
      <c r="D278" s="114"/>
    </row>
    <row r="279" spans="1:4" hidden="1" x14ac:dyDescent="0.2">
      <c r="A279" s="114"/>
      <c r="B279" s="114"/>
      <c r="C279" s="114"/>
      <c r="D279" s="114"/>
    </row>
    <row r="280" spans="1:4" hidden="1" x14ac:dyDescent="0.2">
      <c r="A280" s="114"/>
      <c r="B280" s="114"/>
      <c r="C280" s="114"/>
      <c r="D280" s="114"/>
    </row>
    <row r="281" spans="1:4" hidden="1" x14ac:dyDescent="0.2">
      <c r="A281" s="114"/>
      <c r="B281" s="114"/>
      <c r="C281" s="114"/>
      <c r="D281" s="114"/>
    </row>
    <row r="282" spans="1:4" hidden="1" x14ac:dyDescent="0.2">
      <c r="A282" s="114"/>
      <c r="B282" s="114"/>
      <c r="C282" s="114"/>
      <c r="D282" s="114"/>
    </row>
    <row r="283" spans="1:4" hidden="1" x14ac:dyDescent="0.2">
      <c r="A283" s="114"/>
      <c r="B283" s="114"/>
      <c r="C283" s="114"/>
      <c r="D283" s="114"/>
    </row>
    <row r="284" spans="1:4" hidden="1" x14ac:dyDescent="0.2">
      <c r="A284" s="114"/>
      <c r="B284" s="114"/>
      <c r="C284" s="114"/>
      <c r="D284" s="114"/>
    </row>
    <row r="285" spans="1:4" hidden="1" x14ac:dyDescent="0.2">
      <c r="A285" s="114"/>
      <c r="B285" s="114"/>
      <c r="C285" s="114"/>
      <c r="D285" s="114"/>
    </row>
    <row r="286" spans="1:4" hidden="1" x14ac:dyDescent="0.2">
      <c r="A286" s="114"/>
      <c r="B286" s="114"/>
      <c r="C286" s="114"/>
      <c r="D286" s="114"/>
    </row>
    <row r="287" spans="1:4" hidden="1" x14ac:dyDescent="0.2">
      <c r="A287" s="114"/>
      <c r="B287" s="114"/>
      <c r="C287" s="114"/>
      <c r="D287" s="114"/>
    </row>
    <row r="288" spans="1:4" hidden="1" x14ac:dyDescent="0.2">
      <c r="A288" s="114"/>
      <c r="B288" s="114"/>
      <c r="C288" s="114"/>
      <c r="D288" s="114"/>
    </row>
    <row r="289" spans="1:4" hidden="1" x14ac:dyDescent="0.2">
      <c r="A289" s="114"/>
      <c r="B289" s="114"/>
      <c r="C289" s="114"/>
      <c r="D289" s="114"/>
    </row>
    <row r="290" spans="1:4" hidden="1" x14ac:dyDescent="0.2">
      <c r="A290" s="114"/>
      <c r="B290" s="114"/>
      <c r="C290" s="114"/>
      <c r="D290" s="114"/>
    </row>
    <row r="291" spans="1:4" hidden="1" x14ac:dyDescent="0.2">
      <c r="A291" s="114"/>
      <c r="B291" s="114"/>
      <c r="C291" s="114"/>
      <c r="D291" s="114"/>
    </row>
    <row r="292" spans="1:4" hidden="1" x14ac:dyDescent="0.2">
      <c r="A292" s="114"/>
      <c r="B292" s="114"/>
      <c r="C292" s="114"/>
      <c r="D292" s="114"/>
    </row>
    <row r="293" spans="1:4" hidden="1" x14ac:dyDescent="0.2">
      <c r="A293" s="114"/>
      <c r="B293" s="114"/>
      <c r="C293" s="114"/>
      <c r="D293" s="114"/>
    </row>
    <row r="294" spans="1:4" hidden="1" x14ac:dyDescent="0.2">
      <c r="A294" s="114"/>
      <c r="B294" s="114"/>
      <c r="C294" s="114"/>
      <c r="D294" s="114"/>
    </row>
    <row r="295" spans="1:4" hidden="1" x14ac:dyDescent="0.2">
      <c r="A295" s="114"/>
      <c r="B295" s="114"/>
      <c r="C295" s="114"/>
      <c r="D295" s="114"/>
    </row>
    <row r="296" spans="1:4" hidden="1" x14ac:dyDescent="0.2">
      <c r="A296" s="114"/>
      <c r="B296" s="114"/>
      <c r="C296" s="114"/>
      <c r="D296" s="114"/>
    </row>
    <row r="297" spans="1:4" hidden="1" x14ac:dyDescent="0.2">
      <c r="A297" s="114"/>
      <c r="B297" s="114"/>
      <c r="C297" s="114"/>
      <c r="D297" s="114"/>
    </row>
    <row r="298" spans="1:4" hidden="1" x14ac:dyDescent="0.2">
      <c r="A298" s="114"/>
      <c r="B298" s="114"/>
      <c r="C298" s="114"/>
      <c r="D298" s="114"/>
    </row>
    <row r="299" spans="1:4" hidden="1" x14ac:dyDescent="0.2">
      <c r="A299" s="114"/>
      <c r="B299" s="114"/>
      <c r="C299" s="114"/>
      <c r="D299" s="114"/>
    </row>
    <row r="300" spans="1:4" hidden="1" x14ac:dyDescent="0.2">
      <c r="A300" s="114"/>
      <c r="B300" s="114"/>
      <c r="C300" s="114"/>
      <c r="D300" s="114"/>
    </row>
    <row r="301" spans="1:4" hidden="1" x14ac:dyDescent="0.2">
      <c r="A301" s="114"/>
      <c r="B301" s="114"/>
      <c r="C301" s="114"/>
      <c r="D301" s="114"/>
    </row>
    <row r="302" spans="1:4" hidden="1" x14ac:dyDescent="0.2">
      <c r="A302" s="114"/>
      <c r="B302" s="114"/>
      <c r="C302" s="114"/>
      <c r="D302" s="114"/>
    </row>
    <row r="303" spans="1:4" hidden="1" x14ac:dyDescent="0.2">
      <c r="A303" s="114"/>
      <c r="B303" s="114"/>
      <c r="C303" s="114"/>
      <c r="D303" s="114"/>
    </row>
    <row r="304" spans="1:4" hidden="1" x14ac:dyDescent="0.2">
      <c r="A304" s="114"/>
      <c r="B304" s="114"/>
      <c r="C304" s="114"/>
      <c r="D304" s="114"/>
    </row>
    <row r="305" spans="1:4" hidden="1" x14ac:dyDescent="0.2">
      <c r="A305" s="114"/>
      <c r="B305" s="114"/>
      <c r="C305" s="114"/>
      <c r="D305" s="114"/>
    </row>
    <row r="306" spans="1:4" hidden="1" x14ac:dyDescent="0.2">
      <c r="A306" s="114"/>
      <c r="B306" s="114"/>
      <c r="C306" s="114"/>
      <c r="D306" s="114"/>
    </row>
    <row r="307" spans="1:4" hidden="1" x14ac:dyDescent="0.2">
      <c r="A307" s="114"/>
      <c r="B307" s="114"/>
      <c r="C307" s="114"/>
      <c r="D307" s="114"/>
    </row>
    <row r="308" spans="1:4" hidden="1" x14ac:dyDescent="0.2">
      <c r="A308" s="114"/>
      <c r="B308" s="114"/>
      <c r="C308" s="114"/>
      <c r="D308" s="114"/>
    </row>
    <row r="309" spans="1:4" hidden="1" x14ac:dyDescent="0.2">
      <c r="A309" s="114"/>
      <c r="B309" s="114"/>
      <c r="C309" s="114"/>
      <c r="D309" s="114"/>
    </row>
    <row r="310" spans="1:4" hidden="1" x14ac:dyDescent="0.2">
      <c r="A310" s="114"/>
      <c r="B310" s="114"/>
      <c r="C310" s="114"/>
      <c r="D310" s="114"/>
    </row>
    <row r="311" spans="1:4" hidden="1" x14ac:dyDescent="0.2">
      <c r="A311" s="114"/>
      <c r="B311" s="114"/>
      <c r="C311" s="114"/>
      <c r="D311" s="114"/>
    </row>
    <row r="312" spans="1:4" hidden="1" x14ac:dyDescent="0.2">
      <c r="A312" s="114"/>
      <c r="B312" s="114"/>
      <c r="C312" s="114"/>
      <c r="D312" s="114"/>
    </row>
    <row r="313" spans="1:4" hidden="1" x14ac:dyDescent="0.2">
      <c r="A313" s="114"/>
      <c r="B313" s="114"/>
      <c r="C313" s="114"/>
      <c r="D313" s="114"/>
    </row>
    <row r="314" spans="1:4" hidden="1" x14ac:dyDescent="0.2">
      <c r="A314" s="114"/>
      <c r="B314" s="114"/>
      <c r="C314" s="114"/>
      <c r="D314" s="114"/>
    </row>
    <row r="315" spans="1:4" hidden="1" x14ac:dyDescent="0.2">
      <c r="A315" s="114"/>
      <c r="B315" s="114"/>
      <c r="C315" s="114"/>
      <c r="D315" s="114"/>
    </row>
    <row r="316" spans="1:4" hidden="1" x14ac:dyDescent="0.2">
      <c r="A316" s="114"/>
      <c r="B316" s="114"/>
      <c r="C316" s="114"/>
      <c r="D316" s="114"/>
    </row>
    <row r="317" spans="1:4" hidden="1" x14ac:dyDescent="0.2">
      <c r="A317" s="114"/>
      <c r="B317" s="114"/>
      <c r="C317" s="114"/>
      <c r="D317" s="114"/>
    </row>
    <row r="318" spans="1:4" hidden="1" x14ac:dyDescent="0.2">
      <c r="A318" s="114"/>
      <c r="B318" s="114"/>
      <c r="C318" s="114"/>
      <c r="D318" s="114"/>
    </row>
    <row r="319" spans="1:4" hidden="1" x14ac:dyDescent="0.2">
      <c r="A319" s="114"/>
      <c r="B319" s="114"/>
      <c r="C319" s="114"/>
      <c r="D319" s="114"/>
    </row>
    <row r="320" spans="1:4" hidden="1" x14ac:dyDescent="0.2">
      <c r="A320" s="114"/>
      <c r="B320" s="114"/>
      <c r="C320" s="114"/>
      <c r="D320" s="114"/>
    </row>
    <row r="321" spans="1:4" hidden="1" x14ac:dyDescent="0.2">
      <c r="A321" s="114"/>
      <c r="B321" s="114"/>
      <c r="C321" s="114"/>
      <c r="D321" s="114"/>
    </row>
    <row r="322" spans="1:4" hidden="1" x14ac:dyDescent="0.2">
      <c r="A322" s="114"/>
      <c r="B322" s="114"/>
      <c r="C322" s="114"/>
      <c r="D322" s="114"/>
    </row>
    <row r="323" spans="1:4" hidden="1" x14ac:dyDescent="0.2">
      <c r="A323" s="114"/>
      <c r="B323" s="114"/>
      <c r="C323" s="114"/>
      <c r="D323" s="114"/>
    </row>
    <row r="324" spans="1:4" hidden="1" x14ac:dyDescent="0.2"/>
    <row r="325" spans="1:4" hidden="1" x14ac:dyDescent="0.2"/>
    <row r="326" spans="1:4" hidden="1" x14ac:dyDescent="0.2"/>
    <row r="327" spans="1:4" hidden="1" x14ac:dyDescent="0.2"/>
    <row r="328" spans="1:4" hidden="1" x14ac:dyDescent="0.2"/>
    <row r="329" spans="1:4" hidden="1" x14ac:dyDescent="0.2"/>
    <row r="330" spans="1:4" hidden="1" x14ac:dyDescent="0.2"/>
    <row r="331" spans="1:4" hidden="1" x14ac:dyDescent="0.2"/>
    <row r="332" spans="1:4" hidden="1" x14ac:dyDescent="0.2"/>
    <row r="333" spans="1:4" hidden="1" x14ac:dyDescent="0.2"/>
    <row r="334" spans="1:4" hidden="1" x14ac:dyDescent="0.2"/>
    <row r="335" spans="1:4" hidden="1" x14ac:dyDescent="0.2"/>
    <row r="336" spans="1:4" hidden="1" x14ac:dyDescent="0.2"/>
    <row r="337" hidden="1" x14ac:dyDescent="0.2"/>
    <row r="338" hidden="1" x14ac:dyDescent="0.2"/>
    <row r="339" hidden="1" x14ac:dyDescent="0.2"/>
    <row r="340" hidden="1" x14ac:dyDescent="0.2"/>
    <row r="341" hidden="1" x14ac:dyDescent="0.2"/>
    <row r="342" hidden="1" x14ac:dyDescent="0.2"/>
    <row r="343" hidden="1" x14ac:dyDescent="0.2"/>
    <row r="344" hidden="1" x14ac:dyDescent="0.2"/>
    <row r="345" hidden="1" x14ac:dyDescent="0.2"/>
    <row r="346" hidden="1" x14ac:dyDescent="0.2"/>
    <row r="347" hidden="1" x14ac:dyDescent="0.2"/>
    <row r="348" hidden="1" x14ac:dyDescent="0.2"/>
  </sheetData>
  <phoneticPr fontId="0" type="noConversion"/>
  <printOptions horizontalCentered="1"/>
  <pageMargins left="0.75" right="0.75" top="1" bottom="1" header="0.5" footer="0.5"/>
  <pageSetup scale="89" fitToHeight="3" orientation="landscape" r:id="rId1"/>
  <headerFooter alignWithMargins="0">
    <oddFooter>&amp;C&amp;P of &amp;N</oddFooter>
  </headerFooter>
  <ignoredErrors>
    <ignoredError sqref="E118:F118"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M147"/>
  <sheetViews>
    <sheetView workbookViewId="0"/>
  </sheetViews>
  <sheetFormatPr defaultColWidth="0" defaultRowHeight="11.25" zeroHeight="1" x14ac:dyDescent="0.2"/>
  <cols>
    <col min="1" max="1" width="5.83203125" style="39" customWidth="1"/>
    <col min="2" max="2" width="11.83203125" style="39" customWidth="1"/>
    <col min="3" max="3" width="14.83203125" style="39" customWidth="1"/>
    <col min="4" max="4" width="14.83203125" style="42" customWidth="1"/>
    <col min="5" max="5" width="14.83203125" style="43" customWidth="1"/>
    <col min="6" max="19" width="14.83203125" style="39" customWidth="1"/>
    <col min="20" max="65" width="14.83203125" style="39" hidden="1"/>
    <col min="66" max="16384" width="9.33203125" style="39" hidden="1"/>
  </cols>
  <sheetData>
    <row r="1" spans="1:13" ht="19.5" x14ac:dyDescent="0.3">
      <c r="A1" s="239" t="s">
        <v>583</v>
      </c>
      <c r="K1" s="44">
        <f>Report!I1</f>
        <v>41828</v>
      </c>
      <c r="L1" s="237" t="s">
        <v>1246</v>
      </c>
    </row>
    <row r="2" spans="1:13" x14ac:dyDescent="0.2">
      <c r="A2" s="45" t="s">
        <v>585</v>
      </c>
      <c r="F2" s="49"/>
      <c r="G2" s="115"/>
      <c r="H2" s="115"/>
      <c r="L2" s="237" t="s">
        <v>1246</v>
      </c>
    </row>
    <row r="3" spans="1:13" x14ac:dyDescent="0.2">
      <c r="A3" s="45" t="s">
        <v>584</v>
      </c>
      <c r="L3" s="237" t="s">
        <v>1246</v>
      </c>
    </row>
    <row r="4" spans="1:13" ht="12" customHeight="1" x14ac:dyDescent="0.2">
      <c r="A4" s="237" t="s">
        <v>1242</v>
      </c>
      <c r="B4" s="237" t="s">
        <v>1242</v>
      </c>
      <c r="C4" s="237" t="s">
        <v>1242</v>
      </c>
      <c r="D4" s="46" t="s">
        <v>569</v>
      </c>
      <c r="E4" s="46"/>
      <c r="F4" s="46"/>
      <c r="L4" s="237" t="s">
        <v>1246</v>
      </c>
    </row>
    <row r="5" spans="1:13" s="47" customFormat="1" x14ac:dyDescent="0.2">
      <c r="A5" s="237" t="s">
        <v>1242</v>
      </c>
      <c r="B5" s="237" t="s">
        <v>1242</v>
      </c>
      <c r="C5" s="237" t="s">
        <v>1242</v>
      </c>
      <c r="D5" s="47" t="str">
        <f>Instructions!P1</f>
        <v>Pay 2014</v>
      </c>
      <c r="E5" s="47" t="str">
        <f>Instructions!P2</f>
        <v>Pay 2013</v>
      </c>
      <c r="F5" s="47" t="str">
        <f>Instructions!P3</f>
        <v>Pay 2012</v>
      </c>
      <c r="G5" s="47" t="str">
        <f>Instructions!P4</f>
        <v>Pay 2011</v>
      </c>
      <c r="H5" s="47" t="str">
        <f>Instructions!P5</f>
        <v>Pay 2010</v>
      </c>
      <c r="I5" s="47" t="str">
        <f>Instructions!P6</f>
        <v>Pay 2009</v>
      </c>
      <c r="J5" s="47" t="str">
        <f>Instructions!P7</f>
        <v>Pay 2008</v>
      </c>
      <c r="K5" s="47" t="str">
        <f>Instructions!P8</f>
        <v>Pay 2007</v>
      </c>
      <c r="L5" s="237" t="s">
        <v>1246</v>
      </c>
    </row>
    <row r="6" spans="1:13" x14ac:dyDescent="0.2">
      <c r="A6" s="237" t="s">
        <v>1242</v>
      </c>
      <c r="B6" s="39" t="s">
        <v>504</v>
      </c>
      <c r="C6" s="237" t="s">
        <v>1242</v>
      </c>
      <c r="D6" s="27">
        <v>0</v>
      </c>
      <c r="E6" s="27">
        <v>0</v>
      </c>
      <c r="F6" s="27">
        <v>0</v>
      </c>
      <c r="G6" s="27">
        <v>0</v>
      </c>
      <c r="H6" s="27">
        <v>0</v>
      </c>
      <c r="I6" s="27">
        <v>0</v>
      </c>
      <c r="J6" s="27">
        <v>0</v>
      </c>
      <c r="K6" s="27">
        <v>0</v>
      </c>
      <c r="L6" s="237" t="s">
        <v>1246</v>
      </c>
    </row>
    <row r="7" spans="1:13" x14ac:dyDescent="0.2">
      <c r="A7" s="237" t="s">
        <v>1242</v>
      </c>
      <c r="B7" s="39" t="s">
        <v>554</v>
      </c>
      <c r="D7" s="27">
        <v>0</v>
      </c>
      <c r="E7" s="27">
        <v>0</v>
      </c>
      <c r="F7" s="27">
        <v>0</v>
      </c>
      <c r="G7" s="27">
        <v>0</v>
      </c>
      <c r="H7" s="27">
        <v>0</v>
      </c>
      <c r="I7" s="27">
        <v>0</v>
      </c>
      <c r="J7" s="27">
        <v>0</v>
      </c>
      <c r="K7" s="27">
        <v>0</v>
      </c>
      <c r="L7" s="237" t="s">
        <v>1246</v>
      </c>
    </row>
    <row r="8" spans="1:13" x14ac:dyDescent="0.2">
      <c r="A8" s="237" t="s">
        <v>1242</v>
      </c>
      <c r="B8" s="39" t="s">
        <v>555</v>
      </c>
      <c r="C8" s="237" t="s">
        <v>1242</v>
      </c>
      <c r="D8" s="27">
        <v>0</v>
      </c>
      <c r="E8" s="27">
        <v>0</v>
      </c>
      <c r="F8" s="27">
        <v>0</v>
      </c>
      <c r="G8" s="27">
        <v>0</v>
      </c>
      <c r="H8" s="27">
        <v>0</v>
      </c>
      <c r="I8" s="27">
        <v>0</v>
      </c>
      <c r="J8" s="27">
        <v>0</v>
      </c>
      <c r="K8" s="27">
        <v>0</v>
      </c>
      <c r="L8" s="237" t="s">
        <v>1246</v>
      </c>
    </row>
    <row r="9" spans="1:13" x14ac:dyDescent="0.2">
      <c r="A9" s="237" t="s">
        <v>1242</v>
      </c>
      <c r="B9" s="39" t="s">
        <v>3</v>
      </c>
      <c r="C9" s="237" t="s">
        <v>1242</v>
      </c>
      <c r="D9" s="27">
        <v>0</v>
      </c>
      <c r="E9" s="27">
        <v>0</v>
      </c>
      <c r="F9" s="27">
        <v>0</v>
      </c>
      <c r="G9" s="27">
        <v>0</v>
      </c>
      <c r="H9" s="27">
        <v>0</v>
      </c>
      <c r="I9" s="27">
        <v>0</v>
      </c>
      <c r="J9" s="27">
        <v>0</v>
      </c>
      <c r="K9" s="27">
        <v>0</v>
      </c>
      <c r="L9" s="237" t="s">
        <v>1246</v>
      </c>
    </row>
    <row r="10" spans="1:13" x14ac:dyDescent="0.2">
      <c r="A10" s="237" t="s">
        <v>1240</v>
      </c>
      <c r="D10" s="38"/>
      <c r="E10" s="26"/>
      <c r="F10" s="26"/>
      <c r="G10" s="26"/>
      <c r="H10" s="26"/>
      <c r="I10" s="26"/>
      <c r="J10" s="26"/>
      <c r="K10" s="26"/>
      <c r="L10" s="237" t="s">
        <v>1246</v>
      </c>
      <c r="M10" s="26"/>
    </row>
    <row r="11" spans="1:13" x14ac:dyDescent="0.2">
      <c r="A11" s="237" t="s">
        <v>1242</v>
      </c>
      <c r="B11" s="40" t="s">
        <v>598</v>
      </c>
      <c r="D11" s="38">
        <f t="shared" ref="D11:K11" si="0">SUM(D6:D10)</f>
        <v>0</v>
      </c>
      <c r="E11" s="38">
        <f t="shared" si="0"/>
        <v>0</v>
      </c>
      <c r="F11" s="38">
        <f t="shared" si="0"/>
        <v>0</v>
      </c>
      <c r="G11" s="38">
        <f t="shared" si="0"/>
        <v>0</v>
      </c>
      <c r="H11" s="38">
        <f t="shared" si="0"/>
        <v>0</v>
      </c>
      <c r="I11" s="38">
        <f t="shared" si="0"/>
        <v>0</v>
      </c>
      <c r="J11" s="38">
        <f t="shared" si="0"/>
        <v>0</v>
      </c>
      <c r="K11" s="38">
        <f t="shared" si="0"/>
        <v>0</v>
      </c>
      <c r="L11" s="237" t="s">
        <v>1246</v>
      </c>
      <c r="M11" s="26"/>
    </row>
    <row r="12" spans="1:13" x14ac:dyDescent="0.2">
      <c r="A12" s="41" t="str">
        <f>"Enter each tax settlement received July 1, "&amp;RIGHT(Instructions!P2,4)&amp;" through June 30, "&amp;RIGHT(Instructions!P1,4)</f>
        <v>Enter each tax settlement received July 1, 2013 through June 30, 2014</v>
      </c>
      <c r="G12" s="237" t="s">
        <v>1246</v>
      </c>
    </row>
    <row r="13" spans="1:13" x14ac:dyDescent="0.2">
      <c r="A13" s="45" t="s">
        <v>620</v>
      </c>
      <c r="F13" s="237" t="s">
        <v>1246</v>
      </c>
    </row>
    <row r="14" spans="1:13" x14ac:dyDescent="0.2">
      <c r="A14" s="39" t="s">
        <v>606</v>
      </c>
      <c r="F14" s="237" t="s">
        <v>1246</v>
      </c>
    </row>
    <row r="15" spans="1:13" x14ac:dyDescent="0.2">
      <c r="A15" s="39" t="s">
        <v>596</v>
      </c>
      <c r="F15" s="237" t="s">
        <v>1246</v>
      </c>
    </row>
    <row r="16" spans="1:13" x14ac:dyDescent="0.2">
      <c r="A16" s="39" t="s">
        <v>597</v>
      </c>
      <c r="F16" s="237" t="s">
        <v>1246</v>
      </c>
    </row>
    <row r="17" spans="1:19" x14ac:dyDescent="0.2">
      <c r="A17" s="237" t="s">
        <v>1240</v>
      </c>
      <c r="F17" s="237" t="s">
        <v>1246</v>
      </c>
    </row>
    <row r="18" spans="1:19" x14ac:dyDescent="0.2">
      <c r="A18" s="48" t="s">
        <v>603</v>
      </c>
      <c r="G18" s="237" t="s">
        <v>1246</v>
      </c>
    </row>
    <row r="19" spans="1:19" x14ac:dyDescent="0.2">
      <c r="A19" s="39" t="s">
        <v>621</v>
      </c>
      <c r="H19" s="237" t="s">
        <v>1246</v>
      </c>
    </row>
    <row r="20" spans="1:19" x14ac:dyDescent="0.2">
      <c r="A20" s="39" t="s">
        <v>622</v>
      </c>
      <c r="E20" s="237" t="s">
        <v>1246</v>
      </c>
    </row>
    <row r="21" spans="1:19" s="47" customFormat="1" x14ac:dyDescent="0.2">
      <c r="A21" s="237" t="s">
        <v>1242</v>
      </c>
      <c r="B21" s="237" t="s">
        <v>1242</v>
      </c>
      <c r="C21" s="237" t="s">
        <v>1242</v>
      </c>
      <c r="D21" s="237" t="s">
        <v>1242</v>
      </c>
      <c r="E21" s="47" t="s">
        <v>592</v>
      </c>
      <c r="F21" s="47" t="s">
        <v>592</v>
      </c>
      <c r="G21" s="47" t="s">
        <v>592</v>
      </c>
      <c r="H21" s="47" t="s">
        <v>592</v>
      </c>
      <c r="I21" s="47" t="s">
        <v>592</v>
      </c>
      <c r="J21" s="47" t="s">
        <v>592</v>
      </c>
      <c r="K21" s="47" t="s">
        <v>592</v>
      </c>
      <c r="L21" s="47" t="s">
        <v>592</v>
      </c>
      <c r="M21" s="47" t="s">
        <v>592</v>
      </c>
      <c r="N21" s="47" t="s">
        <v>592</v>
      </c>
      <c r="O21" s="47" t="s">
        <v>592</v>
      </c>
      <c r="P21" s="47" t="s">
        <v>592</v>
      </c>
      <c r="Q21" s="47" t="s">
        <v>592</v>
      </c>
      <c r="R21" s="47" t="s">
        <v>592</v>
      </c>
      <c r="S21" s="47" t="s">
        <v>592</v>
      </c>
    </row>
    <row r="22" spans="1:19" s="47" customFormat="1" x14ac:dyDescent="0.2">
      <c r="A22" s="237" t="s">
        <v>1242</v>
      </c>
      <c r="B22" s="237" t="s">
        <v>1242</v>
      </c>
      <c r="C22" s="237" t="s">
        <v>1242</v>
      </c>
      <c r="D22" s="47" t="s">
        <v>390</v>
      </c>
      <c r="E22" s="47" t="s">
        <v>581</v>
      </c>
      <c r="F22" s="47" t="s">
        <v>581</v>
      </c>
      <c r="G22" s="47" t="s">
        <v>581</v>
      </c>
      <c r="H22" s="47" t="s">
        <v>581</v>
      </c>
      <c r="I22" s="47" t="s">
        <v>581</v>
      </c>
      <c r="J22" s="47" t="s">
        <v>581</v>
      </c>
      <c r="K22" s="47" t="s">
        <v>581</v>
      </c>
      <c r="L22" s="47" t="s">
        <v>581</v>
      </c>
      <c r="M22" s="47" t="s">
        <v>581</v>
      </c>
      <c r="N22" s="47" t="s">
        <v>581</v>
      </c>
      <c r="O22" s="47" t="s">
        <v>581</v>
      </c>
      <c r="P22" s="47" t="s">
        <v>581</v>
      </c>
      <c r="Q22" s="47" t="s">
        <v>581</v>
      </c>
      <c r="R22" s="47" t="s">
        <v>581</v>
      </c>
      <c r="S22" s="47" t="s">
        <v>581</v>
      </c>
    </row>
    <row r="23" spans="1:19" x14ac:dyDescent="0.2">
      <c r="F23" s="47"/>
      <c r="G23" s="47"/>
    </row>
    <row r="24" spans="1:19" x14ac:dyDescent="0.2">
      <c r="A24" s="49" t="s">
        <v>588</v>
      </c>
      <c r="C24" s="50" t="str">
        <f>Instructions!P1</f>
        <v>Pay 2014</v>
      </c>
      <c r="D24" s="42">
        <f>SUM(E24:S24)</f>
        <v>0</v>
      </c>
      <c r="E24" s="28">
        <v>0</v>
      </c>
      <c r="F24" s="28">
        <v>0</v>
      </c>
      <c r="G24" s="28">
        <v>0</v>
      </c>
      <c r="H24" s="28">
        <v>0</v>
      </c>
      <c r="I24" s="28">
        <v>0</v>
      </c>
      <c r="J24" s="28">
        <v>0</v>
      </c>
      <c r="K24" s="28">
        <v>0</v>
      </c>
      <c r="L24" s="28">
        <v>0</v>
      </c>
      <c r="M24" s="28">
        <v>0</v>
      </c>
      <c r="N24" s="28">
        <v>0</v>
      </c>
      <c r="O24" s="28">
        <v>0</v>
      </c>
      <c r="P24" s="28">
        <v>0</v>
      </c>
      <c r="Q24" s="28">
        <v>0</v>
      </c>
      <c r="R24" s="28">
        <v>0</v>
      </c>
      <c r="S24" s="28">
        <v>0</v>
      </c>
    </row>
    <row r="25" spans="1:19" x14ac:dyDescent="0.2">
      <c r="A25" s="237" t="s">
        <v>1242</v>
      </c>
      <c r="B25" s="237" t="s">
        <v>1242</v>
      </c>
      <c r="C25" s="50" t="str">
        <f>Instructions!P2</f>
        <v>Pay 2013</v>
      </c>
      <c r="D25" s="42">
        <f t="shared" ref="D25:D35" si="1">SUM(E25:S25)</f>
        <v>0</v>
      </c>
      <c r="E25" s="28">
        <v>0</v>
      </c>
      <c r="F25" s="28">
        <v>0</v>
      </c>
      <c r="G25" s="28">
        <v>0</v>
      </c>
      <c r="H25" s="28">
        <v>0</v>
      </c>
      <c r="I25" s="28">
        <v>0</v>
      </c>
      <c r="J25" s="28">
        <v>0</v>
      </c>
      <c r="K25" s="28">
        <v>0</v>
      </c>
      <c r="L25" s="28">
        <v>0</v>
      </c>
      <c r="M25" s="28">
        <v>0</v>
      </c>
      <c r="N25" s="28">
        <v>0</v>
      </c>
      <c r="O25" s="28">
        <v>0</v>
      </c>
      <c r="P25" s="28">
        <v>0</v>
      </c>
      <c r="Q25" s="28">
        <v>0</v>
      </c>
      <c r="R25" s="28">
        <v>0</v>
      </c>
      <c r="S25" s="28">
        <v>0</v>
      </c>
    </row>
    <row r="26" spans="1:19" x14ac:dyDescent="0.2">
      <c r="A26" s="237" t="s">
        <v>1242</v>
      </c>
      <c r="B26" s="237" t="s">
        <v>1242</v>
      </c>
      <c r="C26" s="50" t="str">
        <f>Instructions!P3</f>
        <v>Pay 2012</v>
      </c>
      <c r="D26" s="42">
        <f t="shared" si="1"/>
        <v>0</v>
      </c>
      <c r="E26" s="28">
        <v>0</v>
      </c>
      <c r="F26" s="28">
        <v>0</v>
      </c>
      <c r="G26" s="28">
        <v>0</v>
      </c>
      <c r="H26" s="28">
        <v>0</v>
      </c>
      <c r="I26" s="28">
        <v>0</v>
      </c>
      <c r="J26" s="28">
        <v>0</v>
      </c>
      <c r="K26" s="28">
        <v>0</v>
      </c>
      <c r="L26" s="28">
        <v>0</v>
      </c>
      <c r="M26" s="28">
        <v>0</v>
      </c>
      <c r="N26" s="28">
        <v>0</v>
      </c>
      <c r="O26" s="28">
        <v>0</v>
      </c>
      <c r="P26" s="28">
        <v>0</v>
      </c>
      <c r="Q26" s="28">
        <v>0</v>
      </c>
      <c r="R26" s="28">
        <v>0</v>
      </c>
      <c r="S26" s="28">
        <v>0</v>
      </c>
    </row>
    <row r="27" spans="1:19" x14ac:dyDescent="0.2">
      <c r="A27" s="237" t="s">
        <v>1242</v>
      </c>
      <c r="B27" s="237" t="s">
        <v>1242</v>
      </c>
      <c r="C27" s="50" t="str">
        <f>Instructions!P4</f>
        <v>Pay 2011</v>
      </c>
      <c r="D27" s="42">
        <f t="shared" si="1"/>
        <v>0</v>
      </c>
      <c r="E27" s="28">
        <v>0</v>
      </c>
      <c r="F27" s="28">
        <v>0</v>
      </c>
      <c r="G27" s="28">
        <v>0</v>
      </c>
      <c r="H27" s="28">
        <v>0</v>
      </c>
      <c r="I27" s="28">
        <v>0</v>
      </c>
      <c r="J27" s="28">
        <v>0</v>
      </c>
      <c r="K27" s="28">
        <v>0</v>
      </c>
      <c r="L27" s="28">
        <v>0</v>
      </c>
      <c r="M27" s="28">
        <v>0</v>
      </c>
      <c r="N27" s="28">
        <v>0</v>
      </c>
      <c r="O27" s="28">
        <v>0</v>
      </c>
      <c r="P27" s="28">
        <v>0</v>
      </c>
      <c r="Q27" s="28">
        <v>0</v>
      </c>
      <c r="R27" s="28">
        <v>0</v>
      </c>
      <c r="S27" s="28">
        <v>0</v>
      </c>
    </row>
    <row r="28" spans="1:19" x14ac:dyDescent="0.2">
      <c r="A28" s="237" t="s">
        <v>1242</v>
      </c>
      <c r="B28" s="237" t="s">
        <v>1242</v>
      </c>
      <c r="C28" s="50" t="str">
        <f>Instructions!P5</f>
        <v>Pay 2010</v>
      </c>
      <c r="D28" s="42">
        <f t="shared" si="1"/>
        <v>0</v>
      </c>
      <c r="E28" s="28">
        <v>0</v>
      </c>
      <c r="F28" s="28">
        <v>0</v>
      </c>
      <c r="G28" s="28">
        <v>0</v>
      </c>
      <c r="H28" s="28">
        <v>0</v>
      </c>
      <c r="I28" s="28">
        <v>0</v>
      </c>
      <c r="J28" s="28">
        <v>0</v>
      </c>
      <c r="K28" s="28">
        <v>0</v>
      </c>
      <c r="L28" s="28">
        <v>0</v>
      </c>
      <c r="M28" s="28">
        <v>0</v>
      </c>
      <c r="N28" s="28">
        <v>0</v>
      </c>
      <c r="O28" s="28">
        <v>0</v>
      </c>
      <c r="P28" s="28">
        <v>0</v>
      </c>
      <c r="Q28" s="28">
        <v>0</v>
      </c>
      <c r="R28" s="28">
        <v>0</v>
      </c>
      <c r="S28" s="28">
        <v>0</v>
      </c>
    </row>
    <row r="29" spans="1:19" x14ac:dyDescent="0.2">
      <c r="A29" s="237" t="s">
        <v>1242</v>
      </c>
      <c r="B29" s="237" t="s">
        <v>1242</v>
      </c>
      <c r="C29" s="50" t="str">
        <f>Instructions!P6</f>
        <v>Pay 2009</v>
      </c>
      <c r="D29" s="42">
        <f t="shared" si="1"/>
        <v>0</v>
      </c>
      <c r="E29" s="28">
        <v>0</v>
      </c>
      <c r="F29" s="28">
        <v>0</v>
      </c>
      <c r="G29" s="28">
        <v>0</v>
      </c>
      <c r="H29" s="28">
        <v>0</v>
      </c>
      <c r="I29" s="28">
        <v>0</v>
      </c>
      <c r="J29" s="28">
        <v>0</v>
      </c>
      <c r="K29" s="28">
        <v>0</v>
      </c>
      <c r="L29" s="28">
        <v>0</v>
      </c>
      <c r="M29" s="28">
        <v>0</v>
      </c>
      <c r="N29" s="28">
        <v>0</v>
      </c>
      <c r="O29" s="28">
        <v>0</v>
      </c>
      <c r="P29" s="28">
        <v>0</v>
      </c>
      <c r="Q29" s="28">
        <v>0</v>
      </c>
      <c r="R29" s="28">
        <v>0</v>
      </c>
      <c r="S29" s="28">
        <v>0</v>
      </c>
    </row>
    <row r="30" spans="1:19" x14ac:dyDescent="0.2">
      <c r="A30" s="237" t="s">
        <v>1242</v>
      </c>
      <c r="B30" s="237" t="s">
        <v>1242</v>
      </c>
      <c r="C30" s="50" t="str">
        <f>Instructions!P7</f>
        <v>Pay 2008</v>
      </c>
      <c r="D30" s="42">
        <f t="shared" si="1"/>
        <v>0</v>
      </c>
      <c r="E30" s="28">
        <v>0</v>
      </c>
      <c r="F30" s="28">
        <v>0</v>
      </c>
      <c r="G30" s="28">
        <v>0</v>
      </c>
      <c r="H30" s="28">
        <v>0</v>
      </c>
      <c r="I30" s="28">
        <v>0</v>
      </c>
      <c r="J30" s="28">
        <v>0</v>
      </c>
      <c r="K30" s="28">
        <v>0</v>
      </c>
      <c r="L30" s="28">
        <v>0</v>
      </c>
      <c r="M30" s="28">
        <v>0</v>
      </c>
      <c r="N30" s="28">
        <v>0</v>
      </c>
      <c r="O30" s="28">
        <v>0</v>
      </c>
      <c r="P30" s="28">
        <v>0</v>
      </c>
      <c r="Q30" s="28">
        <v>0</v>
      </c>
      <c r="R30" s="28">
        <v>0</v>
      </c>
      <c r="S30" s="28">
        <v>0</v>
      </c>
    </row>
    <row r="31" spans="1:19" x14ac:dyDescent="0.2">
      <c r="A31" s="237" t="s">
        <v>1242</v>
      </c>
      <c r="B31" s="237" t="s">
        <v>1242</v>
      </c>
      <c r="C31" s="50" t="str">
        <f>Instructions!P8</f>
        <v>Pay 2007</v>
      </c>
      <c r="D31" s="42">
        <f t="shared" si="1"/>
        <v>0</v>
      </c>
      <c r="E31" s="28">
        <v>0</v>
      </c>
      <c r="F31" s="28">
        <v>0</v>
      </c>
      <c r="G31" s="28">
        <v>0</v>
      </c>
      <c r="H31" s="28">
        <v>0</v>
      </c>
      <c r="I31" s="28">
        <v>0</v>
      </c>
      <c r="J31" s="28">
        <v>0</v>
      </c>
      <c r="K31" s="28">
        <v>0</v>
      </c>
      <c r="L31" s="28">
        <v>0</v>
      </c>
      <c r="M31" s="28">
        <v>0</v>
      </c>
      <c r="N31" s="28">
        <v>0</v>
      </c>
      <c r="O31" s="28">
        <v>0</v>
      </c>
      <c r="P31" s="28">
        <v>0</v>
      </c>
      <c r="Q31" s="28">
        <v>0</v>
      </c>
      <c r="R31" s="28">
        <v>0</v>
      </c>
      <c r="S31" s="28">
        <v>0</v>
      </c>
    </row>
    <row r="32" spans="1:19" x14ac:dyDescent="0.2">
      <c r="A32" s="39" t="s">
        <v>589</v>
      </c>
      <c r="C32" s="50" t="str">
        <f>Instructions!P1</f>
        <v>Pay 2014</v>
      </c>
      <c r="D32" s="42">
        <f t="shared" si="1"/>
        <v>0</v>
      </c>
      <c r="E32" s="28">
        <v>0</v>
      </c>
      <c r="F32" s="28">
        <v>0</v>
      </c>
      <c r="G32" s="28">
        <v>0</v>
      </c>
      <c r="H32" s="28">
        <v>0</v>
      </c>
      <c r="I32" s="28">
        <v>0</v>
      </c>
      <c r="J32" s="28">
        <v>0</v>
      </c>
      <c r="K32" s="28">
        <v>0</v>
      </c>
      <c r="L32" s="28">
        <v>0</v>
      </c>
      <c r="M32" s="28">
        <v>0</v>
      </c>
      <c r="N32" s="28">
        <v>0</v>
      </c>
      <c r="O32" s="28">
        <v>0</v>
      </c>
      <c r="P32" s="28">
        <v>0</v>
      </c>
      <c r="Q32" s="28">
        <v>0</v>
      </c>
      <c r="R32" s="28">
        <v>0</v>
      </c>
      <c r="S32" s="28">
        <v>0</v>
      </c>
    </row>
    <row r="33" spans="1:19" x14ac:dyDescent="0.2">
      <c r="A33" s="237" t="s">
        <v>1242</v>
      </c>
      <c r="B33" s="237" t="s">
        <v>1242</v>
      </c>
      <c r="C33" s="50" t="str">
        <f>Instructions!P2</f>
        <v>Pay 2013</v>
      </c>
      <c r="D33" s="42">
        <f t="shared" si="1"/>
        <v>0</v>
      </c>
      <c r="E33" s="28">
        <v>0</v>
      </c>
      <c r="F33" s="28">
        <v>0</v>
      </c>
      <c r="G33" s="28">
        <v>0</v>
      </c>
      <c r="H33" s="28">
        <v>0</v>
      </c>
      <c r="I33" s="28">
        <v>0</v>
      </c>
      <c r="J33" s="28">
        <v>0</v>
      </c>
      <c r="K33" s="28">
        <v>0</v>
      </c>
      <c r="L33" s="28">
        <v>0</v>
      </c>
      <c r="M33" s="28">
        <v>0</v>
      </c>
      <c r="N33" s="28">
        <v>0</v>
      </c>
      <c r="O33" s="28">
        <v>0</v>
      </c>
      <c r="P33" s="28">
        <v>0</v>
      </c>
      <c r="Q33" s="28">
        <v>0</v>
      </c>
      <c r="R33" s="28">
        <v>0</v>
      </c>
      <c r="S33" s="28">
        <v>0</v>
      </c>
    </row>
    <row r="34" spans="1:19" x14ac:dyDescent="0.2">
      <c r="A34" s="39" t="s">
        <v>594</v>
      </c>
      <c r="B34" s="50"/>
      <c r="C34" s="50" t="str">
        <f>Instructions!P1</f>
        <v>Pay 2014</v>
      </c>
      <c r="D34" s="42">
        <f t="shared" si="1"/>
        <v>0</v>
      </c>
      <c r="E34" s="28">
        <v>0</v>
      </c>
      <c r="F34" s="28">
        <v>0</v>
      </c>
      <c r="G34" s="28">
        <v>0</v>
      </c>
      <c r="H34" s="28">
        <v>0</v>
      </c>
      <c r="I34" s="28">
        <v>0</v>
      </c>
      <c r="J34" s="28">
        <v>0</v>
      </c>
      <c r="K34" s="28">
        <v>0</v>
      </c>
      <c r="L34" s="28">
        <v>0</v>
      </c>
      <c r="M34" s="28">
        <v>0</v>
      </c>
      <c r="N34" s="28">
        <v>0</v>
      </c>
      <c r="O34" s="28">
        <v>0</v>
      </c>
      <c r="P34" s="28">
        <v>0</v>
      </c>
      <c r="Q34" s="28">
        <v>0</v>
      </c>
      <c r="R34" s="28">
        <v>0</v>
      </c>
      <c r="S34" s="28">
        <v>0</v>
      </c>
    </row>
    <row r="35" spans="1:19" x14ac:dyDescent="0.2">
      <c r="A35" s="237" t="s">
        <v>1242</v>
      </c>
      <c r="B35" s="237" t="s">
        <v>1242</v>
      </c>
      <c r="C35" s="50" t="str">
        <f>Instructions!P2</f>
        <v>Pay 2013</v>
      </c>
      <c r="D35" s="42">
        <f t="shared" si="1"/>
        <v>0</v>
      </c>
      <c r="E35" s="28">
        <v>0</v>
      </c>
      <c r="F35" s="28">
        <v>0</v>
      </c>
      <c r="G35" s="28">
        <v>0</v>
      </c>
      <c r="H35" s="28">
        <v>0</v>
      </c>
      <c r="I35" s="28">
        <v>0</v>
      </c>
      <c r="J35" s="28">
        <v>0</v>
      </c>
      <c r="K35" s="28">
        <v>0</v>
      </c>
      <c r="L35" s="28">
        <v>0</v>
      </c>
      <c r="M35" s="28">
        <v>0</v>
      </c>
      <c r="N35" s="28">
        <v>0</v>
      </c>
      <c r="O35" s="28">
        <v>0</v>
      </c>
      <c r="P35" s="28">
        <v>0</v>
      </c>
      <c r="Q35" s="28">
        <v>0</v>
      </c>
      <c r="R35" s="28">
        <v>0</v>
      </c>
      <c r="S35" s="28">
        <v>0</v>
      </c>
    </row>
    <row r="36" spans="1:19" x14ac:dyDescent="0.2">
      <c r="A36" s="39" t="s">
        <v>590</v>
      </c>
      <c r="E36" s="28">
        <v>0</v>
      </c>
      <c r="F36" s="28">
        <v>0</v>
      </c>
      <c r="G36" s="28">
        <v>0</v>
      </c>
      <c r="H36" s="28">
        <v>0</v>
      </c>
      <c r="I36" s="28">
        <v>0</v>
      </c>
      <c r="J36" s="28">
        <v>0</v>
      </c>
      <c r="K36" s="28">
        <v>0</v>
      </c>
      <c r="L36" s="28">
        <v>0</v>
      </c>
      <c r="M36" s="28">
        <v>0</v>
      </c>
      <c r="N36" s="28">
        <v>0</v>
      </c>
      <c r="O36" s="28">
        <v>0</v>
      </c>
      <c r="P36" s="28">
        <v>0</v>
      </c>
      <c r="Q36" s="28">
        <v>0</v>
      </c>
      <c r="R36" s="28">
        <v>0</v>
      </c>
      <c r="S36" s="28">
        <v>0</v>
      </c>
    </row>
    <row r="37" spans="1:19" x14ac:dyDescent="0.2">
      <c r="A37" s="237" t="s">
        <v>1240</v>
      </c>
      <c r="F37" s="47"/>
      <c r="G37" s="47"/>
    </row>
    <row r="38" spans="1:19" x14ac:dyDescent="0.2">
      <c r="A38" s="237" t="s">
        <v>1242</v>
      </c>
      <c r="B38" s="48" t="s">
        <v>591</v>
      </c>
      <c r="D38" s="43">
        <f>SUM(D24:D37)</f>
        <v>0</v>
      </c>
      <c r="E38" s="43">
        <f>SUM(E24:E37)</f>
        <v>0</v>
      </c>
      <c r="F38" s="43">
        <f t="shared" ref="F38:S38" si="2">SUM(F24:F37)</f>
        <v>0</v>
      </c>
      <c r="G38" s="43">
        <f t="shared" si="2"/>
        <v>0</v>
      </c>
      <c r="H38" s="43">
        <f t="shared" si="2"/>
        <v>0</v>
      </c>
      <c r="I38" s="43">
        <f t="shared" si="2"/>
        <v>0</v>
      </c>
      <c r="J38" s="43">
        <f t="shared" si="2"/>
        <v>0</v>
      </c>
      <c r="K38" s="43">
        <f t="shared" si="2"/>
        <v>0</v>
      </c>
      <c r="L38" s="43">
        <f t="shared" si="2"/>
        <v>0</v>
      </c>
      <c r="M38" s="43">
        <f t="shared" si="2"/>
        <v>0</v>
      </c>
      <c r="N38" s="43">
        <f t="shared" si="2"/>
        <v>0</v>
      </c>
      <c r="O38" s="43">
        <f t="shared" si="2"/>
        <v>0</v>
      </c>
      <c r="P38" s="43">
        <f t="shared" si="2"/>
        <v>0</v>
      </c>
      <c r="Q38" s="43">
        <f t="shared" si="2"/>
        <v>0</v>
      </c>
      <c r="R38" s="43">
        <f t="shared" si="2"/>
        <v>0</v>
      </c>
      <c r="S38" s="43">
        <f t="shared" si="2"/>
        <v>0</v>
      </c>
    </row>
    <row r="39" spans="1:19" ht="12" thickBot="1" x14ac:dyDescent="0.25">
      <c r="A39" s="49" t="s">
        <v>600</v>
      </c>
    </row>
    <row r="40" spans="1:19" ht="12" thickTop="1" x14ac:dyDescent="0.2">
      <c r="A40" s="237" t="s">
        <v>1242</v>
      </c>
      <c r="B40" s="50" t="str">
        <f>Instructions!P1</f>
        <v>Pay 2014</v>
      </c>
      <c r="C40" s="50" t="s">
        <v>504</v>
      </c>
      <c r="D40" s="42">
        <f>SUM(E40:S40)</f>
        <v>0</v>
      </c>
      <c r="E40" s="117">
        <f>ROUND(IF($D$11=0,0,E$24/$D$11*$D6),2)</f>
        <v>0</v>
      </c>
      <c r="F40" s="118">
        <f>ROUND(IF($D$11=0,0,F$24/$D$11*$D6),2)</f>
        <v>0</v>
      </c>
      <c r="G40" s="118">
        <f>ROUND(IF($D$11=0,0,G$24/$D$11*$D6),2)</f>
        <v>0</v>
      </c>
      <c r="H40" s="118">
        <f>ROUND(IF($D$11=0,0,H$24/$D$11*$D6),2)</f>
        <v>0</v>
      </c>
      <c r="I40" s="118">
        <f>ROUND(IF($D$11=0,0,I$24/$D$11*$D6),2)</f>
        <v>0</v>
      </c>
      <c r="J40" s="118">
        <f>ROUND(IF($D$11=0,0,J$24/$D$11*$D6),2)</f>
        <v>0</v>
      </c>
      <c r="K40" s="118">
        <f>ROUND(IF($D$11=0,0,K$24/$D$11*$D6),2)</f>
        <v>0</v>
      </c>
      <c r="L40" s="118">
        <f>ROUND(IF($D$11=0,0,L$24/$D$11*$D6),2)</f>
        <v>0</v>
      </c>
      <c r="M40" s="118">
        <f>ROUND(IF($D$11=0,0,M$24/$D$11*$D6),2)</f>
        <v>0</v>
      </c>
      <c r="N40" s="118">
        <f>ROUND(IF($D$11=0,0,N$24/$D$11*$D6),2)</f>
        <v>0</v>
      </c>
      <c r="O40" s="118">
        <f>ROUND(IF($D$11=0,0,O$24/$D$11*$D6),2)</f>
        <v>0</v>
      </c>
      <c r="P40" s="118">
        <f>ROUND(IF($D$11=0,0,P$24/$D$11*$D6),2)</f>
        <v>0</v>
      </c>
      <c r="Q40" s="118">
        <f>ROUND(IF($D$11=0,0,Q$24/$D$11*$D6),2)</f>
        <v>0</v>
      </c>
      <c r="R40" s="118">
        <f>ROUND(IF($D$11=0,0,R$24/$D$11*$D6),2)</f>
        <v>0</v>
      </c>
      <c r="S40" s="119">
        <f>ROUND(IF($D$11=0,0,S$24/$D$11*$D6),2)</f>
        <v>0</v>
      </c>
    </row>
    <row r="41" spans="1:19" x14ac:dyDescent="0.2">
      <c r="A41" s="237" t="s">
        <v>1242</v>
      </c>
      <c r="B41" s="50" t="str">
        <f>Instructions!P1</f>
        <v>Pay 2014</v>
      </c>
      <c r="C41" s="50" t="s">
        <v>505</v>
      </c>
      <c r="D41" s="42">
        <f>SUM(E41:S41)</f>
        <v>0</v>
      </c>
      <c r="E41" s="120">
        <f>ROUND(IF($D$11=0,0,E$24/$D$11*$D7),2)</f>
        <v>0</v>
      </c>
      <c r="F41" s="51">
        <f>ROUND(IF($D$11=0,0,F$24/$D$11*$D7),2)</f>
        <v>0</v>
      </c>
      <c r="G41" s="51">
        <f>ROUND(IF($D$11=0,0,G$24/$D$11*$D7),2)</f>
        <v>0</v>
      </c>
      <c r="H41" s="51">
        <f>ROUND(IF($D$11=0,0,H$24/$D$11*$D7),2)</f>
        <v>0</v>
      </c>
      <c r="I41" s="51">
        <f>ROUND(IF($D$11=0,0,I$24/$D$11*$D7),2)</f>
        <v>0</v>
      </c>
      <c r="J41" s="51">
        <f>ROUND(IF($D$11=0,0,J$24/$D$11*$D7),2)</f>
        <v>0</v>
      </c>
      <c r="K41" s="51">
        <f>ROUND(IF($D$11=0,0,K$24/$D$11*$D7),2)</f>
        <v>0</v>
      </c>
      <c r="L41" s="51">
        <f>ROUND(IF($D$11=0,0,L$24/$D$11*$D7),2)</f>
        <v>0</v>
      </c>
      <c r="M41" s="51">
        <f>ROUND(IF($D$11=0,0,M$24/$D$11*$D7),2)</f>
        <v>0</v>
      </c>
      <c r="N41" s="51">
        <f>ROUND(IF($D$11=0,0,N$24/$D$11*$D7),2)</f>
        <v>0</v>
      </c>
      <c r="O41" s="51">
        <f>ROUND(IF($D$11=0,0,O$24/$D$11*$D7),2)</f>
        <v>0</v>
      </c>
      <c r="P41" s="51">
        <f>ROUND(IF($D$11=0,0,P$24/$D$11*$D7),2)</f>
        <v>0</v>
      </c>
      <c r="Q41" s="51">
        <f>ROUND(IF($D$11=0,0,Q$24/$D$11*$D7),2)</f>
        <v>0</v>
      </c>
      <c r="R41" s="51">
        <f>ROUND(IF($D$11=0,0,R$24/$D$11*$D7),2)</f>
        <v>0</v>
      </c>
      <c r="S41" s="121">
        <f>ROUND(IF($D$11=0,0,S$24/$D$11*$D7),2)</f>
        <v>0</v>
      </c>
    </row>
    <row r="42" spans="1:19" x14ac:dyDescent="0.2">
      <c r="A42" s="237" t="s">
        <v>1242</v>
      </c>
      <c r="B42" s="50" t="str">
        <f>Instructions!P1</f>
        <v>Pay 2014</v>
      </c>
      <c r="C42" s="50" t="s">
        <v>586</v>
      </c>
      <c r="D42" s="42">
        <f>SUM(E42:S42)</f>
        <v>0</v>
      </c>
      <c r="E42" s="120">
        <f>ROUND(IF($D$11=0,0,E$24/$D$11*$D8),2)</f>
        <v>0</v>
      </c>
      <c r="F42" s="51">
        <f>ROUND(IF($D$11=0,0,F$24/$D$11*$D8),2)</f>
        <v>0</v>
      </c>
      <c r="G42" s="51">
        <f>ROUND(IF($D$11=0,0,G$24/$D$11*$D8),2)</f>
        <v>0</v>
      </c>
      <c r="H42" s="51">
        <f>ROUND(IF($D$11=0,0,H$24/$D$11*$D8),2)</f>
        <v>0</v>
      </c>
      <c r="I42" s="51">
        <f>ROUND(IF($D$11=0,0,I$24/$D$11*$D8),2)</f>
        <v>0</v>
      </c>
      <c r="J42" s="51">
        <f>ROUND(IF($D$11=0,0,J$24/$D$11*$D8),2)</f>
        <v>0</v>
      </c>
      <c r="K42" s="51">
        <f>ROUND(IF($D$11=0,0,K$24/$D$11*$D8),2)</f>
        <v>0</v>
      </c>
      <c r="L42" s="51">
        <f>ROUND(IF($D$11=0,0,L$24/$D$11*$D8),2)</f>
        <v>0</v>
      </c>
      <c r="M42" s="51">
        <f>ROUND(IF($D$11=0,0,M$24/$D$11*$D8),2)</f>
        <v>0</v>
      </c>
      <c r="N42" s="51">
        <f>ROUND(IF($D$11=0,0,N$24/$D$11*$D8),2)</f>
        <v>0</v>
      </c>
      <c r="O42" s="51">
        <f>ROUND(IF($D$11=0,0,O$24/$D$11*$D8),2)</f>
        <v>0</v>
      </c>
      <c r="P42" s="51">
        <f>ROUND(IF($D$11=0,0,P$24/$D$11*$D8),2)</f>
        <v>0</v>
      </c>
      <c r="Q42" s="51">
        <f>ROUND(IF($D$11=0,0,Q$24/$D$11*$D8),2)</f>
        <v>0</v>
      </c>
      <c r="R42" s="51">
        <f>ROUND(IF($D$11=0,0,R$24/$D$11*$D8),2)</f>
        <v>0</v>
      </c>
      <c r="S42" s="121">
        <f>ROUND(IF($D$11=0,0,S$24/$D$11*$D8),2)</f>
        <v>0</v>
      </c>
    </row>
    <row r="43" spans="1:19" x14ac:dyDescent="0.2">
      <c r="A43" s="237" t="s">
        <v>1242</v>
      </c>
      <c r="B43" s="50" t="str">
        <f>Instructions!P1</f>
        <v>Pay 2014</v>
      </c>
      <c r="C43" s="50" t="s">
        <v>3</v>
      </c>
      <c r="D43" s="42">
        <f>SUM(E43:S43)</f>
        <v>0</v>
      </c>
      <c r="E43" s="120">
        <f>ROUND(IF($D$11=0,0,E$24/$D$11*$D9),2)</f>
        <v>0</v>
      </c>
      <c r="F43" s="51">
        <f>ROUND(IF($D$11=0,0,F$24/$D$11*$D9),2)</f>
        <v>0</v>
      </c>
      <c r="G43" s="51">
        <f>ROUND(IF($D$11=0,0,G$24/$D$11*$D9),2)</f>
        <v>0</v>
      </c>
      <c r="H43" s="51">
        <f>ROUND(IF($D$11=0,0,H$24/$D$11*$D9),2)</f>
        <v>0</v>
      </c>
      <c r="I43" s="51">
        <f>ROUND(IF($D$11=0,0,I$24/$D$11*$D9),2)</f>
        <v>0</v>
      </c>
      <c r="J43" s="51">
        <f>ROUND(IF($D$11=0,0,J$24/$D$11*$D9),2)</f>
        <v>0</v>
      </c>
      <c r="K43" s="51">
        <f>ROUND(IF($D$11=0,0,K$24/$D$11*$D9),2)</f>
        <v>0</v>
      </c>
      <c r="L43" s="51">
        <f>ROUND(IF($D$11=0,0,L$24/$D$11*$D9),2)</f>
        <v>0</v>
      </c>
      <c r="M43" s="51">
        <f>ROUND(IF($D$11=0,0,M$24/$D$11*$D9),2)</f>
        <v>0</v>
      </c>
      <c r="N43" s="51">
        <f>ROUND(IF($D$11=0,0,N$24/$D$11*$D9),2)</f>
        <v>0</v>
      </c>
      <c r="O43" s="51">
        <f>ROUND(IF($D$11=0,0,O$24/$D$11*$D9),2)</f>
        <v>0</v>
      </c>
      <c r="P43" s="51">
        <f>ROUND(IF($D$11=0,0,P$24/$D$11*$D9),2)</f>
        <v>0</v>
      </c>
      <c r="Q43" s="51">
        <f>ROUND(IF($D$11=0,0,Q$24/$D$11*$D9),2)</f>
        <v>0</v>
      </c>
      <c r="R43" s="51">
        <f>ROUND(IF($D$11=0,0,R$24/$D$11*$D9),2)</f>
        <v>0</v>
      </c>
      <c r="S43" s="121">
        <f>ROUND(IF($D$11=0,0,S$24/$D$11*$D9),2)</f>
        <v>0</v>
      </c>
    </row>
    <row r="44" spans="1:19" x14ac:dyDescent="0.2">
      <c r="A44" s="237" t="s">
        <v>1240</v>
      </c>
      <c r="B44" s="50"/>
      <c r="C44" s="50"/>
      <c r="E44" s="120"/>
      <c r="F44" s="52"/>
      <c r="G44" s="52"/>
      <c r="H44" s="52"/>
      <c r="I44" s="52"/>
      <c r="J44" s="52"/>
      <c r="K44" s="52"/>
      <c r="L44" s="52"/>
      <c r="M44" s="52"/>
      <c r="N44" s="52"/>
      <c r="O44" s="52"/>
      <c r="P44" s="52"/>
      <c r="Q44" s="52"/>
      <c r="R44" s="52"/>
      <c r="S44" s="122"/>
    </row>
    <row r="45" spans="1:19" s="26" customFormat="1" x14ac:dyDescent="0.2">
      <c r="A45" s="237" t="s">
        <v>1242</v>
      </c>
      <c r="B45" s="237" t="s">
        <v>1242</v>
      </c>
      <c r="C45" s="53" t="s">
        <v>582</v>
      </c>
      <c r="D45" s="38">
        <f>SUM(D40:D44)</f>
        <v>0</v>
      </c>
      <c r="E45" s="123">
        <f>SUM(E40:E44)</f>
        <v>0</v>
      </c>
      <c r="F45" s="54">
        <f t="shared" ref="F45:S45" si="3">SUM(F40:F44)</f>
        <v>0</v>
      </c>
      <c r="G45" s="54">
        <f t="shared" si="3"/>
        <v>0</v>
      </c>
      <c r="H45" s="54">
        <f t="shared" si="3"/>
        <v>0</v>
      </c>
      <c r="I45" s="54">
        <f t="shared" si="3"/>
        <v>0</v>
      </c>
      <c r="J45" s="54">
        <f t="shared" si="3"/>
        <v>0</v>
      </c>
      <c r="K45" s="54">
        <f t="shared" si="3"/>
        <v>0</v>
      </c>
      <c r="L45" s="54">
        <f t="shared" si="3"/>
        <v>0</v>
      </c>
      <c r="M45" s="54">
        <f t="shared" si="3"/>
        <v>0</v>
      </c>
      <c r="N45" s="54">
        <f t="shared" si="3"/>
        <v>0</v>
      </c>
      <c r="O45" s="54">
        <f t="shared" si="3"/>
        <v>0</v>
      </c>
      <c r="P45" s="54">
        <f t="shared" si="3"/>
        <v>0</v>
      </c>
      <c r="Q45" s="54">
        <f t="shared" si="3"/>
        <v>0</v>
      </c>
      <c r="R45" s="54">
        <f t="shared" si="3"/>
        <v>0</v>
      </c>
      <c r="S45" s="124">
        <f t="shared" si="3"/>
        <v>0</v>
      </c>
    </row>
    <row r="46" spans="1:19" x14ac:dyDescent="0.2">
      <c r="A46" s="237" t="s">
        <v>1240</v>
      </c>
      <c r="B46" s="55"/>
      <c r="C46" s="55"/>
      <c r="E46" s="120"/>
      <c r="F46" s="52"/>
      <c r="G46" s="52"/>
      <c r="H46" s="52"/>
      <c r="I46" s="52"/>
      <c r="J46" s="52"/>
      <c r="K46" s="52"/>
      <c r="L46" s="52"/>
      <c r="M46" s="52"/>
      <c r="N46" s="52"/>
      <c r="O46" s="52"/>
      <c r="P46" s="52"/>
      <c r="Q46" s="52"/>
      <c r="R46" s="52"/>
      <c r="S46" s="122"/>
    </row>
    <row r="47" spans="1:19" x14ac:dyDescent="0.2">
      <c r="A47" s="237" t="s">
        <v>1240</v>
      </c>
      <c r="B47" s="55"/>
      <c r="C47" s="55"/>
      <c r="E47" s="120"/>
      <c r="F47" s="52"/>
      <c r="G47" s="52"/>
      <c r="H47" s="52"/>
      <c r="I47" s="52"/>
      <c r="J47" s="52"/>
      <c r="K47" s="52"/>
      <c r="L47" s="52"/>
      <c r="M47" s="52"/>
      <c r="N47" s="52"/>
      <c r="O47" s="52"/>
      <c r="P47" s="52"/>
      <c r="Q47" s="52"/>
      <c r="R47" s="52"/>
      <c r="S47" s="122"/>
    </row>
    <row r="48" spans="1:19" x14ac:dyDescent="0.2">
      <c r="A48" s="39" t="s">
        <v>599</v>
      </c>
      <c r="B48" s="55"/>
      <c r="C48" s="55"/>
      <c r="E48" s="120"/>
      <c r="F48" s="52"/>
      <c r="G48" s="52"/>
      <c r="H48" s="52"/>
      <c r="I48" s="52"/>
      <c r="J48" s="52"/>
      <c r="K48" s="52"/>
      <c r="L48" s="52"/>
      <c r="M48" s="52"/>
      <c r="N48" s="52"/>
      <c r="O48" s="52"/>
      <c r="P48" s="52"/>
      <c r="Q48" s="52"/>
      <c r="R48" s="52"/>
      <c r="S48" s="122"/>
    </row>
    <row r="49" spans="1:19" x14ac:dyDescent="0.2">
      <c r="A49" s="237" t="s">
        <v>1242</v>
      </c>
      <c r="B49" s="50" t="str">
        <f>Instructions!P2</f>
        <v>Pay 2013</v>
      </c>
      <c r="C49" s="50" t="s">
        <v>504</v>
      </c>
      <c r="D49" s="42">
        <f t="shared" ref="D49:D55" si="4">SUM(E49:S49)</f>
        <v>0</v>
      </c>
      <c r="E49" s="120">
        <f>ROUND(IF($E$11=0,0,E$25/$E$11*$E6),2)</f>
        <v>0</v>
      </c>
      <c r="F49" s="51">
        <f>ROUND(IF($E$11=0,0,F$25/$E$11*$E6),2)</f>
        <v>0</v>
      </c>
      <c r="G49" s="51">
        <f>ROUND(IF($E$11=0,0,G$25/$E$11*$E6),2)</f>
        <v>0</v>
      </c>
      <c r="H49" s="51">
        <f>ROUND(IF($E$11=0,0,H$25/$E$11*$E6),2)</f>
        <v>0</v>
      </c>
      <c r="I49" s="51">
        <f>ROUND(IF($E$11=0,0,I$25/$E$11*$E6),2)</f>
        <v>0</v>
      </c>
      <c r="J49" s="51">
        <f>ROUND(IF($E$11=0,0,J$25/$E$11*$E6),2)</f>
        <v>0</v>
      </c>
      <c r="K49" s="51">
        <f>ROUND(IF($E$11=0,0,K$25/$E$11*$E6),2)</f>
        <v>0</v>
      </c>
      <c r="L49" s="51">
        <f>ROUND(IF($E$11=0,0,L$25/$E$11*$E6),2)</f>
        <v>0</v>
      </c>
      <c r="M49" s="51">
        <f>ROUND(IF($E$11=0,0,M$25/$E$11*$E6),2)</f>
        <v>0</v>
      </c>
      <c r="N49" s="51">
        <f>ROUND(IF($E$11=0,0,N$25/$E$11*$E6),2)</f>
        <v>0</v>
      </c>
      <c r="O49" s="51">
        <f>ROUND(IF($E$11=0,0,O$25/$E$11*$E6),2)</f>
        <v>0</v>
      </c>
      <c r="P49" s="51">
        <f>ROUND(IF($E$11=0,0,P$25/$E$11*$E6),2)</f>
        <v>0</v>
      </c>
      <c r="Q49" s="51">
        <f>ROUND(IF($E$11=0,0,Q$25/$E$11*$E6),2)</f>
        <v>0</v>
      </c>
      <c r="R49" s="51">
        <f>ROUND(IF($E$11=0,0,R$25/$E$11*$E6),2)</f>
        <v>0</v>
      </c>
      <c r="S49" s="121">
        <f>ROUND(IF($E$11=0,0,S$25/$E$11*$E6),2)</f>
        <v>0</v>
      </c>
    </row>
    <row r="50" spans="1:19" x14ac:dyDescent="0.2">
      <c r="A50" s="237" t="s">
        <v>1242</v>
      </c>
      <c r="B50" s="50" t="str">
        <f>Instructions!P3</f>
        <v>Pay 2012</v>
      </c>
      <c r="C50" s="50" t="s">
        <v>504</v>
      </c>
      <c r="D50" s="42">
        <f t="shared" si="4"/>
        <v>0</v>
      </c>
      <c r="E50" s="120">
        <f>ROUND(IF($F$11=0,0,E$26/$F$11*$F6),2)</f>
        <v>0</v>
      </c>
      <c r="F50" s="51">
        <f>ROUND(IF($F$11=0,0,F$26/$F$11*$F6),2)</f>
        <v>0</v>
      </c>
      <c r="G50" s="51">
        <f>ROUND(IF($F$11=0,0,G$26/$F$11*$F6),2)</f>
        <v>0</v>
      </c>
      <c r="H50" s="51">
        <f>ROUND(IF($F$11=0,0,H$26/$F$11*$F6),2)</f>
        <v>0</v>
      </c>
      <c r="I50" s="51">
        <f>ROUND(IF($F$11=0,0,I$26/$F$11*$F6),2)</f>
        <v>0</v>
      </c>
      <c r="J50" s="51">
        <f>ROUND(IF($F$11=0,0,J$26/$F$11*$F6),2)</f>
        <v>0</v>
      </c>
      <c r="K50" s="51">
        <f>ROUND(IF($F$11=0,0,K$26/$F$11*$F6),2)</f>
        <v>0</v>
      </c>
      <c r="L50" s="51">
        <f>ROUND(IF($F$11=0,0,L$26/$F$11*$F6),2)</f>
        <v>0</v>
      </c>
      <c r="M50" s="51">
        <f>ROUND(IF($F$11=0,0,M$26/$F$11*$F6),2)</f>
        <v>0</v>
      </c>
      <c r="N50" s="51">
        <f>ROUND(IF($F$11=0,0,N$26/$F$11*$F6),2)</f>
        <v>0</v>
      </c>
      <c r="O50" s="51">
        <f>ROUND(IF($F$11=0,0,O$26/$F$11*$F6),2)</f>
        <v>0</v>
      </c>
      <c r="P50" s="51">
        <f>ROUND(IF($F$11=0,0,P$26/$F$11*$F6),2)</f>
        <v>0</v>
      </c>
      <c r="Q50" s="51">
        <f>ROUND(IF($F$11=0,0,Q$26/$F$11*$F6),2)</f>
        <v>0</v>
      </c>
      <c r="R50" s="51">
        <f>ROUND(IF($F$11=0,0,R$26/$F$11*$F6),2)</f>
        <v>0</v>
      </c>
      <c r="S50" s="121">
        <f>ROUND(IF($F$11=0,0,S$26/$F$11*$F6),2)</f>
        <v>0</v>
      </c>
    </row>
    <row r="51" spans="1:19" x14ac:dyDescent="0.2">
      <c r="A51" s="237" t="s">
        <v>1242</v>
      </c>
      <c r="B51" s="50" t="str">
        <f>Instructions!P4</f>
        <v>Pay 2011</v>
      </c>
      <c r="C51" s="50" t="s">
        <v>504</v>
      </c>
      <c r="D51" s="42">
        <f t="shared" si="4"/>
        <v>0</v>
      </c>
      <c r="E51" s="120">
        <f>ROUND(IF($G$11=0,0,E$27/$G$11*$G6),2)</f>
        <v>0</v>
      </c>
      <c r="F51" s="51">
        <f>ROUND(IF($G$11=0,0,F$27/$G$11*$G6),2)</f>
        <v>0</v>
      </c>
      <c r="G51" s="51">
        <f>ROUND(IF($G$11=0,0,G$27/$G$11*$G6),2)</f>
        <v>0</v>
      </c>
      <c r="H51" s="51">
        <f>ROUND(IF($G$11=0,0,H$27/$G$11*$G6),2)</f>
        <v>0</v>
      </c>
      <c r="I51" s="51">
        <f>ROUND(IF($G$11=0,0,I$27/$G$11*$G6),2)</f>
        <v>0</v>
      </c>
      <c r="J51" s="51">
        <f>ROUND(IF($G$11=0,0,J$27/$G$11*$G6),2)</f>
        <v>0</v>
      </c>
      <c r="K51" s="51">
        <f>ROUND(IF($G$11=0,0,K$27/$G$11*$G6),2)</f>
        <v>0</v>
      </c>
      <c r="L51" s="51">
        <f>ROUND(IF($G$11=0,0,L$27/$G$11*$G6),2)</f>
        <v>0</v>
      </c>
      <c r="M51" s="51">
        <f>ROUND(IF($G$11=0,0,M$27/$G$11*$G6),2)</f>
        <v>0</v>
      </c>
      <c r="N51" s="51">
        <f>ROUND(IF($G$11=0,0,N$27/$G$11*$G6),2)</f>
        <v>0</v>
      </c>
      <c r="O51" s="51">
        <f>ROUND(IF($G$11=0,0,O$27/$G$11*$G6),2)</f>
        <v>0</v>
      </c>
      <c r="P51" s="51">
        <f>ROUND(IF($G$11=0,0,P$27/$G$11*$G6),2)</f>
        <v>0</v>
      </c>
      <c r="Q51" s="51">
        <f>ROUND(IF($G$11=0,0,Q$27/$G$11*$G6),2)</f>
        <v>0</v>
      </c>
      <c r="R51" s="51">
        <f>ROUND(IF($G$11=0,0,R$27/$G$11*$G6),2)</f>
        <v>0</v>
      </c>
      <c r="S51" s="121">
        <f>ROUND(IF($G$11=0,0,S$27/$G$11*$G6),2)</f>
        <v>0</v>
      </c>
    </row>
    <row r="52" spans="1:19" x14ac:dyDescent="0.2">
      <c r="A52" s="237" t="s">
        <v>1242</v>
      </c>
      <c r="B52" s="50" t="str">
        <f>Instructions!P5</f>
        <v>Pay 2010</v>
      </c>
      <c r="C52" s="50" t="s">
        <v>504</v>
      </c>
      <c r="D52" s="42">
        <f t="shared" si="4"/>
        <v>0</v>
      </c>
      <c r="E52" s="120">
        <f>ROUND(IF($H$11=0,0,E$28/$H$11*$H6),2)</f>
        <v>0</v>
      </c>
      <c r="F52" s="51">
        <f>ROUND(IF($H$11=0,0,F$28/$H$11*$H6),2)</f>
        <v>0</v>
      </c>
      <c r="G52" s="51">
        <f>ROUND(IF($H$11=0,0,G$28/$H$11*$H6),2)</f>
        <v>0</v>
      </c>
      <c r="H52" s="51">
        <f>ROUND(IF($H$11=0,0,H$28/$H$11*$H6),2)</f>
        <v>0</v>
      </c>
      <c r="I52" s="51">
        <f>ROUND(IF($H$11=0,0,I$28/$H$11*$H6),2)</f>
        <v>0</v>
      </c>
      <c r="J52" s="51">
        <f>ROUND(IF($H$11=0,0,J$28/$H$11*$H6),2)</f>
        <v>0</v>
      </c>
      <c r="K52" s="51">
        <f>ROUND(IF($H$11=0,0,K$28/$H$11*$H6),2)</f>
        <v>0</v>
      </c>
      <c r="L52" s="51">
        <f>ROUND(IF($H$11=0,0,L$28/$H$11*$H6),2)</f>
        <v>0</v>
      </c>
      <c r="M52" s="51">
        <f>ROUND(IF($H$11=0,0,M$28/$H$11*$H6),2)</f>
        <v>0</v>
      </c>
      <c r="N52" s="51">
        <f>ROUND(IF($H$11=0,0,N$28/$H$11*$H6),2)</f>
        <v>0</v>
      </c>
      <c r="O52" s="51">
        <f>ROUND(IF($H$11=0,0,O$28/$H$11*$H6),2)</f>
        <v>0</v>
      </c>
      <c r="P52" s="51">
        <f>ROUND(IF($H$11=0,0,P$28/$H$11*$H6),2)</f>
        <v>0</v>
      </c>
      <c r="Q52" s="51">
        <f>ROUND(IF($H$11=0,0,Q$28/$H$11*$H6),2)</f>
        <v>0</v>
      </c>
      <c r="R52" s="51">
        <f>ROUND(IF($H$11=0,0,R$28/$H$11*$H6),2)</f>
        <v>0</v>
      </c>
      <c r="S52" s="121">
        <f>ROUND(IF($H$11=0,0,S$28/$H$11*$H6),2)</f>
        <v>0</v>
      </c>
    </row>
    <row r="53" spans="1:19" x14ac:dyDescent="0.2">
      <c r="A53" s="237" t="s">
        <v>1242</v>
      </c>
      <c r="B53" s="50" t="str">
        <f>Instructions!P6</f>
        <v>Pay 2009</v>
      </c>
      <c r="C53" s="50" t="s">
        <v>504</v>
      </c>
      <c r="D53" s="42">
        <f t="shared" si="4"/>
        <v>0</v>
      </c>
      <c r="E53" s="120">
        <f>ROUND(IF($I$11=0,0,E$29/$I$11*$I6),2)</f>
        <v>0</v>
      </c>
      <c r="F53" s="51">
        <f>ROUND(IF($I$11=0,0,F$29/$I$11*$I6),2)</f>
        <v>0</v>
      </c>
      <c r="G53" s="51">
        <f>ROUND(IF($I$11=0,0,G$29/$I$11*$I6),2)</f>
        <v>0</v>
      </c>
      <c r="H53" s="51">
        <f>ROUND(IF($I$11=0,0,H$29/$I$11*$I6),2)</f>
        <v>0</v>
      </c>
      <c r="I53" s="51">
        <f>ROUND(IF($I$11=0,0,I$29/$I$11*$I6),2)</f>
        <v>0</v>
      </c>
      <c r="J53" s="51">
        <f>ROUND(IF($I$11=0,0,J$29/$I$11*$I6),2)</f>
        <v>0</v>
      </c>
      <c r="K53" s="51">
        <f>ROUND(IF($I$11=0,0,K$29/$I$11*$I6),2)</f>
        <v>0</v>
      </c>
      <c r="L53" s="51">
        <f>ROUND(IF($I$11=0,0,L$29/$I$11*$I6),2)</f>
        <v>0</v>
      </c>
      <c r="M53" s="51">
        <f>ROUND(IF($I$11=0,0,M$29/$I$11*$I6),2)</f>
        <v>0</v>
      </c>
      <c r="N53" s="51">
        <f>ROUND(IF($I$11=0,0,N$29/$I$11*$I6),2)</f>
        <v>0</v>
      </c>
      <c r="O53" s="51">
        <f>ROUND(IF($I$11=0,0,O$29/$I$11*$I6),2)</f>
        <v>0</v>
      </c>
      <c r="P53" s="51">
        <f>ROUND(IF($I$11=0,0,P$29/$I$11*$I6),2)</f>
        <v>0</v>
      </c>
      <c r="Q53" s="51">
        <f>ROUND(IF($I$11=0,0,Q$29/$I$11*$I6),2)</f>
        <v>0</v>
      </c>
      <c r="R53" s="51">
        <f>ROUND(IF($I$11=0,0,R$29/$I$11*$I6),2)</f>
        <v>0</v>
      </c>
      <c r="S53" s="121">
        <f>ROUND(IF($I$11=0,0,S$29/$I$11*$I6),2)</f>
        <v>0</v>
      </c>
    </row>
    <row r="54" spans="1:19" x14ac:dyDescent="0.2">
      <c r="A54" s="237" t="s">
        <v>1242</v>
      </c>
      <c r="B54" s="50" t="str">
        <f>Instructions!P7</f>
        <v>Pay 2008</v>
      </c>
      <c r="C54" s="50" t="s">
        <v>504</v>
      </c>
      <c r="D54" s="42">
        <f t="shared" si="4"/>
        <v>0</v>
      </c>
      <c r="E54" s="120">
        <f>ROUND(IF($J$11=0,0,E$30/$J$11*$J6),2)</f>
        <v>0</v>
      </c>
      <c r="F54" s="51">
        <f>ROUND(IF($J$11=0,0,F$30/$J$11*$J6),2)</f>
        <v>0</v>
      </c>
      <c r="G54" s="51">
        <f>ROUND(IF($J$11=0,0,G$30/$J$11*$J6),2)</f>
        <v>0</v>
      </c>
      <c r="H54" s="51">
        <f>ROUND(IF($J$11=0,0,H$30/$J$11*$J6),2)</f>
        <v>0</v>
      </c>
      <c r="I54" s="51">
        <f>ROUND(IF($J$11=0,0,I$30/$J$11*$J6),2)</f>
        <v>0</v>
      </c>
      <c r="J54" s="51">
        <f>ROUND(IF($J$11=0,0,J$30/$J$11*$J6),2)</f>
        <v>0</v>
      </c>
      <c r="K54" s="51">
        <f>ROUND(IF($J$11=0,0,K$30/$J$11*$J6),2)</f>
        <v>0</v>
      </c>
      <c r="L54" s="51">
        <f>ROUND(IF($J$11=0,0,L$30/$J$11*$J6),2)</f>
        <v>0</v>
      </c>
      <c r="M54" s="51">
        <f>ROUND(IF($J$11=0,0,M$30/$J$11*$J6),2)</f>
        <v>0</v>
      </c>
      <c r="N54" s="51">
        <f>ROUND(IF($J$11=0,0,N$30/$J$11*$J6),2)</f>
        <v>0</v>
      </c>
      <c r="O54" s="51">
        <f>ROUND(IF($J$11=0,0,O$30/$J$11*$J6),2)</f>
        <v>0</v>
      </c>
      <c r="P54" s="51">
        <f>ROUND(IF($J$11=0,0,P$30/$J$11*$J6),2)</f>
        <v>0</v>
      </c>
      <c r="Q54" s="51">
        <f>ROUND(IF($J$11=0,0,Q$30/$J$11*$J6),2)</f>
        <v>0</v>
      </c>
      <c r="R54" s="51">
        <f>ROUND(IF($J$11=0,0,R$30/$J$11*$J6),2)</f>
        <v>0</v>
      </c>
      <c r="S54" s="121">
        <f>ROUND(IF($J$11=0,0,S$30/$J$11*$J6),2)</f>
        <v>0</v>
      </c>
    </row>
    <row r="55" spans="1:19" x14ac:dyDescent="0.2">
      <c r="A55" s="237" t="s">
        <v>1242</v>
      </c>
      <c r="B55" s="50" t="str">
        <f>Instructions!P8</f>
        <v>Pay 2007</v>
      </c>
      <c r="C55" s="50" t="s">
        <v>504</v>
      </c>
      <c r="D55" s="42">
        <f t="shared" si="4"/>
        <v>0</v>
      </c>
      <c r="E55" s="120">
        <f>ROUND(IF($K$11=0,0,E$31/$K$11*$K6),2)</f>
        <v>0</v>
      </c>
      <c r="F55" s="51">
        <f>ROUND(IF($K$11=0,0,F$31/$K$11*$K6),2)</f>
        <v>0</v>
      </c>
      <c r="G55" s="51">
        <f>ROUND(IF($K$11=0,0,G$31/$K$11*$K6),2)</f>
        <v>0</v>
      </c>
      <c r="H55" s="51">
        <f>ROUND(IF($K$11=0,0,H$31/$K$11*$K6),2)</f>
        <v>0</v>
      </c>
      <c r="I55" s="51">
        <f>ROUND(IF($K$11=0,0,I$31/$K$11*$K6),2)</f>
        <v>0</v>
      </c>
      <c r="J55" s="51">
        <f>ROUND(IF($K$11=0,0,J$31/$K$11*$K6),2)</f>
        <v>0</v>
      </c>
      <c r="K55" s="51">
        <f>ROUND(IF($K$11=0,0,K$31/$K$11*$K6),2)</f>
        <v>0</v>
      </c>
      <c r="L55" s="51">
        <f>ROUND(IF($K$11=0,0,L$31/$K$11*$K6),2)</f>
        <v>0</v>
      </c>
      <c r="M55" s="51">
        <f>ROUND(IF($K$11=0,0,M$31/$K$11*$K6),2)</f>
        <v>0</v>
      </c>
      <c r="N55" s="51">
        <f>ROUND(IF($K$11=0,0,N$31/$K$11*$K6),2)</f>
        <v>0</v>
      </c>
      <c r="O55" s="51">
        <f>ROUND(IF($K$11=0,0,O$31/$K$11*$K6),2)</f>
        <v>0</v>
      </c>
      <c r="P55" s="51">
        <f>ROUND(IF($K$11=0,0,P$31/$K$11*$K6),2)</f>
        <v>0</v>
      </c>
      <c r="Q55" s="51">
        <f>ROUND(IF($K$11=0,0,Q$31/$K$11*$K6),2)</f>
        <v>0</v>
      </c>
      <c r="R55" s="51">
        <f>ROUND(IF($K$11=0,0,R$31/$K$11*$K6),2)</f>
        <v>0</v>
      </c>
      <c r="S55" s="121">
        <f>ROUND(IF($K$11=0,0,S$31/$K$11*$K6),2)</f>
        <v>0</v>
      </c>
    </row>
    <row r="56" spans="1:19" x14ac:dyDescent="0.2">
      <c r="A56" s="237" t="s">
        <v>1240</v>
      </c>
      <c r="B56" s="50"/>
      <c r="C56" s="50"/>
      <c r="E56" s="120"/>
      <c r="F56" s="51"/>
      <c r="G56" s="51"/>
      <c r="H56" s="51"/>
      <c r="I56" s="51"/>
      <c r="J56" s="51"/>
      <c r="K56" s="51"/>
      <c r="L56" s="51"/>
      <c r="M56" s="51"/>
      <c r="N56" s="51"/>
      <c r="O56" s="51"/>
      <c r="P56" s="51"/>
      <c r="Q56" s="51"/>
      <c r="R56" s="51"/>
      <c r="S56" s="121"/>
    </row>
    <row r="57" spans="1:19" x14ac:dyDescent="0.2">
      <c r="A57" s="237" t="s">
        <v>1242</v>
      </c>
      <c r="B57" s="237" t="s">
        <v>1242</v>
      </c>
      <c r="C57" s="50" t="s">
        <v>582</v>
      </c>
      <c r="D57" s="42">
        <f>SUM(D49:D56)</f>
        <v>0</v>
      </c>
      <c r="E57" s="125">
        <f t="shared" ref="E57:S57" si="5">SUM(E49:E56)</f>
        <v>0</v>
      </c>
      <c r="F57" s="56">
        <f t="shared" si="5"/>
        <v>0</v>
      </c>
      <c r="G57" s="56">
        <f t="shared" si="5"/>
        <v>0</v>
      </c>
      <c r="H57" s="56">
        <f t="shared" si="5"/>
        <v>0</v>
      </c>
      <c r="I57" s="56">
        <f t="shared" si="5"/>
        <v>0</v>
      </c>
      <c r="J57" s="56">
        <f t="shared" si="5"/>
        <v>0</v>
      </c>
      <c r="K57" s="56">
        <f t="shared" si="5"/>
        <v>0</v>
      </c>
      <c r="L57" s="56">
        <f t="shared" si="5"/>
        <v>0</v>
      </c>
      <c r="M57" s="56">
        <f t="shared" si="5"/>
        <v>0</v>
      </c>
      <c r="N57" s="56">
        <f t="shared" si="5"/>
        <v>0</v>
      </c>
      <c r="O57" s="56">
        <f t="shared" si="5"/>
        <v>0</v>
      </c>
      <c r="P57" s="56">
        <f t="shared" si="5"/>
        <v>0</v>
      </c>
      <c r="Q57" s="56">
        <f t="shared" si="5"/>
        <v>0</v>
      </c>
      <c r="R57" s="56">
        <f t="shared" si="5"/>
        <v>0</v>
      </c>
      <c r="S57" s="126">
        <f t="shared" si="5"/>
        <v>0</v>
      </c>
    </row>
    <row r="58" spans="1:19" x14ac:dyDescent="0.2">
      <c r="A58" s="237" t="s">
        <v>1240</v>
      </c>
      <c r="B58" s="50"/>
      <c r="C58" s="50"/>
      <c r="E58" s="120"/>
      <c r="F58" s="51"/>
      <c r="G58" s="51"/>
      <c r="H58" s="51"/>
      <c r="I58" s="51"/>
      <c r="J58" s="51"/>
      <c r="K58" s="51"/>
      <c r="L58" s="51"/>
      <c r="M58" s="51"/>
      <c r="N58" s="51"/>
      <c r="O58" s="51"/>
      <c r="P58" s="51"/>
      <c r="Q58" s="51"/>
      <c r="R58" s="51"/>
      <c r="S58" s="121"/>
    </row>
    <row r="59" spans="1:19" x14ac:dyDescent="0.2">
      <c r="A59" s="237" t="s">
        <v>1240</v>
      </c>
      <c r="B59" s="50"/>
      <c r="C59" s="50"/>
      <c r="E59" s="120"/>
      <c r="F59" s="51"/>
      <c r="G59" s="51"/>
      <c r="H59" s="51"/>
      <c r="I59" s="51"/>
      <c r="J59" s="51"/>
      <c r="K59" s="51"/>
      <c r="L59" s="51"/>
      <c r="M59" s="51"/>
      <c r="N59" s="51"/>
      <c r="O59" s="51"/>
      <c r="P59" s="51"/>
      <c r="Q59" s="51"/>
      <c r="R59" s="51"/>
      <c r="S59" s="121"/>
    </row>
    <row r="60" spans="1:19" x14ac:dyDescent="0.2">
      <c r="A60" s="237" t="s">
        <v>1242</v>
      </c>
      <c r="B60" s="50" t="str">
        <f>Instructions!P2</f>
        <v>Pay 2013</v>
      </c>
      <c r="C60" s="50" t="s">
        <v>505</v>
      </c>
      <c r="D60" s="42">
        <f t="shared" ref="D60:D66" si="6">SUM(E60:S60)</f>
        <v>0</v>
      </c>
      <c r="E60" s="120">
        <f>ROUND(IF($E$11=0,0,E$25/$E$11*$E7),2)</f>
        <v>0</v>
      </c>
      <c r="F60" s="51">
        <f>ROUND(IF($E$11=0,0,F$25/$E$11*$E7),2)</f>
        <v>0</v>
      </c>
      <c r="G60" s="51">
        <f>ROUND(IF($E$11=0,0,G$25/$E$11*$E7),2)</f>
        <v>0</v>
      </c>
      <c r="H60" s="51">
        <f>ROUND(IF($E$11=0,0,H$25/$E$11*$E7),2)</f>
        <v>0</v>
      </c>
      <c r="I60" s="51">
        <f>ROUND(IF($E$11=0,0,I$25/$E$11*$E7),2)</f>
        <v>0</v>
      </c>
      <c r="J60" s="51">
        <f>ROUND(IF($E$11=0,0,J$25/$E$11*$E7),2)</f>
        <v>0</v>
      </c>
      <c r="K60" s="51">
        <f>ROUND(IF($E$11=0,0,K$25/$E$11*$E7),2)</f>
        <v>0</v>
      </c>
      <c r="L60" s="51">
        <f>ROUND(IF($E$11=0,0,L$25/$E$11*$E7),2)</f>
        <v>0</v>
      </c>
      <c r="M60" s="51">
        <f>ROUND(IF($E$11=0,0,M$25/$E$11*$E7),2)</f>
        <v>0</v>
      </c>
      <c r="N60" s="51">
        <f>ROUND(IF($E$11=0,0,N$25/$E$11*$E7),2)</f>
        <v>0</v>
      </c>
      <c r="O60" s="51">
        <f>ROUND(IF($E$11=0,0,O$25/$E$11*$E7),2)</f>
        <v>0</v>
      </c>
      <c r="P60" s="51">
        <f>ROUND(IF($E$11=0,0,P$25/$E$11*$E7),2)</f>
        <v>0</v>
      </c>
      <c r="Q60" s="51">
        <f>ROUND(IF($E$11=0,0,Q$25/$E$11*$E7),2)</f>
        <v>0</v>
      </c>
      <c r="R60" s="51">
        <f>ROUND(IF($E$11=0,0,R$25/$E$11*$E7),2)</f>
        <v>0</v>
      </c>
      <c r="S60" s="121">
        <f>ROUND(IF($E$11=0,0,S$25/$E$11*$E7),2)</f>
        <v>0</v>
      </c>
    </row>
    <row r="61" spans="1:19" x14ac:dyDescent="0.2">
      <c r="A61" s="237" t="s">
        <v>1242</v>
      </c>
      <c r="B61" s="50" t="str">
        <f>Instructions!P3</f>
        <v>Pay 2012</v>
      </c>
      <c r="C61" s="50" t="s">
        <v>505</v>
      </c>
      <c r="D61" s="42">
        <f t="shared" si="6"/>
        <v>0</v>
      </c>
      <c r="E61" s="120">
        <f>ROUND(IF($F$11=0,0,E$26/$F$11*$F7),2)</f>
        <v>0</v>
      </c>
      <c r="F61" s="51">
        <f>ROUND(IF($F$11=0,0,F$26/$F$11*$F7),2)</f>
        <v>0</v>
      </c>
      <c r="G61" s="51">
        <f>ROUND(IF($F$11=0,0,G$26/$F$11*$F7),2)</f>
        <v>0</v>
      </c>
      <c r="H61" s="51">
        <f>ROUND(IF($F$11=0,0,H$26/$F$11*$F7),2)</f>
        <v>0</v>
      </c>
      <c r="I61" s="51">
        <f>ROUND(IF($F$11=0,0,I$26/$F$11*$F7),2)</f>
        <v>0</v>
      </c>
      <c r="J61" s="51">
        <f>ROUND(IF($F$11=0,0,J$26/$F$11*$F7),2)</f>
        <v>0</v>
      </c>
      <c r="K61" s="51">
        <f>ROUND(IF($F$11=0,0,K$26/$F$11*$F7),2)</f>
        <v>0</v>
      </c>
      <c r="L61" s="51">
        <f>ROUND(IF($F$11=0,0,L$26/$F$11*$F7),2)</f>
        <v>0</v>
      </c>
      <c r="M61" s="51">
        <f>ROUND(IF($F$11=0,0,M$26/$F$11*$F7),2)</f>
        <v>0</v>
      </c>
      <c r="N61" s="51">
        <f>ROUND(IF($F$11=0,0,N$26/$F$11*$F7),2)</f>
        <v>0</v>
      </c>
      <c r="O61" s="51">
        <f>ROUND(IF($F$11=0,0,O$26/$F$11*$F7),2)</f>
        <v>0</v>
      </c>
      <c r="P61" s="51">
        <f>ROUND(IF($F$11=0,0,P$26/$F$11*$F7),2)</f>
        <v>0</v>
      </c>
      <c r="Q61" s="51">
        <f>ROUND(IF($F$11=0,0,Q$26/$F$11*$F7),2)</f>
        <v>0</v>
      </c>
      <c r="R61" s="51">
        <f>ROUND(IF($F$11=0,0,R$26/$F$11*$F7),2)</f>
        <v>0</v>
      </c>
      <c r="S61" s="121">
        <f>ROUND(IF($F$11=0,0,S$26/$F$11*$F7),2)</f>
        <v>0</v>
      </c>
    </row>
    <row r="62" spans="1:19" x14ac:dyDescent="0.2">
      <c r="A62" s="237" t="s">
        <v>1242</v>
      </c>
      <c r="B62" s="50" t="str">
        <f>Instructions!P4</f>
        <v>Pay 2011</v>
      </c>
      <c r="C62" s="50" t="s">
        <v>505</v>
      </c>
      <c r="D62" s="42">
        <f t="shared" si="6"/>
        <v>0</v>
      </c>
      <c r="E62" s="120">
        <f>ROUND(IF($G$11=0,0,E$27/$G$11*$G7),2)</f>
        <v>0</v>
      </c>
      <c r="F62" s="51">
        <f>ROUND(IF($G$11=0,0,F$27/$G$11*$G7),2)</f>
        <v>0</v>
      </c>
      <c r="G62" s="51">
        <f>ROUND(IF($G$11=0,0,G$27/$G$11*$G7),2)</f>
        <v>0</v>
      </c>
      <c r="H62" s="51">
        <f>ROUND(IF($G$11=0,0,H$27/$G$11*$G7),2)</f>
        <v>0</v>
      </c>
      <c r="I62" s="51">
        <f>ROUND(IF($G$11=0,0,I$27/$G$11*$G7),2)</f>
        <v>0</v>
      </c>
      <c r="J62" s="51">
        <f>ROUND(IF($G$11=0,0,J$27/$G$11*$G7),2)</f>
        <v>0</v>
      </c>
      <c r="K62" s="51">
        <f>ROUND(IF($G$11=0,0,K$27/$G$11*$G7),2)</f>
        <v>0</v>
      </c>
      <c r="L62" s="51">
        <f>ROUND(IF($G$11=0,0,L$27/$G$11*$G7),2)</f>
        <v>0</v>
      </c>
      <c r="M62" s="51">
        <f>ROUND(IF($G$11=0,0,M$27/$G$11*$G7),2)</f>
        <v>0</v>
      </c>
      <c r="N62" s="51">
        <f>ROUND(IF($G$11=0,0,N$27/$G$11*$G7),2)</f>
        <v>0</v>
      </c>
      <c r="O62" s="51">
        <f>ROUND(IF($G$11=0,0,O$27/$G$11*$G7),2)</f>
        <v>0</v>
      </c>
      <c r="P62" s="51">
        <f>ROUND(IF($G$11=0,0,P$27/$G$11*$G7),2)</f>
        <v>0</v>
      </c>
      <c r="Q62" s="51">
        <f>ROUND(IF($G$11=0,0,Q$27/$G$11*$G7),2)</f>
        <v>0</v>
      </c>
      <c r="R62" s="51">
        <f>ROUND(IF($G$11=0,0,R$27/$G$11*$G7),2)</f>
        <v>0</v>
      </c>
      <c r="S62" s="121">
        <f>ROUND(IF($G$11=0,0,S$27/$G$11*$G7),2)</f>
        <v>0</v>
      </c>
    </row>
    <row r="63" spans="1:19" x14ac:dyDescent="0.2">
      <c r="A63" s="237" t="s">
        <v>1242</v>
      </c>
      <c r="B63" s="50" t="str">
        <f>Instructions!P5</f>
        <v>Pay 2010</v>
      </c>
      <c r="C63" s="50" t="s">
        <v>505</v>
      </c>
      <c r="D63" s="42">
        <f t="shared" si="6"/>
        <v>0</v>
      </c>
      <c r="E63" s="120">
        <f>ROUND(IF($H$11=0,0,E$28/$H$11*$H7),2)</f>
        <v>0</v>
      </c>
      <c r="F63" s="51">
        <f>ROUND(IF($H$11=0,0,F$28/$H$11*$H7),2)</f>
        <v>0</v>
      </c>
      <c r="G63" s="51">
        <f>ROUND(IF($H$11=0,0,G$28/$H$11*$H7),2)</f>
        <v>0</v>
      </c>
      <c r="H63" s="51">
        <f>ROUND(IF($H$11=0,0,H$28/$H$11*$H7),2)</f>
        <v>0</v>
      </c>
      <c r="I63" s="51">
        <f>ROUND(IF($H$11=0,0,I$28/$H$11*$H7),2)</f>
        <v>0</v>
      </c>
      <c r="J63" s="51">
        <f>ROUND(IF($H$11=0,0,J$28/$H$11*$H7),2)</f>
        <v>0</v>
      </c>
      <c r="K63" s="51">
        <f>ROUND(IF($H$11=0,0,K$28/$H$11*$H7),2)</f>
        <v>0</v>
      </c>
      <c r="L63" s="51">
        <f>ROUND(IF($H$11=0,0,L$28/$H$11*$H7),2)</f>
        <v>0</v>
      </c>
      <c r="M63" s="51">
        <f>ROUND(IF($H$11=0,0,M$28/$H$11*$H7),2)</f>
        <v>0</v>
      </c>
      <c r="N63" s="51">
        <f>ROUND(IF($H$11=0,0,N$28/$H$11*$H7),2)</f>
        <v>0</v>
      </c>
      <c r="O63" s="51">
        <f>ROUND(IF($H$11=0,0,O$28/$H$11*$H7),2)</f>
        <v>0</v>
      </c>
      <c r="P63" s="51">
        <f>ROUND(IF($H$11=0,0,P$28/$H$11*$H7),2)</f>
        <v>0</v>
      </c>
      <c r="Q63" s="51">
        <f>ROUND(IF($H$11=0,0,Q$28/$H$11*$H7),2)</f>
        <v>0</v>
      </c>
      <c r="R63" s="51">
        <f>ROUND(IF($H$11=0,0,R$28/$H$11*$H7),2)</f>
        <v>0</v>
      </c>
      <c r="S63" s="121">
        <f>ROUND(IF($H$11=0,0,S$28/$H$11*$H7),2)</f>
        <v>0</v>
      </c>
    </row>
    <row r="64" spans="1:19" x14ac:dyDescent="0.2">
      <c r="A64" s="237" t="s">
        <v>1242</v>
      </c>
      <c r="B64" s="50" t="str">
        <f>Instructions!P6</f>
        <v>Pay 2009</v>
      </c>
      <c r="C64" s="50" t="s">
        <v>505</v>
      </c>
      <c r="D64" s="42">
        <f t="shared" si="6"/>
        <v>0</v>
      </c>
      <c r="E64" s="120">
        <f>ROUND(IF($I$11=0,0,E$29/$I$11*$I7),2)</f>
        <v>0</v>
      </c>
      <c r="F64" s="51">
        <f>ROUND(IF($I$11=0,0,F$29/$I$11*$I7),2)</f>
        <v>0</v>
      </c>
      <c r="G64" s="51">
        <f>ROUND(IF($I$11=0,0,G$29/$I$11*$I7),2)</f>
        <v>0</v>
      </c>
      <c r="H64" s="51">
        <f>ROUND(IF($I$11=0,0,H$29/$I$11*$I7),2)</f>
        <v>0</v>
      </c>
      <c r="I64" s="51">
        <f>ROUND(IF($I$11=0,0,I$29/$I$11*$I7),2)</f>
        <v>0</v>
      </c>
      <c r="J64" s="51">
        <f>ROUND(IF($I$11=0,0,J$29/$I$11*$I7),2)</f>
        <v>0</v>
      </c>
      <c r="K64" s="51">
        <f>ROUND(IF($I$11=0,0,K$29/$I$11*$I7),2)</f>
        <v>0</v>
      </c>
      <c r="L64" s="51">
        <f>ROUND(IF($I$11=0,0,L$29/$I$11*$I7),2)</f>
        <v>0</v>
      </c>
      <c r="M64" s="51">
        <f>ROUND(IF($I$11=0,0,M$29/$I$11*$I7),2)</f>
        <v>0</v>
      </c>
      <c r="N64" s="51">
        <f>ROUND(IF($I$11=0,0,N$29/$I$11*$I7),2)</f>
        <v>0</v>
      </c>
      <c r="O64" s="51">
        <f>ROUND(IF($I$11=0,0,O$29/$I$11*$I7),2)</f>
        <v>0</v>
      </c>
      <c r="P64" s="51">
        <f>ROUND(IF($I$11=0,0,P$29/$I$11*$I7),2)</f>
        <v>0</v>
      </c>
      <c r="Q64" s="51">
        <f>ROUND(IF($I$11=0,0,Q$29/$I$11*$I7),2)</f>
        <v>0</v>
      </c>
      <c r="R64" s="51">
        <f>ROUND(IF($I$11=0,0,R$29/$I$11*$I7),2)</f>
        <v>0</v>
      </c>
      <c r="S64" s="121">
        <f>ROUND(IF($I$11=0,0,S$29/$I$11*$I7),2)</f>
        <v>0</v>
      </c>
    </row>
    <row r="65" spans="1:19" x14ac:dyDescent="0.2">
      <c r="A65" s="237" t="s">
        <v>1242</v>
      </c>
      <c r="B65" s="50" t="str">
        <f>Instructions!P7</f>
        <v>Pay 2008</v>
      </c>
      <c r="C65" s="50" t="s">
        <v>505</v>
      </c>
      <c r="D65" s="42">
        <f t="shared" si="6"/>
        <v>0</v>
      </c>
      <c r="E65" s="120">
        <f>ROUND(IF($J$11=0,0,E$30/$J$11*$J7),2)</f>
        <v>0</v>
      </c>
      <c r="F65" s="51">
        <f>ROUND(IF($J$11=0,0,F$30/$J$11*$J7),2)</f>
        <v>0</v>
      </c>
      <c r="G65" s="51">
        <f>ROUND(IF($J$11=0,0,G$30/$J$11*$J7),2)</f>
        <v>0</v>
      </c>
      <c r="H65" s="51">
        <f>ROUND(IF($J$11=0,0,H$30/$J$11*$J7),2)</f>
        <v>0</v>
      </c>
      <c r="I65" s="51">
        <f>ROUND(IF($J$11=0,0,I$30/$J$11*$J7),2)</f>
        <v>0</v>
      </c>
      <c r="J65" s="51">
        <f>ROUND(IF($J$11=0,0,J$30/$J$11*$J7),2)</f>
        <v>0</v>
      </c>
      <c r="K65" s="51">
        <f>ROUND(IF($J$11=0,0,K$30/$J$11*$J7),2)</f>
        <v>0</v>
      </c>
      <c r="L65" s="51">
        <f>ROUND(IF($J$11=0,0,L$30/$J$11*$J7),2)</f>
        <v>0</v>
      </c>
      <c r="M65" s="51">
        <f>ROUND(IF($J$11=0,0,M$30/$J$11*$J7),2)</f>
        <v>0</v>
      </c>
      <c r="N65" s="51">
        <f>ROUND(IF($J$11=0,0,N$30/$J$11*$J7),2)</f>
        <v>0</v>
      </c>
      <c r="O65" s="51">
        <f>ROUND(IF($J$11=0,0,O$30/$J$11*$J7),2)</f>
        <v>0</v>
      </c>
      <c r="P65" s="51">
        <f>ROUND(IF($J$11=0,0,P$30/$J$11*$J7),2)</f>
        <v>0</v>
      </c>
      <c r="Q65" s="51">
        <f>ROUND(IF($J$11=0,0,Q$30/$J$11*$J7),2)</f>
        <v>0</v>
      </c>
      <c r="R65" s="51">
        <f>ROUND(IF($J$11=0,0,R$30/$J$11*$J7),2)</f>
        <v>0</v>
      </c>
      <c r="S65" s="121">
        <f>ROUND(IF($J$11=0,0,S$30/$J$11*$J7),2)</f>
        <v>0</v>
      </c>
    </row>
    <row r="66" spans="1:19" x14ac:dyDescent="0.2">
      <c r="A66" s="237" t="s">
        <v>1242</v>
      </c>
      <c r="B66" s="50" t="str">
        <f>Instructions!P8</f>
        <v>Pay 2007</v>
      </c>
      <c r="C66" s="50" t="s">
        <v>505</v>
      </c>
      <c r="D66" s="42">
        <f t="shared" si="6"/>
        <v>0</v>
      </c>
      <c r="E66" s="120">
        <f>ROUND(IF($K$11=0,0,E$31/$K$11*$K7),2)</f>
        <v>0</v>
      </c>
      <c r="F66" s="51">
        <f>ROUND(IF($K$11=0,0,F$31/$K$11*$K7),2)</f>
        <v>0</v>
      </c>
      <c r="G66" s="51">
        <f>ROUND(IF($K$11=0,0,G$31/$K$11*$K7),2)</f>
        <v>0</v>
      </c>
      <c r="H66" s="51">
        <f>ROUND(IF($K$11=0,0,H$31/$K$11*$K7),2)</f>
        <v>0</v>
      </c>
      <c r="I66" s="51">
        <f>ROUND(IF($K$11=0,0,I$31/$K$11*$K7),2)</f>
        <v>0</v>
      </c>
      <c r="J66" s="51">
        <f>ROUND(IF($K$11=0,0,J$31/$K$11*$K7),2)</f>
        <v>0</v>
      </c>
      <c r="K66" s="51">
        <f>ROUND(IF($K$11=0,0,K$31/$K$11*$K7),2)</f>
        <v>0</v>
      </c>
      <c r="L66" s="51">
        <f>ROUND(IF($K$11=0,0,L$31/$K$11*$K7),2)</f>
        <v>0</v>
      </c>
      <c r="M66" s="51">
        <f>ROUND(IF($K$11=0,0,M$31/$K$11*$K7),2)</f>
        <v>0</v>
      </c>
      <c r="N66" s="51">
        <f>ROUND(IF($K$11=0,0,N$31/$K$11*$K7),2)</f>
        <v>0</v>
      </c>
      <c r="O66" s="51">
        <f>ROUND(IF($K$11=0,0,O$31/$K$11*$K7),2)</f>
        <v>0</v>
      </c>
      <c r="P66" s="51">
        <f>ROUND(IF($K$11=0,0,P$31/$K$11*$K7),2)</f>
        <v>0</v>
      </c>
      <c r="Q66" s="51">
        <f>ROUND(IF($K$11=0,0,Q$31/$K$11*$K7),2)</f>
        <v>0</v>
      </c>
      <c r="R66" s="51">
        <f>ROUND(IF($K$11=0,0,R$31/$K$11*$K7),2)</f>
        <v>0</v>
      </c>
      <c r="S66" s="121">
        <f>ROUND(IF($K$11=0,0,S$31/$K$11*$K7),2)</f>
        <v>0</v>
      </c>
    </row>
    <row r="67" spans="1:19" x14ac:dyDescent="0.2">
      <c r="A67" s="237" t="s">
        <v>1240</v>
      </c>
      <c r="B67" s="50"/>
      <c r="C67" s="50"/>
      <c r="E67" s="120"/>
      <c r="F67" s="51"/>
      <c r="G67" s="51"/>
      <c r="H67" s="51"/>
      <c r="I67" s="51"/>
      <c r="J67" s="51"/>
      <c r="K67" s="51"/>
      <c r="L67" s="51"/>
      <c r="M67" s="51"/>
      <c r="N67" s="51"/>
      <c r="O67" s="51"/>
      <c r="P67" s="51"/>
      <c r="Q67" s="51"/>
      <c r="R67" s="51"/>
      <c r="S67" s="121"/>
    </row>
    <row r="68" spans="1:19" x14ac:dyDescent="0.2">
      <c r="A68" s="237" t="s">
        <v>1242</v>
      </c>
      <c r="B68" s="237" t="s">
        <v>1242</v>
      </c>
      <c r="C68" s="50" t="s">
        <v>582</v>
      </c>
      <c r="D68" s="42">
        <f>SUM(D60:D67)</f>
        <v>0</v>
      </c>
      <c r="E68" s="125">
        <f t="shared" ref="E68:S68" si="7">SUM(E60:E67)</f>
        <v>0</v>
      </c>
      <c r="F68" s="56">
        <f t="shared" si="7"/>
        <v>0</v>
      </c>
      <c r="G68" s="56">
        <f t="shared" si="7"/>
        <v>0</v>
      </c>
      <c r="H68" s="56">
        <f t="shared" si="7"/>
        <v>0</v>
      </c>
      <c r="I68" s="56">
        <f t="shared" si="7"/>
        <v>0</v>
      </c>
      <c r="J68" s="56">
        <f t="shared" si="7"/>
        <v>0</v>
      </c>
      <c r="K68" s="56">
        <f t="shared" si="7"/>
        <v>0</v>
      </c>
      <c r="L68" s="56">
        <f t="shared" si="7"/>
        <v>0</v>
      </c>
      <c r="M68" s="56">
        <f t="shared" si="7"/>
        <v>0</v>
      </c>
      <c r="N68" s="56">
        <f t="shared" si="7"/>
        <v>0</v>
      </c>
      <c r="O68" s="56">
        <f t="shared" si="7"/>
        <v>0</v>
      </c>
      <c r="P68" s="56">
        <f t="shared" si="7"/>
        <v>0</v>
      </c>
      <c r="Q68" s="56">
        <f t="shared" si="7"/>
        <v>0</v>
      </c>
      <c r="R68" s="56">
        <f t="shared" si="7"/>
        <v>0</v>
      </c>
      <c r="S68" s="126">
        <f t="shared" si="7"/>
        <v>0</v>
      </c>
    </row>
    <row r="69" spans="1:19" x14ac:dyDescent="0.2">
      <c r="A69" s="237" t="s">
        <v>1240</v>
      </c>
      <c r="B69" s="50"/>
      <c r="C69" s="50"/>
      <c r="E69" s="120"/>
      <c r="F69" s="51"/>
      <c r="G69" s="51"/>
      <c r="H69" s="51"/>
      <c r="I69" s="51"/>
      <c r="J69" s="51"/>
      <c r="K69" s="51"/>
      <c r="L69" s="51"/>
      <c r="M69" s="51"/>
      <c r="N69" s="51"/>
      <c r="O69" s="51"/>
      <c r="P69" s="51"/>
      <c r="Q69" s="51"/>
      <c r="R69" s="51"/>
      <c r="S69" s="121"/>
    </row>
    <row r="70" spans="1:19" x14ac:dyDescent="0.2">
      <c r="A70" s="237" t="s">
        <v>1240</v>
      </c>
      <c r="B70" s="50"/>
      <c r="C70" s="50"/>
      <c r="E70" s="120"/>
      <c r="F70" s="51"/>
      <c r="G70" s="51"/>
      <c r="H70" s="51"/>
      <c r="I70" s="51"/>
      <c r="J70" s="51"/>
      <c r="K70" s="51"/>
      <c r="L70" s="51"/>
      <c r="M70" s="51"/>
      <c r="N70" s="51"/>
      <c r="O70" s="51"/>
      <c r="P70" s="51"/>
      <c r="Q70" s="51"/>
      <c r="R70" s="51"/>
      <c r="S70" s="121"/>
    </row>
    <row r="71" spans="1:19" x14ac:dyDescent="0.2">
      <c r="A71" s="237" t="s">
        <v>1242</v>
      </c>
      <c r="B71" s="50" t="str">
        <f>Instructions!P2</f>
        <v>Pay 2013</v>
      </c>
      <c r="C71" s="50" t="s">
        <v>586</v>
      </c>
      <c r="D71" s="42">
        <f t="shared" ref="D71:D77" si="8">SUM(E71:S71)</f>
        <v>0</v>
      </c>
      <c r="E71" s="120">
        <f>ROUND(IF($E$11=0,0,E$25/$E$11*$E8),2)</f>
        <v>0</v>
      </c>
      <c r="F71" s="51">
        <f>ROUND(IF($E$11=0,0,F$25/$E$11*$E8),2)</f>
        <v>0</v>
      </c>
      <c r="G71" s="51">
        <f>ROUND(IF($E$11=0,0,G$25/$E$11*$E8),2)</f>
        <v>0</v>
      </c>
      <c r="H71" s="51">
        <f>ROUND(IF($E$11=0,0,H$25/$E$11*$E8),2)</f>
        <v>0</v>
      </c>
      <c r="I71" s="51">
        <f>ROUND(IF($E$11=0,0,I$25/$E$11*$E8),2)</f>
        <v>0</v>
      </c>
      <c r="J71" s="51">
        <f>ROUND(IF($E$11=0,0,J$25/$E$11*$E8),2)</f>
        <v>0</v>
      </c>
      <c r="K71" s="51">
        <f>ROUND(IF($E$11=0,0,K$25/$E$11*$E8),2)</f>
        <v>0</v>
      </c>
      <c r="L71" s="51">
        <f>ROUND(IF($E$11=0,0,L$25/$E$11*$E8),2)</f>
        <v>0</v>
      </c>
      <c r="M71" s="51">
        <f>ROUND(IF($E$11=0,0,M$25/$E$11*$E8),2)</f>
        <v>0</v>
      </c>
      <c r="N71" s="51">
        <f>ROUND(IF($E$11=0,0,N$25/$E$11*$E8),2)</f>
        <v>0</v>
      </c>
      <c r="O71" s="51">
        <f>ROUND(IF($E$11=0,0,O$25/$E$11*$E8),2)</f>
        <v>0</v>
      </c>
      <c r="P71" s="51">
        <f>ROUND(IF($E$11=0,0,P$25/$E$11*$E8),2)</f>
        <v>0</v>
      </c>
      <c r="Q71" s="51">
        <f>ROUND(IF($E$11=0,0,Q$25/$E$11*$E8),2)</f>
        <v>0</v>
      </c>
      <c r="R71" s="51">
        <f>ROUND(IF($E$11=0,0,R$25/$E$11*$E8),2)</f>
        <v>0</v>
      </c>
      <c r="S71" s="121">
        <f>ROUND(IF($E$11=0,0,S$25/$E$11*$E8),2)</f>
        <v>0</v>
      </c>
    </row>
    <row r="72" spans="1:19" x14ac:dyDescent="0.2">
      <c r="A72" s="237" t="s">
        <v>1242</v>
      </c>
      <c r="B72" s="50" t="str">
        <f>Instructions!P3</f>
        <v>Pay 2012</v>
      </c>
      <c r="C72" s="50" t="s">
        <v>586</v>
      </c>
      <c r="D72" s="42">
        <f t="shared" si="8"/>
        <v>0</v>
      </c>
      <c r="E72" s="120">
        <f>ROUND(IF($F$11=0,0,E$26/$F$11*$F8),2)</f>
        <v>0</v>
      </c>
      <c r="F72" s="51">
        <f>ROUND(IF($F$11=0,0,F$26/$F$11*$F8),2)</f>
        <v>0</v>
      </c>
      <c r="G72" s="51">
        <f>ROUND(IF($F$11=0,0,G$26/$F$11*$F8),2)</f>
        <v>0</v>
      </c>
      <c r="H72" s="51">
        <f>ROUND(IF($F$11=0,0,H$26/$F$11*$F8),2)</f>
        <v>0</v>
      </c>
      <c r="I72" s="51">
        <f>ROUND(IF($F$11=0,0,I$26/$F$11*$F8),2)</f>
        <v>0</v>
      </c>
      <c r="J72" s="51">
        <f>ROUND(IF($F$11=0,0,J$26/$F$11*$F8),2)</f>
        <v>0</v>
      </c>
      <c r="K72" s="51">
        <f>ROUND(IF($F$11=0,0,K$26/$F$11*$F8),2)</f>
        <v>0</v>
      </c>
      <c r="L72" s="51">
        <f>ROUND(IF($F$11=0,0,L$26/$F$11*$F8),2)</f>
        <v>0</v>
      </c>
      <c r="M72" s="51">
        <f>ROUND(IF($F$11=0,0,M$26/$F$11*$F8),2)</f>
        <v>0</v>
      </c>
      <c r="N72" s="51">
        <f>ROUND(IF($F$11=0,0,N$26/$F$11*$F8),2)</f>
        <v>0</v>
      </c>
      <c r="O72" s="51">
        <f>ROUND(IF($F$11=0,0,O$26/$F$11*$F8),2)</f>
        <v>0</v>
      </c>
      <c r="P72" s="51">
        <f>ROUND(IF($F$11=0,0,P$26/$F$11*$F8),2)</f>
        <v>0</v>
      </c>
      <c r="Q72" s="51">
        <f>ROUND(IF($F$11=0,0,Q$26/$F$11*$F8),2)</f>
        <v>0</v>
      </c>
      <c r="R72" s="51">
        <f>ROUND(IF($F$11=0,0,R$26/$F$11*$F8),2)</f>
        <v>0</v>
      </c>
      <c r="S72" s="121">
        <f>ROUND(IF($F$11=0,0,S$26/$F$11*$F8),2)</f>
        <v>0</v>
      </c>
    </row>
    <row r="73" spans="1:19" x14ac:dyDescent="0.2">
      <c r="A73" s="237" t="s">
        <v>1242</v>
      </c>
      <c r="B73" s="50" t="str">
        <f>Instructions!P4</f>
        <v>Pay 2011</v>
      </c>
      <c r="C73" s="50" t="s">
        <v>586</v>
      </c>
      <c r="D73" s="42">
        <f t="shared" si="8"/>
        <v>0</v>
      </c>
      <c r="E73" s="120">
        <f>ROUND(IF($G$11=0,0,E$27/$G$11*$G8),2)</f>
        <v>0</v>
      </c>
      <c r="F73" s="51">
        <f>ROUND(IF($G$11=0,0,F$27/$G$11*$G8),2)</f>
        <v>0</v>
      </c>
      <c r="G73" s="51">
        <f>ROUND(IF($G$11=0,0,G$27/$G$11*$G8),2)</f>
        <v>0</v>
      </c>
      <c r="H73" s="51">
        <f>ROUND(IF($G$11=0,0,H$27/$G$11*$G8),2)</f>
        <v>0</v>
      </c>
      <c r="I73" s="51">
        <f>ROUND(IF($G$11=0,0,I$27/$G$11*$G8),2)</f>
        <v>0</v>
      </c>
      <c r="J73" s="51">
        <f>ROUND(IF($G$11=0,0,J$27/$G$11*$G8),2)</f>
        <v>0</v>
      </c>
      <c r="K73" s="51">
        <f>ROUND(IF($G$11=0,0,K$27/$G$11*$G8),2)</f>
        <v>0</v>
      </c>
      <c r="L73" s="51">
        <f>ROUND(IF($G$11=0,0,L$27/$G$11*$G8),2)</f>
        <v>0</v>
      </c>
      <c r="M73" s="51">
        <f>ROUND(IF($G$11=0,0,M$27/$G$11*$G8),2)</f>
        <v>0</v>
      </c>
      <c r="N73" s="51">
        <f>ROUND(IF($G$11=0,0,N$27/$G$11*$G8),2)</f>
        <v>0</v>
      </c>
      <c r="O73" s="51">
        <f>ROUND(IF($G$11=0,0,O$27/$G$11*$G8),2)</f>
        <v>0</v>
      </c>
      <c r="P73" s="51">
        <f>ROUND(IF($G$11=0,0,P$27/$G$11*$G8),2)</f>
        <v>0</v>
      </c>
      <c r="Q73" s="51">
        <f>ROUND(IF($G$11=0,0,Q$27/$G$11*$G8),2)</f>
        <v>0</v>
      </c>
      <c r="R73" s="51">
        <f>ROUND(IF($G$11=0,0,R$27/$G$11*$G8),2)</f>
        <v>0</v>
      </c>
      <c r="S73" s="121">
        <f>ROUND(IF($G$11=0,0,S$27/$G$11*$G8),2)</f>
        <v>0</v>
      </c>
    </row>
    <row r="74" spans="1:19" x14ac:dyDescent="0.2">
      <c r="A74" s="237" t="s">
        <v>1242</v>
      </c>
      <c r="B74" s="50" t="str">
        <f>Instructions!P5</f>
        <v>Pay 2010</v>
      </c>
      <c r="C74" s="50" t="s">
        <v>586</v>
      </c>
      <c r="D74" s="42">
        <f t="shared" si="8"/>
        <v>0</v>
      </c>
      <c r="E74" s="120">
        <f>ROUND(IF($H$11=0,0,E$28/$H$11*$H8),2)</f>
        <v>0</v>
      </c>
      <c r="F74" s="51">
        <f>ROUND(IF($H$11=0,0,F$28/$H$11*$H8),2)</f>
        <v>0</v>
      </c>
      <c r="G74" s="51">
        <f>ROUND(IF($H$11=0,0,G$28/$H$11*$H8),2)</f>
        <v>0</v>
      </c>
      <c r="H74" s="51">
        <f>ROUND(IF($H$11=0,0,H$28/$H$11*$H8),2)</f>
        <v>0</v>
      </c>
      <c r="I74" s="51">
        <f>ROUND(IF($H$11=0,0,I$28/$H$11*$H8),2)</f>
        <v>0</v>
      </c>
      <c r="J74" s="51">
        <f>ROUND(IF($H$11=0,0,J$28/$H$11*$H8),2)</f>
        <v>0</v>
      </c>
      <c r="K74" s="51">
        <f>ROUND(IF($H$11=0,0,K$28/$H$11*$H8),2)</f>
        <v>0</v>
      </c>
      <c r="L74" s="51">
        <f>ROUND(IF($H$11=0,0,L$28/$H$11*$H8),2)</f>
        <v>0</v>
      </c>
      <c r="M74" s="51">
        <f>ROUND(IF($H$11=0,0,M$28/$H$11*$H8),2)</f>
        <v>0</v>
      </c>
      <c r="N74" s="51">
        <f>ROUND(IF($H$11=0,0,N$28/$H$11*$H8),2)</f>
        <v>0</v>
      </c>
      <c r="O74" s="51">
        <f>ROUND(IF($H$11=0,0,O$28/$H$11*$H8),2)</f>
        <v>0</v>
      </c>
      <c r="P74" s="51">
        <f>ROUND(IF($H$11=0,0,P$28/$H$11*$H8),2)</f>
        <v>0</v>
      </c>
      <c r="Q74" s="51">
        <f>ROUND(IF($H$11=0,0,Q$28/$H$11*$H8),2)</f>
        <v>0</v>
      </c>
      <c r="R74" s="51">
        <f>ROUND(IF($H$11=0,0,R$28/$H$11*$H8),2)</f>
        <v>0</v>
      </c>
      <c r="S74" s="121">
        <f>ROUND(IF($H$11=0,0,S$28/$H$11*$H8),2)</f>
        <v>0</v>
      </c>
    </row>
    <row r="75" spans="1:19" x14ac:dyDescent="0.2">
      <c r="A75" s="237" t="s">
        <v>1242</v>
      </c>
      <c r="B75" s="50" t="str">
        <f>Instructions!P6</f>
        <v>Pay 2009</v>
      </c>
      <c r="C75" s="50" t="s">
        <v>586</v>
      </c>
      <c r="D75" s="42">
        <f t="shared" si="8"/>
        <v>0</v>
      </c>
      <c r="E75" s="120">
        <f>ROUND(IF($I$11=0,0,E$29/$I$11*$I8),2)</f>
        <v>0</v>
      </c>
      <c r="F75" s="51">
        <f>ROUND(IF($I$11=0,0,F$29/$I$11*$I8),2)</f>
        <v>0</v>
      </c>
      <c r="G75" s="51">
        <f>ROUND(IF($I$11=0,0,G$29/$I$11*$I8),2)</f>
        <v>0</v>
      </c>
      <c r="H75" s="51">
        <f>ROUND(IF($I$11=0,0,H$29/$I$11*$I8),2)</f>
        <v>0</v>
      </c>
      <c r="I75" s="51">
        <f>ROUND(IF($I$11=0,0,I$29/$I$11*$I8),2)</f>
        <v>0</v>
      </c>
      <c r="J75" s="51">
        <f>ROUND(IF($I$11=0,0,J$29/$I$11*$I8),2)</f>
        <v>0</v>
      </c>
      <c r="K75" s="51">
        <f>ROUND(IF($I$11=0,0,K$29/$I$11*$I8),2)</f>
        <v>0</v>
      </c>
      <c r="L75" s="51">
        <f>ROUND(IF($I$11=0,0,L$29/$I$11*$I8),2)</f>
        <v>0</v>
      </c>
      <c r="M75" s="51">
        <f>ROUND(IF($I$11=0,0,M$29/$I$11*$I8),2)</f>
        <v>0</v>
      </c>
      <c r="N75" s="51">
        <f>ROUND(IF($I$11=0,0,N$29/$I$11*$I8),2)</f>
        <v>0</v>
      </c>
      <c r="O75" s="51">
        <f>ROUND(IF($I$11=0,0,O$29/$I$11*$I8),2)</f>
        <v>0</v>
      </c>
      <c r="P75" s="51">
        <f>ROUND(IF($I$11=0,0,P$29/$I$11*$I8),2)</f>
        <v>0</v>
      </c>
      <c r="Q75" s="51">
        <f>ROUND(IF($I$11=0,0,Q$29/$I$11*$I8),2)</f>
        <v>0</v>
      </c>
      <c r="R75" s="51">
        <f>ROUND(IF($I$11=0,0,R$29/$I$11*$I8),2)</f>
        <v>0</v>
      </c>
      <c r="S75" s="121">
        <f>ROUND(IF($I$11=0,0,S$29/$I$11*$I8),2)</f>
        <v>0</v>
      </c>
    </row>
    <row r="76" spans="1:19" x14ac:dyDescent="0.2">
      <c r="A76" s="237" t="s">
        <v>1242</v>
      </c>
      <c r="B76" s="50" t="str">
        <f>Instructions!P7</f>
        <v>Pay 2008</v>
      </c>
      <c r="C76" s="50" t="s">
        <v>586</v>
      </c>
      <c r="D76" s="42">
        <f t="shared" si="8"/>
        <v>0</v>
      </c>
      <c r="E76" s="120">
        <f>ROUND(IF($J$11=0,0,E$30/$J$11*$J8),2)</f>
        <v>0</v>
      </c>
      <c r="F76" s="51">
        <f>ROUND(IF($J$11=0,0,F$30/$J$11*$J8),2)</f>
        <v>0</v>
      </c>
      <c r="G76" s="51">
        <f>ROUND(IF($J$11=0,0,G$30/$J$11*$J8),2)</f>
        <v>0</v>
      </c>
      <c r="H76" s="51">
        <f>ROUND(IF($J$11=0,0,H$30/$J$11*$J8),2)</f>
        <v>0</v>
      </c>
      <c r="I76" s="51">
        <f>ROUND(IF($J$11=0,0,I$30/$J$11*$J8),2)</f>
        <v>0</v>
      </c>
      <c r="J76" s="51">
        <f>ROUND(IF($J$11=0,0,J$30/$J$11*$J8),2)</f>
        <v>0</v>
      </c>
      <c r="K76" s="51">
        <f>ROUND(IF($J$11=0,0,K$30/$J$11*$J8),2)</f>
        <v>0</v>
      </c>
      <c r="L76" s="51">
        <f>ROUND(IF($J$11=0,0,L$30/$J$11*$J8),2)</f>
        <v>0</v>
      </c>
      <c r="M76" s="51">
        <f>ROUND(IF($J$11=0,0,M$30/$J$11*$J8),2)</f>
        <v>0</v>
      </c>
      <c r="N76" s="51">
        <f>ROUND(IF($J$11=0,0,N$30/$J$11*$J8),2)</f>
        <v>0</v>
      </c>
      <c r="O76" s="51">
        <f>ROUND(IF($J$11=0,0,O$30/$J$11*$J8),2)</f>
        <v>0</v>
      </c>
      <c r="P76" s="51">
        <f>ROUND(IF($J$11=0,0,P$30/$J$11*$J8),2)</f>
        <v>0</v>
      </c>
      <c r="Q76" s="51">
        <f>ROUND(IF($J$11=0,0,Q$30/$J$11*$J8),2)</f>
        <v>0</v>
      </c>
      <c r="R76" s="51">
        <f>ROUND(IF($J$11=0,0,R$30/$J$11*$J8),2)</f>
        <v>0</v>
      </c>
      <c r="S76" s="121">
        <f>ROUND(IF($J$11=0,0,S$30/$J$11*$J8),2)</f>
        <v>0</v>
      </c>
    </row>
    <row r="77" spans="1:19" x14ac:dyDescent="0.2">
      <c r="A77" s="237" t="s">
        <v>1242</v>
      </c>
      <c r="B77" s="50" t="str">
        <f>Instructions!P8</f>
        <v>Pay 2007</v>
      </c>
      <c r="C77" s="50" t="s">
        <v>586</v>
      </c>
      <c r="D77" s="42">
        <f t="shared" si="8"/>
        <v>0</v>
      </c>
      <c r="E77" s="120">
        <f>ROUND(IF($K$11=0,0,E$31/$K$11*$K8),2)</f>
        <v>0</v>
      </c>
      <c r="F77" s="51">
        <f>ROUND(IF($K$11=0,0,F$31/$K$11*$K8),2)</f>
        <v>0</v>
      </c>
      <c r="G77" s="51">
        <f>ROUND(IF($K$11=0,0,G$31/$K$11*$K8),2)</f>
        <v>0</v>
      </c>
      <c r="H77" s="51">
        <f>ROUND(IF($K$11=0,0,H$31/$K$11*$K8),2)</f>
        <v>0</v>
      </c>
      <c r="I77" s="51">
        <f>ROUND(IF($K$11=0,0,I$31/$K$11*$K8),2)</f>
        <v>0</v>
      </c>
      <c r="J77" s="51">
        <f>ROUND(IF($K$11=0,0,J$31/$K$11*$K8),2)</f>
        <v>0</v>
      </c>
      <c r="K77" s="51">
        <f>ROUND(IF($K$11=0,0,K$31/$K$11*$K8),2)</f>
        <v>0</v>
      </c>
      <c r="L77" s="51">
        <f>ROUND(IF($K$11=0,0,L$31/$K$11*$K8),2)</f>
        <v>0</v>
      </c>
      <c r="M77" s="51">
        <f>ROUND(IF($K$11=0,0,M$31/$K$11*$K8),2)</f>
        <v>0</v>
      </c>
      <c r="N77" s="51">
        <f>ROUND(IF($K$11=0,0,N$31/$K$11*$K8),2)</f>
        <v>0</v>
      </c>
      <c r="O77" s="51">
        <f>ROUND(IF($K$11=0,0,O$31/$K$11*$K8),2)</f>
        <v>0</v>
      </c>
      <c r="P77" s="51">
        <f>ROUND(IF($K$11=0,0,P$31/$K$11*$K8),2)</f>
        <v>0</v>
      </c>
      <c r="Q77" s="51">
        <f>ROUND(IF($K$11=0,0,Q$31/$K$11*$K8),2)</f>
        <v>0</v>
      </c>
      <c r="R77" s="51">
        <f>ROUND(IF($K$11=0,0,R$31/$K$11*$K8),2)</f>
        <v>0</v>
      </c>
      <c r="S77" s="121">
        <f>ROUND(IF($K$11=0,0,S$31/$K$11*$K8),2)</f>
        <v>0</v>
      </c>
    </row>
    <row r="78" spans="1:19" x14ac:dyDescent="0.2">
      <c r="A78" s="237" t="s">
        <v>1240</v>
      </c>
      <c r="E78" s="120"/>
      <c r="F78" s="51"/>
      <c r="G78" s="51"/>
      <c r="H78" s="51"/>
      <c r="I78" s="51"/>
      <c r="J78" s="51"/>
      <c r="K78" s="51"/>
      <c r="L78" s="51"/>
      <c r="M78" s="51"/>
      <c r="N78" s="51"/>
      <c r="O78" s="51"/>
      <c r="P78" s="51"/>
      <c r="Q78" s="51"/>
      <c r="R78" s="51"/>
      <c r="S78" s="121"/>
    </row>
    <row r="79" spans="1:19" x14ac:dyDescent="0.2">
      <c r="A79" s="237" t="s">
        <v>1242</v>
      </c>
      <c r="B79" s="237" t="s">
        <v>1242</v>
      </c>
      <c r="C79" s="55" t="s">
        <v>582</v>
      </c>
      <c r="D79" s="43">
        <f>SUM(D71:D78)</f>
        <v>0</v>
      </c>
      <c r="E79" s="120">
        <f t="shared" ref="E79:S79" si="9">SUM(E71:E78)</f>
        <v>0</v>
      </c>
      <c r="F79" s="51">
        <f t="shared" si="9"/>
        <v>0</v>
      </c>
      <c r="G79" s="51">
        <f t="shared" si="9"/>
        <v>0</v>
      </c>
      <c r="H79" s="51">
        <f t="shared" si="9"/>
        <v>0</v>
      </c>
      <c r="I79" s="51">
        <f t="shared" si="9"/>
        <v>0</v>
      </c>
      <c r="J79" s="51">
        <f t="shared" si="9"/>
        <v>0</v>
      </c>
      <c r="K79" s="51">
        <f t="shared" si="9"/>
        <v>0</v>
      </c>
      <c r="L79" s="51">
        <f t="shared" si="9"/>
        <v>0</v>
      </c>
      <c r="M79" s="51">
        <f t="shared" si="9"/>
        <v>0</v>
      </c>
      <c r="N79" s="51">
        <f t="shared" si="9"/>
        <v>0</v>
      </c>
      <c r="O79" s="51">
        <f t="shared" si="9"/>
        <v>0</v>
      </c>
      <c r="P79" s="51">
        <f t="shared" si="9"/>
        <v>0</v>
      </c>
      <c r="Q79" s="51">
        <f t="shared" si="9"/>
        <v>0</v>
      </c>
      <c r="R79" s="51">
        <f t="shared" si="9"/>
        <v>0</v>
      </c>
      <c r="S79" s="121">
        <f t="shared" si="9"/>
        <v>0</v>
      </c>
    </row>
    <row r="80" spans="1:19" x14ac:dyDescent="0.2">
      <c r="A80" s="237" t="s">
        <v>1240</v>
      </c>
      <c r="B80" s="55"/>
      <c r="D80" s="43"/>
      <c r="E80" s="120"/>
      <c r="F80" s="51"/>
      <c r="G80" s="51"/>
      <c r="H80" s="51"/>
      <c r="I80" s="51"/>
      <c r="J80" s="51"/>
      <c r="K80" s="51"/>
      <c r="L80" s="51"/>
      <c r="M80" s="51"/>
      <c r="N80" s="51"/>
      <c r="O80" s="51"/>
      <c r="P80" s="51"/>
      <c r="Q80" s="51"/>
      <c r="R80" s="51"/>
      <c r="S80" s="121"/>
    </row>
    <row r="81" spans="1:19" x14ac:dyDescent="0.2">
      <c r="A81" s="237" t="s">
        <v>1240</v>
      </c>
      <c r="B81" s="55"/>
      <c r="D81" s="43"/>
      <c r="E81" s="120"/>
      <c r="F81" s="51"/>
      <c r="G81" s="51"/>
      <c r="H81" s="51"/>
      <c r="I81" s="51"/>
      <c r="J81" s="51"/>
      <c r="K81" s="51"/>
      <c r="L81" s="51"/>
      <c r="M81" s="51"/>
      <c r="N81" s="51"/>
      <c r="O81" s="51"/>
      <c r="P81" s="51"/>
      <c r="Q81" s="51"/>
      <c r="R81" s="51"/>
      <c r="S81" s="121"/>
    </row>
    <row r="82" spans="1:19" x14ac:dyDescent="0.2">
      <c r="A82" s="237" t="s">
        <v>1242</v>
      </c>
      <c r="B82" s="50" t="str">
        <f>Instructions!P2</f>
        <v>Pay 2013</v>
      </c>
      <c r="C82" s="50" t="s">
        <v>3</v>
      </c>
      <c r="D82" s="42">
        <f t="shared" ref="D82:D88" si="10">SUM(E82:S82)</f>
        <v>0</v>
      </c>
      <c r="E82" s="120">
        <f>ROUND(IF($E$11=0,0,E$25/$E$11*$E9),2)</f>
        <v>0</v>
      </c>
      <c r="F82" s="51">
        <f>ROUND(IF($E$11=0,0,F$25/$E$11*$E9),2)</f>
        <v>0</v>
      </c>
      <c r="G82" s="51">
        <f>ROUND(IF($E$11=0,0,G$25/$E$11*$E9),2)</f>
        <v>0</v>
      </c>
      <c r="H82" s="51">
        <f>ROUND(IF($E$11=0,0,H$25/$E$11*$E9),2)</f>
        <v>0</v>
      </c>
      <c r="I82" s="51">
        <f>ROUND(IF($E$11=0,0,I$25/$E$11*$E9),2)</f>
        <v>0</v>
      </c>
      <c r="J82" s="51">
        <f>ROUND(IF($E$11=0,0,J$25/$E$11*$E9),2)</f>
        <v>0</v>
      </c>
      <c r="K82" s="51">
        <f>ROUND(IF($E$11=0,0,K$25/$E$11*$E9),2)</f>
        <v>0</v>
      </c>
      <c r="L82" s="51">
        <f>ROUND(IF($E$11=0,0,L$25/$E$11*$E9),2)</f>
        <v>0</v>
      </c>
      <c r="M82" s="51">
        <f>ROUND(IF($E$11=0,0,M$25/$E$11*$E9),2)</f>
        <v>0</v>
      </c>
      <c r="N82" s="51">
        <f>ROUND(IF($E$11=0,0,N$25/$E$11*$E9),2)</f>
        <v>0</v>
      </c>
      <c r="O82" s="51">
        <f>ROUND(IF($E$11=0,0,O$25/$E$11*$E9),2)</f>
        <v>0</v>
      </c>
      <c r="P82" s="51">
        <f>ROUND(IF($E$11=0,0,P$25/$E$11*$E9),2)</f>
        <v>0</v>
      </c>
      <c r="Q82" s="51">
        <f>ROUND(IF($E$11=0,0,Q$25/$E$11*$E9),2)</f>
        <v>0</v>
      </c>
      <c r="R82" s="51">
        <f>ROUND(IF($E$11=0,0,R$25/$E$11*$E9),2)</f>
        <v>0</v>
      </c>
      <c r="S82" s="121">
        <f>ROUND(IF($E$11=0,0,S$25/$E$11*$E9),2)</f>
        <v>0</v>
      </c>
    </row>
    <row r="83" spans="1:19" x14ac:dyDescent="0.2">
      <c r="A83" s="237" t="s">
        <v>1242</v>
      </c>
      <c r="B83" s="50" t="str">
        <f>Instructions!P3</f>
        <v>Pay 2012</v>
      </c>
      <c r="C83" s="50" t="s">
        <v>3</v>
      </c>
      <c r="D83" s="42">
        <f t="shared" si="10"/>
        <v>0</v>
      </c>
      <c r="E83" s="120">
        <f>ROUND(IF($F$11=0,0,E$26/$F$11*$F9),2)</f>
        <v>0</v>
      </c>
      <c r="F83" s="51">
        <f>ROUND(IF($F$11=0,0,F$26/$F$11*$F9),2)</f>
        <v>0</v>
      </c>
      <c r="G83" s="51">
        <f>ROUND(IF($F$11=0,0,G$26/$F$11*$F9),2)</f>
        <v>0</v>
      </c>
      <c r="H83" s="51">
        <f>ROUND(IF($F$11=0,0,H$26/$F$11*$F9),2)</f>
        <v>0</v>
      </c>
      <c r="I83" s="51">
        <f>ROUND(IF($F$11=0,0,I$26/$F$11*$F9),2)</f>
        <v>0</v>
      </c>
      <c r="J83" s="51">
        <f>ROUND(IF($F$11=0,0,J$26/$F$11*$F9),2)</f>
        <v>0</v>
      </c>
      <c r="K83" s="51">
        <f>ROUND(IF($F$11=0,0,K$26/$F$11*$F9),2)</f>
        <v>0</v>
      </c>
      <c r="L83" s="51">
        <f>ROUND(IF($F$11=0,0,L$26/$F$11*$F9),2)</f>
        <v>0</v>
      </c>
      <c r="M83" s="51">
        <f>ROUND(IF($F$11=0,0,M$26/$F$11*$F9),2)</f>
        <v>0</v>
      </c>
      <c r="N83" s="51">
        <f>ROUND(IF($F$11=0,0,N$26/$F$11*$F9),2)</f>
        <v>0</v>
      </c>
      <c r="O83" s="51">
        <f>ROUND(IF($F$11=0,0,O$26/$F$11*$F9),2)</f>
        <v>0</v>
      </c>
      <c r="P83" s="51">
        <f>ROUND(IF($F$11=0,0,P$26/$F$11*$F9),2)</f>
        <v>0</v>
      </c>
      <c r="Q83" s="51">
        <f>ROUND(IF($F$11=0,0,Q$26/$F$11*$F9),2)</f>
        <v>0</v>
      </c>
      <c r="R83" s="51">
        <f>ROUND(IF($F$11=0,0,R$26/$F$11*$F9),2)</f>
        <v>0</v>
      </c>
      <c r="S83" s="121">
        <f>ROUND(IF($F$11=0,0,S$26/$F$11*$F9),2)</f>
        <v>0</v>
      </c>
    </row>
    <row r="84" spans="1:19" x14ac:dyDescent="0.2">
      <c r="A84" s="237" t="s">
        <v>1242</v>
      </c>
      <c r="B84" s="50" t="str">
        <f>Instructions!P4</f>
        <v>Pay 2011</v>
      </c>
      <c r="C84" s="50" t="s">
        <v>3</v>
      </c>
      <c r="D84" s="42">
        <f t="shared" si="10"/>
        <v>0</v>
      </c>
      <c r="E84" s="120">
        <f>ROUND(IF($G$11=0,0,E$27/$G$11*$G9),2)</f>
        <v>0</v>
      </c>
      <c r="F84" s="51">
        <f>ROUND(IF($G$11=0,0,F$27/$G$11*$G9),2)</f>
        <v>0</v>
      </c>
      <c r="G84" s="51">
        <f>ROUND(IF($G$11=0,0,G$27/$G$11*$G9),2)</f>
        <v>0</v>
      </c>
      <c r="H84" s="51">
        <f>ROUND(IF($G$11=0,0,H$27/$G$11*$G9),2)</f>
        <v>0</v>
      </c>
      <c r="I84" s="51">
        <f>ROUND(IF($G$11=0,0,I$27/$G$11*$G9),2)</f>
        <v>0</v>
      </c>
      <c r="J84" s="51">
        <f>ROUND(IF($G$11=0,0,J$27/$G$11*$G9),2)</f>
        <v>0</v>
      </c>
      <c r="K84" s="51">
        <f>ROUND(IF($G$11=0,0,K$27/$G$11*$G9),2)</f>
        <v>0</v>
      </c>
      <c r="L84" s="51">
        <f>ROUND(IF($G$11=0,0,L$27/$G$11*$G9),2)</f>
        <v>0</v>
      </c>
      <c r="M84" s="51">
        <f>ROUND(IF($G$11=0,0,M$27/$G$11*$G9),2)</f>
        <v>0</v>
      </c>
      <c r="N84" s="51">
        <f>ROUND(IF($G$11=0,0,N$27/$G$11*$G9),2)</f>
        <v>0</v>
      </c>
      <c r="O84" s="51">
        <f>ROUND(IF($G$11=0,0,O$27/$G$11*$G9),2)</f>
        <v>0</v>
      </c>
      <c r="P84" s="51">
        <f>ROUND(IF($G$11=0,0,P$27/$G$11*$G9),2)</f>
        <v>0</v>
      </c>
      <c r="Q84" s="51">
        <f>ROUND(IF($G$11=0,0,Q$27/$G$11*$G9),2)</f>
        <v>0</v>
      </c>
      <c r="R84" s="51">
        <f>ROUND(IF($G$11=0,0,R$27/$G$11*$G9),2)</f>
        <v>0</v>
      </c>
      <c r="S84" s="121">
        <f>ROUND(IF($G$11=0,0,S$27/$G$11*$G9),2)</f>
        <v>0</v>
      </c>
    </row>
    <row r="85" spans="1:19" x14ac:dyDescent="0.2">
      <c r="A85" s="237" t="s">
        <v>1242</v>
      </c>
      <c r="B85" s="50" t="str">
        <f>Instructions!P5</f>
        <v>Pay 2010</v>
      </c>
      <c r="C85" s="50" t="s">
        <v>3</v>
      </c>
      <c r="D85" s="42">
        <f t="shared" si="10"/>
        <v>0</v>
      </c>
      <c r="E85" s="120">
        <f>ROUND(IF($H$11=0,0,E$28/$H$11*$H9),2)</f>
        <v>0</v>
      </c>
      <c r="F85" s="51">
        <f>ROUND(IF($H$11=0,0,F$28/$H$11*$H9),2)</f>
        <v>0</v>
      </c>
      <c r="G85" s="51">
        <f>ROUND(IF($H$11=0,0,G$28/$H$11*$H9),2)</f>
        <v>0</v>
      </c>
      <c r="H85" s="51">
        <f>ROUND(IF($H$11=0,0,H$28/$H$11*$H9),2)</f>
        <v>0</v>
      </c>
      <c r="I85" s="51">
        <f>ROUND(IF($H$11=0,0,I$28/$H$11*$H9),2)</f>
        <v>0</v>
      </c>
      <c r="J85" s="51">
        <f>ROUND(IF($H$11=0,0,J$28/$H$11*$H9),2)</f>
        <v>0</v>
      </c>
      <c r="K85" s="51">
        <f>ROUND(IF($H$11=0,0,K$28/$H$11*$H9),2)</f>
        <v>0</v>
      </c>
      <c r="L85" s="51">
        <f>ROUND(IF($H$11=0,0,L$28/$H$11*$H9),2)</f>
        <v>0</v>
      </c>
      <c r="M85" s="51">
        <f>ROUND(IF($H$11=0,0,M$28/$H$11*$H9),2)</f>
        <v>0</v>
      </c>
      <c r="N85" s="51">
        <f>ROUND(IF($H$11=0,0,N$28/$H$11*$H9),2)</f>
        <v>0</v>
      </c>
      <c r="O85" s="51">
        <f>ROUND(IF($H$11=0,0,O$28/$H$11*$H9),2)</f>
        <v>0</v>
      </c>
      <c r="P85" s="51">
        <f>ROUND(IF($H$11=0,0,P$28/$H$11*$H9),2)</f>
        <v>0</v>
      </c>
      <c r="Q85" s="51">
        <f>ROUND(IF($H$11=0,0,Q$28/$H$11*$H9),2)</f>
        <v>0</v>
      </c>
      <c r="R85" s="51">
        <f>ROUND(IF($H$11=0,0,R$28/$H$11*$H9),2)</f>
        <v>0</v>
      </c>
      <c r="S85" s="121">
        <f>ROUND(IF($H$11=0,0,S$28/$H$11*$H9),2)</f>
        <v>0</v>
      </c>
    </row>
    <row r="86" spans="1:19" x14ac:dyDescent="0.2">
      <c r="A86" s="237" t="s">
        <v>1242</v>
      </c>
      <c r="B86" s="50" t="str">
        <f>Instructions!P6</f>
        <v>Pay 2009</v>
      </c>
      <c r="C86" s="50" t="s">
        <v>3</v>
      </c>
      <c r="D86" s="42">
        <f t="shared" si="10"/>
        <v>0</v>
      </c>
      <c r="E86" s="120">
        <f>ROUND(IF($I$11=0,0,E$29/$I$11*$I9),2)</f>
        <v>0</v>
      </c>
      <c r="F86" s="51">
        <f>ROUND(IF($I$11=0,0,F$29/$I$11*$I9),2)</f>
        <v>0</v>
      </c>
      <c r="G86" s="51">
        <f>ROUND(IF($I$11=0,0,G$29/$I$11*$I9),2)</f>
        <v>0</v>
      </c>
      <c r="H86" s="51">
        <f>ROUND(IF($I$11=0,0,H$29/$I$11*$I9),2)</f>
        <v>0</v>
      </c>
      <c r="I86" s="51">
        <f>ROUND(IF($I$11=0,0,I$29/$I$11*$I9),2)</f>
        <v>0</v>
      </c>
      <c r="J86" s="51">
        <f>ROUND(IF($I$11=0,0,J$29/$I$11*$I9),2)</f>
        <v>0</v>
      </c>
      <c r="K86" s="51">
        <f>ROUND(IF($I$11=0,0,K$29/$I$11*$I9),2)</f>
        <v>0</v>
      </c>
      <c r="L86" s="51">
        <f>ROUND(IF($I$11=0,0,L$29/$I$11*$I9),2)</f>
        <v>0</v>
      </c>
      <c r="M86" s="51">
        <f>ROUND(IF($I$11=0,0,M$29/$I$11*$I9),2)</f>
        <v>0</v>
      </c>
      <c r="N86" s="51">
        <f>ROUND(IF($I$11=0,0,N$29/$I$11*$I9),2)</f>
        <v>0</v>
      </c>
      <c r="O86" s="51">
        <f>ROUND(IF($I$11=0,0,O$29/$I$11*$I9),2)</f>
        <v>0</v>
      </c>
      <c r="P86" s="51">
        <f>ROUND(IF($I$11=0,0,P$29/$I$11*$I9),2)</f>
        <v>0</v>
      </c>
      <c r="Q86" s="51">
        <f>ROUND(IF($I$11=0,0,Q$29/$I$11*$I9),2)</f>
        <v>0</v>
      </c>
      <c r="R86" s="51">
        <f>ROUND(IF($I$11=0,0,R$29/$I$11*$I9),2)</f>
        <v>0</v>
      </c>
      <c r="S86" s="121">
        <f>ROUND(IF($I$11=0,0,S$29/$I$11*$I9),2)</f>
        <v>0</v>
      </c>
    </row>
    <row r="87" spans="1:19" x14ac:dyDescent="0.2">
      <c r="A87" s="237" t="s">
        <v>1242</v>
      </c>
      <c r="B87" s="50" t="str">
        <f>Instructions!P7</f>
        <v>Pay 2008</v>
      </c>
      <c r="C87" s="50" t="s">
        <v>3</v>
      </c>
      <c r="D87" s="42">
        <f t="shared" si="10"/>
        <v>0</v>
      </c>
      <c r="E87" s="120">
        <f>ROUND(IF($J$11=0,0,E$30/$J$11*$J9),2)</f>
        <v>0</v>
      </c>
      <c r="F87" s="51">
        <f>ROUND(IF($J$11=0,0,F$30/$J$11*$J9),2)</f>
        <v>0</v>
      </c>
      <c r="G87" s="51">
        <f>ROUND(IF($J$11=0,0,G$30/$J$11*$J9),2)</f>
        <v>0</v>
      </c>
      <c r="H87" s="51">
        <f>ROUND(IF($J$11=0,0,H$30/$J$11*$J9),2)</f>
        <v>0</v>
      </c>
      <c r="I87" s="51">
        <f>ROUND(IF($J$11=0,0,I$30/$J$11*$J9),2)</f>
        <v>0</v>
      </c>
      <c r="J87" s="51">
        <f>ROUND(IF($J$11=0,0,J$30/$J$11*$J9),2)</f>
        <v>0</v>
      </c>
      <c r="K87" s="51">
        <f>ROUND(IF($J$11=0,0,K$30/$J$11*$J9),2)</f>
        <v>0</v>
      </c>
      <c r="L87" s="51">
        <f>ROUND(IF($J$11=0,0,L$30/$J$11*$J9),2)</f>
        <v>0</v>
      </c>
      <c r="M87" s="51">
        <f>ROUND(IF($J$11=0,0,M$30/$J$11*$J9),2)</f>
        <v>0</v>
      </c>
      <c r="N87" s="51">
        <f>ROUND(IF($J$11=0,0,N$30/$J$11*$J9),2)</f>
        <v>0</v>
      </c>
      <c r="O87" s="51">
        <f>ROUND(IF($J$11=0,0,O$30/$J$11*$J9),2)</f>
        <v>0</v>
      </c>
      <c r="P87" s="51">
        <f>ROUND(IF($J$11=0,0,P$30/$J$11*$J9),2)</f>
        <v>0</v>
      </c>
      <c r="Q87" s="51">
        <f>ROUND(IF($J$11=0,0,Q$30/$J$11*$J9),2)</f>
        <v>0</v>
      </c>
      <c r="R87" s="51">
        <f>ROUND(IF($J$11=0,0,R$30/$J$11*$J9),2)</f>
        <v>0</v>
      </c>
      <c r="S87" s="121">
        <f>ROUND(IF($J$11=0,0,S$30/$J$11*$J9),2)</f>
        <v>0</v>
      </c>
    </row>
    <row r="88" spans="1:19" x14ac:dyDescent="0.2">
      <c r="A88" s="237" t="s">
        <v>1242</v>
      </c>
      <c r="B88" s="50" t="str">
        <f>Instructions!P8</f>
        <v>Pay 2007</v>
      </c>
      <c r="C88" s="50" t="s">
        <v>3</v>
      </c>
      <c r="D88" s="42">
        <f t="shared" si="10"/>
        <v>0</v>
      </c>
      <c r="E88" s="120">
        <f>ROUND(IF($K$11=0,0,E$31/$K$11*$K9),2)</f>
        <v>0</v>
      </c>
      <c r="F88" s="51">
        <f>ROUND(IF($K$11=0,0,F$31/$K$11*$K9),2)</f>
        <v>0</v>
      </c>
      <c r="G88" s="51">
        <f>ROUND(IF($K$11=0,0,G$31/$K$11*$K9),2)</f>
        <v>0</v>
      </c>
      <c r="H88" s="51">
        <f>ROUND(IF($K$11=0,0,H$31/$K$11*$K9),2)</f>
        <v>0</v>
      </c>
      <c r="I88" s="51">
        <f>ROUND(IF($K$11=0,0,I$31/$K$11*$K9),2)</f>
        <v>0</v>
      </c>
      <c r="J88" s="51">
        <f>ROUND(IF($K$11=0,0,J$31/$K$11*$K9),2)</f>
        <v>0</v>
      </c>
      <c r="K88" s="51">
        <f>ROUND(IF($K$11=0,0,K$31/$K$11*$K9),2)</f>
        <v>0</v>
      </c>
      <c r="L88" s="51">
        <f>ROUND(IF($K$11=0,0,L$31/$K$11*$K9),2)</f>
        <v>0</v>
      </c>
      <c r="M88" s="51">
        <f>ROUND(IF($K$11=0,0,M$31/$K$11*$K9),2)</f>
        <v>0</v>
      </c>
      <c r="N88" s="51">
        <f>ROUND(IF($K$11=0,0,N$31/$K$11*$K9),2)</f>
        <v>0</v>
      </c>
      <c r="O88" s="51">
        <f>ROUND(IF($K$11=0,0,O$31/$K$11*$K9),2)</f>
        <v>0</v>
      </c>
      <c r="P88" s="51">
        <f>ROUND(IF($K$11=0,0,P$31/$K$11*$K9),2)</f>
        <v>0</v>
      </c>
      <c r="Q88" s="51">
        <f>ROUND(IF($K$11=0,0,Q$31/$K$11*$K9),2)</f>
        <v>0</v>
      </c>
      <c r="R88" s="51">
        <f>ROUND(IF($K$11=0,0,R$31/$K$11*$K9),2)</f>
        <v>0</v>
      </c>
      <c r="S88" s="121">
        <f>ROUND(IF($K$11=0,0,S$31/$K$11*$K9),2)</f>
        <v>0</v>
      </c>
    </row>
    <row r="89" spans="1:19" x14ac:dyDescent="0.2">
      <c r="A89" s="237" t="s">
        <v>1240</v>
      </c>
      <c r="B89" s="55"/>
      <c r="D89" s="43"/>
      <c r="E89" s="120"/>
      <c r="F89" s="51"/>
      <c r="G89" s="51"/>
      <c r="H89" s="51"/>
      <c r="I89" s="51"/>
      <c r="J89" s="51"/>
      <c r="K89" s="51"/>
      <c r="L89" s="51"/>
      <c r="M89" s="51"/>
      <c r="N89" s="51"/>
      <c r="O89" s="51"/>
      <c r="P89" s="51"/>
      <c r="Q89" s="51"/>
      <c r="R89" s="51"/>
      <c r="S89" s="121"/>
    </row>
    <row r="90" spans="1:19" x14ac:dyDescent="0.2">
      <c r="A90" s="237" t="s">
        <v>1242</v>
      </c>
      <c r="B90" s="237" t="s">
        <v>1242</v>
      </c>
      <c r="C90" s="55" t="s">
        <v>582</v>
      </c>
      <c r="D90" s="43">
        <f t="shared" ref="D90:S90" si="11">SUM(D82:D89)</f>
        <v>0</v>
      </c>
      <c r="E90" s="120">
        <f t="shared" si="11"/>
        <v>0</v>
      </c>
      <c r="F90" s="51">
        <f t="shared" si="11"/>
        <v>0</v>
      </c>
      <c r="G90" s="51">
        <f t="shared" si="11"/>
        <v>0</v>
      </c>
      <c r="H90" s="51">
        <f t="shared" si="11"/>
        <v>0</v>
      </c>
      <c r="I90" s="51">
        <f t="shared" si="11"/>
        <v>0</v>
      </c>
      <c r="J90" s="51">
        <f t="shared" si="11"/>
        <v>0</v>
      </c>
      <c r="K90" s="51">
        <f t="shared" si="11"/>
        <v>0</v>
      </c>
      <c r="L90" s="51">
        <f t="shared" si="11"/>
        <v>0</v>
      </c>
      <c r="M90" s="51">
        <f t="shared" si="11"/>
        <v>0</v>
      </c>
      <c r="N90" s="51">
        <f t="shared" si="11"/>
        <v>0</v>
      </c>
      <c r="O90" s="51">
        <f t="shared" si="11"/>
        <v>0</v>
      </c>
      <c r="P90" s="51">
        <f t="shared" si="11"/>
        <v>0</v>
      </c>
      <c r="Q90" s="51">
        <f t="shared" si="11"/>
        <v>0</v>
      </c>
      <c r="R90" s="51">
        <f t="shared" si="11"/>
        <v>0</v>
      </c>
      <c r="S90" s="121">
        <f t="shared" si="11"/>
        <v>0</v>
      </c>
    </row>
    <row r="91" spans="1:19" x14ac:dyDescent="0.2">
      <c r="A91" s="237" t="s">
        <v>1240</v>
      </c>
      <c r="B91" s="55"/>
      <c r="D91" s="43"/>
      <c r="E91" s="120"/>
      <c r="F91" s="51"/>
      <c r="G91" s="51"/>
      <c r="H91" s="51"/>
      <c r="I91" s="51"/>
      <c r="J91" s="51"/>
      <c r="K91" s="51"/>
      <c r="L91" s="51"/>
      <c r="M91" s="51"/>
      <c r="N91" s="51"/>
      <c r="O91" s="51"/>
      <c r="P91" s="51"/>
      <c r="Q91" s="51"/>
      <c r="R91" s="51"/>
      <c r="S91" s="121"/>
    </row>
    <row r="92" spans="1:19" x14ac:dyDescent="0.2">
      <c r="A92" s="237" t="s">
        <v>1240</v>
      </c>
      <c r="E92" s="120"/>
      <c r="F92" s="52"/>
      <c r="G92" s="52"/>
      <c r="H92" s="52"/>
      <c r="I92" s="52"/>
      <c r="J92" s="52"/>
      <c r="K92" s="52"/>
      <c r="L92" s="52"/>
      <c r="M92" s="52"/>
      <c r="N92" s="52"/>
      <c r="O92" s="52"/>
      <c r="P92" s="52"/>
      <c r="Q92" s="52"/>
      <c r="R92" s="52"/>
      <c r="S92" s="122"/>
    </row>
    <row r="93" spans="1:19" x14ac:dyDescent="0.2">
      <c r="A93" s="39" t="s">
        <v>589</v>
      </c>
      <c r="B93" s="55"/>
      <c r="C93" s="55"/>
      <c r="E93" s="120"/>
      <c r="F93" s="52"/>
      <c r="G93" s="52"/>
      <c r="H93" s="52"/>
      <c r="I93" s="52"/>
      <c r="J93" s="52"/>
      <c r="K93" s="52"/>
      <c r="L93" s="52"/>
      <c r="M93" s="52"/>
      <c r="N93" s="52"/>
      <c r="O93" s="52"/>
      <c r="P93" s="52"/>
      <c r="Q93" s="52"/>
      <c r="R93" s="52"/>
      <c r="S93" s="122"/>
    </row>
    <row r="94" spans="1:19" x14ac:dyDescent="0.2">
      <c r="A94" s="237" t="s">
        <v>1242</v>
      </c>
      <c r="B94" s="50" t="str">
        <f>Instructions!P1</f>
        <v>Pay 2014</v>
      </c>
      <c r="C94" s="50" t="s">
        <v>504</v>
      </c>
      <c r="D94" s="42">
        <f>SUM(E94:S94)</f>
        <v>0</v>
      </c>
      <c r="E94" s="120">
        <f>ROUND(IF($D$11=0,0,E$32/$D$11*$D6),2)</f>
        <v>0</v>
      </c>
      <c r="F94" s="51">
        <f>ROUND(IF($D$11=0,0,F$32/$D$11*$D6),2)</f>
        <v>0</v>
      </c>
      <c r="G94" s="51">
        <f>ROUND(IF($D$11=0,0,G$32/$D$11*$D6),2)</f>
        <v>0</v>
      </c>
      <c r="H94" s="51">
        <f>ROUND(IF($D$11=0,0,H$32/$D$11*$D6),2)</f>
        <v>0</v>
      </c>
      <c r="I94" s="51">
        <f>ROUND(IF($D$11=0,0,I$32/$D$11*$D6),2)</f>
        <v>0</v>
      </c>
      <c r="J94" s="51">
        <f>ROUND(IF($D$11=0,0,J$32/$D$11*$D6),2)</f>
        <v>0</v>
      </c>
      <c r="K94" s="51">
        <f>ROUND(IF($D$11=0,0,K$32/$D$11*$D6),2)</f>
        <v>0</v>
      </c>
      <c r="L94" s="51">
        <f>ROUND(IF($D$11=0,0,L$32/$D$11*$D6),2)</f>
        <v>0</v>
      </c>
      <c r="M94" s="51">
        <f>ROUND(IF($D$11=0,0,M$32/$D$11*$D6),2)</f>
        <v>0</v>
      </c>
      <c r="N94" s="51">
        <f>ROUND(IF($D$11=0,0,N$32/$D$11*$D6),2)</f>
        <v>0</v>
      </c>
      <c r="O94" s="51">
        <f>ROUND(IF($D$11=0,0,O$32/$D$11*$D6),2)</f>
        <v>0</v>
      </c>
      <c r="P94" s="51">
        <f>ROUND(IF($D$11=0,0,P$32/$D$11*$D6),2)</f>
        <v>0</v>
      </c>
      <c r="Q94" s="51">
        <f>ROUND(IF($D$11=0,0,Q$32/$D$11*$D6),2)</f>
        <v>0</v>
      </c>
      <c r="R94" s="51">
        <f>ROUND(IF($D$11=0,0,R$32/$D$11*$D6),2)</f>
        <v>0</v>
      </c>
      <c r="S94" s="121">
        <f>ROUND(IF($D$11=0,0,S$32/$D$11*$D6),2)</f>
        <v>0</v>
      </c>
    </row>
    <row r="95" spans="1:19" x14ac:dyDescent="0.2">
      <c r="A95" s="237" t="s">
        <v>1242</v>
      </c>
      <c r="B95" s="50" t="str">
        <f>Instructions!P1</f>
        <v>Pay 2014</v>
      </c>
      <c r="C95" s="50" t="s">
        <v>505</v>
      </c>
      <c r="D95" s="42">
        <f>SUM(E95:S95)</f>
        <v>0</v>
      </c>
      <c r="E95" s="120">
        <f>ROUND(IF($D$11=0,0,E$32/$D$11*$D7),2)</f>
        <v>0</v>
      </c>
      <c r="F95" s="51">
        <f>ROUND(IF($D$11=0,0,F$32/$D$11*$D7),2)</f>
        <v>0</v>
      </c>
      <c r="G95" s="51">
        <f>ROUND(IF($D$11=0,0,G$32/$D$11*$D7),2)</f>
        <v>0</v>
      </c>
      <c r="H95" s="51">
        <f>ROUND(IF($D$11=0,0,H$32/$D$11*$D7),2)</f>
        <v>0</v>
      </c>
      <c r="I95" s="51">
        <f>ROUND(IF($D$11=0,0,I$32/$D$11*$D7),2)</f>
        <v>0</v>
      </c>
      <c r="J95" s="51">
        <f>ROUND(IF($D$11=0,0,J$32/$D$11*$D7),2)</f>
        <v>0</v>
      </c>
      <c r="K95" s="51">
        <f>ROUND(IF($D$11=0,0,K$32/$D$11*$D7),2)</f>
        <v>0</v>
      </c>
      <c r="L95" s="51">
        <f>ROUND(IF($D$11=0,0,L$32/$D$11*$D7),2)</f>
        <v>0</v>
      </c>
      <c r="M95" s="51">
        <f>ROUND(IF($D$11=0,0,M$32/$D$11*$D7),2)</f>
        <v>0</v>
      </c>
      <c r="N95" s="51">
        <f>ROUND(IF($D$11=0,0,N$32/$D$11*$D7),2)</f>
        <v>0</v>
      </c>
      <c r="O95" s="51">
        <f>ROUND(IF($D$11=0,0,O$32/$D$11*$D7),2)</f>
        <v>0</v>
      </c>
      <c r="P95" s="51">
        <f>ROUND(IF($D$11=0,0,P$32/$D$11*$D7),2)</f>
        <v>0</v>
      </c>
      <c r="Q95" s="51">
        <f>ROUND(IF($D$11=0,0,Q$32/$D$11*$D7),2)</f>
        <v>0</v>
      </c>
      <c r="R95" s="51">
        <f>ROUND(IF($D$11=0,0,R$32/$D$11*$D7),2)</f>
        <v>0</v>
      </c>
      <c r="S95" s="121">
        <f>ROUND(IF($D$11=0,0,S$32/$D$11*$D7),2)</f>
        <v>0</v>
      </c>
    </row>
    <row r="96" spans="1:19" x14ac:dyDescent="0.2">
      <c r="A96" s="237" t="s">
        <v>1242</v>
      </c>
      <c r="B96" s="50" t="str">
        <f>Instructions!P1</f>
        <v>Pay 2014</v>
      </c>
      <c r="C96" s="50" t="s">
        <v>586</v>
      </c>
      <c r="D96" s="42">
        <f>SUM(E96:S96)</f>
        <v>0</v>
      </c>
      <c r="E96" s="120">
        <f>ROUND(IF($D$11=0,0,E$32/$D$11*$D8),2)</f>
        <v>0</v>
      </c>
      <c r="F96" s="51">
        <f>ROUND(IF($D$11=0,0,F$32/$D$11*$D8),2)</f>
        <v>0</v>
      </c>
      <c r="G96" s="51">
        <f>ROUND(IF($D$11=0,0,G$32/$D$11*$D8),2)</f>
        <v>0</v>
      </c>
      <c r="H96" s="51">
        <f>ROUND(IF($D$11=0,0,H$32/$D$11*$D8),2)</f>
        <v>0</v>
      </c>
      <c r="I96" s="51">
        <f>ROUND(IF($D$11=0,0,I$32/$D$11*$D8),2)</f>
        <v>0</v>
      </c>
      <c r="J96" s="51">
        <f>ROUND(IF($D$11=0,0,J$32/$D$11*$D8),2)</f>
        <v>0</v>
      </c>
      <c r="K96" s="51">
        <f>ROUND(IF($D$11=0,0,K$32/$D$11*$D8),2)</f>
        <v>0</v>
      </c>
      <c r="L96" s="51">
        <f>ROUND(IF($D$11=0,0,L$32/$D$11*$D8),2)</f>
        <v>0</v>
      </c>
      <c r="M96" s="51">
        <f>ROUND(IF($D$11=0,0,M$32/$D$11*$D8),2)</f>
        <v>0</v>
      </c>
      <c r="N96" s="51">
        <f>ROUND(IF($D$11=0,0,N$32/$D$11*$D8),2)</f>
        <v>0</v>
      </c>
      <c r="O96" s="51">
        <f>ROUND(IF($D$11=0,0,O$32/$D$11*$D8),2)</f>
        <v>0</v>
      </c>
      <c r="P96" s="51">
        <f>ROUND(IF($D$11=0,0,P$32/$D$11*$D8),2)</f>
        <v>0</v>
      </c>
      <c r="Q96" s="51">
        <f>ROUND(IF($D$11=0,0,Q$32/$D$11*$D8),2)</f>
        <v>0</v>
      </c>
      <c r="R96" s="51">
        <f>ROUND(IF($D$11=0,0,R$32/$D$11*$D8),2)</f>
        <v>0</v>
      </c>
      <c r="S96" s="121">
        <f>ROUND(IF($D$11=0,0,S$32/$D$11*$D8),2)</f>
        <v>0</v>
      </c>
    </row>
    <row r="97" spans="1:19" x14ac:dyDescent="0.2">
      <c r="A97" s="237" t="s">
        <v>1242</v>
      </c>
      <c r="B97" s="50" t="str">
        <f>Instructions!P1</f>
        <v>Pay 2014</v>
      </c>
      <c r="C97" s="50" t="s">
        <v>3</v>
      </c>
      <c r="D97" s="42">
        <f>SUM(E97:S97)</f>
        <v>0</v>
      </c>
      <c r="E97" s="120">
        <f>ROUND(IF($D$11=0,0,E$32/$D$11*$D9),2)</f>
        <v>0</v>
      </c>
      <c r="F97" s="51">
        <f>ROUND(IF($D$11=0,0,F$32/$D$11*$D9),2)</f>
        <v>0</v>
      </c>
      <c r="G97" s="51">
        <f>ROUND(IF($D$11=0,0,G$32/$D$11*$D9),2)</f>
        <v>0</v>
      </c>
      <c r="H97" s="51">
        <f>ROUND(IF($D$11=0,0,H$32/$D$11*$D9),2)</f>
        <v>0</v>
      </c>
      <c r="I97" s="51">
        <f>ROUND(IF($D$11=0,0,I$32/$D$11*$D9),2)</f>
        <v>0</v>
      </c>
      <c r="J97" s="51">
        <f>ROUND(IF($D$11=0,0,J$32/$D$11*$D9),2)</f>
        <v>0</v>
      </c>
      <c r="K97" s="51">
        <f>ROUND(IF($D$11=0,0,K$32/$D$11*$D9),2)</f>
        <v>0</v>
      </c>
      <c r="L97" s="51">
        <f>ROUND(IF($D$11=0,0,L$32/$D$11*$D9),2)</f>
        <v>0</v>
      </c>
      <c r="M97" s="51">
        <f>ROUND(IF($D$11=0,0,M$32/$D$11*$D9),2)</f>
        <v>0</v>
      </c>
      <c r="N97" s="51">
        <f>ROUND(IF($D$11=0,0,N$32/$D$11*$D9),2)</f>
        <v>0</v>
      </c>
      <c r="O97" s="51">
        <f>ROUND(IF($D$11=0,0,O$32/$D$11*$D9),2)</f>
        <v>0</v>
      </c>
      <c r="P97" s="51">
        <f>ROUND(IF($D$11=0,0,P$32/$D$11*$D9),2)</f>
        <v>0</v>
      </c>
      <c r="Q97" s="51">
        <f>ROUND(IF($D$11=0,0,Q$32/$D$11*$D9),2)</f>
        <v>0</v>
      </c>
      <c r="R97" s="51">
        <f>ROUND(IF($D$11=0,0,R$32/$D$11*$D9),2)</f>
        <v>0</v>
      </c>
      <c r="S97" s="121">
        <f>ROUND(IF($D$11=0,0,S$32/$D$11*$D9),2)</f>
        <v>0</v>
      </c>
    </row>
    <row r="98" spans="1:19" x14ac:dyDescent="0.2">
      <c r="A98" s="237" t="s">
        <v>1240</v>
      </c>
      <c r="E98" s="120"/>
      <c r="F98" s="51"/>
      <c r="G98" s="51"/>
      <c r="H98" s="51"/>
      <c r="I98" s="51"/>
      <c r="J98" s="51"/>
      <c r="K98" s="51"/>
      <c r="L98" s="51"/>
      <c r="M98" s="51"/>
      <c r="N98" s="51"/>
      <c r="O98" s="51"/>
      <c r="P98" s="51"/>
      <c r="Q98" s="51"/>
      <c r="R98" s="51"/>
      <c r="S98" s="121"/>
    </row>
    <row r="99" spans="1:19" x14ac:dyDescent="0.2">
      <c r="A99" s="237" t="s">
        <v>1242</v>
      </c>
      <c r="B99" s="237" t="s">
        <v>1242</v>
      </c>
      <c r="C99" s="50" t="s">
        <v>582</v>
      </c>
      <c r="D99" s="43">
        <f t="shared" ref="D99:S99" si="12">SUM(D94:D98)</f>
        <v>0</v>
      </c>
      <c r="E99" s="120">
        <f t="shared" si="12"/>
        <v>0</v>
      </c>
      <c r="F99" s="51">
        <f t="shared" si="12"/>
        <v>0</v>
      </c>
      <c r="G99" s="51">
        <f t="shared" si="12"/>
        <v>0</v>
      </c>
      <c r="H99" s="51">
        <f t="shared" si="12"/>
        <v>0</v>
      </c>
      <c r="I99" s="51">
        <f t="shared" si="12"/>
        <v>0</v>
      </c>
      <c r="J99" s="51">
        <f t="shared" si="12"/>
        <v>0</v>
      </c>
      <c r="K99" s="51">
        <f t="shared" si="12"/>
        <v>0</v>
      </c>
      <c r="L99" s="51">
        <f t="shared" si="12"/>
        <v>0</v>
      </c>
      <c r="M99" s="51">
        <f t="shared" si="12"/>
        <v>0</v>
      </c>
      <c r="N99" s="51">
        <f t="shared" si="12"/>
        <v>0</v>
      </c>
      <c r="O99" s="51">
        <f t="shared" si="12"/>
        <v>0</v>
      </c>
      <c r="P99" s="51">
        <f t="shared" si="12"/>
        <v>0</v>
      </c>
      <c r="Q99" s="51">
        <f t="shared" si="12"/>
        <v>0</v>
      </c>
      <c r="R99" s="51">
        <f t="shared" si="12"/>
        <v>0</v>
      </c>
      <c r="S99" s="121">
        <f t="shared" si="12"/>
        <v>0</v>
      </c>
    </row>
    <row r="100" spans="1:19" x14ac:dyDescent="0.2">
      <c r="A100" s="237" t="s">
        <v>1240</v>
      </c>
      <c r="E100" s="120"/>
      <c r="F100" s="52"/>
      <c r="G100" s="52"/>
      <c r="H100" s="52"/>
      <c r="I100" s="52"/>
      <c r="J100" s="52"/>
      <c r="K100" s="52"/>
      <c r="L100" s="52"/>
      <c r="M100" s="52"/>
      <c r="N100" s="52"/>
      <c r="O100" s="52"/>
      <c r="P100" s="52"/>
      <c r="Q100" s="52"/>
      <c r="R100" s="52"/>
      <c r="S100" s="122"/>
    </row>
    <row r="101" spans="1:19" x14ac:dyDescent="0.2">
      <c r="A101" s="237" t="s">
        <v>1240</v>
      </c>
      <c r="E101" s="120"/>
      <c r="F101" s="52"/>
      <c r="G101" s="52"/>
      <c r="H101" s="52"/>
      <c r="I101" s="52"/>
      <c r="J101" s="52"/>
      <c r="K101" s="52"/>
      <c r="L101" s="52"/>
      <c r="M101" s="52"/>
      <c r="N101" s="52"/>
      <c r="O101" s="52"/>
      <c r="P101" s="52"/>
      <c r="Q101" s="52"/>
      <c r="R101" s="52"/>
      <c r="S101" s="122"/>
    </row>
    <row r="102" spans="1:19" x14ac:dyDescent="0.2">
      <c r="A102" s="39" t="s">
        <v>589</v>
      </c>
      <c r="B102" s="55"/>
      <c r="C102" s="55"/>
      <c r="E102" s="120"/>
      <c r="F102" s="52"/>
      <c r="G102" s="52"/>
      <c r="H102" s="52"/>
      <c r="I102" s="52"/>
      <c r="J102" s="52"/>
      <c r="K102" s="52"/>
      <c r="L102" s="52"/>
      <c r="M102" s="52"/>
      <c r="N102" s="52"/>
      <c r="O102" s="52"/>
      <c r="P102" s="52"/>
      <c r="Q102" s="52"/>
      <c r="R102" s="52"/>
      <c r="S102" s="122"/>
    </row>
    <row r="103" spans="1:19" x14ac:dyDescent="0.2">
      <c r="A103" s="237" t="s">
        <v>1242</v>
      </c>
      <c r="B103" s="50" t="str">
        <f>Instructions!P2</f>
        <v>Pay 2013</v>
      </c>
      <c r="C103" s="50" t="s">
        <v>504</v>
      </c>
      <c r="D103" s="42">
        <f>SUM(E103:S103)</f>
        <v>0</v>
      </c>
      <c r="E103" s="120">
        <f>ROUND(IF($E$11=0,0,E$33/$E$11*$E6),2)</f>
        <v>0</v>
      </c>
      <c r="F103" s="51">
        <f>ROUND(IF($E$11=0,0,F$33/$E$11*$E6),2)</f>
        <v>0</v>
      </c>
      <c r="G103" s="51">
        <f>ROUND(IF($E$11=0,0,G$33/$E$11*$E6),2)</f>
        <v>0</v>
      </c>
      <c r="H103" s="51">
        <f>ROUND(IF($E$11=0,0,H$33/$E$11*$E6),2)</f>
        <v>0</v>
      </c>
      <c r="I103" s="51">
        <f>ROUND(IF($E$11=0,0,I$33/$E$11*$E6),2)</f>
        <v>0</v>
      </c>
      <c r="J103" s="51">
        <f>ROUND(IF($E$11=0,0,J$33/$E$11*$E6),2)</f>
        <v>0</v>
      </c>
      <c r="K103" s="51">
        <f>ROUND(IF($E$11=0,0,K$33/$E$11*$E6),2)</f>
        <v>0</v>
      </c>
      <c r="L103" s="51">
        <f>ROUND(IF($E$11=0,0,L$33/$E$11*$E6),2)</f>
        <v>0</v>
      </c>
      <c r="M103" s="51">
        <f>ROUND(IF($E$11=0,0,M$33/$E$11*$E6),2)</f>
        <v>0</v>
      </c>
      <c r="N103" s="51">
        <f>ROUND(IF($E$11=0,0,N$33/$E$11*$E6),2)</f>
        <v>0</v>
      </c>
      <c r="O103" s="51">
        <f>ROUND(IF($E$11=0,0,O$33/$E$11*$E6),2)</f>
        <v>0</v>
      </c>
      <c r="P103" s="51">
        <f>ROUND(IF($E$11=0,0,P$33/$E$11*$E6),2)</f>
        <v>0</v>
      </c>
      <c r="Q103" s="51">
        <f>ROUND(IF($E$11=0,0,Q$33/$E$11*$E6),2)</f>
        <v>0</v>
      </c>
      <c r="R103" s="51">
        <f>ROUND(IF($E$11=0,0,R$33/$E$11*$E6),2)</f>
        <v>0</v>
      </c>
      <c r="S103" s="121">
        <f>ROUND(IF($E$11=0,0,S$33/$E$11*$E6),2)</f>
        <v>0</v>
      </c>
    </row>
    <row r="104" spans="1:19" x14ac:dyDescent="0.2">
      <c r="A104" s="237" t="s">
        <v>1242</v>
      </c>
      <c r="B104" s="50" t="str">
        <f>Instructions!P2</f>
        <v>Pay 2013</v>
      </c>
      <c r="C104" s="50" t="s">
        <v>505</v>
      </c>
      <c r="D104" s="42">
        <f>SUM(E104:S104)</f>
        <v>0</v>
      </c>
      <c r="E104" s="120">
        <f>ROUND(IF($E$11=0,0,E$33/$E$11*$E7),2)</f>
        <v>0</v>
      </c>
      <c r="F104" s="51">
        <f>ROUND(IF($E$11=0,0,F$33/$E$11*$E7),2)</f>
        <v>0</v>
      </c>
      <c r="G104" s="51">
        <f>ROUND(IF($E$11=0,0,G$33/$E$11*$E7),2)</f>
        <v>0</v>
      </c>
      <c r="H104" s="51">
        <f>ROUND(IF($E$11=0,0,H$33/$E$11*$E7),2)</f>
        <v>0</v>
      </c>
      <c r="I104" s="51">
        <f>ROUND(IF($E$11=0,0,I$33/$E$11*$E7),2)</f>
        <v>0</v>
      </c>
      <c r="J104" s="51">
        <f>ROUND(IF($E$11=0,0,J$33/$E$11*$E7),2)</f>
        <v>0</v>
      </c>
      <c r="K104" s="51">
        <f>ROUND(IF($E$11=0,0,K$33/$E$11*$E7),2)</f>
        <v>0</v>
      </c>
      <c r="L104" s="51">
        <f>ROUND(IF($E$11=0,0,L$33/$E$11*$E7),2)</f>
        <v>0</v>
      </c>
      <c r="M104" s="51">
        <f>ROUND(IF($E$11=0,0,M$33/$E$11*$E7),2)</f>
        <v>0</v>
      </c>
      <c r="N104" s="51">
        <f>ROUND(IF($E$11=0,0,N$33/$E$11*$E7),2)</f>
        <v>0</v>
      </c>
      <c r="O104" s="51">
        <f>ROUND(IF($E$11=0,0,O$33/$E$11*$E7),2)</f>
        <v>0</v>
      </c>
      <c r="P104" s="51">
        <f>ROUND(IF($E$11=0,0,P$33/$E$11*$E7),2)</f>
        <v>0</v>
      </c>
      <c r="Q104" s="51">
        <f>ROUND(IF($E$11=0,0,Q$33/$E$11*$E7),2)</f>
        <v>0</v>
      </c>
      <c r="R104" s="51">
        <f>ROUND(IF($E$11=0,0,R$33/$E$11*$E7),2)</f>
        <v>0</v>
      </c>
      <c r="S104" s="121">
        <f>ROUND(IF($E$11=0,0,S$33/$E$11*$E7),2)</f>
        <v>0</v>
      </c>
    </row>
    <row r="105" spans="1:19" x14ac:dyDescent="0.2">
      <c r="A105" s="237" t="s">
        <v>1242</v>
      </c>
      <c r="B105" s="50" t="str">
        <f>Instructions!P2</f>
        <v>Pay 2013</v>
      </c>
      <c r="C105" s="50" t="s">
        <v>586</v>
      </c>
      <c r="D105" s="42">
        <f>SUM(E105:S105)</f>
        <v>0</v>
      </c>
      <c r="E105" s="120">
        <f>ROUND(IF($E$11=0,0,E$33/$E$11*$E8),2)</f>
        <v>0</v>
      </c>
      <c r="F105" s="51">
        <f>ROUND(IF($E$11=0,0,F$33/$E$11*$E8),2)</f>
        <v>0</v>
      </c>
      <c r="G105" s="51">
        <f>ROUND(IF($E$11=0,0,G$33/$E$11*$E8),2)</f>
        <v>0</v>
      </c>
      <c r="H105" s="51">
        <f>ROUND(IF($E$11=0,0,H$33/$E$11*$E8),2)</f>
        <v>0</v>
      </c>
      <c r="I105" s="51">
        <f>ROUND(IF($E$11=0,0,I$33/$E$11*$E8),2)</f>
        <v>0</v>
      </c>
      <c r="J105" s="51">
        <f>ROUND(IF($E$11=0,0,J$33/$E$11*$E8),2)</f>
        <v>0</v>
      </c>
      <c r="K105" s="51">
        <f>ROUND(IF($E$11=0,0,K$33/$E$11*$E8),2)</f>
        <v>0</v>
      </c>
      <c r="L105" s="51">
        <f>ROUND(IF($E$11=0,0,L$33/$E$11*$E8),2)</f>
        <v>0</v>
      </c>
      <c r="M105" s="51">
        <f>ROUND(IF($E$11=0,0,M$33/$E$11*$E8),2)</f>
        <v>0</v>
      </c>
      <c r="N105" s="51">
        <f>ROUND(IF($E$11=0,0,N$33/$E$11*$E8),2)</f>
        <v>0</v>
      </c>
      <c r="O105" s="51">
        <f>ROUND(IF($E$11=0,0,O$33/$E$11*$E8),2)</f>
        <v>0</v>
      </c>
      <c r="P105" s="51">
        <f>ROUND(IF($E$11=0,0,P$33/$E$11*$E8),2)</f>
        <v>0</v>
      </c>
      <c r="Q105" s="51">
        <f>ROUND(IF($E$11=0,0,Q$33/$E$11*$E8),2)</f>
        <v>0</v>
      </c>
      <c r="R105" s="51">
        <f>ROUND(IF($E$11=0,0,R$33/$E$11*$E8),2)</f>
        <v>0</v>
      </c>
      <c r="S105" s="121">
        <f>ROUND(IF($E$11=0,0,S$33/$E$11*$E8),2)</f>
        <v>0</v>
      </c>
    </row>
    <row r="106" spans="1:19" x14ac:dyDescent="0.2">
      <c r="A106" s="237" t="s">
        <v>1242</v>
      </c>
      <c r="B106" s="50" t="str">
        <f>Instructions!P2</f>
        <v>Pay 2013</v>
      </c>
      <c r="C106" s="50" t="s">
        <v>3</v>
      </c>
      <c r="D106" s="42">
        <f>SUM(E106:S106)</f>
        <v>0</v>
      </c>
      <c r="E106" s="120">
        <f>ROUND(IF($E$11=0,0,E$33/$E$11*$E9),2)</f>
        <v>0</v>
      </c>
      <c r="F106" s="51">
        <f>ROUND(IF($E$11=0,0,F$33/$E$11*$E9),2)</f>
        <v>0</v>
      </c>
      <c r="G106" s="51">
        <f>ROUND(IF($E$11=0,0,G$33/$E$11*$E9),2)</f>
        <v>0</v>
      </c>
      <c r="H106" s="51">
        <f>ROUND(IF($E$11=0,0,H$33/$E$11*$E9),2)</f>
        <v>0</v>
      </c>
      <c r="I106" s="51">
        <f>ROUND(IF($E$11=0,0,I$33/$E$11*$E9),2)</f>
        <v>0</v>
      </c>
      <c r="J106" s="51">
        <f>ROUND(IF($E$11=0,0,J$33/$E$11*$E9),2)</f>
        <v>0</v>
      </c>
      <c r="K106" s="51">
        <f>ROUND(IF($E$11=0,0,K$33/$E$11*$E9),2)</f>
        <v>0</v>
      </c>
      <c r="L106" s="51">
        <f>ROUND(IF($E$11=0,0,L$33/$E$11*$E9),2)</f>
        <v>0</v>
      </c>
      <c r="M106" s="51">
        <f>ROUND(IF($E$11=0,0,M$33/$E$11*$E9),2)</f>
        <v>0</v>
      </c>
      <c r="N106" s="51">
        <f>ROUND(IF($E$11=0,0,N$33/$E$11*$E9),2)</f>
        <v>0</v>
      </c>
      <c r="O106" s="51">
        <f>ROUND(IF($E$11=0,0,O$33/$E$11*$E9),2)</f>
        <v>0</v>
      </c>
      <c r="P106" s="51">
        <f>ROUND(IF($E$11=0,0,P$33/$E$11*$E9),2)</f>
        <v>0</v>
      </c>
      <c r="Q106" s="51">
        <f>ROUND(IF($E$11=0,0,Q$33/$E$11*$E9),2)</f>
        <v>0</v>
      </c>
      <c r="R106" s="51">
        <f>ROUND(IF($E$11=0,0,R$33/$E$11*$E9),2)</f>
        <v>0</v>
      </c>
      <c r="S106" s="121">
        <f>ROUND(IF($E$11=0,0,S$33/$E$11*$E9),2)</f>
        <v>0</v>
      </c>
    </row>
    <row r="107" spans="1:19" x14ac:dyDescent="0.2">
      <c r="A107" s="237" t="s">
        <v>1240</v>
      </c>
      <c r="E107" s="120"/>
      <c r="F107" s="51"/>
      <c r="G107" s="51"/>
      <c r="H107" s="51"/>
      <c r="I107" s="51"/>
      <c r="J107" s="51"/>
      <c r="K107" s="51"/>
      <c r="L107" s="51"/>
      <c r="M107" s="51"/>
      <c r="N107" s="51"/>
      <c r="O107" s="51"/>
      <c r="P107" s="51"/>
      <c r="Q107" s="51"/>
      <c r="R107" s="51"/>
      <c r="S107" s="121"/>
    </row>
    <row r="108" spans="1:19" x14ac:dyDescent="0.2">
      <c r="A108" s="237" t="s">
        <v>1242</v>
      </c>
      <c r="B108" s="237" t="s">
        <v>1242</v>
      </c>
      <c r="C108" s="50" t="s">
        <v>582</v>
      </c>
      <c r="D108" s="43">
        <f>SUM(D103:D107)</f>
        <v>0</v>
      </c>
      <c r="E108" s="120">
        <f>SUM(E103:E107)</f>
        <v>0</v>
      </c>
      <c r="F108" s="51">
        <f t="shared" ref="F108:S108" si="13">SUM(F103:F107)</f>
        <v>0</v>
      </c>
      <c r="G108" s="51">
        <f t="shared" si="13"/>
        <v>0</v>
      </c>
      <c r="H108" s="51">
        <f t="shared" si="13"/>
        <v>0</v>
      </c>
      <c r="I108" s="51">
        <f t="shared" si="13"/>
        <v>0</v>
      </c>
      <c r="J108" s="51">
        <f t="shared" si="13"/>
        <v>0</v>
      </c>
      <c r="K108" s="51">
        <f t="shared" si="13"/>
        <v>0</v>
      </c>
      <c r="L108" s="51">
        <f t="shared" si="13"/>
        <v>0</v>
      </c>
      <c r="M108" s="51">
        <f t="shared" si="13"/>
        <v>0</v>
      </c>
      <c r="N108" s="51">
        <f t="shared" si="13"/>
        <v>0</v>
      </c>
      <c r="O108" s="51">
        <f t="shared" si="13"/>
        <v>0</v>
      </c>
      <c r="P108" s="51">
        <f t="shared" si="13"/>
        <v>0</v>
      </c>
      <c r="Q108" s="51">
        <f t="shared" si="13"/>
        <v>0</v>
      </c>
      <c r="R108" s="51">
        <f t="shared" si="13"/>
        <v>0</v>
      </c>
      <c r="S108" s="121">
        <f t="shared" si="13"/>
        <v>0</v>
      </c>
    </row>
    <row r="109" spans="1:19" x14ac:dyDescent="0.2">
      <c r="A109" s="237" t="s">
        <v>1240</v>
      </c>
      <c r="B109" s="50"/>
      <c r="E109" s="120"/>
      <c r="F109" s="52"/>
      <c r="G109" s="52"/>
      <c r="H109" s="52"/>
      <c r="I109" s="52"/>
      <c r="J109" s="52"/>
      <c r="K109" s="52"/>
      <c r="L109" s="52"/>
      <c r="M109" s="52"/>
      <c r="N109" s="52"/>
      <c r="O109" s="52"/>
      <c r="P109" s="52"/>
      <c r="Q109" s="52"/>
      <c r="R109" s="52"/>
      <c r="S109" s="122"/>
    </row>
    <row r="110" spans="1:19" x14ac:dyDescent="0.2">
      <c r="A110" s="237" t="s">
        <v>1240</v>
      </c>
      <c r="E110" s="120"/>
      <c r="F110" s="52"/>
      <c r="G110" s="52"/>
      <c r="H110" s="52"/>
      <c r="I110" s="52"/>
      <c r="J110" s="52"/>
      <c r="K110" s="52"/>
      <c r="L110" s="52"/>
      <c r="M110" s="52"/>
      <c r="N110" s="52"/>
      <c r="O110" s="52"/>
      <c r="P110" s="52"/>
      <c r="Q110" s="52"/>
      <c r="R110" s="52"/>
      <c r="S110" s="122"/>
    </row>
    <row r="111" spans="1:19" x14ac:dyDescent="0.2">
      <c r="A111" s="39" t="s">
        <v>595</v>
      </c>
      <c r="B111" s="55"/>
      <c r="C111" s="55"/>
      <c r="E111" s="120"/>
      <c r="F111" s="52"/>
      <c r="G111" s="52"/>
      <c r="H111" s="52"/>
      <c r="I111" s="52"/>
      <c r="J111" s="52"/>
      <c r="K111" s="52"/>
      <c r="L111" s="52"/>
      <c r="M111" s="52"/>
      <c r="N111" s="52"/>
      <c r="O111" s="52"/>
      <c r="P111" s="52"/>
      <c r="Q111" s="52"/>
      <c r="R111" s="52"/>
      <c r="S111" s="122"/>
    </row>
    <row r="112" spans="1:19" x14ac:dyDescent="0.2">
      <c r="A112" s="237" t="s">
        <v>1242</v>
      </c>
      <c r="B112" s="50" t="str">
        <f>Instructions!P1</f>
        <v>Pay 2014</v>
      </c>
      <c r="C112" s="50" t="s">
        <v>504</v>
      </c>
      <c r="D112" s="42">
        <f>SUM(E112:S112)</f>
        <v>0</v>
      </c>
      <c r="E112" s="120">
        <f>ROUND(IF($D$11=0,0,E$34/$D$11*$D6),2)</f>
        <v>0</v>
      </c>
      <c r="F112" s="51">
        <f>ROUND(IF($D$11=0,0,F$34/$D$11*$D6),2)</f>
        <v>0</v>
      </c>
      <c r="G112" s="51">
        <f>ROUND(IF($D$11=0,0,G$34/$D$11*$D6),2)</f>
        <v>0</v>
      </c>
      <c r="H112" s="51">
        <f>ROUND(IF($D$11=0,0,H$34/$D$11*$D6),2)</f>
        <v>0</v>
      </c>
      <c r="I112" s="51">
        <f>ROUND(IF($D$11=0,0,I$34/$D$11*$D6),2)</f>
        <v>0</v>
      </c>
      <c r="J112" s="51">
        <f>ROUND(IF($D$11=0,0,J$34/$D$11*$D6),2)</f>
        <v>0</v>
      </c>
      <c r="K112" s="51">
        <f>ROUND(IF($D$11=0,0,K$34/$D$11*$D6),2)</f>
        <v>0</v>
      </c>
      <c r="L112" s="51">
        <f>ROUND(IF($D$11=0,0,L$34/$D$11*$D6),2)</f>
        <v>0</v>
      </c>
      <c r="M112" s="51">
        <f>ROUND(IF($D$11=0,0,M$34/$D$11*$D6),2)</f>
        <v>0</v>
      </c>
      <c r="N112" s="51">
        <f>ROUND(IF($D$11=0,0,N$34/$D$11*$D6),2)</f>
        <v>0</v>
      </c>
      <c r="O112" s="51">
        <f>ROUND(IF($D$11=0,0,O$34/$D$11*$D6),2)</f>
        <v>0</v>
      </c>
      <c r="P112" s="51">
        <f>ROUND(IF($D$11=0,0,P$34/$D$11*$D6),2)</f>
        <v>0</v>
      </c>
      <c r="Q112" s="51">
        <f>ROUND(IF($D$11=0,0,Q$34/$D$11*$D6),2)</f>
        <v>0</v>
      </c>
      <c r="R112" s="51">
        <f>ROUND(IF($D$11=0,0,R$34/$D$11*$D6),2)</f>
        <v>0</v>
      </c>
      <c r="S112" s="121">
        <f>ROUND(IF($D$11=0,0,S$34/$D$11*$D6),2)</f>
        <v>0</v>
      </c>
    </row>
    <row r="113" spans="1:19" x14ac:dyDescent="0.2">
      <c r="A113" s="237" t="s">
        <v>1242</v>
      </c>
      <c r="B113" s="50" t="str">
        <f>Instructions!P1</f>
        <v>Pay 2014</v>
      </c>
      <c r="C113" s="50" t="s">
        <v>505</v>
      </c>
      <c r="D113" s="42">
        <f>SUM(E113:S113)</f>
        <v>0</v>
      </c>
      <c r="E113" s="120">
        <f>ROUND(IF($D$11=0,0,E$34/$D$11*$D7),2)</f>
        <v>0</v>
      </c>
      <c r="F113" s="51">
        <f>ROUND(IF($D$11=0,0,F$34/$D$11*$D7),2)</f>
        <v>0</v>
      </c>
      <c r="G113" s="51">
        <f>ROUND(IF($D$11=0,0,G$34/$D$11*$D7),2)</f>
        <v>0</v>
      </c>
      <c r="H113" s="51">
        <f>ROUND(IF($D$11=0,0,H$34/$D$11*$D7),2)</f>
        <v>0</v>
      </c>
      <c r="I113" s="51">
        <f>ROUND(IF($D$11=0,0,I$34/$D$11*$D7),2)</f>
        <v>0</v>
      </c>
      <c r="J113" s="51">
        <f>ROUND(IF($D$11=0,0,J$34/$D$11*$D7),2)</f>
        <v>0</v>
      </c>
      <c r="K113" s="51">
        <f>ROUND(IF($D$11=0,0,K$34/$D$11*$D7),2)</f>
        <v>0</v>
      </c>
      <c r="L113" s="51">
        <f>ROUND(IF($D$11=0,0,L$34/$D$11*$D7),2)</f>
        <v>0</v>
      </c>
      <c r="M113" s="51">
        <f>ROUND(IF($D$11=0,0,M$34/$D$11*$D7),2)</f>
        <v>0</v>
      </c>
      <c r="N113" s="51">
        <f>ROUND(IF($D$11=0,0,N$34/$D$11*$D7),2)</f>
        <v>0</v>
      </c>
      <c r="O113" s="51">
        <f>ROUND(IF($D$11=0,0,O$34/$D$11*$D7),2)</f>
        <v>0</v>
      </c>
      <c r="P113" s="51">
        <f>ROUND(IF($D$11=0,0,P$34/$D$11*$D7),2)</f>
        <v>0</v>
      </c>
      <c r="Q113" s="51">
        <f>ROUND(IF($D$11=0,0,Q$34/$D$11*$D7),2)</f>
        <v>0</v>
      </c>
      <c r="R113" s="51">
        <f>ROUND(IF($D$11=0,0,R$34/$D$11*$D7),2)</f>
        <v>0</v>
      </c>
      <c r="S113" s="121">
        <f>ROUND(IF($D$11=0,0,S$34/$D$11*$D7),2)</f>
        <v>0</v>
      </c>
    </row>
    <row r="114" spans="1:19" x14ac:dyDescent="0.2">
      <c r="A114" s="237" t="s">
        <v>1242</v>
      </c>
      <c r="B114" s="50" t="str">
        <f>Instructions!P1</f>
        <v>Pay 2014</v>
      </c>
      <c r="C114" s="50" t="s">
        <v>586</v>
      </c>
      <c r="D114" s="42">
        <f>SUM(E114:S114)</f>
        <v>0</v>
      </c>
      <c r="E114" s="120">
        <f>ROUND(IF($D$11=0,0,E$34/$D$11*$D8),2)</f>
        <v>0</v>
      </c>
      <c r="F114" s="51">
        <f>ROUND(IF($D$11=0,0,F$34/$D$11*$D8),2)</f>
        <v>0</v>
      </c>
      <c r="G114" s="51">
        <f>ROUND(IF($D$11=0,0,G$34/$D$11*$D8),2)</f>
        <v>0</v>
      </c>
      <c r="H114" s="51">
        <f>ROUND(IF($D$11=0,0,H$34/$D$11*$D8),2)</f>
        <v>0</v>
      </c>
      <c r="I114" s="51">
        <f>ROUND(IF($D$11=0,0,I$34/$D$11*$D8),2)</f>
        <v>0</v>
      </c>
      <c r="J114" s="51">
        <f>ROUND(IF($D$11=0,0,J$34/$D$11*$D8),2)</f>
        <v>0</v>
      </c>
      <c r="K114" s="51">
        <f>ROUND(IF($D$11=0,0,K$34/$D$11*$D8),2)</f>
        <v>0</v>
      </c>
      <c r="L114" s="51">
        <f>ROUND(IF($D$11=0,0,L$34/$D$11*$D8),2)</f>
        <v>0</v>
      </c>
      <c r="M114" s="51">
        <f>ROUND(IF($D$11=0,0,M$34/$D$11*$D8),2)</f>
        <v>0</v>
      </c>
      <c r="N114" s="51">
        <f>ROUND(IF($D$11=0,0,N$34/$D$11*$D8),2)</f>
        <v>0</v>
      </c>
      <c r="O114" s="51">
        <f>ROUND(IF($D$11=0,0,O$34/$D$11*$D8),2)</f>
        <v>0</v>
      </c>
      <c r="P114" s="51">
        <f>ROUND(IF($D$11=0,0,P$34/$D$11*$D8),2)</f>
        <v>0</v>
      </c>
      <c r="Q114" s="51">
        <f>ROUND(IF($D$11=0,0,Q$34/$D$11*$D8),2)</f>
        <v>0</v>
      </c>
      <c r="R114" s="51">
        <f>ROUND(IF($D$11=0,0,R$34/$D$11*$D8),2)</f>
        <v>0</v>
      </c>
      <c r="S114" s="121">
        <f>ROUND(IF($D$11=0,0,S$34/$D$11*$D8),2)</f>
        <v>0</v>
      </c>
    </row>
    <row r="115" spans="1:19" x14ac:dyDescent="0.2">
      <c r="A115" s="237" t="s">
        <v>1242</v>
      </c>
      <c r="B115" s="50" t="str">
        <f>Instructions!P1</f>
        <v>Pay 2014</v>
      </c>
      <c r="C115" s="50" t="s">
        <v>3</v>
      </c>
      <c r="D115" s="42">
        <f>SUM(E115:S115)</f>
        <v>0</v>
      </c>
      <c r="E115" s="120">
        <f>ROUND(IF($D$11=0,0,E$34/$D$11*$D9),2)</f>
        <v>0</v>
      </c>
      <c r="F115" s="51">
        <f>ROUND(IF($D$11=0,0,F$34/$D$11*$D9),2)</f>
        <v>0</v>
      </c>
      <c r="G115" s="51">
        <f>ROUND(IF($D$11=0,0,G$34/$D$11*$D9),2)</f>
        <v>0</v>
      </c>
      <c r="H115" s="51">
        <f>ROUND(IF($D$11=0,0,H$34/$D$11*$D9),2)</f>
        <v>0</v>
      </c>
      <c r="I115" s="51">
        <f>ROUND(IF($D$11=0,0,I$34/$D$11*$D9),2)</f>
        <v>0</v>
      </c>
      <c r="J115" s="51">
        <f>ROUND(IF($D$11=0,0,J$34/$D$11*$D9),2)</f>
        <v>0</v>
      </c>
      <c r="K115" s="51">
        <f>ROUND(IF($D$11=0,0,K$34/$D$11*$D9),2)</f>
        <v>0</v>
      </c>
      <c r="L115" s="51">
        <f>ROUND(IF($D$11=0,0,L$34/$D$11*$D9),2)</f>
        <v>0</v>
      </c>
      <c r="M115" s="51">
        <f>ROUND(IF($D$11=0,0,M$34/$D$11*$D9),2)</f>
        <v>0</v>
      </c>
      <c r="N115" s="51">
        <f>ROUND(IF($D$11=0,0,N$34/$D$11*$D9),2)</f>
        <v>0</v>
      </c>
      <c r="O115" s="51">
        <f>ROUND(IF($D$11=0,0,O$34/$D$11*$D9),2)</f>
        <v>0</v>
      </c>
      <c r="P115" s="51">
        <f>ROUND(IF($D$11=0,0,P$34/$D$11*$D9),2)</f>
        <v>0</v>
      </c>
      <c r="Q115" s="51">
        <f>ROUND(IF($D$11=0,0,Q$34/$D$11*$D9),2)</f>
        <v>0</v>
      </c>
      <c r="R115" s="51">
        <f>ROUND(IF($D$11=0,0,R$34/$D$11*$D9),2)</f>
        <v>0</v>
      </c>
      <c r="S115" s="121">
        <f>ROUND(IF($D$11=0,0,S$34/$D$11*$D9),2)</f>
        <v>0</v>
      </c>
    </row>
    <row r="116" spans="1:19" x14ac:dyDescent="0.2">
      <c r="A116" s="237" t="s">
        <v>1240</v>
      </c>
      <c r="E116" s="120"/>
      <c r="F116" s="51"/>
      <c r="G116" s="51"/>
      <c r="H116" s="51"/>
      <c r="I116" s="51"/>
      <c r="J116" s="51"/>
      <c r="K116" s="51"/>
      <c r="L116" s="51"/>
      <c r="M116" s="51"/>
      <c r="N116" s="51"/>
      <c r="O116" s="51"/>
      <c r="P116" s="51"/>
      <c r="Q116" s="51"/>
      <c r="R116" s="51"/>
      <c r="S116" s="121"/>
    </row>
    <row r="117" spans="1:19" x14ac:dyDescent="0.2">
      <c r="A117" s="237" t="s">
        <v>1242</v>
      </c>
      <c r="B117" s="237" t="s">
        <v>1242</v>
      </c>
      <c r="C117" s="50" t="s">
        <v>582</v>
      </c>
      <c r="D117" s="43">
        <f t="shared" ref="D117:S117" si="14">SUM(D112:D116)</f>
        <v>0</v>
      </c>
      <c r="E117" s="120">
        <f t="shared" si="14"/>
        <v>0</v>
      </c>
      <c r="F117" s="51">
        <f t="shared" si="14"/>
        <v>0</v>
      </c>
      <c r="G117" s="51">
        <f t="shared" si="14"/>
        <v>0</v>
      </c>
      <c r="H117" s="51">
        <f t="shared" si="14"/>
        <v>0</v>
      </c>
      <c r="I117" s="51">
        <f t="shared" si="14"/>
        <v>0</v>
      </c>
      <c r="J117" s="51">
        <f t="shared" si="14"/>
        <v>0</v>
      </c>
      <c r="K117" s="51">
        <f t="shared" si="14"/>
        <v>0</v>
      </c>
      <c r="L117" s="51">
        <f t="shared" si="14"/>
        <v>0</v>
      </c>
      <c r="M117" s="51">
        <f t="shared" si="14"/>
        <v>0</v>
      </c>
      <c r="N117" s="51">
        <f t="shared" si="14"/>
        <v>0</v>
      </c>
      <c r="O117" s="51">
        <f t="shared" si="14"/>
        <v>0</v>
      </c>
      <c r="P117" s="51">
        <f t="shared" si="14"/>
        <v>0</v>
      </c>
      <c r="Q117" s="51">
        <f t="shared" si="14"/>
        <v>0</v>
      </c>
      <c r="R117" s="51">
        <f t="shared" si="14"/>
        <v>0</v>
      </c>
      <c r="S117" s="121">
        <f t="shared" si="14"/>
        <v>0</v>
      </c>
    </row>
    <row r="118" spans="1:19" x14ac:dyDescent="0.2">
      <c r="A118" s="237" t="s">
        <v>1240</v>
      </c>
      <c r="E118" s="120"/>
      <c r="F118" s="52"/>
      <c r="G118" s="52"/>
      <c r="H118" s="52"/>
      <c r="I118" s="52"/>
      <c r="J118" s="52"/>
      <c r="K118" s="52"/>
      <c r="L118" s="52"/>
      <c r="M118" s="52"/>
      <c r="N118" s="52"/>
      <c r="O118" s="52"/>
      <c r="P118" s="52"/>
      <c r="Q118" s="52"/>
      <c r="R118" s="52"/>
      <c r="S118" s="122"/>
    </row>
    <row r="119" spans="1:19" x14ac:dyDescent="0.2">
      <c r="A119" s="237" t="s">
        <v>1240</v>
      </c>
      <c r="E119" s="120"/>
      <c r="F119" s="52"/>
      <c r="G119" s="52"/>
      <c r="H119" s="52"/>
      <c r="I119" s="52"/>
      <c r="J119" s="52"/>
      <c r="K119" s="52"/>
      <c r="L119" s="52"/>
      <c r="M119" s="52"/>
      <c r="N119" s="52"/>
      <c r="O119" s="52"/>
      <c r="P119" s="52"/>
      <c r="Q119" s="52"/>
      <c r="R119" s="52"/>
      <c r="S119" s="122"/>
    </row>
    <row r="120" spans="1:19" x14ac:dyDescent="0.2">
      <c r="A120" s="39" t="s">
        <v>595</v>
      </c>
      <c r="B120" s="55"/>
      <c r="C120" s="55"/>
      <c r="E120" s="120"/>
      <c r="F120" s="52"/>
      <c r="G120" s="52"/>
      <c r="H120" s="52"/>
      <c r="I120" s="52"/>
      <c r="J120" s="52"/>
      <c r="K120" s="52"/>
      <c r="L120" s="52"/>
      <c r="M120" s="52"/>
      <c r="N120" s="52"/>
      <c r="O120" s="52"/>
      <c r="P120" s="52"/>
      <c r="Q120" s="52"/>
      <c r="R120" s="52"/>
      <c r="S120" s="122"/>
    </row>
    <row r="121" spans="1:19" x14ac:dyDescent="0.2">
      <c r="A121" s="237" t="s">
        <v>1242</v>
      </c>
      <c r="B121" s="50" t="str">
        <f>Instructions!P2</f>
        <v>Pay 2013</v>
      </c>
      <c r="C121" s="50" t="s">
        <v>504</v>
      </c>
      <c r="D121" s="42">
        <f>SUM(E121:S121)</f>
        <v>0</v>
      </c>
      <c r="E121" s="120">
        <f>ROUND(IF($E$11=0,0,E$35/$E$11*$E6),2)</f>
        <v>0</v>
      </c>
      <c r="F121" s="51">
        <f>ROUND(IF($E$11=0,0,F$35/$E$11*$E6),2)</f>
        <v>0</v>
      </c>
      <c r="G121" s="51">
        <f>ROUND(IF($E$11=0,0,G$35/$E$11*$E6),2)</f>
        <v>0</v>
      </c>
      <c r="H121" s="51">
        <f>ROUND(IF($E$11=0,0,H$35/$E$11*$E6),2)</f>
        <v>0</v>
      </c>
      <c r="I121" s="51">
        <f>ROUND(IF($E$11=0,0,I$35/$E$11*$E6),2)</f>
        <v>0</v>
      </c>
      <c r="J121" s="51">
        <f>ROUND(IF($E$11=0,0,J$35/$E$11*$E6),2)</f>
        <v>0</v>
      </c>
      <c r="K121" s="51">
        <f>ROUND(IF($E$11=0,0,K$35/$E$11*$E6),2)</f>
        <v>0</v>
      </c>
      <c r="L121" s="51">
        <f>ROUND(IF($E$11=0,0,L$35/$E$11*$E6),2)</f>
        <v>0</v>
      </c>
      <c r="M121" s="51">
        <f>ROUND(IF($E$11=0,0,M$35/$E$11*$E6),2)</f>
        <v>0</v>
      </c>
      <c r="N121" s="51">
        <f>ROUND(IF($E$11=0,0,N$35/$E$11*$E6),2)</f>
        <v>0</v>
      </c>
      <c r="O121" s="51">
        <f>ROUND(IF($E$11=0,0,O$35/$E$11*$E6),2)</f>
        <v>0</v>
      </c>
      <c r="P121" s="51">
        <f>ROUND(IF($E$11=0,0,P$35/$E$11*$E6),2)</f>
        <v>0</v>
      </c>
      <c r="Q121" s="51">
        <f>ROUND(IF($E$11=0,0,Q$35/$E$11*$E6),2)</f>
        <v>0</v>
      </c>
      <c r="R121" s="51">
        <f>ROUND(IF($E$11=0,0,R$35/$E$11*$E6),2)</f>
        <v>0</v>
      </c>
      <c r="S121" s="121">
        <f>ROUND(IF($E$11=0,0,S$35/$E$11*$E6),2)</f>
        <v>0</v>
      </c>
    </row>
    <row r="122" spans="1:19" x14ac:dyDescent="0.2">
      <c r="A122" s="237" t="s">
        <v>1242</v>
      </c>
      <c r="B122" s="50" t="str">
        <f>Instructions!P2</f>
        <v>Pay 2013</v>
      </c>
      <c r="C122" s="50" t="s">
        <v>505</v>
      </c>
      <c r="D122" s="42">
        <f>SUM(E122:S122)</f>
        <v>0</v>
      </c>
      <c r="E122" s="120">
        <f>ROUND(IF($E$11=0,0,E$35/$E$11*$E7),2)</f>
        <v>0</v>
      </c>
      <c r="F122" s="51">
        <f>ROUND(IF($E$11=0,0,F$35/$E$11*$E7),2)</f>
        <v>0</v>
      </c>
      <c r="G122" s="51">
        <f>ROUND(IF($E$11=0,0,G$35/$E$11*$E7),2)</f>
        <v>0</v>
      </c>
      <c r="H122" s="51">
        <f>ROUND(IF($E$11=0,0,H$35/$E$11*$E7),2)</f>
        <v>0</v>
      </c>
      <c r="I122" s="51">
        <f>ROUND(IF($E$11=0,0,I$35/$E$11*$E7),2)</f>
        <v>0</v>
      </c>
      <c r="J122" s="51">
        <f>ROUND(IF($E$11=0,0,J$35/$E$11*$E7),2)</f>
        <v>0</v>
      </c>
      <c r="K122" s="51">
        <f>ROUND(IF($E$11=0,0,K$35/$E$11*$E7),2)</f>
        <v>0</v>
      </c>
      <c r="L122" s="51">
        <f>ROUND(IF($E$11=0,0,L$35/$E$11*$E7),2)</f>
        <v>0</v>
      </c>
      <c r="M122" s="51">
        <f>ROUND(IF($E$11=0,0,M$35/$E$11*$E7),2)</f>
        <v>0</v>
      </c>
      <c r="N122" s="51">
        <f>ROUND(IF($E$11=0,0,N$35/$E$11*$E7),2)</f>
        <v>0</v>
      </c>
      <c r="O122" s="51">
        <f>ROUND(IF($E$11=0,0,O$35/$E$11*$E7),2)</f>
        <v>0</v>
      </c>
      <c r="P122" s="51">
        <f>ROUND(IF($E$11=0,0,P$35/$E$11*$E7),2)</f>
        <v>0</v>
      </c>
      <c r="Q122" s="51">
        <f>ROUND(IF($E$11=0,0,Q$35/$E$11*$E7),2)</f>
        <v>0</v>
      </c>
      <c r="R122" s="51">
        <f>ROUND(IF($E$11=0,0,R$35/$E$11*$E7),2)</f>
        <v>0</v>
      </c>
      <c r="S122" s="121">
        <f>ROUND(IF($E$11=0,0,S$35/$E$11*$E7),2)</f>
        <v>0</v>
      </c>
    </row>
    <row r="123" spans="1:19" x14ac:dyDescent="0.2">
      <c r="A123" s="237" t="s">
        <v>1242</v>
      </c>
      <c r="B123" s="50" t="str">
        <f>Instructions!P2</f>
        <v>Pay 2013</v>
      </c>
      <c r="C123" s="50" t="s">
        <v>586</v>
      </c>
      <c r="D123" s="42">
        <f>SUM(E123:S123)</f>
        <v>0</v>
      </c>
      <c r="E123" s="120">
        <f>ROUND(IF($E$11=0,0,E$35/$E$11*$E8),2)</f>
        <v>0</v>
      </c>
      <c r="F123" s="51">
        <f>ROUND(IF($E$11=0,0,F$35/$E$11*$E8),2)</f>
        <v>0</v>
      </c>
      <c r="G123" s="51">
        <f>ROUND(IF($E$11=0,0,G$35/$E$11*$E8),2)</f>
        <v>0</v>
      </c>
      <c r="H123" s="51">
        <f>ROUND(IF($E$11=0,0,H$35/$E$11*$E8),2)</f>
        <v>0</v>
      </c>
      <c r="I123" s="51">
        <f>ROUND(IF($E$11=0,0,I$35/$E$11*$E8),2)</f>
        <v>0</v>
      </c>
      <c r="J123" s="51">
        <f>ROUND(IF($E$11=0,0,J$35/$E$11*$E8),2)</f>
        <v>0</v>
      </c>
      <c r="K123" s="51">
        <f>ROUND(IF($E$11=0,0,K$35/$E$11*$E8),2)</f>
        <v>0</v>
      </c>
      <c r="L123" s="51">
        <f>ROUND(IF($E$11=0,0,L$35/$E$11*$E8),2)</f>
        <v>0</v>
      </c>
      <c r="M123" s="51">
        <f>ROUND(IF($E$11=0,0,M$35/$E$11*$E8),2)</f>
        <v>0</v>
      </c>
      <c r="N123" s="51">
        <f>ROUND(IF($E$11=0,0,N$35/$E$11*$E8),2)</f>
        <v>0</v>
      </c>
      <c r="O123" s="51">
        <f>ROUND(IF($E$11=0,0,O$35/$E$11*$E8),2)</f>
        <v>0</v>
      </c>
      <c r="P123" s="51">
        <f>ROUND(IF($E$11=0,0,P$35/$E$11*$E8),2)</f>
        <v>0</v>
      </c>
      <c r="Q123" s="51">
        <f>ROUND(IF($E$11=0,0,Q$35/$E$11*$E8),2)</f>
        <v>0</v>
      </c>
      <c r="R123" s="51">
        <f>ROUND(IF($E$11=0,0,R$35/$E$11*$E8),2)</f>
        <v>0</v>
      </c>
      <c r="S123" s="121">
        <f>ROUND(IF($E$11=0,0,S$35/$E$11*$E8),2)</f>
        <v>0</v>
      </c>
    </row>
    <row r="124" spans="1:19" x14ac:dyDescent="0.2">
      <c r="A124" s="237" t="s">
        <v>1242</v>
      </c>
      <c r="B124" s="50" t="str">
        <f>Instructions!P2</f>
        <v>Pay 2013</v>
      </c>
      <c r="C124" s="50" t="s">
        <v>3</v>
      </c>
      <c r="D124" s="42">
        <f>SUM(E124:S124)</f>
        <v>0</v>
      </c>
      <c r="E124" s="120">
        <f>ROUND(IF($E$11=0,0,E$35/$E$11*$E9),2)</f>
        <v>0</v>
      </c>
      <c r="F124" s="51">
        <f>ROUND(IF($E$11=0,0,F$35/$E$11*$E9),2)</f>
        <v>0</v>
      </c>
      <c r="G124" s="51">
        <f>ROUND(IF($E$11=0,0,G$35/$E$11*$E9),2)</f>
        <v>0</v>
      </c>
      <c r="H124" s="51">
        <f>ROUND(IF($E$11=0,0,H$35/$E$11*$E9),2)</f>
        <v>0</v>
      </c>
      <c r="I124" s="51">
        <f>ROUND(IF($E$11=0,0,I$35/$E$11*$E9),2)</f>
        <v>0</v>
      </c>
      <c r="J124" s="51">
        <f>ROUND(IF($E$11=0,0,J$35/$E$11*$E9),2)</f>
        <v>0</v>
      </c>
      <c r="K124" s="51">
        <f>ROUND(IF($E$11=0,0,K$35/$E$11*$E9),2)</f>
        <v>0</v>
      </c>
      <c r="L124" s="51">
        <f>ROUND(IF($E$11=0,0,L$35/$E$11*$E9),2)</f>
        <v>0</v>
      </c>
      <c r="M124" s="51">
        <f>ROUND(IF($E$11=0,0,M$35/$E$11*$E9),2)</f>
        <v>0</v>
      </c>
      <c r="N124" s="51">
        <f>ROUND(IF($E$11=0,0,N$35/$E$11*$E9),2)</f>
        <v>0</v>
      </c>
      <c r="O124" s="51">
        <f>ROUND(IF($E$11=0,0,O$35/$E$11*$E9),2)</f>
        <v>0</v>
      </c>
      <c r="P124" s="51">
        <f>ROUND(IF($E$11=0,0,P$35/$E$11*$E9),2)</f>
        <v>0</v>
      </c>
      <c r="Q124" s="51">
        <f>ROUND(IF($E$11=0,0,Q$35/$E$11*$E9),2)</f>
        <v>0</v>
      </c>
      <c r="R124" s="51">
        <f>ROUND(IF($E$11=0,0,R$35/$E$11*$E9),2)</f>
        <v>0</v>
      </c>
      <c r="S124" s="121">
        <f>ROUND(IF($E$11=0,0,S$35/$E$11*$E9),2)</f>
        <v>0</v>
      </c>
    </row>
    <row r="125" spans="1:19" x14ac:dyDescent="0.2">
      <c r="A125" s="237" t="s">
        <v>1240</v>
      </c>
      <c r="E125" s="120"/>
      <c r="F125" s="51"/>
      <c r="G125" s="51"/>
      <c r="H125" s="51"/>
      <c r="I125" s="51"/>
      <c r="J125" s="51"/>
      <c r="K125" s="51"/>
      <c r="L125" s="51"/>
      <c r="M125" s="51"/>
      <c r="N125" s="51"/>
      <c r="O125" s="51"/>
      <c r="P125" s="51"/>
      <c r="Q125" s="51"/>
      <c r="R125" s="51"/>
      <c r="S125" s="121"/>
    </row>
    <row r="126" spans="1:19" x14ac:dyDescent="0.2">
      <c r="A126" s="237" t="s">
        <v>1242</v>
      </c>
      <c r="B126" s="237" t="s">
        <v>1242</v>
      </c>
      <c r="C126" s="50" t="s">
        <v>582</v>
      </c>
      <c r="D126" s="43">
        <f>SUM(D121:D125)</f>
        <v>0</v>
      </c>
      <c r="E126" s="120">
        <f>SUM(E121:E125)</f>
        <v>0</v>
      </c>
      <c r="F126" s="51">
        <f t="shared" ref="F126:S126" si="15">SUM(F121:F125)</f>
        <v>0</v>
      </c>
      <c r="G126" s="51">
        <f t="shared" si="15"/>
        <v>0</v>
      </c>
      <c r="H126" s="51">
        <f t="shared" si="15"/>
        <v>0</v>
      </c>
      <c r="I126" s="51">
        <f t="shared" si="15"/>
        <v>0</v>
      </c>
      <c r="J126" s="51">
        <f t="shared" si="15"/>
        <v>0</v>
      </c>
      <c r="K126" s="51">
        <f t="shared" si="15"/>
        <v>0</v>
      </c>
      <c r="L126" s="51">
        <f t="shared" si="15"/>
        <v>0</v>
      </c>
      <c r="M126" s="51">
        <f t="shared" si="15"/>
        <v>0</v>
      </c>
      <c r="N126" s="51">
        <f t="shared" si="15"/>
        <v>0</v>
      </c>
      <c r="O126" s="51">
        <f t="shared" si="15"/>
        <v>0</v>
      </c>
      <c r="P126" s="51">
        <f t="shared" si="15"/>
        <v>0</v>
      </c>
      <c r="Q126" s="51">
        <f t="shared" si="15"/>
        <v>0</v>
      </c>
      <c r="R126" s="51">
        <f t="shared" si="15"/>
        <v>0</v>
      </c>
      <c r="S126" s="121">
        <f t="shared" si="15"/>
        <v>0</v>
      </c>
    </row>
    <row r="127" spans="1:19" x14ac:dyDescent="0.2">
      <c r="A127" s="237" t="s">
        <v>1240</v>
      </c>
      <c r="E127" s="120"/>
      <c r="F127" s="52"/>
      <c r="G127" s="52"/>
      <c r="H127" s="52"/>
      <c r="I127" s="52"/>
      <c r="J127" s="52"/>
      <c r="K127" s="52"/>
      <c r="L127" s="52"/>
      <c r="M127" s="52"/>
      <c r="N127" s="52"/>
      <c r="O127" s="52"/>
      <c r="P127" s="52"/>
      <c r="Q127" s="52"/>
      <c r="R127" s="52"/>
      <c r="S127" s="122"/>
    </row>
    <row r="128" spans="1:19" x14ac:dyDescent="0.2">
      <c r="A128" s="237" t="s">
        <v>1240</v>
      </c>
      <c r="E128" s="120"/>
      <c r="F128" s="52"/>
      <c r="G128" s="52"/>
      <c r="H128" s="52"/>
      <c r="I128" s="52"/>
      <c r="J128" s="52"/>
      <c r="K128" s="52"/>
      <c r="L128" s="52"/>
      <c r="M128" s="52"/>
      <c r="N128" s="52"/>
      <c r="O128" s="52"/>
      <c r="P128" s="52"/>
      <c r="Q128" s="52"/>
      <c r="R128" s="52"/>
      <c r="S128" s="122"/>
    </row>
    <row r="129" spans="1:19" ht="12" thickBot="1" x14ac:dyDescent="0.25">
      <c r="A129" s="39" t="s">
        <v>590</v>
      </c>
      <c r="D129" s="42">
        <f>SUM(E129:S129)</f>
        <v>0</v>
      </c>
      <c r="E129" s="127">
        <f>E36</f>
        <v>0</v>
      </c>
      <c r="F129" s="128">
        <f>F36</f>
        <v>0</v>
      </c>
      <c r="G129" s="128">
        <f>G36</f>
        <v>0</v>
      </c>
      <c r="H129" s="128">
        <f>H36</f>
        <v>0</v>
      </c>
      <c r="I129" s="128">
        <f>I36</f>
        <v>0</v>
      </c>
      <c r="J129" s="128">
        <f>J36</f>
        <v>0</v>
      </c>
      <c r="K129" s="128">
        <f>K36</f>
        <v>0</v>
      </c>
      <c r="L129" s="128">
        <f>L36</f>
        <v>0</v>
      </c>
      <c r="M129" s="128">
        <f>M36</f>
        <v>0</v>
      </c>
      <c r="N129" s="128">
        <f>N36</f>
        <v>0</v>
      </c>
      <c r="O129" s="128">
        <f>O36</f>
        <v>0</v>
      </c>
      <c r="P129" s="128">
        <f>P36</f>
        <v>0</v>
      </c>
      <c r="Q129" s="128">
        <f>Q36</f>
        <v>0</v>
      </c>
      <c r="R129" s="128">
        <f>R36</f>
        <v>0</v>
      </c>
      <c r="S129" s="129">
        <f>S36</f>
        <v>0</v>
      </c>
    </row>
    <row r="130" spans="1:19" ht="12" thickTop="1" x14ac:dyDescent="0.2">
      <c r="A130" s="237" t="s">
        <v>1240</v>
      </c>
    </row>
    <row r="131" spans="1:19" x14ac:dyDescent="0.2">
      <c r="A131" s="237" t="s">
        <v>1242</v>
      </c>
      <c r="B131" s="48" t="s">
        <v>591</v>
      </c>
      <c r="D131" s="42">
        <f>D45+D57+D68+D79+D108+D126+D129</f>
        <v>0</v>
      </c>
      <c r="E131" s="42">
        <f>E45+E57+E68+E79+E90+E99+E108+E117+E126+E129</f>
        <v>0</v>
      </c>
      <c r="F131" s="42">
        <f>F45+F57+F68+F79+F90+F99+F108+F117+F126+F129</f>
        <v>0</v>
      </c>
      <c r="G131" s="42">
        <f>G45+G57+G68+G79+G90+G99+G108+G117+G126+G129</f>
        <v>0</v>
      </c>
      <c r="H131" s="42">
        <f>H45+H57+H68+H79+H90+H99+H108+H117+H126+H129</f>
        <v>0</v>
      </c>
      <c r="I131" s="42">
        <f>I45+I57+I68+I79+I90+I99+I108+I117+I126+I129</f>
        <v>0</v>
      </c>
      <c r="J131" s="42">
        <f>J45+J57+J68+J79+J90+J99+J108+J117+J126+J129</f>
        <v>0</v>
      </c>
      <c r="K131" s="42">
        <f>K45+K57+K68+K79+K90+K99+K108+K117+K126+K129</f>
        <v>0</v>
      </c>
      <c r="L131" s="42">
        <f>L45+L57+L68+L79+L90+L99+L108+L117+L126+L129</f>
        <v>0</v>
      </c>
      <c r="M131" s="42">
        <f>M45+M57+M68+M79+M90+M99+M108+M117+M126+M129</f>
        <v>0</v>
      </c>
      <c r="N131" s="42">
        <f>N45+N57+N68+N79+N90+N99+N108+N117+N126+N129</f>
        <v>0</v>
      </c>
      <c r="O131" s="42">
        <f>O45+O57+O68+O79+O90+O99+O108+O117+O126+O129</f>
        <v>0</v>
      </c>
      <c r="P131" s="42">
        <f>P45+P57+P68+P79+P90+P99+P108+P117+P126+P129</f>
        <v>0</v>
      </c>
      <c r="Q131" s="42">
        <f>Q45+Q57+Q68+Q79+Q90+Q99+Q108+Q117+Q126+Q129</f>
        <v>0</v>
      </c>
      <c r="R131" s="42">
        <f>R45+R57+R68+R79+R90+R99+R108+R117+R126+R129</f>
        <v>0</v>
      </c>
      <c r="S131" s="42">
        <f>S45+S57+S68+S79+S90+S99+S108+S117+S126+S129</f>
        <v>0</v>
      </c>
    </row>
    <row r="132" spans="1:19" x14ac:dyDescent="0.2">
      <c r="A132" s="236" t="s">
        <v>1241</v>
      </c>
    </row>
    <row r="133" spans="1:19" hidden="1" x14ac:dyDescent="0.2"/>
    <row r="134" spans="1:19" hidden="1" x14ac:dyDescent="0.2"/>
    <row r="135" spans="1:19" hidden="1" x14ac:dyDescent="0.2"/>
    <row r="136" spans="1:19" hidden="1" x14ac:dyDescent="0.2"/>
    <row r="137" spans="1:19" hidden="1" x14ac:dyDescent="0.2"/>
    <row r="138" spans="1:19" hidden="1" x14ac:dyDescent="0.2"/>
    <row r="139" spans="1:19" hidden="1" x14ac:dyDescent="0.2"/>
    <row r="140" spans="1:19" hidden="1" x14ac:dyDescent="0.2"/>
    <row r="141" spans="1:19" hidden="1" x14ac:dyDescent="0.2"/>
    <row r="142" spans="1:19" hidden="1" x14ac:dyDescent="0.2"/>
    <row r="143" spans="1:19" hidden="1" x14ac:dyDescent="0.2"/>
    <row r="144" spans="1:19" hidden="1" x14ac:dyDescent="0.2"/>
    <row r="145" hidden="1" x14ac:dyDescent="0.2"/>
    <row r="146" hidden="1" x14ac:dyDescent="0.2"/>
    <row r="147" hidden="1" x14ac:dyDescent="0.2"/>
  </sheetData>
  <phoneticPr fontId="0" type="noConversion"/>
  <pageMargins left="0.25" right="0.25" top="0.75" bottom="0.75" header="0.5" footer="0.5"/>
  <pageSetup scale="62" fitToHeight="0" orientation="landscape" r:id="rId1"/>
  <headerFooter alignWithMargins="0"/>
  <ignoredErrors>
    <ignoredError sqref="C33" formula="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N109"/>
  <sheetViews>
    <sheetView workbookViewId="0">
      <pane xSplit="8" ySplit="9" topLeftCell="I10" activePane="bottomRight" state="frozen"/>
      <selection pane="topRight" activeCell="I1" sqref="I1"/>
      <selection pane="bottomLeft" activeCell="A10" sqref="A10"/>
      <selection pane="bottomRight" activeCell="A10" sqref="A10"/>
    </sheetView>
  </sheetViews>
  <sheetFormatPr defaultColWidth="0" defaultRowHeight="11.25" x14ac:dyDescent="0.2"/>
  <cols>
    <col min="1" max="1" width="6.83203125" style="39" customWidth="1"/>
    <col min="2" max="2" width="9.33203125" style="39" customWidth="1"/>
    <col min="3" max="3" width="12.83203125" style="39" customWidth="1"/>
    <col min="4" max="7" width="10.83203125" style="39" customWidth="1"/>
    <col min="8" max="8" width="13.5" style="39" customWidth="1"/>
    <col min="9" max="11" width="14.83203125" style="39" customWidth="1"/>
    <col min="12" max="12" width="14.83203125" style="26" customWidth="1"/>
    <col min="13" max="13" width="14.83203125" style="39" customWidth="1"/>
    <col min="14" max="14" width="14.5" style="39" customWidth="1"/>
    <col min="15" max="19" width="9.33203125" style="39" customWidth="1"/>
    <col min="20" max="16384" width="9.33203125" style="39" hidden="1"/>
  </cols>
  <sheetData>
    <row r="1" spans="1:14" ht="19.5" x14ac:dyDescent="0.3">
      <c r="A1" s="234" t="s">
        <v>503</v>
      </c>
      <c r="C1" s="49"/>
      <c r="I1" s="116">
        <f>Report!A3</f>
        <v>1</v>
      </c>
      <c r="J1" s="39" t="str">
        <f>Report!B5</f>
        <v xml:space="preserve">AITKIN          </v>
      </c>
      <c r="L1" s="135">
        <f>Report!I1</f>
        <v>41828</v>
      </c>
      <c r="N1" s="48" t="s">
        <v>565</v>
      </c>
    </row>
    <row r="2" spans="1:14" x14ac:dyDescent="0.2">
      <c r="C2" s="49"/>
      <c r="N2" s="57" t="s">
        <v>575</v>
      </c>
    </row>
    <row r="3" spans="1:14" x14ac:dyDescent="0.2">
      <c r="A3" s="57" t="s">
        <v>577</v>
      </c>
      <c r="C3" s="26"/>
      <c r="N3" s="57" t="s">
        <v>573</v>
      </c>
    </row>
    <row r="4" spans="1:14" x14ac:dyDescent="0.2">
      <c r="A4" s="57" t="s">
        <v>576</v>
      </c>
      <c r="N4" s="57" t="s">
        <v>574</v>
      </c>
    </row>
    <row r="5" spans="1:14" x14ac:dyDescent="0.2">
      <c r="A5" s="58" t="s">
        <v>578</v>
      </c>
      <c r="N5" s="58" t="s">
        <v>2</v>
      </c>
    </row>
    <row r="6" spans="1:14" x14ac:dyDescent="0.2">
      <c r="A6" s="57" t="s">
        <v>564</v>
      </c>
      <c r="I6" s="47"/>
      <c r="J6" s="47"/>
      <c r="K6" s="47"/>
      <c r="L6" s="130"/>
      <c r="M6" s="47"/>
    </row>
    <row r="7" spans="1:14" x14ac:dyDescent="0.2">
      <c r="A7" s="57" t="s">
        <v>579</v>
      </c>
      <c r="I7" s="46" t="s">
        <v>504</v>
      </c>
      <c r="J7" s="46" t="s">
        <v>505</v>
      </c>
      <c r="K7" s="46" t="s">
        <v>1238</v>
      </c>
      <c r="L7" s="131" t="s">
        <v>1239</v>
      </c>
      <c r="M7" s="46" t="s">
        <v>390</v>
      </c>
    </row>
    <row r="8" spans="1:14" x14ac:dyDescent="0.2">
      <c r="I8" s="47" t="s">
        <v>570</v>
      </c>
      <c r="J8" s="47" t="s">
        <v>570</v>
      </c>
      <c r="K8" s="47" t="s">
        <v>570</v>
      </c>
      <c r="L8" s="130" t="s">
        <v>570</v>
      </c>
      <c r="M8" s="47" t="s">
        <v>570</v>
      </c>
    </row>
    <row r="9" spans="1:14" x14ac:dyDescent="0.2">
      <c r="I9" s="47"/>
      <c r="J9" s="47"/>
      <c r="K9" s="47"/>
      <c r="L9" s="130"/>
      <c r="M9" s="47"/>
    </row>
    <row r="10" spans="1:14" x14ac:dyDescent="0.2">
      <c r="A10" s="48" t="s">
        <v>465</v>
      </c>
      <c r="N10" s="59"/>
    </row>
    <row r="12" spans="1:14" x14ac:dyDescent="0.2">
      <c r="A12" s="39" t="str">
        <f>Instructions!P1&amp;" Certified Levy"</f>
        <v>Pay 2014 Certified Levy</v>
      </c>
      <c r="H12" s="39" t="s">
        <v>406</v>
      </c>
      <c r="I12" s="26">
        <f>Funds!D6</f>
        <v>0</v>
      </c>
      <c r="J12" s="26">
        <f>Funds!D7</f>
        <v>0</v>
      </c>
      <c r="K12" s="26">
        <f>Funds!D8</f>
        <v>0</v>
      </c>
      <c r="L12" s="26">
        <f>Funds!D9</f>
        <v>0</v>
      </c>
      <c r="M12" s="26">
        <f>SUM(I12:L12)</f>
        <v>0</v>
      </c>
      <c r="N12" s="39" t="s">
        <v>509</v>
      </c>
    </row>
    <row r="13" spans="1:14" x14ac:dyDescent="0.2">
      <c r="A13" s="39" t="str">
        <f>"Tax settlements "&amp;Instructions!T4&amp;" for "&amp;Instructions!P1&amp;" levy"</f>
        <v>Tax settlements 05/01/2014 to 06/30/2014 for Pay 2014 levy</v>
      </c>
      <c r="H13" s="60" t="s">
        <v>571</v>
      </c>
      <c r="I13" s="26">
        <f>-Funds!D40</f>
        <v>0</v>
      </c>
      <c r="J13" s="26">
        <f>-Funds!D41</f>
        <v>0</v>
      </c>
      <c r="K13" s="26">
        <f>-Funds!D42</f>
        <v>0</v>
      </c>
      <c r="L13" s="26">
        <f>-Funds!D43</f>
        <v>0</v>
      </c>
      <c r="M13" s="26">
        <f>SUM(I13:L13)</f>
        <v>0</v>
      </c>
      <c r="N13" s="39" t="str">
        <f>"Tax Settlement Reports (Form 52) "&amp;Instructions!T2</f>
        <v>Tax Settlement Reports (Form 52) 07/01/2013 to 06/30/2014</v>
      </c>
    </row>
    <row r="14" spans="1:14" x14ac:dyDescent="0.2">
      <c r="A14" s="39" t="str">
        <f>"Tax settlements Fiscal disparities "&amp;Instructions!T4&amp;" for "&amp;Instructions!P1&amp;" levy"</f>
        <v>Tax settlements Fiscal disparities 05/01/2014 to 06/30/2014 for Pay 2014 levy</v>
      </c>
      <c r="H14" s="60" t="s">
        <v>571</v>
      </c>
      <c r="I14" s="26">
        <f>-Funds!D94</f>
        <v>0</v>
      </c>
      <c r="J14" s="26">
        <f>-Funds!D95</f>
        <v>0</v>
      </c>
      <c r="K14" s="26">
        <f>-Funds!D96</f>
        <v>0</v>
      </c>
      <c r="L14" s="26">
        <f>-Funds!D97</f>
        <v>0</v>
      </c>
      <c r="M14" s="26">
        <f>SUM(I14:L14)</f>
        <v>0</v>
      </c>
      <c r="N14" s="39" t="str">
        <f>"Tax Settlement Reports (Form 52) "&amp;Instructions!T2</f>
        <v>Tax Settlement Reports (Form 52) 07/01/2013 to 06/30/2014</v>
      </c>
    </row>
    <row r="15" spans="1:14" x14ac:dyDescent="0.2">
      <c r="A15" s="39" t="str">
        <f>"Tax settlements Taconite homestead credit "&amp;Instructions!T4&amp;" for "&amp;Instructions!P1&amp;" levy"</f>
        <v>Tax settlements Taconite homestead credit 05/01/2014 to 06/30/2014 for Pay 2014 levy</v>
      </c>
      <c r="H15" s="60" t="s">
        <v>571</v>
      </c>
      <c r="I15" s="26">
        <f>-Funds!D112</f>
        <v>0</v>
      </c>
      <c r="J15" s="26">
        <f>-Funds!D113</f>
        <v>0</v>
      </c>
      <c r="K15" s="26">
        <f>-Funds!D114</f>
        <v>0</v>
      </c>
      <c r="L15" s="26">
        <f>-Funds!D115</f>
        <v>0</v>
      </c>
      <c r="M15" s="26">
        <f>SUM(I15:L15)</f>
        <v>0</v>
      </c>
      <c r="N15" s="39" t="str">
        <f>"Tax Settlement Reports (Form 52) "&amp;Instructions!T2</f>
        <v>Tax Settlement Reports (Form 52) 07/01/2013 to 06/30/2014</v>
      </c>
    </row>
    <row r="16" spans="1:14" x14ac:dyDescent="0.2">
      <c r="A16" s="61" t="s">
        <v>467</v>
      </c>
    </row>
    <row r="17" spans="1:14" x14ac:dyDescent="0.2">
      <c r="B17" s="60"/>
    </row>
    <row r="18" spans="1:14" x14ac:dyDescent="0.2">
      <c r="B18" s="48" t="str">
        <f>"110 Taxes Receivable--Current "&amp;Instructions!S2</f>
        <v>110 Taxes Receivable--Current 06/30/14</v>
      </c>
      <c r="I18" s="48">
        <f>SUM(I12:I16)</f>
        <v>0</v>
      </c>
      <c r="J18" s="48">
        <f>SUM(J12:J16)</f>
        <v>0</v>
      </c>
      <c r="K18" s="48">
        <f>SUM(K12:K16)</f>
        <v>0</v>
      </c>
      <c r="L18" s="132">
        <f>SUM(L12:L16)</f>
        <v>0</v>
      </c>
    </row>
    <row r="19" spans="1:14" x14ac:dyDescent="0.2">
      <c r="B19" s="48"/>
    </row>
    <row r="20" spans="1:14" x14ac:dyDescent="0.2">
      <c r="B20" s="48"/>
    </row>
    <row r="22" spans="1:14" x14ac:dyDescent="0.2">
      <c r="A22" s="39" t="str">
        <f>"Delinquent Taxes Receivable "&amp;Instructions!S3</f>
        <v>Delinquent Taxes Receivable 06/30/13</v>
      </c>
      <c r="H22" s="39" t="s">
        <v>406</v>
      </c>
      <c r="I22" s="22">
        <v>0</v>
      </c>
      <c r="J22" s="22">
        <v>0</v>
      </c>
      <c r="K22" s="22">
        <v>0</v>
      </c>
      <c r="L22" s="22">
        <v>0</v>
      </c>
      <c r="M22" s="26">
        <f>SUM(I22:L22)</f>
        <v>0</v>
      </c>
      <c r="N22" s="39" t="str">
        <f>"General Ledger "&amp;Instructions!S3</f>
        <v>General Ledger 06/30/13</v>
      </c>
    </row>
    <row r="23" spans="1:14" x14ac:dyDescent="0.2">
      <c r="A23" s="39" t="str">
        <f>"Current Taxes Receivable "&amp;Instructions!S3</f>
        <v>Current Taxes Receivable 06/30/13</v>
      </c>
      <c r="H23" s="39" t="s">
        <v>406</v>
      </c>
      <c r="I23" s="22">
        <v>0</v>
      </c>
      <c r="J23" s="22">
        <v>0</v>
      </c>
      <c r="K23" s="22">
        <v>0</v>
      </c>
      <c r="L23" s="22">
        <v>0</v>
      </c>
      <c r="M23" s="26">
        <f>SUM(I23:L23)</f>
        <v>0</v>
      </c>
      <c r="N23" s="39" t="str">
        <f>"General Ledger "&amp;Instructions!S3</f>
        <v>General Ledger 06/30/13</v>
      </c>
    </row>
    <row r="24" spans="1:14" x14ac:dyDescent="0.2">
      <c r="A24" s="39" t="str">
        <f>"Increase (decrease) to "&amp;Instructions!P2&amp;" levy by county"</f>
        <v>Increase (decrease) to Pay 2013 levy by county</v>
      </c>
      <c r="H24" s="39" t="s">
        <v>570</v>
      </c>
      <c r="I24" s="26">
        <f>ROUND(IF(M24=0,0,Funds!E6/Funds!E11*M24),2)</f>
        <v>0</v>
      </c>
      <c r="J24" s="26">
        <f>ROUND(IF(M24=0,0,Funds!E7/Funds!E11*M24),2)</f>
        <v>0</v>
      </c>
      <c r="K24" s="26">
        <f>ROUND(IF(M24=0,0,Funds!E8/Funds!E11*M24),2)</f>
        <v>0</v>
      </c>
      <c r="L24" s="26">
        <f>ROUND(IF(M24=0,0,Funds!E9/Funds!E11*M24),2)</f>
        <v>0</v>
      </c>
      <c r="M24" s="23">
        <v>0</v>
      </c>
      <c r="N24" s="39" t="s">
        <v>469</v>
      </c>
    </row>
    <row r="25" spans="1:14" x14ac:dyDescent="0.2">
      <c r="A25" s="39" t="str">
        <f>"Increase (decrease) to "&amp;Instructions!P3&amp;" levy by county"</f>
        <v>Increase (decrease) to Pay 2012 levy by county</v>
      </c>
      <c r="H25" s="39" t="s">
        <v>570</v>
      </c>
      <c r="I25" s="26">
        <f>ROUND(IF($M$25=0,0,Funds!F6/Funds!$F$11*$M$25),2)</f>
        <v>0</v>
      </c>
      <c r="J25" s="26">
        <f>ROUND(IF($M$25=0,0,Funds!F7/Funds!$F$11*$M$25),2)</f>
        <v>0</v>
      </c>
      <c r="K25" s="26">
        <f>ROUND(IF($M$25=0,0,Funds!F8/Funds!$F$11*$M$25),2)</f>
        <v>0</v>
      </c>
      <c r="L25" s="26">
        <f>ROUND(IF($M$25=0,0,Funds!F9/Funds!$F$11*$M$25),2)</f>
        <v>0</v>
      </c>
      <c r="M25" s="23">
        <v>0</v>
      </c>
      <c r="N25" s="39" t="s">
        <v>469</v>
      </c>
    </row>
    <row r="26" spans="1:14" x14ac:dyDescent="0.2">
      <c r="A26" s="39" t="str">
        <f>"Agricultural Educ Homestead Market Value Credit for "&amp;Instructions!R2</f>
        <v>Agricultural Educ Homestead Market Value Credit for FY 2014</v>
      </c>
      <c r="H26" s="60" t="s">
        <v>571</v>
      </c>
      <c r="I26" s="24">
        <v>0</v>
      </c>
      <c r="J26" s="24">
        <v>0</v>
      </c>
      <c r="K26" s="24">
        <v>0</v>
      </c>
      <c r="L26" s="24">
        <v>0</v>
      </c>
      <c r="M26" s="26">
        <f>SUM(I26:L26)</f>
        <v>0</v>
      </c>
      <c r="N26" s="26" t="s">
        <v>506</v>
      </c>
    </row>
    <row r="27" spans="1:14" x14ac:dyDescent="0.2">
      <c r="A27" s="39" t="str">
        <f>"Other credits for "&amp;Instructions!R2</f>
        <v>Other credits for FY 2014</v>
      </c>
      <c r="H27" s="60" t="s">
        <v>571</v>
      </c>
      <c r="I27" s="24">
        <v>0</v>
      </c>
      <c r="J27" s="24">
        <v>0</v>
      </c>
      <c r="K27" s="24">
        <v>0</v>
      </c>
      <c r="L27" s="24">
        <v>0</v>
      </c>
      <c r="M27" s="26">
        <f>SUM(I27:L27)</f>
        <v>0</v>
      </c>
      <c r="N27" s="26" t="s">
        <v>506</v>
      </c>
    </row>
    <row r="28" spans="1:14" x14ac:dyDescent="0.2">
      <c r="A28" s="39" t="str">
        <f>"Disparity Aid adjustments for "&amp;Instructions!R2</f>
        <v>Disparity Aid adjustments for FY 2014</v>
      </c>
      <c r="H28" s="60" t="s">
        <v>571</v>
      </c>
      <c r="I28" s="24">
        <v>0</v>
      </c>
      <c r="J28" s="24">
        <v>0</v>
      </c>
      <c r="K28" s="24">
        <v>0</v>
      </c>
      <c r="L28" s="24">
        <v>0</v>
      </c>
      <c r="M28" s="26">
        <f>SUM(I28:L28)</f>
        <v>0</v>
      </c>
      <c r="N28" s="26" t="s">
        <v>506</v>
      </c>
    </row>
    <row r="29" spans="1:14" x14ac:dyDescent="0.2">
      <c r="A29" s="39" t="str">
        <f>"Decrease (increase) to credits by county"</f>
        <v>Decrease (increase) to credits by county</v>
      </c>
      <c r="H29" s="39" t="s">
        <v>570</v>
      </c>
      <c r="I29" s="26">
        <f>ROUND(IF(Funds!$E$11=0,0,Funds!E6/Funds!$E$11*$M$29),2)</f>
        <v>0</v>
      </c>
      <c r="J29" s="26">
        <f>ROUND(IF(Funds!$E$11=0,0,Funds!E7/Funds!$E$11*$M$29),2)</f>
        <v>0</v>
      </c>
      <c r="K29" s="26">
        <f>ROUND(IF(Funds!$E$11=0,0,Funds!E8/Funds!$E$11*$M$29),2)</f>
        <v>0</v>
      </c>
      <c r="L29" s="26">
        <f>ROUND(IF(Funds!$E$11=0,0,Funds!E9/Funds!$E$11*$M$29),2)</f>
        <v>0</v>
      </c>
      <c r="M29" s="23">
        <v>0</v>
      </c>
      <c r="N29" s="39" t="s">
        <v>507</v>
      </c>
    </row>
    <row r="30" spans="1:14" x14ac:dyDescent="0.2">
      <c r="A30" s="39" t="str">
        <f>"Abatements "&amp;Instructions!T2&amp;" for "&amp;Instructions!P2&amp;" levy"</f>
        <v>Abatements 07/01/2013 to 06/30/2014 for Pay 2013 levy</v>
      </c>
      <c r="H30" s="60" t="s">
        <v>571</v>
      </c>
      <c r="I30" s="26">
        <f>ROUND(IF(Funds!$E$11=0,0,Funds!E6/Funds!$E$11*$M$30),2)</f>
        <v>0</v>
      </c>
      <c r="J30" s="26">
        <f>ROUND(IF(Funds!$E$11=0,0,Funds!E7/Funds!$E$11*$M$30),2)</f>
        <v>0</v>
      </c>
      <c r="K30" s="26">
        <f>ROUND(IF(Funds!$E$11=0,0,Funds!E8/Funds!$E$11*$M$30),2)</f>
        <v>0</v>
      </c>
      <c r="L30" s="26">
        <f>ROUND(IF(Funds!$E$11=0,0,Funds!E9/Funds!$E$11*$M$30),2)</f>
        <v>0</v>
      </c>
      <c r="M30" s="23">
        <v>0</v>
      </c>
      <c r="N30" s="39" t="s">
        <v>469</v>
      </c>
    </row>
    <row r="31" spans="1:14" x14ac:dyDescent="0.2">
      <c r="A31" s="39" t="str">
        <f>"Abatements "&amp;Instructions!T2&amp;" for "&amp;Instructions!P3&amp;" levy"</f>
        <v>Abatements 07/01/2013 to 06/30/2014 for Pay 2012 levy</v>
      </c>
      <c r="H31" s="60" t="s">
        <v>571</v>
      </c>
      <c r="I31" s="26">
        <f>ROUND(IF(Funds!$F$11=0,0,Funds!F6/Funds!$F$11*$M$31),2)</f>
        <v>0</v>
      </c>
      <c r="J31" s="26">
        <f>ROUND(IF(Funds!$F$11=0,0,Funds!F7/Funds!$F$11*$M$31),2)</f>
        <v>0</v>
      </c>
      <c r="K31" s="26">
        <f>ROUND(IF(Funds!$F$11=0,0,Funds!F8/Funds!$F$11*$M$31),2)</f>
        <v>0</v>
      </c>
      <c r="L31" s="26">
        <f>ROUND(IF(Funds!$F$11=0,0,Funds!F9/Funds!$F$11*$M$31),2)</f>
        <v>0</v>
      </c>
      <c r="M31" s="23">
        <v>0</v>
      </c>
      <c r="N31" s="39" t="s">
        <v>469</v>
      </c>
    </row>
    <row r="32" spans="1:14" x14ac:dyDescent="0.2">
      <c r="A32" s="39" t="str">
        <f>"Abatements "&amp;Instructions!T2&amp;" for "&amp;Instructions!P4&amp;" levy"</f>
        <v>Abatements 07/01/2013 to 06/30/2014 for Pay 2011 levy</v>
      </c>
      <c r="H32" s="60" t="s">
        <v>571</v>
      </c>
      <c r="I32" s="26">
        <f>ROUND(IF(Funds!$G$11=0,0,Funds!G6/Funds!$G$11*$M$32),2)</f>
        <v>0</v>
      </c>
      <c r="J32" s="26">
        <f>ROUND(IF(Funds!$G$11=0,0,Funds!G7/Funds!$G$11*$M$32),2)</f>
        <v>0</v>
      </c>
      <c r="K32" s="26">
        <f>ROUND(IF(Funds!$G$11=0,0,Funds!G8/Funds!$G$11*$M$32),2)</f>
        <v>0</v>
      </c>
      <c r="L32" s="26">
        <f>ROUND(IF(Funds!$G$11=0,0,Funds!G9/Funds!$G$11*$M$32),2)</f>
        <v>0</v>
      </c>
      <c r="M32" s="23">
        <v>0</v>
      </c>
      <c r="N32" s="39" t="s">
        <v>469</v>
      </c>
    </row>
    <row r="33" spans="1:14" x14ac:dyDescent="0.2">
      <c r="A33" s="39" t="str">
        <f>"Abatements "&amp;Instructions!T2&amp;" for "&amp;Instructions!P5&amp;" levy"</f>
        <v>Abatements 07/01/2013 to 06/30/2014 for Pay 2010 levy</v>
      </c>
      <c r="H33" s="60" t="s">
        <v>571</v>
      </c>
      <c r="I33" s="26">
        <f>ROUND(IF(Funds!$H$11=0,0,Funds!H6/Funds!$H$11*$M$33),2)</f>
        <v>0</v>
      </c>
      <c r="J33" s="26">
        <f>ROUND(IF(Funds!$H$11=0,0,Funds!H7/Funds!$H$11*$M$33),2)</f>
        <v>0</v>
      </c>
      <c r="K33" s="26">
        <f>ROUND(IF(Funds!$H$11=0,0,Funds!H8/Funds!$H$11*$M$33),2)</f>
        <v>0</v>
      </c>
      <c r="L33" s="26">
        <f>ROUND(IF(Funds!$H$11=0,0,Funds!H9/Funds!$H$11*$M$33),2)</f>
        <v>0</v>
      </c>
      <c r="M33" s="23">
        <v>0</v>
      </c>
      <c r="N33" s="39" t="s">
        <v>469</v>
      </c>
    </row>
    <row r="34" spans="1:14" x14ac:dyDescent="0.2">
      <c r="A34" s="39" t="str">
        <f>"Abatements "&amp;Instructions!T2&amp;" for "&amp;Instructions!P6&amp;" levy"</f>
        <v>Abatements 07/01/2013 to 06/30/2014 for Pay 2009 levy</v>
      </c>
      <c r="H34" s="60" t="s">
        <v>571</v>
      </c>
      <c r="I34" s="26">
        <f>ROUND(IF(Funds!$I$11=0,0,Funds!I6/Funds!$I$11*$M$34),2)</f>
        <v>0</v>
      </c>
      <c r="J34" s="26">
        <f>ROUND(IF(Funds!$I$11=0,0,Funds!I7/Funds!$I$11*$M$34),2)</f>
        <v>0</v>
      </c>
      <c r="K34" s="26">
        <f>ROUND(IF(Funds!$I$11=0,0,Funds!I8/Funds!$I$11*$M$34),2)</f>
        <v>0</v>
      </c>
      <c r="L34" s="26">
        <f>ROUND(IF(Funds!$I$11=0,0,Funds!I9/Funds!$I$11*$M$34),2)</f>
        <v>0</v>
      </c>
      <c r="M34" s="23">
        <v>0</v>
      </c>
      <c r="N34" s="39" t="s">
        <v>469</v>
      </c>
    </row>
    <row r="35" spans="1:14" x14ac:dyDescent="0.2">
      <c r="A35" s="39" t="str">
        <f>"Abatements "&amp;Instructions!T2&amp;" for "&amp;Instructions!P7&amp;" levy"</f>
        <v>Abatements 07/01/2013 to 06/30/2014 for Pay 2008 levy</v>
      </c>
      <c r="H35" s="60" t="s">
        <v>571</v>
      </c>
      <c r="I35" s="26">
        <f>ROUND(IF(Funds!$J$11=0,0,Funds!J6/Funds!$J$11*$M$35),2)</f>
        <v>0</v>
      </c>
      <c r="J35" s="26">
        <f>ROUND(IF(Funds!$J$11=0,0,Funds!J7/Funds!$J$11*$M$35),2)</f>
        <v>0</v>
      </c>
      <c r="K35" s="26">
        <f>ROUND(IF(Funds!$J$11=0,0,Funds!J8/Funds!$J$11*$M$35),2)</f>
        <v>0</v>
      </c>
      <c r="L35" s="26">
        <f>ROUND(IF(Funds!$J$11=0,0,Funds!J9/Funds!$J$11*$M$35),2)</f>
        <v>0</v>
      </c>
      <c r="M35" s="23">
        <v>0</v>
      </c>
      <c r="N35" s="39" t="s">
        <v>469</v>
      </c>
    </row>
    <row r="36" spans="1:14" x14ac:dyDescent="0.2">
      <c r="A36" s="39" t="str">
        <f>"Abatements "&amp;Instructions!T2&amp;" for "&amp;Instructions!P8&amp;" levy"</f>
        <v>Abatements 07/01/2013 to 06/30/2014 for Pay 2007 levy</v>
      </c>
      <c r="H36" s="60" t="s">
        <v>571</v>
      </c>
      <c r="I36" s="26">
        <f>ROUND(IF(Funds!$K$11=0,0,Funds!K6/Funds!$K$11*$M$36),2)</f>
        <v>0</v>
      </c>
      <c r="J36" s="26">
        <f>ROUND(IF(Funds!$K$11=0,0,Funds!K7/Funds!$K$11*$M$36),2)</f>
        <v>0</v>
      </c>
      <c r="K36" s="26">
        <f>ROUND(IF(Funds!$K$11=0,0,Funds!K8/Funds!$K$11*$M$36),2)</f>
        <v>0</v>
      </c>
      <c r="L36" s="26">
        <f>ROUND(IF(Funds!$K$11=0,0,Funds!K9/Funds!$K$11*$M$36),2)</f>
        <v>0</v>
      </c>
      <c r="M36" s="23">
        <v>0</v>
      </c>
      <c r="N36" s="39" t="s">
        <v>469</v>
      </c>
    </row>
    <row r="37" spans="1:14" x14ac:dyDescent="0.2">
      <c r="A37" s="39" t="str">
        <f>"Write off "&amp;Instructions!P8&amp;" delinquent taxes negative (positive) balance due"</f>
        <v>Write off Pay 2007 delinquent taxes negative (positive) balance due</v>
      </c>
      <c r="H37" s="39" t="s">
        <v>570</v>
      </c>
      <c r="I37" s="26">
        <f>ROUND(IF(Funds!$K$11=0,0,Funds!K6/Funds!$K$11*$M$37),2)</f>
        <v>0</v>
      </c>
      <c r="J37" s="26">
        <f>ROUND(IF(Funds!$K$11=0,0,Funds!K7/Funds!$K$11*$M$37),2)</f>
        <v>0</v>
      </c>
      <c r="K37" s="26">
        <f>ROUND(IF(Funds!$K$11=0,0,Funds!K8/Funds!$K$11*$M$37),2)</f>
        <v>0</v>
      </c>
      <c r="L37" s="26">
        <f>ROUND(IF(Funds!$K$11=0,0,Funds!K9/Funds!$K$11*$M$37),2)</f>
        <v>0</v>
      </c>
      <c r="M37" s="23">
        <v>0</v>
      </c>
      <c r="N37" s="39" t="s">
        <v>469</v>
      </c>
    </row>
    <row r="38" spans="1:14" x14ac:dyDescent="0.2">
      <c r="A38" s="39" t="str">
        <f>"Tax settlements "&amp;Instructions!T2&amp;" for "&amp;Instructions!P2&amp;" and prior levies"</f>
        <v>Tax settlements 07/01/2013 to 06/30/2014 for Pay 2013 and prior levies</v>
      </c>
      <c r="H38" s="60" t="s">
        <v>571</v>
      </c>
      <c r="I38" s="26">
        <f>-Funds!D57</f>
        <v>0</v>
      </c>
      <c r="J38" s="26">
        <f>-Funds!D68</f>
        <v>0</v>
      </c>
      <c r="K38" s="26">
        <f>-Funds!D79</f>
        <v>0</v>
      </c>
      <c r="L38" s="26">
        <f>-Funds!D90</f>
        <v>0</v>
      </c>
      <c r="M38" s="26">
        <f>SUM(I38:L38)</f>
        <v>0</v>
      </c>
      <c r="N38" s="39" t="str">
        <f>"Tax Settlement Reports (Form 52) "&amp;Instructions!T2</f>
        <v>Tax Settlement Reports (Form 52) 07/01/2013 to 06/30/2014</v>
      </c>
    </row>
    <row r="39" spans="1:14" x14ac:dyDescent="0.2">
      <c r="A39" s="39" t="str">
        <f>"Tax settlements Fiscal Disparities "&amp;Instructions!T3&amp;" for "&amp;Instructions!P2</f>
        <v>Tax settlements Fiscal Disparities 07/01/2013 to 04/30/2014 for Pay 2013</v>
      </c>
      <c r="H39" s="60" t="s">
        <v>571</v>
      </c>
      <c r="I39" s="26">
        <f>-Funds!D103</f>
        <v>0</v>
      </c>
      <c r="J39" s="26">
        <f>-Funds!D104</f>
        <v>0</v>
      </c>
      <c r="K39" s="26">
        <f>-Funds!D105</f>
        <v>0</v>
      </c>
      <c r="L39" s="26">
        <f>-Funds!D106</f>
        <v>0</v>
      </c>
      <c r="M39" s="26">
        <f>SUM(I39:L39)</f>
        <v>0</v>
      </c>
      <c r="N39" s="39" t="str">
        <f>"Tax Settlement Reports (Form 52) "&amp;Instructions!T2</f>
        <v>Tax Settlement Reports (Form 52) 07/01/2013 to 06/30/2014</v>
      </c>
    </row>
    <row r="40" spans="1:14" x14ac:dyDescent="0.2">
      <c r="A40" s="39" t="str">
        <f>"Tax settlements Taconite homestead credit "&amp;Instructions!T3&amp;" for "&amp;Instructions!P2</f>
        <v>Tax settlements Taconite homestead credit 07/01/2013 to 04/30/2014 for Pay 2013</v>
      </c>
      <c r="H40" s="60" t="s">
        <v>571</v>
      </c>
      <c r="I40" s="26">
        <f>-Funds!D121</f>
        <v>0</v>
      </c>
      <c r="J40" s="26">
        <f>-Funds!D122</f>
        <v>0</v>
      </c>
      <c r="K40" s="26">
        <f>-Funds!D123</f>
        <v>0</v>
      </c>
      <c r="L40" s="26">
        <f>-Funds!D124</f>
        <v>0</v>
      </c>
      <c r="M40" s="26">
        <f>SUM(I40:L40)</f>
        <v>0</v>
      </c>
      <c r="N40" s="39" t="str">
        <f>"Tax Settlement Reports (Form 52) "&amp;Instructions!T2</f>
        <v>Tax Settlement Reports (Form 52) 07/01/2013 to 06/30/2014</v>
      </c>
    </row>
    <row r="41" spans="1:14" x14ac:dyDescent="0.2">
      <c r="I41" s="26"/>
      <c r="J41" s="26"/>
      <c r="K41" s="26"/>
      <c r="M41" s="26"/>
    </row>
    <row r="42" spans="1:14" x14ac:dyDescent="0.2">
      <c r="B42" s="48" t="str">
        <f>"111 Delinquent Taxes Receivable "&amp;Instructions!S2</f>
        <v>111 Delinquent Taxes Receivable 06/30/14</v>
      </c>
      <c r="I42" s="48">
        <f>SUM(I22:I40)</f>
        <v>0</v>
      </c>
      <c r="J42" s="48">
        <f>SUM(J22:J40)</f>
        <v>0</v>
      </c>
      <c r="K42" s="48">
        <f>SUM(K22:K40)</f>
        <v>0</v>
      </c>
      <c r="L42" s="132">
        <f>SUM(L22:L40)</f>
        <v>0</v>
      </c>
    </row>
    <row r="43" spans="1:14" x14ac:dyDescent="0.2">
      <c r="B43" s="48"/>
    </row>
    <row r="44" spans="1:14" x14ac:dyDescent="0.2">
      <c r="A44" s="39" t="s">
        <v>561</v>
      </c>
      <c r="B44" s="48"/>
      <c r="H44" s="60" t="s">
        <v>571</v>
      </c>
      <c r="I44" s="39">
        <f>Report!I18</f>
        <v>-5395.570000000007</v>
      </c>
      <c r="J44" s="39">
        <f>Report!I23</f>
        <v>5395.57</v>
      </c>
      <c r="M44" s="39">
        <f>SUM(I44:L44)</f>
        <v>-7.2759576141834259E-12</v>
      </c>
      <c r="N44" s="39" t="s">
        <v>558</v>
      </c>
    </row>
    <row r="45" spans="1:14" x14ac:dyDescent="0.2">
      <c r="B45" s="48"/>
    </row>
    <row r="46" spans="1:14" x14ac:dyDescent="0.2">
      <c r="B46" s="62" t="str">
        <f>"213 Property Tax Shift Adjustment "&amp;Instructions!S2</f>
        <v>213 Property Tax Shift Adjustment 06/30/14</v>
      </c>
      <c r="I46" s="48">
        <f>I44</f>
        <v>-5395.570000000007</v>
      </c>
      <c r="J46" s="48">
        <f>J44</f>
        <v>5395.57</v>
      </c>
    </row>
    <row r="48" spans="1:14" x14ac:dyDescent="0.2">
      <c r="A48" s="39" t="s">
        <v>470</v>
      </c>
      <c r="H48" s="39" t="s">
        <v>406</v>
      </c>
      <c r="I48" s="26">
        <f>Report!E86</f>
        <v>0</v>
      </c>
      <c r="J48" s="26">
        <f>Report!E88</f>
        <v>0</v>
      </c>
      <c r="M48" s="39">
        <f>SUM(I48:L48)</f>
        <v>0</v>
      </c>
      <c r="N48" s="39" t="s">
        <v>508</v>
      </c>
    </row>
    <row r="50" spans="1:14" x14ac:dyDescent="0.2">
      <c r="B50" s="48" t="str">
        <f>"214 Advance of Unearned General Education Aid "&amp;Instructions!S2</f>
        <v>214 Advance of Unearned General Education Aid 06/30/14</v>
      </c>
      <c r="I50" s="39">
        <f>SUM(I48:I49)</f>
        <v>0</v>
      </c>
      <c r="J50" s="39">
        <f>SUM(J48:J49)</f>
        <v>0</v>
      </c>
    </row>
    <row r="51" spans="1:14" x14ac:dyDescent="0.2">
      <c r="B51" s="48"/>
    </row>
    <row r="52" spans="1:14" x14ac:dyDescent="0.2">
      <c r="A52" s="39" t="str">
        <f>"Deferred Revenue for Delinquent Taxes "&amp;Instructions!S3</f>
        <v>Deferred Revenue for Delinquent Taxes 06/30/13</v>
      </c>
      <c r="H52" s="60" t="s">
        <v>571</v>
      </c>
      <c r="I52" s="22">
        <v>0</v>
      </c>
      <c r="J52" s="22">
        <v>0</v>
      </c>
      <c r="K52" s="22">
        <v>0</v>
      </c>
      <c r="L52" s="22">
        <v>0</v>
      </c>
      <c r="M52" s="26">
        <f>SUM(I52:L52)</f>
        <v>0</v>
      </c>
      <c r="N52" s="39" t="str">
        <f>"General Ledger "&amp;Instructions!S3</f>
        <v>General Ledger 06/30/13</v>
      </c>
    </row>
    <row r="53" spans="1:14" x14ac:dyDescent="0.2">
      <c r="A53" s="39" t="str">
        <f>"Decrease (increase) in Delinquent Taxes from "&amp;Instructions!S3&amp;" to "&amp;Instructions!S2</f>
        <v>Decrease (increase) in Delinquent Taxes from 06/30/13 to 06/30/14</v>
      </c>
      <c r="H53" s="39" t="s">
        <v>570</v>
      </c>
      <c r="I53" s="39">
        <f>I22-I42</f>
        <v>0</v>
      </c>
      <c r="J53" s="39">
        <f>J22-J42</f>
        <v>0</v>
      </c>
      <c r="K53" s="39">
        <f>K22-K42</f>
        <v>0</v>
      </c>
      <c r="L53" s="26">
        <f>L22-L42</f>
        <v>0</v>
      </c>
      <c r="M53" s="26">
        <f>SUM(I53:L53)</f>
        <v>0</v>
      </c>
      <c r="N53" s="39" t="s">
        <v>468</v>
      </c>
    </row>
    <row r="54" spans="1:14" x14ac:dyDescent="0.2">
      <c r="A54" s="39" t="str">
        <f>"Increase (decrease) in amount to be collected within 60 days from "&amp;Instructions!S3&amp;" to "&amp;Instructions!S2</f>
        <v>Increase (decrease) in amount to be collected within 60 days from 06/30/13 to 06/30/14</v>
      </c>
      <c r="H54" s="39" t="s">
        <v>570</v>
      </c>
      <c r="I54" s="25">
        <v>0</v>
      </c>
      <c r="J54" s="25">
        <v>0</v>
      </c>
      <c r="K54" s="25">
        <v>0</v>
      </c>
      <c r="L54" s="25">
        <v>0</v>
      </c>
      <c r="M54" s="26">
        <f>SUM(I54:L54)</f>
        <v>0</v>
      </c>
      <c r="N54" s="39" t="s">
        <v>653</v>
      </c>
    </row>
    <row r="56" spans="1:14" x14ac:dyDescent="0.2">
      <c r="B56" s="48" t="str">
        <f>"231 Deferred Revenue--Delinquent Taxes "&amp;Instructions!S2</f>
        <v>231 Deferred Revenue--Delinquent Taxes 06/30/14</v>
      </c>
      <c r="I56" s="48">
        <f>SUM(I52:I54)</f>
        <v>0</v>
      </c>
      <c r="J56" s="48">
        <f>SUM(J52:J54)</f>
        <v>0</v>
      </c>
      <c r="K56" s="48">
        <f>SUM(K52:K54)</f>
        <v>0</v>
      </c>
      <c r="L56" s="132">
        <f>SUM(L52:L54)</f>
        <v>0</v>
      </c>
    </row>
    <row r="58" spans="1:14" x14ac:dyDescent="0.2">
      <c r="A58" s="39" t="str">
        <f>Instructions!P1&amp;" Certified Levy"</f>
        <v>Pay 2014 Certified Levy</v>
      </c>
      <c r="H58" s="60" t="s">
        <v>571</v>
      </c>
      <c r="I58" s="39">
        <f>-I12</f>
        <v>0</v>
      </c>
      <c r="J58" s="39">
        <f>-J12</f>
        <v>0</v>
      </c>
      <c r="K58" s="39">
        <f>-K12</f>
        <v>0</v>
      </c>
      <c r="L58" s="26">
        <f>-L12</f>
        <v>0</v>
      </c>
      <c r="M58" s="39">
        <f>SUM(I58:L58)</f>
        <v>0</v>
      </c>
      <c r="N58" s="39" t="s">
        <v>509</v>
      </c>
    </row>
    <row r="59" spans="1:14" x14ac:dyDescent="0.2">
      <c r="A59" s="39" t="str">
        <f>"Property Tax Shift into "&amp;Instructions!R2</f>
        <v>Property Tax Shift into FY 2014</v>
      </c>
      <c r="H59" s="39" t="s">
        <v>406</v>
      </c>
      <c r="I59" s="26">
        <f>Report!C18</f>
        <v>178003.41</v>
      </c>
      <c r="J59" s="26">
        <f>Report!C23</f>
        <v>0</v>
      </c>
      <c r="K59" s="26"/>
      <c r="M59" s="39">
        <f>SUM(I59:L59)</f>
        <v>178003.41</v>
      </c>
      <c r="N59" s="39" t="s">
        <v>566</v>
      </c>
    </row>
    <row r="60" spans="1:14" x14ac:dyDescent="0.2">
      <c r="A60" s="39" t="s">
        <v>470</v>
      </c>
      <c r="H60" s="60" t="s">
        <v>571</v>
      </c>
      <c r="I60" s="39">
        <f>-I50</f>
        <v>0</v>
      </c>
      <c r="J60" s="39">
        <f>-J50</f>
        <v>0</v>
      </c>
      <c r="M60" s="39">
        <f>SUM(I60:L60)</f>
        <v>0</v>
      </c>
      <c r="N60" s="39" t="str">
        <f>"Account 214 balance at "&amp;Instructions!S2</f>
        <v>Account 214 balance at 06/30/14</v>
      </c>
    </row>
    <row r="62" spans="1:14" x14ac:dyDescent="0.2">
      <c r="B62" s="48" t="str">
        <f>"235 Property Taxes for Subsequent Years "&amp;Instructions!S2</f>
        <v>235 Property Taxes for Subsequent Years 06/30/14</v>
      </c>
      <c r="I62" s="48">
        <f>SUM(I58:I60)</f>
        <v>178003.41</v>
      </c>
      <c r="J62" s="48">
        <f>SUM(J58:J60)</f>
        <v>0</v>
      </c>
      <c r="K62" s="48">
        <f>SUM(K58:K60)</f>
        <v>0</v>
      </c>
      <c r="L62" s="132">
        <f>SUM(L58:L60)</f>
        <v>0</v>
      </c>
    </row>
    <row r="63" spans="1:14" x14ac:dyDescent="0.2">
      <c r="B63" s="48"/>
    </row>
    <row r="64" spans="1:14" x14ac:dyDescent="0.2">
      <c r="A64" s="132" t="s">
        <v>471</v>
      </c>
    </row>
    <row r="66" spans="1:14" x14ac:dyDescent="0.2">
      <c r="A66" s="39" t="str">
        <f>Instructions!P2&amp;" Certified Levy"</f>
        <v>Pay 2013 Certified Levy</v>
      </c>
      <c r="H66" s="60" t="s">
        <v>571</v>
      </c>
      <c r="I66" s="26">
        <f>-Funds!E6</f>
        <v>0</v>
      </c>
      <c r="J66" s="26">
        <f>-Funds!E7</f>
        <v>0</v>
      </c>
      <c r="K66" s="26">
        <f>-Funds!E8</f>
        <v>0</v>
      </c>
      <c r="L66" s="26">
        <f>-Funds!E9</f>
        <v>0</v>
      </c>
      <c r="M66" s="26">
        <f>SUM(I66:L66)</f>
        <v>0</v>
      </c>
      <c r="N66" s="39" t="s">
        <v>509</v>
      </c>
    </row>
    <row r="67" spans="1:14" s="26" customFormat="1" x14ac:dyDescent="0.2">
      <c r="A67" s="26" t="str">
        <f>"Decrease (increase) to "&amp;Instructions!P2&amp;" levy by county"</f>
        <v>Decrease (increase) to Pay 2013 levy by county</v>
      </c>
      <c r="H67" s="26" t="s">
        <v>570</v>
      </c>
      <c r="I67" s="26">
        <f>-I24</f>
        <v>0</v>
      </c>
      <c r="J67" s="26">
        <f>-J24</f>
        <v>0</v>
      </c>
      <c r="K67" s="26">
        <f>-K24</f>
        <v>0</v>
      </c>
      <c r="L67" s="26">
        <f>-L24</f>
        <v>0</v>
      </c>
      <c r="M67" s="26">
        <f t="shared" ref="M67:M84" si="0">SUM(I67:L67)</f>
        <v>0</v>
      </c>
      <c r="N67" s="26" t="s">
        <v>469</v>
      </c>
    </row>
    <row r="68" spans="1:14" x14ac:dyDescent="0.2">
      <c r="A68" s="39" t="str">
        <f>"Decrease (increase) to "&amp;Instructions!P3&amp;" levy by county"</f>
        <v>Decrease (increase) to Pay 2012 levy by county</v>
      </c>
      <c r="H68" s="39" t="s">
        <v>570</v>
      </c>
      <c r="I68" s="39">
        <f>-I25</f>
        <v>0</v>
      </c>
      <c r="J68" s="39">
        <f>-J25</f>
        <v>0</v>
      </c>
      <c r="K68" s="39">
        <f>-K25</f>
        <v>0</v>
      </c>
      <c r="L68" s="26">
        <f>-L25</f>
        <v>0</v>
      </c>
      <c r="M68" s="26">
        <f t="shared" si="0"/>
        <v>0</v>
      </c>
      <c r="N68" s="39" t="s">
        <v>469</v>
      </c>
    </row>
    <row r="69" spans="1:14" x14ac:dyDescent="0.2">
      <c r="A69" s="39" t="str">
        <f>"Agricultural Educ Homestead Market Value Credit for "&amp;Instructions!R2</f>
        <v>Agricultural Educ Homestead Market Value Credit for FY 2014</v>
      </c>
      <c r="H69" s="39" t="s">
        <v>406</v>
      </c>
      <c r="I69" s="39">
        <f>-I26</f>
        <v>0</v>
      </c>
      <c r="J69" s="39">
        <f>-J26</f>
        <v>0</v>
      </c>
      <c r="K69" s="39">
        <f>-K26</f>
        <v>0</v>
      </c>
      <c r="L69" s="26">
        <f>-L26</f>
        <v>0</v>
      </c>
      <c r="M69" s="26">
        <f t="shared" si="0"/>
        <v>0</v>
      </c>
      <c r="N69" s="39" t="s">
        <v>469</v>
      </c>
    </row>
    <row r="70" spans="1:14" x14ac:dyDescent="0.2">
      <c r="A70" s="39" t="str">
        <f>"Other Credits for "&amp;Instructions!R2</f>
        <v>Other Credits for FY 2014</v>
      </c>
      <c r="H70" s="39" t="s">
        <v>406</v>
      </c>
      <c r="I70" s="39">
        <f>-I27</f>
        <v>0</v>
      </c>
      <c r="J70" s="39">
        <f>-J27</f>
        <v>0</v>
      </c>
      <c r="K70" s="39">
        <f>-K27</f>
        <v>0</v>
      </c>
      <c r="L70" s="26">
        <f>-L27</f>
        <v>0</v>
      </c>
      <c r="M70" s="26">
        <f t="shared" si="0"/>
        <v>0</v>
      </c>
      <c r="N70" s="39" t="s">
        <v>469</v>
      </c>
    </row>
    <row r="71" spans="1:14" x14ac:dyDescent="0.2">
      <c r="A71" s="39" t="str">
        <f>"Disparity Aid adjustments for "&amp;Instructions!R2</f>
        <v>Disparity Aid adjustments for FY 2014</v>
      </c>
      <c r="H71" s="39" t="s">
        <v>406</v>
      </c>
      <c r="I71" s="39">
        <f>-I28</f>
        <v>0</v>
      </c>
      <c r="J71" s="39">
        <f>-J28</f>
        <v>0</v>
      </c>
      <c r="K71" s="39">
        <f>-K28</f>
        <v>0</v>
      </c>
      <c r="L71" s="26">
        <f>-L28</f>
        <v>0</v>
      </c>
      <c r="M71" s="26">
        <f t="shared" si="0"/>
        <v>0</v>
      </c>
      <c r="N71" s="39" t="s">
        <v>469</v>
      </c>
    </row>
    <row r="72" spans="1:14" x14ac:dyDescent="0.2">
      <c r="A72" s="39" t="s">
        <v>572</v>
      </c>
      <c r="H72" s="39" t="s">
        <v>570</v>
      </c>
      <c r="I72" s="39">
        <f>-I29</f>
        <v>0</v>
      </c>
      <c r="J72" s="39">
        <f>-J29</f>
        <v>0</v>
      </c>
      <c r="K72" s="39">
        <f>-K29</f>
        <v>0</v>
      </c>
      <c r="L72" s="26">
        <f>-L29</f>
        <v>0</v>
      </c>
      <c r="M72" s="26">
        <f t="shared" si="0"/>
        <v>0</v>
      </c>
      <c r="N72" s="39" t="s">
        <v>507</v>
      </c>
    </row>
    <row r="73" spans="1:14" x14ac:dyDescent="0.2">
      <c r="A73" s="39" t="str">
        <f>"Abatements "&amp;Instructions!T2&amp;" for "&amp;Instructions!P2&amp;" levy"</f>
        <v>Abatements 07/01/2013 to 06/30/2014 for Pay 2013 levy</v>
      </c>
      <c r="H73" s="39" t="s">
        <v>406</v>
      </c>
      <c r="I73" s="39">
        <f>-I30</f>
        <v>0</v>
      </c>
      <c r="J73" s="39">
        <f>-J30</f>
        <v>0</v>
      </c>
      <c r="K73" s="39">
        <f>-K30</f>
        <v>0</v>
      </c>
      <c r="L73" s="26">
        <f>-L30</f>
        <v>0</v>
      </c>
      <c r="M73" s="26">
        <f t="shared" si="0"/>
        <v>0</v>
      </c>
      <c r="N73" s="39" t="s">
        <v>469</v>
      </c>
    </row>
    <row r="74" spans="1:14" x14ac:dyDescent="0.2">
      <c r="A74" s="39" t="str">
        <f>"Abatements "&amp;Instructions!T2&amp;" for "&amp;Instructions!P3&amp;" levy"</f>
        <v>Abatements 07/01/2013 to 06/30/2014 for Pay 2012 levy</v>
      </c>
      <c r="H74" s="39" t="s">
        <v>406</v>
      </c>
      <c r="I74" s="39">
        <f>-I31</f>
        <v>0</v>
      </c>
      <c r="J74" s="39">
        <f>-J31</f>
        <v>0</v>
      </c>
      <c r="K74" s="39">
        <f>-K31</f>
        <v>0</v>
      </c>
      <c r="L74" s="26">
        <f>-L31</f>
        <v>0</v>
      </c>
      <c r="M74" s="26">
        <f t="shared" si="0"/>
        <v>0</v>
      </c>
      <c r="N74" s="39" t="s">
        <v>469</v>
      </c>
    </row>
    <row r="75" spans="1:14" x14ac:dyDescent="0.2">
      <c r="A75" s="39" t="str">
        <f>"Abatements "&amp;Instructions!T2&amp;" for "&amp;Instructions!P4&amp;" levy"</f>
        <v>Abatements 07/01/2013 to 06/30/2014 for Pay 2011 levy</v>
      </c>
      <c r="H75" s="39" t="s">
        <v>406</v>
      </c>
      <c r="I75" s="39">
        <f>-I32</f>
        <v>0</v>
      </c>
      <c r="J75" s="39">
        <f>-J32</f>
        <v>0</v>
      </c>
      <c r="K75" s="39">
        <f>-K32</f>
        <v>0</v>
      </c>
      <c r="L75" s="26">
        <f>-L32</f>
        <v>0</v>
      </c>
      <c r="M75" s="26">
        <f t="shared" si="0"/>
        <v>0</v>
      </c>
      <c r="N75" s="39" t="s">
        <v>469</v>
      </c>
    </row>
    <row r="76" spans="1:14" x14ac:dyDescent="0.2">
      <c r="A76" s="39" t="str">
        <f>"Abatements "&amp;Instructions!T2&amp;" for "&amp;Instructions!P5&amp;" levy"</f>
        <v>Abatements 07/01/2013 to 06/30/2014 for Pay 2010 levy</v>
      </c>
      <c r="H76" s="39" t="s">
        <v>406</v>
      </c>
      <c r="I76" s="39">
        <f>-I33</f>
        <v>0</v>
      </c>
      <c r="J76" s="39">
        <f>-J33</f>
        <v>0</v>
      </c>
      <c r="K76" s="39">
        <f>-K33</f>
        <v>0</v>
      </c>
      <c r="L76" s="26">
        <f>-L33</f>
        <v>0</v>
      </c>
      <c r="M76" s="26">
        <f t="shared" si="0"/>
        <v>0</v>
      </c>
      <c r="N76" s="39" t="s">
        <v>469</v>
      </c>
    </row>
    <row r="77" spans="1:14" x14ac:dyDescent="0.2">
      <c r="A77" s="39" t="str">
        <f>"Abatements "&amp;Instructions!T2&amp;" for "&amp;Instructions!P6&amp;" levy"</f>
        <v>Abatements 07/01/2013 to 06/30/2014 for Pay 2009 levy</v>
      </c>
      <c r="H77" s="39" t="s">
        <v>406</v>
      </c>
      <c r="I77" s="39">
        <f>-I34</f>
        <v>0</v>
      </c>
      <c r="J77" s="39">
        <f>-J34</f>
        <v>0</v>
      </c>
      <c r="K77" s="39">
        <f>-K34</f>
        <v>0</v>
      </c>
      <c r="L77" s="26">
        <f>-L34</f>
        <v>0</v>
      </c>
      <c r="M77" s="26">
        <f t="shared" si="0"/>
        <v>0</v>
      </c>
      <c r="N77" s="39" t="s">
        <v>469</v>
      </c>
    </row>
    <row r="78" spans="1:14" x14ac:dyDescent="0.2">
      <c r="A78" s="39" t="str">
        <f>"Abatements "&amp;Instructions!T2&amp;" for "&amp;Instructions!P7&amp;" levy"</f>
        <v>Abatements 07/01/2013 to 06/30/2014 for Pay 2008 levy</v>
      </c>
      <c r="H78" s="39" t="s">
        <v>406</v>
      </c>
      <c r="I78" s="39">
        <f>-I35</f>
        <v>0</v>
      </c>
      <c r="J78" s="39">
        <f>-J35</f>
        <v>0</v>
      </c>
      <c r="K78" s="39">
        <f>-K35</f>
        <v>0</v>
      </c>
      <c r="L78" s="26">
        <f>-L35</f>
        <v>0</v>
      </c>
      <c r="M78" s="26">
        <f t="shared" si="0"/>
        <v>0</v>
      </c>
      <c r="N78" s="39" t="s">
        <v>469</v>
      </c>
    </row>
    <row r="79" spans="1:14" x14ac:dyDescent="0.2">
      <c r="A79" s="39" t="str">
        <f>"Abatements "&amp;Instructions!T2&amp;" for "&amp;Instructions!P8&amp;" levy"</f>
        <v>Abatements 07/01/2013 to 06/30/2014 for Pay 2007 levy</v>
      </c>
      <c r="H79" s="39" t="s">
        <v>406</v>
      </c>
      <c r="I79" s="39">
        <f>-I36</f>
        <v>0</v>
      </c>
      <c r="J79" s="39">
        <f>-J36</f>
        <v>0</v>
      </c>
      <c r="K79" s="39">
        <f>-K36</f>
        <v>0</v>
      </c>
      <c r="L79" s="26">
        <f>-L36</f>
        <v>0</v>
      </c>
      <c r="M79" s="26">
        <f t="shared" si="0"/>
        <v>0</v>
      </c>
      <c r="N79" s="39" t="s">
        <v>469</v>
      </c>
    </row>
    <row r="80" spans="1:14" x14ac:dyDescent="0.2">
      <c r="A80" s="39" t="str">
        <f>"Write off "&amp;Instructions!P8&amp;" delinquent taxes positive (negative) balance due"</f>
        <v>Write off Pay 2007 delinquent taxes positive (negative) balance due</v>
      </c>
      <c r="H80" s="39" t="s">
        <v>570</v>
      </c>
      <c r="I80" s="39">
        <f>-I37</f>
        <v>0</v>
      </c>
      <c r="J80" s="39">
        <f>-J37</f>
        <v>0</v>
      </c>
      <c r="K80" s="39">
        <f>-K37</f>
        <v>0</v>
      </c>
      <c r="L80" s="26">
        <f>-L37</f>
        <v>0</v>
      </c>
      <c r="M80" s="26">
        <f t="shared" si="0"/>
        <v>0</v>
      </c>
      <c r="N80" s="39" t="s">
        <v>469</v>
      </c>
    </row>
    <row r="81" spans="1:14" x14ac:dyDescent="0.2">
      <c r="A81" s="39" t="str">
        <f>"Fiscal Disparities adjustment for "&amp;Instructions!R2</f>
        <v>Fiscal Disparities adjustment for FY 2014</v>
      </c>
      <c r="H81" s="39" t="s">
        <v>406</v>
      </c>
      <c r="I81" s="39">
        <f>-I88</f>
        <v>0</v>
      </c>
      <c r="J81" s="39">
        <f>-J88</f>
        <v>0</v>
      </c>
      <c r="K81" s="39">
        <f>-K88</f>
        <v>0</v>
      </c>
      <c r="L81" s="26">
        <f>-L88</f>
        <v>0</v>
      </c>
      <c r="M81" s="26">
        <f t="shared" si="0"/>
        <v>0</v>
      </c>
      <c r="N81" s="39" t="s">
        <v>466</v>
      </c>
    </row>
    <row r="82" spans="1:14" x14ac:dyDescent="0.2">
      <c r="A82" s="39" t="str">
        <f>"Taconite Homestead credit for "&amp;Instructions!R2</f>
        <v>Taconite Homestead credit for FY 2014</v>
      </c>
      <c r="H82" s="39" t="s">
        <v>406</v>
      </c>
      <c r="I82" s="39">
        <f>-I92</f>
        <v>0</v>
      </c>
      <c r="J82" s="39">
        <f>-J92</f>
        <v>0</v>
      </c>
      <c r="K82" s="39">
        <f>-K92</f>
        <v>0</v>
      </c>
      <c r="L82" s="26">
        <f>-L92</f>
        <v>0</v>
      </c>
      <c r="M82" s="26">
        <f t="shared" si="0"/>
        <v>0</v>
      </c>
      <c r="N82" s="39" t="s">
        <v>466</v>
      </c>
    </row>
    <row r="83" spans="1:14" x14ac:dyDescent="0.2">
      <c r="A83" s="39" t="str">
        <f>"Property Tax Shift into "&amp;Instructions!R3</f>
        <v>Property Tax Shift into FY 2013</v>
      </c>
      <c r="H83" s="39" t="s">
        <v>406</v>
      </c>
      <c r="I83" s="26">
        <f>Report!D11+Report!D12+Report!D13+Report!D14+Report!D15+Report!D16+Report!D17</f>
        <v>175023.1</v>
      </c>
      <c r="J83" s="26">
        <f>Report!D21+Report!D22</f>
        <v>0</v>
      </c>
      <c r="M83" s="26">
        <f t="shared" si="0"/>
        <v>175023.1</v>
      </c>
      <c r="N83" s="39" t="s">
        <v>562</v>
      </c>
    </row>
    <row r="84" spans="1:14" x14ac:dyDescent="0.2">
      <c r="A84" s="39" t="str">
        <f>"Property Tax Shift into "&amp;Instructions!R2</f>
        <v>Property Tax Shift into FY 2014</v>
      </c>
      <c r="H84" s="60" t="s">
        <v>571</v>
      </c>
      <c r="I84" s="26">
        <f>-(Report!C11+Report!C12+Report!C13+Report!C14+Report!C15+Report!C16+Report!C17)</f>
        <v>-178003.41</v>
      </c>
      <c r="J84" s="26">
        <f>-(Report!C21+Report!C22)</f>
        <v>0</v>
      </c>
      <c r="M84" s="26">
        <f t="shared" si="0"/>
        <v>-178003.41</v>
      </c>
      <c r="N84" s="39" t="s">
        <v>563</v>
      </c>
    </row>
    <row r="86" spans="1:14" x14ac:dyDescent="0.2">
      <c r="B86" s="48" t="str">
        <f>"001 Tax Revenue for "&amp;Instructions!R2</f>
        <v>001 Tax Revenue for FY 2014</v>
      </c>
      <c r="I86" s="48">
        <f>SUM(I66:I84)</f>
        <v>-2980.3099999999977</v>
      </c>
      <c r="J86" s="48">
        <f>SUM(J66:J84)</f>
        <v>0</v>
      </c>
      <c r="K86" s="48">
        <f>SUM(K66:K84)</f>
        <v>0</v>
      </c>
      <c r="L86" s="132">
        <f>SUM(L66:L84)</f>
        <v>0</v>
      </c>
    </row>
    <row r="88" spans="1:14" x14ac:dyDescent="0.2">
      <c r="A88" s="39" t="str">
        <f>"Tax settlements Fiscal Disparities for "&amp;Instructions!P2&amp;" levy"</f>
        <v>Tax settlements Fiscal Disparities for Pay 2013 levy</v>
      </c>
      <c r="H88" s="60" t="s">
        <v>571</v>
      </c>
      <c r="I88" s="39">
        <f>I14+I39</f>
        <v>0</v>
      </c>
      <c r="J88" s="39">
        <f>J14+J39</f>
        <v>0</v>
      </c>
      <c r="K88" s="39">
        <f>K14+K39</f>
        <v>0</v>
      </c>
      <c r="L88" s="26">
        <f>L14+L39</f>
        <v>0</v>
      </c>
      <c r="M88" s="39">
        <f>SUM(I88:L88)</f>
        <v>0</v>
      </c>
      <c r="N88" s="39" t="s">
        <v>466</v>
      </c>
    </row>
    <row r="90" spans="1:14" x14ac:dyDescent="0.2">
      <c r="B90" s="48" t="str">
        <f>"009 Fisclal Disparities for "&amp;Instructions!R2</f>
        <v>009 Fisclal Disparities for FY 2014</v>
      </c>
      <c r="I90" s="48">
        <f>SUM(I88)</f>
        <v>0</v>
      </c>
      <c r="J90" s="48">
        <f>SUM(J88)</f>
        <v>0</v>
      </c>
      <c r="K90" s="48">
        <f>SUM(K88)</f>
        <v>0</v>
      </c>
      <c r="L90" s="132">
        <f>SUM(L88)</f>
        <v>0</v>
      </c>
    </row>
    <row r="92" spans="1:14" x14ac:dyDescent="0.2">
      <c r="A92" s="39" t="str">
        <f>"Tax settlements Taconite homestead credit for "&amp;Instructions!P2&amp;" levy"</f>
        <v>Tax settlements Taconite homestead credit for Pay 2013 levy</v>
      </c>
      <c r="H92" s="60" t="s">
        <v>571</v>
      </c>
      <c r="I92" s="39">
        <f>I15+I40</f>
        <v>0</v>
      </c>
      <c r="J92" s="39">
        <f>J15+J40</f>
        <v>0</v>
      </c>
      <c r="K92" s="39">
        <f>K15+K40</f>
        <v>0</v>
      </c>
      <c r="L92" s="26">
        <f>L15+L40</f>
        <v>0</v>
      </c>
      <c r="M92" s="39">
        <f>SUM(I92:L92)</f>
        <v>0</v>
      </c>
      <c r="N92" s="39" t="s">
        <v>466</v>
      </c>
    </row>
    <row r="94" spans="1:14" x14ac:dyDescent="0.2">
      <c r="B94" s="48" t="str">
        <f>"014 Taconite Homestead Credits for "&amp;Instructions!R2</f>
        <v>014 Taconite Homestead Credits for FY 2014</v>
      </c>
      <c r="I94" s="48">
        <f>I92</f>
        <v>0</v>
      </c>
      <c r="J94" s="48">
        <f>J92</f>
        <v>0</v>
      </c>
      <c r="K94" s="48">
        <f>K92</f>
        <v>0</v>
      </c>
      <c r="L94" s="132">
        <f>L92</f>
        <v>0</v>
      </c>
    </row>
    <row r="95" spans="1:14" x14ac:dyDescent="0.2">
      <c r="B95" s="48"/>
    </row>
    <row r="96" spans="1:14" x14ac:dyDescent="0.2">
      <c r="A96" s="49" t="str">
        <f>"Property Tax Shift into "&amp;Instructions!R3</f>
        <v>Property Tax Shift into FY 2013</v>
      </c>
      <c r="H96" s="39" t="s">
        <v>406</v>
      </c>
      <c r="I96" s="39">
        <f>Report!D9+Report!D10</f>
        <v>348692.74</v>
      </c>
      <c r="J96" s="39">
        <f>Report!D20</f>
        <v>5395.57</v>
      </c>
      <c r="M96" s="39">
        <f>SUM(I96:L96)</f>
        <v>354088.31</v>
      </c>
      <c r="N96" s="39" t="s">
        <v>559</v>
      </c>
    </row>
    <row r="97" spans="1:14" x14ac:dyDescent="0.2">
      <c r="A97" s="39" t="str">
        <f>"Property Tax Shift into "&amp;Instructions!R2</f>
        <v>Property Tax Shift into FY 2014</v>
      </c>
      <c r="H97" s="60" t="s">
        <v>571</v>
      </c>
      <c r="I97" s="39">
        <f>-(Report!C9+Report!C10)</f>
        <v>0</v>
      </c>
      <c r="J97" s="39">
        <f>-Report!C20</f>
        <v>0</v>
      </c>
      <c r="M97" s="39">
        <f>SUM(I97:L97)</f>
        <v>0</v>
      </c>
      <c r="N97" s="39" t="s">
        <v>560</v>
      </c>
    </row>
    <row r="99" spans="1:14" x14ac:dyDescent="0.2">
      <c r="B99" s="62" t="str">
        <f>"020 Property Tax Shift Revenue for "&amp;Instructions!R2</f>
        <v>020 Property Tax Shift Revenue for FY 2014</v>
      </c>
      <c r="I99" s="39">
        <f>SUM(I96:I97)</f>
        <v>348692.74</v>
      </c>
      <c r="J99" s="39">
        <f>SUM(J96:J97)</f>
        <v>5395.57</v>
      </c>
    </row>
    <row r="101" spans="1:14" x14ac:dyDescent="0.2">
      <c r="A101" s="39" t="s">
        <v>472</v>
      </c>
      <c r="H101" s="60" t="s">
        <v>571</v>
      </c>
      <c r="I101" s="39">
        <f>Report!E101</f>
        <v>0</v>
      </c>
      <c r="J101" s="39">
        <f>Report!E103</f>
        <v>0</v>
      </c>
      <c r="M101" s="39">
        <f>SUM(I101:L101)</f>
        <v>0</v>
      </c>
      <c r="N101" s="39" t="s">
        <v>508</v>
      </c>
    </row>
    <row r="103" spans="1:14" x14ac:dyDescent="0.2">
      <c r="B103" s="48" t="str">
        <f>"296 State Aid Adjustment for Shift for "&amp;Instructions!R2</f>
        <v>296 State Aid Adjustment for Shift for FY 2014</v>
      </c>
      <c r="I103" s="48">
        <f>SUM(I101)</f>
        <v>0</v>
      </c>
      <c r="J103" s="48">
        <f>SUM(J101)</f>
        <v>0</v>
      </c>
      <c r="K103" s="48"/>
      <c r="L103" s="132"/>
    </row>
    <row r="105" spans="1:14" x14ac:dyDescent="0.2">
      <c r="A105" s="39" t="str">
        <f>"Reductions to aid payments for "&amp;Instructions!R2&amp;" for property tax shift"</f>
        <v>Reductions to aid payments for FY 2014 for property tax shift</v>
      </c>
      <c r="H105" s="39" t="s">
        <v>406</v>
      </c>
      <c r="I105" s="39">
        <f>-Report!H18</f>
        <v>-354088.31</v>
      </c>
      <c r="J105" s="39">
        <f>-Report!H23</f>
        <v>0</v>
      </c>
      <c r="M105" s="39">
        <f>SUM(I105:L105)</f>
        <v>-354088.31</v>
      </c>
      <c r="N105" s="39" t="s">
        <v>567</v>
      </c>
    </row>
    <row r="106" spans="1:14" x14ac:dyDescent="0.2">
      <c r="A106" s="39" t="s">
        <v>580</v>
      </c>
      <c r="H106" s="39" t="s">
        <v>570</v>
      </c>
      <c r="I106" s="39">
        <f>-Report!I18</f>
        <v>5395.570000000007</v>
      </c>
      <c r="J106" s="39">
        <f>-Report!I23</f>
        <v>-5395.57</v>
      </c>
      <c r="M106" s="39">
        <f>SUM(I106:L106)</f>
        <v>7.2759576141834259E-12</v>
      </c>
      <c r="N106" s="39" t="s">
        <v>568</v>
      </c>
    </row>
    <row r="108" spans="1:14" x14ac:dyDescent="0.2">
      <c r="B108" s="62" t="str">
        <f>"299 State Aid Adjustment for Shift for "&amp;Instructions!R2</f>
        <v>299 State Aid Adjustment for Shift for FY 2014</v>
      </c>
      <c r="I108" s="48">
        <f>SUM(I105:I106)</f>
        <v>-348692.74</v>
      </c>
      <c r="J108" s="48">
        <f>SUM(J105:J106)</f>
        <v>-5395.57</v>
      </c>
    </row>
    <row r="109" spans="1:14" x14ac:dyDescent="0.2">
      <c r="A109" s="39" t="s">
        <v>1241</v>
      </c>
    </row>
  </sheetData>
  <phoneticPr fontId="0" type="noConversion"/>
  <printOptions horizontalCentered="1"/>
  <pageMargins left="0.5" right="0.5" top="0.5" bottom="0.75" header="0.5" footer="0.5"/>
  <pageSetup scale="68" fitToHeight="2" orientation="landscape" r:id="rId1"/>
  <headerFooter alignWithMargins="0">
    <oddFooter>&amp;C&amp;P of &amp;N</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4"/>
  <sheetViews>
    <sheetView workbookViewId="0"/>
  </sheetViews>
  <sheetFormatPr defaultColWidth="0" defaultRowHeight="11.25" zeroHeight="1" x14ac:dyDescent="0.2"/>
  <cols>
    <col min="1" max="1" width="10.5" customWidth="1"/>
    <col min="2" max="2" width="46" customWidth="1"/>
    <col min="3" max="3" width="23.5" customWidth="1"/>
    <col min="4" max="7" width="9.33203125" customWidth="1"/>
    <col min="8" max="8" width="9.33203125" hidden="1"/>
    <col min="9" max="9" width="9.83203125" hidden="1"/>
    <col min="10" max="16384" width="9.33203125" hidden="1"/>
  </cols>
  <sheetData>
    <row r="1" spans="1:7" ht="19.5" x14ac:dyDescent="0.3">
      <c r="A1" s="241" t="s">
        <v>510</v>
      </c>
      <c r="C1" s="231" t="s">
        <v>1242</v>
      </c>
      <c r="D1" s="231" t="s">
        <v>1242</v>
      </c>
      <c r="E1" s="37">
        <f>Report!I1</f>
        <v>41828</v>
      </c>
      <c r="F1" s="231" t="s">
        <v>1242</v>
      </c>
      <c r="G1" s="231" t="s">
        <v>1242</v>
      </c>
    </row>
    <row r="2" spans="1:7" x14ac:dyDescent="0.2">
      <c r="A2" s="242" t="s">
        <v>1240</v>
      </c>
    </row>
    <row r="3" spans="1:7" x14ac:dyDescent="0.2">
      <c r="A3" s="21" t="s">
        <v>511</v>
      </c>
      <c r="B3" t="s">
        <v>406</v>
      </c>
      <c r="C3" t="s">
        <v>512</v>
      </c>
      <c r="D3" t="s">
        <v>513</v>
      </c>
    </row>
    <row r="4" spans="1:7" x14ac:dyDescent="0.2">
      <c r="A4" s="231" t="s">
        <v>1242</v>
      </c>
      <c r="B4" t="s">
        <v>407</v>
      </c>
      <c r="C4" t="s">
        <v>514</v>
      </c>
      <c r="D4" t="s">
        <v>515</v>
      </c>
    </row>
    <row r="5" spans="1:7" x14ac:dyDescent="0.2">
      <c r="A5" s="231" t="s">
        <v>1242</v>
      </c>
      <c r="B5" s="231" t="s">
        <v>1242</v>
      </c>
      <c r="C5" t="s">
        <v>516</v>
      </c>
    </row>
    <row r="6" spans="1:7" x14ac:dyDescent="0.2">
      <c r="A6" s="242" t="s">
        <v>1240</v>
      </c>
    </row>
    <row r="7" spans="1:7" x14ac:dyDescent="0.2">
      <c r="A7" s="21" t="s">
        <v>511</v>
      </c>
      <c r="B7" t="s">
        <v>406</v>
      </c>
      <c r="C7" t="s">
        <v>517</v>
      </c>
      <c r="D7" t="s">
        <v>518</v>
      </c>
    </row>
    <row r="8" spans="1:7" x14ac:dyDescent="0.2">
      <c r="A8" s="231" t="s">
        <v>1242</v>
      </c>
      <c r="B8" t="s">
        <v>407</v>
      </c>
      <c r="C8" t="s">
        <v>512</v>
      </c>
      <c r="D8" t="s">
        <v>513</v>
      </c>
    </row>
    <row r="9" spans="1:7" x14ac:dyDescent="0.2">
      <c r="A9" s="231" t="s">
        <v>1242</v>
      </c>
      <c r="B9" s="231" t="s">
        <v>1242</v>
      </c>
      <c r="C9" t="s">
        <v>519</v>
      </c>
    </row>
    <row r="10" spans="1:7" x14ac:dyDescent="0.2">
      <c r="A10" s="242" t="s">
        <v>1240</v>
      </c>
    </row>
    <row r="11" spans="1:7" x14ac:dyDescent="0.2">
      <c r="A11" s="21" t="s">
        <v>520</v>
      </c>
      <c r="B11" t="s">
        <v>406</v>
      </c>
      <c r="C11" t="s">
        <v>521</v>
      </c>
      <c r="D11" t="s">
        <v>450</v>
      </c>
    </row>
    <row r="12" spans="1:7" x14ac:dyDescent="0.2">
      <c r="A12" s="231" t="s">
        <v>1242</v>
      </c>
      <c r="B12" t="s">
        <v>407</v>
      </c>
      <c r="C12" t="s">
        <v>512</v>
      </c>
      <c r="D12" t="s">
        <v>513</v>
      </c>
    </row>
    <row r="13" spans="1:7" x14ac:dyDescent="0.2">
      <c r="A13" s="231" t="s">
        <v>1242</v>
      </c>
      <c r="B13" t="s">
        <v>407</v>
      </c>
      <c r="C13" t="s">
        <v>517</v>
      </c>
      <c r="D13" t="s">
        <v>518</v>
      </c>
    </row>
    <row r="14" spans="1:7" x14ac:dyDescent="0.2">
      <c r="A14" s="231" t="s">
        <v>1242</v>
      </c>
      <c r="B14" t="s">
        <v>407</v>
      </c>
      <c r="C14" t="s">
        <v>522</v>
      </c>
      <c r="D14" t="s">
        <v>523</v>
      </c>
    </row>
    <row r="15" spans="1:7" x14ac:dyDescent="0.2">
      <c r="A15" s="231" t="s">
        <v>1242</v>
      </c>
      <c r="B15" t="s">
        <v>407</v>
      </c>
      <c r="C15" t="s">
        <v>524</v>
      </c>
      <c r="D15" t="s">
        <v>525</v>
      </c>
    </row>
    <row r="16" spans="1:7" x14ac:dyDescent="0.2">
      <c r="A16" s="231" t="s">
        <v>1242</v>
      </c>
      <c r="B16" t="s">
        <v>407</v>
      </c>
      <c r="C16" t="s">
        <v>526</v>
      </c>
      <c r="D16" t="s">
        <v>527</v>
      </c>
    </row>
    <row r="17" spans="1:9" x14ac:dyDescent="0.2">
      <c r="A17" s="231" t="s">
        <v>1242</v>
      </c>
      <c r="B17" s="231" t="s">
        <v>1242</v>
      </c>
      <c r="C17" t="s">
        <v>528</v>
      </c>
    </row>
    <row r="18" spans="1:9" x14ac:dyDescent="0.2">
      <c r="A18" s="242" t="s">
        <v>1240</v>
      </c>
    </row>
    <row r="19" spans="1:9" x14ac:dyDescent="0.2">
      <c r="A19" s="21" t="s">
        <v>529</v>
      </c>
      <c r="B19" t="s">
        <v>406</v>
      </c>
      <c r="C19" t="s">
        <v>514</v>
      </c>
      <c r="D19" t="s">
        <v>515</v>
      </c>
    </row>
    <row r="20" spans="1:9" x14ac:dyDescent="0.2">
      <c r="A20" s="231" t="s">
        <v>1242</v>
      </c>
      <c r="B20" t="s">
        <v>406</v>
      </c>
      <c r="C20" t="s">
        <v>530</v>
      </c>
      <c r="D20" t="s">
        <v>531</v>
      </c>
    </row>
    <row r="21" spans="1:9" x14ac:dyDescent="0.2">
      <c r="A21" s="231" t="s">
        <v>1242</v>
      </c>
      <c r="B21" t="s">
        <v>407</v>
      </c>
      <c r="C21" t="s">
        <v>532</v>
      </c>
      <c r="D21" t="s">
        <v>533</v>
      </c>
    </row>
    <row r="22" spans="1:9" x14ac:dyDescent="0.2">
      <c r="A22" s="231" t="s">
        <v>1242</v>
      </c>
      <c r="B22" t="s">
        <v>407</v>
      </c>
      <c r="C22" s="18" t="s">
        <v>557</v>
      </c>
      <c r="D22" t="s">
        <v>534</v>
      </c>
    </row>
    <row r="23" spans="1:9" x14ac:dyDescent="0.2">
      <c r="A23" s="231" t="s">
        <v>1242</v>
      </c>
      <c r="B23" s="231" t="s">
        <v>1242</v>
      </c>
      <c r="C23" t="s">
        <v>535</v>
      </c>
    </row>
    <row r="24" spans="1:9" x14ac:dyDescent="0.2">
      <c r="A24" s="242" t="s">
        <v>1240</v>
      </c>
    </row>
    <row r="25" spans="1:9" ht="67.5" x14ac:dyDescent="0.2">
      <c r="A25" s="231" t="s">
        <v>1242</v>
      </c>
      <c r="B25" s="240" t="s">
        <v>612</v>
      </c>
      <c r="C25" s="231" t="s">
        <v>1242</v>
      </c>
      <c r="D25" s="231" t="s">
        <v>1242</v>
      </c>
      <c r="E25" s="231" t="s">
        <v>1242</v>
      </c>
      <c r="F25" s="231" t="s">
        <v>1242</v>
      </c>
      <c r="G25" s="231" t="s">
        <v>1242</v>
      </c>
      <c r="H25" s="186"/>
      <c r="I25" s="186"/>
    </row>
    <row r="26" spans="1:9" x14ac:dyDescent="0.2">
      <c r="A26" s="242" t="s">
        <v>1240</v>
      </c>
    </row>
    <row r="27" spans="1:9" x14ac:dyDescent="0.2">
      <c r="A27" s="21" t="s">
        <v>536</v>
      </c>
      <c r="B27" t="s">
        <v>406</v>
      </c>
      <c r="C27" t="s">
        <v>532</v>
      </c>
      <c r="D27" t="s">
        <v>533</v>
      </c>
    </row>
    <row r="28" spans="1:9" x14ac:dyDescent="0.2">
      <c r="A28" s="231" t="s">
        <v>1242</v>
      </c>
      <c r="B28" t="s">
        <v>406</v>
      </c>
      <c r="C28" s="18" t="s">
        <v>557</v>
      </c>
      <c r="D28" t="s">
        <v>534</v>
      </c>
    </row>
    <row r="29" spans="1:9" x14ac:dyDescent="0.2">
      <c r="A29" s="231" t="s">
        <v>1242</v>
      </c>
      <c r="B29" t="s">
        <v>407</v>
      </c>
      <c r="C29" t="s">
        <v>514</v>
      </c>
      <c r="D29" t="s">
        <v>515</v>
      </c>
    </row>
    <row r="30" spans="1:9" x14ac:dyDescent="0.2">
      <c r="A30" s="231" t="s">
        <v>1242</v>
      </c>
      <c r="B30" t="s">
        <v>406</v>
      </c>
      <c r="C30" t="s">
        <v>530</v>
      </c>
      <c r="D30" t="s">
        <v>531</v>
      </c>
    </row>
    <row r="31" spans="1:9" x14ac:dyDescent="0.2">
      <c r="A31" s="231" t="s">
        <v>1242</v>
      </c>
      <c r="B31" s="231" t="s">
        <v>1242</v>
      </c>
      <c r="C31" t="s">
        <v>537</v>
      </c>
    </row>
    <row r="32" spans="1:9" x14ac:dyDescent="0.2">
      <c r="A32" s="242" t="s">
        <v>1240</v>
      </c>
    </row>
    <row r="33" spans="1:4" x14ac:dyDescent="0.2">
      <c r="A33" s="21" t="s">
        <v>536</v>
      </c>
      <c r="B33" t="s">
        <v>406</v>
      </c>
      <c r="C33" t="s">
        <v>514</v>
      </c>
      <c r="D33" t="s">
        <v>515</v>
      </c>
    </row>
    <row r="34" spans="1:4" x14ac:dyDescent="0.2">
      <c r="A34" s="231" t="s">
        <v>1242</v>
      </c>
      <c r="B34" t="s">
        <v>407</v>
      </c>
      <c r="C34" t="s">
        <v>532</v>
      </c>
      <c r="D34" t="s">
        <v>533</v>
      </c>
    </row>
    <row r="35" spans="1:4" x14ac:dyDescent="0.2">
      <c r="A35" s="231" t="s">
        <v>1242</v>
      </c>
      <c r="B35" t="s">
        <v>407</v>
      </c>
      <c r="C35" t="s">
        <v>532</v>
      </c>
      <c r="D35" t="s">
        <v>534</v>
      </c>
    </row>
    <row r="36" spans="1:4" x14ac:dyDescent="0.2">
      <c r="A36" s="231" t="s">
        <v>1242</v>
      </c>
      <c r="B36" s="231" t="s">
        <v>1242</v>
      </c>
      <c r="C36" t="s">
        <v>538</v>
      </c>
    </row>
    <row r="37" spans="1:4" x14ac:dyDescent="0.2">
      <c r="A37" s="242" t="s">
        <v>1240</v>
      </c>
    </row>
    <row r="38" spans="1:4" x14ac:dyDescent="0.2">
      <c r="A38" s="21" t="s">
        <v>536</v>
      </c>
      <c r="B38" t="s">
        <v>406</v>
      </c>
      <c r="C38" t="s">
        <v>532</v>
      </c>
      <c r="D38" t="s">
        <v>533</v>
      </c>
    </row>
    <row r="39" spans="1:4" x14ac:dyDescent="0.2">
      <c r="A39" s="231" t="s">
        <v>1242</v>
      </c>
      <c r="B39" t="s">
        <v>407</v>
      </c>
      <c r="C39" t="s">
        <v>512</v>
      </c>
      <c r="D39" t="s">
        <v>513</v>
      </c>
    </row>
    <row r="40" spans="1:4" x14ac:dyDescent="0.2">
      <c r="A40" s="231" t="s">
        <v>1242</v>
      </c>
      <c r="B40" s="231" t="s">
        <v>1242</v>
      </c>
      <c r="C40" t="s">
        <v>539</v>
      </c>
    </row>
    <row r="41" spans="1:4" x14ac:dyDescent="0.2">
      <c r="A41" s="242" t="s">
        <v>1240</v>
      </c>
    </row>
    <row r="42" spans="1:4" x14ac:dyDescent="0.2">
      <c r="A42" s="21" t="s">
        <v>536</v>
      </c>
      <c r="B42" t="s">
        <v>406</v>
      </c>
      <c r="C42" t="s">
        <v>532</v>
      </c>
      <c r="D42" t="s">
        <v>533</v>
      </c>
    </row>
    <row r="43" spans="1:4" x14ac:dyDescent="0.2">
      <c r="A43" s="231" t="s">
        <v>1242</v>
      </c>
      <c r="B43" t="s">
        <v>407</v>
      </c>
      <c r="C43" t="s">
        <v>512</v>
      </c>
      <c r="D43" t="s">
        <v>513</v>
      </c>
    </row>
    <row r="44" spans="1:4" x14ac:dyDescent="0.2">
      <c r="A44" s="231" t="s">
        <v>1242</v>
      </c>
      <c r="B44" s="231" t="s">
        <v>1242</v>
      </c>
      <c r="C44" t="s">
        <v>540</v>
      </c>
    </row>
    <row r="45" spans="1:4" x14ac:dyDescent="0.2">
      <c r="A45" s="242" t="s">
        <v>1240</v>
      </c>
    </row>
    <row r="46" spans="1:4" x14ac:dyDescent="0.2">
      <c r="A46" s="21" t="s">
        <v>536</v>
      </c>
      <c r="B46" t="s">
        <v>406</v>
      </c>
      <c r="C46" t="s">
        <v>532</v>
      </c>
      <c r="D46" t="s">
        <v>533</v>
      </c>
    </row>
    <row r="47" spans="1:4" x14ac:dyDescent="0.2">
      <c r="A47" s="231" t="s">
        <v>1242</v>
      </c>
      <c r="B47" t="s">
        <v>407</v>
      </c>
      <c r="C47" t="s">
        <v>512</v>
      </c>
      <c r="D47" t="s">
        <v>513</v>
      </c>
    </row>
    <row r="48" spans="1:4" x14ac:dyDescent="0.2">
      <c r="A48" s="231" t="s">
        <v>1242</v>
      </c>
      <c r="B48" s="231" t="s">
        <v>1242</v>
      </c>
      <c r="C48" t="s">
        <v>541</v>
      </c>
    </row>
    <row r="49" spans="1:4" x14ac:dyDescent="0.2">
      <c r="A49" s="242" t="s">
        <v>1240</v>
      </c>
    </row>
    <row r="50" spans="1:4" x14ac:dyDescent="0.2">
      <c r="A50" s="21" t="s">
        <v>536</v>
      </c>
      <c r="B50" t="s">
        <v>542</v>
      </c>
      <c r="C50" t="s">
        <v>532</v>
      </c>
      <c r="D50" t="s">
        <v>533</v>
      </c>
    </row>
    <row r="51" spans="1:4" x14ac:dyDescent="0.2">
      <c r="A51" s="231" t="s">
        <v>1242</v>
      </c>
      <c r="B51" t="s">
        <v>543</v>
      </c>
      <c r="C51" t="s">
        <v>512</v>
      </c>
      <c r="D51" t="s">
        <v>513</v>
      </c>
    </row>
    <row r="52" spans="1:4" x14ac:dyDescent="0.2">
      <c r="A52" s="231" t="s">
        <v>1242</v>
      </c>
      <c r="B52" s="231" t="s">
        <v>1242</v>
      </c>
      <c r="C52" t="s">
        <v>544</v>
      </c>
    </row>
    <row r="53" spans="1:4" x14ac:dyDescent="0.2">
      <c r="A53" s="242" t="s">
        <v>1240</v>
      </c>
    </row>
    <row r="54" spans="1:4" x14ac:dyDescent="0.2">
      <c r="A54" s="21" t="s">
        <v>545</v>
      </c>
      <c r="B54" t="s">
        <v>406</v>
      </c>
      <c r="C54" t="s">
        <v>521</v>
      </c>
      <c r="D54" t="s">
        <v>450</v>
      </c>
    </row>
    <row r="55" spans="1:4" x14ac:dyDescent="0.2">
      <c r="A55" s="231" t="s">
        <v>1242</v>
      </c>
      <c r="B55" t="s">
        <v>407</v>
      </c>
      <c r="C55" t="s">
        <v>512</v>
      </c>
      <c r="D55" t="s">
        <v>513</v>
      </c>
    </row>
    <row r="56" spans="1:4" x14ac:dyDescent="0.2">
      <c r="A56" s="231" t="s">
        <v>1242</v>
      </c>
      <c r="B56" t="s">
        <v>407</v>
      </c>
      <c r="C56" t="s">
        <v>517</v>
      </c>
      <c r="D56" t="s">
        <v>518</v>
      </c>
    </row>
    <row r="57" spans="1:4" x14ac:dyDescent="0.2">
      <c r="A57" s="231" t="s">
        <v>1242</v>
      </c>
      <c r="B57" t="s">
        <v>407</v>
      </c>
      <c r="C57" t="s">
        <v>546</v>
      </c>
      <c r="D57" t="s">
        <v>523</v>
      </c>
    </row>
    <row r="58" spans="1:4" x14ac:dyDescent="0.2">
      <c r="A58" s="231" t="s">
        <v>1242</v>
      </c>
      <c r="B58" t="s">
        <v>407</v>
      </c>
      <c r="C58" t="s">
        <v>547</v>
      </c>
      <c r="D58" t="s">
        <v>525</v>
      </c>
    </row>
    <row r="59" spans="1:4" x14ac:dyDescent="0.2">
      <c r="A59" s="231" t="s">
        <v>1242</v>
      </c>
      <c r="B59" t="s">
        <v>407</v>
      </c>
      <c r="C59" t="s">
        <v>526</v>
      </c>
      <c r="D59" t="s">
        <v>527</v>
      </c>
    </row>
    <row r="60" spans="1:4" x14ac:dyDescent="0.2">
      <c r="A60" s="231" t="s">
        <v>1242</v>
      </c>
      <c r="B60" s="231" t="s">
        <v>1242</v>
      </c>
      <c r="C60" t="s">
        <v>548</v>
      </c>
    </row>
    <row r="61" spans="1:4" x14ac:dyDescent="0.2">
      <c r="A61" s="242" t="s">
        <v>1240</v>
      </c>
    </row>
    <row r="62" spans="1:4" x14ac:dyDescent="0.2">
      <c r="A62" s="21" t="s">
        <v>529</v>
      </c>
      <c r="B62" t="s">
        <v>406</v>
      </c>
      <c r="C62" t="s">
        <v>532</v>
      </c>
      <c r="D62" t="s">
        <v>533</v>
      </c>
    </row>
    <row r="63" spans="1:4" x14ac:dyDescent="0.2">
      <c r="A63" s="231" t="s">
        <v>1242</v>
      </c>
      <c r="B63" t="s">
        <v>407</v>
      </c>
      <c r="C63" t="s">
        <v>517</v>
      </c>
      <c r="D63" t="s">
        <v>518</v>
      </c>
    </row>
    <row r="64" spans="1:4" x14ac:dyDescent="0.2">
      <c r="A64" s="231" t="s">
        <v>1242</v>
      </c>
      <c r="B64" s="231" t="s">
        <v>1242</v>
      </c>
      <c r="C64" t="s">
        <v>549</v>
      </c>
    </row>
    <row r="65" spans="1:4" x14ac:dyDescent="0.2">
      <c r="A65" s="242" t="s">
        <v>1240</v>
      </c>
    </row>
    <row r="66" spans="1:4" x14ac:dyDescent="0.2">
      <c r="A66" s="21" t="s">
        <v>529</v>
      </c>
      <c r="B66" t="s">
        <v>406</v>
      </c>
      <c r="C66" t="s">
        <v>532</v>
      </c>
      <c r="D66" t="s">
        <v>533</v>
      </c>
    </row>
    <row r="67" spans="1:4" x14ac:dyDescent="0.2">
      <c r="A67" s="231" t="s">
        <v>1242</v>
      </c>
      <c r="B67" t="s">
        <v>407</v>
      </c>
      <c r="C67" t="s">
        <v>517</v>
      </c>
      <c r="D67" t="s">
        <v>518</v>
      </c>
    </row>
    <row r="68" spans="1:4" x14ac:dyDescent="0.2">
      <c r="A68" s="231" t="s">
        <v>1242</v>
      </c>
      <c r="B68" s="231" t="s">
        <v>1242</v>
      </c>
      <c r="C68" t="s">
        <v>550</v>
      </c>
    </row>
    <row r="69" spans="1:4" x14ac:dyDescent="0.2">
      <c r="A69" s="242" t="s">
        <v>1240</v>
      </c>
    </row>
    <row r="70" spans="1:4" x14ac:dyDescent="0.2">
      <c r="A70" s="21" t="s">
        <v>529</v>
      </c>
      <c r="B70" t="s">
        <v>542</v>
      </c>
      <c r="C70" t="s">
        <v>532</v>
      </c>
      <c r="D70" t="s">
        <v>533</v>
      </c>
    </row>
    <row r="71" spans="1:4" x14ac:dyDescent="0.2">
      <c r="A71" s="231" t="s">
        <v>1242</v>
      </c>
      <c r="B71" t="s">
        <v>543</v>
      </c>
      <c r="C71" t="s">
        <v>551</v>
      </c>
      <c r="D71" s="1" t="s">
        <v>552</v>
      </c>
    </row>
    <row r="72" spans="1:4" x14ac:dyDescent="0.2">
      <c r="A72" s="231" t="s">
        <v>1242</v>
      </c>
      <c r="B72" s="231" t="s">
        <v>1242</v>
      </c>
      <c r="C72" t="s">
        <v>553</v>
      </c>
    </row>
    <row r="73" spans="1:4" x14ac:dyDescent="0.2">
      <c r="A73" s="21" t="s">
        <v>1241</v>
      </c>
    </row>
    <row r="74" spans="1:4" hidden="1" x14ac:dyDescent="0.2"/>
    <row r="75" spans="1:4" hidden="1" x14ac:dyDescent="0.2"/>
    <row r="76" spans="1:4" hidden="1" x14ac:dyDescent="0.2"/>
    <row r="77" spans="1:4" hidden="1" x14ac:dyDescent="0.2"/>
    <row r="78" spans="1:4" hidden="1" x14ac:dyDescent="0.2"/>
    <row r="79" spans="1:4" hidden="1" x14ac:dyDescent="0.2"/>
    <row r="80" spans="1:4" hidden="1" x14ac:dyDescent="0.2"/>
    <row r="81" hidden="1" x14ac:dyDescent="0.2"/>
    <row r="82" hidden="1" x14ac:dyDescent="0.2"/>
    <row r="83" hidden="1" x14ac:dyDescent="0.2"/>
    <row r="84" hidden="1" x14ac:dyDescent="0.2"/>
    <row r="85" hidden="1" x14ac:dyDescent="0.2"/>
    <row r="86" hidden="1" x14ac:dyDescent="0.2"/>
    <row r="87" hidden="1" x14ac:dyDescent="0.2"/>
    <row r="88" hidden="1" x14ac:dyDescent="0.2"/>
    <row r="89" hidden="1" x14ac:dyDescent="0.2"/>
    <row r="90" hidden="1" x14ac:dyDescent="0.2"/>
    <row r="91" hidden="1" x14ac:dyDescent="0.2"/>
    <row r="92" hidden="1" x14ac:dyDescent="0.2"/>
    <row r="93" hidden="1" x14ac:dyDescent="0.2"/>
    <row r="94" hidden="1" x14ac:dyDescent="0.2"/>
    <row r="95" hidden="1" x14ac:dyDescent="0.2"/>
    <row r="96" hidden="1" x14ac:dyDescent="0.2"/>
    <row r="97" hidden="1" x14ac:dyDescent="0.2"/>
    <row r="98" hidden="1" x14ac:dyDescent="0.2"/>
    <row r="99" hidden="1" x14ac:dyDescent="0.2"/>
    <row r="100" hidden="1" x14ac:dyDescent="0.2"/>
    <row r="101" hidden="1" x14ac:dyDescent="0.2"/>
    <row r="102" hidden="1" x14ac:dyDescent="0.2"/>
    <row r="103" hidden="1" x14ac:dyDescent="0.2"/>
    <row r="104" hidden="1" x14ac:dyDescent="0.2"/>
  </sheetData>
  <phoneticPr fontId="0" type="noConversion"/>
  <pageMargins left="1.25" right="1.25" top="1" bottom="1" header="0.5" footer="0.5"/>
  <pageSetup fitToWidth="0" fitToHeight="2" orientation="portrait" r:id="rId1"/>
  <headerFooter alignWithMargins="0">
    <oddFooter>&amp;C&amp;P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42"/>
  <sheetViews>
    <sheetView workbookViewId="0">
      <pane xSplit="3" ySplit="9" topLeftCell="D10" activePane="bottomRight" state="frozen"/>
      <selection pane="topRight" activeCell="D1" sqref="D1"/>
      <selection pane="bottomLeft" activeCell="A8" sqref="A8"/>
      <selection pane="bottomRight"/>
    </sheetView>
  </sheetViews>
  <sheetFormatPr defaultColWidth="0" defaultRowHeight="11.25" zeroHeight="1" x14ac:dyDescent="0.2"/>
  <cols>
    <col min="1" max="2" width="6.83203125" style="4" customWidth="1"/>
    <col min="3" max="3" width="20.83203125" style="2" customWidth="1"/>
    <col min="4" max="4" width="15.83203125" style="2" customWidth="1"/>
    <col min="5" max="5" width="15.83203125" style="2" bestFit="1" customWidth="1"/>
    <col min="6" max="6" width="15.83203125" style="2" customWidth="1"/>
    <col min="7" max="7" width="14.83203125" style="2" customWidth="1"/>
    <col min="8" max="8" width="15.83203125" style="3" customWidth="1"/>
    <col min="9" max="16384" width="9.33203125" style="2" hidden="1"/>
  </cols>
  <sheetData>
    <row r="1" spans="1:8" ht="19.5" x14ac:dyDescent="0.3">
      <c r="A1" s="243" t="str">
        <f>Instructions!R2&amp;" Aid Payment (Reduction)"</f>
        <v>FY 2014 Aid Payment (Reduction)</v>
      </c>
      <c r="H1" s="137">
        <f>Report!I1</f>
        <v>41828</v>
      </c>
    </row>
    <row r="2" spans="1:8" x14ac:dyDescent="0.2">
      <c r="A2" s="4" t="s">
        <v>608</v>
      </c>
      <c r="D2" s="3"/>
      <c r="E2" s="245" t="s">
        <v>1242</v>
      </c>
      <c r="F2" s="245" t="s">
        <v>1242</v>
      </c>
      <c r="G2" s="245" t="s">
        <v>1242</v>
      </c>
      <c r="H2" s="245" t="s">
        <v>1242</v>
      </c>
    </row>
    <row r="3" spans="1:8" x14ac:dyDescent="0.2">
      <c r="A3" s="4" t="s">
        <v>609</v>
      </c>
      <c r="E3" s="245" t="s">
        <v>1242</v>
      </c>
      <c r="F3" s="245" t="s">
        <v>1242</v>
      </c>
      <c r="G3" s="245" t="s">
        <v>1242</v>
      </c>
      <c r="H3" s="245" t="s">
        <v>1242</v>
      </c>
    </row>
    <row r="4" spans="1:8" x14ac:dyDescent="0.2">
      <c r="A4" s="159" t="s">
        <v>697</v>
      </c>
      <c r="E4" s="245" t="s">
        <v>1242</v>
      </c>
      <c r="F4" s="245" t="s">
        <v>1242</v>
      </c>
      <c r="G4" s="245" t="s">
        <v>1242</v>
      </c>
      <c r="H4" s="245" t="s">
        <v>1242</v>
      </c>
    </row>
    <row r="5" spans="1:8" x14ac:dyDescent="0.2">
      <c r="A5" s="244" t="s">
        <v>1240</v>
      </c>
      <c r="E5" s="245" t="s">
        <v>1242</v>
      </c>
      <c r="F5" s="245" t="s">
        <v>1242</v>
      </c>
      <c r="G5" s="245" t="s">
        <v>1242</v>
      </c>
      <c r="H5" s="245" t="s">
        <v>1242</v>
      </c>
    </row>
    <row r="6" spans="1:8" s="7" customFormat="1" ht="22.5" x14ac:dyDescent="0.2">
      <c r="A6" s="245" t="s">
        <v>1242</v>
      </c>
      <c r="B6" s="245" t="s">
        <v>1242</v>
      </c>
      <c r="C6" s="245" t="s">
        <v>1242</v>
      </c>
      <c r="D6" s="7" t="s">
        <v>349</v>
      </c>
      <c r="E6" s="7" t="s">
        <v>352</v>
      </c>
      <c r="F6" s="7" t="s">
        <v>474</v>
      </c>
      <c r="G6" s="7" t="s">
        <v>350</v>
      </c>
      <c r="H6" s="8" t="s">
        <v>339</v>
      </c>
    </row>
    <row r="7" spans="1:8" x14ac:dyDescent="0.2">
      <c r="A7" s="245" t="s">
        <v>1242</v>
      </c>
      <c r="B7" s="245" t="s">
        <v>1242</v>
      </c>
      <c r="C7" s="245" t="s">
        <v>1242</v>
      </c>
      <c r="D7" s="3">
        <v>-247348012.89999998</v>
      </c>
      <c r="E7" s="3">
        <v>-245503404.36999995</v>
      </c>
      <c r="F7" s="3">
        <v>-492851417.27000004</v>
      </c>
      <c r="G7" s="3">
        <v>-35601748.930000007</v>
      </c>
      <c r="H7" s="3">
        <v>-528453166.20000005</v>
      </c>
    </row>
    <row r="8" spans="1:8" x14ac:dyDescent="0.2">
      <c r="A8" s="245" t="s">
        <v>1242</v>
      </c>
      <c r="B8" s="245" t="s">
        <v>1242</v>
      </c>
      <c r="C8" s="245" t="s">
        <v>1242</v>
      </c>
      <c r="D8" s="3">
        <f>SUM(D10:D341)</f>
        <v>249444356.92999998</v>
      </c>
      <c r="E8" s="3">
        <f>SUM(E10:E341)</f>
        <v>265473867.29000011</v>
      </c>
      <c r="F8" s="3">
        <f>SUM(F10:F341)</f>
        <v>514918224.22000027</v>
      </c>
      <c r="G8" s="3">
        <f>SUM(G10:G341)</f>
        <v>36141518.130000018</v>
      </c>
      <c r="H8" s="3">
        <f>SUM(H10:H341)</f>
        <v>551059742.35000026</v>
      </c>
    </row>
    <row r="9" spans="1:8" x14ac:dyDescent="0.2">
      <c r="A9" s="244" t="s">
        <v>1240</v>
      </c>
      <c r="B9" s="245"/>
      <c r="C9" s="245"/>
    </row>
    <row r="10" spans="1:8" x14ac:dyDescent="0.2">
      <c r="A10" s="4">
        <v>1</v>
      </c>
      <c r="B10" s="4">
        <v>1</v>
      </c>
      <c r="C10" s="2" t="s">
        <v>5</v>
      </c>
      <c r="D10" s="2">
        <f>'Shift 13'!D11-'Shift 14'!D6</f>
        <v>348692.74</v>
      </c>
      <c r="E10" s="2">
        <f>'Shift 13'!E11-'Shift 14'!E6</f>
        <v>0</v>
      </c>
      <c r="F10" s="2">
        <f>D10+E10</f>
        <v>348692.74</v>
      </c>
      <c r="G10" s="2">
        <f>'Shift 13'!M11-'Shift 14'!M6</f>
        <v>5395.57</v>
      </c>
      <c r="H10" s="3">
        <f>SUM(F10:G10)</f>
        <v>354088.31</v>
      </c>
    </row>
    <row r="11" spans="1:8" x14ac:dyDescent="0.2">
      <c r="A11" s="4">
        <v>1.2</v>
      </c>
      <c r="B11" s="4">
        <v>3</v>
      </c>
      <c r="C11" s="2" t="s">
        <v>6</v>
      </c>
      <c r="D11" s="2">
        <f>'Shift 13'!D12-'Shift 14'!D7</f>
        <v>10520674.92</v>
      </c>
      <c r="E11" s="2">
        <f>'Shift 13'!E12-'Shift 14'!E7</f>
        <v>21877595.600000001</v>
      </c>
      <c r="F11" s="2">
        <f t="shared" ref="F11:F73" si="0">D11+E11</f>
        <v>32398270.520000003</v>
      </c>
      <c r="G11" s="2">
        <f>'Shift 13'!M12-'Shift 14'!M7</f>
        <v>2310760.12</v>
      </c>
      <c r="H11" s="3">
        <f t="shared" ref="H11:H73" si="1">SUM(F11:G11)</f>
        <v>34709030.640000001</v>
      </c>
    </row>
    <row r="12" spans="1:8" x14ac:dyDescent="0.2">
      <c r="A12" s="4">
        <v>2</v>
      </c>
      <c r="B12" s="4">
        <v>1</v>
      </c>
      <c r="C12" s="2" t="s">
        <v>7</v>
      </c>
      <c r="D12" s="2">
        <f>'Shift 13'!D13-'Shift 14'!D8</f>
        <v>52908.37</v>
      </c>
      <c r="E12" s="2">
        <f>'Shift 13'!E13-'Shift 14'!E8</f>
        <v>0</v>
      </c>
      <c r="F12" s="2">
        <f t="shared" si="0"/>
        <v>52908.37</v>
      </c>
      <c r="G12" s="2">
        <f>'Shift 13'!M13-'Shift 14'!M8</f>
        <v>9691.81</v>
      </c>
      <c r="H12" s="3">
        <f t="shared" si="1"/>
        <v>62600.18</v>
      </c>
    </row>
    <row r="13" spans="1:8" x14ac:dyDescent="0.2">
      <c r="A13" s="4">
        <v>4</v>
      </c>
      <c r="B13" s="4">
        <v>1</v>
      </c>
      <c r="C13" s="2" t="s">
        <v>8</v>
      </c>
      <c r="D13" s="2">
        <f>'Shift 13'!D14-'Shift 14'!D9</f>
        <v>171965.38</v>
      </c>
      <c r="E13" s="2">
        <f>'Shift 13'!E14-'Shift 14'!E9</f>
        <v>0</v>
      </c>
      <c r="F13" s="2">
        <f t="shared" si="0"/>
        <v>171965.38</v>
      </c>
      <c r="G13" s="2">
        <f>'Shift 13'!M14-'Shift 14'!M9</f>
        <v>25493.62</v>
      </c>
      <c r="H13" s="3">
        <f t="shared" si="1"/>
        <v>197459</v>
      </c>
    </row>
    <row r="14" spans="1:8" x14ac:dyDescent="0.2">
      <c r="A14" s="4">
        <v>6</v>
      </c>
      <c r="B14" s="4">
        <v>3</v>
      </c>
      <c r="C14" s="2" t="s">
        <v>9</v>
      </c>
      <c r="D14" s="2">
        <f>'Shift 13'!D15-'Shift 14'!D10</f>
        <v>1373574.87</v>
      </c>
      <c r="E14" s="2">
        <f>'Shift 13'!E15-'Shift 14'!E10</f>
        <v>1070015.58</v>
      </c>
      <c r="F14" s="2">
        <f t="shared" si="0"/>
        <v>2443590.4500000002</v>
      </c>
      <c r="G14" s="2">
        <f>'Shift 13'!M15-'Shift 14'!M10</f>
        <v>174530.38</v>
      </c>
      <c r="H14" s="3">
        <f t="shared" si="1"/>
        <v>2618120.83</v>
      </c>
    </row>
    <row r="15" spans="1:8" x14ac:dyDescent="0.2">
      <c r="A15" s="4">
        <v>11</v>
      </c>
      <c r="B15" s="4">
        <v>1</v>
      </c>
      <c r="C15" s="2" t="s">
        <v>10</v>
      </c>
      <c r="D15" s="2">
        <f>'Shift 13'!D16-'Shift 14'!D11</f>
        <v>10965625.300000001</v>
      </c>
      <c r="E15" s="2">
        <f>'Shift 13'!E16-'Shift 14'!E11</f>
        <v>20072769.5</v>
      </c>
      <c r="F15" s="2">
        <f t="shared" si="0"/>
        <v>31038394.800000001</v>
      </c>
      <c r="G15" s="2">
        <f>'Shift 13'!M16-'Shift 14'!M11</f>
        <v>1511185.01</v>
      </c>
      <c r="H15" s="3">
        <f t="shared" si="1"/>
        <v>32549579.810000002</v>
      </c>
    </row>
    <row r="16" spans="1:8" x14ac:dyDescent="0.2">
      <c r="A16" s="4">
        <v>12</v>
      </c>
      <c r="B16" s="4">
        <v>1</v>
      </c>
      <c r="C16" s="2" t="s">
        <v>11</v>
      </c>
      <c r="D16" s="2">
        <f>'Shift 13'!D17-'Shift 14'!D12</f>
        <v>1678920.91</v>
      </c>
      <c r="E16" s="2">
        <f>'Shift 13'!E17-'Shift 14'!E12</f>
        <v>2331680.04</v>
      </c>
      <c r="F16" s="2">
        <f t="shared" si="0"/>
        <v>4010600.95</v>
      </c>
      <c r="G16" s="2">
        <f>'Shift 13'!M17-'Shift 14'!M12</f>
        <v>203136.35</v>
      </c>
      <c r="H16" s="3">
        <f t="shared" si="1"/>
        <v>4213737.3</v>
      </c>
    </row>
    <row r="17" spans="1:8" x14ac:dyDescent="0.2">
      <c r="A17" s="4">
        <v>13</v>
      </c>
      <c r="B17" s="4">
        <v>1</v>
      </c>
      <c r="C17" s="2" t="s">
        <v>12</v>
      </c>
      <c r="D17" s="2">
        <f>'Shift 13'!D18-'Shift 14'!D13</f>
        <v>1067552.72</v>
      </c>
      <c r="E17" s="2">
        <f>'Shift 13'!E18-'Shift 14'!E13</f>
        <v>780519.38</v>
      </c>
      <c r="F17" s="2">
        <f t="shared" si="0"/>
        <v>1848072.1</v>
      </c>
      <c r="G17" s="2">
        <f>'Shift 13'!M18-'Shift 14'!M13</f>
        <v>171191.46</v>
      </c>
      <c r="H17" s="3">
        <f t="shared" si="1"/>
        <v>2019263.56</v>
      </c>
    </row>
    <row r="18" spans="1:8" x14ac:dyDescent="0.2">
      <c r="A18" s="4">
        <v>14</v>
      </c>
      <c r="B18" s="4">
        <v>1</v>
      </c>
      <c r="C18" s="2" t="s">
        <v>13</v>
      </c>
      <c r="D18" s="2">
        <f>'Shift 13'!D19-'Shift 14'!D14</f>
        <v>1197487.8799999999</v>
      </c>
      <c r="E18" s="2">
        <f>'Shift 13'!E19-'Shift 14'!E14</f>
        <v>702683.97</v>
      </c>
      <c r="F18" s="2">
        <f t="shared" si="0"/>
        <v>1900171.8499999999</v>
      </c>
      <c r="G18" s="2">
        <f>'Shift 13'!M19-'Shift 14'!M14</f>
        <v>198881.39</v>
      </c>
      <c r="H18" s="3">
        <f t="shared" si="1"/>
        <v>2099053.2399999998</v>
      </c>
    </row>
    <row r="19" spans="1:8" x14ac:dyDescent="0.2">
      <c r="A19" s="4">
        <v>15</v>
      </c>
      <c r="B19" s="4">
        <v>1</v>
      </c>
      <c r="C19" s="2" t="s">
        <v>14</v>
      </c>
      <c r="D19" s="2">
        <f>'Shift 13'!D20-'Shift 14'!D15</f>
        <v>1128147.45</v>
      </c>
      <c r="E19" s="2">
        <f>'Shift 13'!E20-'Shift 14'!E15</f>
        <v>558074.99</v>
      </c>
      <c r="F19" s="2">
        <f t="shared" si="0"/>
        <v>1686222.44</v>
      </c>
      <c r="G19" s="2">
        <f>'Shift 13'!M20-'Shift 14'!M15</f>
        <v>177575.69</v>
      </c>
      <c r="H19" s="3">
        <f t="shared" si="1"/>
        <v>1863798.13</v>
      </c>
    </row>
    <row r="20" spans="1:8" x14ac:dyDescent="0.2">
      <c r="A20" s="4">
        <v>16</v>
      </c>
      <c r="B20" s="4">
        <v>1</v>
      </c>
      <c r="C20" s="2" t="s">
        <v>15</v>
      </c>
      <c r="D20" s="2">
        <f>'Shift 13'!D21-'Shift 14'!D16</f>
        <v>2285453.77</v>
      </c>
      <c r="E20" s="2">
        <f>'Shift 13'!E21-'Shift 14'!E16</f>
        <v>1718912.65</v>
      </c>
      <c r="F20" s="2">
        <f t="shared" si="0"/>
        <v>4004366.42</v>
      </c>
      <c r="G20" s="2">
        <f>'Shift 13'!M21-'Shift 14'!M16</f>
        <v>224515.36</v>
      </c>
      <c r="H20" s="3">
        <f t="shared" si="1"/>
        <v>4228881.78</v>
      </c>
    </row>
    <row r="21" spans="1:8" x14ac:dyDescent="0.2">
      <c r="A21" s="4">
        <v>22</v>
      </c>
      <c r="B21" s="4">
        <v>1</v>
      </c>
      <c r="C21" s="2" t="s">
        <v>16</v>
      </c>
      <c r="D21" s="2">
        <f>'Shift 13'!D22-'Shift 14'!D17</f>
        <v>704875.8</v>
      </c>
      <c r="E21" s="2">
        <f>'Shift 13'!E22-'Shift 14'!E17</f>
        <v>499115.63</v>
      </c>
      <c r="F21" s="2">
        <f t="shared" si="0"/>
        <v>1203991.4300000002</v>
      </c>
      <c r="G21" s="2">
        <f>'Shift 13'!M22-'Shift 14'!M17</f>
        <v>102673.53</v>
      </c>
      <c r="H21" s="3">
        <f t="shared" si="1"/>
        <v>1306664.9600000002</v>
      </c>
    </row>
    <row r="22" spans="1:8" x14ac:dyDescent="0.2">
      <c r="A22" s="4">
        <v>23</v>
      </c>
      <c r="B22" s="4">
        <v>1</v>
      </c>
      <c r="C22" s="2" t="s">
        <v>17</v>
      </c>
      <c r="D22" s="2">
        <f>'Shift 13'!D23-'Shift 14'!D18</f>
        <v>145988.69</v>
      </c>
      <c r="E22" s="2">
        <f>'Shift 13'!E23-'Shift 14'!E18</f>
        <v>358473.16</v>
      </c>
      <c r="F22" s="2">
        <f t="shared" si="0"/>
        <v>504461.85</v>
      </c>
      <c r="G22" s="2">
        <f>'Shift 13'!M23-'Shift 14'!M18</f>
        <v>41735.32</v>
      </c>
      <c r="H22" s="3">
        <f t="shared" si="1"/>
        <v>546197.16999999993</v>
      </c>
    </row>
    <row r="23" spans="1:8" x14ac:dyDescent="0.2">
      <c r="A23" s="4">
        <v>25</v>
      </c>
      <c r="B23" s="4">
        <v>1</v>
      </c>
      <c r="C23" s="2" t="s">
        <v>341</v>
      </c>
      <c r="D23" s="2">
        <f>'Shift 13'!D24-'Shift 14'!D19</f>
        <v>0</v>
      </c>
      <c r="E23" s="2">
        <f>'Shift 13'!E24-'Shift 14'!E19</f>
        <v>0</v>
      </c>
      <c r="F23" s="2">
        <f t="shared" si="0"/>
        <v>0</v>
      </c>
      <c r="G23" s="2">
        <f>'Shift 13'!M24-'Shift 14'!M19</f>
        <v>0</v>
      </c>
      <c r="H23" s="3">
        <f t="shared" si="1"/>
        <v>0</v>
      </c>
    </row>
    <row r="24" spans="1:8" x14ac:dyDescent="0.2">
      <c r="A24" s="4">
        <v>31</v>
      </c>
      <c r="B24" s="4">
        <v>1</v>
      </c>
      <c r="C24" s="2" t="s">
        <v>18</v>
      </c>
      <c r="D24" s="2">
        <f>'Shift 13'!D25-'Shift 14'!D20</f>
        <v>1019589.12</v>
      </c>
      <c r="E24" s="2">
        <f>'Shift 13'!E25-'Shift 14'!E20</f>
        <v>940308.28</v>
      </c>
      <c r="F24" s="2">
        <f t="shared" si="0"/>
        <v>1959897.4</v>
      </c>
      <c r="G24" s="2">
        <f>'Shift 13'!M25-'Shift 14'!M20</f>
        <v>190513.2</v>
      </c>
      <c r="H24" s="3">
        <f t="shared" si="1"/>
        <v>2150410.6</v>
      </c>
    </row>
    <row r="25" spans="1:8" x14ac:dyDescent="0.2">
      <c r="A25" s="4">
        <v>32</v>
      </c>
      <c r="B25" s="4">
        <v>1</v>
      </c>
      <c r="C25" s="2" t="s">
        <v>19</v>
      </c>
      <c r="D25" s="2">
        <f>'Shift 13'!D26-'Shift 14'!D21</f>
        <v>139252.56</v>
      </c>
      <c r="E25" s="2">
        <f>'Shift 13'!E26-'Shift 14'!E21</f>
        <v>0</v>
      </c>
      <c r="F25" s="2">
        <f t="shared" si="0"/>
        <v>139252.56</v>
      </c>
      <c r="G25" s="2">
        <f>'Shift 13'!M26-'Shift 14'!M21</f>
        <v>16467.37</v>
      </c>
      <c r="H25" s="3">
        <f t="shared" si="1"/>
        <v>155719.93</v>
      </c>
    </row>
    <row r="26" spans="1:8" x14ac:dyDescent="0.2">
      <c r="A26" s="4">
        <v>36</v>
      </c>
      <c r="B26" s="4">
        <v>1</v>
      </c>
      <c r="C26" s="2" t="s">
        <v>20</v>
      </c>
      <c r="D26" s="2">
        <f>'Shift 13'!D27-'Shift 14'!D22</f>
        <v>28582.38</v>
      </c>
      <c r="E26" s="2">
        <f>'Shift 13'!E27-'Shift 14'!E22</f>
        <v>0</v>
      </c>
      <c r="F26" s="2">
        <f t="shared" si="0"/>
        <v>28582.38</v>
      </c>
      <c r="G26" s="2">
        <f>'Shift 13'!M27-'Shift 14'!M22</f>
        <v>5808.43</v>
      </c>
      <c r="H26" s="3">
        <f t="shared" si="1"/>
        <v>34390.81</v>
      </c>
    </row>
    <row r="27" spans="1:8" x14ac:dyDescent="0.2">
      <c r="A27" s="4">
        <v>38</v>
      </c>
      <c r="B27" s="4">
        <v>1</v>
      </c>
      <c r="C27" s="2" t="s">
        <v>21</v>
      </c>
      <c r="D27" s="2">
        <f>'Shift 13'!D28-'Shift 14'!D23</f>
        <v>805.32</v>
      </c>
      <c r="E27" s="2">
        <f>'Shift 13'!E28-'Shift 14'!E23</f>
        <v>1124.69</v>
      </c>
      <c r="F27" s="2">
        <f t="shared" si="0"/>
        <v>1930.0100000000002</v>
      </c>
      <c r="G27" s="2">
        <f>'Shift 13'!M28-'Shift 14'!M23</f>
        <v>72.010000000000005</v>
      </c>
      <c r="H27" s="3">
        <f t="shared" si="1"/>
        <v>2002.0200000000002</v>
      </c>
    </row>
    <row r="28" spans="1:8" x14ac:dyDescent="0.2">
      <c r="A28" s="4">
        <v>47</v>
      </c>
      <c r="B28" s="4">
        <v>1</v>
      </c>
      <c r="C28" s="2" t="s">
        <v>22</v>
      </c>
      <c r="D28" s="2">
        <f>'Shift 13'!D29-'Shift 14'!D24</f>
        <v>657448.77</v>
      </c>
      <c r="E28" s="2">
        <f>'Shift 13'!E29-'Shift 14'!E24</f>
        <v>416513.39</v>
      </c>
      <c r="F28" s="2">
        <f t="shared" si="0"/>
        <v>1073962.1600000001</v>
      </c>
      <c r="G28" s="2">
        <f>'Shift 13'!M29-'Shift 14'!M24</f>
        <v>120255.09</v>
      </c>
      <c r="H28" s="3">
        <f t="shared" si="1"/>
        <v>1194217.2500000002</v>
      </c>
    </row>
    <row r="29" spans="1:8" x14ac:dyDescent="0.2">
      <c r="A29" s="4">
        <v>51</v>
      </c>
      <c r="B29" s="4">
        <v>1</v>
      </c>
      <c r="C29" s="2" t="s">
        <v>23</v>
      </c>
      <c r="D29" s="2">
        <f>'Shift 13'!D30-'Shift 14'!D25</f>
        <v>236661.46</v>
      </c>
      <c r="E29" s="2">
        <f>'Shift 13'!E30-'Shift 14'!E25</f>
        <v>108700.27</v>
      </c>
      <c r="F29" s="2">
        <f t="shared" si="0"/>
        <v>345361.73</v>
      </c>
      <c r="G29" s="2">
        <f>'Shift 13'!M30-'Shift 14'!M25</f>
        <v>42799.53</v>
      </c>
      <c r="H29" s="3">
        <f t="shared" si="1"/>
        <v>388161.26</v>
      </c>
    </row>
    <row r="30" spans="1:8" x14ac:dyDescent="0.2">
      <c r="A30" s="4">
        <v>75</v>
      </c>
      <c r="B30" s="4">
        <v>1</v>
      </c>
      <c r="C30" s="2" t="s">
        <v>24</v>
      </c>
      <c r="D30" s="2">
        <f>'Shift 13'!D31-'Shift 14'!D26</f>
        <v>150092.56</v>
      </c>
      <c r="E30" s="2">
        <f>'Shift 13'!E31-'Shift 14'!E26</f>
        <v>68845.539999999994</v>
      </c>
      <c r="F30" s="2">
        <f t="shared" si="0"/>
        <v>218938.09999999998</v>
      </c>
      <c r="G30" s="2">
        <f>'Shift 13'!M31-'Shift 14'!M26</f>
        <v>16203.67</v>
      </c>
      <c r="H30" s="3">
        <f t="shared" si="1"/>
        <v>235141.77</v>
      </c>
    </row>
    <row r="31" spans="1:8" x14ac:dyDescent="0.2">
      <c r="A31" s="4">
        <v>77</v>
      </c>
      <c r="B31" s="4">
        <v>1</v>
      </c>
      <c r="C31" s="2" t="s">
        <v>25</v>
      </c>
      <c r="D31" s="2">
        <f>'Shift 13'!D32-'Shift 14'!D27</f>
        <v>2388174.59</v>
      </c>
      <c r="E31" s="2">
        <f>'Shift 13'!E32-'Shift 14'!E27</f>
        <v>2185680.7999999998</v>
      </c>
      <c r="F31" s="2">
        <f t="shared" si="0"/>
        <v>4573855.3899999997</v>
      </c>
      <c r="G31" s="2">
        <f>'Shift 13'!M32-'Shift 14'!M27</f>
        <v>380489.58</v>
      </c>
      <c r="H31" s="3">
        <f t="shared" si="1"/>
        <v>4954344.97</v>
      </c>
    </row>
    <row r="32" spans="1:8" x14ac:dyDescent="0.2">
      <c r="A32" s="4">
        <v>81</v>
      </c>
      <c r="B32" s="4">
        <v>1</v>
      </c>
      <c r="C32" s="2" t="s">
        <v>26</v>
      </c>
      <c r="D32" s="2">
        <f>'Shift 13'!D33-'Shift 14'!D28</f>
        <v>77532.479999999996</v>
      </c>
      <c r="E32" s="2">
        <f>'Shift 13'!E33-'Shift 14'!E28</f>
        <v>19812.14</v>
      </c>
      <c r="F32" s="2">
        <f t="shared" si="0"/>
        <v>97344.62</v>
      </c>
      <c r="G32" s="2">
        <f>'Shift 13'!M33-'Shift 14'!M28</f>
        <v>12450.46</v>
      </c>
      <c r="H32" s="3">
        <f t="shared" si="1"/>
        <v>109795.07999999999</v>
      </c>
    </row>
    <row r="33" spans="1:8" x14ac:dyDescent="0.2">
      <c r="A33" s="4">
        <v>84</v>
      </c>
      <c r="B33" s="4">
        <v>1</v>
      </c>
      <c r="C33" s="2" t="s">
        <v>27</v>
      </c>
      <c r="D33" s="2">
        <f>'Shift 13'!D34-'Shift 14'!D29</f>
        <v>165262.74</v>
      </c>
      <c r="E33" s="2">
        <f>'Shift 13'!E34-'Shift 14'!E29</f>
        <v>0</v>
      </c>
      <c r="F33" s="2">
        <f t="shared" si="0"/>
        <v>165262.74</v>
      </c>
      <c r="G33" s="2">
        <f>'Shift 13'!M34-'Shift 14'!M29</f>
        <v>35512.300000000003</v>
      </c>
      <c r="H33" s="3">
        <f t="shared" si="1"/>
        <v>200775.03999999998</v>
      </c>
    </row>
    <row r="34" spans="1:8" x14ac:dyDescent="0.2">
      <c r="A34" s="4">
        <v>85</v>
      </c>
      <c r="B34" s="4">
        <v>1</v>
      </c>
      <c r="C34" s="2" t="s">
        <v>28</v>
      </c>
      <c r="D34" s="2">
        <f>'Shift 13'!D35-'Shift 14'!D30</f>
        <v>118229.88</v>
      </c>
      <c r="E34" s="2">
        <f>'Shift 13'!E35-'Shift 14'!E30</f>
        <v>76590.960000000006</v>
      </c>
      <c r="F34" s="2">
        <f t="shared" si="0"/>
        <v>194820.84000000003</v>
      </c>
      <c r="G34" s="2">
        <f>'Shift 13'!M35-'Shift 14'!M30</f>
        <v>23209.97</v>
      </c>
      <c r="H34" s="3">
        <f t="shared" si="1"/>
        <v>218030.81000000003</v>
      </c>
    </row>
    <row r="35" spans="1:8" x14ac:dyDescent="0.2">
      <c r="A35" s="4">
        <v>88</v>
      </c>
      <c r="B35" s="4">
        <v>1</v>
      </c>
      <c r="C35" s="2" t="s">
        <v>29</v>
      </c>
      <c r="D35" s="2">
        <f>'Shift 13'!D36-'Shift 14'!D31</f>
        <v>504881.2</v>
      </c>
      <c r="E35" s="2">
        <f>'Shift 13'!E36-'Shift 14'!E31</f>
        <v>1395424.23</v>
      </c>
      <c r="F35" s="2">
        <f t="shared" si="0"/>
        <v>1900305.43</v>
      </c>
      <c r="G35" s="2">
        <f>'Shift 13'!M36-'Shift 14'!M31</f>
        <v>110045.77</v>
      </c>
      <c r="H35" s="3">
        <f t="shared" si="1"/>
        <v>2010351.2</v>
      </c>
    </row>
    <row r="36" spans="1:8" x14ac:dyDescent="0.2">
      <c r="A36" s="4">
        <v>91</v>
      </c>
      <c r="B36" s="4">
        <v>1</v>
      </c>
      <c r="C36" s="2" t="s">
        <v>30</v>
      </c>
      <c r="D36" s="2">
        <f>'Shift 13'!D37-'Shift 14'!D32</f>
        <v>140793.78</v>
      </c>
      <c r="E36" s="2">
        <f>'Shift 13'!E37-'Shift 14'!E32</f>
        <v>0</v>
      </c>
      <c r="F36" s="2">
        <f t="shared" si="0"/>
        <v>140793.78</v>
      </c>
      <c r="G36" s="2">
        <f>'Shift 13'!M37-'Shift 14'!M32</f>
        <v>23133.27</v>
      </c>
      <c r="H36" s="3">
        <f t="shared" si="1"/>
        <v>163927.04999999999</v>
      </c>
    </row>
    <row r="37" spans="1:8" x14ac:dyDescent="0.2">
      <c r="A37" s="4">
        <v>93</v>
      </c>
      <c r="B37" s="4">
        <v>1</v>
      </c>
      <c r="C37" s="2" t="s">
        <v>31</v>
      </c>
      <c r="D37" s="2">
        <f>'Shift 13'!D38-'Shift 14'!D33</f>
        <v>40253.449999999997</v>
      </c>
      <c r="E37" s="2">
        <f>'Shift 13'!E38-'Shift 14'!E33</f>
        <v>341230.32</v>
      </c>
      <c r="F37" s="2">
        <f t="shared" si="0"/>
        <v>381483.77</v>
      </c>
      <c r="G37" s="2">
        <f>'Shift 13'!M38-'Shift 14'!M33</f>
        <v>18899.580000000002</v>
      </c>
      <c r="H37" s="3">
        <f t="shared" si="1"/>
        <v>400383.35000000003</v>
      </c>
    </row>
    <row r="38" spans="1:8" x14ac:dyDescent="0.2">
      <c r="A38" s="4">
        <v>94</v>
      </c>
      <c r="B38" s="4">
        <v>1</v>
      </c>
      <c r="C38" s="2" t="s">
        <v>32</v>
      </c>
      <c r="D38" s="2">
        <f>'Shift 13'!D39-'Shift 14'!D34</f>
        <v>305812.26</v>
      </c>
      <c r="E38" s="2">
        <f>'Shift 13'!E39-'Shift 14'!E34</f>
        <v>0</v>
      </c>
      <c r="F38" s="2">
        <f t="shared" si="0"/>
        <v>305812.26</v>
      </c>
      <c r="G38" s="2">
        <f>'Shift 13'!M39-'Shift 14'!M34</f>
        <v>136022.01999999999</v>
      </c>
      <c r="H38" s="3">
        <f t="shared" si="1"/>
        <v>441834.28</v>
      </c>
    </row>
    <row r="39" spans="1:8" x14ac:dyDescent="0.2">
      <c r="A39" s="4">
        <v>95</v>
      </c>
      <c r="B39" s="4">
        <v>1</v>
      </c>
      <c r="C39" s="2" t="s">
        <v>33</v>
      </c>
      <c r="D39" s="2">
        <f>'Shift 13'!D40-'Shift 14'!D35</f>
        <v>59164.76</v>
      </c>
      <c r="E39" s="2">
        <f>'Shift 13'!E40-'Shift 14'!E35</f>
        <v>0</v>
      </c>
      <c r="F39" s="2">
        <f t="shared" si="0"/>
        <v>59164.76</v>
      </c>
      <c r="G39" s="2">
        <f>'Shift 13'!M40-'Shift 14'!M35</f>
        <v>11088.35</v>
      </c>
      <c r="H39" s="3">
        <f t="shared" si="1"/>
        <v>70253.11</v>
      </c>
    </row>
    <row r="40" spans="1:8" x14ac:dyDescent="0.2">
      <c r="A40" s="4">
        <v>97</v>
      </c>
      <c r="B40" s="4">
        <v>1</v>
      </c>
      <c r="C40" s="2" t="s">
        <v>34</v>
      </c>
      <c r="D40" s="2">
        <f>'Shift 13'!D41-'Shift 14'!D36</f>
        <v>178746.82</v>
      </c>
      <c r="E40" s="2">
        <f>'Shift 13'!E41-'Shift 14'!E36</f>
        <v>97496.02</v>
      </c>
      <c r="F40" s="2">
        <f t="shared" si="0"/>
        <v>276242.84000000003</v>
      </c>
      <c r="G40" s="2">
        <f>'Shift 13'!M41-'Shift 14'!M36</f>
        <v>28846.54</v>
      </c>
      <c r="H40" s="3">
        <f t="shared" si="1"/>
        <v>305089.38</v>
      </c>
    </row>
    <row r="41" spans="1:8" x14ac:dyDescent="0.2">
      <c r="A41" s="4">
        <v>99</v>
      </c>
      <c r="B41" s="4">
        <v>1</v>
      </c>
      <c r="C41" s="2" t="s">
        <v>35</v>
      </c>
      <c r="D41" s="2">
        <f>'Shift 13'!D42-'Shift 14'!D37</f>
        <v>164052.84</v>
      </c>
      <c r="E41" s="2">
        <f>'Shift 13'!E42-'Shift 14'!E37</f>
        <v>101145.77</v>
      </c>
      <c r="F41" s="2">
        <f t="shared" si="0"/>
        <v>265198.61</v>
      </c>
      <c r="G41" s="2">
        <f>'Shift 13'!M42-'Shift 14'!M37</f>
        <v>26465.599999999999</v>
      </c>
      <c r="H41" s="3">
        <f t="shared" si="1"/>
        <v>291664.20999999996</v>
      </c>
    </row>
    <row r="42" spans="1:8" x14ac:dyDescent="0.2">
      <c r="A42" s="4">
        <v>100</v>
      </c>
      <c r="B42" s="4">
        <v>1</v>
      </c>
      <c r="C42" s="2" t="s">
        <v>36</v>
      </c>
      <c r="D42" s="2">
        <f>'Shift 13'!D43-'Shift 14'!D38</f>
        <v>76987.69</v>
      </c>
      <c r="E42" s="2">
        <f>'Shift 13'!E43-'Shift 14'!E38</f>
        <v>56699</v>
      </c>
      <c r="F42" s="2">
        <f t="shared" si="0"/>
        <v>133686.69</v>
      </c>
      <c r="G42" s="2">
        <f>'Shift 13'!M43-'Shift 14'!M38</f>
        <v>13019.66</v>
      </c>
      <c r="H42" s="3">
        <f t="shared" si="1"/>
        <v>146706.35</v>
      </c>
    </row>
    <row r="43" spans="1:8" x14ac:dyDescent="0.2">
      <c r="A43" s="4">
        <v>108</v>
      </c>
      <c r="B43" s="4">
        <v>1</v>
      </c>
      <c r="C43" s="2" t="s">
        <v>1168</v>
      </c>
      <c r="D43" s="2">
        <f>'Shift 13'!D44-'Shift 14'!D39</f>
        <v>338267.59</v>
      </c>
      <c r="E43" s="2">
        <f>'Shift 13'!E44-'Shift 14'!E39</f>
        <v>235695.41</v>
      </c>
      <c r="F43" s="2">
        <f t="shared" si="0"/>
        <v>573963</v>
      </c>
      <c r="G43" s="2">
        <f>'Shift 13'!M44-'Shift 14'!M39</f>
        <v>60137.64</v>
      </c>
      <c r="H43" s="3">
        <f t="shared" si="1"/>
        <v>634100.64</v>
      </c>
    </row>
    <row r="44" spans="1:8" x14ac:dyDescent="0.2">
      <c r="A44" s="4">
        <v>110</v>
      </c>
      <c r="B44" s="4">
        <v>1</v>
      </c>
      <c r="C44" s="2" t="s">
        <v>38</v>
      </c>
      <c r="D44" s="2">
        <f>'Shift 13'!D45-'Shift 14'!D40</f>
        <v>948167.57</v>
      </c>
      <c r="E44" s="2">
        <f>'Shift 13'!E45-'Shift 14'!E40</f>
        <v>921052.55</v>
      </c>
      <c r="F44" s="2">
        <f t="shared" si="0"/>
        <v>1869220.12</v>
      </c>
      <c r="G44" s="2">
        <f>'Shift 13'!M45-'Shift 14'!M40</f>
        <v>145105.01999999999</v>
      </c>
      <c r="H44" s="3">
        <f t="shared" si="1"/>
        <v>2014325.1400000001</v>
      </c>
    </row>
    <row r="45" spans="1:8" x14ac:dyDescent="0.2">
      <c r="A45" s="4">
        <v>111</v>
      </c>
      <c r="B45" s="4">
        <v>1</v>
      </c>
      <c r="C45" s="2" t="s">
        <v>39</v>
      </c>
      <c r="D45" s="2">
        <f>'Shift 13'!D46-'Shift 14'!D41</f>
        <v>207761.7</v>
      </c>
      <c r="E45" s="2">
        <f>'Shift 13'!E46-'Shift 14'!E41</f>
        <v>341245.88</v>
      </c>
      <c r="F45" s="2">
        <f t="shared" si="0"/>
        <v>549007.58000000007</v>
      </c>
      <c r="G45" s="2">
        <f>'Shift 13'!M46-'Shift 14'!M41</f>
        <v>119778.59</v>
      </c>
      <c r="H45" s="3">
        <f t="shared" si="1"/>
        <v>668786.17000000004</v>
      </c>
    </row>
    <row r="46" spans="1:8" x14ac:dyDescent="0.2">
      <c r="A46" s="4">
        <v>112</v>
      </c>
      <c r="B46" s="4">
        <v>1</v>
      </c>
      <c r="C46" s="2" t="s">
        <v>1169</v>
      </c>
      <c r="D46" s="2">
        <f>'Shift 13'!D47-'Shift 14'!D42</f>
        <v>2636180.12</v>
      </c>
      <c r="E46" s="2">
        <f>'Shift 13'!E47-'Shift 14'!E42</f>
        <v>4356135.16</v>
      </c>
      <c r="F46" s="2">
        <f t="shared" si="0"/>
        <v>6992315.2800000003</v>
      </c>
      <c r="G46" s="2">
        <f>'Shift 13'!M47-'Shift 14'!M42</f>
        <v>398911.72</v>
      </c>
      <c r="H46" s="3">
        <f t="shared" si="1"/>
        <v>7391227</v>
      </c>
    </row>
    <row r="47" spans="1:8" x14ac:dyDescent="0.2">
      <c r="A47" s="4">
        <v>113</v>
      </c>
      <c r="B47" s="4">
        <v>1</v>
      </c>
      <c r="C47" s="2" t="s">
        <v>1170</v>
      </c>
      <c r="D47" s="2">
        <f>'Shift 13'!D48-'Shift 14'!D43</f>
        <v>302796.71000000002</v>
      </c>
      <c r="E47" s="2">
        <f>'Shift 13'!E48-'Shift 14'!E43</f>
        <v>0</v>
      </c>
      <c r="F47" s="2">
        <f t="shared" si="0"/>
        <v>302796.71000000002</v>
      </c>
      <c r="G47" s="2">
        <f>'Shift 13'!M48-'Shift 14'!M43</f>
        <v>48929.8</v>
      </c>
      <c r="H47" s="3">
        <f t="shared" si="1"/>
        <v>351726.51</v>
      </c>
    </row>
    <row r="48" spans="1:8" x14ac:dyDescent="0.2">
      <c r="A48" s="4">
        <v>115</v>
      </c>
      <c r="B48" s="4">
        <v>1</v>
      </c>
      <c r="C48" s="2" t="s">
        <v>1171</v>
      </c>
      <c r="D48" s="2">
        <f>'Shift 13'!D49-'Shift 14'!D44</f>
        <v>267581.53999999998</v>
      </c>
      <c r="E48" s="2">
        <f>'Shift 13'!E49-'Shift 14'!E44</f>
        <v>0</v>
      </c>
      <c r="F48" s="2">
        <f t="shared" si="0"/>
        <v>267581.53999999998</v>
      </c>
      <c r="G48" s="2">
        <f>'Shift 13'!M49-'Shift 14'!M44</f>
        <v>27564.14</v>
      </c>
      <c r="H48" s="3">
        <f t="shared" si="1"/>
        <v>295145.68</v>
      </c>
    </row>
    <row r="49" spans="1:8" x14ac:dyDescent="0.2">
      <c r="A49" s="4">
        <v>116</v>
      </c>
      <c r="B49" s="4">
        <v>1</v>
      </c>
      <c r="C49" s="2" t="s">
        <v>43</v>
      </c>
      <c r="D49" s="2">
        <f>'Shift 13'!D50-'Shift 14'!D45</f>
        <v>308735.62</v>
      </c>
      <c r="E49" s="2">
        <f>'Shift 13'!E50-'Shift 14'!E45</f>
        <v>0</v>
      </c>
      <c r="F49" s="2">
        <f t="shared" si="0"/>
        <v>308735.62</v>
      </c>
      <c r="G49" s="2">
        <f>'Shift 13'!M50-'Shift 14'!M45</f>
        <v>53523.05</v>
      </c>
      <c r="H49" s="3">
        <f t="shared" si="1"/>
        <v>362258.67</v>
      </c>
    </row>
    <row r="50" spans="1:8" x14ac:dyDescent="0.2">
      <c r="A50" s="4">
        <v>118</v>
      </c>
      <c r="B50" s="4">
        <v>1</v>
      </c>
      <c r="C50" s="2" t="s">
        <v>44</v>
      </c>
      <c r="D50" s="2">
        <f>'Shift 13'!D51-'Shift 14'!D46</f>
        <v>57740</v>
      </c>
      <c r="E50" s="2">
        <f>'Shift 13'!E51-'Shift 14'!E46</f>
        <v>97253.01</v>
      </c>
      <c r="F50" s="2">
        <f t="shared" si="0"/>
        <v>154993.01</v>
      </c>
      <c r="G50" s="2">
        <f>'Shift 13'!M51-'Shift 14'!M46</f>
        <v>34737.360000000001</v>
      </c>
      <c r="H50" s="3">
        <f t="shared" si="1"/>
        <v>189730.37</v>
      </c>
    </row>
    <row r="51" spans="1:8" x14ac:dyDescent="0.2">
      <c r="A51" s="4">
        <v>129</v>
      </c>
      <c r="B51" s="4">
        <v>1</v>
      </c>
      <c r="C51" s="2" t="s">
        <v>45</v>
      </c>
      <c r="D51" s="2">
        <f>'Shift 13'!D52-'Shift 14'!D47</f>
        <v>181530.32</v>
      </c>
      <c r="E51" s="2">
        <f>'Shift 13'!E52-'Shift 14'!E47</f>
        <v>281630.56</v>
      </c>
      <c r="F51" s="2">
        <f t="shared" si="0"/>
        <v>463160.88</v>
      </c>
      <c r="G51" s="2">
        <f>'Shift 13'!M52-'Shift 14'!M47</f>
        <v>50886.65</v>
      </c>
      <c r="H51" s="3">
        <f t="shared" si="1"/>
        <v>514047.53</v>
      </c>
    </row>
    <row r="52" spans="1:8" x14ac:dyDescent="0.2">
      <c r="A52" s="4">
        <v>138</v>
      </c>
      <c r="B52" s="4">
        <v>1</v>
      </c>
      <c r="C52" s="2" t="s">
        <v>46</v>
      </c>
      <c r="D52" s="2">
        <f>'Shift 13'!D53-'Shift 14'!D48</f>
        <v>575611.56999999995</v>
      </c>
      <c r="E52" s="2">
        <f>'Shift 13'!E53-'Shift 14'!E48</f>
        <v>0</v>
      </c>
      <c r="F52" s="2">
        <f t="shared" si="0"/>
        <v>575611.56999999995</v>
      </c>
      <c r="G52" s="2">
        <f>'Shift 13'!M53-'Shift 14'!M48</f>
        <v>93805.33</v>
      </c>
      <c r="H52" s="3">
        <f t="shared" si="1"/>
        <v>669416.89999999991</v>
      </c>
    </row>
    <row r="53" spans="1:8" x14ac:dyDescent="0.2">
      <c r="A53" s="4">
        <v>139</v>
      </c>
      <c r="B53" s="4">
        <v>1</v>
      </c>
      <c r="C53" s="2" t="s">
        <v>47</v>
      </c>
      <c r="D53" s="2">
        <f>'Shift 13'!D54-'Shift 14'!D49</f>
        <v>216547.43</v>
      </c>
      <c r="E53" s="2">
        <f>'Shift 13'!E54-'Shift 14'!E49</f>
        <v>0</v>
      </c>
      <c r="F53" s="2">
        <f t="shared" si="0"/>
        <v>216547.43</v>
      </c>
      <c r="G53" s="2">
        <f>'Shift 13'!M54-'Shift 14'!M49</f>
        <v>28659.8</v>
      </c>
      <c r="H53" s="3">
        <f t="shared" si="1"/>
        <v>245207.22999999998</v>
      </c>
    </row>
    <row r="54" spans="1:8" x14ac:dyDescent="0.2">
      <c r="A54" s="4">
        <v>146</v>
      </c>
      <c r="B54" s="4">
        <v>1</v>
      </c>
      <c r="C54" s="2" t="s">
        <v>48</v>
      </c>
      <c r="D54" s="2">
        <f>'Shift 13'!D55-'Shift 14'!D50</f>
        <v>194457.31</v>
      </c>
      <c r="E54" s="2">
        <f>'Shift 13'!E55-'Shift 14'!E50</f>
        <v>227265.2</v>
      </c>
      <c r="F54" s="2">
        <f t="shared" si="0"/>
        <v>421722.51</v>
      </c>
      <c r="G54" s="2">
        <f>'Shift 13'!M55-'Shift 14'!M50</f>
        <v>29317.16</v>
      </c>
      <c r="H54" s="3">
        <f t="shared" si="1"/>
        <v>451039.67</v>
      </c>
    </row>
    <row r="55" spans="1:8" x14ac:dyDescent="0.2">
      <c r="A55" s="4">
        <v>150</v>
      </c>
      <c r="B55" s="4">
        <v>1</v>
      </c>
      <c r="C55" s="2" t="s">
        <v>49</v>
      </c>
      <c r="D55" s="2">
        <f>'Shift 13'!D56-'Shift 14'!D51</f>
        <v>113839.31</v>
      </c>
      <c r="E55" s="2">
        <f>'Shift 13'!E56-'Shift 14'!E51</f>
        <v>90998.28</v>
      </c>
      <c r="F55" s="2">
        <f t="shared" si="0"/>
        <v>204837.59</v>
      </c>
      <c r="G55" s="2">
        <f>'Shift 13'!M56-'Shift 14'!M51</f>
        <v>17794.78</v>
      </c>
      <c r="H55" s="3">
        <f t="shared" si="1"/>
        <v>222632.37</v>
      </c>
    </row>
    <row r="56" spans="1:8" x14ac:dyDescent="0.2">
      <c r="A56" s="4">
        <v>152</v>
      </c>
      <c r="B56" s="4">
        <v>1</v>
      </c>
      <c r="C56" s="2" t="s">
        <v>50</v>
      </c>
      <c r="D56" s="2">
        <f>'Shift 13'!D57-'Shift 14'!D52</f>
        <v>1130379.3899999999</v>
      </c>
      <c r="E56" s="2">
        <f>'Shift 13'!E57-'Shift 14'!E52</f>
        <v>1933152.26</v>
      </c>
      <c r="F56" s="2">
        <f t="shared" si="0"/>
        <v>3063531.65</v>
      </c>
      <c r="G56" s="2">
        <f>'Shift 13'!M57-'Shift 14'!M52</f>
        <v>242235.41</v>
      </c>
      <c r="H56" s="3">
        <f t="shared" si="1"/>
        <v>3305767.06</v>
      </c>
    </row>
    <row r="57" spans="1:8" x14ac:dyDescent="0.2">
      <c r="A57" s="4">
        <v>162</v>
      </c>
      <c r="B57" s="4">
        <v>1</v>
      </c>
      <c r="C57" s="2" t="s">
        <v>51</v>
      </c>
      <c r="D57" s="2">
        <f>'Shift 13'!D58-'Shift 14'!D53</f>
        <v>209405.42</v>
      </c>
      <c r="E57" s="2">
        <f>'Shift 13'!E58-'Shift 14'!E53</f>
        <v>0</v>
      </c>
      <c r="F57" s="2">
        <f t="shared" si="0"/>
        <v>209405.42</v>
      </c>
      <c r="G57" s="2">
        <f>'Shift 13'!M58-'Shift 14'!M53</f>
        <v>28125.79</v>
      </c>
      <c r="H57" s="3">
        <f t="shared" si="1"/>
        <v>237531.21000000002</v>
      </c>
    </row>
    <row r="58" spans="1:8" x14ac:dyDescent="0.2">
      <c r="A58" s="4">
        <v>166</v>
      </c>
      <c r="B58" s="4">
        <v>1</v>
      </c>
      <c r="C58" s="2" t="s">
        <v>52</v>
      </c>
      <c r="D58" s="2">
        <f>'Shift 13'!D59-'Shift 14'!D54</f>
        <v>33552.959999999999</v>
      </c>
      <c r="E58" s="2">
        <f>'Shift 13'!E59-'Shift 14'!E54</f>
        <v>181899.68</v>
      </c>
      <c r="F58" s="2">
        <f t="shared" si="0"/>
        <v>215452.63999999998</v>
      </c>
      <c r="G58" s="2">
        <f>'Shift 13'!M59-'Shift 14'!M54</f>
        <v>0</v>
      </c>
      <c r="H58" s="3">
        <f t="shared" si="1"/>
        <v>215452.63999999998</v>
      </c>
    </row>
    <row r="59" spans="1:8" x14ac:dyDescent="0.2">
      <c r="A59" s="4">
        <v>173</v>
      </c>
      <c r="B59" s="4">
        <v>1</v>
      </c>
      <c r="C59" s="2" t="s">
        <v>53</v>
      </c>
      <c r="D59" s="2">
        <f>'Shift 13'!D60-'Shift 14'!D55</f>
        <v>98594.32</v>
      </c>
      <c r="E59" s="2">
        <f>'Shift 13'!E60-'Shift 14'!E55</f>
        <v>178431.7</v>
      </c>
      <c r="F59" s="2">
        <f t="shared" si="0"/>
        <v>277026.02</v>
      </c>
      <c r="G59" s="2">
        <f>'Shift 13'!M60-'Shift 14'!M55</f>
        <v>24657.21</v>
      </c>
      <c r="H59" s="3">
        <f t="shared" si="1"/>
        <v>301683.23000000004</v>
      </c>
    </row>
    <row r="60" spans="1:8" x14ac:dyDescent="0.2">
      <c r="A60" s="4">
        <v>177</v>
      </c>
      <c r="B60" s="4">
        <v>1</v>
      </c>
      <c r="C60" s="2" t="s">
        <v>54</v>
      </c>
      <c r="D60" s="2">
        <f>'Shift 13'!D61-'Shift 14'!D56</f>
        <v>198244.09</v>
      </c>
      <c r="E60" s="2">
        <f>'Shift 13'!E61-'Shift 14'!E56</f>
        <v>450830.96</v>
      </c>
      <c r="F60" s="2">
        <f t="shared" si="0"/>
        <v>649075.05000000005</v>
      </c>
      <c r="G60" s="2">
        <f>'Shift 13'!M61-'Shift 14'!M56</f>
        <v>39371.35</v>
      </c>
      <c r="H60" s="3">
        <f t="shared" si="1"/>
        <v>688446.4</v>
      </c>
    </row>
    <row r="61" spans="1:8" x14ac:dyDescent="0.2">
      <c r="A61" s="4">
        <v>181</v>
      </c>
      <c r="B61" s="4">
        <v>1</v>
      </c>
      <c r="C61" s="2" t="s">
        <v>55</v>
      </c>
      <c r="D61" s="2">
        <f>'Shift 13'!D62-'Shift 14'!D57</f>
        <v>1957942.25</v>
      </c>
      <c r="E61" s="2">
        <f>'Shift 13'!E62-'Shift 14'!E57</f>
        <v>1009845.42</v>
      </c>
      <c r="F61" s="2">
        <f t="shared" si="0"/>
        <v>2967787.67</v>
      </c>
      <c r="G61" s="2">
        <f>'Shift 13'!M62-'Shift 14'!M57</f>
        <v>285648.81</v>
      </c>
      <c r="H61" s="3">
        <f t="shared" si="1"/>
        <v>3253436.48</v>
      </c>
    </row>
    <row r="62" spans="1:8" x14ac:dyDescent="0.2">
      <c r="A62" s="4">
        <v>182</v>
      </c>
      <c r="B62" s="4">
        <v>1</v>
      </c>
      <c r="C62" s="2" t="s">
        <v>56</v>
      </c>
      <c r="D62" s="2">
        <f>'Shift 13'!D63-'Shift 14'!D58</f>
        <v>316235.14</v>
      </c>
      <c r="E62" s="2">
        <f>'Shift 13'!E63-'Shift 14'!E58</f>
        <v>276610.55</v>
      </c>
      <c r="F62" s="2">
        <f t="shared" si="0"/>
        <v>592845.68999999994</v>
      </c>
      <c r="G62" s="2">
        <f>'Shift 13'!M63-'Shift 14'!M58</f>
        <v>3395.81</v>
      </c>
      <c r="H62" s="3">
        <f t="shared" si="1"/>
        <v>596241.5</v>
      </c>
    </row>
    <row r="63" spans="1:8" x14ac:dyDescent="0.2">
      <c r="A63" s="4">
        <v>186</v>
      </c>
      <c r="B63" s="4">
        <v>1</v>
      </c>
      <c r="C63" s="2" t="s">
        <v>57</v>
      </c>
      <c r="D63" s="2">
        <f>'Shift 13'!D64-'Shift 14'!D59</f>
        <v>602900.28</v>
      </c>
      <c r="E63" s="2">
        <f>'Shift 13'!E64-'Shift 14'!E59</f>
        <v>812.05</v>
      </c>
      <c r="F63" s="2">
        <f t="shared" si="0"/>
        <v>603712.33000000007</v>
      </c>
      <c r="G63" s="2">
        <f>'Shift 13'!M64-'Shift 14'!M59</f>
        <v>93550.19</v>
      </c>
      <c r="H63" s="3">
        <f t="shared" si="1"/>
        <v>697262.52</v>
      </c>
    </row>
    <row r="64" spans="1:8" x14ac:dyDescent="0.2">
      <c r="A64" s="4">
        <v>191</v>
      </c>
      <c r="B64" s="4">
        <v>1</v>
      </c>
      <c r="C64" s="2" t="s">
        <v>58</v>
      </c>
      <c r="D64" s="2">
        <f>'Shift 13'!D65-'Shift 14'!D60</f>
        <v>2627306.39</v>
      </c>
      <c r="E64" s="2">
        <f>'Shift 13'!E65-'Shift 14'!E60</f>
        <v>5341889.1399999997</v>
      </c>
      <c r="F64" s="2">
        <f t="shared" si="0"/>
        <v>7969195.5299999993</v>
      </c>
      <c r="G64" s="2">
        <f>'Shift 13'!M65-'Shift 14'!M60</f>
        <v>471689.73</v>
      </c>
      <c r="H64" s="3">
        <f t="shared" si="1"/>
        <v>8440885.2599999998</v>
      </c>
    </row>
    <row r="65" spans="1:8" x14ac:dyDescent="0.2">
      <c r="A65" s="4">
        <v>192</v>
      </c>
      <c r="B65" s="4">
        <v>1</v>
      </c>
      <c r="C65" s="2" t="s">
        <v>59</v>
      </c>
      <c r="D65" s="2">
        <f>'Shift 13'!D66-'Shift 14'!D61</f>
        <v>1176507.8500000001</v>
      </c>
      <c r="E65" s="2">
        <f>'Shift 13'!E66-'Shift 14'!E61</f>
        <v>1046744.1</v>
      </c>
      <c r="F65" s="2">
        <f t="shared" si="0"/>
        <v>2223251.9500000002</v>
      </c>
      <c r="G65" s="2">
        <f>'Shift 13'!M66-'Shift 14'!M61</f>
        <v>231027.39</v>
      </c>
      <c r="H65" s="3">
        <f t="shared" si="1"/>
        <v>2454279.3400000003</v>
      </c>
    </row>
    <row r="66" spans="1:8" x14ac:dyDescent="0.2">
      <c r="A66" s="4">
        <v>194</v>
      </c>
      <c r="B66" s="4">
        <v>1</v>
      </c>
      <c r="C66" s="2" t="s">
        <v>60</v>
      </c>
      <c r="D66" s="2">
        <f>'Shift 13'!D67-'Shift 14'!D62</f>
        <v>2369883.48</v>
      </c>
      <c r="E66" s="2">
        <f>'Shift 13'!E67-'Shift 14'!E62</f>
        <v>2696654.31</v>
      </c>
      <c r="F66" s="2">
        <f t="shared" si="0"/>
        <v>5066537.79</v>
      </c>
      <c r="G66" s="2">
        <f>'Shift 13'!M67-'Shift 14'!M62</f>
        <v>490569.37</v>
      </c>
      <c r="H66" s="3">
        <f t="shared" si="1"/>
        <v>5557107.1600000001</v>
      </c>
    </row>
    <row r="67" spans="1:8" x14ac:dyDescent="0.2">
      <c r="A67" s="4">
        <v>195</v>
      </c>
      <c r="B67" s="4">
        <v>1</v>
      </c>
      <c r="C67" s="2" t="s">
        <v>61</v>
      </c>
      <c r="D67" s="2">
        <f>'Shift 13'!D68-'Shift 14'!D63</f>
        <v>135202.87</v>
      </c>
      <c r="E67" s="2">
        <f>'Shift 13'!E68-'Shift 14'!E63</f>
        <v>0</v>
      </c>
      <c r="F67" s="2">
        <f t="shared" si="0"/>
        <v>135202.87</v>
      </c>
      <c r="G67" s="2">
        <f>'Shift 13'!M68-'Shift 14'!M63</f>
        <v>17357.98</v>
      </c>
      <c r="H67" s="3">
        <f t="shared" si="1"/>
        <v>152560.85</v>
      </c>
    </row>
    <row r="68" spans="1:8" x14ac:dyDescent="0.2">
      <c r="A68" s="4">
        <v>196</v>
      </c>
      <c r="B68" s="4">
        <v>1</v>
      </c>
      <c r="C68" s="2" t="s">
        <v>62</v>
      </c>
      <c r="D68" s="2">
        <f>'Shift 13'!D69-'Shift 14'!D64</f>
        <v>10813994.24</v>
      </c>
      <c r="E68" s="2">
        <f>'Shift 13'!E69-'Shift 14'!E64</f>
        <v>11898353.75</v>
      </c>
      <c r="F68" s="2">
        <f t="shared" si="0"/>
        <v>22712347.990000002</v>
      </c>
      <c r="G68" s="2">
        <f>'Shift 13'!M69-'Shift 14'!M64</f>
        <v>816744.87</v>
      </c>
      <c r="H68" s="3">
        <f t="shared" si="1"/>
        <v>23529092.860000003</v>
      </c>
    </row>
    <row r="69" spans="1:8" x14ac:dyDescent="0.2">
      <c r="A69" s="4">
        <v>197</v>
      </c>
      <c r="B69" s="4">
        <v>1</v>
      </c>
      <c r="C69" s="2" t="s">
        <v>815</v>
      </c>
      <c r="D69" s="2">
        <f>'Shift 13'!D70-'Shift 14'!D65</f>
        <v>1960251.05</v>
      </c>
      <c r="E69" s="2">
        <f>'Shift 13'!E70-'Shift 14'!E65</f>
        <v>2742892.8</v>
      </c>
      <c r="F69" s="2">
        <f t="shared" si="0"/>
        <v>4703143.8499999996</v>
      </c>
      <c r="G69" s="2">
        <f>'Shift 13'!M70-'Shift 14'!M65</f>
        <v>420234.97</v>
      </c>
      <c r="H69" s="3">
        <f t="shared" si="1"/>
        <v>5123378.8199999994</v>
      </c>
    </row>
    <row r="70" spans="1:8" x14ac:dyDescent="0.2">
      <c r="A70" s="4">
        <v>199</v>
      </c>
      <c r="B70" s="4">
        <v>1</v>
      </c>
      <c r="C70" s="2" t="s">
        <v>1172</v>
      </c>
      <c r="D70" s="2">
        <f>'Shift 13'!D71-'Shift 14'!D66</f>
        <v>1191710.47</v>
      </c>
      <c r="E70" s="2">
        <f>'Shift 13'!E71-'Shift 14'!E66</f>
        <v>1117907.29</v>
      </c>
      <c r="F70" s="2">
        <f t="shared" si="0"/>
        <v>2309617.7599999998</v>
      </c>
      <c r="G70" s="2">
        <f>'Shift 13'!M71-'Shift 14'!M66</f>
        <v>250102.39999999999</v>
      </c>
      <c r="H70" s="3">
        <f t="shared" si="1"/>
        <v>2559720.1599999997</v>
      </c>
    </row>
    <row r="71" spans="1:8" x14ac:dyDescent="0.2">
      <c r="A71" s="4">
        <v>200</v>
      </c>
      <c r="B71" s="4">
        <v>1</v>
      </c>
      <c r="C71" s="2" t="s">
        <v>65</v>
      </c>
      <c r="D71" s="2">
        <f>'Shift 13'!D72-'Shift 14'!D67</f>
        <v>1091090.57</v>
      </c>
      <c r="E71" s="2">
        <f>'Shift 13'!E72-'Shift 14'!E67</f>
        <v>3279731.42</v>
      </c>
      <c r="F71" s="2">
        <f t="shared" si="0"/>
        <v>4370821.99</v>
      </c>
      <c r="G71" s="2">
        <f>'Shift 13'!M72-'Shift 14'!M67</f>
        <v>221202.9</v>
      </c>
      <c r="H71" s="3">
        <f t="shared" si="1"/>
        <v>4592024.8900000006</v>
      </c>
    </row>
    <row r="72" spans="1:8" x14ac:dyDescent="0.2">
      <c r="A72" s="4">
        <v>203</v>
      </c>
      <c r="B72" s="4">
        <v>1</v>
      </c>
      <c r="C72" s="2" t="s">
        <v>66</v>
      </c>
      <c r="D72" s="2">
        <f>'Shift 13'!D73-'Shift 14'!D68</f>
        <v>187501.32</v>
      </c>
      <c r="E72" s="2">
        <f>'Shift 13'!E73-'Shift 14'!E68</f>
        <v>290852.74</v>
      </c>
      <c r="F72" s="2">
        <f t="shared" si="0"/>
        <v>478354.06</v>
      </c>
      <c r="G72" s="2">
        <f>'Shift 13'!M73-'Shift 14'!M68</f>
        <v>34114.410000000003</v>
      </c>
      <c r="H72" s="3">
        <f t="shared" si="1"/>
        <v>512468.47</v>
      </c>
    </row>
    <row r="73" spans="1:8" x14ac:dyDescent="0.2">
      <c r="A73" s="4">
        <v>204</v>
      </c>
      <c r="B73" s="4">
        <v>1</v>
      </c>
      <c r="C73" s="2" t="s">
        <v>1173</v>
      </c>
      <c r="D73" s="2">
        <f>'Shift 13'!D74-'Shift 14'!D69</f>
        <v>157687.91</v>
      </c>
      <c r="E73" s="2">
        <f>'Shift 13'!E74-'Shift 14'!E69</f>
        <v>152689.47</v>
      </c>
      <c r="F73" s="2">
        <f t="shared" si="0"/>
        <v>310377.38</v>
      </c>
      <c r="G73" s="2">
        <f>'Shift 13'!M74-'Shift 14'!M69</f>
        <v>50957.22</v>
      </c>
      <c r="H73" s="3">
        <f t="shared" si="1"/>
        <v>361334.6</v>
      </c>
    </row>
    <row r="74" spans="1:8" x14ac:dyDescent="0.2">
      <c r="A74" s="4">
        <v>206</v>
      </c>
      <c r="B74" s="4">
        <v>1</v>
      </c>
      <c r="C74" s="2" t="s">
        <v>68</v>
      </c>
      <c r="D74" s="2">
        <f>'Shift 13'!D75-'Shift 14'!D70</f>
        <v>839163.88</v>
      </c>
      <c r="E74" s="2">
        <f>'Shift 13'!E75-'Shift 14'!E70</f>
        <v>575415.68000000005</v>
      </c>
      <c r="F74" s="2">
        <f t="shared" ref="F74:F133" si="2">D74+E74</f>
        <v>1414579.56</v>
      </c>
      <c r="G74" s="2">
        <f>'Shift 13'!M75-'Shift 14'!M70</f>
        <v>221185.98</v>
      </c>
      <c r="H74" s="3">
        <f t="shared" ref="H74:H133" si="3">SUM(F74:G74)</f>
        <v>1635765.54</v>
      </c>
    </row>
    <row r="75" spans="1:8" x14ac:dyDescent="0.2">
      <c r="A75" s="4">
        <v>213</v>
      </c>
      <c r="B75" s="4">
        <v>1</v>
      </c>
      <c r="C75" s="2" t="s">
        <v>71</v>
      </c>
      <c r="D75" s="2">
        <f>'Shift 13'!D76-'Shift 14'!D71</f>
        <v>157175.69</v>
      </c>
      <c r="E75" s="2">
        <f>'Shift 13'!E76-'Shift 14'!E71</f>
        <v>0</v>
      </c>
      <c r="F75" s="2">
        <f t="shared" si="2"/>
        <v>157175.69</v>
      </c>
      <c r="G75" s="2">
        <f>'Shift 13'!M76-'Shift 14'!M71</f>
        <v>22067.1</v>
      </c>
      <c r="H75" s="3">
        <f t="shared" si="3"/>
        <v>179242.79</v>
      </c>
    </row>
    <row r="76" spans="1:8" x14ac:dyDescent="0.2">
      <c r="A76" s="4">
        <v>227</v>
      </c>
      <c r="B76" s="4">
        <v>1</v>
      </c>
      <c r="C76" s="2" t="s">
        <v>72</v>
      </c>
      <c r="D76" s="2">
        <f>'Shift 13'!D77-'Shift 14'!D72</f>
        <v>139466.37</v>
      </c>
      <c r="E76" s="2">
        <f>'Shift 13'!E77-'Shift 14'!E72</f>
        <v>162495.85999999999</v>
      </c>
      <c r="F76" s="2">
        <f t="shared" si="2"/>
        <v>301962.23</v>
      </c>
      <c r="G76" s="2">
        <f>'Shift 13'!M77-'Shift 14'!M72</f>
        <v>35744.81</v>
      </c>
      <c r="H76" s="3">
        <f t="shared" si="3"/>
        <v>337707.04</v>
      </c>
    </row>
    <row r="77" spans="1:8" x14ac:dyDescent="0.2">
      <c r="A77" s="4">
        <v>229</v>
      </c>
      <c r="B77" s="4">
        <v>1</v>
      </c>
      <c r="C77" s="2" t="s">
        <v>73</v>
      </c>
      <c r="D77" s="2">
        <f>'Shift 13'!D78-'Shift 14'!D73</f>
        <v>68038.399999999994</v>
      </c>
      <c r="E77" s="2">
        <f>'Shift 13'!E78-'Shift 14'!E73</f>
        <v>0</v>
      </c>
      <c r="F77" s="2">
        <f t="shared" si="2"/>
        <v>68038.399999999994</v>
      </c>
      <c r="G77" s="2">
        <f>'Shift 13'!M78-'Shift 14'!M73</f>
        <v>10172.469999999999</v>
      </c>
      <c r="H77" s="3">
        <f t="shared" si="3"/>
        <v>78210.87</v>
      </c>
    </row>
    <row r="78" spans="1:8" x14ac:dyDescent="0.2">
      <c r="A78" s="4">
        <v>238</v>
      </c>
      <c r="B78" s="4">
        <v>1</v>
      </c>
      <c r="C78" s="2" t="s">
        <v>74</v>
      </c>
      <c r="D78" s="2">
        <f>'Shift 13'!D79-'Shift 14'!D74</f>
        <v>64594.87</v>
      </c>
      <c r="E78" s="2">
        <f>'Shift 13'!E79-'Shift 14'!E74</f>
        <v>93232.55</v>
      </c>
      <c r="F78" s="2">
        <f t="shared" si="2"/>
        <v>157827.42000000001</v>
      </c>
      <c r="G78" s="2">
        <f>'Shift 13'!M79-'Shift 14'!M74</f>
        <v>9323.91</v>
      </c>
      <c r="H78" s="3">
        <f t="shared" si="3"/>
        <v>167151.33000000002</v>
      </c>
    </row>
    <row r="79" spans="1:8" x14ac:dyDescent="0.2">
      <c r="A79" s="4">
        <v>239</v>
      </c>
      <c r="B79" s="4">
        <v>1</v>
      </c>
      <c r="C79" s="2" t="s">
        <v>1174</v>
      </c>
      <c r="D79" s="2">
        <f>'Shift 13'!D80-'Shift 14'!D75</f>
        <v>190336.64000000001</v>
      </c>
      <c r="E79" s="2">
        <f>'Shift 13'!E80-'Shift 14'!E75</f>
        <v>240308.37</v>
      </c>
      <c r="F79" s="2">
        <f t="shared" si="2"/>
        <v>430645.01</v>
      </c>
      <c r="G79" s="2">
        <f>'Shift 13'!M80-'Shift 14'!M75</f>
        <v>21294.58</v>
      </c>
      <c r="H79" s="3">
        <f t="shared" si="3"/>
        <v>451939.59</v>
      </c>
    </row>
    <row r="80" spans="1:8" x14ac:dyDescent="0.2">
      <c r="A80" s="4">
        <v>241</v>
      </c>
      <c r="B80" s="4">
        <v>1</v>
      </c>
      <c r="C80" s="2" t="s">
        <v>76</v>
      </c>
      <c r="D80" s="2">
        <f>'Shift 13'!D81-'Shift 14'!D76</f>
        <v>811992.56</v>
      </c>
      <c r="E80" s="2">
        <f>'Shift 13'!E81-'Shift 14'!E76</f>
        <v>1391956.1</v>
      </c>
      <c r="F80" s="2">
        <f t="shared" si="2"/>
        <v>2203948.66</v>
      </c>
      <c r="G80" s="2">
        <f>'Shift 13'!M81-'Shift 14'!M76</f>
        <v>112405</v>
      </c>
      <c r="H80" s="3">
        <f t="shared" si="3"/>
        <v>2316353.66</v>
      </c>
    </row>
    <row r="81" spans="1:8" x14ac:dyDescent="0.2">
      <c r="A81" s="4">
        <v>242</v>
      </c>
      <c r="B81" s="4">
        <v>1</v>
      </c>
      <c r="C81" s="2" t="s">
        <v>1175</v>
      </c>
      <c r="D81" s="2">
        <f>'Shift 13'!D82-'Shift 14'!D77</f>
        <v>65740.73</v>
      </c>
      <c r="E81" s="2">
        <f>'Shift 13'!E82-'Shift 14'!E77</f>
        <v>4013.96</v>
      </c>
      <c r="F81" s="2">
        <f t="shared" si="2"/>
        <v>69754.69</v>
      </c>
      <c r="G81" s="2">
        <f>'Shift 13'!M82-'Shift 14'!M77</f>
        <v>9116.39</v>
      </c>
      <c r="H81" s="3">
        <f t="shared" si="3"/>
        <v>78871.08</v>
      </c>
    </row>
    <row r="82" spans="1:8" x14ac:dyDescent="0.2">
      <c r="A82" s="4">
        <v>252</v>
      </c>
      <c r="B82" s="4">
        <v>1</v>
      </c>
      <c r="C82" s="2" t="s">
        <v>78</v>
      </c>
      <c r="D82" s="2">
        <f>'Shift 13'!D83-'Shift 14'!D78</f>
        <v>252927.51</v>
      </c>
      <c r="E82" s="2">
        <f>'Shift 13'!E83-'Shift 14'!E78</f>
        <v>244491.06</v>
      </c>
      <c r="F82" s="2">
        <f t="shared" si="2"/>
        <v>497418.57</v>
      </c>
      <c r="G82" s="2">
        <f>'Shift 13'!M83-'Shift 14'!M78</f>
        <v>76894.92</v>
      </c>
      <c r="H82" s="3">
        <f t="shared" si="3"/>
        <v>574313.49</v>
      </c>
    </row>
    <row r="83" spans="1:8" x14ac:dyDescent="0.2">
      <c r="A83" s="4">
        <v>253</v>
      </c>
      <c r="B83" s="4">
        <v>1</v>
      </c>
      <c r="C83" s="2" t="s">
        <v>79</v>
      </c>
      <c r="D83" s="2">
        <f>'Shift 13'!D84-'Shift 14'!D79</f>
        <v>145980.69</v>
      </c>
      <c r="E83" s="2">
        <f>'Shift 13'!E84-'Shift 14'!E79</f>
        <v>66254.86</v>
      </c>
      <c r="F83" s="2">
        <f t="shared" si="2"/>
        <v>212235.55</v>
      </c>
      <c r="G83" s="2">
        <f>'Shift 13'!M84-'Shift 14'!M79</f>
        <v>17983.939999999999</v>
      </c>
      <c r="H83" s="3">
        <f t="shared" si="3"/>
        <v>230219.49</v>
      </c>
    </row>
    <row r="84" spans="1:8" x14ac:dyDescent="0.2">
      <c r="A84" s="4">
        <v>255</v>
      </c>
      <c r="B84" s="4">
        <v>1</v>
      </c>
      <c r="C84" s="2" t="s">
        <v>80</v>
      </c>
      <c r="D84" s="2">
        <f>'Shift 13'!D85-'Shift 14'!D80</f>
        <v>279564.38</v>
      </c>
      <c r="E84" s="2">
        <f>'Shift 13'!E85-'Shift 14'!E80</f>
        <v>274021.03999999998</v>
      </c>
      <c r="F84" s="2">
        <f t="shared" si="2"/>
        <v>553585.41999999993</v>
      </c>
      <c r="G84" s="2">
        <f>'Shift 13'!M85-'Shift 14'!M80</f>
        <v>69863.47</v>
      </c>
      <c r="H84" s="3">
        <f t="shared" si="3"/>
        <v>623448.8899999999</v>
      </c>
    </row>
    <row r="85" spans="1:8" x14ac:dyDescent="0.2">
      <c r="A85" s="4">
        <v>256</v>
      </c>
      <c r="B85" s="4">
        <v>1</v>
      </c>
      <c r="C85" s="2" t="s">
        <v>81</v>
      </c>
      <c r="D85" s="2">
        <f>'Shift 13'!D86-'Shift 14'!D81</f>
        <v>826940.19</v>
      </c>
      <c r="E85" s="2">
        <f>'Shift 13'!E86-'Shift 14'!E81</f>
        <v>1413737.62</v>
      </c>
      <c r="F85" s="2">
        <f t="shared" si="2"/>
        <v>2240677.81</v>
      </c>
      <c r="G85" s="2">
        <f>'Shift 13'!M86-'Shift 14'!M81</f>
        <v>153649.87</v>
      </c>
      <c r="H85" s="3">
        <f t="shared" si="3"/>
        <v>2394327.6800000002</v>
      </c>
    </row>
    <row r="86" spans="1:8" x14ac:dyDescent="0.2">
      <c r="A86" s="4">
        <v>261</v>
      </c>
      <c r="B86" s="4">
        <v>1</v>
      </c>
      <c r="C86" s="2" t="s">
        <v>82</v>
      </c>
      <c r="D86" s="2">
        <f>'Shift 13'!D87-'Shift 14'!D82</f>
        <v>49205.06</v>
      </c>
      <c r="E86" s="2">
        <f>'Shift 13'!E87-'Shift 14'!E82</f>
        <v>134485.92000000001</v>
      </c>
      <c r="F86" s="2">
        <f t="shared" si="2"/>
        <v>183690.98</v>
      </c>
      <c r="G86" s="2">
        <f>'Shift 13'!M87-'Shift 14'!M82</f>
        <v>8668.33</v>
      </c>
      <c r="H86" s="3">
        <f t="shared" si="3"/>
        <v>192359.31</v>
      </c>
    </row>
    <row r="87" spans="1:8" x14ac:dyDescent="0.2">
      <c r="A87" s="4">
        <v>264</v>
      </c>
      <c r="B87" s="4">
        <v>1</v>
      </c>
      <c r="C87" s="2" t="s">
        <v>83</v>
      </c>
      <c r="D87" s="2">
        <f>'Shift 13'!D88-'Shift 14'!D83</f>
        <v>29361.41</v>
      </c>
      <c r="E87" s="2">
        <f>'Shift 13'!E88-'Shift 14'!E83</f>
        <v>0</v>
      </c>
      <c r="F87" s="2">
        <f t="shared" si="2"/>
        <v>29361.41</v>
      </c>
      <c r="G87" s="2">
        <f>'Shift 13'!M88-'Shift 14'!M83</f>
        <v>8818.5300000000007</v>
      </c>
      <c r="H87" s="3">
        <f t="shared" si="3"/>
        <v>38179.94</v>
      </c>
    </row>
    <row r="88" spans="1:8" x14ac:dyDescent="0.2">
      <c r="A88" s="4">
        <v>270</v>
      </c>
      <c r="B88" s="4">
        <v>1</v>
      </c>
      <c r="C88" s="2" t="s">
        <v>84</v>
      </c>
      <c r="D88" s="2">
        <f>'Shift 13'!D89-'Shift 14'!D84</f>
        <v>5675253.5800000001</v>
      </c>
      <c r="E88" s="2">
        <f>'Shift 13'!E89-'Shift 14'!E84</f>
        <v>2852542.01</v>
      </c>
      <c r="F88" s="2">
        <f t="shared" si="2"/>
        <v>8527795.5899999999</v>
      </c>
      <c r="G88" s="2">
        <f>'Shift 13'!M89-'Shift 14'!M84</f>
        <v>695407.16</v>
      </c>
      <c r="H88" s="3">
        <f t="shared" si="3"/>
        <v>9223202.75</v>
      </c>
    </row>
    <row r="89" spans="1:8" x14ac:dyDescent="0.2">
      <c r="A89" s="4">
        <v>271</v>
      </c>
      <c r="B89" s="4">
        <v>1</v>
      </c>
      <c r="C89" s="2" t="s">
        <v>85</v>
      </c>
      <c r="D89" s="2">
        <f>'Shift 13'!D90-'Shift 14'!D85</f>
        <v>7239132.6500000004</v>
      </c>
      <c r="E89" s="2">
        <f>'Shift 13'!E90-'Shift 14'!E85</f>
        <v>6055942.0099999998</v>
      </c>
      <c r="F89" s="2">
        <f t="shared" si="2"/>
        <v>13295074.66</v>
      </c>
      <c r="G89" s="2">
        <f>'Shift 13'!M90-'Shift 14'!M85</f>
        <v>786391.05</v>
      </c>
      <c r="H89" s="3">
        <f t="shared" si="3"/>
        <v>14081465.710000001</v>
      </c>
    </row>
    <row r="90" spans="1:8" x14ac:dyDescent="0.2">
      <c r="A90" s="4">
        <v>272</v>
      </c>
      <c r="B90" s="4">
        <v>1</v>
      </c>
      <c r="C90" s="2" t="s">
        <v>86</v>
      </c>
      <c r="D90" s="2">
        <f>'Shift 13'!D91-'Shift 14'!D86</f>
        <v>5707748.8799999999</v>
      </c>
      <c r="E90" s="2">
        <f>'Shift 13'!E91-'Shift 14'!E86</f>
        <v>2975058.83</v>
      </c>
      <c r="F90" s="2">
        <f t="shared" si="2"/>
        <v>8682807.7100000009</v>
      </c>
      <c r="G90" s="2">
        <f>'Shift 13'!M91-'Shift 14'!M86</f>
        <v>689871.97</v>
      </c>
      <c r="H90" s="3">
        <f t="shared" si="3"/>
        <v>9372679.6800000016</v>
      </c>
    </row>
    <row r="91" spans="1:8" x14ac:dyDescent="0.2">
      <c r="A91" s="4">
        <v>273</v>
      </c>
      <c r="B91" s="4">
        <v>1</v>
      </c>
      <c r="C91" s="2" t="s">
        <v>87</v>
      </c>
      <c r="D91" s="2">
        <f>'Shift 13'!D92-'Shift 14'!D87</f>
        <v>7269497.4199999999</v>
      </c>
      <c r="E91" s="2">
        <f>'Shift 13'!E92-'Shift 14'!E87</f>
        <v>4110364.66</v>
      </c>
      <c r="F91" s="2">
        <f t="shared" si="2"/>
        <v>11379862.08</v>
      </c>
      <c r="G91" s="2">
        <f>'Shift 13'!M92-'Shift 14'!M87</f>
        <v>531141.91</v>
      </c>
      <c r="H91" s="3">
        <f t="shared" si="3"/>
        <v>11911003.99</v>
      </c>
    </row>
    <row r="92" spans="1:8" x14ac:dyDescent="0.2">
      <c r="A92" s="4">
        <v>276</v>
      </c>
      <c r="B92" s="4">
        <v>1</v>
      </c>
      <c r="C92" s="2" t="s">
        <v>88</v>
      </c>
      <c r="D92" s="2">
        <f>'Shift 13'!D93-'Shift 14'!D88</f>
        <v>5011090.71</v>
      </c>
      <c r="E92" s="2">
        <f>'Shift 13'!E93-'Shift 14'!E88</f>
        <v>3895533.43</v>
      </c>
      <c r="F92" s="2">
        <f t="shared" si="2"/>
        <v>8906624.1400000006</v>
      </c>
      <c r="G92" s="2">
        <f>'Shift 13'!M93-'Shift 14'!M88</f>
        <v>393629</v>
      </c>
      <c r="H92" s="3">
        <f t="shared" si="3"/>
        <v>9300253.1400000006</v>
      </c>
    </row>
    <row r="93" spans="1:8" x14ac:dyDescent="0.2">
      <c r="A93" s="4">
        <v>277</v>
      </c>
      <c r="B93" s="4">
        <v>1</v>
      </c>
      <c r="C93" s="2" t="s">
        <v>89</v>
      </c>
      <c r="D93" s="2">
        <f>'Shift 13'!D94-'Shift 14'!D89</f>
        <v>1043443.61</v>
      </c>
      <c r="E93" s="2">
        <f>'Shift 13'!E94-'Shift 14'!E89</f>
        <v>1259760.3400000001</v>
      </c>
      <c r="F93" s="2">
        <f t="shared" si="2"/>
        <v>2303203.9500000002</v>
      </c>
      <c r="G93" s="2">
        <f>'Shift 13'!M94-'Shift 14'!M89</f>
        <v>221227.53</v>
      </c>
      <c r="H93" s="3">
        <f t="shared" si="3"/>
        <v>2524431.48</v>
      </c>
    </row>
    <row r="94" spans="1:8" x14ac:dyDescent="0.2">
      <c r="A94" s="4">
        <v>278</v>
      </c>
      <c r="B94" s="4">
        <v>1</v>
      </c>
      <c r="C94" s="2" t="s">
        <v>90</v>
      </c>
      <c r="D94" s="2">
        <f>'Shift 13'!D95-'Shift 14'!D90</f>
        <v>1433757.89</v>
      </c>
      <c r="E94" s="2">
        <f>'Shift 13'!E95-'Shift 14'!E90</f>
        <v>1091067.26</v>
      </c>
      <c r="F94" s="2">
        <f t="shared" si="2"/>
        <v>2524825.15</v>
      </c>
      <c r="G94" s="2">
        <f>'Shift 13'!M95-'Shift 14'!M90</f>
        <v>140555.28</v>
      </c>
      <c r="H94" s="3">
        <f t="shared" si="3"/>
        <v>2665380.4299999997</v>
      </c>
    </row>
    <row r="95" spans="1:8" x14ac:dyDescent="0.2">
      <c r="A95" s="4">
        <v>279</v>
      </c>
      <c r="B95" s="4">
        <v>1</v>
      </c>
      <c r="C95" s="2" t="s">
        <v>91</v>
      </c>
      <c r="D95" s="2">
        <f>'Shift 13'!D96-'Shift 14'!D91</f>
        <v>8172825.6200000001</v>
      </c>
      <c r="E95" s="2">
        <f>'Shift 13'!E96-'Shift 14'!E91</f>
        <v>12782127.630000001</v>
      </c>
      <c r="F95" s="2">
        <f t="shared" si="2"/>
        <v>20954953.25</v>
      </c>
      <c r="G95" s="2">
        <f>'Shift 13'!M96-'Shift 14'!M91</f>
        <v>879460.49</v>
      </c>
      <c r="H95" s="3">
        <f t="shared" si="3"/>
        <v>21834413.739999998</v>
      </c>
    </row>
    <row r="96" spans="1:8" x14ac:dyDescent="0.2">
      <c r="A96" s="4">
        <v>280</v>
      </c>
      <c r="B96" s="4">
        <v>1</v>
      </c>
      <c r="C96" s="2" t="s">
        <v>92</v>
      </c>
      <c r="D96" s="2">
        <f>'Shift 13'!D97-'Shift 14'!D92</f>
        <v>2468410.13</v>
      </c>
      <c r="E96" s="2">
        <f>'Shift 13'!E97-'Shift 14'!E92</f>
        <v>1804963.91</v>
      </c>
      <c r="F96" s="2">
        <f t="shared" si="2"/>
        <v>4273374.04</v>
      </c>
      <c r="G96" s="2">
        <f>'Shift 13'!M97-'Shift 14'!M92</f>
        <v>217991.82</v>
      </c>
      <c r="H96" s="3">
        <f t="shared" si="3"/>
        <v>4491365.8600000003</v>
      </c>
    </row>
    <row r="97" spans="1:8" x14ac:dyDescent="0.2">
      <c r="A97" s="4">
        <v>281</v>
      </c>
      <c r="B97" s="4">
        <v>1</v>
      </c>
      <c r="C97" s="2" t="s">
        <v>93</v>
      </c>
      <c r="D97" s="2">
        <f>'Shift 13'!D98-'Shift 14'!D93</f>
        <v>3784527.79</v>
      </c>
      <c r="E97" s="2">
        <f>'Shift 13'!E98-'Shift 14'!E93</f>
        <v>8596551.6600000001</v>
      </c>
      <c r="F97" s="2">
        <f t="shared" si="2"/>
        <v>12381079.449999999</v>
      </c>
      <c r="G97" s="2">
        <f>'Shift 13'!M98-'Shift 14'!M93</f>
        <v>925711.63</v>
      </c>
      <c r="H97" s="3">
        <f t="shared" si="3"/>
        <v>13306791.08</v>
      </c>
    </row>
    <row r="98" spans="1:8" x14ac:dyDescent="0.2">
      <c r="A98" s="4">
        <v>282</v>
      </c>
      <c r="B98" s="4">
        <v>1</v>
      </c>
      <c r="C98" s="2" t="s">
        <v>1176</v>
      </c>
      <c r="D98" s="2">
        <f>'Shift 13'!D99-'Shift 14'!D94</f>
        <v>570118.63</v>
      </c>
      <c r="E98" s="2">
        <f>'Shift 13'!E99-'Shift 14'!E94</f>
        <v>743194.54</v>
      </c>
      <c r="F98" s="2">
        <f t="shared" si="2"/>
        <v>1313313.17</v>
      </c>
      <c r="G98" s="2">
        <f>'Shift 13'!M99-'Shift 14'!M94</f>
        <v>84114.1</v>
      </c>
      <c r="H98" s="3">
        <f t="shared" si="3"/>
        <v>1397427.27</v>
      </c>
    </row>
    <row r="99" spans="1:8" x14ac:dyDescent="0.2">
      <c r="A99" s="4">
        <v>283</v>
      </c>
      <c r="B99" s="4">
        <v>1</v>
      </c>
      <c r="C99" s="2" t="s">
        <v>95</v>
      </c>
      <c r="D99" s="2">
        <f>'Shift 13'!D100-'Shift 14'!D95</f>
        <v>2175642.23</v>
      </c>
      <c r="E99" s="2">
        <f>'Shift 13'!E100-'Shift 14'!E95</f>
        <v>2449393.34</v>
      </c>
      <c r="F99" s="2">
        <f t="shared" si="2"/>
        <v>4625035.57</v>
      </c>
      <c r="G99" s="2">
        <f>'Shift 13'!M100-'Shift 14'!M95</f>
        <v>435390.35</v>
      </c>
      <c r="H99" s="3">
        <f t="shared" si="3"/>
        <v>5060425.92</v>
      </c>
    </row>
    <row r="100" spans="1:8" x14ac:dyDescent="0.2">
      <c r="A100" s="4">
        <v>284</v>
      </c>
      <c r="B100" s="4">
        <v>1</v>
      </c>
      <c r="C100" s="2" t="s">
        <v>96</v>
      </c>
      <c r="D100" s="2">
        <f>'Shift 13'!D101-'Shift 14'!D96</f>
        <v>7560583.8799999999</v>
      </c>
      <c r="E100" s="2">
        <f>'Shift 13'!E101-'Shift 14'!E96</f>
        <v>6203737.5599999996</v>
      </c>
      <c r="F100" s="2">
        <f t="shared" si="2"/>
        <v>13764321.439999999</v>
      </c>
      <c r="G100" s="2">
        <f>'Shift 13'!M101-'Shift 14'!M96</f>
        <v>744609.88</v>
      </c>
      <c r="H100" s="3">
        <f t="shared" si="3"/>
        <v>14508931.32</v>
      </c>
    </row>
    <row r="101" spans="1:8" x14ac:dyDescent="0.2">
      <c r="A101" s="4">
        <v>286</v>
      </c>
      <c r="B101" s="4">
        <v>1</v>
      </c>
      <c r="C101" s="2" t="s">
        <v>97</v>
      </c>
      <c r="D101" s="2">
        <f>'Shift 13'!D102-'Shift 14'!D97</f>
        <v>547830.11</v>
      </c>
      <c r="E101" s="2">
        <f>'Shift 13'!E102-'Shift 14'!E97</f>
        <v>0</v>
      </c>
      <c r="F101" s="2">
        <f t="shared" si="2"/>
        <v>547830.11</v>
      </c>
      <c r="G101" s="2">
        <f>'Shift 13'!M102-'Shift 14'!M97</f>
        <v>69425.600000000006</v>
      </c>
      <c r="H101" s="3">
        <f t="shared" si="3"/>
        <v>617255.71</v>
      </c>
    </row>
    <row r="102" spans="1:8" x14ac:dyDescent="0.2">
      <c r="A102" s="4">
        <v>294</v>
      </c>
      <c r="B102" s="4">
        <v>1</v>
      </c>
      <c r="C102" s="2" t="s">
        <v>98</v>
      </c>
      <c r="D102" s="2">
        <f>'Shift 13'!D103-'Shift 14'!D98</f>
        <v>200530.87</v>
      </c>
      <c r="E102" s="2">
        <f>'Shift 13'!E103-'Shift 14'!E98</f>
        <v>104681.15</v>
      </c>
      <c r="F102" s="2">
        <f t="shared" si="2"/>
        <v>305212.02</v>
      </c>
      <c r="G102" s="2">
        <f>'Shift 13'!M103-'Shift 14'!M98</f>
        <v>16922.52</v>
      </c>
      <c r="H102" s="3">
        <f t="shared" si="3"/>
        <v>322134.54000000004</v>
      </c>
    </row>
    <row r="103" spans="1:8" x14ac:dyDescent="0.2">
      <c r="A103" s="4">
        <v>297</v>
      </c>
      <c r="B103" s="4">
        <v>1</v>
      </c>
      <c r="C103" s="2" t="s">
        <v>99</v>
      </c>
      <c r="D103" s="2">
        <f>'Shift 13'!D104-'Shift 14'!D99</f>
        <v>63417.32</v>
      </c>
      <c r="E103" s="2">
        <f>'Shift 13'!E104-'Shift 14'!E99</f>
        <v>138210.18</v>
      </c>
      <c r="F103" s="2">
        <f t="shared" si="2"/>
        <v>201627.5</v>
      </c>
      <c r="G103" s="2">
        <f>'Shift 13'!M104-'Shift 14'!M99</f>
        <v>12707.44</v>
      </c>
      <c r="H103" s="3">
        <f t="shared" si="3"/>
        <v>214334.94</v>
      </c>
    </row>
    <row r="104" spans="1:8" x14ac:dyDescent="0.2">
      <c r="A104" s="4">
        <v>299</v>
      </c>
      <c r="B104" s="4">
        <v>1</v>
      </c>
      <c r="C104" s="2" t="s">
        <v>100</v>
      </c>
      <c r="D104" s="2">
        <f>'Shift 13'!D105-'Shift 14'!D100</f>
        <v>185251.01</v>
      </c>
      <c r="E104" s="2">
        <f>'Shift 13'!E105-'Shift 14'!E100</f>
        <v>189195.82</v>
      </c>
      <c r="F104" s="2">
        <f t="shared" si="2"/>
        <v>374446.83</v>
      </c>
      <c r="G104" s="2">
        <f>'Shift 13'!M105-'Shift 14'!M100</f>
        <v>34314.03</v>
      </c>
      <c r="H104" s="3">
        <f t="shared" si="3"/>
        <v>408760.86</v>
      </c>
    </row>
    <row r="105" spans="1:8" x14ac:dyDescent="0.2">
      <c r="A105" s="4">
        <v>300</v>
      </c>
      <c r="B105" s="4">
        <v>1</v>
      </c>
      <c r="C105" s="2" t="s">
        <v>101</v>
      </c>
      <c r="D105" s="2">
        <f>'Shift 13'!D106-'Shift 14'!D101</f>
        <v>272326.26</v>
      </c>
      <c r="E105" s="2">
        <f>'Shift 13'!E106-'Shift 14'!E101</f>
        <v>343629.71</v>
      </c>
      <c r="F105" s="2">
        <f t="shared" si="2"/>
        <v>615955.97</v>
      </c>
      <c r="G105" s="2">
        <f>'Shift 13'!M106-'Shift 14'!M101</f>
        <v>71147.97</v>
      </c>
      <c r="H105" s="3">
        <f t="shared" si="3"/>
        <v>687103.94</v>
      </c>
    </row>
    <row r="106" spans="1:8" x14ac:dyDescent="0.2">
      <c r="A106" s="4">
        <v>306</v>
      </c>
      <c r="B106" s="4">
        <v>1</v>
      </c>
      <c r="C106" s="2" t="s">
        <v>102</v>
      </c>
      <c r="D106" s="2">
        <f>'Shift 13'!D107-'Shift 14'!D102</f>
        <v>71021.39</v>
      </c>
      <c r="E106" s="2">
        <f>'Shift 13'!E107-'Shift 14'!E102</f>
        <v>0</v>
      </c>
      <c r="F106" s="2">
        <f t="shared" si="2"/>
        <v>71021.39</v>
      </c>
      <c r="G106" s="2">
        <f>'Shift 13'!M107-'Shift 14'!M102</f>
        <v>10507.81</v>
      </c>
      <c r="H106" s="3">
        <f t="shared" si="3"/>
        <v>81529.2</v>
      </c>
    </row>
    <row r="107" spans="1:8" x14ac:dyDescent="0.2">
      <c r="A107" s="4">
        <v>308</v>
      </c>
      <c r="B107" s="4">
        <v>1</v>
      </c>
      <c r="C107" s="2" t="s">
        <v>103</v>
      </c>
      <c r="D107" s="2">
        <f>'Shift 13'!D108-'Shift 14'!D103</f>
        <v>183492.68</v>
      </c>
      <c r="E107" s="2">
        <f>'Shift 13'!E108-'Shift 14'!E103</f>
        <v>287.88</v>
      </c>
      <c r="F107" s="2">
        <f t="shared" si="2"/>
        <v>183780.56</v>
      </c>
      <c r="G107" s="2">
        <f>'Shift 13'!M108-'Shift 14'!M103</f>
        <v>21775.23</v>
      </c>
      <c r="H107" s="3">
        <f t="shared" si="3"/>
        <v>205555.79</v>
      </c>
    </row>
    <row r="108" spans="1:8" x14ac:dyDescent="0.2">
      <c r="A108" s="4">
        <v>309</v>
      </c>
      <c r="B108" s="4">
        <v>1</v>
      </c>
      <c r="C108" s="2" t="s">
        <v>104</v>
      </c>
      <c r="D108" s="2">
        <f>'Shift 13'!D109-'Shift 14'!D104</f>
        <v>345756.1</v>
      </c>
      <c r="E108" s="2">
        <f>'Shift 13'!E109-'Shift 14'!E104</f>
        <v>536327.53</v>
      </c>
      <c r="F108" s="2">
        <f t="shared" si="2"/>
        <v>882083.63</v>
      </c>
      <c r="G108" s="2">
        <f>'Shift 13'!M109-'Shift 14'!M104</f>
        <v>93763.49</v>
      </c>
      <c r="H108" s="3">
        <f t="shared" si="3"/>
        <v>975847.12</v>
      </c>
    </row>
    <row r="109" spans="1:8" x14ac:dyDescent="0.2">
      <c r="A109" s="4">
        <v>314</v>
      </c>
      <c r="B109" s="4">
        <v>1</v>
      </c>
      <c r="C109" s="2" t="s">
        <v>105</v>
      </c>
      <c r="D109" s="2">
        <f>'Shift 13'!D110-'Shift 14'!D105</f>
        <v>152574.67000000001</v>
      </c>
      <c r="E109" s="2">
        <f>'Shift 13'!E110-'Shift 14'!E105</f>
        <v>111288.03</v>
      </c>
      <c r="F109" s="2">
        <f t="shared" si="2"/>
        <v>263862.7</v>
      </c>
      <c r="G109" s="2">
        <f>'Shift 13'!M110-'Shift 14'!M105</f>
        <v>20923.45</v>
      </c>
      <c r="H109" s="3">
        <f t="shared" si="3"/>
        <v>284786.15000000002</v>
      </c>
    </row>
    <row r="110" spans="1:8" x14ac:dyDescent="0.2">
      <c r="A110" s="4">
        <v>316</v>
      </c>
      <c r="B110" s="4">
        <v>1</v>
      </c>
      <c r="C110" s="2" t="s">
        <v>106</v>
      </c>
      <c r="D110" s="2">
        <f>'Shift 13'!D111-'Shift 14'!D106</f>
        <v>212074.43</v>
      </c>
      <c r="E110" s="2">
        <f>'Shift 13'!E111-'Shift 14'!E106</f>
        <v>0</v>
      </c>
      <c r="F110" s="2">
        <f t="shared" si="2"/>
        <v>212074.43</v>
      </c>
      <c r="G110" s="2">
        <f>'Shift 13'!M111-'Shift 14'!M106</f>
        <v>0</v>
      </c>
      <c r="H110" s="3">
        <f t="shared" si="3"/>
        <v>212074.43</v>
      </c>
    </row>
    <row r="111" spans="1:8" x14ac:dyDescent="0.2">
      <c r="A111" s="4">
        <v>317</v>
      </c>
      <c r="B111" s="4">
        <v>1</v>
      </c>
      <c r="C111" s="2" t="s">
        <v>107</v>
      </c>
      <c r="D111" s="2">
        <f>'Shift 13'!D112-'Shift 14'!D107</f>
        <v>53856.480000000003</v>
      </c>
      <c r="E111" s="2">
        <f>'Shift 13'!E112-'Shift 14'!E107</f>
        <v>0</v>
      </c>
      <c r="F111" s="2">
        <f t="shared" si="2"/>
        <v>53856.480000000003</v>
      </c>
      <c r="G111" s="2">
        <f>'Shift 13'!M112-'Shift 14'!M107</f>
        <v>0</v>
      </c>
      <c r="H111" s="3">
        <f t="shared" si="3"/>
        <v>53856.480000000003</v>
      </c>
    </row>
    <row r="112" spans="1:8" x14ac:dyDescent="0.2">
      <c r="A112" s="4">
        <v>318</v>
      </c>
      <c r="B112" s="4">
        <v>1</v>
      </c>
      <c r="C112" s="2" t="s">
        <v>108</v>
      </c>
      <c r="D112" s="2">
        <f>'Shift 13'!D113-'Shift 14'!D108</f>
        <v>1228165.5</v>
      </c>
      <c r="E112" s="2">
        <f>'Shift 13'!E113-'Shift 14'!E108</f>
        <v>0</v>
      </c>
      <c r="F112" s="2">
        <f t="shared" si="2"/>
        <v>1228165.5</v>
      </c>
      <c r="G112" s="2">
        <f>'Shift 13'!M113-'Shift 14'!M108</f>
        <v>0</v>
      </c>
      <c r="H112" s="3">
        <f t="shared" si="3"/>
        <v>1228165.5</v>
      </c>
    </row>
    <row r="113" spans="1:8" x14ac:dyDescent="0.2">
      <c r="A113" s="4">
        <v>319</v>
      </c>
      <c r="B113" s="4">
        <v>1</v>
      </c>
      <c r="C113" s="2" t="s">
        <v>1177</v>
      </c>
      <c r="D113" s="2">
        <f>'Shift 13'!D114-'Shift 14'!D109</f>
        <v>93435.68</v>
      </c>
      <c r="E113" s="2">
        <f>'Shift 13'!E114-'Shift 14'!E109</f>
        <v>115754.62</v>
      </c>
      <c r="F113" s="2">
        <f t="shared" si="2"/>
        <v>209190.3</v>
      </c>
      <c r="G113" s="2">
        <f>'Shift 13'!M114-'Shift 14'!M109</f>
        <v>0</v>
      </c>
      <c r="H113" s="3">
        <f t="shared" si="3"/>
        <v>209190.3</v>
      </c>
    </row>
    <row r="114" spans="1:8" x14ac:dyDescent="0.2">
      <c r="A114" s="4">
        <v>323</v>
      </c>
      <c r="B114" s="4">
        <v>2</v>
      </c>
      <c r="C114" s="2" t="s">
        <v>110</v>
      </c>
      <c r="D114" s="2">
        <f>'Shift 13'!D115-'Shift 14'!D110</f>
        <v>935</v>
      </c>
      <c r="E114" s="2">
        <f>'Shift 13'!E115-'Shift 14'!E110</f>
        <v>10934.35</v>
      </c>
      <c r="F114" s="2">
        <f t="shared" si="2"/>
        <v>11869.35</v>
      </c>
      <c r="G114" s="2">
        <f>'Shift 13'!M115-'Shift 14'!M110</f>
        <v>0</v>
      </c>
      <c r="H114" s="3">
        <f t="shared" si="3"/>
        <v>11869.35</v>
      </c>
    </row>
    <row r="115" spans="1:8" x14ac:dyDescent="0.2">
      <c r="A115" s="4">
        <v>330</v>
      </c>
      <c r="B115" s="4">
        <v>1</v>
      </c>
      <c r="C115" s="2" t="s">
        <v>1178</v>
      </c>
      <c r="D115" s="2">
        <f>'Shift 13'!D116-'Shift 14'!D111</f>
        <v>81003.97</v>
      </c>
      <c r="E115" s="2">
        <f>'Shift 13'!E116-'Shift 14'!E111</f>
        <v>160489.64000000001</v>
      </c>
      <c r="F115" s="2">
        <f t="shared" si="2"/>
        <v>241493.61000000002</v>
      </c>
      <c r="G115" s="2">
        <f>'Shift 13'!M116-'Shift 14'!M111</f>
        <v>14503.21</v>
      </c>
      <c r="H115" s="3">
        <f t="shared" si="3"/>
        <v>255996.82</v>
      </c>
    </row>
    <row r="116" spans="1:8" x14ac:dyDescent="0.2">
      <c r="A116" s="4">
        <v>332</v>
      </c>
      <c r="B116" s="4">
        <v>1</v>
      </c>
      <c r="C116" s="2" t="s">
        <v>112</v>
      </c>
      <c r="D116" s="2">
        <f>'Shift 13'!D117-'Shift 14'!D112</f>
        <v>285627.21000000002</v>
      </c>
      <c r="E116" s="2">
        <f>'Shift 13'!E117-'Shift 14'!E112</f>
        <v>72182.98</v>
      </c>
      <c r="F116" s="2">
        <f t="shared" si="2"/>
        <v>357810.19</v>
      </c>
      <c r="G116" s="2">
        <f>'Shift 13'!M117-'Shift 14'!M112</f>
        <v>45381.86</v>
      </c>
      <c r="H116" s="3">
        <f t="shared" si="3"/>
        <v>403192.05</v>
      </c>
    </row>
    <row r="117" spans="1:8" x14ac:dyDescent="0.2">
      <c r="A117" s="4">
        <v>333</v>
      </c>
      <c r="B117" s="4">
        <v>1</v>
      </c>
      <c r="C117" s="2" t="s">
        <v>113</v>
      </c>
      <c r="D117" s="2">
        <f>'Shift 13'!D118-'Shift 14'!D113</f>
        <v>111082.76</v>
      </c>
      <c r="E117" s="2">
        <f>'Shift 13'!E118-'Shift 14'!E113</f>
        <v>0</v>
      </c>
      <c r="F117" s="2">
        <f t="shared" si="2"/>
        <v>111082.76</v>
      </c>
      <c r="G117" s="2">
        <f>'Shift 13'!M118-'Shift 14'!M113</f>
        <v>13244.52</v>
      </c>
      <c r="H117" s="3">
        <f t="shared" si="3"/>
        <v>124327.28</v>
      </c>
    </row>
    <row r="118" spans="1:8" x14ac:dyDescent="0.2">
      <c r="A118" s="4">
        <v>345</v>
      </c>
      <c r="B118" s="4">
        <v>1</v>
      </c>
      <c r="C118" s="2" t="s">
        <v>1179</v>
      </c>
      <c r="D118" s="2">
        <f>'Shift 13'!D119-'Shift 14'!D114</f>
        <v>573855.93999999994</v>
      </c>
      <c r="E118" s="2">
        <f>'Shift 13'!E119-'Shift 14'!E114</f>
        <v>338274.4</v>
      </c>
      <c r="F118" s="2">
        <f t="shared" si="2"/>
        <v>912130.34</v>
      </c>
      <c r="G118" s="2">
        <f>'Shift 13'!M119-'Shift 14'!M114</f>
        <v>72061.37</v>
      </c>
      <c r="H118" s="3">
        <f t="shared" si="3"/>
        <v>984191.71</v>
      </c>
    </row>
    <row r="119" spans="1:8" x14ac:dyDescent="0.2">
      <c r="A119" s="4">
        <v>347</v>
      </c>
      <c r="B119" s="4">
        <v>1</v>
      </c>
      <c r="C119" s="2" t="s">
        <v>115</v>
      </c>
      <c r="D119" s="2">
        <f>'Shift 13'!D120-'Shift 14'!D115</f>
        <v>808797.41</v>
      </c>
      <c r="E119" s="2">
        <f>'Shift 13'!E120-'Shift 14'!E115</f>
        <v>890369.51</v>
      </c>
      <c r="F119" s="2">
        <f t="shared" si="2"/>
        <v>1699166.92</v>
      </c>
      <c r="G119" s="2">
        <f>'Shift 13'!M120-'Shift 14'!M115</f>
        <v>171019.35</v>
      </c>
      <c r="H119" s="3">
        <f t="shared" si="3"/>
        <v>1870186.27</v>
      </c>
    </row>
    <row r="120" spans="1:8" x14ac:dyDescent="0.2">
      <c r="A120" s="4">
        <v>356</v>
      </c>
      <c r="B120" s="4">
        <v>1</v>
      </c>
      <c r="C120" s="2" t="s">
        <v>116</v>
      </c>
      <c r="D120" s="2">
        <f>'Shift 13'!D121-'Shift 14'!D116</f>
        <v>34248.870000000003</v>
      </c>
      <c r="E120" s="2">
        <f>'Shift 13'!E121-'Shift 14'!E116</f>
        <v>29027.65</v>
      </c>
      <c r="F120" s="2">
        <f t="shared" si="2"/>
        <v>63276.520000000004</v>
      </c>
      <c r="G120" s="2">
        <f>'Shift 13'!M121-'Shift 14'!M116</f>
        <v>5600.18</v>
      </c>
      <c r="H120" s="3">
        <f t="shared" si="3"/>
        <v>68876.700000000012</v>
      </c>
    </row>
    <row r="121" spans="1:8" x14ac:dyDescent="0.2">
      <c r="A121" s="4">
        <v>361</v>
      </c>
      <c r="B121" s="4">
        <v>1</v>
      </c>
      <c r="C121" s="2" t="s">
        <v>1180</v>
      </c>
      <c r="D121" s="2">
        <f>'Shift 13'!D122-'Shift 14'!D117</f>
        <v>466526.43</v>
      </c>
      <c r="E121" s="2">
        <f>'Shift 13'!E122-'Shift 14'!E117</f>
        <v>245977.38</v>
      </c>
      <c r="F121" s="2">
        <f t="shared" si="2"/>
        <v>712503.81</v>
      </c>
      <c r="G121" s="2">
        <f>'Shift 13'!M122-'Shift 14'!M117</f>
        <v>61947.55</v>
      </c>
      <c r="H121" s="3">
        <f t="shared" si="3"/>
        <v>774451.3600000001</v>
      </c>
    </row>
    <row r="122" spans="1:8" x14ac:dyDescent="0.2">
      <c r="A122" s="4">
        <v>362</v>
      </c>
      <c r="B122" s="4">
        <v>1</v>
      </c>
      <c r="C122" s="2" t="s">
        <v>1181</v>
      </c>
      <c r="D122" s="2">
        <f>'Shift 13'!D123-'Shift 14'!D118</f>
        <v>74450.75</v>
      </c>
      <c r="E122" s="2">
        <f>'Shift 13'!E123-'Shift 14'!E118</f>
        <v>0</v>
      </c>
      <c r="F122" s="2">
        <f t="shared" si="2"/>
        <v>74450.75</v>
      </c>
      <c r="G122" s="2">
        <f>'Shift 13'!M123-'Shift 14'!M118</f>
        <v>7652.31</v>
      </c>
      <c r="H122" s="3">
        <f t="shared" si="3"/>
        <v>82103.06</v>
      </c>
    </row>
    <row r="123" spans="1:8" x14ac:dyDescent="0.2">
      <c r="A123" s="4">
        <v>363</v>
      </c>
      <c r="B123" s="4">
        <v>1</v>
      </c>
      <c r="C123" s="2" t="s">
        <v>1182</v>
      </c>
      <c r="D123" s="2">
        <f>'Shift 13'!D124-'Shift 14'!D119</f>
        <v>77249.350000000006</v>
      </c>
      <c r="E123" s="2">
        <f>'Shift 13'!E124-'Shift 14'!E119</f>
        <v>0</v>
      </c>
      <c r="F123" s="2">
        <f t="shared" si="2"/>
        <v>77249.350000000006</v>
      </c>
      <c r="G123" s="2">
        <f>'Shift 13'!M124-'Shift 14'!M119</f>
        <v>7602.94</v>
      </c>
      <c r="H123" s="3">
        <f t="shared" si="3"/>
        <v>84852.290000000008</v>
      </c>
    </row>
    <row r="124" spans="1:8" x14ac:dyDescent="0.2">
      <c r="A124" s="4">
        <v>378</v>
      </c>
      <c r="B124" s="4">
        <v>1</v>
      </c>
      <c r="C124" s="2" t="s">
        <v>120</v>
      </c>
      <c r="D124" s="2">
        <f>'Shift 13'!D125-'Shift 14'!D120</f>
        <v>226151.22</v>
      </c>
      <c r="E124" s="2">
        <f>'Shift 13'!E125-'Shift 14'!E120</f>
        <v>90475.74</v>
      </c>
      <c r="F124" s="2">
        <f t="shared" si="2"/>
        <v>316626.96000000002</v>
      </c>
      <c r="G124" s="2">
        <f>'Shift 13'!M125-'Shift 14'!M120</f>
        <v>32346.45</v>
      </c>
      <c r="H124" s="3">
        <f t="shared" si="3"/>
        <v>348973.41000000003</v>
      </c>
    </row>
    <row r="125" spans="1:8" x14ac:dyDescent="0.2">
      <c r="A125" s="4">
        <v>381</v>
      </c>
      <c r="B125" s="4">
        <v>1</v>
      </c>
      <c r="C125" s="2" t="s">
        <v>121</v>
      </c>
      <c r="D125" s="2">
        <f>'Shift 13'!D126-'Shift 14'!D121</f>
        <v>72244.78</v>
      </c>
      <c r="E125" s="2">
        <f>'Shift 13'!E126-'Shift 14'!E121</f>
        <v>0</v>
      </c>
      <c r="F125" s="2">
        <f t="shared" si="2"/>
        <v>72244.78</v>
      </c>
      <c r="G125" s="2">
        <f>'Shift 13'!M126-'Shift 14'!M121</f>
        <v>0</v>
      </c>
      <c r="H125" s="3">
        <f t="shared" si="3"/>
        <v>72244.78</v>
      </c>
    </row>
    <row r="126" spans="1:8" x14ac:dyDescent="0.2">
      <c r="A126" s="4">
        <v>390</v>
      </c>
      <c r="B126" s="4">
        <v>1</v>
      </c>
      <c r="C126" s="2" t="s">
        <v>1183</v>
      </c>
      <c r="D126" s="2">
        <f>'Shift 13'!D127-'Shift 14'!D122</f>
        <v>211866.76</v>
      </c>
      <c r="E126" s="2">
        <f>'Shift 13'!E127-'Shift 14'!E122</f>
        <v>143736.22</v>
      </c>
      <c r="F126" s="2">
        <f t="shared" si="2"/>
        <v>355602.98</v>
      </c>
      <c r="G126" s="2">
        <f>'Shift 13'!M127-'Shift 14'!M122</f>
        <v>23284.13</v>
      </c>
      <c r="H126" s="3">
        <f t="shared" si="3"/>
        <v>378887.11</v>
      </c>
    </row>
    <row r="127" spans="1:8" x14ac:dyDescent="0.2">
      <c r="A127" s="4">
        <v>391</v>
      </c>
      <c r="B127" s="4">
        <v>1</v>
      </c>
      <c r="C127" s="2" t="s">
        <v>123</v>
      </c>
      <c r="D127" s="2">
        <f>'Shift 13'!D128-'Shift 14'!D123</f>
        <v>163763.78</v>
      </c>
      <c r="E127" s="2">
        <f>'Shift 13'!E128-'Shift 14'!E123</f>
        <v>158269.04999999999</v>
      </c>
      <c r="F127" s="2">
        <f t="shared" si="2"/>
        <v>322032.82999999996</v>
      </c>
      <c r="G127" s="2">
        <f>'Shift 13'!M128-'Shift 14'!M123</f>
        <v>18139</v>
      </c>
      <c r="H127" s="3">
        <f t="shared" si="3"/>
        <v>340171.82999999996</v>
      </c>
    </row>
    <row r="128" spans="1:8" x14ac:dyDescent="0.2">
      <c r="A128" s="4">
        <v>402</v>
      </c>
      <c r="B128" s="4">
        <v>1</v>
      </c>
      <c r="C128" s="2" t="s">
        <v>124</v>
      </c>
      <c r="D128" s="2">
        <f>'Shift 13'!D129-'Shift 14'!D124</f>
        <v>37412.86</v>
      </c>
      <c r="E128" s="2">
        <f>'Shift 13'!E129-'Shift 14'!E124</f>
        <v>86641.16</v>
      </c>
      <c r="F128" s="2">
        <f t="shared" si="2"/>
        <v>124054.02</v>
      </c>
      <c r="G128" s="2">
        <f>'Shift 13'!M129-'Shift 14'!M124</f>
        <v>6665.86</v>
      </c>
      <c r="H128" s="3">
        <f t="shared" si="3"/>
        <v>130719.88</v>
      </c>
    </row>
    <row r="129" spans="1:8" x14ac:dyDescent="0.2">
      <c r="A129" s="4">
        <v>403</v>
      </c>
      <c r="B129" s="4">
        <v>1</v>
      </c>
      <c r="C129" s="2" t="s">
        <v>125</v>
      </c>
      <c r="D129" s="2">
        <f>'Shift 13'!D130-'Shift 14'!D125</f>
        <v>52055.8</v>
      </c>
      <c r="E129" s="2">
        <f>'Shift 13'!E130-'Shift 14'!E125</f>
        <v>63632.29</v>
      </c>
      <c r="F129" s="2">
        <f t="shared" si="2"/>
        <v>115688.09</v>
      </c>
      <c r="G129" s="2">
        <f>'Shift 13'!M130-'Shift 14'!M125</f>
        <v>11212.99</v>
      </c>
      <c r="H129" s="3">
        <f t="shared" si="3"/>
        <v>126901.08</v>
      </c>
    </row>
    <row r="130" spans="1:8" x14ac:dyDescent="0.2">
      <c r="A130" s="4">
        <v>404</v>
      </c>
      <c r="B130" s="4">
        <v>1</v>
      </c>
      <c r="C130" s="2" t="s">
        <v>126</v>
      </c>
      <c r="D130" s="2">
        <f>'Shift 13'!D131-'Shift 14'!D126</f>
        <v>38136.36</v>
      </c>
      <c r="E130" s="2">
        <f>'Shift 13'!E131-'Shift 14'!E126</f>
        <v>106659.43</v>
      </c>
      <c r="F130" s="2">
        <f t="shared" si="2"/>
        <v>144795.78999999998</v>
      </c>
      <c r="G130" s="2">
        <f>'Shift 13'!M131-'Shift 14'!M126</f>
        <v>5611.36</v>
      </c>
      <c r="H130" s="3">
        <f t="shared" si="3"/>
        <v>150407.14999999997</v>
      </c>
    </row>
    <row r="131" spans="1:8" x14ac:dyDescent="0.2">
      <c r="A131" s="4">
        <v>413</v>
      </c>
      <c r="B131" s="4">
        <v>1</v>
      </c>
      <c r="C131" s="2" t="s">
        <v>127</v>
      </c>
      <c r="D131" s="2">
        <f>'Shift 13'!D132-'Shift 14'!D127</f>
        <v>682215.46</v>
      </c>
      <c r="E131" s="2">
        <f>'Shift 13'!E132-'Shift 14'!E127</f>
        <v>482283.34</v>
      </c>
      <c r="F131" s="2">
        <f t="shared" si="2"/>
        <v>1164498.8</v>
      </c>
      <c r="G131" s="2">
        <f>'Shift 13'!M132-'Shift 14'!M127</f>
        <v>89528</v>
      </c>
      <c r="H131" s="3">
        <f t="shared" si="3"/>
        <v>1254026.8</v>
      </c>
    </row>
    <row r="132" spans="1:8" x14ac:dyDescent="0.2">
      <c r="A132" s="4">
        <v>414</v>
      </c>
      <c r="B132" s="4">
        <v>1</v>
      </c>
      <c r="C132" s="2" t="s">
        <v>128</v>
      </c>
      <c r="D132" s="2">
        <f>'Shift 13'!D133-'Shift 14'!D128</f>
        <v>110666.36</v>
      </c>
      <c r="E132" s="2">
        <f>'Shift 13'!E133-'Shift 14'!E128</f>
        <v>46693.49</v>
      </c>
      <c r="F132" s="2">
        <f>D132+E132</f>
        <v>157359.85</v>
      </c>
      <c r="G132" s="2">
        <f>'Shift 13'!M133-'Shift 14'!M128</f>
        <v>17325.41</v>
      </c>
      <c r="H132" s="3">
        <f t="shared" si="3"/>
        <v>174685.26</v>
      </c>
    </row>
    <row r="133" spans="1:8" x14ac:dyDescent="0.2">
      <c r="A133" s="4">
        <v>415</v>
      </c>
      <c r="B133" s="4">
        <v>1</v>
      </c>
      <c r="C133" s="2" t="s">
        <v>129</v>
      </c>
      <c r="D133" s="2">
        <f>'Shift 13'!D134-'Shift 14'!D129</f>
        <v>49206.55</v>
      </c>
      <c r="E133" s="2">
        <f>'Shift 13'!E134-'Shift 14'!E129</f>
        <v>115028.37</v>
      </c>
      <c r="F133" s="2">
        <f t="shared" si="2"/>
        <v>164234.91999999998</v>
      </c>
      <c r="G133" s="2">
        <f>'Shift 13'!M134-'Shift 14'!M129</f>
        <v>18703.22</v>
      </c>
      <c r="H133" s="3">
        <f t="shared" si="3"/>
        <v>182938.13999999998</v>
      </c>
    </row>
    <row r="134" spans="1:8" x14ac:dyDescent="0.2">
      <c r="A134" s="4">
        <v>423</v>
      </c>
      <c r="B134" s="4">
        <v>1</v>
      </c>
      <c r="C134" s="2" t="s">
        <v>130</v>
      </c>
      <c r="D134" s="2">
        <f>'Shift 13'!D135-'Shift 14'!D130</f>
        <v>607755.56000000006</v>
      </c>
      <c r="E134" s="2">
        <f>'Shift 13'!E135-'Shift 14'!E130</f>
        <v>866512.92</v>
      </c>
      <c r="F134" s="2">
        <f t="shared" ref="F134:F196" si="4">D134+E134</f>
        <v>1474268.48</v>
      </c>
      <c r="G134" s="2">
        <f>'Shift 13'!M135-'Shift 14'!M130</f>
        <v>96764.39</v>
      </c>
      <c r="H134" s="3">
        <f t="shared" ref="H134:H196" si="5">SUM(F134:G134)</f>
        <v>1571032.8699999999</v>
      </c>
    </row>
    <row r="135" spans="1:8" x14ac:dyDescent="0.2">
      <c r="A135" s="4">
        <v>424</v>
      </c>
      <c r="B135" s="4">
        <v>1</v>
      </c>
      <c r="C135" s="2" t="s">
        <v>131</v>
      </c>
      <c r="D135" s="2">
        <f>'Shift 13'!D136-'Shift 14'!D131</f>
        <v>18664.66</v>
      </c>
      <c r="E135" s="2">
        <f>'Shift 13'!E136-'Shift 14'!E131</f>
        <v>180373.65</v>
      </c>
      <c r="F135" s="2">
        <f t="shared" si="4"/>
        <v>199038.31</v>
      </c>
      <c r="G135" s="2">
        <f>'Shift 13'!M136-'Shift 14'!M131</f>
        <v>13045.23</v>
      </c>
      <c r="H135" s="3">
        <f t="shared" si="5"/>
        <v>212083.54</v>
      </c>
    </row>
    <row r="136" spans="1:8" x14ac:dyDescent="0.2">
      <c r="A136" s="4">
        <v>432</v>
      </c>
      <c r="B136" s="4">
        <v>1</v>
      </c>
      <c r="C136" s="2" t="s">
        <v>132</v>
      </c>
      <c r="D136" s="2">
        <f>'Shift 13'!D137-'Shift 14'!D132</f>
        <v>60343.34</v>
      </c>
      <c r="E136" s="2">
        <f>'Shift 13'!E137-'Shift 14'!E132</f>
        <v>0</v>
      </c>
      <c r="F136" s="2">
        <f t="shared" si="4"/>
        <v>60343.34</v>
      </c>
      <c r="G136" s="2">
        <f>'Shift 13'!M137-'Shift 14'!M132</f>
        <v>15786.08</v>
      </c>
      <c r="H136" s="3">
        <f t="shared" si="5"/>
        <v>76129.42</v>
      </c>
    </row>
    <row r="137" spans="1:8" x14ac:dyDescent="0.2">
      <c r="A137" s="4">
        <v>435</v>
      </c>
      <c r="B137" s="4">
        <v>1</v>
      </c>
      <c r="C137" s="2" t="s">
        <v>1184</v>
      </c>
      <c r="D137" s="2">
        <f>'Shift 13'!D138-'Shift 14'!D133</f>
        <v>107733.31</v>
      </c>
      <c r="E137" s="2">
        <f>'Shift 13'!E138-'Shift 14'!E133</f>
        <v>0</v>
      </c>
      <c r="F137" s="2">
        <f t="shared" si="4"/>
        <v>107733.31</v>
      </c>
      <c r="G137" s="2">
        <f>'Shift 13'!M138-'Shift 14'!M133</f>
        <v>17362.310000000001</v>
      </c>
      <c r="H137" s="3">
        <f t="shared" si="5"/>
        <v>125095.62</v>
      </c>
    </row>
    <row r="138" spans="1:8" x14ac:dyDescent="0.2">
      <c r="A138" s="4">
        <v>441</v>
      </c>
      <c r="B138" s="4">
        <v>1</v>
      </c>
      <c r="C138" s="2" t="s">
        <v>134</v>
      </c>
      <c r="D138" s="2">
        <f>'Shift 13'!D139-'Shift 14'!D134</f>
        <v>94262.46</v>
      </c>
      <c r="E138" s="2">
        <f>'Shift 13'!E139-'Shift 14'!E134</f>
        <v>240704.76</v>
      </c>
      <c r="F138" s="2">
        <f t="shared" si="4"/>
        <v>334967.22000000003</v>
      </c>
      <c r="G138" s="2">
        <f>'Shift 13'!M139-'Shift 14'!M134</f>
        <v>17773.02</v>
      </c>
      <c r="H138" s="3">
        <f t="shared" si="5"/>
        <v>352740.24000000005</v>
      </c>
    </row>
    <row r="139" spans="1:8" x14ac:dyDescent="0.2">
      <c r="A139" s="4">
        <v>447</v>
      </c>
      <c r="B139" s="4">
        <v>1</v>
      </c>
      <c r="C139" s="2" t="s">
        <v>135</v>
      </c>
      <c r="D139" s="2">
        <f>'Shift 13'!D140-'Shift 14'!D135</f>
        <v>26968.33</v>
      </c>
      <c r="E139" s="2">
        <f>'Shift 13'!E140-'Shift 14'!E135</f>
        <v>29706.45</v>
      </c>
      <c r="F139" s="2">
        <f t="shared" si="4"/>
        <v>56674.78</v>
      </c>
      <c r="G139" s="2">
        <f>'Shift 13'!M140-'Shift 14'!M135</f>
        <v>7206.41</v>
      </c>
      <c r="H139" s="3">
        <f t="shared" si="5"/>
        <v>63881.19</v>
      </c>
    </row>
    <row r="140" spans="1:8" x14ac:dyDescent="0.2">
      <c r="A140" s="4">
        <v>458</v>
      </c>
      <c r="B140" s="4">
        <v>1</v>
      </c>
      <c r="C140" s="2" t="s">
        <v>136</v>
      </c>
      <c r="D140" s="2">
        <f>'Shift 13'!D141-'Shift 14'!D136</f>
        <v>49413.62</v>
      </c>
      <c r="E140" s="2">
        <f>'Shift 13'!E141-'Shift 14'!E136</f>
        <v>40193.35</v>
      </c>
      <c r="F140" s="2">
        <f t="shared" si="4"/>
        <v>89606.97</v>
      </c>
      <c r="G140" s="2">
        <f>'Shift 13'!M141-'Shift 14'!M136</f>
        <v>20171.23</v>
      </c>
      <c r="H140" s="3">
        <f t="shared" si="5"/>
        <v>109778.2</v>
      </c>
    </row>
    <row r="141" spans="1:8" x14ac:dyDescent="0.2">
      <c r="A141" s="4">
        <v>463</v>
      </c>
      <c r="B141" s="4">
        <v>1</v>
      </c>
      <c r="C141" s="2" t="s">
        <v>1185</v>
      </c>
      <c r="D141" s="2">
        <f>'Shift 13'!D142-'Shift 14'!D137</f>
        <v>65249.08</v>
      </c>
      <c r="E141" s="2">
        <f>'Shift 13'!E142-'Shift 14'!E137</f>
        <v>197905.88</v>
      </c>
      <c r="F141" s="2">
        <f t="shared" si="4"/>
        <v>263154.96000000002</v>
      </c>
      <c r="G141" s="2">
        <f>'Shift 13'!M142-'Shift 14'!M137</f>
        <v>29428.76</v>
      </c>
      <c r="H141" s="3">
        <f t="shared" si="5"/>
        <v>292583.72000000003</v>
      </c>
    </row>
    <row r="142" spans="1:8" x14ac:dyDescent="0.2">
      <c r="A142" s="4">
        <v>465</v>
      </c>
      <c r="B142" s="4">
        <v>1</v>
      </c>
      <c r="C142" s="2" t="s">
        <v>138</v>
      </c>
      <c r="D142" s="2">
        <f>'Shift 13'!D143-'Shift 14'!D138</f>
        <v>346852.29</v>
      </c>
      <c r="E142" s="2">
        <f>'Shift 13'!E143-'Shift 14'!E138</f>
        <v>347148.79999999999</v>
      </c>
      <c r="F142" s="2">
        <f t="shared" si="4"/>
        <v>694001.09</v>
      </c>
      <c r="G142" s="2">
        <f>'Shift 13'!M143-'Shift 14'!M138</f>
        <v>61716.65</v>
      </c>
      <c r="H142" s="3">
        <f t="shared" si="5"/>
        <v>755717.74</v>
      </c>
    </row>
    <row r="143" spans="1:8" x14ac:dyDescent="0.2">
      <c r="A143" s="4">
        <v>466</v>
      </c>
      <c r="B143" s="4">
        <v>1</v>
      </c>
      <c r="C143" s="2" t="s">
        <v>139</v>
      </c>
      <c r="D143" s="2">
        <f>'Shift 13'!D144-'Shift 14'!D139</f>
        <v>316222.53999999998</v>
      </c>
      <c r="E143" s="2">
        <f>'Shift 13'!E144-'Shift 14'!E139</f>
        <v>219766.73</v>
      </c>
      <c r="F143" s="2">
        <f t="shared" si="4"/>
        <v>535989.27</v>
      </c>
      <c r="G143" s="2">
        <f>'Shift 13'!M144-'Shift 14'!M139</f>
        <v>60054.05</v>
      </c>
      <c r="H143" s="3">
        <f t="shared" si="5"/>
        <v>596043.32000000007</v>
      </c>
    </row>
    <row r="144" spans="1:8" x14ac:dyDescent="0.2">
      <c r="A144" s="4">
        <v>473</v>
      </c>
      <c r="B144" s="4">
        <v>1</v>
      </c>
      <c r="C144" s="2" t="s">
        <v>140</v>
      </c>
      <c r="D144" s="2">
        <f>'Shift 13'!D145-'Shift 14'!D140</f>
        <v>131991.79</v>
      </c>
      <c r="E144" s="2">
        <f>'Shift 13'!E145-'Shift 14'!E140</f>
        <v>0</v>
      </c>
      <c r="F144" s="2">
        <f t="shared" si="4"/>
        <v>131991.79</v>
      </c>
      <c r="G144" s="2">
        <f>'Shift 13'!M145-'Shift 14'!M140</f>
        <v>20450.009999999998</v>
      </c>
      <c r="H144" s="3">
        <f t="shared" si="5"/>
        <v>152441.80000000002</v>
      </c>
    </row>
    <row r="145" spans="1:8" x14ac:dyDescent="0.2">
      <c r="A145" s="4">
        <v>477</v>
      </c>
      <c r="B145" s="4">
        <v>1</v>
      </c>
      <c r="C145" s="2" t="s">
        <v>141</v>
      </c>
      <c r="D145" s="2">
        <f>'Shift 13'!D146-'Shift 14'!D141</f>
        <v>595890</v>
      </c>
      <c r="E145" s="2">
        <f>'Shift 13'!E146-'Shift 14'!E141</f>
        <v>277085.34000000003</v>
      </c>
      <c r="F145" s="2">
        <f t="shared" si="4"/>
        <v>872975.34000000008</v>
      </c>
      <c r="G145" s="2">
        <f>'Shift 13'!M146-'Shift 14'!M141</f>
        <v>120801.8</v>
      </c>
      <c r="H145" s="3">
        <f t="shared" si="5"/>
        <v>993777.14000000013</v>
      </c>
    </row>
    <row r="146" spans="1:8" x14ac:dyDescent="0.2">
      <c r="A146" s="4">
        <v>480</v>
      </c>
      <c r="B146" s="4">
        <v>1</v>
      </c>
      <c r="C146" s="2" t="s">
        <v>142</v>
      </c>
      <c r="D146" s="2">
        <f>'Shift 13'!D147-'Shift 14'!D142</f>
        <v>371894.34</v>
      </c>
      <c r="E146" s="2">
        <f>'Shift 13'!E147-'Shift 14'!E142</f>
        <v>207784.95999999999</v>
      </c>
      <c r="F146" s="2">
        <f t="shared" si="4"/>
        <v>579679.30000000005</v>
      </c>
      <c r="G146" s="2">
        <f>'Shift 13'!M147-'Shift 14'!M142</f>
        <v>37181.94</v>
      </c>
      <c r="H146" s="3">
        <f t="shared" si="5"/>
        <v>616861.24</v>
      </c>
    </row>
    <row r="147" spans="1:8" x14ac:dyDescent="0.2">
      <c r="A147" s="4">
        <v>482</v>
      </c>
      <c r="B147" s="4">
        <v>1</v>
      </c>
      <c r="C147" s="2" t="s">
        <v>143</v>
      </c>
      <c r="D147" s="2">
        <f>'Shift 13'!D148-'Shift 14'!D143</f>
        <v>280793.77</v>
      </c>
      <c r="E147" s="2">
        <f>'Shift 13'!E148-'Shift 14'!E143</f>
        <v>788206.28</v>
      </c>
      <c r="F147" s="2">
        <f t="shared" si="4"/>
        <v>1069000.05</v>
      </c>
      <c r="G147" s="2">
        <f>'Shift 13'!M148-'Shift 14'!M143</f>
        <v>79894.06</v>
      </c>
      <c r="H147" s="3">
        <f t="shared" si="5"/>
        <v>1148894.1100000001</v>
      </c>
    </row>
    <row r="148" spans="1:8" x14ac:dyDescent="0.2">
      <c r="A148" s="4">
        <v>484</v>
      </c>
      <c r="B148" s="4">
        <v>1</v>
      </c>
      <c r="C148" s="2" t="s">
        <v>144</v>
      </c>
      <c r="D148" s="2">
        <f>'Shift 13'!D149-'Shift 14'!D144</f>
        <v>228131.42</v>
      </c>
      <c r="E148" s="2">
        <f>'Shift 13'!E149-'Shift 14'!E144</f>
        <v>99801.53</v>
      </c>
      <c r="F148" s="2">
        <f t="shared" si="4"/>
        <v>327932.95</v>
      </c>
      <c r="G148" s="2">
        <f>'Shift 13'!M149-'Shift 14'!M144</f>
        <v>25981.17</v>
      </c>
      <c r="H148" s="3">
        <f t="shared" si="5"/>
        <v>353914.12</v>
      </c>
    </row>
    <row r="149" spans="1:8" x14ac:dyDescent="0.2">
      <c r="A149" s="4">
        <v>485</v>
      </c>
      <c r="B149" s="4">
        <v>1</v>
      </c>
      <c r="C149" s="2" t="s">
        <v>145</v>
      </c>
      <c r="D149" s="2">
        <f>'Shift 13'!D150-'Shift 14'!D145</f>
        <v>120671.57</v>
      </c>
      <c r="E149" s="2">
        <f>'Shift 13'!E150-'Shift 14'!E145</f>
        <v>0</v>
      </c>
      <c r="F149" s="2">
        <f t="shared" si="4"/>
        <v>120671.57</v>
      </c>
      <c r="G149" s="2">
        <f>'Shift 13'!M150-'Shift 14'!M145</f>
        <v>13092.72</v>
      </c>
      <c r="H149" s="3">
        <f t="shared" si="5"/>
        <v>133764.29</v>
      </c>
    </row>
    <row r="150" spans="1:8" x14ac:dyDescent="0.2">
      <c r="A150" s="4">
        <v>486</v>
      </c>
      <c r="B150" s="4">
        <v>1</v>
      </c>
      <c r="C150" s="2" t="s">
        <v>146</v>
      </c>
      <c r="D150" s="2">
        <f>'Shift 13'!D151-'Shift 14'!D146</f>
        <v>55080.88</v>
      </c>
      <c r="E150" s="2">
        <f>'Shift 13'!E151-'Shift 14'!E146</f>
        <v>78531.56</v>
      </c>
      <c r="F150" s="2">
        <f t="shared" si="4"/>
        <v>133612.44</v>
      </c>
      <c r="G150" s="2">
        <f>'Shift 13'!M151-'Shift 14'!M146</f>
        <v>10247.65</v>
      </c>
      <c r="H150" s="3">
        <f t="shared" si="5"/>
        <v>143860.09</v>
      </c>
    </row>
    <row r="151" spans="1:8" x14ac:dyDescent="0.2">
      <c r="A151" s="4">
        <v>487</v>
      </c>
      <c r="B151" s="4">
        <v>1</v>
      </c>
      <c r="C151" s="2" t="s">
        <v>147</v>
      </c>
      <c r="D151" s="2">
        <f>'Shift 13'!D152-'Shift 14'!D147</f>
        <v>37322.120000000003</v>
      </c>
      <c r="E151" s="2">
        <f>'Shift 13'!E152-'Shift 14'!E147</f>
        <v>76060.820000000007</v>
      </c>
      <c r="F151" s="2">
        <f t="shared" si="4"/>
        <v>113382.94</v>
      </c>
      <c r="G151" s="2">
        <f>'Shift 13'!M152-'Shift 14'!M147</f>
        <v>9262.91</v>
      </c>
      <c r="H151" s="3">
        <f t="shared" si="5"/>
        <v>122645.85</v>
      </c>
    </row>
    <row r="152" spans="1:8" x14ac:dyDescent="0.2">
      <c r="A152" s="4">
        <v>492</v>
      </c>
      <c r="B152" s="4">
        <v>1</v>
      </c>
      <c r="C152" s="2" t="s">
        <v>148</v>
      </c>
      <c r="D152" s="2">
        <f>'Shift 13'!D153-'Shift 14'!D148</f>
        <v>851484.43</v>
      </c>
      <c r="E152" s="2">
        <f>'Shift 13'!E153-'Shift 14'!E148</f>
        <v>658535.43999999994</v>
      </c>
      <c r="F152" s="2">
        <f t="shared" si="4"/>
        <v>1510019.87</v>
      </c>
      <c r="G152" s="2">
        <f>'Shift 13'!M153-'Shift 14'!M148</f>
        <v>85387.77</v>
      </c>
      <c r="H152" s="3">
        <f t="shared" si="5"/>
        <v>1595407.6400000001</v>
      </c>
    </row>
    <row r="153" spans="1:8" x14ac:dyDescent="0.2">
      <c r="A153" s="4">
        <v>495</v>
      </c>
      <c r="B153" s="4">
        <v>1</v>
      </c>
      <c r="C153" s="2" t="s">
        <v>149</v>
      </c>
      <c r="D153" s="2">
        <f>'Shift 13'!D154-'Shift 14'!D149</f>
        <v>68652.94</v>
      </c>
      <c r="E153" s="2">
        <f>'Shift 13'!E154-'Shift 14'!E149</f>
        <v>118255.94</v>
      </c>
      <c r="F153" s="2">
        <f t="shared" si="4"/>
        <v>186908.88</v>
      </c>
      <c r="G153" s="2">
        <f>'Shift 13'!M154-'Shift 14'!M149</f>
        <v>17593.830000000002</v>
      </c>
      <c r="H153" s="3">
        <f t="shared" si="5"/>
        <v>204502.71000000002</v>
      </c>
    </row>
    <row r="154" spans="1:8" x14ac:dyDescent="0.2">
      <c r="A154" s="4">
        <v>497</v>
      </c>
      <c r="B154" s="4">
        <v>1</v>
      </c>
      <c r="C154" s="2" t="s">
        <v>150</v>
      </c>
      <c r="D154" s="2">
        <f>'Shift 13'!D155-'Shift 14'!D150</f>
        <v>21033.26</v>
      </c>
      <c r="E154" s="2">
        <f>'Shift 13'!E155-'Shift 14'!E150</f>
        <v>0</v>
      </c>
      <c r="F154" s="2">
        <f t="shared" si="4"/>
        <v>21033.26</v>
      </c>
      <c r="G154" s="2">
        <f>'Shift 13'!M155-'Shift 14'!M150</f>
        <v>6674.72</v>
      </c>
      <c r="H154" s="3">
        <f t="shared" si="5"/>
        <v>27707.98</v>
      </c>
    </row>
    <row r="155" spans="1:8" x14ac:dyDescent="0.2">
      <c r="A155" s="4">
        <v>499</v>
      </c>
      <c r="B155" s="4">
        <v>1</v>
      </c>
      <c r="C155" s="2" t="s">
        <v>1186</v>
      </c>
      <c r="D155" s="2">
        <f>'Shift 13'!D156-'Shift 14'!D151</f>
        <v>82731.02</v>
      </c>
      <c r="E155" s="2">
        <f>'Shift 13'!E156-'Shift 14'!E151</f>
        <v>107497.07</v>
      </c>
      <c r="F155" s="2">
        <f t="shared" si="4"/>
        <v>190228.09000000003</v>
      </c>
      <c r="G155" s="2">
        <f>'Shift 13'!M156-'Shift 14'!M151</f>
        <v>32759.47</v>
      </c>
      <c r="H155" s="3">
        <f t="shared" si="5"/>
        <v>222987.56000000003</v>
      </c>
    </row>
    <row r="156" spans="1:8" x14ac:dyDescent="0.2">
      <c r="A156" s="4">
        <v>500</v>
      </c>
      <c r="B156" s="4">
        <v>1</v>
      </c>
      <c r="C156" s="2" t="s">
        <v>152</v>
      </c>
      <c r="D156" s="2">
        <f>'Shift 13'!D157-'Shift 14'!D152</f>
        <v>129171.96</v>
      </c>
      <c r="E156" s="2">
        <f>'Shift 13'!E157-'Shift 14'!E152</f>
        <v>24006.1</v>
      </c>
      <c r="F156" s="2">
        <f t="shared" si="4"/>
        <v>153178.06</v>
      </c>
      <c r="G156" s="2">
        <f>'Shift 13'!M157-'Shift 14'!M152</f>
        <v>23438.84</v>
      </c>
      <c r="H156" s="3">
        <f t="shared" si="5"/>
        <v>176616.9</v>
      </c>
    </row>
    <row r="157" spans="1:8" x14ac:dyDescent="0.2">
      <c r="A157" s="4">
        <v>505</v>
      </c>
      <c r="B157" s="4">
        <v>1</v>
      </c>
      <c r="C157" s="2" t="s">
        <v>153</v>
      </c>
      <c r="D157" s="2">
        <f>'Shift 13'!D158-'Shift 14'!D153</f>
        <v>86467.37</v>
      </c>
      <c r="E157" s="2">
        <f>'Shift 13'!E158-'Shift 14'!E153</f>
        <v>33340.74</v>
      </c>
      <c r="F157" s="2">
        <f t="shared" si="4"/>
        <v>119808.10999999999</v>
      </c>
      <c r="G157" s="2">
        <f>'Shift 13'!M158-'Shift 14'!M153</f>
        <v>18960.560000000001</v>
      </c>
      <c r="H157" s="3">
        <f t="shared" si="5"/>
        <v>138768.66999999998</v>
      </c>
    </row>
    <row r="158" spans="1:8" x14ac:dyDescent="0.2">
      <c r="A158" s="4">
        <v>507</v>
      </c>
      <c r="B158" s="4">
        <v>1</v>
      </c>
      <c r="C158" s="2" t="s">
        <v>154</v>
      </c>
      <c r="D158" s="2">
        <f>'Shift 13'!D159-'Shift 14'!D154</f>
        <v>81610.02</v>
      </c>
      <c r="E158" s="2">
        <f>'Shift 13'!E159-'Shift 14'!E154</f>
        <v>17232.650000000001</v>
      </c>
      <c r="F158" s="2">
        <f t="shared" si="4"/>
        <v>98842.670000000013</v>
      </c>
      <c r="G158" s="2">
        <f>'Shift 13'!M159-'Shift 14'!M154</f>
        <v>18972.060000000001</v>
      </c>
      <c r="H158" s="3">
        <f t="shared" si="5"/>
        <v>117814.73000000001</v>
      </c>
    </row>
    <row r="159" spans="1:8" x14ac:dyDescent="0.2">
      <c r="A159" s="4">
        <v>508</v>
      </c>
      <c r="B159" s="4">
        <v>1</v>
      </c>
      <c r="C159" s="2" t="s">
        <v>155</v>
      </c>
      <c r="D159" s="2">
        <f>'Shift 13'!D160-'Shift 14'!D155</f>
        <v>742144.7</v>
      </c>
      <c r="E159" s="2">
        <f>'Shift 13'!E160-'Shift 14'!E155</f>
        <v>558938.6</v>
      </c>
      <c r="F159" s="2">
        <f t="shared" si="4"/>
        <v>1301083.2999999998</v>
      </c>
      <c r="G159" s="2">
        <f>'Shift 13'!M160-'Shift 14'!M155</f>
        <v>73312.13</v>
      </c>
      <c r="H159" s="3">
        <f t="shared" si="5"/>
        <v>1374395.4299999997</v>
      </c>
    </row>
    <row r="160" spans="1:8" x14ac:dyDescent="0.2">
      <c r="A160" s="4">
        <v>511</v>
      </c>
      <c r="B160" s="4">
        <v>1</v>
      </c>
      <c r="C160" s="2" t="s">
        <v>156</v>
      </c>
      <c r="D160" s="2">
        <f>'Shift 13'!D161-'Shift 14'!D156</f>
        <v>122310.2</v>
      </c>
      <c r="E160" s="2">
        <f>'Shift 13'!E161-'Shift 14'!E156</f>
        <v>147356.73000000001</v>
      </c>
      <c r="F160" s="2">
        <f t="shared" si="4"/>
        <v>269666.93</v>
      </c>
      <c r="G160" s="2">
        <f>'Shift 13'!M161-'Shift 14'!M156</f>
        <v>12371.6</v>
      </c>
      <c r="H160" s="3">
        <f t="shared" si="5"/>
        <v>282038.52999999997</v>
      </c>
    </row>
    <row r="161" spans="1:8" x14ac:dyDescent="0.2">
      <c r="A161" s="4">
        <v>514</v>
      </c>
      <c r="B161" s="4">
        <v>1</v>
      </c>
      <c r="C161" s="2" t="s">
        <v>158</v>
      </c>
      <c r="D161" s="2">
        <f>'Shift 13'!D162-'Shift 14'!D157</f>
        <v>33352.910000000003</v>
      </c>
      <c r="E161" s="2">
        <f>'Shift 13'!E162-'Shift 14'!E157</f>
        <v>0</v>
      </c>
      <c r="F161" s="2">
        <f t="shared" si="4"/>
        <v>33352.910000000003</v>
      </c>
      <c r="G161" s="2">
        <f>'Shift 13'!M162-'Shift 14'!M157</f>
        <v>0</v>
      </c>
      <c r="H161" s="3">
        <f t="shared" si="5"/>
        <v>33352.910000000003</v>
      </c>
    </row>
    <row r="162" spans="1:8" x14ac:dyDescent="0.2">
      <c r="A162" s="4">
        <v>518</v>
      </c>
      <c r="B162" s="4">
        <v>1</v>
      </c>
      <c r="C162" s="2" t="s">
        <v>160</v>
      </c>
      <c r="D162" s="2">
        <f>'Shift 13'!D163-'Shift 14'!D158</f>
        <v>554802.93000000005</v>
      </c>
      <c r="E162" s="2">
        <f>'Shift 13'!E163-'Shift 14'!E158</f>
        <v>775265.9</v>
      </c>
      <c r="F162" s="2">
        <f t="shared" si="4"/>
        <v>1330068.83</v>
      </c>
      <c r="G162" s="2">
        <f>'Shift 13'!M163-'Shift 14'!M158</f>
        <v>89550.75</v>
      </c>
      <c r="H162" s="3">
        <f t="shared" si="5"/>
        <v>1419619.58</v>
      </c>
    </row>
    <row r="163" spans="1:8" x14ac:dyDescent="0.2">
      <c r="A163" s="4">
        <v>531</v>
      </c>
      <c r="B163" s="4">
        <v>1</v>
      </c>
      <c r="C163" s="2" t="s">
        <v>161</v>
      </c>
      <c r="D163" s="2">
        <f>'Shift 13'!D164-'Shift 14'!D159</f>
        <v>389323.61</v>
      </c>
      <c r="E163" s="2">
        <f>'Shift 13'!E164-'Shift 14'!E159</f>
        <v>133576.59</v>
      </c>
      <c r="F163" s="2">
        <f t="shared" si="4"/>
        <v>522900.19999999995</v>
      </c>
      <c r="G163" s="2">
        <f>'Shift 13'!M164-'Shift 14'!M159</f>
        <v>48129.55</v>
      </c>
      <c r="H163" s="3">
        <f t="shared" si="5"/>
        <v>571029.75</v>
      </c>
    </row>
    <row r="164" spans="1:8" x14ac:dyDescent="0.2">
      <c r="A164" s="4">
        <v>533</v>
      </c>
      <c r="B164" s="4">
        <v>1</v>
      </c>
      <c r="C164" s="2" t="s">
        <v>162</v>
      </c>
      <c r="D164" s="2">
        <f>'Shift 13'!D165-'Shift 14'!D160</f>
        <v>167151.69</v>
      </c>
      <c r="E164" s="2">
        <f>'Shift 13'!E165-'Shift 14'!E160</f>
        <v>33689.519999999997</v>
      </c>
      <c r="F164" s="2">
        <f t="shared" si="4"/>
        <v>200841.21</v>
      </c>
      <c r="G164" s="2">
        <f>'Shift 13'!M165-'Shift 14'!M160</f>
        <v>25414.880000000001</v>
      </c>
      <c r="H164" s="3">
        <f t="shared" si="5"/>
        <v>226256.09</v>
      </c>
    </row>
    <row r="165" spans="1:8" x14ac:dyDescent="0.2">
      <c r="A165" s="4">
        <v>534</v>
      </c>
      <c r="B165" s="4">
        <v>1</v>
      </c>
      <c r="C165" s="2" t="s">
        <v>163</v>
      </c>
      <c r="D165" s="2">
        <f>'Shift 13'!D166-'Shift 14'!D161</f>
        <v>376516.7</v>
      </c>
      <c r="E165" s="2">
        <f>'Shift 13'!E166-'Shift 14'!E161</f>
        <v>462575.33</v>
      </c>
      <c r="F165" s="2">
        <f t="shared" si="4"/>
        <v>839092.03</v>
      </c>
      <c r="G165" s="2">
        <f>'Shift 13'!M166-'Shift 14'!M161</f>
        <v>52303.32</v>
      </c>
      <c r="H165" s="3">
        <f t="shared" si="5"/>
        <v>891395.35</v>
      </c>
    </row>
    <row r="166" spans="1:8" x14ac:dyDescent="0.2">
      <c r="A166" s="4">
        <v>535</v>
      </c>
      <c r="B166" s="4">
        <v>1</v>
      </c>
      <c r="C166" s="2" t="s">
        <v>164</v>
      </c>
      <c r="D166" s="2">
        <f>'Shift 13'!D167-'Shift 14'!D162</f>
        <v>6953636.96</v>
      </c>
      <c r="E166" s="2">
        <f>'Shift 13'!E167-'Shift 14'!E162</f>
        <v>3333582.28</v>
      </c>
      <c r="F166" s="2">
        <f t="shared" si="4"/>
        <v>10287219.24</v>
      </c>
      <c r="G166" s="2">
        <f>'Shift 13'!M167-'Shift 14'!M162</f>
        <v>884025.25</v>
      </c>
      <c r="H166" s="3">
        <f t="shared" si="5"/>
        <v>11171244.49</v>
      </c>
    </row>
    <row r="167" spans="1:8" x14ac:dyDescent="0.2">
      <c r="A167" s="4">
        <v>542</v>
      </c>
      <c r="B167" s="4">
        <v>1</v>
      </c>
      <c r="C167" s="2" t="s">
        <v>165</v>
      </c>
      <c r="D167" s="2">
        <f>'Shift 13'!D168-'Shift 14'!D163</f>
        <v>264393.86</v>
      </c>
      <c r="E167" s="2">
        <f>'Shift 13'!E168-'Shift 14'!E163</f>
        <v>144527.24</v>
      </c>
      <c r="F167" s="2">
        <f t="shared" si="4"/>
        <v>408921.1</v>
      </c>
      <c r="G167" s="2">
        <f>'Shift 13'!M168-'Shift 14'!M163</f>
        <v>23530.6</v>
      </c>
      <c r="H167" s="3">
        <f t="shared" si="5"/>
        <v>432451.69999999995</v>
      </c>
    </row>
    <row r="168" spans="1:8" x14ac:dyDescent="0.2">
      <c r="A168" s="4">
        <v>544</v>
      </c>
      <c r="B168" s="4">
        <v>1</v>
      </c>
      <c r="C168" s="2" t="s">
        <v>166</v>
      </c>
      <c r="D168" s="2">
        <f>'Shift 13'!D169-'Shift 14'!D164</f>
        <v>585842.41</v>
      </c>
      <c r="E168" s="2">
        <f>'Shift 13'!E169-'Shift 14'!E164</f>
        <v>281037.68</v>
      </c>
      <c r="F168" s="2">
        <f t="shared" si="4"/>
        <v>866880.09000000008</v>
      </c>
      <c r="G168" s="2">
        <f>'Shift 13'!M169-'Shift 14'!M164</f>
        <v>114054.84</v>
      </c>
      <c r="H168" s="3">
        <f t="shared" si="5"/>
        <v>980934.93</v>
      </c>
    </row>
    <row r="169" spans="1:8" x14ac:dyDescent="0.2">
      <c r="A169" s="4">
        <v>545</v>
      </c>
      <c r="B169" s="4">
        <v>1</v>
      </c>
      <c r="C169" s="2" t="s">
        <v>167</v>
      </c>
      <c r="D169" s="2">
        <f>'Shift 13'!D170-'Shift 14'!D165</f>
        <v>72484.88</v>
      </c>
      <c r="E169" s="2">
        <f>'Shift 13'!E170-'Shift 14'!E165</f>
        <v>184169.42</v>
      </c>
      <c r="F169" s="2">
        <f t="shared" si="4"/>
        <v>256654.30000000002</v>
      </c>
      <c r="G169" s="2">
        <f>'Shift 13'!M170-'Shift 14'!M165</f>
        <v>20613.080000000002</v>
      </c>
      <c r="H169" s="3">
        <f t="shared" si="5"/>
        <v>277267.38</v>
      </c>
    </row>
    <row r="170" spans="1:8" x14ac:dyDescent="0.2">
      <c r="A170" s="4">
        <v>547</v>
      </c>
      <c r="B170" s="4">
        <v>1</v>
      </c>
      <c r="C170" s="2" t="s">
        <v>168</v>
      </c>
      <c r="D170" s="2">
        <f>'Shift 13'!D171-'Shift 14'!D166</f>
        <v>69482.53</v>
      </c>
      <c r="E170" s="2">
        <f>'Shift 13'!E171-'Shift 14'!E166</f>
        <v>222312.09</v>
      </c>
      <c r="F170" s="2">
        <f t="shared" si="4"/>
        <v>291794.62</v>
      </c>
      <c r="G170" s="2">
        <f>'Shift 13'!M171-'Shift 14'!M166</f>
        <v>19314.47</v>
      </c>
      <c r="H170" s="3">
        <f t="shared" si="5"/>
        <v>311109.08999999997</v>
      </c>
    </row>
    <row r="171" spans="1:8" x14ac:dyDescent="0.2">
      <c r="A171" s="4">
        <v>548</v>
      </c>
      <c r="B171" s="4">
        <v>1</v>
      </c>
      <c r="C171" s="2" t="s">
        <v>169</v>
      </c>
      <c r="D171" s="2">
        <f>'Shift 13'!D172-'Shift 14'!D167</f>
        <v>233266.08</v>
      </c>
      <c r="E171" s="2">
        <f>'Shift 13'!E172-'Shift 14'!E167</f>
        <v>348902.32</v>
      </c>
      <c r="F171" s="2">
        <f t="shared" si="4"/>
        <v>582168.4</v>
      </c>
      <c r="G171" s="2">
        <f>'Shift 13'!M172-'Shift 14'!M167</f>
        <v>46824.71</v>
      </c>
      <c r="H171" s="3">
        <f t="shared" si="5"/>
        <v>628993.11</v>
      </c>
    </row>
    <row r="172" spans="1:8" x14ac:dyDescent="0.2">
      <c r="A172" s="4">
        <v>549</v>
      </c>
      <c r="B172" s="4">
        <v>1</v>
      </c>
      <c r="C172" s="2" t="s">
        <v>1187</v>
      </c>
      <c r="D172" s="2">
        <f>'Shift 13'!D173-'Shift 14'!D168</f>
        <v>657063.66</v>
      </c>
      <c r="E172" s="2">
        <f>'Shift 13'!E173-'Shift 14'!E168</f>
        <v>0</v>
      </c>
      <c r="F172" s="2">
        <f t="shared" si="4"/>
        <v>657063.66</v>
      </c>
      <c r="G172" s="2">
        <f>'Shift 13'!M173-'Shift 14'!M168</f>
        <v>66953.67</v>
      </c>
      <c r="H172" s="3">
        <f t="shared" si="5"/>
        <v>724017.33000000007</v>
      </c>
    </row>
    <row r="173" spans="1:8" x14ac:dyDescent="0.2">
      <c r="A173" s="4">
        <v>550</v>
      </c>
      <c r="B173" s="4">
        <v>1</v>
      </c>
      <c r="C173" s="2" t="s">
        <v>171</v>
      </c>
      <c r="D173" s="2">
        <f>'Shift 13'!D174-'Shift 14'!D169</f>
        <v>58462.65</v>
      </c>
      <c r="E173" s="2">
        <f>'Shift 13'!E174-'Shift 14'!E169</f>
        <v>0</v>
      </c>
      <c r="F173" s="2">
        <f t="shared" si="4"/>
        <v>58462.65</v>
      </c>
      <c r="G173" s="2">
        <f>'Shift 13'!M174-'Shift 14'!M169</f>
        <v>15410.97</v>
      </c>
      <c r="H173" s="3">
        <f t="shared" si="5"/>
        <v>73873.62</v>
      </c>
    </row>
    <row r="174" spans="1:8" x14ac:dyDescent="0.2">
      <c r="A174" s="4">
        <v>553</v>
      </c>
      <c r="B174" s="4">
        <v>1</v>
      </c>
      <c r="C174" s="2" t="s">
        <v>172</v>
      </c>
      <c r="D174" s="2">
        <f>'Shift 13'!D175-'Shift 14'!D170</f>
        <v>40353.050000000003</v>
      </c>
      <c r="E174" s="2">
        <f>'Shift 13'!E175-'Shift 14'!E170</f>
        <v>68736.100000000006</v>
      </c>
      <c r="F174" s="2">
        <f t="shared" si="4"/>
        <v>109089.15000000001</v>
      </c>
      <c r="G174" s="2">
        <f>'Shift 13'!M175-'Shift 14'!M170</f>
        <v>20238.61</v>
      </c>
      <c r="H174" s="3">
        <f t="shared" si="5"/>
        <v>129327.76000000001</v>
      </c>
    </row>
    <row r="175" spans="1:8" x14ac:dyDescent="0.2">
      <c r="A175" s="4">
        <v>561</v>
      </c>
      <c r="B175" s="4">
        <v>1</v>
      </c>
      <c r="C175" s="2" t="s">
        <v>173</v>
      </c>
      <c r="D175" s="2">
        <f>'Shift 13'!D176-'Shift 14'!D171</f>
        <v>24829.200000000001</v>
      </c>
      <c r="E175" s="2">
        <f>'Shift 13'!E176-'Shift 14'!E171</f>
        <v>51960.3</v>
      </c>
      <c r="F175" s="2">
        <f t="shared" si="4"/>
        <v>76789.5</v>
      </c>
      <c r="G175" s="2">
        <f>'Shift 13'!M176-'Shift 14'!M171</f>
        <v>6353.45</v>
      </c>
      <c r="H175" s="3">
        <f t="shared" si="5"/>
        <v>83142.95</v>
      </c>
    </row>
    <row r="176" spans="1:8" x14ac:dyDescent="0.2">
      <c r="A176" s="4">
        <v>564</v>
      </c>
      <c r="B176" s="4">
        <v>1</v>
      </c>
      <c r="C176" s="2" t="s">
        <v>1188</v>
      </c>
      <c r="D176" s="2">
        <f>'Shift 13'!D177-'Shift 14'!D172</f>
        <v>469212.17</v>
      </c>
      <c r="E176" s="2">
        <f>'Shift 13'!E177-'Shift 14'!E172</f>
        <v>427062.47</v>
      </c>
      <c r="F176" s="2">
        <f t="shared" si="4"/>
        <v>896274.6399999999</v>
      </c>
      <c r="G176" s="2">
        <f>'Shift 13'!M177-'Shift 14'!M172</f>
        <v>69476.77</v>
      </c>
      <c r="H176" s="3">
        <f t="shared" si="5"/>
        <v>965751.40999999992</v>
      </c>
    </row>
    <row r="177" spans="1:8" x14ac:dyDescent="0.2">
      <c r="A177" s="4">
        <v>577</v>
      </c>
      <c r="B177" s="4">
        <v>1</v>
      </c>
      <c r="C177" s="2" t="s">
        <v>175</v>
      </c>
      <c r="D177" s="2">
        <f>'Shift 13'!D178-'Shift 14'!D173</f>
        <v>131049.26</v>
      </c>
      <c r="E177" s="2">
        <f>'Shift 13'!E178-'Shift 14'!E173</f>
        <v>2669.1</v>
      </c>
      <c r="F177" s="2">
        <f t="shared" si="4"/>
        <v>133718.35999999999</v>
      </c>
      <c r="G177" s="2">
        <f>'Shift 13'!M178-'Shift 14'!M173</f>
        <v>20247.810000000001</v>
      </c>
      <c r="H177" s="3">
        <f t="shared" si="5"/>
        <v>153966.16999999998</v>
      </c>
    </row>
    <row r="178" spans="1:8" x14ac:dyDescent="0.2">
      <c r="A178" s="4">
        <v>578</v>
      </c>
      <c r="B178" s="4">
        <v>1</v>
      </c>
      <c r="C178" s="2" t="s">
        <v>176</v>
      </c>
      <c r="D178" s="2">
        <f>'Shift 13'!D179-'Shift 14'!D174</f>
        <v>265552.34999999998</v>
      </c>
      <c r="E178" s="2">
        <f>'Shift 13'!E179-'Shift 14'!E174</f>
        <v>498783.88</v>
      </c>
      <c r="F178" s="2">
        <f t="shared" si="4"/>
        <v>764336.23</v>
      </c>
      <c r="G178" s="2">
        <f>'Shift 13'!M179-'Shift 14'!M174</f>
        <v>56382.77</v>
      </c>
      <c r="H178" s="3">
        <f t="shared" si="5"/>
        <v>820719</v>
      </c>
    </row>
    <row r="179" spans="1:8" x14ac:dyDescent="0.2">
      <c r="A179" s="4">
        <v>581</v>
      </c>
      <c r="B179" s="4">
        <v>1</v>
      </c>
      <c r="C179" s="2" t="s">
        <v>177</v>
      </c>
      <c r="D179" s="2">
        <f>'Shift 13'!D180-'Shift 14'!D175</f>
        <v>79274.179999999993</v>
      </c>
      <c r="E179" s="2">
        <f>'Shift 13'!E180-'Shift 14'!E175</f>
        <v>83196.62</v>
      </c>
      <c r="F179" s="2">
        <f t="shared" si="4"/>
        <v>162470.79999999999</v>
      </c>
      <c r="G179" s="2">
        <f>'Shift 13'!M180-'Shift 14'!M175</f>
        <v>10359.299999999999</v>
      </c>
      <c r="H179" s="3">
        <f t="shared" si="5"/>
        <v>172830.09999999998</v>
      </c>
    </row>
    <row r="180" spans="1:8" x14ac:dyDescent="0.2">
      <c r="A180" s="4">
        <v>592</v>
      </c>
      <c r="B180" s="4">
        <v>1</v>
      </c>
      <c r="C180" s="2" t="s">
        <v>1189</v>
      </c>
      <c r="D180" s="2">
        <f>'Shift 13'!D181-'Shift 14'!D176</f>
        <v>69054.84</v>
      </c>
      <c r="E180" s="2">
        <f>'Shift 13'!E181-'Shift 14'!E176</f>
        <v>0</v>
      </c>
      <c r="F180" s="2">
        <f t="shared" si="4"/>
        <v>69054.84</v>
      </c>
      <c r="G180" s="2">
        <f>'Shift 13'!M181-'Shift 14'!M176</f>
        <v>826.34</v>
      </c>
      <c r="H180" s="3">
        <f t="shared" si="5"/>
        <v>69881.179999999993</v>
      </c>
    </row>
    <row r="181" spans="1:8" x14ac:dyDescent="0.2">
      <c r="A181" s="4">
        <v>593</v>
      </c>
      <c r="B181" s="4">
        <v>1</v>
      </c>
      <c r="C181" s="2" t="s">
        <v>179</v>
      </c>
      <c r="D181" s="2">
        <f>'Shift 13'!D182-'Shift 14'!D177</f>
        <v>354936.55</v>
      </c>
      <c r="E181" s="2">
        <f>'Shift 13'!E182-'Shift 14'!E177</f>
        <v>684251.52</v>
      </c>
      <c r="F181" s="2">
        <f t="shared" si="4"/>
        <v>1039188.0700000001</v>
      </c>
      <c r="G181" s="2">
        <f>'Shift 13'!M182-'Shift 14'!M177</f>
        <v>58568.65</v>
      </c>
      <c r="H181" s="3">
        <f t="shared" si="5"/>
        <v>1097756.72</v>
      </c>
    </row>
    <row r="182" spans="1:8" x14ac:dyDescent="0.2">
      <c r="A182" s="4">
        <v>595</v>
      </c>
      <c r="B182" s="4">
        <v>1</v>
      </c>
      <c r="C182" s="2" t="s">
        <v>180</v>
      </c>
      <c r="D182" s="2">
        <f>'Shift 13'!D183-'Shift 14'!D178</f>
        <v>248068.66</v>
      </c>
      <c r="E182" s="2">
        <f>'Shift 13'!E183-'Shift 14'!E178</f>
        <v>359854.21</v>
      </c>
      <c r="F182" s="2">
        <f t="shared" si="4"/>
        <v>607922.87</v>
      </c>
      <c r="G182" s="2">
        <f>'Shift 13'!M183-'Shift 14'!M178</f>
        <v>52486.77</v>
      </c>
      <c r="H182" s="3">
        <f t="shared" si="5"/>
        <v>660409.64</v>
      </c>
    </row>
    <row r="183" spans="1:8" x14ac:dyDescent="0.2">
      <c r="A183" s="4">
        <v>599</v>
      </c>
      <c r="B183" s="4">
        <v>1</v>
      </c>
      <c r="C183" s="2" t="s">
        <v>181</v>
      </c>
      <c r="D183" s="2">
        <f>'Shift 13'!D184-'Shift 14'!D179</f>
        <v>105209.17</v>
      </c>
      <c r="E183" s="2">
        <f>'Shift 13'!E184-'Shift 14'!E179</f>
        <v>176735.05</v>
      </c>
      <c r="F183" s="2">
        <f t="shared" si="4"/>
        <v>281944.21999999997</v>
      </c>
      <c r="G183" s="2">
        <f>'Shift 13'!M184-'Shift 14'!M179</f>
        <v>19864.21</v>
      </c>
      <c r="H183" s="3">
        <f t="shared" si="5"/>
        <v>301808.43</v>
      </c>
    </row>
    <row r="184" spans="1:8" x14ac:dyDescent="0.2">
      <c r="A184" s="4">
        <v>600</v>
      </c>
      <c r="B184" s="4">
        <v>1</v>
      </c>
      <c r="C184" s="2" t="s">
        <v>182</v>
      </c>
      <c r="D184" s="2">
        <f>'Shift 13'!D185-'Shift 14'!D180</f>
        <v>46607</v>
      </c>
      <c r="E184" s="2">
        <f>'Shift 13'!E185-'Shift 14'!E180</f>
        <v>0</v>
      </c>
      <c r="F184" s="2">
        <f t="shared" si="4"/>
        <v>46607</v>
      </c>
      <c r="G184" s="2">
        <f>'Shift 13'!M185-'Shift 14'!M180</f>
        <v>10449.83</v>
      </c>
      <c r="H184" s="3">
        <f t="shared" si="5"/>
        <v>57056.83</v>
      </c>
    </row>
    <row r="185" spans="1:8" x14ac:dyDescent="0.2">
      <c r="A185" s="4">
        <v>601</v>
      </c>
      <c r="B185" s="4">
        <v>1</v>
      </c>
      <c r="C185" s="2" t="s">
        <v>183</v>
      </c>
      <c r="D185" s="2">
        <f>'Shift 13'!D186-'Shift 14'!D181</f>
        <v>122361.73</v>
      </c>
      <c r="E185" s="2">
        <f>'Shift 13'!E186-'Shift 14'!E181</f>
        <v>97046.61</v>
      </c>
      <c r="F185" s="2">
        <f t="shared" si="4"/>
        <v>219408.34</v>
      </c>
      <c r="G185" s="2">
        <f>'Shift 13'!M186-'Shift 14'!M181</f>
        <v>19084.77</v>
      </c>
      <c r="H185" s="3">
        <f t="shared" si="5"/>
        <v>238493.11</v>
      </c>
    </row>
    <row r="186" spans="1:8" x14ac:dyDescent="0.2">
      <c r="A186" s="4">
        <v>621</v>
      </c>
      <c r="B186" s="4">
        <v>1</v>
      </c>
      <c r="C186" s="2" t="s">
        <v>185</v>
      </c>
      <c r="D186" s="2">
        <f>'Shift 13'!D187-'Shift 14'!D182</f>
        <v>4043716.29</v>
      </c>
      <c r="E186" s="2">
        <f>'Shift 13'!E187-'Shift 14'!E182</f>
        <v>6389576.6500000004</v>
      </c>
      <c r="F186" s="2">
        <f t="shared" si="4"/>
        <v>10433292.940000001</v>
      </c>
      <c r="G186" s="2">
        <f>'Shift 13'!M187-'Shift 14'!M182</f>
        <v>485250.59</v>
      </c>
      <c r="H186" s="3">
        <f t="shared" si="5"/>
        <v>10918543.530000001</v>
      </c>
    </row>
    <row r="187" spans="1:8" x14ac:dyDescent="0.2">
      <c r="A187" s="4">
        <v>622</v>
      </c>
      <c r="B187" s="4">
        <v>1</v>
      </c>
      <c r="C187" s="2" t="s">
        <v>1190</v>
      </c>
      <c r="D187" s="2">
        <f>'Shift 13'!D188-'Shift 14'!D183</f>
        <v>3972391.77</v>
      </c>
      <c r="E187" s="2">
        <f>'Shift 13'!E188-'Shift 14'!E183</f>
        <v>2456274.56</v>
      </c>
      <c r="F187" s="2">
        <f t="shared" si="4"/>
        <v>6428666.3300000001</v>
      </c>
      <c r="G187" s="2">
        <f>'Shift 13'!M188-'Shift 14'!M183</f>
        <v>791244.45</v>
      </c>
      <c r="H187" s="3">
        <f t="shared" si="5"/>
        <v>7219910.7800000003</v>
      </c>
    </row>
    <row r="188" spans="1:8" x14ac:dyDescent="0.2">
      <c r="A188" s="4">
        <v>623</v>
      </c>
      <c r="B188" s="4">
        <v>1</v>
      </c>
      <c r="C188" s="2" t="s">
        <v>187</v>
      </c>
      <c r="D188" s="2">
        <f>'Shift 13'!D189-'Shift 14'!D184</f>
        <v>2069679.88</v>
      </c>
      <c r="E188" s="2">
        <f>'Shift 13'!E189-'Shift 14'!E184</f>
        <v>3237559.5</v>
      </c>
      <c r="F188" s="2">
        <f t="shared" si="4"/>
        <v>5307239.38</v>
      </c>
      <c r="G188" s="2">
        <f>'Shift 13'!M189-'Shift 14'!M184</f>
        <v>409982.8</v>
      </c>
      <c r="H188" s="3">
        <f t="shared" si="5"/>
        <v>5717222.1799999997</v>
      </c>
    </row>
    <row r="189" spans="1:8" x14ac:dyDescent="0.2">
      <c r="A189" s="4">
        <v>624</v>
      </c>
      <c r="B189" s="4">
        <v>1</v>
      </c>
      <c r="C189" s="2" t="s">
        <v>188</v>
      </c>
      <c r="D189" s="2">
        <f>'Shift 13'!D190-'Shift 14'!D185</f>
        <v>2533232.9500000002</v>
      </c>
      <c r="E189" s="2">
        <f>'Shift 13'!E190-'Shift 14'!E185</f>
        <v>6517134.7999999998</v>
      </c>
      <c r="F189" s="2">
        <f t="shared" si="4"/>
        <v>9050367.75</v>
      </c>
      <c r="G189" s="2">
        <f>'Shift 13'!M190-'Shift 14'!M185</f>
        <v>526385.14</v>
      </c>
      <c r="H189" s="3">
        <f t="shared" si="5"/>
        <v>9576752.8900000006</v>
      </c>
    </row>
    <row r="190" spans="1:8" x14ac:dyDescent="0.2">
      <c r="A190" s="4">
        <v>625</v>
      </c>
      <c r="B190" s="4">
        <v>1</v>
      </c>
      <c r="C190" s="2" t="s">
        <v>189</v>
      </c>
      <c r="D190" s="2">
        <f>'Shift 13'!D191-'Shift 14'!D186</f>
        <v>15369692.119999999</v>
      </c>
      <c r="E190" s="2">
        <f>'Shift 13'!E191-'Shift 14'!E186</f>
        <v>14487670.59</v>
      </c>
      <c r="F190" s="2">
        <f t="shared" si="4"/>
        <v>29857362.710000001</v>
      </c>
      <c r="G190" s="2">
        <f>'Shift 13'!M191-'Shift 14'!M186</f>
        <v>1676332.58</v>
      </c>
      <c r="H190" s="3">
        <f t="shared" si="5"/>
        <v>31533695.289999999</v>
      </c>
    </row>
    <row r="191" spans="1:8" x14ac:dyDescent="0.2">
      <c r="A191" s="4">
        <v>630</v>
      </c>
      <c r="B191" s="4">
        <v>1</v>
      </c>
      <c r="C191" s="2" t="s">
        <v>192</v>
      </c>
      <c r="D191" s="2">
        <f>'Shift 13'!D192-'Shift 14'!D187</f>
        <v>56358.18</v>
      </c>
      <c r="E191" s="2">
        <f>'Shift 13'!E192-'Shift 14'!E187</f>
        <v>136616.63</v>
      </c>
      <c r="F191" s="2">
        <f t="shared" si="4"/>
        <v>192974.81</v>
      </c>
      <c r="G191" s="2">
        <f>'Shift 13'!M192-'Shift 14'!M187</f>
        <v>8418.49</v>
      </c>
      <c r="H191" s="3">
        <f t="shared" si="5"/>
        <v>201393.3</v>
      </c>
    </row>
    <row r="192" spans="1:8" x14ac:dyDescent="0.2">
      <c r="A192" s="4">
        <v>635</v>
      </c>
      <c r="B192" s="4">
        <v>1</v>
      </c>
      <c r="C192" s="2" t="s">
        <v>193</v>
      </c>
      <c r="D192" s="2">
        <f>'Shift 13'!D193-'Shift 14'!D188</f>
        <v>28564.65</v>
      </c>
      <c r="E192" s="2">
        <f>'Shift 13'!E193-'Shift 14'!E188</f>
        <v>32132.59</v>
      </c>
      <c r="F192" s="2">
        <f t="shared" si="4"/>
        <v>60697.240000000005</v>
      </c>
      <c r="G192" s="2">
        <f>'Shift 13'!M193-'Shift 14'!M188</f>
        <v>7372.13</v>
      </c>
      <c r="H192" s="3">
        <f t="shared" si="5"/>
        <v>68069.37000000001</v>
      </c>
    </row>
    <row r="193" spans="1:8" x14ac:dyDescent="0.2">
      <c r="A193" s="4">
        <v>640</v>
      </c>
      <c r="B193" s="4">
        <v>1</v>
      </c>
      <c r="C193" s="2" t="s">
        <v>194</v>
      </c>
      <c r="D193" s="2">
        <f>'Shift 13'!D194-'Shift 14'!D189</f>
        <v>98257.35</v>
      </c>
      <c r="E193" s="2">
        <f>'Shift 13'!E194-'Shift 14'!E189</f>
        <v>90141.66</v>
      </c>
      <c r="F193" s="2">
        <f t="shared" si="4"/>
        <v>188399.01</v>
      </c>
      <c r="G193" s="2">
        <f>'Shift 13'!M194-'Shift 14'!M189</f>
        <v>21736.84</v>
      </c>
      <c r="H193" s="3">
        <f t="shared" si="5"/>
        <v>210135.85</v>
      </c>
    </row>
    <row r="194" spans="1:8" x14ac:dyDescent="0.2">
      <c r="A194" s="4">
        <v>656</v>
      </c>
      <c r="B194" s="4">
        <v>1</v>
      </c>
      <c r="C194" s="2" t="s">
        <v>195</v>
      </c>
      <c r="D194" s="2">
        <f>'Shift 13'!D195-'Shift 14'!D190</f>
        <v>871471.76</v>
      </c>
      <c r="E194" s="2">
        <f>'Shift 13'!E195-'Shift 14'!E190</f>
        <v>434315.85</v>
      </c>
      <c r="F194" s="2">
        <f t="shared" si="4"/>
        <v>1305787.6099999999</v>
      </c>
      <c r="G194" s="2">
        <f>'Shift 13'!M195-'Shift 14'!M190</f>
        <v>181241.89</v>
      </c>
      <c r="H194" s="3">
        <f t="shared" si="5"/>
        <v>1487029.5</v>
      </c>
    </row>
    <row r="195" spans="1:8" x14ac:dyDescent="0.2">
      <c r="A195" s="4">
        <v>659</v>
      </c>
      <c r="B195" s="4">
        <v>1</v>
      </c>
      <c r="C195" s="2" t="s">
        <v>196</v>
      </c>
      <c r="D195" s="2">
        <f>'Shift 13'!D196-'Shift 14'!D191</f>
        <v>1321714.92</v>
      </c>
      <c r="E195" s="2">
        <f>'Shift 13'!E196-'Shift 14'!E191</f>
        <v>2805558.37</v>
      </c>
      <c r="F195" s="2">
        <f t="shared" si="4"/>
        <v>4127273.29</v>
      </c>
      <c r="G195" s="2">
        <f>'Shift 13'!M196-'Shift 14'!M191</f>
        <v>188449.37</v>
      </c>
      <c r="H195" s="3">
        <f t="shared" si="5"/>
        <v>4315722.66</v>
      </c>
    </row>
    <row r="196" spans="1:8" x14ac:dyDescent="0.2">
      <c r="A196" s="4">
        <v>671</v>
      </c>
      <c r="B196" s="4">
        <v>1</v>
      </c>
      <c r="C196" s="2" t="s">
        <v>1191</v>
      </c>
      <c r="D196" s="2">
        <f>'Shift 13'!D197-'Shift 14'!D192</f>
        <v>82029.649999999994</v>
      </c>
      <c r="E196" s="2">
        <f>'Shift 13'!E197-'Shift 14'!E192</f>
        <v>127088.64</v>
      </c>
      <c r="F196" s="2">
        <f t="shared" si="4"/>
        <v>209118.28999999998</v>
      </c>
      <c r="G196" s="2">
        <f>'Shift 13'!M197-'Shift 14'!M192</f>
        <v>10078.49</v>
      </c>
      <c r="H196" s="3">
        <f t="shared" si="5"/>
        <v>219196.77999999997</v>
      </c>
    </row>
    <row r="197" spans="1:8" x14ac:dyDescent="0.2">
      <c r="A197" s="4">
        <v>676</v>
      </c>
      <c r="B197" s="4">
        <v>1</v>
      </c>
      <c r="C197" s="2" t="s">
        <v>198</v>
      </c>
      <c r="D197" s="2">
        <f>'Shift 13'!D198-'Shift 14'!D193</f>
        <v>47666.22</v>
      </c>
      <c r="E197" s="2">
        <f>'Shift 13'!E198-'Shift 14'!E193</f>
        <v>15355.21</v>
      </c>
      <c r="F197" s="2">
        <f t="shared" ref="F197:F260" si="6">D197+E197</f>
        <v>63021.43</v>
      </c>
      <c r="G197" s="2">
        <f>'Shift 13'!M198-'Shift 14'!M193</f>
        <v>4873.12</v>
      </c>
      <c r="H197" s="3">
        <f t="shared" ref="H197:H260" si="7">SUM(F197:G197)</f>
        <v>67894.55</v>
      </c>
    </row>
    <row r="198" spans="1:8" x14ac:dyDescent="0.2">
      <c r="A198" s="4">
        <v>682</v>
      </c>
      <c r="B198" s="4">
        <v>1</v>
      </c>
      <c r="C198" s="2" t="s">
        <v>199</v>
      </c>
      <c r="D198" s="2">
        <f>'Shift 13'!D199-'Shift 14'!D194</f>
        <v>201333.27</v>
      </c>
      <c r="E198" s="2">
        <f>'Shift 13'!E199-'Shift 14'!E194</f>
        <v>154948.20000000001</v>
      </c>
      <c r="F198" s="2">
        <f t="shared" si="6"/>
        <v>356281.47</v>
      </c>
      <c r="G198" s="2">
        <f>'Shift 13'!M199-'Shift 14'!M194</f>
        <v>40938.699999999997</v>
      </c>
      <c r="H198" s="3">
        <f t="shared" si="7"/>
        <v>397220.17</v>
      </c>
    </row>
    <row r="199" spans="1:8" x14ac:dyDescent="0.2">
      <c r="A199" s="4">
        <v>690</v>
      </c>
      <c r="B199" s="4">
        <v>1</v>
      </c>
      <c r="C199" s="2" t="s">
        <v>200</v>
      </c>
      <c r="D199" s="2">
        <f>'Shift 13'!D200-'Shift 14'!D195</f>
        <v>246161.66</v>
      </c>
      <c r="E199" s="2">
        <f>'Shift 13'!E200-'Shift 14'!E195</f>
        <v>122685.71</v>
      </c>
      <c r="F199" s="2">
        <f t="shared" si="6"/>
        <v>368847.37</v>
      </c>
      <c r="G199" s="2">
        <f>'Shift 13'!M200-'Shift 14'!M195</f>
        <v>45598.95</v>
      </c>
      <c r="H199" s="3">
        <f t="shared" si="7"/>
        <v>414446.32</v>
      </c>
    </row>
    <row r="200" spans="1:8" x14ac:dyDescent="0.2">
      <c r="A200" s="4">
        <v>695</v>
      </c>
      <c r="B200" s="4">
        <v>1</v>
      </c>
      <c r="C200" s="2" t="s">
        <v>201</v>
      </c>
      <c r="D200" s="2">
        <f>'Shift 13'!D201-'Shift 14'!D196</f>
        <v>4796.3999999999996</v>
      </c>
      <c r="E200" s="2">
        <f>'Shift 13'!E201-'Shift 14'!E196</f>
        <v>157121.51</v>
      </c>
      <c r="F200" s="2">
        <f t="shared" si="6"/>
        <v>161917.91</v>
      </c>
      <c r="G200" s="2">
        <f>'Shift 13'!M201-'Shift 14'!M196</f>
        <v>0</v>
      </c>
      <c r="H200" s="3">
        <f t="shared" si="7"/>
        <v>161917.91</v>
      </c>
    </row>
    <row r="201" spans="1:8" x14ac:dyDescent="0.2">
      <c r="A201" s="4">
        <v>696</v>
      </c>
      <c r="B201" s="4">
        <v>1</v>
      </c>
      <c r="C201" s="2" t="s">
        <v>202</v>
      </c>
      <c r="D201" s="2">
        <f>'Shift 13'!D202-'Shift 14'!D197</f>
        <v>383323.96</v>
      </c>
      <c r="E201" s="2">
        <f>'Shift 13'!E202-'Shift 14'!E197</f>
        <v>207334.54</v>
      </c>
      <c r="F201" s="2">
        <f t="shared" si="6"/>
        <v>590658.5</v>
      </c>
      <c r="G201" s="2">
        <f>'Shift 13'!M202-'Shift 14'!M197</f>
        <v>0</v>
      </c>
      <c r="H201" s="3">
        <f t="shared" si="7"/>
        <v>590658.5</v>
      </c>
    </row>
    <row r="202" spans="1:8" x14ac:dyDescent="0.2">
      <c r="A202" s="4">
        <v>698</v>
      </c>
      <c r="B202" s="4">
        <v>1</v>
      </c>
      <c r="C202" s="2" t="s">
        <v>203</v>
      </c>
      <c r="D202" s="2">
        <f>'Shift 13'!D203-'Shift 14'!D198</f>
        <v>127792.21</v>
      </c>
      <c r="E202" s="2">
        <f>'Shift 13'!E203-'Shift 14'!E198</f>
        <v>0</v>
      </c>
      <c r="F202" s="2">
        <f t="shared" si="6"/>
        <v>127792.21</v>
      </c>
      <c r="G202" s="2">
        <f>'Shift 13'!M203-'Shift 14'!M198</f>
        <v>11272.92</v>
      </c>
      <c r="H202" s="3">
        <f t="shared" si="7"/>
        <v>139065.13</v>
      </c>
    </row>
    <row r="203" spans="1:8" x14ac:dyDescent="0.2">
      <c r="A203" s="4">
        <v>700</v>
      </c>
      <c r="B203" s="4">
        <v>1</v>
      </c>
      <c r="C203" s="2" t="s">
        <v>204</v>
      </c>
      <c r="D203" s="2">
        <f>'Shift 13'!D204-'Shift 14'!D199</f>
        <v>659151.23</v>
      </c>
      <c r="E203" s="2">
        <f>'Shift 13'!E204-'Shift 14'!E199</f>
        <v>0</v>
      </c>
      <c r="F203" s="2">
        <f t="shared" si="6"/>
        <v>659151.23</v>
      </c>
      <c r="G203" s="2">
        <f>'Shift 13'!M204-'Shift 14'!M199</f>
        <v>76549.67</v>
      </c>
      <c r="H203" s="3">
        <f t="shared" si="7"/>
        <v>735700.9</v>
      </c>
    </row>
    <row r="204" spans="1:8" x14ac:dyDescent="0.2">
      <c r="A204" s="4">
        <v>701</v>
      </c>
      <c r="B204" s="4">
        <v>1</v>
      </c>
      <c r="C204" s="2" t="s">
        <v>205</v>
      </c>
      <c r="D204" s="2">
        <f>'Shift 13'!D205-'Shift 14'!D200</f>
        <v>193431.55</v>
      </c>
      <c r="E204" s="2">
        <f>'Shift 13'!E205-'Shift 14'!E200</f>
        <v>482908.72</v>
      </c>
      <c r="F204" s="2">
        <f t="shared" si="6"/>
        <v>676340.27</v>
      </c>
      <c r="G204" s="2">
        <f>'Shift 13'!M205-'Shift 14'!M200</f>
        <v>0</v>
      </c>
      <c r="H204" s="3">
        <f t="shared" si="7"/>
        <v>676340.27</v>
      </c>
    </row>
    <row r="205" spans="1:8" x14ac:dyDescent="0.2">
      <c r="A205" s="4">
        <v>704</v>
      </c>
      <c r="B205" s="4">
        <v>1</v>
      </c>
      <c r="C205" s="2" t="s">
        <v>206</v>
      </c>
      <c r="D205" s="2">
        <f>'Shift 13'!D206-'Shift 14'!D201</f>
        <v>628816.1</v>
      </c>
      <c r="E205" s="2">
        <f>'Shift 13'!E206-'Shift 14'!E201</f>
        <v>0</v>
      </c>
      <c r="F205" s="2">
        <f t="shared" si="6"/>
        <v>628816.1</v>
      </c>
      <c r="G205" s="2">
        <f>'Shift 13'!M206-'Shift 14'!M201</f>
        <v>78377.86</v>
      </c>
      <c r="H205" s="3">
        <f t="shared" si="7"/>
        <v>707193.96</v>
      </c>
    </row>
    <row r="206" spans="1:8" x14ac:dyDescent="0.2">
      <c r="A206" s="4">
        <v>706</v>
      </c>
      <c r="B206" s="4">
        <v>1</v>
      </c>
      <c r="C206" s="2" t="s">
        <v>207</v>
      </c>
      <c r="D206" s="2">
        <f>'Shift 13'!D207-'Shift 14'!D202</f>
        <v>133856.01999999999</v>
      </c>
      <c r="E206" s="2">
        <f>'Shift 13'!E207-'Shift 14'!E202</f>
        <v>357040.55</v>
      </c>
      <c r="F206" s="2">
        <f t="shared" si="6"/>
        <v>490896.56999999995</v>
      </c>
      <c r="G206" s="2">
        <f>'Shift 13'!M207-'Shift 14'!M202</f>
        <v>0</v>
      </c>
      <c r="H206" s="3">
        <f t="shared" si="7"/>
        <v>490896.56999999995</v>
      </c>
    </row>
    <row r="207" spans="1:8" x14ac:dyDescent="0.2">
      <c r="A207" s="4">
        <v>707</v>
      </c>
      <c r="B207" s="4">
        <v>1</v>
      </c>
      <c r="C207" s="2" t="s">
        <v>208</v>
      </c>
      <c r="D207" s="2">
        <f>'Shift 13'!D208-'Shift 14'!D203</f>
        <v>13702.37</v>
      </c>
      <c r="E207" s="2">
        <f>'Shift 13'!E208-'Shift 14'!E203</f>
        <v>219.61</v>
      </c>
      <c r="F207" s="2">
        <f t="shared" si="6"/>
        <v>13921.980000000001</v>
      </c>
      <c r="G207" s="2">
        <f>'Shift 13'!M208-'Shift 14'!M203</f>
        <v>844.22</v>
      </c>
      <c r="H207" s="3">
        <f t="shared" si="7"/>
        <v>14766.2</v>
      </c>
    </row>
    <row r="208" spans="1:8" x14ac:dyDescent="0.2">
      <c r="A208" s="4">
        <v>709</v>
      </c>
      <c r="B208" s="4">
        <v>1</v>
      </c>
      <c r="C208" s="2" t="s">
        <v>209</v>
      </c>
      <c r="D208" s="2">
        <f>'Shift 13'!D209-'Shift 14'!D204</f>
        <v>2593306.69</v>
      </c>
      <c r="E208" s="2">
        <f>'Shift 13'!E209-'Shift 14'!E204</f>
        <v>1554849.94</v>
      </c>
      <c r="F208" s="2">
        <f t="shared" si="6"/>
        <v>4148156.63</v>
      </c>
      <c r="G208" s="2">
        <f>'Shift 13'!M209-'Shift 14'!M204</f>
        <v>534944.71</v>
      </c>
      <c r="H208" s="3">
        <f t="shared" si="7"/>
        <v>4683101.34</v>
      </c>
    </row>
    <row r="209" spans="1:8" x14ac:dyDescent="0.2">
      <c r="A209" s="4">
        <v>712</v>
      </c>
      <c r="B209" s="4">
        <v>1</v>
      </c>
      <c r="C209" s="2" t="s">
        <v>1192</v>
      </c>
      <c r="D209" s="2">
        <f>'Shift 13'!D210-'Shift 14'!D205</f>
        <v>0</v>
      </c>
      <c r="E209" s="2">
        <f>'Shift 13'!E210-'Shift 14'!E205</f>
        <v>119425.97</v>
      </c>
      <c r="F209" s="2">
        <f t="shared" si="6"/>
        <v>119425.97</v>
      </c>
      <c r="G209" s="2">
        <f>'Shift 13'!M210-'Shift 14'!M205</f>
        <v>0</v>
      </c>
      <c r="H209" s="3">
        <f t="shared" si="7"/>
        <v>119425.97</v>
      </c>
    </row>
    <row r="210" spans="1:8" x14ac:dyDescent="0.2">
      <c r="A210" s="4">
        <v>716</v>
      </c>
      <c r="B210" s="4">
        <v>1</v>
      </c>
      <c r="C210" s="2" t="s">
        <v>211</v>
      </c>
      <c r="D210" s="2">
        <f>'Shift 13'!D211-'Shift 14'!D206</f>
        <v>352152.28</v>
      </c>
      <c r="E210" s="2">
        <f>'Shift 13'!E211-'Shift 14'!E206</f>
        <v>144915.67000000001</v>
      </c>
      <c r="F210" s="2">
        <f t="shared" si="6"/>
        <v>497067.95000000007</v>
      </c>
      <c r="G210" s="2">
        <f>'Shift 13'!M211-'Shift 14'!M206</f>
        <v>57298.91</v>
      </c>
      <c r="H210" s="3">
        <f t="shared" si="7"/>
        <v>554366.8600000001</v>
      </c>
    </row>
    <row r="211" spans="1:8" x14ac:dyDescent="0.2">
      <c r="A211" s="4">
        <v>717</v>
      </c>
      <c r="B211" s="4">
        <v>1</v>
      </c>
      <c r="C211" s="2" t="s">
        <v>212</v>
      </c>
      <c r="D211" s="2">
        <f>'Shift 13'!D212-'Shift 14'!D207</f>
        <v>396404.43</v>
      </c>
      <c r="E211" s="2">
        <f>'Shift 13'!E212-'Shift 14'!E207</f>
        <v>412008.01</v>
      </c>
      <c r="F211" s="2">
        <f t="shared" si="6"/>
        <v>808412.44</v>
      </c>
      <c r="G211" s="2">
        <f>'Shift 13'!M212-'Shift 14'!M207</f>
        <v>61224.34</v>
      </c>
      <c r="H211" s="3">
        <f t="shared" si="7"/>
        <v>869636.77999999991</v>
      </c>
    </row>
    <row r="212" spans="1:8" x14ac:dyDescent="0.2">
      <c r="A212" s="4">
        <v>719</v>
      </c>
      <c r="B212" s="4">
        <v>1</v>
      </c>
      <c r="C212" s="2" t="s">
        <v>1193</v>
      </c>
      <c r="D212" s="2">
        <f>'Shift 13'!D213-'Shift 14'!D208</f>
        <v>1636780.13</v>
      </c>
      <c r="E212" s="2">
        <f>'Shift 13'!E213-'Shift 14'!E208</f>
        <v>3354197.02</v>
      </c>
      <c r="F212" s="2">
        <f t="shared" si="6"/>
        <v>4990977.1500000004</v>
      </c>
      <c r="G212" s="2">
        <f>'Shift 13'!M213-'Shift 14'!M208</f>
        <v>284738.65000000002</v>
      </c>
      <c r="H212" s="3">
        <f t="shared" si="7"/>
        <v>5275715.8000000007</v>
      </c>
    </row>
    <row r="213" spans="1:8" x14ac:dyDescent="0.2">
      <c r="A213" s="4">
        <v>720</v>
      </c>
      <c r="B213" s="4">
        <v>1</v>
      </c>
      <c r="C213" s="2" t="s">
        <v>213</v>
      </c>
      <c r="D213" s="2">
        <f>'Shift 13'!D214-'Shift 14'!D209</f>
        <v>2138403.29</v>
      </c>
      <c r="E213" s="2">
        <f>'Shift 13'!E214-'Shift 14'!E209</f>
        <v>1457602.32</v>
      </c>
      <c r="F213" s="2">
        <f t="shared" si="6"/>
        <v>3596005.6100000003</v>
      </c>
      <c r="G213" s="2">
        <f>'Shift 13'!M214-'Shift 14'!M209</f>
        <v>245615.65</v>
      </c>
      <c r="H213" s="3">
        <f t="shared" si="7"/>
        <v>3841621.2600000002</v>
      </c>
    </row>
    <row r="214" spans="1:8" x14ac:dyDescent="0.2">
      <c r="A214" s="4">
        <v>721</v>
      </c>
      <c r="B214" s="4">
        <v>1</v>
      </c>
      <c r="C214" s="2" t="s">
        <v>214</v>
      </c>
      <c r="D214" s="2">
        <f>'Shift 13'!D215-'Shift 14'!D210</f>
        <v>722064.65</v>
      </c>
      <c r="E214" s="2">
        <f>'Shift 13'!E215-'Shift 14'!E210</f>
        <v>1330693.5900000001</v>
      </c>
      <c r="F214" s="2">
        <f t="shared" si="6"/>
        <v>2052758.2400000002</v>
      </c>
      <c r="G214" s="2">
        <f>'Shift 13'!M215-'Shift 14'!M210</f>
        <v>106466.08</v>
      </c>
      <c r="H214" s="3">
        <f t="shared" si="7"/>
        <v>2159224.3200000003</v>
      </c>
    </row>
    <row r="215" spans="1:8" x14ac:dyDescent="0.2">
      <c r="A215" s="4">
        <v>726</v>
      </c>
      <c r="B215" s="4">
        <v>1</v>
      </c>
      <c r="C215" s="2" t="s">
        <v>215</v>
      </c>
      <c r="D215" s="2">
        <f>'Shift 13'!D216-'Shift 14'!D211</f>
        <v>783766.67</v>
      </c>
      <c r="E215" s="2">
        <f>'Shift 13'!E216-'Shift 14'!E211</f>
        <v>264598.42</v>
      </c>
      <c r="F215" s="2">
        <f t="shared" si="6"/>
        <v>1048365.0900000001</v>
      </c>
      <c r="G215" s="2">
        <f>'Shift 13'!M216-'Shift 14'!M211</f>
        <v>99741.53</v>
      </c>
      <c r="H215" s="3">
        <f t="shared" si="7"/>
        <v>1148106.6200000001</v>
      </c>
    </row>
    <row r="216" spans="1:8" x14ac:dyDescent="0.2">
      <c r="A216" s="4">
        <v>727</v>
      </c>
      <c r="B216" s="4">
        <v>1</v>
      </c>
      <c r="C216" s="2" t="s">
        <v>216</v>
      </c>
      <c r="D216" s="2">
        <f>'Shift 13'!D217-'Shift 14'!D212</f>
        <v>544401.19999999995</v>
      </c>
      <c r="E216" s="2">
        <f>'Shift 13'!E217-'Shift 14'!E212</f>
        <v>493272.73</v>
      </c>
      <c r="F216" s="2">
        <f t="shared" si="6"/>
        <v>1037673.9299999999</v>
      </c>
      <c r="G216" s="2">
        <f>'Shift 13'!M217-'Shift 14'!M212</f>
        <v>117395.96</v>
      </c>
      <c r="H216" s="3">
        <f t="shared" si="7"/>
        <v>1155069.8899999999</v>
      </c>
    </row>
    <row r="217" spans="1:8" x14ac:dyDescent="0.2">
      <c r="A217" s="4">
        <v>728</v>
      </c>
      <c r="B217" s="4">
        <v>1</v>
      </c>
      <c r="C217" s="2" t="s">
        <v>217</v>
      </c>
      <c r="D217" s="2">
        <f>'Shift 13'!D218-'Shift 14'!D213</f>
        <v>4822840.21</v>
      </c>
      <c r="E217" s="2">
        <f>'Shift 13'!E218-'Shift 14'!E213</f>
        <v>2543416.0699999998</v>
      </c>
      <c r="F217" s="2">
        <f t="shared" si="6"/>
        <v>7366256.2799999993</v>
      </c>
      <c r="G217" s="2">
        <f>'Shift 13'!M218-'Shift 14'!M213</f>
        <v>419742.25</v>
      </c>
      <c r="H217" s="3">
        <f t="shared" si="7"/>
        <v>7785998.5299999993</v>
      </c>
    </row>
    <row r="218" spans="1:8" x14ac:dyDescent="0.2">
      <c r="A218" s="4">
        <v>738</v>
      </c>
      <c r="B218" s="4">
        <v>1</v>
      </c>
      <c r="C218" s="2" t="s">
        <v>218</v>
      </c>
      <c r="D218" s="2">
        <f>'Shift 13'!D219-'Shift 14'!D214</f>
        <v>61191.97</v>
      </c>
      <c r="E218" s="2">
        <f>'Shift 13'!E219-'Shift 14'!E214</f>
        <v>115960.21</v>
      </c>
      <c r="F218" s="2">
        <f t="shared" si="6"/>
        <v>177152.18</v>
      </c>
      <c r="G218" s="2">
        <f>'Shift 13'!M219-'Shift 14'!M214</f>
        <v>24523.86</v>
      </c>
      <c r="H218" s="3">
        <f t="shared" si="7"/>
        <v>201676.03999999998</v>
      </c>
    </row>
    <row r="219" spans="1:8" x14ac:dyDescent="0.2">
      <c r="A219" s="4">
        <v>739</v>
      </c>
      <c r="B219" s="4">
        <v>1</v>
      </c>
      <c r="C219" s="2" t="s">
        <v>219</v>
      </c>
      <c r="D219" s="2">
        <f>'Shift 13'!D220-'Shift 14'!D215</f>
        <v>142575.32</v>
      </c>
      <c r="E219" s="2">
        <f>'Shift 13'!E220-'Shift 14'!E215</f>
        <v>261985.81</v>
      </c>
      <c r="F219" s="2">
        <f t="shared" si="6"/>
        <v>404561.13</v>
      </c>
      <c r="G219" s="2">
        <f>'Shift 13'!M220-'Shift 14'!M215</f>
        <v>31576.48</v>
      </c>
      <c r="H219" s="3">
        <f t="shared" si="7"/>
        <v>436137.61</v>
      </c>
    </row>
    <row r="220" spans="1:8" x14ac:dyDescent="0.2">
      <c r="A220" s="4">
        <v>740</v>
      </c>
      <c r="B220" s="4">
        <v>1</v>
      </c>
      <c r="C220" s="2" t="s">
        <v>220</v>
      </c>
      <c r="D220" s="2">
        <f>'Shift 13'!D221-'Shift 14'!D216</f>
        <v>258058.13</v>
      </c>
      <c r="E220" s="2">
        <f>'Shift 13'!E221-'Shift 14'!E216</f>
        <v>298130.83</v>
      </c>
      <c r="F220" s="2">
        <f t="shared" si="6"/>
        <v>556188.96</v>
      </c>
      <c r="G220" s="2">
        <f>'Shift 13'!M221-'Shift 14'!M216</f>
        <v>47129.42</v>
      </c>
      <c r="H220" s="3">
        <f t="shared" si="7"/>
        <v>603318.38</v>
      </c>
    </row>
    <row r="221" spans="1:8" x14ac:dyDescent="0.2">
      <c r="A221" s="4">
        <v>741</v>
      </c>
      <c r="B221" s="4">
        <v>1</v>
      </c>
      <c r="C221" s="2" t="s">
        <v>221</v>
      </c>
      <c r="D221" s="2">
        <f>'Shift 13'!D222-'Shift 14'!D217</f>
        <v>282835.07</v>
      </c>
      <c r="E221" s="2">
        <f>'Shift 13'!E222-'Shift 14'!E217</f>
        <v>258972.57</v>
      </c>
      <c r="F221" s="2">
        <f t="shared" si="6"/>
        <v>541807.64</v>
      </c>
      <c r="G221" s="2">
        <f>'Shift 13'!M222-'Shift 14'!M217</f>
        <v>39129.9</v>
      </c>
      <c r="H221" s="3">
        <f t="shared" si="7"/>
        <v>580937.54</v>
      </c>
    </row>
    <row r="222" spans="1:8" x14ac:dyDescent="0.2">
      <c r="A222" s="4">
        <v>742</v>
      </c>
      <c r="B222" s="4">
        <v>1</v>
      </c>
      <c r="C222" s="2" t="s">
        <v>222</v>
      </c>
      <c r="D222" s="2">
        <f>'Shift 13'!D223-'Shift 14'!D218</f>
        <v>4455428.09</v>
      </c>
      <c r="E222" s="2">
        <f>'Shift 13'!E223-'Shift 14'!E218</f>
        <v>2237003.9700000002</v>
      </c>
      <c r="F222" s="2">
        <f t="shared" si="6"/>
        <v>6692432.0600000005</v>
      </c>
      <c r="G222" s="2">
        <f>'Shift 13'!M223-'Shift 14'!M218</f>
        <v>611738.11</v>
      </c>
      <c r="H222" s="3">
        <f t="shared" si="7"/>
        <v>7304170.1700000009</v>
      </c>
    </row>
    <row r="223" spans="1:8" x14ac:dyDescent="0.2">
      <c r="A223" s="4">
        <v>743</v>
      </c>
      <c r="B223" s="4">
        <v>1</v>
      </c>
      <c r="C223" s="2" t="s">
        <v>223</v>
      </c>
      <c r="D223" s="2">
        <f>'Shift 13'!D224-'Shift 14'!D219</f>
        <v>78541.11</v>
      </c>
      <c r="E223" s="2">
        <f>'Shift 13'!E224-'Shift 14'!E219</f>
        <v>530397.63</v>
      </c>
      <c r="F223" s="2">
        <f t="shared" si="6"/>
        <v>608938.74</v>
      </c>
      <c r="G223" s="2">
        <f>'Shift 13'!M224-'Shift 14'!M219</f>
        <v>44384.3</v>
      </c>
      <c r="H223" s="3">
        <f t="shared" si="7"/>
        <v>653323.04</v>
      </c>
    </row>
    <row r="224" spans="1:8" x14ac:dyDescent="0.2">
      <c r="A224" s="4">
        <v>745</v>
      </c>
      <c r="B224" s="4">
        <v>1</v>
      </c>
      <c r="C224" s="2" t="s">
        <v>224</v>
      </c>
      <c r="D224" s="2">
        <f>'Shift 13'!D225-'Shift 14'!D220</f>
        <v>232647.25</v>
      </c>
      <c r="E224" s="2">
        <f>'Shift 13'!E225-'Shift 14'!E220</f>
        <v>191950.49</v>
      </c>
      <c r="F224" s="2">
        <f t="shared" si="6"/>
        <v>424597.74</v>
      </c>
      <c r="G224" s="2">
        <f>'Shift 13'!M225-'Shift 14'!M220</f>
        <v>55191.69</v>
      </c>
      <c r="H224" s="3">
        <f t="shared" si="7"/>
        <v>479789.43</v>
      </c>
    </row>
    <row r="225" spans="1:8" x14ac:dyDescent="0.2">
      <c r="A225" s="4">
        <v>748</v>
      </c>
      <c r="B225" s="4">
        <v>1</v>
      </c>
      <c r="C225" s="2" t="s">
        <v>1194</v>
      </c>
      <c r="D225" s="2">
        <f>'Shift 13'!D226-'Shift 14'!D221</f>
        <v>484122.76</v>
      </c>
      <c r="E225" s="2">
        <f>'Shift 13'!E226-'Shift 14'!E221</f>
        <v>823717.35</v>
      </c>
      <c r="F225" s="2">
        <f t="shared" si="6"/>
        <v>1307840.1099999999</v>
      </c>
      <c r="G225" s="2">
        <f>'Shift 13'!M226-'Shift 14'!M221</f>
        <v>92948.47</v>
      </c>
      <c r="H225" s="3">
        <f t="shared" si="7"/>
        <v>1400788.5799999998</v>
      </c>
    </row>
    <row r="226" spans="1:8" x14ac:dyDescent="0.2">
      <c r="A226" s="4">
        <v>750</v>
      </c>
      <c r="B226" s="4">
        <v>1</v>
      </c>
      <c r="C226" s="2" t="s">
        <v>226</v>
      </c>
      <c r="D226" s="2">
        <f>'Shift 13'!D227-'Shift 14'!D222</f>
        <v>509792.63</v>
      </c>
      <c r="E226" s="2">
        <f>'Shift 13'!E227-'Shift 14'!E222</f>
        <v>275704.06</v>
      </c>
      <c r="F226" s="2">
        <f t="shared" si="6"/>
        <v>785496.69</v>
      </c>
      <c r="G226" s="2">
        <f>'Shift 13'!M227-'Shift 14'!M222</f>
        <v>66307.44</v>
      </c>
      <c r="H226" s="3">
        <f t="shared" si="7"/>
        <v>851804.12999999989</v>
      </c>
    </row>
    <row r="227" spans="1:8" x14ac:dyDescent="0.2">
      <c r="A227" s="4">
        <v>756</v>
      </c>
      <c r="B227" s="4">
        <v>1</v>
      </c>
      <c r="C227" s="2" t="s">
        <v>227</v>
      </c>
      <c r="D227" s="2">
        <f>'Shift 13'!D228-'Shift 14'!D223</f>
        <v>139436.95000000001</v>
      </c>
      <c r="E227" s="2">
        <f>'Shift 13'!E228-'Shift 14'!E223</f>
        <v>117397.53</v>
      </c>
      <c r="F227" s="2">
        <f t="shared" si="6"/>
        <v>256834.48</v>
      </c>
      <c r="G227" s="2">
        <f>'Shift 13'!M228-'Shift 14'!M223</f>
        <v>22790.48</v>
      </c>
      <c r="H227" s="3">
        <f t="shared" si="7"/>
        <v>279624.96000000002</v>
      </c>
    </row>
    <row r="228" spans="1:8" x14ac:dyDescent="0.2">
      <c r="A228" s="4">
        <v>761</v>
      </c>
      <c r="B228" s="4">
        <v>1</v>
      </c>
      <c r="C228" s="2" t="s">
        <v>228</v>
      </c>
      <c r="D228" s="2">
        <f>'Shift 13'!D229-'Shift 14'!D224</f>
        <v>1174813.07</v>
      </c>
      <c r="E228" s="2">
        <f>'Shift 13'!E229-'Shift 14'!E224</f>
        <v>975501.74</v>
      </c>
      <c r="F228" s="2">
        <f t="shared" si="6"/>
        <v>2150314.81</v>
      </c>
      <c r="G228" s="2">
        <f>'Shift 13'!M229-'Shift 14'!M224</f>
        <v>154826.96</v>
      </c>
      <c r="H228" s="3">
        <f t="shared" si="7"/>
        <v>2305141.77</v>
      </c>
    </row>
    <row r="229" spans="1:8" x14ac:dyDescent="0.2">
      <c r="A229" s="4">
        <v>763</v>
      </c>
      <c r="B229" s="4">
        <v>1</v>
      </c>
      <c r="C229" s="2" t="s">
        <v>229</v>
      </c>
      <c r="D229" s="2">
        <f>'Shift 13'!D230-'Shift 14'!D225</f>
        <v>98751.66</v>
      </c>
      <c r="E229" s="2">
        <f>'Shift 13'!E230-'Shift 14'!E225</f>
        <v>0</v>
      </c>
      <c r="F229" s="2">
        <f t="shared" si="6"/>
        <v>98751.66</v>
      </c>
      <c r="G229" s="2">
        <f>'Shift 13'!M230-'Shift 14'!M225</f>
        <v>17842.03</v>
      </c>
      <c r="H229" s="3">
        <f t="shared" si="7"/>
        <v>116593.69</v>
      </c>
    </row>
    <row r="230" spans="1:8" x14ac:dyDescent="0.2">
      <c r="A230" s="4">
        <v>768</v>
      </c>
      <c r="B230" s="4">
        <v>1</v>
      </c>
      <c r="C230" s="2" t="s">
        <v>230</v>
      </c>
      <c r="D230" s="2">
        <f>'Shift 13'!D231-'Shift 14'!D226</f>
        <v>39830.269999999997</v>
      </c>
      <c r="E230" s="2">
        <f>'Shift 13'!E231-'Shift 14'!E226</f>
        <v>57700.34</v>
      </c>
      <c r="F230" s="2">
        <f t="shared" si="6"/>
        <v>97530.609999999986</v>
      </c>
      <c r="G230" s="2">
        <f>'Shift 13'!M231-'Shift 14'!M226</f>
        <v>7666.06</v>
      </c>
      <c r="H230" s="3">
        <f t="shared" si="7"/>
        <v>105196.66999999998</v>
      </c>
    </row>
    <row r="231" spans="1:8" x14ac:dyDescent="0.2">
      <c r="A231" s="4">
        <v>771</v>
      </c>
      <c r="B231" s="4">
        <v>1</v>
      </c>
      <c r="C231" s="2" t="s">
        <v>232</v>
      </c>
      <c r="D231" s="2">
        <f>'Shift 13'!D232-'Shift 14'!D227</f>
        <v>32811.24</v>
      </c>
      <c r="E231" s="2">
        <f>'Shift 13'!E232-'Shift 14'!E227</f>
        <v>107840.82</v>
      </c>
      <c r="F231" s="2">
        <f t="shared" si="6"/>
        <v>140652.06</v>
      </c>
      <c r="G231" s="2">
        <f>'Shift 13'!M232-'Shift 14'!M227</f>
        <v>12041.86</v>
      </c>
      <c r="H231" s="3">
        <f t="shared" si="7"/>
        <v>152693.91999999998</v>
      </c>
    </row>
    <row r="232" spans="1:8" x14ac:dyDescent="0.2">
      <c r="A232" s="4">
        <v>775</v>
      </c>
      <c r="B232" s="4">
        <v>1</v>
      </c>
      <c r="C232" s="2" t="s">
        <v>1195</v>
      </c>
      <c r="D232" s="2">
        <f>'Shift 13'!D233-'Shift 14'!D228</f>
        <v>118588.93</v>
      </c>
      <c r="E232" s="2">
        <f>'Shift 13'!E233-'Shift 14'!E228</f>
        <v>42668.68</v>
      </c>
      <c r="F232" s="2">
        <f t="shared" si="6"/>
        <v>161257.60999999999</v>
      </c>
      <c r="G232" s="2">
        <f>'Shift 13'!M233-'Shift 14'!M228</f>
        <v>22400.23</v>
      </c>
      <c r="H232" s="3">
        <f t="shared" si="7"/>
        <v>183657.84</v>
      </c>
    </row>
    <row r="233" spans="1:8" x14ac:dyDescent="0.2">
      <c r="A233" s="4">
        <v>777</v>
      </c>
      <c r="B233" s="4">
        <v>1</v>
      </c>
      <c r="C233" s="2" t="s">
        <v>234</v>
      </c>
      <c r="D233" s="2">
        <f>'Shift 13'!D234-'Shift 14'!D229</f>
        <v>201127.85</v>
      </c>
      <c r="E233" s="2">
        <f>'Shift 13'!E234-'Shift 14'!E229</f>
        <v>149253.82999999999</v>
      </c>
      <c r="F233" s="2">
        <f t="shared" si="6"/>
        <v>350381.68</v>
      </c>
      <c r="G233" s="2">
        <f>'Shift 13'!M234-'Shift 14'!M229</f>
        <v>30735.13</v>
      </c>
      <c r="H233" s="3">
        <f t="shared" si="7"/>
        <v>381116.81</v>
      </c>
    </row>
    <row r="234" spans="1:8" x14ac:dyDescent="0.2">
      <c r="A234" s="4">
        <v>786</v>
      </c>
      <c r="B234" s="4">
        <v>1</v>
      </c>
      <c r="C234" s="2" t="s">
        <v>235</v>
      </c>
      <c r="D234" s="2">
        <f>'Shift 13'!D235-'Shift 14'!D230</f>
        <v>52110.49</v>
      </c>
      <c r="E234" s="2">
        <f>'Shift 13'!E235-'Shift 14'!E230</f>
        <v>47380.65</v>
      </c>
      <c r="F234" s="2">
        <f t="shared" si="6"/>
        <v>99491.14</v>
      </c>
      <c r="G234" s="2">
        <f>'Shift 13'!M235-'Shift 14'!M230</f>
        <v>9465.82</v>
      </c>
      <c r="H234" s="3">
        <f t="shared" si="7"/>
        <v>108956.95999999999</v>
      </c>
    </row>
    <row r="235" spans="1:8" x14ac:dyDescent="0.2">
      <c r="A235" s="4">
        <v>787</v>
      </c>
      <c r="B235" s="4">
        <v>1</v>
      </c>
      <c r="C235" s="2" t="s">
        <v>236</v>
      </c>
      <c r="D235" s="2">
        <f>'Shift 13'!D236-'Shift 14'!D231</f>
        <v>49862.41</v>
      </c>
      <c r="E235" s="2">
        <f>'Shift 13'!E236-'Shift 14'!E231</f>
        <v>0</v>
      </c>
      <c r="F235" s="2">
        <f t="shared" si="6"/>
        <v>49862.41</v>
      </c>
      <c r="G235" s="2">
        <f>'Shift 13'!M236-'Shift 14'!M231</f>
        <v>8156.05</v>
      </c>
      <c r="H235" s="3">
        <f t="shared" si="7"/>
        <v>58018.460000000006</v>
      </c>
    </row>
    <row r="236" spans="1:8" x14ac:dyDescent="0.2">
      <c r="A236" s="4">
        <v>801</v>
      </c>
      <c r="B236" s="4">
        <v>1</v>
      </c>
      <c r="C236" s="2" t="s">
        <v>237</v>
      </c>
      <c r="D236" s="2">
        <f>'Shift 13'!D237-'Shift 14'!D232</f>
        <v>18943.86</v>
      </c>
      <c r="E236" s="2">
        <f>'Shift 13'!E237-'Shift 14'!E232</f>
        <v>0</v>
      </c>
      <c r="F236" s="2">
        <f t="shared" si="6"/>
        <v>18943.86</v>
      </c>
      <c r="G236" s="2">
        <f>'Shift 13'!M237-'Shift 14'!M232</f>
        <v>6561.97</v>
      </c>
      <c r="H236" s="3">
        <f t="shared" si="7"/>
        <v>25505.83</v>
      </c>
    </row>
    <row r="237" spans="1:8" x14ac:dyDescent="0.2">
      <c r="A237" s="4">
        <v>803</v>
      </c>
      <c r="B237" s="4">
        <v>1</v>
      </c>
      <c r="C237" s="2" t="s">
        <v>238</v>
      </c>
      <c r="D237" s="2">
        <f>'Shift 13'!D238-'Shift 14'!D233</f>
        <v>87352.67</v>
      </c>
      <c r="E237" s="2">
        <f>'Shift 13'!E238-'Shift 14'!E233</f>
        <v>113450.7</v>
      </c>
      <c r="F237" s="2">
        <f t="shared" si="6"/>
        <v>200803.37</v>
      </c>
      <c r="G237" s="2">
        <f>'Shift 13'!M238-'Shift 14'!M233</f>
        <v>14512.45</v>
      </c>
      <c r="H237" s="3">
        <f t="shared" si="7"/>
        <v>215315.82</v>
      </c>
    </row>
    <row r="238" spans="1:8" x14ac:dyDescent="0.2">
      <c r="A238" s="4">
        <v>811</v>
      </c>
      <c r="B238" s="4">
        <v>1</v>
      </c>
      <c r="C238" s="2" t="s">
        <v>239</v>
      </c>
      <c r="D238" s="2">
        <f>'Shift 13'!D239-'Shift 14'!D234</f>
        <v>82545.710000000006</v>
      </c>
      <c r="E238" s="2">
        <f>'Shift 13'!E239-'Shift 14'!E234</f>
        <v>273752.74</v>
      </c>
      <c r="F238" s="2">
        <f t="shared" si="6"/>
        <v>356298.45</v>
      </c>
      <c r="G238" s="2">
        <f>'Shift 13'!M239-'Shift 14'!M234</f>
        <v>34670.269999999997</v>
      </c>
      <c r="H238" s="3">
        <f t="shared" si="7"/>
        <v>390968.72000000003</v>
      </c>
    </row>
    <row r="239" spans="1:8" x14ac:dyDescent="0.2">
      <c r="A239" s="4">
        <v>813</v>
      </c>
      <c r="B239" s="4">
        <v>1</v>
      </c>
      <c r="C239" s="2" t="s">
        <v>240</v>
      </c>
      <c r="D239" s="2">
        <f>'Shift 13'!D240-'Shift 14'!D235</f>
        <v>174591.87</v>
      </c>
      <c r="E239" s="2">
        <f>'Shift 13'!E240-'Shift 14'!E235</f>
        <v>583230.62</v>
      </c>
      <c r="F239" s="2">
        <f t="shared" si="6"/>
        <v>757822.49</v>
      </c>
      <c r="G239" s="2">
        <f>'Shift 13'!M240-'Shift 14'!M235</f>
        <v>73351.009999999995</v>
      </c>
      <c r="H239" s="3">
        <f t="shared" si="7"/>
        <v>831173.5</v>
      </c>
    </row>
    <row r="240" spans="1:8" x14ac:dyDescent="0.2">
      <c r="A240" s="4">
        <v>815</v>
      </c>
      <c r="B240" s="4">
        <v>2</v>
      </c>
      <c r="C240" s="2" t="s">
        <v>241</v>
      </c>
      <c r="D240" s="2">
        <f>'Shift 13'!D241-'Shift 14'!D236</f>
        <v>1350.73</v>
      </c>
      <c r="E240" s="2">
        <f>'Shift 13'!E241-'Shift 14'!E236</f>
        <v>0</v>
      </c>
      <c r="F240" s="2">
        <f t="shared" si="6"/>
        <v>1350.73</v>
      </c>
      <c r="G240" s="2">
        <f>'Shift 13'!M241-'Shift 14'!M236</f>
        <v>3516.55</v>
      </c>
      <c r="H240" s="3">
        <f t="shared" si="7"/>
        <v>4867.2800000000007</v>
      </c>
    </row>
    <row r="241" spans="1:8" x14ac:dyDescent="0.2">
      <c r="A241" s="4">
        <v>818</v>
      </c>
      <c r="B241" s="4">
        <v>1</v>
      </c>
      <c r="C241" s="2" t="s">
        <v>242</v>
      </c>
      <c r="D241" s="2">
        <f>'Shift 13'!D242-'Shift 14'!D237</f>
        <v>57527.11</v>
      </c>
      <c r="E241" s="2">
        <f>'Shift 13'!E242-'Shift 14'!E237</f>
        <v>0</v>
      </c>
      <c r="F241" s="2">
        <f t="shared" si="6"/>
        <v>57527.11</v>
      </c>
      <c r="G241" s="2">
        <f>'Shift 13'!M242-'Shift 14'!M237</f>
        <v>8348.99</v>
      </c>
      <c r="H241" s="3">
        <f t="shared" si="7"/>
        <v>65876.100000000006</v>
      </c>
    </row>
    <row r="242" spans="1:8" x14ac:dyDescent="0.2">
      <c r="A242" s="4">
        <v>820</v>
      </c>
      <c r="B242" s="4">
        <v>1</v>
      </c>
      <c r="C242" s="2" t="s">
        <v>243</v>
      </c>
      <c r="D242" s="2">
        <f>'Shift 13'!D243-'Shift 14'!D238</f>
        <v>73864.53</v>
      </c>
      <c r="E242" s="2">
        <f>'Shift 13'!E243-'Shift 14'!E238</f>
        <v>82965.33</v>
      </c>
      <c r="F242" s="2">
        <f t="shared" si="6"/>
        <v>156829.85999999999</v>
      </c>
      <c r="G242" s="2">
        <f>'Shift 13'!M243-'Shift 14'!M238</f>
        <v>15467.45</v>
      </c>
      <c r="H242" s="3">
        <f t="shared" si="7"/>
        <v>172297.31</v>
      </c>
    </row>
    <row r="243" spans="1:8" x14ac:dyDescent="0.2">
      <c r="A243" s="4">
        <v>821</v>
      </c>
      <c r="B243" s="4">
        <v>1</v>
      </c>
      <c r="C243" s="2" t="s">
        <v>244</v>
      </c>
      <c r="D243" s="2">
        <f>'Shift 13'!D244-'Shift 14'!D239</f>
        <v>161580.82</v>
      </c>
      <c r="E243" s="2">
        <f>'Shift 13'!E244-'Shift 14'!E239</f>
        <v>0</v>
      </c>
      <c r="F243" s="2">
        <f t="shared" si="6"/>
        <v>161580.82</v>
      </c>
      <c r="G243" s="2">
        <f>'Shift 13'!M244-'Shift 14'!M239</f>
        <v>21021.439999999999</v>
      </c>
      <c r="H243" s="3">
        <f t="shared" si="7"/>
        <v>182602.26</v>
      </c>
    </row>
    <row r="244" spans="1:8" x14ac:dyDescent="0.2">
      <c r="A244" s="4">
        <v>829</v>
      </c>
      <c r="B244" s="4">
        <v>1</v>
      </c>
      <c r="C244" s="2" t="s">
        <v>245</v>
      </c>
      <c r="D244" s="2">
        <f>'Shift 13'!D245-'Shift 14'!D240</f>
        <v>340907.1</v>
      </c>
      <c r="E244" s="2">
        <f>'Shift 13'!E245-'Shift 14'!E240</f>
        <v>388722.41</v>
      </c>
      <c r="F244" s="2">
        <f t="shared" si="6"/>
        <v>729629.51</v>
      </c>
      <c r="G244" s="2">
        <f>'Shift 13'!M245-'Shift 14'!M240</f>
        <v>79722.95</v>
      </c>
      <c r="H244" s="3">
        <f t="shared" si="7"/>
        <v>809352.46</v>
      </c>
    </row>
    <row r="245" spans="1:8" x14ac:dyDescent="0.2">
      <c r="A245" s="4">
        <v>831</v>
      </c>
      <c r="B245" s="4">
        <v>1</v>
      </c>
      <c r="C245" s="2" t="s">
        <v>246</v>
      </c>
      <c r="D245" s="2">
        <f>'Shift 13'!D246-'Shift 14'!D241</f>
        <v>2340685.06</v>
      </c>
      <c r="E245" s="2">
        <f>'Shift 13'!E246-'Shift 14'!E241</f>
        <v>2697948.73</v>
      </c>
      <c r="F245" s="2">
        <f t="shared" si="6"/>
        <v>5038633.79</v>
      </c>
      <c r="G245" s="2">
        <f>'Shift 13'!M246-'Shift 14'!M241</f>
        <v>429342.12</v>
      </c>
      <c r="H245" s="3">
        <f t="shared" si="7"/>
        <v>5467975.9100000001</v>
      </c>
    </row>
    <row r="246" spans="1:8" x14ac:dyDescent="0.2">
      <c r="A246" s="4">
        <v>832</v>
      </c>
      <c r="B246" s="4">
        <v>1</v>
      </c>
      <c r="C246" s="2" t="s">
        <v>247</v>
      </c>
      <c r="D246" s="2">
        <f>'Shift 13'!D247-'Shift 14'!D242</f>
        <v>1281008.3400000001</v>
      </c>
      <c r="E246" s="2">
        <f>'Shift 13'!E247-'Shift 14'!E242</f>
        <v>784214.16</v>
      </c>
      <c r="F246" s="2">
        <f t="shared" si="6"/>
        <v>2065222.5</v>
      </c>
      <c r="G246" s="2">
        <f>'Shift 13'!M247-'Shift 14'!M242</f>
        <v>134250.21</v>
      </c>
      <c r="H246" s="3">
        <f t="shared" si="7"/>
        <v>2199472.71</v>
      </c>
    </row>
    <row r="247" spans="1:8" x14ac:dyDescent="0.2">
      <c r="A247" s="4">
        <v>833</v>
      </c>
      <c r="B247" s="4">
        <v>1</v>
      </c>
      <c r="C247" s="2" t="s">
        <v>248</v>
      </c>
      <c r="D247" s="2">
        <f>'Shift 13'!D248-'Shift 14'!D243</f>
        <v>4922503.0199999996</v>
      </c>
      <c r="E247" s="2">
        <f>'Shift 13'!E248-'Shift 14'!E243</f>
        <v>5449523.9800000004</v>
      </c>
      <c r="F247" s="2">
        <f t="shared" si="6"/>
        <v>10372027</v>
      </c>
      <c r="G247" s="2">
        <f>'Shift 13'!M248-'Shift 14'!M243</f>
        <v>644245.49</v>
      </c>
      <c r="H247" s="3">
        <f t="shared" si="7"/>
        <v>11016272.49</v>
      </c>
    </row>
    <row r="248" spans="1:8" x14ac:dyDescent="0.2">
      <c r="A248" s="4">
        <v>834</v>
      </c>
      <c r="B248" s="4">
        <v>1</v>
      </c>
      <c r="C248" s="2" t="s">
        <v>249</v>
      </c>
      <c r="D248" s="2">
        <f>'Shift 13'!D249-'Shift 14'!D244</f>
        <v>3470990.48</v>
      </c>
      <c r="E248" s="2">
        <f>'Shift 13'!E249-'Shift 14'!E244</f>
        <v>3922233.53</v>
      </c>
      <c r="F248" s="2">
        <f t="shared" si="6"/>
        <v>7393224.0099999998</v>
      </c>
      <c r="G248" s="2">
        <f>'Shift 13'!M249-'Shift 14'!M244</f>
        <v>425955.19</v>
      </c>
      <c r="H248" s="3">
        <f t="shared" si="7"/>
        <v>7819179.2000000002</v>
      </c>
    </row>
    <row r="249" spans="1:8" x14ac:dyDescent="0.2">
      <c r="A249" s="4">
        <v>836</v>
      </c>
      <c r="B249" s="4">
        <v>1</v>
      </c>
      <c r="C249" s="2" t="s">
        <v>250</v>
      </c>
      <c r="D249" s="2">
        <f>'Shift 13'!D250-'Shift 14'!D245</f>
        <v>90034.59</v>
      </c>
      <c r="E249" s="2">
        <f>'Shift 13'!E250-'Shift 14'!E245</f>
        <v>0</v>
      </c>
      <c r="F249" s="2">
        <f t="shared" si="6"/>
        <v>90034.59</v>
      </c>
      <c r="G249" s="2">
        <f>'Shift 13'!M250-'Shift 14'!M245</f>
        <v>14841.06</v>
      </c>
      <c r="H249" s="3">
        <f t="shared" si="7"/>
        <v>104875.65</v>
      </c>
    </row>
    <row r="250" spans="1:8" x14ac:dyDescent="0.2">
      <c r="A250" s="4">
        <v>837</v>
      </c>
      <c r="B250" s="4">
        <v>1</v>
      </c>
      <c r="C250" s="2" t="s">
        <v>251</v>
      </c>
      <c r="D250" s="2">
        <f>'Shift 13'!D251-'Shift 14'!D246</f>
        <v>123745.18</v>
      </c>
      <c r="E250" s="2">
        <f>'Shift 13'!E251-'Shift 14'!E246</f>
        <v>160209.5</v>
      </c>
      <c r="F250" s="2">
        <f t="shared" si="6"/>
        <v>283954.68</v>
      </c>
      <c r="G250" s="2">
        <f>'Shift 13'!M251-'Shift 14'!M246</f>
        <v>23512.48</v>
      </c>
      <c r="H250" s="3">
        <f t="shared" si="7"/>
        <v>307467.15999999997</v>
      </c>
    </row>
    <row r="251" spans="1:8" x14ac:dyDescent="0.2">
      <c r="A251" s="4">
        <v>840</v>
      </c>
      <c r="B251" s="4">
        <v>1</v>
      </c>
      <c r="C251" s="2" t="s">
        <v>252</v>
      </c>
      <c r="D251" s="2">
        <f>'Shift 13'!D252-'Shift 14'!D247</f>
        <v>319471.74</v>
      </c>
      <c r="E251" s="2">
        <f>'Shift 13'!E252-'Shift 14'!E247</f>
        <v>196852.42</v>
      </c>
      <c r="F251" s="2">
        <f t="shared" si="6"/>
        <v>516324.16000000003</v>
      </c>
      <c r="G251" s="2">
        <f>'Shift 13'!M252-'Shift 14'!M247</f>
        <v>57274.61</v>
      </c>
      <c r="H251" s="3">
        <f t="shared" si="7"/>
        <v>573598.77</v>
      </c>
    </row>
    <row r="252" spans="1:8" x14ac:dyDescent="0.2">
      <c r="A252" s="4">
        <v>846</v>
      </c>
      <c r="B252" s="4">
        <v>1</v>
      </c>
      <c r="C252" s="2" t="s">
        <v>253</v>
      </c>
      <c r="D252" s="2">
        <f>'Shift 13'!D253-'Shift 14'!D248</f>
        <v>161787.88</v>
      </c>
      <c r="E252" s="2">
        <f>'Shift 13'!E253-'Shift 14'!E248</f>
        <v>128394.36</v>
      </c>
      <c r="F252" s="2">
        <f t="shared" si="6"/>
        <v>290182.24</v>
      </c>
      <c r="G252" s="2">
        <f>'Shift 13'!M253-'Shift 14'!M248</f>
        <v>39439.68</v>
      </c>
      <c r="H252" s="3">
        <f t="shared" si="7"/>
        <v>329621.92</v>
      </c>
    </row>
    <row r="253" spans="1:8" x14ac:dyDescent="0.2">
      <c r="A253" s="4">
        <v>850</v>
      </c>
      <c r="B253" s="4">
        <v>1</v>
      </c>
      <c r="C253" s="2" t="s">
        <v>254</v>
      </c>
      <c r="D253" s="2">
        <f>'Shift 13'!D254-'Shift 14'!D249</f>
        <v>98355.97</v>
      </c>
      <c r="E253" s="2">
        <f>'Shift 13'!E254-'Shift 14'!E249</f>
        <v>109165.02</v>
      </c>
      <c r="F253" s="2">
        <f t="shared" si="6"/>
        <v>207520.99</v>
      </c>
      <c r="G253" s="2">
        <f>'Shift 13'!M254-'Shift 14'!M249</f>
        <v>9864.99</v>
      </c>
      <c r="H253" s="3">
        <f t="shared" si="7"/>
        <v>217385.97999999998</v>
      </c>
    </row>
    <row r="254" spans="1:8" x14ac:dyDescent="0.2">
      <c r="A254" s="4">
        <v>852</v>
      </c>
      <c r="B254" s="4">
        <v>1</v>
      </c>
      <c r="C254" s="2" t="s">
        <v>255</v>
      </c>
      <c r="D254" s="2">
        <f>'Shift 13'!D255-'Shift 14'!D250</f>
        <v>63253.64</v>
      </c>
      <c r="E254" s="2">
        <f>'Shift 13'!E255-'Shift 14'!E250</f>
        <v>12078.76</v>
      </c>
      <c r="F254" s="2">
        <f t="shared" si="6"/>
        <v>75332.399999999994</v>
      </c>
      <c r="G254" s="2">
        <f>'Shift 13'!M255-'Shift 14'!M250</f>
        <v>12289.24</v>
      </c>
      <c r="H254" s="3">
        <f t="shared" si="7"/>
        <v>87621.64</v>
      </c>
    </row>
    <row r="255" spans="1:8" x14ac:dyDescent="0.2">
      <c r="A255" s="4">
        <v>857</v>
      </c>
      <c r="B255" s="4">
        <v>1</v>
      </c>
      <c r="C255" s="2" t="s">
        <v>256</v>
      </c>
      <c r="D255" s="2">
        <f>'Shift 13'!D256-'Shift 14'!D251</f>
        <v>53048.11</v>
      </c>
      <c r="E255" s="2">
        <f>'Shift 13'!E256-'Shift 14'!E251</f>
        <v>216718.09</v>
      </c>
      <c r="F255" s="2">
        <f t="shared" si="6"/>
        <v>269766.2</v>
      </c>
      <c r="G255" s="2">
        <f>'Shift 13'!M256-'Shift 14'!M251</f>
        <v>38006.17</v>
      </c>
      <c r="H255" s="3">
        <f t="shared" si="7"/>
        <v>307772.37</v>
      </c>
    </row>
    <row r="256" spans="1:8" x14ac:dyDescent="0.2">
      <c r="A256" s="4">
        <v>858</v>
      </c>
      <c r="B256" s="4">
        <v>1</v>
      </c>
      <c r="C256" s="2" t="s">
        <v>257</v>
      </c>
      <c r="D256" s="2">
        <f>'Shift 13'!D257-'Shift 14'!D252</f>
        <v>146881.12</v>
      </c>
      <c r="E256" s="2">
        <f>'Shift 13'!E257-'Shift 14'!E252</f>
        <v>106657.56</v>
      </c>
      <c r="F256" s="2">
        <f t="shared" si="6"/>
        <v>253538.68</v>
      </c>
      <c r="G256" s="2">
        <f>'Shift 13'!M257-'Shift 14'!M252</f>
        <v>29189.65</v>
      </c>
      <c r="H256" s="3">
        <f t="shared" si="7"/>
        <v>282728.33</v>
      </c>
    </row>
    <row r="257" spans="1:8" x14ac:dyDescent="0.2">
      <c r="A257" s="4">
        <v>861</v>
      </c>
      <c r="B257" s="4">
        <v>1</v>
      </c>
      <c r="C257" s="2" t="s">
        <v>1196</v>
      </c>
      <c r="D257" s="2">
        <f>'Shift 13'!D258-'Shift 14'!D253</f>
        <v>1108021.33</v>
      </c>
      <c r="E257" s="2">
        <f>'Shift 13'!E258-'Shift 14'!E253</f>
        <v>2741584.78</v>
      </c>
      <c r="F257" s="2">
        <f t="shared" si="6"/>
        <v>3849606.11</v>
      </c>
      <c r="G257" s="2">
        <f>'Shift 13'!M258-'Shift 14'!M253</f>
        <v>209838.76</v>
      </c>
      <c r="H257" s="3">
        <f t="shared" si="7"/>
        <v>4059444.87</v>
      </c>
    </row>
    <row r="258" spans="1:8" x14ac:dyDescent="0.2">
      <c r="A258" s="4">
        <v>876</v>
      </c>
      <c r="B258" s="4">
        <v>1</v>
      </c>
      <c r="C258" s="2" t="s">
        <v>259</v>
      </c>
      <c r="D258" s="2">
        <f>'Shift 13'!D259-'Shift 14'!D254</f>
        <v>457693.23</v>
      </c>
      <c r="E258" s="2">
        <f>'Shift 13'!E259-'Shift 14'!E254</f>
        <v>404703.47</v>
      </c>
      <c r="F258" s="2">
        <f t="shared" si="6"/>
        <v>862396.7</v>
      </c>
      <c r="G258" s="2">
        <f>'Shift 13'!M259-'Shift 14'!M254</f>
        <v>76109.06</v>
      </c>
      <c r="H258" s="3">
        <f t="shared" si="7"/>
        <v>938505.76</v>
      </c>
    </row>
    <row r="259" spans="1:8" x14ac:dyDescent="0.2">
      <c r="A259" s="4">
        <v>877</v>
      </c>
      <c r="B259" s="4">
        <v>1</v>
      </c>
      <c r="C259" s="2" t="s">
        <v>1005</v>
      </c>
      <c r="D259" s="2">
        <f>'Shift 13'!D260-'Shift 14'!D255</f>
        <v>1294546.29</v>
      </c>
      <c r="E259" s="2">
        <f>'Shift 13'!E260-'Shift 14'!E255</f>
        <v>797620.97</v>
      </c>
      <c r="F259" s="2">
        <f t="shared" si="6"/>
        <v>2092167.26</v>
      </c>
      <c r="G259" s="2">
        <f>'Shift 13'!M260-'Shift 14'!M255</f>
        <v>267193.57</v>
      </c>
      <c r="H259" s="3">
        <f t="shared" si="7"/>
        <v>2359360.83</v>
      </c>
    </row>
    <row r="260" spans="1:8" x14ac:dyDescent="0.2">
      <c r="A260" s="4">
        <v>879</v>
      </c>
      <c r="B260" s="4">
        <v>1</v>
      </c>
      <c r="C260" s="2" t="s">
        <v>261</v>
      </c>
      <c r="D260" s="2">
        <f>'Shift 13'!D261-'Shift 14'!D256</f>
        <v>432337.9</v>
      </c>
      <c r="E260" s="2">
        <f>'Shift 13'!E261-'Shift 14'!E256</f>
        <v>742253.83</v>
      </c>
      <c r="F260" s="2">
        <f t="shared" si="6"/>
        <v>1174591.73</v>
      </c>
      <c r="G260" s="2">
        <f>'Shift 13'!M261-'Shift 14'!M256</f>
        <v>84333.15</v>
      </c>
      <c r="H260" s="3">
        <f t="shared" si="7"/>
        <v>1258924.8799999999</v>
      </c>
    </row>
    <row r="261" spans="1:8" x14ac:dyDescent="0.2">
      <c r="A261" s="4">
        <v>881</v>
      </c>
      <c r="B261" s="4">
        <v>1</v>
      </c>
      <c r="C261" s="2" t="s">
        <v>262</v>
      </c>
      <c r="D261" s="2">
        <f>'Shift 13'!D262-'Shift 14'!D257</f>
        <v>167557.91</v>
      </c>
      <c r="E261" s="2">
        <f>'Shift 13'!E262-'Shift 14'!E257</f>
        <v>169703.04000000001</v>
      </c>
      <c r="F261" s="2">
        <f t="shared" ref="F261:F324" si="8">D261+E261</f>
        <v>337260.95</v>
      </c>
      <c r="G261" s="2">
        <f>'Shift 13'!M262-'Shift 14'!M257</f>
        <v>33913.57</v>
      </c>
      <c r="H261" s="3">
        <f t="shared" ref="H261:H324" si="9">SUM(F261:G261)</f>
        <v>371174.52</v>
      </c>
    </row>
    <row r="262" spans="1:8" x14ac:dyDescent="0.2">
      <c r="A262" s="4">
        <v>882</v>
      </c>
      <c r="B262" s="4">
        <v>1</v>
      </c>
      <c r="C262" s="2" t="s">
        <v>263</v>
      </c>
      <c r="D262" s="2">
        <f>'Shift 13'!D263-'Shift 14'!D258</f>
        <v>951837.7</v>
      </c>
      <c r="E262" s="2">
        <f>'Shift 13'!E263-'Shift 14'!E258</f>
        <v>1260475.6499999999</v>
      </c>
      <c r="F262" s="2">
        <f t="shared" si="8"/>
        <v>2212313.3499999996</v>
      </c>
      <c r="G262" s="2">
        <f>'Shift 13'!M263-'Shift 14'!M258</f>
        <v>124628.38</v>
      </c>
      <c r="H262" s="3">
        <f t="shared" si="9"/>
        <v>2336941.7299999995</v>
      </c>
    </row>
    <row r="263" spans="1:8" x14ac:dyDescent="0.2">
      <c r="A263" s="4">
        <v>883</v>
      </c>
      <c r="B263" s="4">
        <v>1</v>
      </c>
      <c r="C263" s="2" t="s">
        <v>264</v>
      </c>
      <c r="D263" s="2">
        <f>'Shift 13'!D264-'Shift 14'!D259</f>
        <v>343558.91</v>
      </c>
      <c r="E263" s="2">
        <f>'Shift 13'!E264-'Shift 14'!E259</f>
        <v>250360.52</v>
      </c>
      <c r="F263" s="2">
        <f t="shared" si="8"/>
        <v>593919.42999999993</v>
      </c>
      <c r="G263" s="2">
        <f>'Shift 13'!M264-'Shift 14'!M259</f>
        <v>61539.75</v>
      </c>
      <c r="H263" s="3">
        <f t="shared" si="9"/>
        <v>655459.17999999993</v>
      </c>
    </row>
    <row r="264" spans="1:8" x14ac:dyDescent="0.2">
      <c r="A264" s="4">
        <v>885</v>
      </c>
      <c r="B264" s="4">
        <v>1</v>
      </c>
      <c r="C264" s="2" t="s">
        <v>1197</v>
      </c>
      <c r="D264" s="2">
        <f>'Shift 13'!D265-'Shift 14'!D260</f>
        <v>592963.4</v>
      </c>
      <c r="E264" s="2">
        <f>'Shift 13'!E265-'Shift 14'!E260</f>
        <v>1002856.99</v>
      </c>
      <c r="F264" s="2">
        <f t="shared" si="8"/>
        <v>1595820.3900000001</v>
      </c>
      <c r="G264" s="2">
        <f>'Shift 13'!M265-'Shift 14'!M260</f>
        <v>132729.03</v>
      </c>
      <c r="H264" s="3">
        <f t="shared" si="9"/>
        <v>1728549.4200000002</v>
      </c>
    </row>
    <row r="265" spans="1:8" x14ac:dyDescent="0.2">
      <c r="A265" s="4">
        <v>891</v>
      </c>
      <c r="B265" s="4">
        <v>1</v>
      </c>
      <c r="C265" s="2" t="s">
        <v>266</v>
      </c>
      <c r="D265" s="2">
        <f>'Shift 13'!D266-'Shift 14'!D261</f>
        <v>138712.59</v>
      </c>
      <c r="E265" s="2">
        <f>'Shift 13'!E266-'Shift 14'!E261</f>
        <v>61456.53</v>
      </c>
      <c r="F265" s="2">
        <f t="shared" si="8"/>
        <v>200169.12</v>
      </c>
      <c r="G265" s="2">
        <f>'Shift 13'!M266-'Shift 14'!M261</f>
        <v>20082.16</v>
      </c>
      <c r="H265" s="3">
        <f t="shared" si="9"/>
        <v>220251.28</v>
      </c>
    </row>
    <row r="266" spans="1:8" x14ac:dyDescent="0.2">
      <c r="A266" s="4">
        <v>911</v>
      </c>
      <c r="B266" s="4">
        <v>1</v>
      </c>
      <c r="C266" s="2" t="s">
        <v>267</v>
      </c>
      <c r="D266" s="2">
        <f>'Shift 13'!D267-'Shift 14'!D262</f>
        <v>751622.67</v>
      </c>
      <c r="E266" s="2">
        <f>'Shift 13'!E267-'Shift 14'!E262</f>
        <v>0</v>
      </c>
      <c r="F266" s="2">
        <f t="shared" si="8"/>
        <v>751622.67</v>
      </c>
      <c r="G266" s="2">
        <f>'Shift 13'!M267-'Shift 14'!M262</f>
        <v>160891.17000000001</v>
      </c>
      <c r="H266" s="3">
        <f t="shared" si="9"/>
        <v>912513.84000000008</v>
      </c>
    </row>
    <row r="267" spans="1:8" x14ac:dyDescent="0.2">
      <c r="A267" s="4">
        <v>912</v>
      </c>
      <c r="B267" s="4">
        <v>1</v>
      </c>
      <c r="C267" s="2" t="s">
        <v>268</v>
      </c>
      <c r="D267" s="2">
        <f>'Shift 13'!D268-'Shift 14'!D263</f>
        <v>141852.60999999999</v>
      </c>
      <c r="E267" s="2">
        <f>'Shift 13'!E268-'Shift 14'!E263</f>
        <v>0</v>
      </c>
      <c r="F267" s="2">
        <f t="shared" si="8"/>
        <v>141852.60999999999</v>
      </c>
      <c r="G267" s="2">
        <f>'Shift 13'!M268-'Shift 14'!M263</f>
        <v>43712.88</v>
      </c>
      <c r="H267" s="3">
        <f t="shared" si="9"/>
        <v>185565.49</v>
      </c>
    </row>
    <row r="268" spans="1:8" x14ac:dyDescent="0.2">
      <c r="A268" s="4">
        <v>914</v>
      </c>
      <c r="B268" s="4">
        <v>1</v>
      </c>
      <c r="C268" s="2" t="s">
        <v>269</v>
      </c>
      <c r="D268" s="2">
        <f>'Shift 13'!D269-'Shift 14'!D264</f>
        <v>47245.59</v>
      </c>
      <c r="E268" s="2">
        <f>'Shift 13'!E269-'Shift 14'!E264</f>
        <v>102117.59</v>
      </c>
      <c r="F268" s="2">
        <f t="shared" si="8"/>
        <v>149363.18</v>
      </c>
      <c r="G268" s="2">
        <f>'Shift 13'!M269-'Shift 14'!M264</f>
        <v>9549.2199999999993</v>
      </c>
      <c r="H268" s="3">
        <f t="shared" si="9"/>
        <v>158912.4</v>
      </c>
    </row>
    <row r="269" spans="1:8" x14ac:dyDescent="0.2">
      <c r="A269" s="4">
        <v>2071</v>
      </c>
      <c r="B269" s="4">
        <v>1</v>
      </c>
      <c r="C269" s="2" t="s">
        <v>1166</v>
      </c>
      <c r="D269" s="2">
        <f>'Shift 13'!D270-'Shift 14'!D265</f>
        <v>359758.77</v>
      </c>
      <c r="E269" s="2">
        <f>'Shift 13'!E270-'Shift 14'!E265</f>
        <v>25954.1</v>
      </c>
      <c r="F269" s="2">
        <f t="shared" si="8"/>
        <v>385712.87</v>
      </c>
      <c r="G269" s="2">
        <f>'Shift 13'!M270-'Shift 14'!M265</f>
        <v>41416.660000000003</v>
      </c>
      <c r="H269" s="3">
        <f t="shared" si="9"/>
        <v>427129.53</v>
      </c>
    </row>
    <row r="270" spans="1:8" x14ac:dyDescent="0.2">
      <c r="A270" s="4">
        <v>2125</v>
      </c>
      <c r="B270" s="4">
        <v>1</v>
      </c>
      <c r="C270" s="2" t="s">
        <v>271</v>
      </c>
      <c r="D270" s="2">
        <f>'Shift 13'!D271-'Shift 14'!D266</f>
        <v>309066.45</v>
      </c>
      <c r="E270" s="2">
        <f>'Shift 13'!E271-'Shift 14'!E266</f>
        <v>135940.41</v>
      </c>
      <c r="F270" s="2">
        <f t="shared" si="8"/>
        <v>445006.86</v>
      </c>
      <c r="G270" s="2">
        <f>'Shift 13'!M271-'Shift 14'!M266</f>
        <v>55855.21</v>
      </c>
      <c r="H270" s="3">
        <f t="shared" si="9"/>
        <v>500862.07</v>
      </c>
    </row>
    <row r="271" spans="1:8" x14ac:dyDescent="0.2">
      <c r="A271" s="4">
        <v>2134</v>
      </c>
      <c r="B271" s="4">
        <v>1</v>
      </c>
      <c r="C271" s="2" t="s">
        <v>1165</v>
      </c>
      <c r="D271" s="2">
        <f>'Shift 13'!D272-'Shift 14'!D267</f>
        <v>148322.39000000001</v>
      </c>
      <c r="E271" s="2">
        <f>'Shift 13'!E272-'Shift 14'!E267</f>
        <v>162246</v>
      </c>
      <c r="F271" s="2">
        <f t="shared" si="8"/>
        <v>310568.39</v>
      </c>
      <c r="G271" s="2">
        <f>'Shift 13'!M272-'Shift 14'!M267</f>
        <v>42875.74</v>
      </c>
      <c r="H271" s="3">
        <f t="shared" si="9"/>
        <v>353444.13</v>
      </c>
    </row>
    <row r="272" spans="1:8" x14ac:dyDescent="0.2">
      <c r="A272" s="4">
        <v>2135</v>
      </c>
      <c r="B272" s="4">
        <v>1</v>
      </c>
      <c r="C272" s="2" t="s">
        <v>273</v>
      </c>
      <c r="D272" s="2">
        <f>'Shift 13'!D273-'Shift 14'!D268</f>
        <v>223855.6</v>
      </c>
      <c r="E272" s="2">
        <f>'Shift 13'!E273-'Shift 14'!E268</f>
        <v>130596.08</v>
      </c>
      <c r="F272" s="2">
        <f t="shared" si="8"/>
        <v>354451.68</v>
      </c>
      <c r="G272" s="2">
        <f>'Shift 13'!M273-'Shift 14'!M268</f>
        <v>44587.16</v>
      </c>
      <c r="H272" s="3">
        <f t="shared" si="9"/>
        <v>399038.83999999997</v>
      </c>
    </row>
    <row r="273" spans="1:8" x14ac:dyDescent="0.2">
      <c r="A273" s="4">
        <v>2137</v>
      </c>
      <c r="B273" s="4">
        <v>1</v>
      </c>
      <c r="C273" s="2" t="s">
        <v>274</v>
      </c>
      <c r="D273" s="2">
        <f>'Shift 13'!D274-'Shift 14'!D269</f>
        <v>177251.28</v>
      </c>
      <c r="E273" s="2">
        <f>'Shift 13'!E274-'Shift 14'!E269</f>
        <v>138775.88</v>
      </c>
      <c r="F273" s="2">
        <f t="shared" si="8"/>
        <v>316027.16000000003</v>
      </c>
      <c r="G273" s="2">
        <f>'Shift 13'!M274-'Shift 14'!M269</f>
        <v>38088.79</v>
      </c>
      <c r="H273" s="3">
        <f t="shared" si="9"/>
        <v>354115.95</v>
      </c>
    </row>
    <row r="274" spans="1:8" x14ac:dyDescent="0.2">
      <c r="A274" s="4">
        <v>2142</v>
      </c>
      <c r="B274" s="4">
        <v>1</v>
      </c>
      <c r="C274" s="2" t="s">
        <v>275</v>
      </c>
      <c r="D274" s="2">
        <f>'Shift 13'!D275-'Shift 14'!D270</f>
        <v>804708.64</v>
      </c>
      <c r="E274" s="2">
        <f>'Shift 13'!E275-'Shift 14'!E270</f>
        <v>0</v>
      </c>
      <c r="F274" s="2">
        <f t="shared" si="8"/>
        <v>804708.64</v>
      </c>
      <c r="G274" s="2">
        <f>'Shift 13'!M275-'Shift 14'!M270</f>
        <v>0</v>
      </c>
      <c r="H274" s="3">
        <f t="shared" si="9"/>
        <v>804708.64</v>
      </c>
    </row>
    <row r="275" spans="1:8" x14ac:dyDescent="0.2">
      <c r="A275" s="4">
        <v>2143</v>
      </c>
      <c r="B275" s="4">
        <v>1</v>
      </c>
      <c r="C275" s="2" t="s">
        <v>1164</v>
      </c>
      <c r="D275" s="2">
        <f>'Shift 13'!D276-'Shift 14'!D271</f>
        <v>233559.84</v>
      </c>
      <c r="E275" s="2">
        <f>'Shift 13'!E276-'Shift 14'!E271</f>
        <v>569447.62</v>
      </c>
      <c r="F275" s="2">
        <f t="shared" si="8"/>
        <v>803007.46</v>
      </c>
      <c r="G275" s="2">
        <f>'Shift 13'!M276-'Shift 14'!M271</f>
        <v>40086.51</v>
      </c>
      <c r="H275" s="3">
        <f t="shared" si="9"/>
        <v>843093.97</v>
      </c>
    </row>
    <row r="276" spans="1:8" x14ac:dyDescent="0.2">
      <c r="A276" s="4">
        <v>2144</v>
      </c>
      <c r="B276" s="4">
        <v>1</v>
      </c>
      <c r="C276" s="2" t="s">
        <v>277</v>
      </c>
      <c r="D276" s="2">
        <f>'Shift 13'!D277-'Shift 14'!D272</f>
        <v>893613.52</v>
      </c>
      <c r="E276" s="2">
        <f>'Shift 13'!E277-'Shift 14'!E272</f>
        <v>552520.38</v>
      </c>
      <c r="F276" s="2">
        <f t="shared" si="8"/>
        <v>1446133.9</v>
      </c>
      <c r="G276" s="2">
        <f>'Shift 13'!M277-'Shift 14'!M272</f>
        <v>135530.56</v>
      </c>
      <c r="H276" s="3">
        <f t="shared" si="9"/>
        <v>1581664.46</v>
      </c>
    </row>
    <row r="277" spans="1:8" x14ac:dyDescent="0.2">
      <c r="A277" s="4">
        <v>2149</v>
      </c>
      <c r="B277" s="4">
        <v>1</v>
      </c>
      <c r="C277" s="2" t="s">
        <v>278</v>
      </c>
      <c r="D277" s="2">
        <f>'Shift 13'!D278-'Shift 14'!D273</f>
        <v>359158.14</v>
      </c>
      <c r="E277" s="2">
        <f>'Shift 13'!E278-'Shift 14'!E273</f>
        <v>303626.09000000003</v>
      </c>
      <c r="F277" s="2">
        <f t="shared" si="8"/>
        <v>662784.23</v>
      </c>
      <c r="G277" s="2">
        <f>'Shift 13'!M278-'Shift 14'!M273</f>
        <v>70340.240000000005</v>
      </c>
      <c r="H277" s="3">
        <f t="shared" si="9"/>
        <v>733124.47</v>
      </c>
    </row>
    <row r="278" spans="1:8" x14ac:dyDescent="0.2">
      <c r="A278" s="4">
        <v>2154</v>
      </c>
      <c r="B278" s="4">
        <v>1</v>
      </c>
      <c r="C278" s="2" t="s">
        <v>279</v>
      </c>
      <c r="D278" s="2">
        <f>'Shift 13'!D279-'Shift 14'!D274</f>
        <v>0</v>
      </c>
      <c r="E278" s="2">
        <f>'Shift 13'!E279-'Shift 14'!E274</f>
        <v>226487.66</v>
      </c>
      <c r="F278" s="2">
        <f t="shared" si="8"/>
        <v>226487.66</v>
      </c>
      <c r="G278" s="2">
        <f>'Shift 13'!M279-'Shift 14'!M274</f>
        <v>0</v>
      </c>
      <c r="H278" s="3">
        <f t="shared" si="9"/>
        <v>226487.66</v>
      </c>
    </row>
    <row r="279" spans="1:8" x14ac:dyDescent="0.2">
      <c r="A279" s="4">
        <v>2155</v>
      </c>
      <c r="B279" s="4">
        <v>1</v>
      </c>
      <c r="C279" s="2" t="s">
        <v>1163</v>
      </c>
      <c r="D279" s="2">
        <f>'Shift 13'!D280-'Shift 14'!D275</f>
        <v>131231.78</v>
      </c>
      <c r="E279" s="2">
        <f>'Shift 13'!E280-'Shift 14'!E275</f>
        <v>238353.84</v>
      </c>
      <c r="F279" s="2">
        <f t="shared" si="8"/>
        <v>369585.62</v>
      </c>
      <c r="G279" s="2">
        <f>'Shift 13'!M280-'Shift 14'!M275</f>
        <v>24632.42</v>
      </c>
      <c r="H279" s="3">
        <f t="shared" si="9"/>
        <v>394218.04</v>
      </c>
    </row>
    <row r="280" spans="1:8" x14ac:dyDescent="0.2">
      <c r="A280" s="4">
        <v>2159</v>
      </c>
      <c r="B280" s="4">
        <v>1</v>
      </c>
      <c r="C280" s="2" t="s">
        <v>1162</v>
      </c>
      <c r="D280" s="2">
        <f>'Shift 13'!D281-'Shift 14'!D276</f>
        <v>151613.14000000001</v>
      </c>
      <c r="E280" s="2">
        <f>'Shift 13'!E281-'Shift 14'!E276</f>
        <v>87139.93</v>
      </c>
      <c r="F280" s="2">
        <f t="shared" si="8"/>
        <v>238753.07</v>
      </c>
      <c r="G280" s="2">
        <f>'Shift 13'!M281-'Shift 14'!M276</f>
        <v>15766.33</v>
      </c>
      <c r="H280" s="3">
        <f t="shared" si="9"/>
        <v>254519.4</v>
      </c>
    </row>
    <row r="281" spans="1:8" x14ac:dyDescent="0.2">
      <c r="A281" s="4">
        <v>2164</v>
      </c>
      <c r="B281" s="4">
        <v>1</v>
      </c>
      <c r="C281" s="2" t="s">
        <v>1161</v>
      </c>
      <c r="D281" s="2">
        <f>'Shift 13'!D282-'Shift 14'!D277</f>
        <v>181893.53</v>
      </c>
      <c r="E281" s="2">
        <f>'Shift 13'!E282-'Shift 14'!E277</f>
        <v>103525.56</v>
      </c>
      <c r="F281" s="2">
        <f t="shared" si="8"/>
        <v>285419.08999999997</v>
      </c>
      <c r="G281" s="2">
        <f>'Shift 13'!M282-'Shift 14'!M277</f>
        <v>38110.839999999997</v>
      </c>
      <c r="H281" s="3">
        <f t="shared" si="9"/>
        <v>323529.92999999993</v>
      </c>
    </row>
    <row r="282" spans="1:8" x14ac:dyDescent="0.2">
      <c r="A282" s="4">
        <v>2165</v>
      </c>
      <c r="B282" s="4">
        <v>1</v>
      </c>
      <c r="C282" s="2" t="s">
        <v>1160</v>
      </c>
      <c r="D282" s="2">
        <f>'Shift 13'!D283-'Shift 14'!D278</f>
        <v>146939.48000000001</v>
      </c>
      <c r="E282" s="2">
        <f>'Shift 13'!E283-'Shift 14'!E278</f>
        <v>76220.2</v>
      </c>
      <c r="F282" s="2">
        <f t="shared" si="8"/>
        <v>223159.67999999999</v>
      </c>
      <c r="G282" s="2">
        <f>'Shift 13'!M283-'Shift 14'!M278</f>
        <v>38215.449999999997</v>
      </c>
      <c r="H282" s="3">
        <f t="shared" si="9"/>
        <v>261375.13</v>
      </c>
    </row>
    <row r="283" spans="1:8" x14ac:dyDescent="0.2">
      <c r="A283" s="4">
        <v>2167</v>
      </c>
      <c r="B283" s="4">
        <v>1</v>
      </c>
      <c r="C283" s="2" t="s">
        <v>284</v>
      </c>
      <c r="D283" s="2">
        <f>'Shift 13'!D284-'Shift 14'!D279</f>
        <v>125777.3</v>
      </c>
      <c r="E283" s="2">
        <f>'Shift 13'!E284-'Shift 14'!E279</f>
        <v>91839.51</v>
      </c>
      <c r="F283" s="2">
        <f t="shared" si="8"/>
        <v>217616.81</v>
      </c>
      <c r="G283" s="2">
        <f>'Shift 13'!M284-'Shift 14'!M279</f>
        <v>21389.35</v>
      </c>
      <c r="H283" s="3">
        <f t="shared" si="9"/>
        <v>239006.16</v>
      </c>
    </row>
    <row r="284" spans="1:8" x14ac:dyDescent="0.2">
      <c r="A284" s="4">
        <v>2168</v>
      </c>
      <c r="B284" s="4">
        <v>1</v>
      </c>
      <c r="C284" s="2" t="s">
        <v>285</v>
      </c>
      <c r="D284" s="2">
        <f>'Shift 13'!D285-'Shift 14'!D280</f>
        <v>133573.29</v>
      </c>
      <c r="E284" s="2">
        <f>'Shift 13'!E285-'Shift 14'!E280</f>
        <v>60829.02</v>
      </c>
      <c r="F284" s="2">
        <f t="shared" si="8"/>
        <v>194402.31</v>
      </c>
      <c r="G284" s="2">
        <f>'Shift 13'!M285-'Shift 14'!M280</f>
        <v>30409.02</v>
      </c>
      <c r="H284" s="3">
        <f t="shared" si="9"/>
        <v>224811.33</v>
      </c>
    </row>
    <row r="285" spans="1:8" x14ac:dyDescent="0.2">
      <c r="A285" s="4">
        <v>2169</v>
      </c>
      <c r="B285" s="4">
        <v>1</v>
      </c>
      <c r="C285" s="2" t="s">
        <v>1159</v>
      </c>
      <c r="D285" s="2">
        <f>'Shift 13'!D286-'Shift 14'!D281</f>
        <v>186935.31</v>
      </c>
      <c r="E285" s="2">
        <f>'Shift 13'!E286-'Shift 14'!E281</f>
        <v>326723.99</v>
      </c>
      <c r="F285" s="2">
        <f t="shared" si="8"/>
        <v>513659.3</v>
      </c>
      <c r="G285" s="2">
        <f>'Shift 13'!M286-'Shift 14'!M281</f>
        <v>37350.25</v>
      </c>
      <c r="H285" s="3">
        <f t="shared" si="9"/>
        <v>551009.55000000005</v>
      </c>
    </row>
    <row r="286" spans="1:8" x14ac:dyDescent="0.2">
      <c r="A286" s="4">
        <v>2170</v>
      </c>
      <c r="B286" s="4">
        <v>1</v>
      </c>
      <c r="C286" s="2" t="s">
        <v>287</v>
      </c>
      <c r="D286" s="2">
        <f>'Shift 13'!D287-'Shift 14'!D282</f>
        <v>219978.54</v>
      </c>
      <c r="E286" s="2">
        <f>'Shift 13'!E287-'Shift 14'!E282</f>
        <v>170576.91</v>
      </c>
      <c r="F286" s="2">
        <f t="shared" si="8"/>
        <v>390555.45</v>
      </c>
      <c r="G286" s="2">
        <f>'Shift 13'!M287-'Shift 14'!M282</f>
        <v>61476.32</v>
      </c>
      <c r="H286" s="3">
        <f t="shared" si="9"/>
        <v>452031.77</v>
      </c>
    </row>
    <row r="287" spans="1:8" x14ac:dyDescent="0.2">
      <c r="A287" s="4">
        <v>2171</v>
      </c>
      <c r="B287" s="4">
        <v>1</v>
      </c>
      <c r="C287" s="2" t="s">
        <v>288</v>
      </c>
      <c r="D287" s="2">
        <f>'Shift 13'!D288-'Shift 14'!D283</f>
        <v>93923.02</v>
      </c>
      <c r="E287" s="2">
        <f>'Shift 13'!E288-'Shift 14'!E283</f>
        <v>0</v>
      </c>
      <c r="F287" s="2">
        <f t="shared" si="8"/>
        <v>93923.02</v>
      </c>
      <c r="G287" s="2">
        <f>'Shift 13'!M288-'Shift 14'!M283</f>
        <v>14147.95</v>
      </c>
      <c r="H287" s="3">
        <f t="shared" si="9"/>
        <v>108070.97</v>
      </c>
    </row>
    <row r="288" spans="1:8" x14ac:dyDescent="0.2">
      <c r="A288" s="4">
        <v>2172</v>
      </c>
      <c r="B288" s="4">
        <v>1</v>
      </c>
      <c r="C288" s="2" t="s">
        <v>289</v>
      </c>
      <c r="D288" s="2">
        <f>'Shift 13'!D289-'Shift 14'!D284</f>
        <v>191273.73</v>
      </c>
      <c r="E288" s="2">
        <f>'Shift 13'!E289-'Shift 14'!E284</f>
        <v>287710.46999999997</v>
      </c>
      <c r="F288" s="2">
        <f t="shared" si="8"/>
        <v>478984.19999999995</v>
      </c>
      <c r="G288" s="2">
        <f>'Shift 13'!M289-'Shift 14'!M284</f>
        <v>55162.94</v>
      </c>
      <c r="H288" s="3">
        <f t="shared" si="9"/>
        <v>534147.1399999999</v>
      </c>
    </row>
    <row r="289" spans="1:8" x14ac:dyDescent="0.2">
      <c r="A289" s="4">
        <v>2174</v>
      </c>
      <c r="B289" s="4">
        <v>1</v>
      </c>
      <c r="C289" s="2" t="s">
        <v>1158</v>
      </c>
      <c r="D289" s="2">
        <f>'Shift 13'!D290-'Shift 14'!D285</f>
        <v>199933.3</v>
      </c>
      <c r="E289" s="2">
        <f>'Shift 13'!E290-'Shift 14'!E285</f>
        <v>585.16</v>
      </c>
      <c r="F289" s="2">
        <f t="shared" si="8"/>
        <v>200518.46</v>
      </c>
      <c r="G289" s="2">
        <f>'Shift 13'!M290-'Shift 14'!M285</f>
        <v>49558.64</v>
      </c>
      <c r="H289" s="3">
        <f t="shared" si="9"/>
        <v>250077.09999999998</v>
      </c>
    </row>
    <row r="290" spans="1:8" x14ac:dyDescent="0.2">
      <c r="A290" s="4">
        <v>2176</v>
      </c>
      <c r="B290" s="4">
        <v>1</v>
      </c>
      <c r="C290" s="2" t="s">
        <v>1157</v>
      </c>
      <c r="D290" s="2">
        <f>'Shift 13'!D291-'Shift 14'!D286</f>
        <v>85015.47</v>
      </c>
      <c r="E290" s="2">
        <f>'Shift 13'!E291-'Shift 14'!E286</f>
        <v>0</v>
      </c>
      <c r="F290" s="2">
        <f t="shared" si="8"/>
        <v>85015.47</v>
      </c>
      <c r="G290" s="2">
        <f>'Shift 13'!M291-'Shift 14'!M286</f>
        <v>26825.26</v>
      </c>
      <c r="H290" s="3">
        <f t="shared" si="9"/>
        <v>111840.73</v>
      </c>
    </row>
    <row r="291" spans="1:8" x14ac:dyDescent="0.2">
      <c r="A291" s="4">
        <v>2180</v>
      </c>
      <c r="B291" s="4">
        <v>1</v>
      </c>
      <c r="C291" s="2" t="s">
        <v>292</v>
      </c>
      <c r="D291" s="2">
        <f>'Shift 13'!D292-'Shift 14'!D287</f>
        <v>148303.70000000001</v>
      </c>
      <c r="E291" s="2">
        <f>'Shift 13'!E292-'Shift 14'!E287</f>
        <v>374130.02</v>
      </c>
      <c r="F291" s="2">
        <f t="shared" si="8"/>
        <v>522433.72000000003</v>
      </c>
      <c r="G291" s="2">
        <f>'Shift 13'!M292-'Shift 14'!M287</f>
        <v>18127.28</v>
      </c>
      <c r="H291" s="3">
        <f t="shared" si="9"/>
        <v>540561</v>
      </c>
    </row>
    <row r="292" spans="1:8" x14ac:dyDescent="0.2">
      <c r="A292" s="4">
        <v>2184</v>
      </c>
      <c r="B292" s="4">
        <v>1</v>
      </c>
      <c r="C292" s="2" t="s">
        <v>293</v>
      </c>
      <c r="D292" s="2">
        <f>'Shift 13'!D293-'Shift 14'!D288</f>
        <v>189628.7</v>
      </c>
      <c r="E292" s="2">
        <f>'Shift 13'!E293-'Shift 14'!E288</f>
        <v>416581.27</v>
      </c>
      <c r="F292" s="2">
        <f t="shared" si="8"/>
        <v>606209.97</v>
      </c>
      <c r="G292" s="2">
        <f>'Shift 13'!M293-'Shift 14'!M288</f>
        <v>43192.88</v>
      </c>
      <c r="H292" s="3">
        <f t="shared" si="9"/>
        <v>649402.85</v>
      </c>
    </row>
    <row r="293" spans="1:8" x14ac:dyDescent="0.2">
      <c r="A293" s="4">
        <v>2190</v>
      </c>
      <c r="B293" s="4">
        <v>1</v>
      </c>
      <c r="C293" s="2" t="s">
        <v>1156</v>
      </c>
      <c r="D293" s="2">
        <f>'Shift 13'!D294-'Shift 14'!D289</f>
        <v>145025.79</v>
      </c>
      <c r="E293" s="2">
        <f>'Shift 13'!E294-'Shift 14'!E289</f>
        <v>302909.09999999998</v>
      </c>
      <c r="F293" s="2">
        <f t="shared" si="8"/>
        <v>447934.89</v>
      </c>
      <c r="G293" s="2">
        <f>'Shift 13'!M294-'Shift 14'!M289</f>
        <v>63628</v>
      </c>
      <c r="H293" s="3">
        <f t="shared" si="9"/>
        <v>511562.89</v>
      </c>
    </row>
    <row r="294" spans="1:8" x14ac:dyDescent="0.2">
      <c r="A294" s="4">
        <v>2198</v>
      </c>
      <c r="B294" s="4">
        <v>1</v>
      </c>
      <c r="C294" s="2" t="s">
        <v>295</v>
      </c>
      <c r="D294" s="2">
        <f>'Shift 13'!D295-'Shift 14'!D290</f>
        <v>63508.1</v>
      </c>
      <c r="E294" s="2">
        <f>'Shift 13'!E295-'Shift 14'!E290</f>
        <v>228721.46</v>
      </c>
      <c r="F294" s="2">
        <f t="shared" si="8"/>
        <v>292229.56</v>
      </c>
      <c r="G294" s="2">
        <f>'Shift 13'!M295-'Shift 14'!M290</f>
        <v>36870.879999999997</v>
      </c>
      <c r="H294" s="3">
        <f t="shared" si="9"/>
        <v>329100.44</v>
      </c>
    </row>
    <row r="295" spans="1:8" x14ac:dyDescent="0.2">
      <c r="A295" s="4">
        <v>2215</v>
      </c>
      <c r="B295" s="4">
        <v>1</v>
      </c>
      <c r="C295" s="2" t="s">
        <v>1155</v>
      </c>
      <c r="D295" s="2">
        <f>'Shift 13'!D296-'Shift 14'!D291</f>
        <v>50034.18</v>
      </c>
      <c r="E295" s="2">
        <f>'Shift 13'!E296-'Shift 14'!E291</f>
        <v>120254.26</v>
      </c>
      <c r="F295" s="2">
        <f t="shared" si="8"/>
        <v>170288.44</v>
      </c>
      <c r="G295" s="2">
        <f>'Shift 13'!M296-'Shift 14'!M291</f>
        <v>5864.89</v>
      </c>
      <c r="H295" s="3">
        <f t="shared" si="9"/>
        <v>176153.33000000002</v>
      </c>
    </row>
    <row r="296" spans="1:8" x14ac:dyDescent="0.2">
      <c r="A296" s="4">
        <v>2310</v>
      </c>
      <c r="B296" s="4">
        <v>1</v>
      </c>
      <c r="C296" s="2" t="s">
        <v>297</v>
      </c>
      <c r="D296" s="2">
        <f>'Shift 13'!D297-'Shift 14'!D292</f>
        <v>310677.06</v>
      </c>
      <c r="E296" s="2">
        <f>'Shift 13'!E297-'Shift 14'!E292</f>
        <v>174313.97</v>
      </c>
      <c r="F296" s="2">
        <f t="shared" si="8"/>
        <v>484991.03</v>
      </c>
      <c r="G296" s="2">
        <f>'Shift 13'!M297-'Shift 14'!M292</f>
        <v>49212.6</v>
      </c>
      <c r="H296" s="3">
        <f t="shared" si="9"/>
        <v>534203.63</v>
      </c>
    </row>
    <row r="297" spans="1:8" x14ac:dyDescent="0.2">
      <c r="A297" s="4">
        <v>2311</v>
      </c>
      <c r="B297" s="4">
        <v>1</v>
      </c>
      <c r="C297" s="2" t="s">
        <v>1154</v>
      </c>
      <c r="D297" s="2">
        <f>'Shift 13'!D298-'Shift 14'!D293</f>
        <v>99390.27</v>
      </c>
      <c r="E297" s="2">
        <f>'Shift 13'!E298-'Shift 14'!E293</f>
        <v>94632.37</v>
      </c>
      <c r="F297" s="2">
        <f t="shared" si="8"/>
        <v>194022.64</v>
      </c>
      <c r="G297" s="2">
        <f>'Shift 13'!M298-'Shift 14'!M293</f>
        <v>22674.82</v>
      </c>
      <c r="H297" s="3">
        <f t="shared" si="9"/>
        <v>216697.46000000002</v>
      </c>
    </row>
    <row r="298" spans="1:8" x14ac:dyDescent="0.2">
      <c r="A298" s="4">
        <v>2342</v>
      </c>
      <c r="B298" s="4">
        <v>1</v>
      </c>
      <c r="C298" s="2" t="s">
        <v>1153</v>
      </c>
      <c r="D298" s="2">
        <f>'Shift 13'!D299-'Shift 14'!D294</f>
        <v>264948.78000000003</v>
      </c>
      <c r="E298" s="2">
        <f>'Shift 13'!E299-'Shift 14'!E294</f>
        <v>382935.01</v>
      </c>
      <c r="F298" s="2">
        <f t="shared" si="8"/>
        <v>647883.79</v>
      </c>
      <c r="G298" s="2">
        <f>'Shift 13'!M299-'Shift 14'!M294</f>
        <v>36007.61</v>
      </c>
      <c r="H298" s="3">
        <f t="shared" si="9"/>
        <v>683891.4</v>
      </c>
    </row>
    <row r="299" spans="1:8" x14ac:dyDescent="0.2">
      <c r="A299" s="4">
        <v>2358</v>
      </c>
      <c r="B299" s="4">
        <v>1</v>
      </c>
      <c r="C299" s="2" t="s">
        <v>300</v>
      </c>
      <c r="D299" s="2">
        <f>'Shift 13'!D300-'Shift 14'!D295</f>
        <v>44345.120000000003</v>
      </c>
      <c r="E299" s="2">
        <f>'Shift 13'!E300-'Shift 14'!E295</f>
        <v>71641.759999999995</v>
      </c>
      <c r="F299" s="2">
        <f t="shared" si="8"/>
        <v>115986.88</v>
      </c>
      <c r="G299" s="2">
        <f>'Shift 13'!M300-'Shift 14'!M295</f>
        <v>9650.02</v>
      </c>
      <c r="H299" s="3">
        <f t="shared" si="9"/>
        <v>125636.90000000001</v>
      </c>
    </row>
    <row r="300" spans="1:8" x14ac:dyDescent="0.2">
      <c r="A300" s="4">
        <v>2364</v>
      </c>
      <c r="B300" s="4">
        <v>1</v>
      </c>
      <c r="C300" s="2" t="s">
        <v>1152</v>
      </c>
      <c r="D300" s="2">
        <f>'Shift 13'!D301-'Shift 14'!D296</f>
        <v>132604.28</v>
      </c>
      <c r="E300" s="2">
        <f>'Shift 13'!E301-'Shift 14'!E296</f>
        <v>171575.46</v>
      </c>
      <c r="F300" s="2">
        <f t="shared" si="8"/>
        <v>304179.74</v>
      </c>
      <c r="G300" s="2">
        <f>'Shift 13'!M301-'Shift 14'!M296</f>
        <v>28045.919999999998</v>
      </c>
      <c r="H300" s="3">
        <f t="shared" si="9"/>
        <v>332225.65999999997</v>
      </c>
    </row>
    <row r="301" spans="1:8" x14ac:dyDescent="0.2">
      <c r="A301" s="4">
        <v>2365</v>
      </c>
      <c r="B301" s="4">
        <v>1</v>
      </c>
      <c r="C301" s="2" t="s">
        <v>302</v>
      </c>
      <c r="D301" s="2">
        <f>'Shift 13'!D302-'Shift 14'!D297</f>
        <v>234269.56</v>
      </c>
      <c r="E301" s="2">
        <f>'Shift 13'!E302-'Shift 14'!E297</f>
        <v>140142.35999999999</v>
      </c>
      <c r="F301" s="2">
        <f t="shared" si="8"/>
        <v>374411.92</v>
      </c>
      <c r="G301" s="2">
        <f>'Shift 13'!M302-'Shift 14'!M297</f>
        <v>47402.06</v>
      </c>
      <c r="H301" s="3">
        <f t="shared" si="9"/>
        <v>421813.98</v>
      </c>
    </row>
    <row r="302" spans="1:8" x14ac:dyDescent="0.2">
      <c r="A302" s="4">
        <v>2396</v>
      </c>
      <c r="B302" s="4">
        <v>1</v>
      </c>
      <c r="C302" s="2" t="s">
        <v>303</v>
      </c>
      <c r="D302" s="2">
        <f>'Shift 13'!D303-'Shift 14'!D298</f>
        <v>245572.68</v>
      </c>
      <c r="E302" s="2">
        <f>'Shift 13'!E303-'Shift 14'!E298</f>
        <v>325099.25</v>
      </c>
      <c r="F302" s="2">
        <f t="shared" si="8"/>
        <v>570671.92999999993</v>
      </c>
      <c r="G302" s="2">
        <f>'Shift 13'!M303-'Shift 14'!M298</f>
        <v>60985.22</v>
      </c>
      <c r="H302" s="3">
        <f t="shared" si="9"/>
        <v>631657.14999999991</v>
      </c>
    </row>
    <row r="303" spans="1:8" x14ac:dyDescent="0.2">
      <c r="A303" s="4">
        <v>2397</v>
      </c>
      <c r="B303" s="4">
        <v>1</v>
      </c>
      <c r="C303" s="2" t="s">
        <v>1151</v>
      </c>
      <c r="D303" s="2">
        <f>'Shift 13'!D304-'Shift 14'!D299</f>
        <v>252555.34</v>
      </c>
      <c r="E303" s="2">
        <f>'Shift 13'!E304-'Shift 14'!E299</f>
        <v>349396.26</v>
      </c>
      <c r="F303" s="2">
        <f t="shared" si="8"/>
        <v>601951.6</v>
      </c>
      <c r="G303" s="2">
        <f>'Shift 13'!M304-'Shift 14'!M299</f>
        <v>48045.81</v>
      </c>
      <c r="H303" s="3">
        <f t="shared" si="9"/>
        <v>649997.40999999992</v>
      </c>
    </row>
    <row r="304" spans="1:8" x14ac:dyDescent="0.2">
      <c r="A304" s="4">
        <v>2448</v>
      </c>
      <c r="B304" s="4">
        <v>1</v>
      </c>
      <c r="C304" s="2" t="s">
        <v>1150</v>
      </c>
      <c r="D304" s="2">
        <f>'Shift 13'!D305-'Shift 14'!D300</f>
        <v>246230.25</v>
      </c>
      <c r="E304" s="2">
        <f>'Shift 13'!E305-'Shift 14'!E300</f>
        <v>271730.46000000002</v>
      </c>
      <c r="F304" s="2">
        <f t="shared" si="8"/>
        <v>517960.71</v>
      </c>
      <c r="G304" s="2">
        <f>'Shift 13'!M305-'Shift 14'!M300</f>
        <v>34346.050000000003</v>
      </c>
      <c r="H304" s="3">
        <f t="shared" si="9"/>
        <v>552306.76</v>
      </c>
    </row>
    <row r="305" spans="1:8" x14ac:dyDescent="0.2">
      <c r="A305" s="4">
        <v>2527</v>
      </c>
      <c r="B305" s="4">
        <v>1</v>
      </c>
      <c r="C305" s="2" t="s">
        <v>1149</v>
      </c>
      <c r="D305" s="2">
        <f>'Shift 13'!D306-'Shift 14'!D301</f>
        <v>104925.14</v>
      </c>
      <c r="E305" s="2">
        <f>'Shift 13'!E306-'Shift 14'!E301</f>
        <v>57520.22</v>
      </c>
      <c r="F305" s="2">
        <f t="shared" si="8"/>
        <v>162445.35999999999</v>
      </c>
      <c r="G305" s="2">
        <f>'Shift 13'!M306-'Shift 14'!M301</f>
        <v>10967.28</v>
      </c>
      <c r="H305" s="3">
        <f t="shared" si="9"/>
        <v>173412.63999999998</v>
      </c>
    </row>
    <row r="306" spans="1:8" x14ac:dyDescent="0.2">
      <c r="A306" s="4">
        <v>2534</v>
      </c>
      <c r="B306" s="4">
        <v>1</v>
      </c>
      <c r="C306" s="2" t="s">
        <v>1148</v>
      </c>
      <c r="D306" s="2">
        <f>'Shift 13'!D307-'Shift 14'!D302</f>
        <v>189180.62</v>
      </c>
      <c r="E306" s="2">
        <f>'Shift 13'!E307-'Shift 14'!E302</f>
        <v>83499.77</v>
      </c>
      <c r="F306" s="2">
        <f t="shared" si="8"/>
        <v>272680.39</v>
      </c>
      <c r="G306" s="2">
        <f>'Shift 13'!M307-'Shift 14'!M302</f>
        <v>33598.400000000001</v>
      </c>
      <c r="H306" s="3">
        <f t="shared" si="9"/>
        <v>306278.79000000004</v>
      </c>
    </row>
    <row r="307" spans="1:8" x14ac:dyDescent="0.2">
      <c r="A307" s="4">
        <v>2536</v>
      </c>
      <c r="B307" s="4">
        <v>1</v>
      </c>
      <c r="C307" s="2" t="s">
        <v>1146</v>
      </c>
      <c r="D307" s="2">
        <f>'Shift 13'!D308-'Shift 14'!D303</f>
        <v>62691.1</v>
      </c>
      <c r="E307" s="2">
        <f>'Shift 13'!E308-'Shift 14'!E303</f>
        <v>195639.17</v>
      </c>
      <c r="F307" s="2">
        <f t="shared" si="8"/>
        <v>258330.27000000002</v>
      </c>
      <c r="G307" s="2">
        <f>'Shift 13'!M308-'Shift 14'!M303</f>
        <v>17713.919999999998</v>
      </c>
      <c r="H307" s="3">
        <f t="shared" si="9"/>
        <v>276044.19</v>
      </c>
    </row>
    <row r="308" spans="1:8" x14ac:dyDescent="0.2">
      <c r="A308" s="4">
        <v>2580</v>
      </c>
      <c r="B308" s="4">
        <v>1</v>
      </c>
      <c r="C308" s="2" t="s">
        <v>1147</v>
      </c>
      <c r="D308" s="2">
        <f>'Shift 13'!D309-'Shift 14'!D304</f>
        <v>152060.64000000001</v>
      </c>
      <c r="E308" s="2">
        <f>'Shift 13'!E309-'Shift 14'!E304</f>
        <v>0</v>
      </c>
      <c r="F308" s="2">
        <f t="shared" si="8"/>
        <v>152060.64000000001</v>
      </c>
      <c r="G308" s="2">
        <f>'Shift 13'!M309-'Shift 14'!M304</f>
        <v>33917.879999999997</v>
      </c>
      <c r="H308" s="3">
        <f t="shared" si="9"/>
        <v>185978.52000000002</v>
      </c>
    </row>
    <row r="309" spans="1:8" x14ac:dyDescent="0.2">
      <c r="A309" s="4">
        <v>2609</v>
      </c>
      <c r="B309" s="4">
        <v>1</v>
      </c>
      <c r="C309" s="2" t="s">
        <v>310</v>
      </c>
      <c r="D309" s="2">
        <f>'Shift 13'!D310-'Shift 14'!D305</f>
        <v>115075</v>
      </c>
      <c r="E309" s="2">
        <f>'Shift 13'!E310-'Shift 14'!E305</f>
        <v>123333.55</v>
      </c>
      <c r="F309" s="2">
        <f t="shared" si="8"/>
        <v>238408.55</v>
      </c>
      <c r="G309" s="2">
        <f>'Shift 13'!M310-'Shift 14'!M305</f>
        <v>16921.54</v>
      </c>
      <c r="H309" s="3">
        <f t="shared" si="9"/>
        <v>255330.09</v>
      </c>
    </row>
    <row r="310" spans="1:8" x14ac:dyDescent="0.2">
      <c r="A310" s="4">
        <v>2683</v>
      </c>
      <c r="B310" s="4">
        <v>1</v>
      </c>
      <c r="C310" s="2" t="s">
        <v>1145</v>
      </c>
      <c r="D310" s="2">
        <f>'Shift 13'!D311-'Shift 14'!D306</f>
        <v>53340.43</v>
      </c>
      <c r="E310" s="2">
        <f>'Shift 13'!E311-'Shift 14'!E306</f>
        <v>56963.82</v>
      </c>
      <c r="F310" s="2">
        <f t="shared" si="8"/>
        <v>110304.25</v>
      </c>
      <c r="G310" s="2">
        <f>'Shift 13'!M311-'Shift 14'!M306</f>
        <v>13951.6</v>
      </c>
      <c r="H310" s="3">
        <f t="shared" si="9"/>
        <v>124255.85</v>
      </c>
    </row>
    <row r="311" spans="1:8" x14ac:dyDescent="0.2">
      <c r="A311" s="4">
        <v>2687</v>
      </c>
      <c r="B311" s="4">
        <v>1</v>
      </c>
      <c r="C311" s="2" t="s">
        <v>1144</v>
      </c>
      <c r="D311" s="2">
        <f>'Shift 13'!D312-'Shift 14'!D307</f>
        <v>290817.53000000003</v>
      </c>
      <c r="E311" s="2">
        <f>'Shift 13'!E312-'Shift 14'!E307</f>
        <v>203707.48</v>
      </c>
      <c r="F311" s="2">
        <f t="shared" si="8"/>
        <v>494525.01</v>
      </c>
      <c r="G311" s="2">
        <f>'Shift 13'!M312-'Shift 14'!M307</f>
        <v>55921.59</v>
      </c>
      <c r="H311" s="3">
        <f t="shared" si="9"/>
        <v>550446.6</v>
      </c>
    </row>
    <row r="312" spans="1:8" x14ac:dyDescent="0.2">
      <c r="A312" s="4">
        <v>2689</v>
      </c>
      <c r="B312" s="4">
        <v>1</v>
      </c>
      <c r="C312" s="2" t="s">
        <v>1143</v>
      </c>
      <c r="D312" s="2">
        <f>'Shift 13'!D313-'Shift 14'!D308</f>
        <v>203084.13</v>
      </c>
      <c r="E312" s="2">
        <f>'Shift 13'!E313-'Shift 14'!E308</f>
        <v>368452.85</v>
      </c>
      <c r="F312" s="2">
        <f t="shared" si="8"/>
        <v>571536.98</v>
      </c>
      <c r="G312" s="2">
        <f>'Shift 13'!M313-'Shift 14'!M308</f>
        <v>52423.27</v>
      </c>
      <c r="H312" s="3">
        <f t="shared" si="9"/>
        <v>623960.25</v>
      </c>
    </row>
    <row r="313" spans="1:8" x14ac:dyDescent="0.2">
      <c r="A313" s="4">
        <v>2711</v>
      </c>
      <c r="B313" s="4">
        <v>1</v>
      </c>
      <c r="C313" s="2" t="s">
        <v>314</v>
      </c>
      <c r="D313" s="2">
        <f>'Shift 13'!D314-'Shift 14'!D309</f>
        <v>0</v>
      </c>
      <c r="E313" s="2">
        <f>'Shift 13'!E314-'Shift 14'!E309</f>
        <v>0</v>
      </c>
      <c r="F313" s="2">
        <f t="shared" si="8"/>
        <v>0</v>
      </c>
      <c r="G313" s="2">
        <f>'Shift 13'!M314-'Shift 14'!M309</f>
        <v>0</v>
      </c>
      <c r="H313" s="3">
        <f t="shared" si="9"/>
        <v>0</v>
      </c>
    </row>
    <row r="314" spans="1:8" x14ac:dyDescent="0.2">
      <c r="A314" s="4">
        <v>2752</v>
      </c>
      <c r="B314" s="4">
        <v>1</v>
      </c>
      <c r="C314" s="2" t="s">
        <v>1142</v>
      </c>
      <c r="D314" s="2">
        <f>'Shift 13'!D315-'Shift 14'!D310</f>
        <v>567232.57999999996</v>
      </c>
      <c r="E314" s="2">
        <f>'Shift 13'!E315-'Shift 14'!E310</f>
        <v>691803.46</v>
      </c>
      <c r="F314" s="2">
        <f t="shared" si="8"/>
        <v>1259036.04</v>
      </c>
      <c r="G314" s="2">
        <f>'Shift 13'!M315-'Shift 14'!M310</f>
        <v>73624.83</v>
      </c>
      <c r="H314" s="3">
        <f t="shared" si="9"/>
        <v>1332660.8700000001</v>
      </c>
    </row>
    <row r="315" spans="1:8" x14ac:dyDescent="0.2">
      <c r="A315" s="4">
        <v>2753</v>
      </c>
      <c r="B315" s="4">
        <v>1</v>
      </c>
      <c r="C315" s="2" t="s">
        <v>1141</v>
      </c>
      <c r="D315" s="2">
        <f>'Shift 13'!D316-'Shift 14'!D311</f>
        <v>217360.96</v>
      </c>
      <c r="E315" s="2">
        <f>'Shift 13'!E316-'Shift 14'!E311</f>
        <v>213959.31</v>
      </c>
      <c r="F315" s="2">
        <f t="shared" si="8"/>
        <v>431320.27</v>
      </c>
      <c r="G315" s="2">
        <f>'Shift 13'!M316-'Shift 14'!M311</f>
        <v>13817.11</v>
      </c>
      <c r="H315" s="3">
        <f t="shared" si="9"/>
        <v>445137.38</v>
      </c>
    </row>
    <row r="316" spans="1:8" x14ac:dyDescent="0.2">
      <c r="A316" s="4">
        <v>2754</v>
      </c>
      <c r="B316" s="4">
        <v>1</v>
      </c>
      <c r="C316" s="2" t="s">
        <v>317</v>
      </c>
      <c r="D316" s="2">
        <f>'Shift 13'!D317-'Shift 14'!D312</f>
        <v>155863.87</v>
      </c>
      <c r="E316" s="2">
        <f>'Shift 13'!E317-'Shift 14'!E312</f>
        <v>0</v>
      </c>
      <c r="F316" s="2">
        <f t="shared" si="8"/>
        <v>155863.87</v>
      </c>
      <c r="G316" s="2">
        <f>'Shift 13'!M317-'Shift 14'!M312</f>
        <v>25063.51</v>
      </c>
      <c r="H316" s="3">
        <f t="shared" si="9"/>
        <v>180927.38</v>
      </c>
    </row>
    <row r="317" spans="1:8" x14ac:dyDescent="0.2">
      <c r="A317" s="4">
        <v>2759</v>
      </c>
      <c r="B317" s="4">
        <v>1</v>
      </c>
      <c r="C317" s="2" t="s">
        <v>1140</v>
      </c>
      <c r="D317" s="2">
        <f>'Shift 13'!D318-'Shift 14'!D313</f>
        <v>67909.740000000005</v>
      </c>
      <c r="E317" s="2">
        <f>'Shift 13'!E318-'Shift 14'!E313</f>
        <v>70843.539999999994</v>
      </c>
      <c r="F317" s="2">
        <f t="shared" si="8"/>
        <v>138753.28</v>
      </c>
      <c r="G317" s="2">
        <f>'Shift 13'!M318-'Shift 14'!M313</f>
        <v>7402.75</v>
      </c>
      <c r="H317" s="3">
        <f t="shared" si="9"/>
        <v>146156.03</v>
      </c>
    </row>
    <row r="318" spans="1:8" x14ac:dyDescent="0.2">
      <c r="A318" s="4">
        <v>2769</v>
      </c>
      <c r="B318" s="4">
        <v>1</v>
      </c>
      <c r="C318" s="2" t="s">
        <v>1167</v>
      </c>
      <c r="D318" s="2">
        <f>'Shift 13'!D319-'Shift 14'!D314</f>
        <v>224979.71999999997</v>
      </c>
      <c r="E318" s="2">
        <f>'Shift 13'!E319-'Shift 14'!E314</f>
        <v>161964.91</v>
      </c>
      <c r="F318" s="2">
        <f t="shared" si="8"/>
        <v>386944.63</v>
      </c>
      <c r="G318" s="2">
        <f>'Shift 13'!M319-'Shift 14'!M314</f>
        <v>53437.119999999995</v>
      </c>
      <c r="H318" s="3">
        <f t="shared" si="9"/>
        <v>440381.75</v>
      </c>
    </row>
    <row r="319" spans="1:8" x14ac:dyDescent="0.2">
      <c r="A319" s="4">
        <v>2805</v>
      </c>
      <c r="B319" s="4">
        <v>1</v>
      </c>
      <c r="C319" s="2" t="s">
        <v>319</v>
      </c>
      <c r="D319" s="2">
        <f>'Shift 13'!D320-'Shift 14'!D315</f>
        <v>240086.86</v>
      </c>
      <c r="E319" s="2">
        <f>'Shift 13'!E320-'Shift 14'!E315</f>
        <v>366385.7</v>
      </c>
      <c r="F319" s="2">
        <f t="shared" si="8"/>
        <v>606472.56000000006</v>
      </c>
      <c r="G319" s="2">
        <f>'Shift 13'!M320-'Shift 14'!M315</f>
        <v>77380.92</v>
      </c>
      <c r="H319" s="3">
        <f t="shared" si="9"/>
        <v>683853.4800000001</v>
      </c>
    </row>
    <row r="320" spans="1:8" x14ac:dyDescent="0.2">
      <c r="A320" s="4">
        <v>2835</v>
      </c>
      <c r="B320" s="4">
        <v>1</v>
      </c>
      <c r="C320" s="2" t="s">
        <v>1139</v>
      </c>
      <c r="D320" s="2">
        <f>'Shift 13'!D321-'Shift 14'!D316</f>
        <v>139088.64000000001</v>
      </c>
      <c r="E320" s="2">
        <f>'Shift 13'!E321-'Shift 14'!E316</f>
        <v>401966.11</v>
      </c>
      <c r="F320" s="2">
        <f t="shared" si="8"/>
        <v>541054.75</v>
      </c>
      <c r="G320" s="2">
        <f>'Shift 13'!M321-'Shift 14'!M316</f>
        <v>26955.99</v>
      </c>
      <c r="H320" s="3">
        <f t="shared" si="9"/>
        <v>568010.74</v>
      </c>
    </row>
    <row r="321" spans="1:8" x14ac:dyDescent="0.2">
      <c r="A321" s="4">
        <v>2853</v>
      </c>
      <c r="B321" s="4">
        <v>1</v>
      </c>
      <c r="C321" s="2" t="s">
        <v>1138</v>
      </c>
      <c r="D321" s="2">
        <f>'Shift 13'!D322-'Shift 14'!D317</f>
        <v>267050.78999999998</v>
      </c>
      <c r="E321" s="2">
        <f>'Shift 13'!E322-'Shift 14'!E317</f>
        <v>261278.57</v>
      </c>
      <c r="F321" s="2">
        <f t="shared" si="8"/>
        <v>528329.36</v>
      </c>
      <c r="G321" s="2">
        <f>'Shift 13'!M322-'Shift 14'!M317</f>
        <v>49336.85</v>
      </c>
      <c r="H321" s="3">
        <f t="shared" si="9"/>
        <v>577666.21</v>
      </c>
    </row>
    <row r="322" spans="1:8" x14ac:dyDescent="0.2">
      <c r="A322" s="4">
        <v>2854</v>
      </c>
      <c r="B322" s="4">
        <v>1</v>
      </c>
      <c r="C322" s="2" t="s">
        <v>322</v>
      </c>
      <c r="D322" s="2">
        <f>'Shift 13'!D323-'Shift 14'!D318</f>
        <v>115384.39</v>
      </c>
      <c r="E322" s="2">
        <f>'Shift 13'!E323-'Shift 14'!E318</f>
        <v>44011.16</v>
      </c>
      <c r="F322" s="2">
        <f t="shared" si="8"/>
        <v>159395.54999999999</v>
      </c>
      <c r="G322" s="2">
        <f>'Shift 13'!M323-'Shift 14'!M318</f>
        <v>18116.79</v>
      </c>
      <c r="H322" s="3">
        <f t="shared" si="9"/>
        <v>177512.34</v>
      </c>
    </row>
    <row r="323" spans="1:8" x14ac:dyDescent="0.2">
      <c r="A323" s="4">
        <v>2856</v>
      </c>
      <c r="B323" s="4">
        <v>1</v>
      </c>
      <c r="C323" s="2" t="s">
        <v>1137</v>
      </c>
      <c r="D323" s="2">
        <f>'Shift 13'!D324-'Shift 14'!D319</f>
        <v>164543.62</v>
      </c>
      <c r="E323" s="2">
        <f>'Shift 13'!E324-'Shift 14'!E319</f>
        <v>0</v>
      </c>
      <c r="F323" s="2">
        <f t="shared" si="8"/>
        <v>164543.62</v>
      </c>
      <c r="G323" s="2">
        <f>'Shift 13'!M324-'Shift 14'!M319</f>
        <v>25151.96</v>
      </c>
      <c r="H323" s="3">
        <f t="shared" si="9"/>
        <v>189695.58</v>
      </c>
    </row>
    <row r="324" spans="1:8" x14ac:dyDescent="0.2">
      <c r="A324" s="4">
        <v>2859</v>
      </c>
      <c r="B324" s="4">
        <v>1</v>
      </c>
      <c r="C324" s="2" t="s">
        <v>1136</v>
      </c>
      <c r="D324" s="2">
        <f>'Shift 13'!D325-'Shift 14'!D320</f>
        <v>348586.91</v>
      </c>
      <c r="E324" s="2">
        <f>'Shift 13'!E325-'Shift 14'!E320</f>
        <v>392708.09</v>
      </c>
      <c r="F324" s="2">
        <f t="shared" si="8"/>
        <v>741295</v>
      </c>
      <c r="G324" s="2">
        <f>'Shift 13'!M325-'Shift 14'!M320</f>
        <v>79281.33</v>
      </c>
      <c r="H324" s="3">
        <f t="shared" si="9"/>
        <v>820576.33</v>
      </c>
    </row>
    <row r="325" spans="1:8" x14ac:dyDescent="0.2">
      <c r="A325" s="4">
        <v>2860</v>
      </c>
      <c r="B325" s="4">
        <v>1</v>
      </c>
      <c r="C325" s="2" t="s">
        <v>325</v>
      </c>
      <c r="D325" s="2">
        <f>'Shift 13'!D326-'Shift 14'!D321</f>
        <v>277421.53999999998</v>
      </c>
      <c r="E325" s="2">
        <f>'Shift 13'!E326-'Shift 14'!E321</f>
        <v>70365.53</v>
      </c>
      <c r="F325" s="2">
        <f t="shared" ref="F325:F341" si="10">D325+E325</f>
        <v>347787.06999999995</v>
      </c>
      <c r="G325" s="2">
        <f>'Shift 13'!M326-'Shift 14'!M321</f>
        <v>63385.04</v>
      </c>
      <c r="H325" s="3">
        <f t="shared" ref="H325:H341" si="11">SUM(F325:G325)</f>
        <v>411172.10999999993</v>
      </c>
    </row>
    <row r="326" spans="1:8" x14ac:dyDescent="0.2">
      <c r="A326" s="4">
        <v>2884</v>
      </c>
      <c r="B326" s="4">
        <v>1</v>
      </c>
      <c r="C326" s="2" t="s">
        <v>326</v>
      </c>
      <c r="D326" s="2">
        <f>'Shift 13'!D327-'Shift 14'!D322</f>
        <v>109281.89</v>
      </c>
      <c r="E326" s="2">
        <f>'Shift 13'!E327-'Shift 14'!E322</f>
        <v>214577.9</v>
      </c>
      <c r="F326" s="2">
        <f t="shared" si="10"/>
        <v>323859.78999999998</v>
      </c>
      <c r="G326" s="2">
        <f>'Shift 13'!M327-'Shift 14'!M322</f>
        <v>17427.96</v>
      </c>
      <c r="H326" s="3">
        <f t="shared" si="11"/>
        <v>341287.75</v>
      </c>
    </row>
    <row r="327" spans="1:8" x14ac:dyDescent="0.2">
      <c r="A327" s="4">
        <v>2886</v>
      </c>
      <c r="B327" s="4">
        <v>1</v>
      </c>
      <c r="C327" s="2" t="s">
        <v>327</v>
      </c>
      <c r="D327" s="2">
        <f>'Shift 13'!D328-'Shift 14'!D323</f>
        <v>71079.02</v>
      </c>
      <c r="E327" s="2">
        <f>'Shift 13'!E328-'Shift 14'!E323</f>
        <v>934.71</v>
      </c>
      <c r="F327" s="2">
        <f t="shared" si="10"/>
        <v>72013.73000000001</v>
      </c>
      <c r="G327" s="2">
        <f>'Shift 13'!M328-'Shift 14'!M323</f>
        <v>11390.87</v>
      </c>
      <c r="H327" s="3">
        <f t="shared" si="11"/>
        <v>83404.600000000006</v>
      </c>
    </row>
    <row r="328" spans="1:8" x14ac:dyDescent="0.2">
      <c r="A328" s="4">
        <v>2888</v>
      </c>
      <c r="B328" s="4">
        <v>1</v>
      </c>
      <c r="C328" s="2" t="s">
        <v>1135</v>
      </c>
      <c r="D328" s="2">
        <f>'Shift 13'!D329-'Shift 14'!D324</f>
        <v>78620.02</v>
      </c>
      <c r="E328" s="2">
        <f>'Shift 13'!E329-'Shift 14'!E324</f>
        <v>73226.509999999995</v>
      </c>
      <c r="F328" s="2">
        <f t="shared" si="10"/>
        <v>151846.53</v>
      </c>
      <c r="G328" s="2">
        <f>'Shift 13'!M329-'Shift 14'!M324</f>
        <v>8267.0499999999993</v>
      </c>
      <c r="H328" s="3">
        <f t="shared" si="11"/>
        <v>160113.57999999999</v>
      </c>
    </row>
    <row r="329" spans="1:8" x14ac:dyDescent="0.2">
      <c r="A329" s="4">
        <v>2889</v>
      </c>
      <c r="B329" s="4">
        <v>1</v>
      </c>
      <c r="C329" s="2" t="s">
        <v>1134</v>
      </c>
      <c r="D329" s="2">
        <f>'Shift 13'!D330-'Shift 14'!D325</f>
        <v>183662.17</v>
      </c>
      <c r="E329" s="2">
        <f>'Shift 13'!E330-'Shift 14'!E325</f>
        <v>257883.45</v>
      </c>
      <c r="F329" s="2">
        <f t="shared" si="10"/>
        <v>441545.62</v>
      </c>
      <c r="G329" s="2">
        <f>'Shift 13'!M330-'Shift 14'!M325</f>
        <v>36219.379999999997</v>
      </c>
      <c r="H329" s="3">
        <f t="shared" si="11"/>
        <v>477765</v>
      </c>
    </row>
    <row r="330" spans="1:8" x14ac:dyDescent="0.2">
      <c r="A330" s="4">
        <v>2890</v>
      </c>
      <c r="B330" s="4">
        <v>1</v>
      </c>
      <c r="C330" s="2" t="s">
        <v>1133</v>
      </c>
      <c r="D330" s="2">
        <f>'Shift 13'!D331-'Shift 14'!D326</f>
        <v>245598.28</v>
      </c>
      <c r="E330" s="2">
        <f>'Shift 13'!E331-'Shift 14'!E326</f>
        <v>292901.28999999998</v>
      </c>
      <c r="F330" s="2">
        <f t="shared" si="10"/>
        <v>538499.56999999995</v>
      </c>
      <c r="G330" s="2">
        <f>'Shift 13'!M331-'Shift 14'!M326</f>
        <v>31076.17</v>
      </c>
      <c r="H330" s="3">
        <f t="shared" si="11"/>
        <v>569575.74</v>
      </c>
    </row>
    <row r="331" spans="1:8" x14ac:dyDescent="0.2">
      <c r="A331" s="4">
        <v>2895</v>
      </c>
      <c r="B331" s="4">
        <v>1</v>
      </c>
      <c r="C331" s="2" t="s">
        <v>1132</v>
      </c>
      <c r="D331" s="2">
        <f>'Shift 13'!D332-'Shift 14'!D327</f>
        <v>307503.96999999997</v>
      </c>
      <c r="E331" s="2">
        <f>'Shift 13'!E332-'Shift 14'!E327</f>
        <v>394046.22</v>
      </c>
      <c r="F331" s="2">
        <f t="shared" si="10"/>
        <v>701550.19</v>
      </c>
      <c r="G331" s="2">
        <f>'Shift 13'!M332-'Shift 14'!M327</f>
        <v>56038.720000000001</v>
      </c>
      <c r="H331" s="3">
        <f t="shared" si="11"/>
        <v>757588.90999999992</v>
      </c>
    </row>
    <row r="332" spans="1:8" x14ac:dyDescent="0.2">
      <c r="A332" s="4">
        <v>2897</v>
      </c>
      <c r="B332" s="4">
        <v>1</v>
      </c>
      <c r="C332" s="2" t="s">
        <v>1131</v>
      </c>
      <c r="D332" s="2">
        <f>'Shift 13'!D333-'Shift 14'!D328</f>
        <v>206470.39</v>
      </c>
      <c r="E332" s="2">
        <f>'Shift 13'!E333-'Shift 14'!E328</f>
        <v>380350.4</v>
      </c>
      <c r="F332" s="2">
        <f t="shared" si="10"/>
        <v>586820.79</v>
      </c>
      <c r="G332" s="2">
        <f>'Shift 13'!M333-'Shift 14'!M328</f>
        <v>54460.67</v>
      </c>
      <c r="H332" s="3">
        <f t="shared" si="11"/>
        <v>641281.46000000008</v>
      </c>
    </row>
    <row r="333" spans="1:8" x14ac:dyDescent="0.2">
      <c r="A333" s="4">
        <v>2898</v>
      </c>
      <c r="B333" s="4">
        <v>1</v>
      </c>
      <c r="C333" s="2" t="s">
        <v>1130</v>
      </c>
      <c r="D333" s="2">
        <f>'Shift 13'!D334-'Shift 14'!D329</f>
        <v>123186.91</v>
      </c>
      <c r="E333" s="2">
        <f>'Shift 13'!E334-'Shift 14'!E329</f>
        <v>0</v>
      </c>
      <c r="F333" s="2">
        <f t="shared" si="10"/>
        <v>123186.91</v>
      </c>
      <c r="G333" s="2">
        <f>'Shift 13'!M334-'Shift 14'!M329</f>
        <v>16588.150000000001</v>
      </c>
      <c r="H333" s="3">
        <f t="shared" si="11"/>
        <v>139775.06</v>
      </c>
    </row>
    <row r="334" spans="1:8" x14ac:dyDescent="0.2">
      <c r="A334" s="4">
        <v>2899</v>
      </c>
      <c r="B334" s="4">
        <v>1</v>
      </c>
      <c r="C334" s="2" t="s">
        <v>1079</v>
      </c>
      <c r="D334" s="2">
        <f>'Shift 13'!D335-'Shift 14'!D330</f>
        <v>330080.48</v>
      </c>
      <c r="E334" s="2">
        <f>'Shift 13'!E335-'Shift 14'!E330</f>
        <v>125443.74</v>
      </c>
      <c r="F334" s="2">
        <f t="shared" si="10"/>
        <v>455524.22</v>
      </c>
      <c r="G334" s="2">
        <f>'Shift 13'!M335-'Shift 14'!M330</f>
        <v>41734.76</v>
      </c>
      <c r="H334" s="3">
        <f t="shared" si="11"/>
        <v>497258.98</v>
      </c>
    </row>
    <row r="335" spans="1:8" x14ac:dyDescent="0.2">
      <c r="A335" s="4">
        <v>2902</v>
      </c>
      <c r="B335" s="4">
        <v>1</v>
      </c>
      <c r="C335" s="2" t="s">
        <v>493</v>
      </c>
      <c r="D335" s="2">
        <f>'Shift 13'!D336-'Shift 14'!D331</f>
        <v>196269.48</v>
      </c>
      <c r="E335" s="2">
        <f>'Shift 13'!E336-'Shift 14'!E331</f>
        <v>56957.97</v>
      </c>
      <c r="F335" s="2">
        <f t="shared" si="10"/>
        <v>253227.45</v>
      </c>
      <c r="G335" s="2">
        <f>'Shift 13'!M336-'Shift 14'!M331</f>
        <v>21726.14</v>
      </c>
      <c r="H335" s="3">
        <f t="shared" si="11"/>
        <v>274953.59000000003</v>
      </c>
    </row>
    <row r="336" spans="1:8" x14ac:dyDescent="0.2">
      <c r="A336" s="4">
        <v>2903</v>
      </c>
      <c r="B336" s="4">
        <v>1</v>
      </c>
      <c r="C336" s="2" t="s">
        <v>633</v>
      </c>
      <c r="D336" s="2">
        <f>'Shift 13'!D337-'Shift 14'!D332</f>
        <v>154033.4</v>
      </c>
      <c r="E336" s="2">
        <f>'Shift 13'!E337-'Shift 14'!E332</f>
        <v>101916.34</v>
      </c>
      <c r="F336" s="2">
        <f t="shared" si="10"/>
        <v>255949.74</v>
      </c>
      <c r="G336" s="2">
        <f>'Shift 13'!M337-'Shift 14'!M332</f>
        <v>22453.07</v>
      </c>
      <c r="H336" s="3">
        <f t="shared" si="11"/>
        <v>278402.81</v>
      </c>
    </row>
    <row r="337" spans="1:8" x14ac:dyDescent="0.2">
      <c r="A337" s="4">
        <v>2904</v>
      </c>
      <c r="B337" s="4">
        <v>1</v>
      </c>
      <c r="C337" s="2" t="s">
        <v>634</v>
      </c>
      <c r="D337" s="2">
        <f>'Shift 13'!D338-'Shift 14'!D333</f>
        <v>211049.54</v>
      </c>
      <c r="E337" s="2">
        <f>'Shift 13'!E338-'Shift 14'!E333</f>
        <v>166596.74</v>
      </c>
      <c r="F337" s="2">
        <f t="shared" si="10"/>
        <v>377646.28</v>
      </c>
      <c r="G337" s="2">
        <f>'Shift 13'!M338-'Shift 14'!M333</f>
        <v>37122.14</v>
      </c>
      <c r="H337" s="3">
        <f t="shared" si="11"/>
        <v>414768.42000000004</v>
      </c>
    </row>
    <row r="338" spans="1:8" x14ac:dyDescent="0.2">
      <c r="A338" s="4">
        <v>2905</v>
      </c>
      <c r="B338" s="4">
        <v>1</v>
      </c>
      <c r="C338" s="2" t="s">
        <v>1129</v>
      </c>
      <c r="D338" s="2">
        <f>'Shift 13'!D339-'Shift 14'!D334</f>
        <v>536537.51</v>
      </c>
      <c r="E338" s="2">
        <f>'Shift 13'!E339-'Shift 14'!E334</f>
        <v>383104.56</v>
      </c>
      <c r="F338" s="2">
        <f t="shared" si="10"/>
        <v>919642.07000000007</v>
      </c>
      <c r="G338" s="2">
        <f>'Shift 13'!M339-'Shift 14'!M334</f>
        <v>69885.58</v>
      </c>
      <c r="H338" s="3">
        <f t="shared" si="11"/>
        <v>989527.65</v>
      </c>
    </row>
    <row r="339" spans="1:8" x14ac:dyDescent="0.2">
      <c r="A339" s="4">
        <v>2906</v>
      </c>
      <c r="B339" s="4">
        <v>1</v>
      </c>
      <c r="C339" s="2" t="s">
        <v>1085</v>
      </c>
      <c r="D339" s="2">
        <f>'Shift 13'!D340-'Shift 14'!D335</f>
        <v>82252.739999999991</v>
      </c>
      <c r="E339" s="2">
        <f>'Shift 13'!E340-'Shift 14'!E335</f>
        <v>82744.5</v>
      </c>
      <c r="F339" s="2">
        <f t="shared" si="10"/>
        <v>164997.24</v>
      </c>
      <c r="G339" s="2">
        <f>'Shift 13'!M340-'Shift 14'!M335</f>
        <v>23605.989999999998</v>
      </c>
      <c r="H339" s="3">
        <f t="shared" si="11"/>
        <v>188603.22999999998</v>
      </c>
    </row>
    <row r="340" spans="1:8" x14ac:dyDescent="0.2">
      <c r="A340" s="4">
        <v>2907</v>
      </c>
      <c r="B340" s="4">
        <v>1</v>
      </c>
      <c r="C340" s="2" t="s">
        <v>1127</v>
      </c>
      <c r="D340" s="2">
        <f>'Shift 13'!D341-'Shift 14'!D336</f>
        <v>142813.1</v>
      </c>
      <c r="E340" s="2">
        <f>'Shift 13'!E341-'Shift 14'!E336</f>
        <v>77337.19</v>
      </c>
      <c r="F340" s="2">
        <f t="shared" si="10"/>
        <v>220150.29</v>
      </c>
      <c r="G340" s="2">
        <f>'Shift 13'!M341-'Shift 14'!M336</f>
        <v>19745.669999999998</v>
      </c>
      <c r="H340" s="3">
        <f t="shared" si="11"/>
        <v>239895.96000000002</v>
      </c>
    </row>
    <row r="341" spans="1:8" x14ac:dyDescent="0.2">
      <c r="A341" s="4">
        <v>2908</v>
      </c>
      <c r="B341" s="4">
        <v>1</v>
      </c>
      <c r="C341" s="2" t="s">
        <v>1128</v>
      </c>
      <c r="D341" s="2">
        <f>'Shift 13'!D342-'Shift 14'!D337</f>
        <v>161904.79</v>
      </c>
      <c r="E341" s="2">
        <f>'Shift 13'!E342-'Shift 14'!E337</f>
        <v>235233.04</v>
      </c>
      <c r="F341" s="2">
        <f t="shared" si="10"/>
        <v>397137.83</v>
      </c>
      <c r="G341" s="2">
        <f>'Shift 13'!M342-'Shift 14'!M337</f>
        <v>18280.88</v>
      </c>
      <c r="H341" s="3">
        <f t="shared" si="11"/>
        <v>415418.71</v>
      </c>
    </row>
    <row r="342" spans="1:8" x14ac:dyDescent="0.2">
      <c r="A342" s="159" t="s">
        <v>1241</v>
      </c>
    </row>
  </sheetData>
  <phoneticPr fontId="0" type="noConversion"/>
  <printOptions gridLines="1"/>
  <pageMargins left="0.5" right="0.5" top="0.5" bottom="0.5" header="0.5" footer="0.5"/>
  <pageSetup scale="95" fitToHeight="0" orientation="portrait" r:id="rId1"/>
  <headerFooter alignWithMargins="0">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44"/>
  <sheetViews>
    <sheetView workbookViewId="0">
      <pane xSplit="3" ySplit="5" topLeftCell="D6" activePane="bottomRight" state="frozen"/>
      <selection pane="topRight" activeCell="D1" sqref="D1"/>
      <selection pane="bottomLeft" activeCell="A8" sqref="A8"/>
      <selection pane="bottomRight"/>
    </sheetView>
  </sheetViews>
  <sheetFormatPr defaultColWidth="0" defaultRowHeight="11.25" zeroHeight="1" x14ac:dyDescent="0.2"/>
  <cols>
    <col min="1" max="2" width="6.83203125" style="17" customWidth="1"/>
    <col min="3" max="3" width="20.83203125" style="3" customWidth="1"/>
    <col min="4" max="4" width="19.33203125" style="3" customWidth="1"/>
    <col min="5" max="6" width="14.83203125" style="3" customWidth="1"/>
    <col min="7" max="14" width="13.83203125" style="3" customWidth="1"/>
    <col min="15" max="17" width="14.83203125" style="3" customWidth="1"/>
    <col min="18" max="16384" width="9.33203125" style="3" hidden="1"/>
  </cols>
  <sheetData>
    <row r="1" spans="1:17" ht="19.5" x14ac:dyDescent="0.3">
      <c r="A1" s="246" t="str">
        <f>Instructions!P1&amp;" Gross Shift"</f>
        <v>Pay 2014 Gross Shift</v>
      </c>
      <c r="D1" s="248" t="s">
        <v>1242</v>
      </c>
      <c r="E1" s="248" t="s">
        <v>1242</v>
      </c>
      <c r="F1" s="248" t="s">
        <v>1242</v>
      </c>
      <c r="G1" s="248" t="s">
        <v>1242</v>
      </c>
      <c r="H1" s="248" t="s">
        <v>1242</v>
      </c>
      <c r="I1" s="248" t="s">
        <v>1242</v>
      </c>
      <c r="J1" s="248" t="s">
        <v>1242</v>
      </c>
      <c r="K1" s="248" t="s">
        <v>1242</v>
      </c>
      <c r="L1" s="248" t="s">
        <v>1242</v>
      </c>
      <c r="M1" s="248" t="s">
        <v>1242</v>
      </c>
      <c r="N1" s="248" t="s">
        <v>1242</v>
      </c>
      <c r="O1" s="248" t="s">
        <v>1242</v>
      </c>
      <c r="P1" s="248" t="s">
        <v>1242</v>
      </c>
      <c r="Q1" s="137">
        <f>Report!I1</f>
        <v>41828</v>
      </c>
    </row>
    <row r="2" spans="1:17" x14ac:dyDescent="0.2">
      <c r="A2" s="17" t="s">
        <v>458</v>
      </c>
      <c r="B2" s="139">
        <v>0</v>
      </c>
      <c r="C2" s="248" t="s">
        <v>1242</v>
      </c>
      <c r="D2" s="248" t="s">
        <v>1242</v>
      </c>
      <c r="E2" s="248" t="s">
        <v>1242</v>
      </c>
      <c r="F2" s="248" t="s">
        <v>1242</v>
      </c>
      <c r="G2" s="248" t="s">
        <v>1242</v>
      </c>
      <c r="H2" s="248" t="s">
        <v>1242</v>
      </c>
      <c r="I2" s="248" t="s">
        <v>1242</v>
      </c>
      <c r="J2" s="248" t="s">
        <v>1242</v>
      </c>
      <c r="K2" s="248" t="s">
        <v>1242</v>
      </c>
      <c r="L2" s="248" t="s">
        <v>1242</v>
      </c>
      <c r="M2" s="248" t="s">
        <v>1242</v>
      </c>
      <c r="N2" s="248" t="s">
        <v>1242</v>
      </c>
      <c r="O2" s="248" t="s">
        <v>1242</v>
      </c>
      <c r="P2" s="248" t="s">
        <v>1242</v>
      </c>
      <c r="Q2" s="248" t="s">
        <v>1242</v>
      </c>
    </row>
    <row r="3" spans="1:17" s="8" customFormat="1" ht="22.5" x14ac:dyDescent="0.2">
      <c r="A3" s="248" t="s">
        <v>1242</v>
      </c>
      <c r="B3" s="248" t="s">
        <v>1242</v>
      </c>
      <c r="C3" s="248" t="s">
        <v>1242</v>
      </c>
      <c r="D3" s="8" t="s">
        <v>354</v>
      </c>
      <c r="E3" s="8" t="s">
        <v>355</v>
      </c>
      <c r="F3" s="8" t="s">
        <v>356</v>
      </c>
      <c r="G3" s="8" t="s">
        <v>353</v>
      </c>
      <c r="H3" s="8" t="s">
        <v>457</v>
      </c>
      <c r="I3" s="141" t="s">
        <v>357</v>
      </c>
      <c r="J3" s="8" t="s">
        <v>358</v>
      </c>
      <c r="K3" s="8" t="s">
        <v>359</v>
      </c>
      <c r="L3" s="8" t="s">
        <v>489</v>
      </c>
      <c r="M3" s="8" t="s">
        <v>351</v>
      </c>
      <c r="N3" s="8" t="s">
        <v>490</v>
      </c>
      <c r="O3" s="8" t="s">
        <v>491</v>
      </c>
      <c r="P3" s="8" t="s">
        <v>630</v>
      </c>
      <c r="Q3" s="8" t="s">
        <v>631</v>
      </c>
    </row>
    <row r="4" spans="1:17" x14ac:dyDescent="0.2">
      <c r="A4" s="248" t="s">
        <v>1242</v>
      </c>
      <c r="B4" s="248" t="s">
        <v>1242</v>
      </c>
      <c r="C4" s="3" t="s">
        <v>340</v>
      </c>
      <c r="D4" s="3">
        <f t="shared" ref="D4:Q4" si="0">SUM(D6:D337)</f>
        <v>0</v>
      </c>
      <c r="E4" s="3">
        <f t="shared" si="0"/>
        <v>0</v>
      </c>
      <c r="F4" s="3">
        <f t="shared" si="0"/>
        <v>114228540.45999995</v>
      </c>
      <c r="G4" s="3">
        <f t="shared" si="0"/>
        <v>4282529.1900000004</v>
      </c>
      <c r="H4" s="3">
        <f t="shared" si="0"/>
        <v>13410957.669999996</v>
      </c>
      <c r="I4" s="3">
        <f t="shared" si="0"/>
        <v>33527326.130000003</v>
      </c>
      <c r="J4" s="3">
        <f t="shared" si="0"/>
        <v>-42970.9</v>
      </c>
      <c r="K4" s="3">
        <f t="shared" si="0"/>
        <v>5715999.1400000015</v>
      </c>
      <c r="L4" s="3">
        <f t="shared" si="0"/>
        <v>0</v>
      </c>
      <c r="M4" s="3">
        <f t="shared" si="0"/>
        <v>0</v>
      </c>
      <c r="N4" s="3">
        <f t="shared" si="0"/>
        <v>0</v>
      </c>
      <c r="O4" s="3">
        <f t="shared" si="0"/>
        <v>171122381.69000003</v>
      </c>
      <c r="P4" s="3">
        <f t="shared" si="0"/>
        <v>171122381.69000003</v>
      </c>
      <c r="Q4" s="3">
        <f t="shared" si="0"/>
        <v>0</v>
      </c>
    </row>
    <row r="5" spans="1:17" x14ac:dyDescent="0.2">
      <c r="A5" s="247" t="s">
        <v>1240</v>
      </c>
    </row>
    <row r="6" spans="1:17" x14ac:dyDescent="0.2">
      <c r="A6" s="17">
        <v>1</v>
      </c>
      <c r="B6" s="17">
        <v>1</v>
      </c>
      <c r="C6" s="3" t="s">
        <v>5</v>
      </c>
      <c r="D6" s="3">
        <f>ROUND(Data!AA8*$B$2,2)</f>
        <v>0</v>
      </c>
      <c r="E6" s="3">
        <f>MAX(0,Data!AD8-Data!Y8)</f>
        <v>0</v>
      </c>
      <c r="F6" s="3">
        <f>Data!Y8</f>
        <v>141143.88</v>
      </c>
      <c r="G6" s="3">
        <f>Data!X8</f>
        <v>0</v>
      </c>
      <c r="H6" s="3">
        <f>Data!K8+Data!R8</f>
        <v>30163.769999999997</v>
      </c>
      <c r="I6" s="3">
        <f>Data!I8+Data!L8+Data!M8+Data!N8+Data!O8+Data!S8</f>
        <v>0</v>
      </c>
      <c r="J6" s="3">
        <f>Data!Q8</f>
        <v>0</v>
      </c>
      <c r="K6" s="3">
        <f>Data!J8+Data!P8</f>
        <v>6695.76</v>
      </c>
      <c r="L6" s="3">
        <f>Data!T8</f>
        <v>0</v>
      </c>
      <c r="M6" s="3">
        <f>ROUND(Data!AB8*$B$2,2)</f>
        <v>0</v>
      </c>
      <c r="N6" s="3">
        <f>Data!U8</f>
        <v>0</v>
      </c>
      <c r="O6" s="3">
        <f>SUM(D6:N6)</f>
        <v>178003.41</v>
      </c>
      <c r="P6" s="3">
        <f>SUM(D6:L6)</f>
        <v>178003.41</v>
      </c>
      <c r="Q6" s="3">
        <f>SUM(M6:N6)</f>
        <v>0</v>
      </c>
    </row>
    <row r="7" spans="1:17" x14ac:dyDescent="0.2">
      <c r="A7" s="17">
        <v>1.2</v>
      </c>
      <c r="B7" s="17">
        <v>3</v>
      </c>
      <c r="C7" s="3" t="s">
        <v>6</v>
      </c>
      <c r="D7" s="3">
        <f>ROUND(Data!AA9*$B$2,2)</f>
        <v>0</v>
      </c>
      <c r="E7" s="3">
        <f>MAX(0,Data!AD9-Data!Y9)</f>
        <v>0</v>
      </c>
      <c r="F7" s="3">
        <f>Data!Y9</f>
        <v>10049626.5</v>
      </c>
      <c r="G7" s="3">
        <f>Data!X9</f>
        <v>1205612.71</v>
      </c>
      <c r="H7" s="3">
        <f>Data!K9+Data!R9</f>
        <v>677261.48</v>
      </c>
      <c r="I7" s="3">
        <f>Data!I9+Data!L9+Data!M9+Data!N9+Data!O9+Data!S9</f>
        <v>12969266.699999999</v>
      </c>
      <c r="J7" s="3">
        <f>Data!Q9</f>
        <v>0</v>
      </c>
      <c r="K7" s="3">
        <f>Data!J9+Data!P9</f>
        <v>652807.69999999995</v>
      </c>
      <c r="L7" s="3">
        <f>Data!T9</f>
        <v>0</v>
      </c>
      <c r="M7" s="3">
        <f>ROUND(Data!AB9*$B$2,2)</f>
        <v>0</v>
      </c>
      <c r="N7" s="3">
        <f>Data!U9</f>
        <v>0</v>
      </c>
      <c r="O7" s="3">
        <f t="shared" ref="O7:O69" si="1">SUM(D7:N7)</f>
        <v>25554575.09</v>
      </c>
      <c r="P7" s="3">
        <f t="shared" ref="P7:P69" si="2">SUM(D7:L7)</f>
        <v>25554575.09</v>
      </c>
      <c r="Q7" s="3">
        <f t="shared" ref="Q7:Q69" si="3">SUM(M7:N7)</f>
        <v>0</v>
      </c>
    </row>
    <row r="8" spans="1:17" x14ac:dyDescent="0.2">
      <c r="A8" s="17">
        <v>2</v>
      </c>
      <c r="B8" s="17">
        <v>1</v>
      </c>
      <c r="C8" s="3" t="s">
        <v>7</v>
      </c>
      <c r="D8" s="3">
        <f>ROUND(Data!AA10*$B$2,2)</f>
        <v>0</v>
      </c>
      <c r="E8" s="3">
        <f>MAX(0,Data!AD10-Data!Y10)</f>
        <v>0</v>
      </c>
      <c r="F8" s="3">
        <f>Data!Y10</f>
        <v>0</v>
      </c>
      <c r="G8" s="3">
        <f>Data!X10</f>
        <v>0</v>
      </c>
      <c r="H8" s="3">
        <f>Data!K10+Data!R10</f>
        <v>-10000</v>
      </c>
      <c r="I8" s="3">
        <f>Data!I10+Data!L10+Data!M10+Data!N10+Data!O10+Data!S10</f>
        <v>0</v>
      </c>
      <c r="J8" s="3">
        <f>Data!Q10</f>
        <v>0</v>
      </c>
      <c r="K8" s="3">
        <f>Data!J10+Data!P10</f>
        <v>-9946.3700000000008</v>
      </c>
      <c r="L8" s="3">
        <f>Data!T10</f>
        <v>0</v>
      </c>
      <c r="M8" s="3">
        <f>ROUND(Data!AB10*$B$2,2)</f>
        <v>0</v>
      </c>
      <c r="N8" s="3">
        <f>Data!U10</f>
        <v>0</v>
      </c>
      <c r="O8" s="3">
        <f t="shared" si="1"/>
        <v>-19946.370000000003</v>
      </c>
      <c r="P8" s="3">
        <f t="shared" si="2"/>
        <v>-19946.370000000003</v>
      </c>
      <c r="Q8" s="3">
        <f t="shared" si="3"/>
        <v>0</v>
      </c>
    </row>
    <row r="9" spans="1:17" x14ac:dyDescent="0.2">
      <c r="A9" s="17">
        <v>4</v>
      </c>
      <c r="B9" s="17">
        <v>1</v>
      </c>
      <c r="C9" s="3" t="s">
        <v>8</v>
      </c>
      <c r="D9" s="3">
        <f>ROUND(Data!AA11*$B$2,2)</f>
        <v>0</v>
      </c>
      <c r="E9" s="3">
        <f>MAX(0,Data!AD11-Data!Y11)</f>
        <v>0</v>
      </c>
      <c r="F9" s="3">
        <f>Data!Y11</f>
        <v>51784.65</v>
      </c>
      <c r="G9" s="3">
        <f>Data!X11</f>
        <v>0</v>
      </c>
      <c r="H9" s="3">
        <f>Data!K11+Data!R11</f>
        <v>10982.92</v>
      </c>
      <c r="I9" s="3">
        <f>Data!I11+Data!L11+Data!M11+Data!N11+Data!O11+Data!S11</f>
        <v>0</v>
      </c>
      <c r="J9" s="3">
        <f>Data!Q11</f>
        <v>0</v>
      </c>
      <c r="K9" s="3">
        <f>Data!J11+Data!P11</f>
        <v>15077.41</v>
      </c>
      <c r="L9" s="3">
        <f>Data!T11</f>
        <v>0</v>
      </c>
      <c r="M9" s="3">
        <f>ROUND(Data!AB11*$B$2,2)</f>
        <v>0</v>
      </c>
      <c r="N9" s="3">
        <f>Data!U11</f>
        <v>0</v>
      </c>
      <c r="O9" s="3">
        <f t="shared" si="1"/>
        <v>77844.98</v>
      </c>
      <c r="P9" s="3">
        <f t="shared" si="2"/>
        <v>77844.98</v>
      </c>
      <c r="Q9" s="3">
        <f t="shared" si="3"/>
        <v>0</v>
      </c>
    </row>
    <row r="10" spans="1:17" x14ac:dyDescent="0.2">
      <c r="A10" s="17">
        <v>6</v>
      </c>
      <c r="B10" s="17">
        <v>3</v>
      </c>
      <c r="C10" s="3" t="s">
        <v>9</v>
      </c>
      <c r="D10" s="3">
        <f>ROUND(Data!AA12*$B$2,2)</f>
        <v>0</v>
      </c>
      <c r="E10" s="3">
        <f>MAX(0,Data!AD12-Data!Y12)</f>
        <v>0</v>
      </c>
      <c r="F10" s="3">
        <f>Data!Y12</f>
        <v>360711.07</v>
      </c>
      <c r="G10" s="3">
        <f>Data!X12</f>
        <v>0</v>
      </c>
      <c r="H10" s="3">
        <f>Data!K12+Data!R12</f>
        <v>33145.64</v>
      </c>
      <c r="I10" s="3">
        <f>Data!I12+Data!L12+Data!M12+Data!N12+Data!O12+Data!S12</f>
        <v>0</v>
      </c>
      <c r="J10" s="3">
        <f>Data!Q12</f>
        <v>0</v>
      </c>
      <c r="K10" s="3">
        <f>Data!J12+Data!P12</f>
        <v>18214.150000000001</v>
      </c>
      <c r="L10" s="3">
        <f>Data!T12</f>
        <v>0</v>
      </c>
      <c r="M10" s="3">
        <f>ROUND(Data!AB12*$B$2,2)</f>
        <v>0</v>
      </c>
      <c r="N10" s="3">
        <f>Data!U12</f>
        <v>0</v>
      </c>
      <c r="O10" s="3">
        <f t="shared" si="1"/>
        <v>412070.86000000004</v>
      </c>
      <c r="P10" s="3">
        <f t="shared" si="2"/>
        <v>412070.86000000004</v>
      </c>
      <c r="Q10" s="3">
        <f t="shared" si="3"/>
        <v>0</v>
      </c>
    </row>
    <row r="11" spans="1:17" x14ac:dyDescent="0.2">
      <c r="A11" s="17">
        <v>11</v>
      </c>
      <c r="B11" s="17">
        <v>1</v>
      </c>
      <c r="C11" s="3" t="s">
        <v>10</v>
      </c>
      <c r="D11" s="3">
        <f>ROUND(Data!AA13*$B$2,2)</f>
        <v>0</v>
      </c>
      <c r="E11" s="3">
        <f>MAX(0,Data!AD13-Data!Y13)</f>
        <v>0</v>
      </c>
      <c r="F11" s="3">
        <f>Data!Y13</f>
        <v>3515884.7</v>
      </c>
      <c r="G11" s="3">
        <f>Data!X13</f>
        <v>197692.1</v>
      </c>
      <c r="H11" s="3">
        <f>Data!K13+Data!R13</f>
        <v>502489.56999999995</v>
      </c>
      <c r="I11" s="3">
        <f>Data!I13+Data!L13+Data!M13+Data!N13+Data!O13+Data!S13</f>
        <v>0</v>
      </c>
      <c r="J11" s="3">
        <f>Data!Q13</f>
        <v>0</v>
      </c>
      <c r="K11" s="3">
        <f>Data!J13+Data!P13</f>
        <v>-42469.48000000001</v>
      </c>
      <c r="L11" s="3">
        <f>Data!T13</f>
        <v>0</v>
      </c>
      <c r="M11" s="3">
        <f>ROUND(Data!AB13*$B$2,2)</f>
        <v>0</v>
      </c>
      <c r="N11" s="3">
        <f>Data!U13</f>
        <v>0</v>
      </c>
      <c r="O11" s="3">
        <f t="shared" si="1"/>
        <v>4173596.89</v>
      </c>
      <c r="P11" s="3">
        <f t="shared" si="2"/>
        <v>4173596.89</v>
      </c>
      <c r="Q11" s="3">
        <f t="shared" si="3"/>
        <v>0</v>
      </c>
    </row>
    <row r="12" spans="1:17" x14ac:dyDescent="0.2">
      <c r="A12" s="17">
        <v>12</v>
      </c>
      <c r="B12" s="17">
        <v>1</v>
      </c>
      <c r="C12" s="3" t="s">
        <v>11</v>
      </c>
      <c r="D12" s="3">
        <f>ROUND(Data!AA14*$B$2,2)</f>
        <v>0</v>
      </c>
      <c r="E12" s="3">
        <f>MAX(0,Data!AD14-Data!Y14)</f>
        <v>0</v>
      </c>
      <c r="F12" s="3">
        <f>Data!Y14</f>
        <v>320094.52</v>
      </c>
      <c r="G12" s="3">
        <f>Data!X14</f>
        <v>16533.75</v>
      </c>
      <c r="H12" s="3">
        <f>Data!K14+Data!R14</f>
        <v>51446.720000000001</v>
      </c>
      <c r="I12" s="3">
        <f>Data!I14+Data!L14+Data!M14+Data!N14+Data!O14+Data!S14</f>
        <v>0</v>
      </c>
      <c r="J12" s="3">
        <f>Data!Q14</f>
        <v>0</v>
      </c>
      <c r="K12" s="3">
        <f>Data!J14+Data!P14</f>
        <v>50424.71</v>
      </c>
      <c r="L12" s="3">
        <f>Data!T14</f>
        <v>0</v>
      </c>
      <c r="M12" s="3">
        <f>ROUND(Data!AB14*$B$2,2)</f>
        <v>0</v>
      </c>
      <c r="N12" s="3">
        <f>Data!U14</f>
        <v>0</v>
      </c>
      <c r="O12" s="3">
        <f t="shared" si="1"/>
        <v>438499.7</v>
      </c>
      <c r="P12" s="3">
        <f t="shared" si="2"/>
        <v>438499.7</v>
      </c>
      <c r="Q12" s="3">
        <f t="shared" si="3"/>
        <v>0</v>
      </c>
    </row>
    <row r="13" spans="1:17" x14ac:dyDescent="0.2">
      <c r="A13" s="17">
        <v>13</v>
      </c>
      <c r="B13" s="17">
        <v>1</v>
      </c>
      <c r="C13" s="3" t="s">
        <v>12</v>
      </c>
      <c r="D13" s="3">
        <f>ROUND(Data!AA15*$B$2,2)</f>
        <v>0</v>
      </c>
      <c r="E13" s="3">
        <f>MAX(0,Data!AD15-Data!Y15)</f>
        <v>0</v>
      </c>
      <c r="F13" s="3">
        <f>Data!Y15</f>
        <v>848958.71</v>
      </c>
      <c r="G13" s="3">
        <f>Data!X15</f>
        <v>0</v>
      </c>
      <c r="H13" s="3">
        <f>Data!K15+Data!R15</f>
        <v>50538.880000000005</v>
      </c>
      <c r="I13" s="3">
        <f>Data!I15+Data!L15+Data!M15+Data!N15+Data!O15+Data!S15</f>
        <v>0</v>
      </c>
      <c r="J13" s="3">
        <f>Data!Q15</f>
        <v>0</v>
      </c>
      <c r="K13" s="3">
        <f>Data!J15+Data!P15</f>
        <v>36973.760000000002</v>
      </c>
      <c r="L13" s="3">
        <f>Data!T15</f>
        <v>0</v>
      </c>
      <c r="M13" s="3">
        <f>ROUND(Data!AB15*$B$2,2)</f>
        <v>0</v>
      </c>
      <c r="N13" s="3">
        <f>Data!U15</f>
        <v>0</v>
      </c>
      <c r="O13" s="3">
        <f t="shared" si="1"/>
        <v>936471.35</v>
      </c>
      <c r="P13" s="3">
        <f t="shared" si="2"/>
        <v>936471.35</v>
      </c>
      <c r="Q13" s="3">
        <f t="shared" si="3"/>
        <v>0</v>
      </c>
    </row>
    <row r="14" spans="1:17" x14ac:dyDescent="0.2">
      <c r="A14" s="17">
        <v>14</v>
      </c>
      <c r="B14" s="17">
        <v>1</v>
      </c>
      <c r="C14" s="3" t="s">
        <v>13</v>
      </c>
      <c r="D14" s="3">
        <f>ROUND(Data!AA16*$B$2,2)</f>
        <v>0</v>
      </c>
      <c r="E14" s="3">
        <f>MAX(0,Data!AD16-Data!Y16)</f>
        <v>0</v>
      </c>
      <c r="F14" s="3">
        <f>Data!Y16</f>
        <v>468605.33</v>
      </c>
      <c r="G14" s="3">
        <f>Data!X16</f>
        <v>0</v>
      </c>
      <c r="H14" s="3">
        <f>Data!K16+Data!R16</f>
        <v>34601.96</v>
      </c>
      <c r="I14" s="3">
        <f>Data!I16+Data!L16+Data!M16+Data!N16+Data!O16+Data!S16</f>
        <v>0</v>
      </c>
      <c r="J14" s="3">
        <f>Data!Q16</f>
        <v>0</v>
      </c>
      <c r="K14" s="3">
        <f>Data!J16+Data!P16</f>
        <v>-28231.130000000005</v>
      </c>
      <c r="L14" s="3">
        <f>Data!T16</f>
        <v>0</v>
      </c>
      <c r="M14" s="3">
        <f>ROUND(Data!AB16*$B$2,2)</f>
        <v>0</v>
      </c>
      <c r="N14" s="3">
        <f>Data!U16</f>
        <v>0</v>
      </c>
      <c r="O14" s="3">
        <f t="shared" si="1"/>
        <v>474976.16000000003</v>
      </c>
      <c r="P14" s="3">
        <f t="shared" si="2"/>
        <v>474976.16000000003</v>
      </c>
      <c r="Q14" s="3">
        <f t="shared" si="3"/>
        <v>0</v>
      </c>
    </row>
    <row r="15" spans="1:17" x14ac:dyDescent="0.2">
      <c r="A15" s="17">
        <v>15</v>
      </c>
      <c r="B15" s="17">
        <v>1</v>
      </c>
      <c r="C15" s="3" t="s">
        <v>14</v>
      </c>
      <c r="D15" s="3">
        <f>ROUND(Data!AA17*$B$2,2)</f>
        <v>0</v>
      </c>
      <c r="E15" s="3">
        <f>MAX(0,Data!AD17-Data!Y17)</f>
        <v>0</v>
      </c>
      <c r="F15" s="3">
        <f>Data!Y17</f>
        <v>288492.78999999998</v>
      </c>
      <c r="G15" s="3">
        <f>Data!X17</f>
        <v>0</v>
      </c>
      <c r="H15" s="3">
        <f>Data!K17+Data!R17</f>
        <v>75072.48000000001</v>
      </c>
      <c r="I15" s="3">
        <f>Data!I17+Data!L17+Data!M17+Data!N17+Data!O17+Data!S17</f>
        <v>0</v>
      </c>
      <c r="J15" s="3">
        <f>Data!Q17</f>
        <v>0</v>
      </c>
      <c r="K15" s="3">
        <f>Data!J17+Data!P17</f>
        <v>26458.58</v>
      </c>
      <c r="L15" s="3">
        <f>Data!T17</f>
        <v>0</v>
      </c>
      <c r="M15" s="3">
        <f>ROUND(Data!AB17*$B$2,2)</f>
        <v>0</v>
      </c>
      <c r="N15" s="3">
        <f>Data!U17</f>
        <v>0</v>
      </c>
      <c r="O15" s="3">
        <f>SUM(D15:N15)</f>
        <v>390023.85000000003</v>
      </c>
      <c r="P15" s="3">
        <f>SUM(D15:L15)</f>
        <v>390023.85000000003</v>
      </c>
      <c r="Q15" s="3">
        <f>SUM(M15:N15)</f>
        <v>0</v>
      </c>
    </row>
    <row r="16" spans="1:17" x14ac:dyDescent="0.2">
      <c r="A16" s="17">
        <v>16</v>
      </c>
      <c r="B16" s="17">
        <v>1</v>
      </c>
      <c r="C16" s="3" t="s">
        <v>15</v>
      </c>
      <c r="D16" s="3">
        <f>ROUND(Data!AA18*$B$2,2)</f>
        <v>0</v>
      </c>
      <c r="E16" s="3">
        <f>MAX(0,Data!AD18-Data!Y18)</f>
        <v>0</v>
      </c>
      <c r="F16" s="3">
        <f>Data!Y18</f>
        <v>804793.86</v>
      </c>
      <c r="G16" s="3">
        <f>Data!X18</f>
        <v>73286.44</v>
      </c>
      <c r="H16" s="3">
        <f>Data!K18+Data!R18</f>
        <v>57958.55</v>
      </c>
      <c r="I16" s="3">
        <f>Data!I18+Data!L18+Data!M18+Data!N18+Data!O18+Data!S18</f>
        <v>0</v>
      </c>
      <c r="J16" s="3">
        <f>Data!Q18</f>
        <v>0</v>
      </c>
      <c r="K16" s="3">
        <f>Data!J18+Data!P18</f>
        <v>135923.82</v>
      </c>
      <c r="L16" s="3">
        <f>Data!T18</f>
        <v>0</v>
      </c>
      <c r="M16" s="3">
        <f>ROUND(Data!AB18*$B$2,2)</f>
        <v>0</v>
      </c>
      <c r="N16" s="3">
        <f>Data!U18</f>
        <v>0</v>
      </c>
      <c r="O16" s="3">
        <f t="shared" si="1"/>
        <v>1071962.6700000002</v>
      </c>
      <c r="P16" s="3">
        <f t="shared" si="2"/>
        <v>1071962.6700000002</v>
      </c>
      <c r="Q16" s="3">
        <f t="shared" si="3"/>
        <v>0</v>
      </c>
    </row>
    <row r="17" spans="1:17" x14ac:dyDescent="0.2">
      <c r="A17" s="17">
        <v>22</v>
      </c>
      <c r="B17" s="17">
        <v>1</v>
      </c>
      <c r="C17" s="3" t="s">
        <v>16</v>
      </c>
      <c r="D17" s="3">
        <f>ROUND(Data!AA19*$B$2,2)</f>
        <v>0</v>
      </c>
      <c r="E17" s="3">
        <f>MAX(0,Data!AD19-Data!Y19)</f>
        <v>0</v>
      </c>
      <c r="F17" s="3">
        <f>Data!Y19</f>
        <v>133298.49</v>
      </c>
      <c r="G17" s="3">
        <f>Data!X19</f>
        <v>0</v>
      </c>
      <c r="H17" s="3">
        <f>Data!K19+Data!R19</f>
        <v>53846.78</v>
      </c>
      <c r="I17" s="3">
        <f>Data!I19+Data!L19+Data!M19+Data!N19+Data!O19+Data!S19</f>
        <v>0</v>
      </c>
      <c r="J17" s="3">
        <f>Data!Q19</f>
        <v>0</v>
      </c>
      <c r="K17" s="3">
        <f>Data!J19+Data!P19</f>
        <v>29758.83</v>
      </c>
      <c r="L17" s="3">
        <f>Data!T19</f>
        <v>0</v>
      </c>
      <c r="M17" s="3">
        <f>ROUND(Data!AB19*$B$2,2)</f>
        <v>0</v>
      </c>
      <c r="N17" s="3">
        <f>Data!U19</f>
        <v>0</v>
      </c>
      <c r="O17" s="3">
        <f t="shared" si="1"/>
        <v>216904.09999999998</v>
      </c>
      <c r="P17" s="3">
        <f t="shared" si="2"/>
        <v>216904.09999999998</v>
      </c>
      <c r="Q17" s="3">
        <f t="shared" si="3"/>
        <v>0</v>
      </c>
    </row>
    <row r="18" spans="1:17" x14ac:dyDescent="0.2">
      <c r="A18" s="17">
        <v>23</v>
      </c>
      <c r="B18" s="17">
        <v>1</v>
      </c>
      <c r="C18" s="3" t="s">
        <v>17</v>
      </c>
      <c r="D18" s="3">
        <f>ROUND(Data!AA20*$B$2,2)</f>
        <v>0</v>
      </c>
      <c r="E18" s="3">
        <f>MAX(0,Data!AD20-Data!Y20)</f>
        <v>0</v>
      </c>
      <c r="F18" s="3">
        <f>Data!Y20</f>
        <v>0</v>
      </c>
      <c r="G18" s="3">
        <f>Data!X20</f>
        <v>0</v>
      </c>
      <c r="H18" s="3">
        <f>Data!K20+Data!R20</f>
        <v>26403.18</v>
      </c>
      <c r="I18" s="3">
        <f>Data!I20+Data!L20+Data!M20+Data!N20+Data!O20+Data!S20</f>
        <v>0</v>
      </c>
      <c r="J18" s="3">
        <f>Data!Q20</f>
        <v>0</v>
      </c>
      <c r="K18" s="3">
        <f>Data!J20+Data!P20</f>
        <v>3255.01</v>
      </c>
      <c r="L18" s="3">
        <f>Data!T20</f>
        <v>0</v>
      </c>
      <c r="M18" s="3">
        <f>ROUND(Data!AB20*$B$2,2)</f>
        <v>0</v>
      </c>
      <c r="N18" s="3">
        <f>Data!U20</f>
        <v>0</v>
      </c>
      <c r="O18" s="3">
        <f t="shared" si="1"/>
        <v>29658.190000000002</v>
      </c>
      <c r="P18" s="3">
        <f t="shared" si="2"/>
        <v>29658.190000000002</v>
      </c>
      <c r="Q18" s="3">
        <f t="shared" si="3"/>
        <v>0</v>
      </c>
    </row>
    <row r="19" spans="1:17" x14ac:dyDescent="0.2">
      <c r="A19" s="17">
        <v>25</v>
      </c>
      <c r="B19" s="17">
        <v>1</v>
      </c>
      <c r="C19" s="3" t="s">
        <v>341</v>
      </c>
      <c r="D19" s="3">
        <f>ROUND(Data!AA21*$B$2,2)</f>
        <v>0</v>
      </c>
      <c r="E19" s="3">
        <f>MAX(0,Data!AD21-Data!Y21)</f>
        <v>0</v>
      </c>
      <c r="F19" s="3">
        <f>Data!Y21</f>
        <v>0</v>
      </c>
      <c r="G19" s="3">
        <f>Data!X21</f>
        <v>0</v>
      </c>
      <c r="H19" s="3">
        <f>Data!K21+Data!R21</f>
        <v>0</v>
      </c>
      <c r="I19" s="3">
        <f>Data!I21+Data!L21+Data!M21+Data!N21+Data!O21+Data!S21</f>
        <v>0</v>
      </c>
      <c r="J19" s="3">
        <f>Data!Q21</f>
        <v>0</v>
      </c>
      <c r="K19" s="3">
        <f>Data!J21+Data!P21</f>
        <v>0</v>
      </c>
      <c r="L19" s="3">
        <f>Data!T21</f>
        <v>0</v>
      </c>
      <c r="M19" s="3">
        <f>ROUND(Data!AB21*$B$2,2)</f>
        <v>0</v>
      </c>
      <c r="N19" s="3">
        <f>Data!U21</f>
        <v>0</v>
      </c>
      <c r="O19" s="3">
        <f t="shared" si="1"/>
        <v>0</v>
      </c>
      <c r="P19" s="3">
        <f t="shared" si="2"/>
        <v>0</v>
      </c>
      <c r="Q19" s="3">
        <f t="shared" si="3"/>
        <v>0</v>
      </c>
    </row>
    <row r="20" spans="1:17" x14ac:dyDescent="0.2">
      <c r="A20" s="17">
        <v>31</v>
      </c>
      <c r="B20" s="17">
        <v>1</v>
      </c>
      <c r="C20" s="3" t="s">
        <v>18</v>
      </c>
      <c r="D20" s="3">
        <f>ROUND(Data!AA22*$B$2,2)</f>
        <v>0</v>
      </c>
      <c r="E20" s="3">
        <f>MAX(0,Data!AD22-Data!Y22)</f>
        <v>0</v>
      </c>
      <c r="F20" s="3">
        <f>Data!Y22</f>
        <v>195530.98</v>
      </c>
      <c r="G20" s="3">
        <f>Data!X22</f>
        <v>0</v>
      </c>
      <c r="H20" s="3">
        <f>Data!K22+Data!R22</f>
        <v>78007.89</v>
      </c>
      <c r="I20" s="3">
        <f>Data!I22+Data!L22+Data!M22+Data!N22+Data!O22+Data!S22</f>
        <v>0</v>
      </c>
      <c r="J20" s="3">
        <f>Data!Q22</f>
        <v>0</v>
      </c>
      <c r="K20" s="3">
        <f>Data!J22+Data!P22</f>
        <v>36157.18</v>
      </c>
      <c r="L20" s="3">
        <f>Data!T22</f>
        <v>0</v>
      </c>
      <c r="M20" s="3">
        <f>ROUND(Data!AB22*$B$2,2)</f>
        <v>0</v>
      </c>
      <c r="N20" s="3">
        <f>Data!U22</f>
        <v>0</v>
      </c>
      <c r="O20" s="3">
        <f t="shared" si="1"/>
        <v>309696.05</v>
      </c>
      <c r="P20" s="3">
        <f t="shared" si="2"/>
        <v>309696.05</v>
      </c>
      <c r="Q20" s="3">
        <f t="shared" si="3"/>
        <v>0</v>
      </c>
    </row>
    <row r="21" spans="1:17" x14ac:dyDescent="0.2">
      <c r="A21" s="17">
        <v>32</v>
      </c>
      <c r="B21" s="17">
        <v>1</v>
      </c>
      <c r="C21" s="3" t="s">
        <v>19</v>
      </c>
      <c r="D21" s="3">
        <f>ROUND(Data!AA23*$B$2,2)</f>
        <v>0</v>
      </c>
      <c r="E21" s="3">
        <f>MAX(0,Data!AD23-Data!Y23)</f>
        <v>0</v>
      </c>
      <c r="F21" s="3">
        <f>Data!Y23</f>
        <v>0</v>
      </c>
      <c r="G21" s="3">
        <f>Data!X23</f>
        <v>0</v>
      </c>
      <c r="H21" s="3">
        <f>Data!K23+Data!R23</f>
        <v>12170.3</v>
      </c>
      <c r="I21" s="3">
        <f>Data!I23+Data!L23+Data!M23+Data!N23+Data!O23+Data!S23</f>
        <v>0</v>
      </c>
      <c r="J21" s="3">
        <f>Data!Q23</f>
        <v>0</v>
      </c>
      <c r="K21" s="3">
        <f>Data!J23+Data!P23</f>
        <v>16161.529999999999</v>
      </c>
      <c r="L21" s="3">
        <f>Data!T23</f>
        <v>0</v>
      </c>
      <c r="M21" s="3">
        <f>ROUND(Data!AB23*$B$2,2)</f>
        <v>0</v>
      </c>
      <c r="N21" s="3">
        <f>Data!U23</f>
        <v>0</v>
      </c>
      <c r="O21" s="3">
        <f t="shared" si="1"/>
        <v>28331.829999999998</v>
      </c>
      <c r="P21" s="3">
        <f t="shared" si="2"/>
        <v>28331.829999999998</v>
      </c>
      <c r="Q21" s="3">
        <f t="shared" si="3"/>
        <v>0</v>
      </c>
    </row>
    <row r="22" spans="1:17" x14ac:dyDescent="0.2">
      <c r="A22" s="17">
        <v>36</v>
      </c>
      <c r="B22" s="17">
        <v>1</v>
      </c>
      <c r="C22" s="3" t="s">
        <v>20</v>
      </c>
      <c r="D22" s="3">
        <f>ROUND(Data!AA24*$B$2,2)</f>
        <v>0</v>
      </c>
      <c r="E22" s="3">
        <f>MAX(0,Data!AD24-Data!Y24)</f>
        <v>0</v>
      </c>
      <c r="F22" s="3">
        <f>Data!Y24</f>
        <v>0</v>
      </c>
      <c r="G22" s="3">
        <f>Data!X24</f>
        <v>0</v>
      </c>
      <c r="H22" s="3">
        <f>Data!K24+Data!R24</f>
        <v>0</v>
      </c>
      <c r="I22" s="3">
        <f>Data!I24+Data!L24+Data!M24+Data!N24+Data!O24+Data!S24</f>
        <v>0</v>
      </c>
      <c r="J22" s="3">
        <f>Data!Q24</f>
        <v>0</v>
      </c>
      <c r="K22" s="3">
        <f>Data!J24+Data!P24</f>
        <v>0</v>
      </c>
      <c r="L22" s="3">
        <f>Data!T24</f>
        <v>0</v>
      </c>
      <c r="M22" s="3">
        <f>ROUND(Data!AB24*$B$2,2)</f>
        <v>0</v>
      </c>
      <c r="N22" s="3">
        <f>Data!U24</f>
        <v>0</v>
      </c>
      <c r="O22" s="3">
        <f t="shared" si="1"/>
        <v>0</v>
      </c>
      <c r="P22" s="3">
        <f t="shared" si="2"/>
        <v>0</v>
      </c>
      <c r="Q22" s="3">
        <f t="shared" si="3"/>
        <v>0</v>
      </c>
    </row>
    <row r="23" spans="1:17" x14ac:dyDescent="0.2">
      <c r="A23" s="17">
        <v>38</v>
      </c>
      <c r="B23" s="17">
        <v>1</v>
      </c>
      <c r="C23" s="3" t="s">
        <v>21</v>
      </c>
      <c r="D23" s="3">
        <f>ROUND(Data!AA25*$B$2,2)</f>
        <v>0</v>
      </c>
      <c r="E23" s="3">
        <f>MAX(0,Data!AD25-Data!Y25)</f>
        <v>0</v>
      </c>
      <c r="F23" s="3">
        <f>Data!Y25</f>
        <v>149.12</v>
      </c>
      <c r="G23" s="3">
        <f>Data!X25</f>
        <v>0</v>
      </c>
      <c r="H23" s="3">
        <f>Data!K25+Data!R25</f>
        <v>0</v>
      </c>
      <c r="I23" s="3">
        <f>Data!I25+Data!L25+Data!M25+Data!N25+Data!O25+Data!S25</f>
        <v>0</v>
      </c>
      <c r="J23" s="3">
        <f>Data!Q25</f>
        <v>0</v>
      </c>
      <c r="K23" s="3">
        <f>Data!J25+Data!P25</f>
        <v>0</v>
      </c>
      <c r="L23" s="3">
        <f>Data!T25</f>
        <v>0</v>
      </c>
      <c r="M23" s="3">
        <f>ROUND(Data!AB25*$B$2,2)</f>
        <v>0</v>
      </c>
      <c r="N23" s="3">
        <f>Data!U25</f>
        <v>0</v>
      </c>
      <c r="O23" s="3">
        <f t="shared" si="1"/>
        <v>149.12</v>
      </c>
      <c r="P23" s="3">
        <f t="shared" si="2"/>
        <v>149.12</v>
      </c>
      <c r="Q23" s="3">
        <f t="shared" si="3"/>
        <v>0</v>
      </c>
    </row>
    <row r="24" spans="1:17" x14ac:dyDescent="0.2">
      <c r="A24" s="17">
        <v>47</v>
      </c>
      <c r="B24" s="17">
        <v>1</v>
      </c>
      <c r="C24" s="3" t="s">
        <v>22</v>
      </c>
      <c r="D24" s="3">
        <f>ROUND(Data!AA26*$B$2,2)</f>
        <v>0</v>
      </c>
      <c r="E24" s="3">
        <f>MAX(0,Data!AD26-Data!Y26)</f>
        <v>0</v>
      </c>
      <c r="F24" s="3">
        <f>Data!Y26</f>
        <v>133802</v>
      </c>
      <c r="G24" s="3">
        <f>Data!X26</f>
        <v>0</v>
      </c>
      <c r="H24" s="3">
        <f>Data!K26+Data!R26</f>
        <v>34756.539999999994</v>
      </c>
      <c r="I24" s="3">
        <f>Data!I26+Data!L26+Data!M26+Data!N26+Data!O26+Data!S26</f>
        <v>0</v>
      </c>
      <c r="J24" s="3">
        <f>Data!Q26</f>
        <v>0</v>
      </c>
      <c r="K24" s="3">
        <f>Data!J26+Data!P26</f>
        <v>11779.73</v>
      </c>
      <c r="L24" s="3">
        <f>Data!T26</f>
        <v>0</v>
      </c>
      <c r="M24" s="3">
        <f>ROUND(Data!AB26*$B$2,2)</f>
        <v>0</v>
      </c>
      <c r="N24" s="3">
        <f>Data!U26</f>
        <v>0</v>
      </c>
      <c r="O24" s="3">
        <f t="shared" si="1"/>
        <v>180338.27</v>
      </c>
      <c r="P24" s="3">
        <f t="shared" si="2"/>
        <v>180338.27</v>
      </c>
      <c r="Q24" s="3">
        <f t="shared" si="3"/>
        <v>0</v>
      </c>
    </row>
    <row r="25" spans="1:17" x14ac:dyDescent="0.2">
      <c r="A25" s="17">
        <v>51</v>
      </c>
      <c r="B25" s="17">
        <v>1</v>
      </c>
      <c r="C25" s="3" t="s">
        <v>23</v>
      </c>
      <c r="D25" s="3">
        <f>ROUND(Data!AA27*$B$2,2)</f>
        <v>0</v>
      </c>
      <c r="E25" s="3">
        <f>MAX(0,Data!AD27-Data!Y27)</f>
        <v>0</v>
      </c>
      <c r="F25" s="3">
        <f>Data!Y27</f>
        <v>32144.54</v>
      </c>
      <c r="G25" s="3">
        <f>Data!X27</f>
        <v>0</v>
      </c>
      <c r="H25" s="3">
        <f>Data!K27+Data!R27</f>
        <v>12279.279999999999</v>
      </c>
      <c r="I25" s="3">
        <f>Data!I27+Data!L27+Data!M27+Data!N27+Data!O27+Data!S27</f>
        <v>0</v>
      </c>
      <c r="J25" s="3">
        <f>Data!Q27</f>
        <v>0</v>
      </c>
      <c r="K25" s="3">
        <f>Data!J27+Data!P27</f>
        <v>42816.32</v>
      </c>
      <c r="L25" s="3">
        <f>Data!T27</f>
        <v>0</v>
      </c>
      <c r="M25" s="3">
        <f>ROUND(Data!AB27*$B$2,2)</f>
        <v>0</v>
      </c>
      <c r="N25" s="3">
        <f>Data!U27</f>
        <v>0</v>
      </c>
      <c r="O25" s="3">
        <f t="shared" si="1"/>
        <v>87240.14</v>
      </c>
      <c r="P25" s="3">
        <f t="shared" si="2"/>
        <v>87240.14</v>
      </c>
      <c r="Q25" s="3">
        <f t="shared" si="3"/>
        <v>0</v>
      </c>
    </row>
    <row r="26" spans="1:17" x14ac:dyDescent="0.2">
      <c r="A26" s="17">
        <v>75</v>
      </c>
      <c r="B26" s="17">
        <v>1</v>
      </c>
      <c r="C26" s="3" t="s">
        <v>24</v>
      </c>
      <c r="D26" s="3">
        <f>ROUND(Data!AA28*$B$2,2)</f>
        <v>0</v>
      </c>
      <c r="E26" s="3">
        <f>MAX(0,Data!AD28-Data!Y28)</f>
        <v>0</v>
      </c>
      <c r="F26" s="3">
        <f>Data!Y28</f>
        <v>59511.62</v>
      </c>
      <c r="G26" s="3">
        <f>Data!X28</f>
        <v>0</v>
      </c>
      <c r="H26" s="3">
        <f>Data!K28+Data!R28</f>
        <v>8336.1400000000012</v>
      </c>
      <c r="I26" s="3">
        <f>Data!I28+Data!L28+Data!M28+Data!N28+Data!O28+Data!S28</f>
        <v>0</v>
      </c>
      <c r="J26" s="3">
        <f>Data!Q28</f>
        <v>0</v>
      </c>
      <c r="K26" s="3">
        <f>Data!J28+Data!P28</f>
        <v>285.21000000000004</v>
      </c>
      <c r="L26" s="3">
        <f>Data!T28</f>
        <v>0</v>
      </c>
      <c r="M26" s="3">
        <f>ROUND(Data!AB28*$B$2,2)</f>
        <v>0</v>
      </c>
      <c r="N26" s="3">
        <f>Data!U28</f>
        <v>0</v>
      </c>
      <c r="O26" s="3">
        <f t="shared" si="1"/>
        <v>68132.970000000016</v>
      </c>
      <c r="P26" s="3">
        <f t="shared" si="2"/>
        <v>68132.970000000016</v>
      </c>
      <c r="Q26" s="3">
        <f t="shared" si="3"/>
        <v>0</v>
      </c>
    </row>
    <row r="27" spans="1:17" x14ac:dyDescent="0.2">
      <c r="A27" s="17">
        <v>77</v>
      </c>
      <c r="B27" s="17">
        <v>1</v>
      </c>
      <c r="C27" s="3" t="s">
        <v>25</v>
      </c>
      <c r="D27" s="3">
        <f>ROUND(Data!AA29*$B$2,2)</f>
        <v>0</v>
      </c>
      <c r="E27" s="3">
        <f>MAX(0,Data!AD29-Data!Y29)</f>
        <v>0</v>
      </c>
      <c r="F27" s="3">
        <f>Data!Y29</f>
        <v>751973.08</v>
      </c>
      <c r="G27" s="3">
        <f>Data!X29</f>
        <v>0</v>
      </c>
      <c r="H27" s="3">
        <f>Data!K29+Data!R29</f>
        <v>138822.92000000001</v>
      </c>
      <c r="I27" s="3">
        <f>Data!I29+Data!L29+Data!M29+Data!N29+Data!O29+Data!S29</f>
        <v>0</v>
      </c>
      <c r="J27" s="3">
        <f>Data!Q29</f>
        <v>0</v>
      </c>
      <c r="K27" s="3">
        <f>Data!J29+Data!P29</f>
        <v>57499.33</v>
      </c>
      <c r="L27" s="3">
        <f>Data!T29</f>
        <v>0</v>
      </c>
      <c r="M27" s="3">
        <f>ROUND(Data!AB29*$B$2,2)</f>
        <v>0</v>
      </c>
      <c r="N27" s="3">
        <f>Data!U29</f>
        <v>0</v>
      </c>
      <c r="O27" s="3">
        <f t="shared" si="1"/>
        <v>948295.33</v>
      </c>
      <c r="P27" s="3">
        <f t="shared" si="2"/>
        <v>948295.33</v>
      </c>
      <c r="Q27" s="3">
        <f t="shared" si="3"/>
        <v>0</v>
      </c>
    </row>
    <row r="28" spans="1:17" x14ac:dyDescent="0.2">
      <c r="A28" s="17">
        <v>81</v>
      </c>
      <c r="B28" s="17">
        <v>1</v>
      </c>
      <c r="C28" s="3" t="s">
        <v>26</v>
      </c>
      <c r="D28" s="3">
        <f>ROUND(Data!AA30*$B$2,2)</f>
        <v>0</v>
      </c>
      <c r="E28" s="3">
        <f>MAX(0,Data!AD30-Data!Y30)</f>
        <v>0</v>
      </c>
      <c r="F28" s="3">
        <f>Data!Y30</f>
        <v>65568.179999999993</v>
      </c>
      <c r="G28" s="3">
        <f>Data!X30</f>
        <v>0</v>
      </c>
      <c r="H28" s="3">
        <f>Data!K30+Data!R30</f>
        <v>11742.86</v>
      </c>
      <c r="I28" s="3">
        <f>Data!I30+Data!L30+Data!M30+Data!N30+Data!O30+Data!S30</f>
        <v>0</v>
      </c>
      <c r="J28" s="3">
        <f>Data!Q30</f>
        <v>0</v>
      </c>
      <c r="K28" s="3">
        <f>Data!J30+Data!P30</f>
        <v>3909.33</v>
      </c>
      <c r="L28" s="3">
        <f>Data!T30</f>
        <v>0</v>
      </c>
      <c r="M28" s="3">
        <f>ROUND(Data!AB30*$B$2,2)</f>
        <v>0</v>
      </c>
      <c r="N28" s="3">
        <f>Data!U30</f>
        <v>0</v>
      </c>
      <c r="O28" s="3">
        <f t="shared" si="1"/>
        <v>81220.37</v>
      </c>
      <c r="P28" s="3">
        <f t="shared" si="2"/>
        <v>81220.37</v>
      </c>
      <c r="Q28" s="3">
        <f t="shared" si="3"/>
        <v>0</v>
      </c>
    </row>
    <row r="29" spans="1:17" x14ac:dyDescent="0.2">
      <c r="A29" s="17">
        <v>84</v>
      </c>
      <c r="B29" s="17">
        <v>1</v>
      </c>
      <c r="C29" s="3" t="s">
        <v>27</v>
      </c>
      <c r="D29" s="3">
        <f>ROUND(Data!AA31*$B$2,2)</f>
        <v>0</v>
      </c>
      <c r="E29" s="3">
        <f>MAX(0,Data!AD31-Data!Y31)</f>
        <v>0</v>
      </c>
      <c r="F29" s="3">
        <f>Data!Y31</f>
        <v>64890.080000000002</v>
      </c>
      <c r="G29" s="3">
        <f>Data!X31</f>
        <v>0</v>
      </c>
      <c r="H29" s="3">
        <f>Data!K31+Data!R31</f>
        <v>18647.269999999997</v>
      </c>
      <c r="I29" s="3">
        <f>Data!I31+Data!L31+Data!M31+Data!N31+Data!O31+Data!S31</f>
        <v>0</v>
      </c>
      <c r="J29" s="3">
        <f>Data!Q31</f>
        <v>0</v>
      </c>
      <c r="K29" s="3">
        <f>Data!J31+Data!P31</f>
        <v>6546.93</v>
      </c>
      <c r="L29" s="3">
        <f>Data!T31</f>
        <v>0</v>
      </c>
      <c r="M29" s="3">
        <f>ROUND(Data!AB31*$B$2,2)</f>
        <v>0</v>
      </c>
      <c r="N29" s="3">
        <f>Data!U31</f>
        <v>0</v>
      </c>
      <c r="O29" s="3">
        <f t="shared" si="1"/>
        <v>90084.28</v>
      </c>
      <c r="P29" s="3">
        <f t="shared" si="2"/>
        <v>90084.28</v>
      </c>
      <c r="Q29" s="3">
        <f t="shared" si="3"/>
        <v>0</v>
      </c>
    </row>
    <row r="30" spans="1:17" x14ac:dyDescent="0.2">
      <c r="A30" s="17">
        <v>85</v>
      </c>
      <c r="B30" s="17">
        <v>1</v>
      </c>
      <c r="C30" s="3" t="s">
        <v>28</v>
      </c>
      <c r="D30" s="3">
        <f>ROUND(Data!AA32*$B$2,2)</f>
        <v>0</v>
      </c>
      <c r="E30" s="3">
        <f>MAX(0,Data!AD32-Data!Y32)</f>
        <v>0</v>
      </c>
      <c r="F30" s="3">
        <f>Data!Y32</f>
        <v>0</v>
      </c>
      <c r="G30" s="3">
        <f>Data!X32</f>
        <v>0</v>
      </c>
      <c r="H30" s="3">
        <f>Data!K32+Data!R32</f>
        <v>24399.18</v>
      </c>
      <c r="I30" s="3">
        <f>Data!I32+Data!L32+Data!M32+Data!N32+Data!O32+Data!S32</f>
        <v>0</v>
      </c>
      <c r="J30" s="3">
        <f>Data!Q32</f>
        <v>0</v>
      </c>
      <c r="K30" s="3">
        <f>Data!J32+Data!P32</f>
        <v>16432.349999999999</v>
      </c>
      <c r="L30" s="3">
        <f>Data!T32</f>
        <v>0</v>
      </c>
      <c r="M30" s="3">
        <f>ROUND(Data!AB32*$B$2,2)</f>
        <v>0</v>
      </c>
      <c r="N30" s="3">
        <f>Data!U32</f>
        <v>0</v>
      </c>
      <c r="O30" s="3">
        <f t="shared" si="1"/>
        <v>40831.53</v>
      </c>
      <c r="P30" s="3">
        <f t="shared" si="2"/>
        <v>40831.53</v>
      </c>
      <c r="Q30" s="3">
        <f t="shared" si="3"/>
        <v>0</v>
      </c>
    </row>
    <row r="31" spans="1:17" x14ac:dyDescent="0.2">
      <c r="A31" s="17">
        <v>88</v>
      </c>
      <c r="B31" s="17">
        <v>1</v>
      </c>
      <c r="C31" s="3" t="s">
        <v>29</v>
      </c>
      <c r="D31" s="3">
        <f>ROUND(Data!AA33*$B$2,2)</f>
        <v>0</v>
      </c>
      <c r="E31" s="3">
        <f>MAX(0,Data!AD33-Data!Y33)</f>
        <v>0</v>
      </c>
      <c r="F31" s="3">
        <f>Data!Y33</f>
        <v>135266</v>
      </c>
      <c r="G31" s="3">
        <f>Data!X33</f>
        <v>97377.63</v>
      </c>
      <c r="H31" s="3">
        <f>Data!K33+Data!R33</f>
        <v>61434.14</v>
      </c>
      <c r="I31" s="3">
        <f>Data!I33+Data!L33+Data!M33+Data!N33+Data!O33+Data!S33</f>
        <v>0</v>
      </c>
      <c r="J31" s="3">
        <f>Data!Q33</f>
        <v>0</v>
      </c>
      <c r="K31" s="3">
        <f>Data!J33+Data!P33</f>
        <v>24195.86</v>
      </c>
      <c r="L31" s="3">
        <f>Data!T33</f>
        <v>0</v>
      </c>
      <c r="M31" s="3">
        <f>ROUND(Data!AB33*$B$2,2)</f>
        <v>0</v>
      </c>
      <c r="N31" s="3">
        <f>Data!U33</f>
        <v>0</v>
      </c>
      <c r="O31" s="3">
        <f t="shared" si="1"/>
        <v>318273.63</v>
      </c>
      <c r="P31" s="3">
        <f t="shared" si="2"/>
        <v>318273.63</v>
      </c>
      <c r="Q31" s="3">
        <f t="shared" si="3"/>
        <v>0</v>
      </c>
    </row>
    <row r="32" spans="1:17" x14ac:dyDescent="0.2">
      <c r="A32" s="17">
        <v>91</v>
      </c>
      <c r="B32" s="17">
        <v>1</v>
      </c>
      <c r="C32" s="3" t="s">
        <v>30</v>
      </c>
      <c r="D32" s="3">
        <f>ROUND(Data!AA34*$B$2,2)</f>
        <v>0</v>
      </c>
      <c r="E32" s="3">
        <f>MAX(0,Data!AD34-Data!Y34)</f>
        <v>0</v>
      </c>
      <c r="F32" s="3">
        <f>Data!Y34</f>
        <v>19807.54</v>
      </c>
      <c r="G32" s="3">
        <f>Data!X34</f>
        <v>0</v>
      </c>
      <c r="H32" s="3">
        <f>Data!K34+Data!R34</f>
        <v>7741.92</v>
      </c>
      <c r="I32" s="3">
        <f>Data!I34+Data!L34+Data!M34+Data!N34+Data!O34+Data!S34</f>
        <v>0</v>
      </c>
      <c r="J32" s="3">
        <f>Data!Q34</f>
        <v>0</v>
      </c>
      <c r="K32" s="3">
        <f>Data!J34+Data!P34</f>
        <v>390.72000000000025</v>
      </c>
      <c r="L32" s="3">
        <f>Data!T34</f>
        <v>0</v>
      </c>
      <c r="M32" s="3">
        <f>ROUND(Data!AB34*$B$2,2)</f>
        <v>0</v>
      </c>
      <c r="N32" s="3">
        <f>Data!U34</f>
        <v>0</v>
      </c>
      <c r="O32" s="3">
        <f t="shared" si="1"/>
        <v>27940.18</v>
      </c>
      <c r="P32" s="3">
        <f t="shared" si="2"/>
        <v>27940.18</v>
      </c>
      <c r="Q32" s="3">
        <f t="shared" si="3"/>
        <v>0</v>
      </c>
    </row>
    <row r="33" spans="1:17" x14ac:dyDescent="0.2">
      <c r="A33" s="17">
        <v>93</v>
      </c>
      <c r="B33" s="17">
        <v>1</v>
      </c>
      <c r="C33" s="3" t="s">
        <v>31</v>
      </c>
      <c r="D33" s="3">
        <f>ROUND(Data!AA35*$B$2,2)</f>
        <v>0</v>
      </c>
      <c r="E33" s="3">
        <f>MAX(0,Data!AD35-Data!Y35)</f>
        <v>0</v>
      </c>
      <c r="F33" s="3">
        <f>Data!Y35</f>
        <v>27479.15</v>
      </c>
      <c r="G33" s="3">
        <f>Data!X35</f>
        <v>0</v>
      </c>
      <c r="H33" s="3">
        <f>Data!K35+Data!R35</f>
        <v>11742.86</v>
      </c>
      <c r="I33" s="3">
        <f>Data!I35+Data!L35+Data!M35+Data!N35+Data!O35+Data!S35</f>
        <v>0</v>
      </c>
      <c r="J33" s="3">
        <f>Data!Q35</f>
        <v>0</v>
      </c>
      <c r="K33" s="3">
        <f>Data!J35+Data!P35</f>
        <v>21677.22</v>
      </c>
      <c r="L33" s="3">
        <f>Data!T35</f>
        <v>0</v>
      </c>
      <c r="M33" s="3">
        <f>ROUND(Data!AB35*$B$2,2)</f>
        <v>0</v>
      </c>
      <c r="N33" s="3">
        <f>Data!U35</f>
        <v>0</v>
      </c>
      <c r="O33" s="3">
        <f t="shared" si="1"/>
        <v>60899.23</v>
      </c>
      <c r="P33" s="3">
        <f t="shared" si="2"/>
        <v>60899.23</v>
      </c>
      <c r="Q33" s="3">
        <f t="shared" si="3"/>
        <v>0</v>
      </c>
    </row>
    <row r="34" spans="1:17" x14ac:dyDescent="0.2">
      <c r="A34" s="17">
        <v>94</v>
      </c>
      <c r="B34" s="17">
        <v>1</v>
      </c>
      <c r="C34" s="3" t="s">
        <v>32</v>
      </c>
      <c r="D34" s="3">
        <f>ROUND(Data!AA36*$B$2,2)</f>
        <v>0</v>
      </c>
      <c r="E34" s="3">
        <f>MAX(0,Data!AD36-Data!Y36)</f>
        <v>0</v>
      </c>
      <c r="F34" s="3">
        <f>Data!Y36</f>
        <v>91861.41</v>
      </c>
      <c r="G34" s="3">
        <f>Data!X36</f>
        <v>0</v>
      </c>
      <c r="H34" s="3">
        <f>Data!K36+Data!R36</f>
        <v>9660.6500000000015</v>
      </c>
      <c r="I34" s="3">
        <f>Data!I36+Data!L36+Data!M36+Data!N36+Data!O36+Data!S36</f>
        <v>14699.16</v>
      </c>
      <c r="J34" s="3">
        <f>Data!Q36</f>
        <v>0</v>
      </c>
      <c r="K34" s="3">
        <f>Data!J36+Data!P36</f>
        <v>1350.4100000000035</v>
      </c>
      <c r="L34" s="3">
        <f>Data!T36</f>
        <v>0</v>
      </c>
      <c r="M34" s="3">
        <f>ROUND(Data!AB36*$B$2,2)</f>
        <v>0</v>
      </c>
      <c r="N34" s="3">
        <f>Data!U36</f>
        <v>0</v>
      </c>
      <c r="O34" s="3">
        <f t="shared" si="1"/>
        <v>117571.63</v>
      </c>
      <c r="P34" s="3">
        <f t="shared" si="2"/>
        <v>117571.63</v>
      </c>
      <c r="Q34" s="3">
        <f t="shared" si="3"/>
        <v>0</v>
      </c>
    </row>
    <row r="35" spans="1:17" x14ac:dyDescent="0.2">
      <c r="A35" s="17">
        <v>95</v>
      </c>
      <c r="B35" s="17">
        <v>1</v>
      </c>
      <c r="C35" s="3" t="s">
        <v>33</v>
      </c>
      <c r="D35" s="3">
        <f>ROUND(Data!AA37*$B$2,2)</f>
        <v>0</v>
      </c>
      <c r="E35" s="3">
        <f>MAX(0,Data!AD37-Data!Y37)</f>
        <v>0</v>
      </c>
      <c r="F35" s="3">
        <f>Data!Y37</f>
        <v>0</v>
      </c>
      <c r="G35" s="3">
        <f>Data!X37</f>
        <v>0</v>
      </c>
      <c r="H35" s="3">
        <f>Data!K37+Data!R37</f>
        <v>8253.8700000000008</v>
      </c>
      <c r="I35" s="3">
        <f>Data!I37+Data!L37+Data!M37+Data!N37+Data!O37+Data!S37</f>
        <v>0</v>
      </c>
      <c r="J35" s="3">
        <f>Data!Q37</f>
        <v>0</v>
      </c>
      <c r="K35" s="3">
        <f>Data!J37+Data!P37</f>
        <v>49.23</v>
      </c>
      <c r="L35" s="3">
        <f>Data!T37</f>
        <v>0</v>
      </c>
      <c r="M35" s="3">
        <f>ROUND(Data!AB37*$B$2,2)</f>
        <v>0</v>
      </c>
      <c r="N35" s="3">
        <f>Data!U37</f>
        <v>0</v>
      </c>
      <c r="O35" s="3">
        <f t="shared" si="1"/>
        <v>8303.1</v>
      </c>
      <c r="P35" s="3">
        <f t="shared" si="2"/>
        <v>8303.1</v>
      </c>
      <c r="Q35" s="3">
        <f t="shared" si="3"/>
        <v>0</v>
      </c>
    </row>
    <row r="36" spans="1:17" x14ac:dyDescent="0.2">
      <c r="A36" s="17">
        <v>97</v>
      </c>
      <c r="B36" s="17">
        <v>1</v>
      </c>
      <c r="C36" s="3" t="s">
        <v>34</v>
      </c>
      <c r="D36" s="3">
        <f>ROUND(Data!AA38*$B$2,2)</f>
        <v>0</v>
      </c>
      <c r="E36" s="3">
        <f>MAX(0,Data!AD38-Data!Y38)</f>
        <v>0</v>
      </c>
      <c r="F36" s="3">
        <f>Data!Y38</f>
        <v>31851.86</v>
      </c>
      <c r="G36" s="3">
        <f>Data!X38</f>
        <v>0</v>
      </c>
      <c r="H36" s="3">
        <f>Data!K38+Data!R38</f>
        <v>18610.919999999998</v>
      </c>
      <c r="I36" s="3">
        <f>Data!I38+Data!L38+Data!M38+Data!N38+Data!O38+Data!S38</f>
        <v>0</v>
      </c>
      <c r="J36" s="3">
        <f>Data!Q38</f>
        <v>0</v>
      </c>
      <c r="K36" s="3">
        <f>Data!J38+Data!P38</f>
        <v>5616.58</v>
      </c>
      <c r="L36" s="3">
        <f>Data!T38</f>
        <v>0</v>
      </c>
      <c r="M36" s="3">
        <f>ROUND(Data!AB38*$B$2,2)</f>
        <v>0</v>
      </c>
      <c r="N36" s="3">
        <f>Data!U38</f>
        <v>0</v>
      </c>
      <c r="O36" s="3">
        <f t="shared" si="1"/>
        <v>56079.360000000001</v>
      </c>
      <c r="P36" s="3">
        <f t="shared" si="2"/>
        <v>56079.360000000001</v>
      </c>
      <c r="Q36" s="3">
        <f t="shared" si="3"/>
        <v>0</v>
      </c>
    </row>
    <row r="37" spans="1:17" x14ac:dyDescent="0.2">
      <c r="A37" s="17">
        <v>99</v>
      </c>
      <c r="B37" s="17">
        <v>1</v>
      </c>
      <c r="C37" s="3" t="s">
        <v>35</v>
      </c>
      <c r="D37" s="3">
        <f>ROUND(Data!AA39*$B$2,2)</f>
        <v>0</v>
      </c>
      <c r="E37" s="3">
        <f>MAX(0,Data!AD39-Data!Y39)</f>
        <v>0</v>
      </c>
      <c r="F37" s="3">
        <f>Data!Y39</f>
        <v>29606.959999999999</v>
      </c>
      <c r="G37" s="3">
        <f>Data!X39</f>
        <v>11758.5</v>
      </c>
      <c r="H37" s="3">
        <f>Data!K39+Data!R39</f>
        <v>8019.45</v>
      </c>
      <c r="I37" s="3">
        <f>Data!I39+Data!L39+Data!M39+Data!N39+Data!O39+Data!S39</f>
        <v>0</v>
      </c>
      <c r="J37" s="3">
        <f>Data!Q39</f>
        <v>0</v>
      </c>
      <c r="K37" s="3">
        <f>Data!J39+Data!P39</f>
        <v>-2088.7399999999998</v>
      </c>
      <c r="L37" s="3">
        <f>Data!T39</f>
        <v>0</v>
      </c>
      <c r="M37" s="3">
        <f>ROUND(Data!AB39*$B$2,2)</f>
        <v>0</v>
      </c>
      <c r="N37" s="3">
        <f>Data!U39</f>
        <v>0</v>
      </c>
      <c r="O37" s="3">
        <f t="shared" si="1"/>
        <v>47296.17</v>
      </c>
      <c r="P37" s="3">
        <f t="shared" si="2"/>
        <v>47296.17</v>
      </c>
      <c r="Q37" s="3">
        <f t="shared" si="3"/>
        <v>0</v>
      </c>
    </row>
    <row r="38" spans="1:17" x14ac:dyDescent="0.2">
      <c r="A38" s="17">
        <v>100</v>
      </c>
      <c r="B38" s="17">
        <v>1</v>
      </c>
      <c r="C38" s="3" t="s">
        <v>36</v>
      </c>
      <c r="D38" s="3">
        <f>ROUND(Data!AA40*$B$2,2)</f>
        <v>0</v>
      </c>
      <c r="E38" s="3">
        <f>MAX(0,Data!AD40-Data!Y40)</f>
        <v>0</v>
      </c>
      <c r="F38" s="3">
        <f>Data!Y40</f>
        <v>14322.89</v>
      </c>
      <c r="G38" s="3">
        <f>Data!X40</f>
        <v>10979.92</v>
      </c>
      <c r="H38" s="3">
        <f>Data!K40+Data!R40</f>
        <v>11742.86</v>
      </c>
      <c r="I38" s="3">
        <f>Data!I40+Data!L40+Data!M40+Data!N40+Data!O40+Data!S40</f>
        <v>0</v>
      </c>
      <c r="J38" s="3">
        <f>Data!Q40</f>
        <v>0</v>
      </c>
      <c r="K38" s="3">
        <f>Data!J40+Data!P40</f>
        <v>15928</v>
      </c>
      <c r="L38" s="3">
        <f>Data!T40</f>
        <v>0</v>
      </c>
      <c r="M38" s="3">
        <f>ROUND(Data!AB40*$B$2,2)</f>
        <v>0</v>
      </c>
      <c r="N38" s="3">
        <f>Data!U40</f>
        <v>0</v>
      </c>
      <c r="O38" s="3">
        <f t="shared" si="1"/>
        <v>52973.67</v>
      </c>
      <c r="P38" s="3">
        <f t="shared" si="2"/>
        <v>52973.67</v>
      </c>
      <c r="Q38" s="3">
        <f t="shared" si="3"/>
        <v>0</v>
      </c>
    </row>
    <row r="39" spans="1:17" x14ac:dyDescent="0.2">
      <c r="A39" s="17">
        <v>108</v>
      </c>
      <c r="B39" s="17">
        <v>1</v>
      </c>
      <c r="C39" s="3" t="s">
        <v>1168</v>
      </c>
      <c r="D39" s="3">
        <f>ROUND(Data!AA41*$B$2,2)</f>
        <v>0</v>
      </c>
      <c r="E39" s="3">
        <f>MAX(0,Data!AD41-Data!Y41)</f>
        <v>0</v>
      </c>
      <c r="F39" s="3">
        <f>Data!Y41</f>
        <v>63073.58</v>
      </c>
      <c r="G39" s="3">
        <f>Data!X41</f>
        <v>0</v>
      </c>
      <c r="H39" s="3">
        <f>Data!K41+Data!R41</f>
        <v>26867.510000000002</v>
      </c>
      <c r="I39" s="3">
        <f>Data!I41+Data!L41+Data!M41+Data!N41+Data!O41+Data!S41</f>
        <v>0</v>
      </c>
      <c r="J39" s="3">
        <f>Data!Q41</f>
        <v>0</v>
      </c>
      <c r="K39" s="3">
        <f>Data!J41+Data!P41</f>
        <v>16320.53</v>
      </c>
      <c r="L39" s="3">
        <f>Data!T41</f>
        <v>0</v>
      </c>
      <c r="M39" s="3">
        <f>ROUND(Data!AB41*$B$2,2)</f>
        <v>0</v>
      </c>
      <c r="N39" s="3">
        <f>Data!U41</f>
        <v>0</v>
      </c>
      <c r="O39" s="3">
        <f t="shared" si="1"/>
        <v>106261.62</v>
      </c>
      <c r="P39" s="3">
        <f t="shared" si="2"/>
        <v>106261.62</v>
      </c>
      <c r="Q39" s="3">
        <f t="shared" si="3"/>
        <v>0</v>
      </c>
    </row>
    <row r="40" spans="1:17" x14ac:dyDescent="0.2">
      <c r="A40" s="17">
        <v>110</v>
      </c>
      <c r="B40" s="17">
        <v>1</v>
      </c>
      <c r="C40" s="3" t="s">
        <v>38</v>
      </c>
      <c r="D40" s="3">
        <f>ROUND(Data!AA42*$B$2,2)</f>
        <v>0</v>
      </c>
      <c r="E40" s="3">
        <f>MAX(0,Data!AD42-Data!Y42)</f>
        <v>0</v>
      </c>
      <c r="F40" s="3">
        <f>Data!Y42</f>
        <v>263386.8</v>
      </c>
      <c r="G40" s="3">
        <f>Data!X42</f>
        <v>47580.01</v>
      </c>
      <c r="H40" s="3">
        <f>Data!K42+Data!R42</f>
        <v>48016.22</v>
      </c>
      <c r="I40" s="3">
        <f>Data!I42+Data!L42+Data!M42+Data!N42+Data!O42+Data!S42</f>
        <v>0</v>
      </c>
      <c r="J40" s="3">
        <f>Data!Q42</f>
        <v>0</v>
      </c>
      <c r="K40" s="3">
        <f>Data!J42+Data!P42</f>
        <v>39917.51</v>
      </c>
      <c r="L40" s="3">
        <f>Data!T42</f>
        <v>0</v>
      </c>
      <c r="M40" s="3">
        <f>ROUND(Data!AB42*$B$2,2)</f>
        <v>0</v>
      </c>
      <c r="N40" s="3">
        <f>Data!U42</f>
        <v>0</v>
      </c>
      <c r="O40" s="3">
        <f t="shared" si="1"/>
        <v>398900.54000000004</v>
      </c>
      <c r="P40" s="3">
        <f t="shared" si="2"/>
        <v>398900.54000000004</v>
      </c>
      <c r="Q40" s="3">
        <f t="shared" si="3"/>
        <v>0</v>
      </c>
    </row>
    <row r="41" spans="1:17" x14ac:dyDescent="0.2">
      <c r="A41" s="17">
        <v>111</v>
      </c>
      <c r="B41" s="17">
        <v>1</v>
      </c>
      <c r="C41" s="3" t="s">
        <v>39</v>
      </c>
      <c r="D41" s="3">
        <f>ROUND(Data!AA43*$B$2,2)</f>
        <v>0</v>
      </c>
      <c r="E41" s="3">
        <f>MAX(0,Data!AD43-Data!Y43)</f>
        <v>0</v>
      </c>
      <c r="F41" s="3">
        <f>Data!Y43</f>
        <v>53287.46</v>
      </c>
      <c r="G41" s="3">
        <f>Data!X43</f>
        <v>14098.14</v>
      </c>
      <c r="H41" s="3">
        <f>Data!K43+Data!R43</f>
        <v>26379.469999999998</v>
      </c>
      <c r="I41" s="3">
        <f>Data!I43+Data!L43+Data!M43+Data!N43+Data!O43+Data!S43</f>
        <v>0</v>
      </c>
      <c r="J41" s="3">
        <f>Data!Q43</f>
        <v>0</v>
      </c>
      <c r="K41" s="3">
        <f>Data!J43+Data!P43</f>
        <v>19032.599999999999</v>
      </c>
      <c r="L41" s="3">
        <f>Data!T43</f>
        <v>0</v>
      </c>
      <c r="M41" s="3">
        <f>ROUND(Data!AB43*$B$2,2)</f>
        <v>0</v>
      </c>
      <c r="N41" s="3">
        <f>Data!U43</f>
        <v>0</v>
      </c>
      <c r="O41" s="3">
        <f t="shared" si="1"/>
        <v>112797.67000000001</v>
      </c>
      <c r="P41" s="3">
        <f t="shared" si="2"/>
        <v>112797.67000000001</v>
      </c>
      <c r="Q41" s="3">
        <f t="shared" si="3"/>
        <v>0</v>
      </c>
    </row>
    <row r="42" spans="1:17" x14ac:dyDescent="0.2">
      <c r="A42" s="17">
        <v>112</v>
      </c>
      <c r="B42" s="17">
        <v>1</v>
      </c>
      <c r="C42" s="3" t="s">
        <v>1169</v>
      </c>
      <c r="D42" s="3">
        <f>ROUND(Data!AA44*$B$2,2)</f>
        <v>0</v>
      </c>
      <c r="E42" s="3">
        <f>MAX(0,Data!AD44-Data!Y44)</f>
        <v>0</v>
      </c>
      <c r="F42" s="3">
        <f>Data!Y44</f>
        <v>1809944.64</v>
      </c>
      <c r="G42" s="3">
        <f>Data!X44</f>
        <v>41804.71</v>
      </c>
      <c r="H42" s="3">
        <f>Data!K44+Data!R44</f>
        <v>139630.16</v>
      </c>
      <c r="I42" s="3">
        <f>Data!I44+Data!L44+Data!M44+Data!N44+Data!O44+Data!S44</f>
        <v>0</v>
      </c>
      <c r="J42" s="3">
        <f>Data!Q44</f>
        <v>0</v>
      </c>
      <c r="K42" s="3">
        <f>Data!J44+Data!P44</f>
        <v>-63585.740000000005</v>
      </c>
      <c r="L42" s="3">
        <f>Data!T44</f>
        <v>0</v>
      </c>
      <c r="M42" s="3">
        <f>ROUND(Data!AB44*$B$2,2)</f>
        <v>0</v>
      </c>
      <c r="N42" s="3">
        <f>Data!U44</f>
        <v>0</v>
      </c>
      <c r="O42" s="3">
        <f t="shared" si="1"/>
        <v>1927793.7699999998</v>
      </c>
      <c r="P42" s="3">
        <f t="shared" si="2"/>
        <v>1927793.7699999998</v>
      </c>
      <c r="Q42" s="3">
        <f t="shared" si="3"/>
        <v>0</v>
      </c>
    </row>
    <row r="43" spans="1:17" x14ac:dyDescent="0.2">
      <c r="A43" s="17">
        <v>113</v>
      </c>
      <c r="B43" s="17">
        <v>1</v>
      </c>
      <c r="C43" s="3" t="s">
        <v>1170</v>
      </c>
      <c r="D43" s="3">
        <f>ROUND(Data!AA45*$B$2,2)</f>
        <v>0</v>
      </c>
      <c r="E43" s="3">
        <f>MAX(0,Data!AD45-Data!Y45)</f>
        <v>0</v>
      </c>
      <c r="F43" s="3">
        <f>Data!Y45</f>
        <v>0</v>
      </c>
      <c r="G43" s="3">
        <f>Data!X45</f>
        <v>0</v>
      </c>
      <c r="H43" s="3">
        <f>Data!K45+Data!R45</f>
        <v>18340.050000000003</v>
      </c>
      <c r="I43" s="3">
        <f>Data!I45+Data!L45+Data!M45+Data!N45+Data!O45+Data!S45</f>
        <v>0</v>
      </c>
      <c r="J43" s="3">
        <f>Data!Q45</f>
        <v>0</v>
      </c>
      <c r="K43" s="3">
        <f>Data!J45+Data!P45</f>
        <v>14214.6</v>
      </c>
      <c r="L43" s="3">
        <f>Data!T45</f>
        <v>0</v>
      </c>
      <c r="M43" s="3">
        <f>ROUND(Data!AB45*$B$2,2)</f>
        <v>0</v>
      </c>
      <c r="N43" s="3">
        <f>Data!U45</f>
        <v>0</v>
      </c>
      <c r="O43" s="3">
        <f t="shared" si="1"/>
        <v>32554.65</v>
      </c>
      <c r="P43" s="3">
        <f t="shared" si="2"/>
        <v>32554.65</v>
      </c>
      <c r="Q43" s="3">
        <f t="shared" si="3"/>
        <v>0</v>
      </c>
    </row>
    <row r="44" spans="1:17" x14ac:dyDescent="0.2">
      <c r="A44" s="17">
        <v>115</v>
      </c>
      <c r="B44" s="17">
        <v>1</v>
      </c>
      <c r="C44" s="3" t="s">
        <v>1171</v>
      </c>
      <c r="D44" s="3">
        <f>ROUND(Data!AA46*$B$2,2)</f>
        <v>0</v>
      </c>
      <c r="E44" s="3">
        <f>MAX(0,Data!AD46-Data!Y46)</f>
        <v>0</v>
      </c>
      <c r="F44" s="3">
        <f>Data!Y46</f>
        <v>0</v>
      </c>
      <c r="G44" s="3">
        <f>Data!X46</f>
        <v>0</v>
      </c>
      <c r="H44" s="3">
        <f>Data!K46+Data!R46</f>
        <v>-11508.53</v>
      </c>
      <c r="I44" s="3">
        <f>Data!I46+Data!L46+Data!M46+Data!N46+Data!O46+Data!S46</f>
        <v>0</v>
      </c>
      <c r="J44" s="3">
        <f>Data!Q46</f>
        <v>0</v>
      </c>
      <c r="K44" s="3">
        <f>Data!J46+Data!P46</f>
        <v>42438.270000000004</v>
      </c>
      <c r="L44" s="3">
        <f>Data!T46</f>
        <v>0</v>
      </c>
      <c r="M44" s="3">
        <f>ROUND(Data!AB46*$B$2,2)</f>
        <v>0</v>
      </c>
      <c r="N44" s="3">
        <f>Data!U46</f>
        <v>0</v>
      </c>
      <c r="O44" s="3">
        <f t="shared" si="1"/>
        <v>30929.740000000005</v>
      </c>
      <c r="P44" s="3">
        <f t="shared" si="2"/>
        <v>30929.740000000005</v>
      </c>
      <c r="Q44" s="3">
        <f t="shared" si="3"/>
        <v>0</v>
      </c>
    </row>
    <row r="45" spans="1:17" x14ac:dyDescent="0.2">
      <c r="A45" s="17">
        <v>116</v>
      </c>
      <c r="B45" s="17">
        <v>1</v>
      </c>
      <c r="C45" s="3" t="s">
        <v>43</v>
      </c>
      <c r="D45" s="3">
        <f>ROUND(Data!AA47*$B$2,2)</f>
        <v>0</v>
      </c>
      <c r="E45" s="3">
        <f>MAX(0,Data!AD47-Data!Y47)</f>
        <v>0</v>
      </c>
      <c r="F45" s="3">
        <f>Data!Y47</f>
        <v>0</v>
      </c>
      <c r="G45" s="3">
        <f>Data!X47</f>
        <v>0</v>
      </c>
      <c r="H45" s="3">
        <f>Data!K47+Data!R47</f>
        <v>-2172.0100000000002</v>
      </c>
      <c r="I45" s="3">
        <f>Data!I47+Data!L47+Data!M47+Data!N47+Data!O47+Data!S47</f>
        <v>0</v>
      </c>
      <c r="J45" s="3">
        <f>Data!Q47</f>
        <v>0</v>
      </c>
      <c r="K45" s="3">
        <f>Data!J47+Data!P47</f>
        <v>-11541.47</v>
      </c>
      <c r="L45" s="3">
        <f>Data!T47</f>
        <v>0</v>
      </c>
      <c r="M45" s="3">
        <f>ROUND(Data!AB47*$B$2,2)</f>
        <v>0</v>
      </c>
      <c r="N45" s="3">
        <f>Data!U47</f>
        <v>0</v>
      </c>
      <c r="O45" s="3">
        <f t="shared" si="1"/>
        <v>-13713.48</v>
      </c>
      <c r="P45" s="3">
        <f t="shared" si="2"/>
        <v>-13713.48</v>
      </c>
      <c r="Q45" s="3">
        <f t="shared" si="3"/>
        <v>0</v>
      </c>
    </row>
    <row r="46" spans="1:17" x14ac:dyDescent="0.2">
      <c r="A46" s="17">
        <v>118</v>
      </c>
      <c r="B46" s="17">
        <v>1</v>
      </c>
      <c r="C46" s="3" t="s">
        <v>44</v>
      </c>
      <c r="D46" s="3">
        <f>ROUND(Data!AA48*$B$2,2)</f>
        <v>0</v>
      </c>
      <c r="E46" s="3">
        <f>MAX(0,Data!AD48-Data!Y48)</f>
        <v>0</v>
      </c>
      <c r="F46" s="3">
        <f>Data!Y48</f>
        <v>71477.7</v>
      </c>
      <c r="G46" s="3">
        <f>Data!X48</f>
        <v>0</v>
      </c>
      <c r="H46" s="3">
        <f>Data!K48+Data!R48</f>
        <v>10410</v>
      </c>
      <c r="I46" s="3">
        <f>Data!I48+Data!L48+Data!M48+Data!N48+Data!O48+Data!S48</f>
        <v>0</v>
      </c>
      <c r="J46" s="3">
        <f>Data!Q48</f>
        <v>0</v>
      </c>
      <c r="K46" s="3">
        <f>Data!J48+Data!P48</f>
        <v>10411.07</v>
      </c>
      <c r="L46" s="3">
        <f>Data!T48</f>
        <v>0</v>
      </c>
      <c r="M46" s="3">
        <f>ROUND(Data!AB48*$B$2,2)</f>
        <v>0</v>
      </c>
      <c r="N46" s="3">
        <f>Data!U48</f>
        <v>0</v>
      </c>
      <c r="O46" s="3">
        <f t="shared" si="1"/>
        <v>92298.76999999999</v>
      </c>
      <c r="P46" s="3">
        <f t="shared" si="2"/>
        <v>92298.76999999999</v>
      </c>
      <c r="Q46" s="3">
        <f t="shared" si="3"/>
        <v>0</v>
      </c>
    </row>
    <row r="47" spans="1:17" x14ac:dyDescent="0.2">
      <c r="A47" s="17">
        <v>129</v>
      </c>
      <c r="B47" s="17">
        <v>1</v>
      </c>
      <c r="C47" s="3" t="s">
        <v>45</v>
      </c>
      <c r="D47" s="3">
        <f>ROUND(Data!AA49*$B$2,2)</f>
        <v>0</v>
      </c>
      <c r="E47" s="3">
        <f>MAX(0,Data!AD49-Data!Y49)</f>
        <v>0</v>
      </c>
      <c r="F47" s="3">
        <f>Data!Y49</f>
        <v>76642.47</v>
      </c>
      <c r="G47" s="3">
        <f>Data!X49</f>
        <v>0</v>
      </c>
      <c r="H47" s="3">
        <f>Data!K49+Data!R49</f>
        <v>48811.369999999995</v>
      </c>
      <c r="I47" s="3">
        <f>Data!I49+Data!L49+Data!M49+Data!N49+Data!O49+Data!S49</f>
        <v>0</v>
      </c>
      <c r="J47" s="3">
        <f>Data!Q49</f>
        <v>0</v>
      </c>
      <c r="K47" s="3">
        <f>Data!J49+Data!P49</f>
        <v>-2815.7999999999993</v>
      </c>
      <c r="L47" s="3">
        <f>Data!T49</f>
        <v>0</v>
      </c>
      <c r="M47" s="3">
        <f>ROUND(Data!AB49*$B$2,2)</f>
        <v>0</v>
      </c>
      <c r="N47" s="3">
        <f>Data!U49</f>
        <v>0</v>
      </c>
      <c r="O47" s="3">
        <f t="shared" si="1"/>
        <v>122638.04</v>
      </c>
      <c r="P47" s="3">
        <f t="shared" si="2"/>
        <v>122638.04</v>
      </c>
      <c r="Q47" s="3">
        <f t="shared" si="3"/>
        <v>0</v>
      </c>
    </row>
    <row r="48" spans="1:17" x14ac:dyDescent="0.2">
      <c r="A48" s="17">
        <v>138</v>
      </c>
      <c r="B48" s="17">
        <v>1</v>
      </c>
      <c r="C48" s="3" t="s">
        <v>46</v>
      </c>
      <c r="D48" s="3">
        <f>ROUND(Data!AA50*$B$2,2)</f>
        <v>0</v>
      </c>
      <c r="E48" s="3">
        <f>MAX(0,Data!AD50-Data!Y50)</f>
        <v>0</v>
      </c>
      <c r="F48" s="3">
        <f>Data!Y50</f>
        <v>124195.25</v>
      </c>
      <c r="G48" s="3">
        <f>Data!X50</f>
        <v>0</v>
      </c>
      <c r="H48" s="3">
        <f>Data!K50+Data!R50</f>
        <v>32264.16</v>
      </c>
      <c r="I48" s="3">
        <f>Data!I50+Data!L50+Data!M50+Data!N50+Data!O50+Data!S50</f>
        <v>0</v>
      </c>
      <c r="J48" s="3">
        <f>Data!Q50</f>
        <v>0</v>
      </c>
      <c r="K48" s="3">
        <f>Data!J50+Data!P50</f>
        <v>18174.240000000002</v>
      </c>
      <c r="L48" s="3">
        <f>Data!T50</f>
        <v>0</v>
      </c>
      <c r="M48" s="3">
        <f>ROUND(Data!AB50*$B$2,2)</f>
        <v>0</v>
      </c>
      <c r="N48" s="3">
        <f>Data!U50</f>
        <v>0</v>
      </c>
      <c r="O48" s="3">
        <f t="shared" si="1"/>
        <v>174633.65</v>
      </c>
      <c r="P48" s="3">
        <f t="shared" si="2"/>
        <v>174633.65</v>
      </c>
      <c r="Q48" s="3">
        <f t="shared" si="3"/>
        <v>0</v>
      </c>
    </row>
    <row r="49" spans="1:17" x14ac:dyDescent="0.2">
      <c r="A49" s="17">
        <v>139</v>
      </c>
      <c r="B49" s="17">
        <v>1</v>
      </c>
      <c r="C49" s="3" t="s">
        <v>47</v>
      </c>
      <c r="D49" s="3">
        <f>ROUND(Data!AA51*$B$2,2)</f>
        <v>0</v>
      </c>
      <c r="E49" s="3">
        <f>MAX(0,Data!AD51-Data!Y51)</f>
        <v>0</v>
      </c>
      <c r="F49" s="3">
        <f>Data!Y51</f>
        <v>0</v>
      </c>
      <c r="G49" s="3">
        <f>Data!X51</f>
        <v>0</v>
      </c>
      <c r="H49" s="3">
        <f>Data!K51+Data!R51</f>
        <v>10173.619999999999</v>
      </c>
      <c r="I49" s="3">
        <f>Data!I51+Data!L51+Data!M51+Data!N51+Data!O51+Data!S51</f>
        <v>0</v>
      </c>
      <c r="J49" s="3">
        <f>Data!Q51</f>
        <v>0</v>
      </c>
      <c r="K49" s="3">
        <f>Data!J51+Data!P51</f>
        <v>4138.45</v>
      </c>
      <c r="L49" s="3">
        <f>Data!T51</f>
        <v>0</v>
      </c>
      <c r="M49" s="3">
        <f>ROUND(Data!AB51*$B$2,2)</f>
        <v>0</v>
      </c>
      <c r="N49" s="3">
        <f>Data!U51</f>
        <v>0</v>
      </c>
      <c r="O49" s="3">
        <f t="shared" si="1"/>
        <v>14312.07</v>
      </c>
      <c r="P49" s="3">
        <f t="shared" si="2"/>
        <v>14312.07</v>
      </c>
      <c r="Q49" s="3">
        <f t="shared" si="3"/>
        <v>0</v>
      </c>
    </row>
    <row r="50" spans="1:17" x14ac:dyDescent="0.2">
      <c r="A50" s="17">
        <v>146</v>
      </c>
      <c r="B50" s="17">
        <v>1</v>
      </c>
      <c r="C50" s="3" t="s">
        <v>48</v>
      </c>
      <c r="D50" s="3">
        <f>ROUND(Data!AA52*$B$2,2)</f>
        <v>0</v>
      </c>
      <c r="E50" s="3">
        <f>MAX(0,Data!AD52-Data!Y52)</f>
        <v>0</v>
      </c>
      <c r="F50" s="3">
        <f>Data!Y52</f>
        <v>47325.63</v>
      </c>
      <c r="G50" s="3">
        <f>Data!X52</f>
        <v>0</v>
      </c>
      <c r="H50" s="3">
        <f>Data!K52+Data!R52</f>
        <v>14402.95</v>
      </c>
      <c r="I50" s="3">
        <f>Data!I52+Data!L52+Data!M52+Data!N52+Data!O52+Data!S52</f>
        <v>0</v>
      </c>
      <c r="J50" s="3">
        <f>Data!Q52</f>
        <v>0</v>
      </c>
      <c r="K50" s="3">
        <f>Data!J52+Data!P52</f>
        <v>6341.94</v>
      </c>
      <c r="L50" s="3">
        <f>Data!T52</f>
        <v>0</v>
      </c>
      <c r="M50" s="3">
        <f>ROUND(Data!AB52*$B$2,2)</f>
        <v>0</v>
      </c>
      <c r="N50" s="3">
        <f>Data!U52</f>
        <v>0</v>
      </c>
      <c r="O50" s="3">
        <f t="shared" si="1"/>
        <v>68070.52</v>
      </c>
      <c r="P50" s="3">
        <f t="shared" si="2"/>
        <v>68070.52</v>
      </c>
      <c r="Q50" s="3">
        <f t="shared" si="3"/>
        <v>0</v>
      </c>
    </row>
    <row r="51" spans="1:17" x14ac:dyDescent="0.2">
      <c r="A51" s="17">
        <v>150</v>
      </c>
      <c r="B51" s="17">
        <v>1</v>
      </c>
      <c r="C51" s="3" t="s">
        <v>49</v>
      </c>
      <c r="D51" s="3">
        <f>ROUND(Data!AA53*$B$2,2)</f>
        <v>0</v>
      </c>
      <c r="E51" s="3">
        <f>MAX(0,Data!AD53-Data!Y53)</f>
        <v>0</v>
      </c>
      <c r="F51" s="3">
        <f>Data!Y53</f>
        <v>27885.64</v>
      </c>
      <c r="G51" s="3">
        <f>Data!X53</f>
        <v>0</v>
      </c>
      <c r="H51" s="3">
        <f>Data!K53+Data!R53</f>
        <v>7748.4000000000005</v>
      </c>
      <c r="I51" s="3">
        <f>Data!I53+Data!L53+Data!M53+Data!N53+Data!O53+Data!S53</f>
        <v>0</v>
      </c>
      <c r="J51" s="3">
        <f>Data!Q53</f>
        <v>0</v>
      </c>
      <c r="K51" s="3">
        <f>Data!J53+Data!P53</f>
        <v>-14502</v>
      </c>
      <c r="L51" s="3">
        <f>Data!T53</f>
        <v>0</v>
      </c>
      <c r="M51" s="3">
        <f>ROUND(Data!AB53*$B$2,2)</f>
        <v>0</v>
      </c>
      <c r="N51" s="3">
        <f>Data!U53</f>
        <v>0</v>
      </c>
      <c r="O51" s="3">
        <f t="shared" si="1"/>
        <v>21132.04</v>
      </c>
      <c r="P51" s="3">
        <f t="shared" si="2"/>
        <v>21132.04</v>
      </c>
      <c r="Q51" s="3">
        <f t="shared" si="3"/>
        <v>0</v>
      </c>
    </row>
    <row r="52" spans="1:17" x14ac:dyDescent="0.2">
      <c r="A52" s="17">
        <v>152</v>
      </c>
      <c r="B52" s="17">
        <v>1</v>
      </c>
      <c r="C52" s="3" t="s">
        <v>50</v>
      </c>
      <c r="D52" s="3">
        <f>ROUND(Data!AA54*$B$2,2)</f>
        <v>0</v>
      </c>
      <c r="E52" s="3">
        <f>MAX(0,Data!AD54-Data!Y54)</f>
        <v>0</v>
      </c>
      <c r="F52" s="3">
        <f>Data!Y54</f>
        <v>260799.18</v>
      </c>
      <c r="G52" s="3">
        <f>Data!X54</f>
        <v>0</v>
      </c>
      <c r="H52" s="3">
        <f>Data!K54+Data!R54</f>
        <v>63843.67</v>
      </c>
      <c r="I52" s="3">
        <f>Data!I54+Data!L54+Data!M54+Data!N54+Data!O54+Data!S54</f>
        <v>0</v>
      </c>
      <c r="J52" s="3">
        <f>Data!Q54</f>
        <v>0</v>
      </c>
      <c r="K52" s="3">
        <f>Data!J54+Data!P54</f>
        <v>-22148.85</v>
      </c>
      <c r="L52" s="3">
        <f>Data!T54</f>
        <v>0</v>
      </c>
      <c r="M52" s="3">
        <f>ROUND(Data!AB54*$B$2,2)</f>
        <v>0</v>
      </c>
      <c r="N52" s="3">
        <f>Data!U54</f>
        <v>0</v>
      </c>
      <c r="O52" s="3">
        <f t="shared" si="1"/>
        <v>302494</v>
      </c>
      <c r="P52" s="3">
        <f t="shared" si="2"/>
        <v>302494</v>
      </c>
      <c r="Q52" s="3">
        <f t="shared" si="3"/>
        <v>0</v>
      </c>
    </row>
    <row r="53" spans="1:17" x14ac:dyDescent="0.2">
      <c r="A53" s="17">
        <v>162</v>
      </c>
      <c r="B53" s="17">
        <v>1</v>
      </c>
      <c r="C53" s="3" t="s">
        <v>51</v>
      </c>
      <c r="D53" s="3">
        <f>ROUND(Data!AA55*$B$2,2)</f>
        <v>0</v>
      </c>
      <c r="E53" s="3">
        <f>MAX(0,Data!AD55-Data!Y55)</f>
        <v>0</v>
      </c>
      <c r="F53" s="3">
        <f>Data!Y55</f>
        <v>0</v>
      </c>
      <c r="G53" s="3">
        <f>Data!X55</f>
        <v>0</v>
      </c>
      <c r="H53" s="3">
        <f>Data!K55+Data!R55</f>
        <v>12549.14</v>
      </c>
      <c r="I53" s="3">
        <f>Data!I55+Data!L55+Data!M55+Data!N55+Data!O55+Data!S55</f>
        <v>0</v>
      </c>
      <c r="J53" s="3">
        <f>Data!Q55</f>
        <v>0</v>
      </c>
      <c r="K53" s="3">
        <f>Data!J55+Data!P55</f>
        <v>-18250.739999999998</v>
      </c>
      <c r="L53" s="3">
        <f>Data!T55</f>
        <v>0</v>
      </c>
      <c r="M53" s="3">
        <f>ROUND(Data!AB55*$B$2,2)</f>
        <v>0</v>
      </c>
      <c r="N53" s="3">
        <f>Data!U55</f>
        <v>0</v>
      </c>
      <c r="O53" s="3">
        <f t="shared" si="1"/>
        <v>-5701.5999999999985</v>
      </c>
      <c r="P53" s="3">
        <f t="shared" si="2"/>
        <v>-5701.5999999999985</v>
      </c>
      <c r="Q53" s="3">
        <f t="shared" si="3"/>
        <v>0</v>
      </c>
    </row>
    <row r="54" spans="1:17" x14ac:dyDescent="0.2">
      <c r="A54" s="17">
        <v>166</v>
      </c>
      <c r="B54" s="17">
        <v>1</v>
      </c>
      <c r="C54" s="3" t="s">
        <v>52</v>
      </c>
      <c r="D54" s="3">
        <f>ROUND(Data!AA56*$B$2,2)</f>
        <v>0</v>
      </c>
      <c r="E54" s="3">
        <f>MAX(0,Data!AD56-Data!Y56)</f>
        <v>0</v>
      </c>
      <c r="F54" s="3">
        <f>Data!Y56</f>
        <v>32084.66</v>
      </c>
      <c r="G54" s="3">
        <f>Data!X56</f>
        <v>0</v>
      </c>
      <c r="H54" s="3">
        <f>Data!K56+Data!R56</f>
        <v>15797.08</v>
      </c>
      <c r="I54" s="3">
        <f>Data!I56+Data!L56+Data!M56+Data!N56+Data!O56+Data!S56</f>
        <v>0</v>
      </c>
      <c r="J54" s="3">
        <f>Data!Q56</f>
        <v>0</v>
      </c>
      <c r="K54" s="3">
        <f>Data!J56+Data!P56</f>
        <v>-11863.55</v>
      </c>
      <c r="L54" s="3">
        <f>Data!T56</f>
        <v>0</v>
      </c>
      <c r="M54" s="3">
        <f>ROUND(Data!AB56*$B$2,2)</f>
        <v>0</v>
      </c>
      <c r="N54" s="3">
        <f>Data!U56</f>
        <v>0</v>
      </c>
      <c r="O54" s="3">
        <f t="shared" si="1"/>
        <v>36018.19</v>
      </c>
      <c r="P54" s="3">
        <f t="shared" si="2"/>
        <v>36018.19</v>
      </c>
      <c r="Q54" s="3">
        <f t="shared" si="3"/>
        <v>0</v>
      </c>
    </row>
    <row r="55" spans="1:17" x14ac:dyDescent="0.2">
      <c r="A55" s="17">
        <v>173</v>
      </c>
      <c r="B55" s="17">
        <v>1</v>
      </c>
      <c r="C55" s="3" t="s">
        <v>53</v>
      </c>
      <c r="D55" s="3">
        <f>ROUND(Data!AA57*$B$2,2)</f>
        <v>0</v>
      </c>
      <c r="E55" s="3">
        <f>MAX(0,Data!AD57-Data!Y57)</f>
        <v>0</v>
      </c>
      <c r="F55" s="3">
        <f>Data!Y57</f>
        <v>90731.14</v>
      </c>
      <c r="G55" s="3">
        <f>Data!X57</f>
        <v>4153.8</v>
      </c>
      <c r="H55" s="3">
        <f>Data!K57+Data!R57</f>
        <v>18855.96</v>
      </c>
      <c r="I55" s="3">
        <f>Data!I57+Data!L57+Data!M57+Data!N57+Data!O57+Data!S57</f>
        <v>0</v>
      </c>
      <c r="J55" s="3">
        <f>Data!Q57</f>
        <v>0</v>
      </c>
      <c r="K55" s="3">
        <f>Data!J57+Data!P57</f>
        <v>9471.57</v>
      </c>
      <c r="L55" s="3">
        <f>Data!T57</f>
        <v>0</v>
      </c>
      <c r="M55" s="3">
        <f>ROUND(Data!AB57*$B$2,2)</f>
        <v>0</v>
      </c>
      <c r="N55" s="3">
        <f>Data!U57</f>
        <v>0</v>
      </c>
      <c r="O55" s="3">
        <f t="shared" si="1"/>
        <v>123212.47</v>
      </c>
      <c r="P55" s="3">
        <f t="shared" si="2"/>
        <v>123212.47</v>
      </c>
      <c r="Q55" s="3">
        <f t="shared" si="3"/>
        <v>0</v>
      </c>
    </row>
    <row r="56" spans="1:17" x14ac:dyDescent="0.2">
      <c r="A56" s="17">
        <v>177</v>
      </c>
      <c r="B56" s="17">
        <v>1</v>
      </c>
      <c r="C56" s="3" t="s">
        <v>54</v>
      </c>
      <c r="D56" s="3">
        <f>ROUND(Data!AA58*$B$2,2)</f>
        <v>0</v>
      </c>
      <c r="E56" s="3">
        <f>MAX(0,Data!AD58-Data!Y58)</f>
        <v>0</v>
      </c>
      <c r="F56" s="3">
        <f>Data!Y58</f>
        <v>79181.69</v>
      </c>
      <c r="G56" s="3">
        <f>Data!X58</f>
        <v>7877.23</v>
      </c>
      <c r="H56" s="3">
        <f>Data!K58+Data!R58</f>
        <v>18693.18</v>
      </c>
      <c r="I56" s="3">
        <f>Data!I58+Data!L58+Data!M58+Data!N58+Data!O58+Data!S58</f>
        <v>0</v>
      </c>
      <c r="J56" s="3">
        <f>Data!Q58</f>
        <v>0</v>
      </c>
      <c r="K56" s="3">
        <f>Data!J58+Data!P58</f>
        <v>18878.939999999999</v>
      </c>
      <c r="L56" s="3">
        <f>Data!T58</f>
        <v>0</v>
      </c>
      <c r="M56" s="3">
        <f>ROUND(Data!AB58*$B$2,2)</f>
        <v>0</v>
      </c>
      <c r="N56" s="3">
        <f>Data!U58</f>
        <v>0</v>
      </c>
      <c r="O56" s="3">
        <f t="shared" si="1"/>
        <v>124631.04000000001</v>
      </c>
      <c r="P56" s="3">
        <f t="shared" si="2"/>
        <v>124631.04000000001</v>
      </c>
      <c r="Q56" s="3">
        <f t="shared" si="3"/>
        <v>0</v>
      </c>
    </row>
    <row r="57" spans="1:17" x14ac:dyDescent="0.2">
      <c r="A57" s="17">
        <v>181</v>
      </c>
      <c r="B57" s="17">
        <v>1</v>
      </c>
      <c r="C57" s="3" t="s">
        <v>55</v>
      </c>
      <c r="D57" s="3">
        <f>ROUND(Data!AA59*$B$2,2)</f>
        <v>0</v>
      </c>
      <c r="E57" s="3">
        <f>MAX(0,Data!AD59-Data!Y59)</f>
        <v>0</v>
      </c>
      <c r="F57" s="3">
        <f>Data!Y59</f>
        <v>381870.54</v>
      </c>
      <c r="G57" s="3">
        <f>Data!X59</f>
        <v>0</v>
      </c>
      <c r="H57" s="3">
        <f>Data!K59+Data!R59</f>
        <v>285761.14999999997</v>
      </c>
      <c r="I57" s="3">
        <f>Data!I59+Data!L59+Data!M59+Data!N59+Data!O59+Data!S59</f>
        <v>0</v>
      </c>
      <c r="J57" s="3">
        <f>Data!Q59</f>
        <v>0</v>
      </c>
      <c r="K57" s="3">
        <f>Data!J59+Data!P59</f>
        <v>28621.83</v>
      </c>
      <c r="L57" s="3">
        <f>Data!T59</f>
        <v>0</v>
      </c>
      <c r="M57" s="3">
        <f>ROUND(Data!AB59*$B$2,2)</f>
        <v>0</v>
      </c>
      <c r="N57" s="3">
        <f>Data!U59</f>
        <v>0</v>
      </c>
      <c r="O57" s="3">
        <f t="shared" si="1"/>
        <v>696253.5199999999</v>
      </c>
      <c r="P57" s="3">
        <f t="shared" si="2"/>
        <v>696253.5199999999</v>
      </c>
      <c r="Q57" s="3">
        <f t="shared" si="3"/>
        <v>0</v>
      </c>
    </row>
    <row r="58" spans="1:17" x14ac:dyDescent="0.2">
      <c r="A58" s="17">
        <v>182</v>
      </c>
      <c r="B58" s="17">
        <v>1</v>
      </c>
      <c r="C58" s="3" t="s">
        <v>56</v>
      </c>
      <c r="D58" s="3">
        <f>ROUND(Data!AA60*$B$2,2)</f>
        <v>0</v>
      </c>
      <c r="E58" s="3">
        <f>MAX(0,Data!AD60-Data!Y60)</f>
        <v>0</v>
      </c>
      <c r="F58" s="3">
        <f>Data!Y60</f>
        <v>41830.449999999997</v>
      </c>
      <c r="G58" s="3">
        <f>Data!X60</f>
        <v>0</v>
      </c>
      <c r="H58" s="3">
        <f>Data!K60+Data!R60</f>
        <v>32342.36</v>
      </c>
      <c r="I58" s="3">
        <f>Data!I60+Data!L60+Data!M60+Data!N60+Data!O60+Data!S60</f>
        <v>0</v>
      </c>
      <c r="J58" s="3">
        <f>Data!Q60</f>
        <v>0</v>
      </c>
      <c r="K58" s="3">
        <f>Data!J60+Data!P60</f>
        <v>4940.5200000000004</v>
      </c>
      <c r="L58" s="3">
        <f>Data!T60</f>
        <v>0</v>
      </c>
      <c r="M58" s="3">
        <f>ROUND(Data!AB60*$B$2,2)</f>
        <v>0</v>
      </c>
      <c r="N58" s="3">
        <f>Data!U60</f>
        <v>0</v>
      </c>
      <c r="O58" s="3">
        <f t="shared" si="1"/>
        <v>79113.33</v>
      </c>
      <c r="P58" s="3">
        <f t="shared" si="2"/>
        <v>79113.33</v>
      </c>
      <c r="Q58" s="3">
        <f t="shared" si="3"/>
        <v>0</v>
      </c>
    </row>
    <row r="59" spans="1:17" x14ac:dyDescent="0.2">
      <c r="A59" s="17">
        <v>186</v>
      </c>
      <c r="B59" s="17">
        <v>1</v>
      </c>
      <c r="C59" s="3" t="s">
        <v>57</v>
      </c>
      <c r="D59" s="3">
        <f>ROUND(Data!AA61*$B$2,2)</f>
        <v>0</v>
      </c>
      <c r="E59" s="3">
        <f>MAX(0,Data!AD61-Data!Y61)</f>
        <v>0</v>
      </c>
      <c r="F59" s="3">
        <f>Data!Y61</f>
        <v>0</v>
      </c>
      <c r="G59" s="3">
        <f>Data!X61</f>
        <v>0</v>
      </c>
      <c r="H59" s="3">
        <f>Data!K61+Data!R61</f>
        <v>36190.28</v>
      </c>
      <c r="I59" s="3">
        <f>Data!I61+Data!L61+Data!M61+Data!N61+Data!O61+Data!S61</f>
        <v>0</v>
      </c>
      <c r="J59" s="3">
        <f>Data!Q61</f>
        <v>0</v>
      </c>
      <c r="K59" s="3">
        <f>Data!J61+Data!P61</f>
        <v>20095.34</v>
      </c>
      <c r="L59" s="3">
        <f>Data!T61</f>
        <v>0</v>
      </c>
      <c r="M59" s="3">
        <f>ROUND(Data!AB61*$B$2,2)</f>
        <v>0</v>
      </c>
      <c r="N59" s="3">
        <f>Data!U61</f>
        <v>0</v>
      </c>
      <c r="O59" s="3">
        <f t="shared" si="1"/>
        <v>56285.619999999995</v>
      </c>
      <c r="P59" s="3">
        <f t="shared" si="2"/>
        <v>56285.619999999995</v>
      </c>
      <c r="Q59" s="3">
        <f t="shared" si="3"/>
        <v>0</v>
      </c>
    </row>
    <row r="60" spans="1:17" x14ac:dyDescent="0.2">
      <c r="A60" s="17">
        <v>191</v>
      </c>
      <c r="B60" s="17">
        <v>1</v>
      </c>
      <c r="C60" s="3" t="s">
        <v>58</v>
      </c>
      <c r="D60" s="3">
        <f>ROUND(Data!AA62*$B$2,2)</f>
        <v>0</v>
      </c>
      <c r="E60" s="3">
        <f>MAX(0,Data!AD62-Data!Y62)</f>
        <v>0</v>
      </c>
      <c r="F60" s="3">
        <f>Data!Y62</f>
        <v>3269341.23</v>
      </c>
      <c r="G60" s="3">
        <f>Data!X62</f>
        <v>0</v>
      </c>
      <c r="H60" s="3">
        <f>Data!K62+Data!R62</f>
        <v>191033.64</v>
      </c>
      <c r="I60" s="3">
        <f>Data!I62+Data!L62+Data!M62+Data!N62+Data!O62+Data!S62</f>
        <v>0</v>
      </c>
      <c r="J60" s="3">
        <f>Data!Q62</f>
        <v>0</v>
      </c>
      <c r="K60" s="3">
        <f>Data!J62+Data!P62</f>
        <v>512661.03</v>
      </c>
      <c r="L60" s="3">
        <f>Data!T62</f>
        <v>0</v>
      </c>
      <c r="M60" s="3">
        <f>ROUND(Data!AB62*$B$2,2)</f>
        <v>0</v>
      </c>
      <c r="N60" s="3">
        <f>Data!U62</f>
        <v>0</v>
      </c>
      <c r="O60" s="3">
        <f t="shared" si="1"/>
        <v>3973035.9000000004</v>
      </c>
      <c r="P60" s="3">
        <f t="shared" si="2"/>
        <v>3973035.9000000004</v>
      </c>
      <c r="Q60" s="3">
        <f t="shared" si="3"/>
        <v>0</v>
      </c>
    </row>
    <row r="61" spans="1:17" x14ac:dyDescent="0.2">
      <c r="A61" s="17">
        <v>192</v>
      </c>
      <c r="B61" s="17">
        <v>1</v>
      </c>
      <c r="C61" s="3" t="s">
        <v>59</v>
      </c>
      <c r="D61" s="3">
        <f>ROUND(Data!AA63*$B$2,2)</f>
        <v>0</v>
      </c>
      <c r="E61" s="3">
        <f>MAX(0,Data!AD63-Data!Y63)</f>
        <v>0</v>
      </c>
      <c r="F61" s="3">
        <f>Data!Y63</f>
        <v>497003.31</v>
      </c>
      <c r="G61" s="3">
        <f>Data!X63</f>
        <v>34108.79</v>
      </c>
      <c r="H61" s="3">
        <f>Data!K63+Data!R63</f>
        <v>51546.789999999994</v>
      </c>
      <c r="I61" s="3">
        <f>Data!I63+Data!L63+Data!M63+Data!N63+Data!O63+Data!S63</f>
        <v>0</v>
      </c>
      <c r="J61" s="3">
        <f>Data!Q63</f>
        <v>0</v>
      </c>
      <c r="K61" s="3">
        <f>Data!J63+Data!P63</f>
        <v>-8087.4199999999983</v>
      </c>
      <c r="L61" s="3">
        <f>Data!T63</f>
        <v>0</v>
      </c>
      <c r="M61" s="3">
        <f>ROUND(Data!AB63*$B$2,2)</f>
        <v>0</v>
      </c>
      <c r="N61" s="3">
        <f>Data!U63</f>
        <v>0</v>
      </c>
      <c r="O61" s="3">
        <f t="shared" si="1"/>
        <v>574571.47</v>
      </c>
      <c r="P61" s="3">
        <f t="shared" si="2"/>
        <v>574571.47</v>
      </c>
      <c r="Q61" s="3">
        <f t="shared" si="3"/>
        <v>0</v>
      </c>
    </row>
    <row r="62" spans="1:17" x14ac:dyDescent="0.2">
      <c r="A62" s="17">
        <v>194</v>
      </c>
      <c r="B62" s="17">
        <v>1</v>
      </c>
      <c r="C62" s="3" t="s">
        <v>60</v>
      </c>
      <c r="D62" s="3">
        <f>ROUND(Data!AA64*$B$2,2)</f>
        <v>0</v>
      </c>
      <c r="E62" s="3">
        <f>MAX(0,Data!AD64-Data!Y64)</f>
        <v>0</v>
      </c>
      <c r="F62" s="3">
        <f>Data!Y64</f>
        <v>2328572.5699999998</v>
      </c>
      <c r="G62" s="3">
        <f>Data!X64</f>
        <v>230506.25</v>
      </c>
      <c r="H62" s="3">
        <f>Data!K64+Data!R64</f>
        <v>143605.70000000001</v>
      </c>
      <c r="I62" s="3">
        <f>Data!I64+Data!L64+Data!M64+Data!N64+Data!O64+Data!S64</f>
        <v>0</v>
      </c>
      <c r="J62" s="3">
        <f>Data!Q64</f>
        <v>0</v>
      </c>
      <c r="K62" s="3">
        <f>Data!J64+Data!P64</f>
        <v>29517.19</v>
      </c>
      <c r="L62" s="3">
        <f>Data!T64</f>
        <v>0</v>
      </c>
      <c r="M62" s="3">
        <f>ROUND(Data!AB64*$B$2,2)</f>
        <v>0</v>
      </c>
      <c r="N62" s="3">
        <f>Data!U64</f>
        <v>0</v>
      </c>
      <c r="O62" s="3">
        <f t="shared" si="1"/>
        <v>2732201.71</v>
      </c>
      <c r="P62" s="3">
        <f t="shared" si="2"/>
        <v>2732201.71</v>
      </c>
      <c r="Q62" s="3">
        <f t="shared" si="3"/>
        <v>0</v>
      </c>
    </row>
    <row r="63" spans="1:17" x14ac:dyDescent="0.2">
      <c r="A63" s="17">
        <v>195</v>
      </c>
      <c r="B63" s="17">
        <v>1</v>
      </c>
      <c r="C63" s="3" t="s">
        <v>61</v>
      </c>
      <c r="D63" s="3">
        <f>ROUND(Data!AA65*$B$2,2)</f>
        <v>0</v>
      </c>
      <c r="E63" s="3">
        <f>MAX(0,Data!AD65-Data!Y65)</f>
        <v>0</v>
      </c>
      <c r="F63" s="3">
        <f>Data!Y65</f>
        <v>139518.71</v>
      </c>
      <c r="G63" s="3">
        <f>Data!X65</f>
        <v>0</v>
      </c>
      <c r="H63" s="3">
        <f>Data!K65+Data!R65</f>
        <v>10464.779999999999</v>
      </c>
      <c r="I63" s="3">
        <f>Data!I65+Data!L65+Data!M65+Data!N65+Data!O65+Data!S65</f>
        <v>0</v>
      </c>
      <c r="J63" s="3">
        <f>Data!Q65</f>
        <v>0</v>
      </c>
      <c r="K63" s="3">
        <f>Data!J65+Data!P65</f>
        <v>5231.0200000000004</v>
      </c>
      <c r="L63" s="3">
        <f>Data!T65</f>
        <v>0</v>
      </c>
      <c r="M63" s="3">
        <f>ROUND(Data!AB65*$B$2,2)</f>
        <v>0</v>
      </c>
      <c r="N63" s="3">
        <f>Data!U65</f>
        <v>0</v>
      </c>
      <c r="O63" s="3">
        <f t="shared" si="1"/>
        <v>155214.50999999998</v>
      </c>
      <c r="P63" s="3">
        <f t="shared" si="2"/>
        <v>155214.50999999998</v>
      </c>
      <c r="Q63" s="3">
        <f t="shared" si="3"/>
        <v>0</v>
      </c>
    </row>
    <row r="64" spans="1:17" x14ac:dyDescent="0.2">
      <c r="A64" s="17">
        <v>196</v>
      </c>
      <c r="B64" s="17">
        <v>1</v>
      </c>
      <c r="C64" s="3" t="s">
        <v>62</v>
      </c>
      <c r="D64" s="3">
        <f>ROUND(Data!AA66*$B$2,2)</f>
        <v>0</v>
      </c>
      <c r="E64" s="3">
        <f>MAX(0,Data!AD66-Data!Y66)</f>
        <v>0</v>
      </c>
      <c r="F64" s="3">
        <f>Data!Y66</f>
        <v>2902781.6</v>
      </c>
      <c r="G64" s="3">
        <f>Data!X66</f>
        <v>0</v>
      </c>
      <c r="H64" s="3">
        <f>Data!K66+Data!R66</f>
        <v>262765.81</v>
      </c>
      <c r="I64" s="3">
        <f>Data!I66+Data!L66+Data!M66+Data!N66+Data!O66+Data!S66</f>
        <v>0</v>
      </c>
      <c r="J64" s="3">
        <f>Data!Q66</f>
        <v>0</v>
      </c>
      <c r="K64" s="3">
        <f>Data!J66+Data!P66</f>
        <v>59964.160000000003</v>
      </c>
      <c r="L64" s="3">
        <f>Data!T66</f>
        <v>0</v>
      </c>
      <c r="M64" s="3">
        <f>ROUND(Data!AB66*$B$2,2)</f>
        <v>0</v>
      </c>
      <c r="N64" s="3">
        <f>Data!U66</f>
        <v>0</v>
      </c>
      <c r="O64" s="3">
        <f t="shared" si="1"/>
        <v>3225511.5700000003</v>
      </c>
      <c r="P64" s="3">
        <f t="shared" si="2"/>
        <v>3225511.5700000003</v>
      </c>
      <c r="Q64" s="3">
        <f t="shared" si="3"/>
        <v>0</v>
      </c>
    </row>
    <row r="65" spans="1:17" x14ac:dyDescent="0.2">
      <c r="A65" s="17">
        <v>197</v>
      </c>
      <c r="B65" s="17">
        <v>1</v>
      </c>
      <c r="C65" s="3" t="s">
        <v>815</v>
      </c>
      <c r="D65" s="3">
        <f>ROUND(Data!AA67*$B$2,2)</f>
        <v>0</v>
      </c>
      <c r="E65" s="3">
        <f>MAX(0,Data!AD67-Data!Y67)</f>
        <v>0</v>
      </c>
      <c r="F65" s="3">
        <f>Data!Y67</f>
        <v>1798011.75</v>
      </c>
      <c r="G65" s="3">
        <f>Data!X67</f>
        <v>0</v>
      </c>
      <c r="H65" s="3">
        <f>Data!K67+Data!R67</f>
        <v>86126.579999999987</v>
      </c>
      <c r="I65" s="3">
        <f>Data!I67+Data!L67+Data!M67+Data!N67+Data!O67+Data!S67</f>
        <v>0</v>
      </c>
      <c r="J65" s="3">
        <f>Data!Q67</f>
        <v>0</v>
      </c>
      <c r="K65" s="3">
        <f>Data!J67+Data!P67</f>
        <v>59904.83</v>
      </c>
      <c r="L65" s="3">
        <f>Data!T67</f>
        <v>0</v>
      </c>
      <c r="M65" s="3">
        <f>ROUND(Data!AB67*$B$2,2)</f>
        <v>0</v>
      </c>
      <c r="N65" s="3">
        <f>Data!U67</f>
        <v>0</v>
      </c>
      <c r="O65" s="3">
        <f t="shared" si="1"/>
        <v>1944043.1600000001</v>
      </c>
      <c r="P65" s="3">
        <f t="shared" si="2"/>
        <v>1944043.1600000001</v>
      </c>
      <c r="Q65" s="3">
        <f t="shared" si="3"/>
        <v>0</v>
      </c>
    </row>
    <row r="66" spans="1:17" x14ac:dyDescent="0.2">
      <c r="A66" s="17">
        <v>199</v>
      </c>
      <c r="B66" s="17">
        <v>1</v>
      </c>
      <c r="C66" s="3" t="s">
        <v>1172</v>
      </c>
      <c r="D66" s="3">
        <f>ROUND(Data!AA68*$B$2,2)</f>
        <v>0</v>
      </c>
      <c r="E66" s="3">
        <f>MAX(0,Data!AD68-Data!Y68)</f>
        <v>0</v>
      </c>
      <c r="F66" s="3">
        <f>Data!Y68</f>
        <v>996898.87</v>
      </c>
      <c r="G66" s="3">
        <f>Data!X68</f>
        <v>29000.73</v>
      </c>
      <c r="H66" s="3">
        <f>Data!K68+Data!R68</f>
        <v>47475.3</v>
      </c>
      <c r="I66" s="3">
        <f>Data!I68+Data!L68+Data!M68+Data!N68+Data!O68+Data!S68</f>
        <v>0</v>
      </c>
      <c r="J66" s="3">
        <f>Data!Q68</f>
        <v>0</v>
      </c>
      <c r="K66" s="3">
        <f>Data!J68+Data!P68</f>
        <v>50137.91</v>
      </c>
      <c r="L66" s="3">
        <f>Data!T68</f>
        <v>0</v>
      </c>
      <c r="M66" s="3">
        <f>ROUND(Data!AB68*$B$2,2)</f>
        <v>0</v>
      </c>
      <c r="N66" s="3">
        <f>Data!U68</f>
        <v>0</v>
      </c>
      <c r="O66" s="3">
        <f t="shared" si="1"/>
        <v>1123512.8099999998</v>
      </c>
      <c r="P66" s="3">
        <f t="shared" si="2"/>
        <v>1123512.8099999998</v>
      </c>
      <c r="Q66" s="3">
        <f t="shared" si="3"/>
        <v>0</v>
      </c>
    </row>
    <row r="67" spans="1:17" x14ac:dyDescent="0.2">
      <c r="A67" s="17">
        <v>200</v>
      </c>
      <c r="B67" s="17">
        <v>1</v>
      </c>
      <c r="C67" s="3" t="s">
        <v>65</v>
      </c>
      <c r="D67" s="3">
        <f>ROUND(Data!AA69*$B$2,2)</f>
        <v>0</v>
      </c>
      <c r="E67" s="3">
        <f>MAX(0,Data!AD69-Data!Y69)</f>
        <v>0</v>
      </c>
      <c r="F67" s="3">
        <f>Data!Y69</f>
        <v>552049.56000000006</v>
      </c>
      <c r="G67" s="3">
        <f>Data!X69</f>
        <v>43073.06</v>
      </c>
      <c r="H67" s="3">
        <f>Data!K69+Data!R69</f>
        <v>27461.109999999997</v>
      </c>
      <c r="I67" s="3">
        <f>Data!I69+Data!L69+Data!M69+Data!N69+Data!O69+Data!S69</f>
        <v>0</v>
      </c>
      <c r="J67" s="3">
        <f>Data!Q69</f>
        <v>0</v>
      </c>
      <c r="K67" s="3">
        <f>Data!J69+Data!P69</f>
        <v>-24473.549999999996</v>
      </c>
      <c r="L67" s="3">
        <f>Data!T69</f>
        <v>0</v>
      </c>
      <c r="M67" s="3">
        <f>ROUND(Data!AB69*$B$2,2)</f>
        <v>0</v>
      </c>
      <c r="N67" s="3">
        <f>Data!U69</f>
        <v>0</v>
      </c>
      <c r="O67" s="3">
        <f t="shared" si="1"/>
        <v>598110.18000000005</v>
      </c>
      <c r="P67" s="3">
        <f t="shared" si="2"/>
        <v>598110.18000000005</v>
      </c>
      <c r="Q67" s="3">
        <f t="shared" si="3"/>
        <v>0</v>
      </c>
    </row>
    <row r="68" spans="1:17" x14ac:dyDescent="0.2">
      <c r="A68" s="17">
        <v>203</v>
      </c>
      <c r="B68" s="17">
        <v>1</v>
      </c>
      <c r="C68" s="3" t="s">
        <v>66</v>
      </c>
      <c r="D68" s="3">
        <f>ROUND(Data!AA70*$B$2,2)</f>
        <v>0</v>
      </c>
      <c r="E68" s="3">
        <f>MAX(0,Data!AD70-Data!Y70)</f>
        <v>0</v>
      </c>
      <c r="F68" s="3">
        <f>Data!Y70</f>
        <v>0</v>
      </c>
      <c r="G68" s="3">
        <f>Data!X70</f>
        <v>0</v>
      </c>
      <c r="H68" s="3">
        <f>Data!K70+Data!R70</f>
        <v>18777.870000000003</v>
      </c>
      <c r="I68" s="3">
        <f>Data!I70+Data!L70+Data!M70+Data!N70+Data!O70+Data!S70</f>
        <v>0</v>
      </c>
      <c r="J68" s="3">
        <f>Data!Q70</f>
        <v>0</v>
      </c>
      <c r="K68" s="3">
        <f>Data!J70+Data!P70</f>
        <v>2000</v>
      </c>
      <c r="L68" s="3">
        <f>Data!T70</f>
        <v>0</v>
      </c>
      <c r="M68" s="3">
        <f>ROUND(Data!AB70*$B$2,2)</f>
        <v>0</v>
      </c>
      <c r="N68" s="3">
        <f>Data!U70</f>
        <v>0</v>
      </c>
      <c r="O68" s="3">
        <f t="shared" si="1"/>
        <v>20777.870000000003</v>
      </c>
      <c r="P68" s="3">
        <f t="shared" si="2"/>
        <v>20777.870000000003</v>
      </c>
      <c r="Q68" s="3">
        <f t="shared" si="3"/>
        <v>0</v>
      </c>
    </row>
    <row r="69" spans="1:17" x14ac:dyDescent="0.2">
      <c r="A69" s="17">
        <v>204</v>
      </c>
      <c r="B69" s="17">
        <v>1</v>
      </c>
      <c r="C69" s="3" t="s">
        <v>1173</v>
      </c>
      <c r="D69" s="3">
        <f>ROUND(Data!AA71*$B$2,2)</f>
        <v>0</v>
      </c>
      <c r="E69" s="3">
        <f>MAX(0,Data!AD71-Data!Y71)</f>
        <v>0</v>
      </c>
      <c r="F69" s="3">
        <f>Data!Y71</f>
        <v>66446.850000000006</v>
      </c>
      <c r="G69" s="3">
        <f>Data!X71</f>
        <v>0</v>
      </c>
      <c r="H69" s="3">
        <f>Data!K71+Data!R71</f>
        <v>17822.38</v>
      </c>
      <c r="I69" s="3">
        <f>Data!I71+Data!L71+Data!M71+Data!N71+Data!O71+Data!S71</f>
        <v>0</v>
      </c>
      <c r="J69" s="3">
        <f>Data!Q71</f>
        <v>0</v>
      </c>
      <c r="K69" s="3">
        <f>Data!J71+Data!P71</f>
        <v>22080.239999999998</v>
      </c>
      <c r="L69" s="3">
        <f>Data!T71</f>
        <v>0</v>
      </c>
      <c r="M69" s="3">
        <f>ROUND(Data!AB71*$B$2,2)</f>
        <v>0</v>
      </c>
      <c r="N69" s="3">
        <f>Data!U71</f>
        <v>0</v>
      </c>
      <c r="O69" s="3">
        <f t="shared" si="1"/>
        <v>106349.47</v>
      </c>
      <c r="P69" s="3">
        <f t="shared" si="2"/>
        <v>106349.47</v>
      </c>
      <c r="Q69" s="3">
        <f t="shared" si="3"/>
        <v>0</v>
      </c>
    </row>
    <row r="70" spans="1:17" x14ac:dyDescent="0.2">
      <c r="A70" s="17">
        <v>206</v>
      </c>
      <c r="B70" s="17">
        <v>1</v>
      </c>
      <c r="C70" s="3" t="s">
        <v>68</v>
      </c>
      <c r="D70" s="3">
        <f>ROUND(Data!AA72*$B$2,2)</f>
        <v>0</v>
      </c>
      <c r="E70" s="3">
        <f>MAX(0,Data!AD72-Data!Y72)</f>
        <v>0</v>
      </c>
      <c r="F70" s="3">
        <f>Data!Y72</f>
        <v>365570.81</v>
      </c>
      <c r="G70" s="3">
        <f>Data!X72</f>
        <v>0</v>
      </c>
      <c r="H70" s="3">
        <f>Data!K72+Data!R72</f>
        <v>97503.78</v>
      </c>
      <c r="I70" s="3">
        <f>Data!I72+Data!L72+Data!M72+Data!N72+Data!O72+Data!S72</f>
        <v>0</v>
      </c>
      <c r="J70" s="3">
        <f>Data!Q72</f>
        <v>0</v>
      </c>
      <c r="K70" s="3">
        <f>Data!J72+Data!P72</f>
        <v>12043.720000000001</v>
      </c>
      <c r="L70" s="3">
        <f>Data!T72</f>
        <v>0</v>
      </c>
      <c r="M70" s="3">
        <f>ROUND(Data!AB72*$B$2,2)</f>
        <v>0</v>
      </c>
      <c r="N70" s="3">
        <f>Data!U72</f>
        <v>0</v>
      </c>
      <c r="O70" s="3">
        <f t="shared" ref="O70:O128" si="4">SUM(D70:N70)</f>
        <v>475118.30999999994</v>
      </c>
      <c r="P70" s="3">
        <f t="shared" ref="P70:P129" si="5">SUM(D70:L70)</f>
        <v>475118.30999999994</v>
      </c>
      <c r="Q70" s="3">
        <f t="shared" ref="Q70:Q129" si="6">SUM(M70:N70)</f>
        <v>0</v>
      </c>
    </row>
    <row r="71" spans="1:17" x14ac:dyDescent="0.2">
      <c r="A71" s="17">
        <v>213</v>
      </c>
      <c r="B71" s="17">
        <v>1</v>
      </c>
      <c r="C71" s="3" t="s">
        <v>71</v>
      </c>
      <c r="D71" s="3">
        <f>ROUND(Data!AA73*$B$2,2)</f>
        <v>0</v>
      </c>
      <c r="E71" s="3">
        <f>MAX(0,Data!AD73-Data!Y73)</f>
        <v>0</v>
      </c>
      <c r="F71" s="3">
        <f>Data!Y73</f>
        <v>28915.37</v>
      </c>
      <c r="G71" s="3">
        <f>Data!X73</f>
        <v>0</v>
      </c>
      <c r="H71" s="3">
        <f>Data!K73+Data!R73</f>
        <v>3594.51</v>
      </c>
      <c r="I71" s="3">
        <f>Data!I73+Data!L73+Data!M73+Data!N73+Data!O73+Data!S73</f>
        <v>0</v>
      </c>
      <c r="J71" s="3">
        <f>Data!Q73</f>
        <v>0</v>
      </c>
      <c r="K71" s="3">
        <f>Data!J73+Data!P73</f>
        <v>-3162.3199999999997</v>
      </c>
      <c r="L71" s="3">
        <f>Data!T73</f>
        <v>0</v>
      </c>
      <c r="M71" s="3">
        <f>ROUND(Data!AB73*$B$2,2)</f>
        <v>0</v>
      </c>
      <c r="N71" s="3">
        <f>Data!U73</f>
        <v>0</v>
      </c>
      <c r="O71" s="3">
        <f t="shared" si="4"/>
        <v>29347.559999999998</v>
      </c>
      <c r="P71" s="3">
        <f t="shared" si="5"/>
        <v>29347.559999999998</v>
      </c>
      <c r="Q71" s="3">
        <f t="shared" si="6"/>
        <v>0</v>
      </c>
    </row>
    <row r="72" spans="1:17" x14ac:dyDescent="0.2">
      <c r="A72" s="17">
        <v>227</v>
      </c>
      <c r="B72" s="17">
        <v>1</v>
      </c>
      <c r="C72" s="3" t="s">
        <v>72</v>
      </c>
      <c r="D72" s="3">
        <f>ROUND(Data!AA74*$B$2,2)</f>
        <v>0</v>
      </c>
      <c r="E72" s="3">
        <f>MAX(0,Data!AD74-Data!Y74)</f>
        <v>0</v>
      </c>
      <c r="F72" s="3">
        <f>Data!Y74</f>
        <v>44731.14</v>
      </c>
      <c r="G72" s="3">
        <f>Data!X74</f>
        <v>0</v>
      </c>
      <c r="H72" s="3">
        <f>Data!K74+Data!R74</f>
        <v>15234.900000000001</v>
      </c>
      <c r="I72" s="3">
        <f>Data!I74+Data!L74+Data!M74+Data!N74+Data!O74+Data!S74</f>
        <v>0</v>
      </c>
      <c r="J72" s="3">
        <f>Data!Q74</f>
        <v>0</v>
      </c>
      <c r="K72" s="3">
        <f>Data!J74+Data!P74</f>
        <v>-6134.45</v>
      </c>
      <c r="L72" s="3">
        <f>Data!T74</f>
        <v>0</v>
      </c>
      <c r="M72" s="3">
        <f>ROUND(Data!AB74*$B$2,2)</f>
        <v>0</v>
      </c>
      <c r="N72" s="3">
        <f>Data!U74</f>
        <v>0</v>
      </c>
      <c r="O72" s="3">
        <f t="shared" si="4"/>
        <v>53831.590000000004</v>
      </c>
      <c r="P72" s="3">
        <f t="shared" si="5"/>
        <v>53831.590000000004</v>
      </c>
      <c r="Q72" s="3">
        <f t="shared" si="6"/>
        <v>0</v>
      </c>
    </row>
    <row r="73" spans="1:17" x14ac:dyDescent="0.2">
      <c r="A73" s="17">
        <v>229</v>
      </c>
      <c r="B73" s="17">
        <v>1</v>
      </c>
      <c r="C73" s="3" t="s">
        <v>73</v>
      </c>
      <c r="D73" s="3">
        <f>ROUND(Data!AA75*$B$2,2)</f>
        <v>0</v>
      </c>
      <c r="E73" s="3">
        <f>MAX(0,Data!AD75-Data!Y75)</f>
        <v>0</v>
      </c>
      <c r="F73" s="3">
        <f>Data!Y75</f>
        <v>15542.06</v>
      </c>
      <c r="G73" s="3">
        <f>Data!X75</f>
        <v>0</v>
      </c>
      <c r="H73" s="3">
        <f>Data!K75+Data!R75</f>
        <v>25529.73</v>
      </c>
      <c r="I73" s="3">
        <f>Data!I75+Data!L75+Data!M75+Data!N75+Data!O75+Data!S75</f>
        <v>0</v>
      </c>
      <c r="J73" s="3">
        <f>Data!Q75</f>
        <v>0</v>
      </c>
      <c r="K73" s="3">
        <f>Data!J75+Data!P75</f>
        <v>-3396.62</v>
      </c>
      <c r="L73" s="3">
        <f>Data!T75</f>
        <v>0</v>
      </c>
      <c r="M73" s="3">
        <f>ROUND(Data!AB75*$B$2,2)</f>
        <v>0</v>
      </c>
      <c r="N73" s="3">
        <f>Data!U75</f>
        <v>0</v>
      </c>
      <c r="O73" s="3">
        <f t="shared" si="4"/>
        <v>37675.17</v>
      </c>
      <c r="P73" s="3">
        <f t="shared" si="5"/>
        <v>37675.17</v>
      </c>
      <c r="Q73" s="3">
        <f t="shared" si="6"/>
        <v>0</v>
      </c>
    </row>
    <row r="74" spans="1:17" x14ac:dyDescent="0.2">
      <c r="A74" s="17">
        <v>238</v>
      </c>
      <c r="B74" s="17">
        <v>1</v>
      </c>
      <c r="C74" s="3" t="s">
        <v>74</v>
      </c>
      <c r="D74" s="3">
        <f>ROUND(Data!AA76*$B$2,2)</f>
        <v>0</v>
      </c>
      <c r="E74" s="3">
        <f>MAX(0,Data!AD76-Data!Y76)</f>
        <v>0</v>
      </c>
      <c r="F74" s="3">
        <f>Data!Y76</f>
        <v>54421.05</v>
      </c>
      <c r="G74" s="3">
        <f>Data!X76</f>
        <v>0</v>
      </c>
      <c r="H74" s="3">
        <f>Data!K76+Data!R76</f>
        <v>14365.86</v>
      </c>
      <c r="I74" s="3">
        <f>Data!I76+Data!L76+Data!M76+Data!N76+Data!O76+Data!S76</f>
        <v>0</v>
      </c>
      <c r="J74" s="3">
        <f>Data!Q76</f>
        <v>0</v>
      </c>
      <c r="K74" s="3">
        <f>Data!J76+Data!P76</f>
        <v>-4921.82</v>
      </c>
      <c r="L74" s="3">
        <f>Data!T76</f>
        <v>0</v>
      </c>
      <c r="M74" s="3">
        <f>ROUND(Data!AB76*$B$2,2)</f>
        <v>0</v>
      </c>
      <c r="N74" s="3">
        <f>Data!U76</f>
        <v>0</v>
      </c>
      <c r="O74" s="3">
        <f t="shared" si="4"/>
        <v>63865.090000000004</v>
      </c>
      <c r="P74" s="3">
        <f t="shared" si="5"/>
        <v>63865.090000000004</v>
      </c>
      <c r="Q74" s="3">
        <f t="shared" si="6"/>
        <v>0</v>
      </c>
    </row>
    <row r="75" spans="1:17" x14ac:dyDescent="0.2">
      <c r="A75" s="17">
        <v>239</v>
      </c>
      <c r="B75" s="17">
        <v>1</v>
      </c>
      <c r="C75" s="3" t="s">
        <v>1174</v>
      </c>
      <c r="D75" s="3">
        <f>ROUND(Data!AA77*$B$2,2)</f>
        <v>0</v>
      </c>
      <c r="E75" s="3">
        <f>MAX(0,Data!AD77-Data!Y77)</f>
        <v>0</v>
      </c>
      <c r="F75" s="3">
        <f>Data!Y77</f>
        <v>35288.620000000003</v>
      </c>
      <c r="G75" s="3">
        <f>Data!X77</f>
        <v>0</v>
      </c>
      <c r="H75" s="3">
        <f>Data!K77+Data!R77</f>
        <v>12347.530000000002</v>
      </c>
      <c r="I75" s="3">
        <f>Data!I77+Data!L77+Data!M77+Data!N77+Data!O77+Data!S77</f>
        <v>0</v>
      </c>
      <c r="J75" s="3">
        <f>Data!Q77</f>
        <v>0</v>
      </c>
      <c r="K75" s="3">
        <f>Data!J77+Data!P77</f>
        <v>-4444.2800000000007</v>
      </c>
      <c r="L75" s="3">
        <f>Data!T77</f>
        <v>0</v>
      </c>
      <c r="M75" s="3">
        <f>ROUND(Data!AB77*$B$2,2)</f>
        <v>0</v>
      </c>
      <c r="N75" s="3">
        <f>Data!U77</f>
        <v>0</v>
      </c>
      <c r="O75" s="3">
        <f t="shared" si="4"/>
        <v>43191.87000000001</v>
      </c>
      <c r="P75" s="3">
        <f t="shared" si="5"/>
        <v>43191.87000000001</v>
      </c>
      <c r="Q75" s="3">
        <f t="shared" si="6"/>
        <v>0</v>
      </c>
    </row>
    <row r="76" spans="1:17" x14ac:dyDescent="0.2">
      <c r="A76" s="17">
        <v>241</v>
      </c>
      <c r="B76" s="17">
        <v>1</v>
      </c>
      <c r="C76" s="3" t="s">
        <v>76</v>
      </c>
      <c r="D76" s="3">
        <f>ROUND(Data!AA78*$B$2,2)</f>
        <v>0</v>
      </c>
      <c r="E76" s="3">
        <f>MAX(0,Data!AD78-Data!Y78)</f>
        <v>0</v>
      </c>
      <c r="F76" s="3">
        <f>Data!Y78</f>
        <v>174209.52</v>
      </c>
      <c r="G76" s="3">
        <f>Data!X78</f>
        <v>60901.47</v>
      </c>
      <c r="H76" s="3">
        <f>Data!K78+Data!R78</f>
        <v>51152.9</v>
      </c>
      <c r="I76" s="3">
        <f>Data!I78+Data!L78+Data!M78+Data!N78+Data!O78+Data!S78</f>
        <v>0</v>
      </c>
      <c r="J76" s="3">
        <f>Data!Q78</f>
        <v>0</v>
      </c>
      <c r="K76" s="3">
        <f>Data!J78+Data!P78</f>
        <v>66130.759999999995</v>
      </c>
      <c r="L76" s="3">
        <f>Data!T78</f>
        <v>0</v>
      </c>
      <c r="M76" s="3">
        <f>ROUND(Data!AB78*$B$2,2)</f>
        <v>0</v>
      </c>
      <c r="N76" s="3">
        <f>Data!U78</f>
        <v>0</v>
      </c>
      <c r="O76" s="3">
        <f t="shared" si="4"/>
        <v>352394.65</v>
      </c>
      <c r="P76" s="3">
        <f t="shared" si="5"/>
        <v>352394.65</v>
      </c>
      <c r="Q76" s="3">
        <f t="shared" si="6"/>
        <v>0</v>
      </c>
    </row>
    <row r="77" spans="1:17" x14ac:dyDescent="0.2">
      <c r="A77" s="17">
        <v>242</v>
      </c>
      <c r="B77" s="17">
        <v>1</v>
      </c>
      <c r="C77" s="3" t="s">
        <v>1175</v>
      </c>
      <c r="D77" s="3">
        <f>ROUND(Data!AA79*$B$2,2)</f>
        <v>0</v>
      </c>
      <c r="E77" s="3">
        <f>MAX(0,Data!AD79-Data!Y79)</f>
        <v>0</v>
      </c>
      <c r="F77" s="3">
        <f>Data!Y79</f>
        <v>29849.06</v>
      </c>
      <c r="G77" s="3">
        <f>Data!X79</f>
        <v>4788.6099999999997</v>
      </c>
      <c r="H77" s="3">
        <f>Data!K79+Data!R79</f>
        <v>6738.73</v>
      </c>
      <c r="I77" s="3">
        <f>Data!I79+Data!L79+Data!M79+Data!N79+Data!O79+Data!S79</f>
        <v>0</v>
      </c>
      <c r="J77" s="3">
        <f>Data!Q79</f>
        <v>0</v>
      </c>
      <c r="K77" s="3">
        <f>Data!J79+Data!P79</f>
        <v>10220.64</v>
      </c>
      <c r="L77" s="3">
        <f>Data!T79</f>
        <v>0</v>
      </c>
      <c r="M77" s="3">
        <f>ROUND(Data!AB79*$B$2,2)</f>
        <v>0</v>
      </c>
      <c r="N77" s="3">
        <f>Data!U79</f>
        <v>0</v>
      </c>
      <c r="O77" s="3">
        <f t="shared" si="4"/>
        <v>51597.039999999994</v>
      </c>
      <c r="P77" s="3">
        <f t="shared" si="5"/>
        <v>51597.039999999994</v>
      </c>
      <c r="Q77" s="3">
        <f t="shared" si="6"/>
        <v>0</v>
      </c>
    </row>
    <row r="78" spans="1:17" x14ac:dyDescent="0.2">
      <c r="A78" s="17">
        <v>252</v>
      </c>
      <c r="B78" s="17">
        <v>1</v>
      </c>
      <c r="C78" s="3" t="s">
        <v>78</v>
      </c>
      <c r="D78" s="3">
        <f>ROUND(Data!AA80*$B$2,2)</f>
        <v>0</v>
      </c>
      <c r="E78" s="3">
        <f>MAX(0,Data!AD80-Data!Y80)</f>
        <v>0</v>
      </c>
      <c r="F78" s="3">
        <f>Data!Y80</f>
        <v>104497.76</v>
      </c>
      <c r="G78" s="3">
        <f>Data!X80</f>
        <v>0</v>
      </c>
      <c r="H78" s="3">
        <f>Data!K80+Data!R80</f>
        <v>29121.08</v>
      </c>
      <c r="I78" s="3">
        <f>Data!I80+Data!L80+Data!M80+Data!N80+Data!O80+Data!S80</f>
        <v>0</v>
      </c>
      <c r="J78" s="3">
        <f>Data!Q80</f>
        <v>0</v>
      </c>
      <c r="K78" s="3">
        <f>Data!J80+Data!P80</f>
        <v>10629.82</v>
      </c>
      <c r="L78" s="3">
        <f>Data!T80</f>
        <v>0</v>
      </c>
      <c r="M78" s="3">
        <f>ROUND(Data!AB80*$B$2,2)</f>
        <v>0</v>
      </c>
      <c r="N78" s="3">
        <f>Data!U80</f>
        <v>0</v>
      </c>
      <c r="O78" s="3">
        <f t="shared" si="4"/>
        <v>144248.66</v>
      </c>
      <c r="P78" s="3">
        <f t="shared" si="5"/>
        <v>144248.66</v>
      </c>
      <c r="Q78" s="3">
        <f t="shared" si="6"/>
        <v>0</v>
      </c>
    </row>
    <row r="79" spans="1:17" x14ac:dyDescent="0.2">
      <c r="A79" s="17">
        <v>253</v>
      </c>
      <c r="B79" s="17">
        <v>1</v>
      </c>
      <c r="C79" s="3" t="s">
        <v>79</v>
      </c>
      <c r="D79" s="3">
        <f>ROUND(Data!AA81*$B$2,2)</f>
        <v>0</v>
      </c>
      <c r="E79" s="3">
        <f>MAX(0,Data!AD81-Data!Y81)</f>
        <v>0</v>
      </c>
      <c r="F79" s="3">
        <f>Data!Y81</f>
        <v>32550.880000000001</v>
      </c>
      <c r="G79" s="3">
        <f>Data!X81</f>
        <v>2374.9299999999998</v>
      </c>
      <c r="H79" s="3">
        <f>Data!K81+Data!R81</f>
        <v>10858.82</v>
      </c>
      <c r="I79" s="3">
        <f>Data!I81+Data!L81+Data!M81+Data!N81+Data!O81+Data!S81</f>
        <v>0</v>
      </c>
      <c r="J79" s="3">
        <f>Data!Q81</f>
        <v>0</v>
      </c>
      <c r="K79" s="3">
        <f>Data!J81+Data!P81</f>
        <v>-2629.9399999999996</v>
      </c>
      <c r="L79" s="3">
        <f>Data!T81</f>
        <v>0</v>
      </c>
      <c r="M79" s="3">
        <f>ROUND(Data!AB81*$B$2,2)</f>
        <v>0</v>
      </c>
      <c r="N79" s="3">
        <f>Data!U81</f>
        <v>0</v>
      </c>
      <c r="O79" s="3">
        <f t="shared" si="4"/>
        <v>43154.689999999995</v>
      </c>
      <c r="P79" s="3">
        <f t="shared" si="5"/>
        <v>43154.689999999995</v>
      </c>
      <c r="Q79" s="3">
        <f t="shared" si="6"/>
        <v>0</v>
      </c>
    </row>
    <row r="80" spans="1:17" x14ac:dyDescent="0.2">
      <c r="A80" s="17">
        <v>255</v>
      </c>
      <c r="B80" s="17">
        <v>1</v>
      </c>
      <c r="C80" s="3" t="s">
        <v>80</v>
      </c>
      <c r="D80" s="3">
        <f>ROUND(Data!AA82*$B$2,2)</f>
        <v>0</v>
      </c>
      <c r="E80" s="3">
        <f>MAX(0,Data!AD82-Data!Y82)</f>
        <v>0</v>
      </c>
      <c r="F80" s="3">
        <f>Data!Y82</f>
        <v>52187.99</v>
      </c>
      <c r="G80" s="3">
        <f>Data!X82</f>
        <v>0</v>
      </c>
      <c r="H80" s="3">
        <f>Data!K82+Data!R82</f>
        <v>21740.080000000002</v>
      </c>
      <c r="I80" s="3">
        <f>Data!I82+Data!L82+Data!M82+Data!N82+Data!O82+Data!S82</f>
        <v>0</v>
      </c>
      <c r="J80" s="3">
        <f>Data!Q82</f>
        <v>0</v>
      </c>
      <c r="K80" s="3">
        <f>Data!J82+Data!P82</f>
        <v>-17517.52</v>
      </c>
      <c r="L80" s="3">
        <f>Data!T82</f>
        <v>0</v>
      </c>
      <c r="M80" s="3">
        <f>ROUND(Data!AB82*$B$2,2)</f>
        <v>0</v>
      </c>
      <c r="N80" s="3">
        <f>Data!U82</f>
        <v>0</v>
      </c>
      <c r="O80" s="3">
        <f t="shared" si="4"/>
        <v>56410.55</v>
      </c>
      <c r="P80" s="3">
        <f t="shared" si="5"/>
        <v>56410.55</v>
      </c>
      <c r="Q80" s="3">
        <f t="shared" si="6"/>
        <v>0</v>
      </c>
    </row>
    <row r="81" spans="1:17" x14ac:dyDescent="0.2">
      <c r="A81" s="17">
        <v>256</v>
      </c>
      <c r="B81" s="17">
        <v>1</v>
      </c>
      <c r="C81" s="3" t="s">
        <v>81</v>
      </c>
      <c r="D81" s="3">
        <f>ROUND(Data!AA83*$B$2,2)</f>
        <v>0</v>
      </c>
      <c r="E81" s="3">
        <f>MAX(0,Data!AD83-Data!Y83)</f>
        <v>0</v>
      </c>
      <c r="F81" s="3">
        <f>Data!Y83</f>
        <v>431418.24</v>
      </c>
      <c r="G81" s="3">
        <f>Data!X83</f>
        <v>7931.62</v>
      </c>
      <c r="H81" s="3">
        <f>Data!K83+Data!R83</f>
        <v>73895.73</v>
      </c>
      <c r="I81" s="3">
        <f>Data!I83+Data!L83+Data!M83+Data!N83+Data!O83+Data!S83</f>
        <v>0</v>
      </c>
      <c r="J81" s="3">
        <f>Data!Q83</f>
        <v>0</v>
      </c>
      <c r="K81" s="3">
        <f>Data!J83+Data!P83</f>
        <v>12970.06</v>
      </c>
      <c r="L81" s="3">
        <f>Data!T83</f>
        <v>0</v>
      </c>
      <c r="M81" s="3">
        <f>ROUND(Data!AB83*$B$2,2)</f>
        <v>0</v>
      </c>
      <c r="N81" s="3">
        <f>Data!U83</f>
        <v>0</v>
      </c>
      <c r="O81" s="3">
        <f t="shared" si="4"/>
        <v>526215.65</v>
      </c>
      <c r="P81" s="3">
        <f t="shared" si="5"/>
        <v>526215.65</v>
      </c>
      <c r="Q81" s="3">
        <f t="shared" si="6"/>
        <v>0</v>
      </c>
    </row>
    <row r="82" spans="1:17" x14ac:dyDescent="0.2">
      <c r="A82" s="17">
        <v>261</v>
      </c>
      <c r="B82" s="17">
        <v>1</v>
      </c>
      <c r="C82" s="3" t="s">
        <v>82</v>
      </c>
      <c r="D82" s="3">
        <f>ROUND(Data!AA84*$B$2,2)</f>
        <v>0</v>
      </c>
      <c r="E82" s="3">
        <f>MAX(0,Data!AD84-Data!Y84)</f>
        <v>0</v>
      </c>
      <c r="F82" s="3">
        <f>Data!Y84</f>
        <v>0</v>
      </c>
      <c r="G82" s="3">
        <f>Data!X84</f>
        <v>0</v>
      </c>
      <c r="H82" s="3">
        <f>Data!K84+Data!R84</f>
        <v>10039.14</v>
      </c>
      <c r="I82" s="3">
        <f>Data!I84+Data!L84+Data!M84+Data!N84+Data!O84+Data!S84</f>
        <v>0</v>
      </c>
      <c r="J82" s="3">
        <f>Data!Q84</f>
        <v>0</v>
      </c>
      <c r="K82" s="3">
        <f>Data!J84+Data!P84</f>
        <v>9162.6</v>
      </c>
      <c r="L82" s="3">
        <f>Data!T84</f>
        <v>0</v>
      </c>
      <c r="M82" s="3">
        <f>ROUND(Data!AB84*$B$2,2)</f>
        <v>0</v>
      </c>
      <c r="N82" s="3">
        <f>Data!U84</f>
        <v>0</v>
      </c>
      <c r="O82" s="3">
        <f t="shared" si="4"/>
        <v>19201.739999999998</v>
      </c>
      <c r="P82" s="3">
        <f t="shared" si="5"/>
        <v>19201.739999999998</v>
      </c>
      <c r="Q82" s="3">
        <f t="shared" si="6"/>
        <v>0</v>
      </c>
    </row>
    <row r="83" spans="1:17" x14ac:dyDescent="0.2">
      <c r="A83" s="17">
        <v>264</v>
      </c>
      <c r="B83" s="17">
        <v>1</v>
      </c>
      <c r="C83" s="3" t="s">
        <v>83</v>
      </c>
      <c r="D83" s="3">
        <f>ROUND(Data!AA85*$B$2,2)</f>
        <v>0</v>
      </c>
      <c r="E83" s="3">
        <f>MAX(0,Data!AD85-Data!Y85)</f>
        <v>0</v>
      </c>
      <c r="F83" s="3">
        <f>Data!Y85</f>
        <v>122971.08</v>
      </c>
      <c r="G83" s="3">
        <f>Data!X85</f>
        <v>0</v>
      </c>
      <c r="H83" s="3">
        <f>Data!K85+Data!R85</f>
        <v>12359.8</v>
      </c>
      <c r="I83" s="3">
        <f>Data!I85+Data!L85+Data!M85+Data!N85+Data!O85+Data!S85</f>
        <v>0</v>
      </c>
      <c r="J83" s="3">
        <f>Data!Q85</f>
        <v>0</v>
      </c>
      <c r="K83" s="3">
        <f>Data!J85+Data!P85</f>
        <v>-5045.4799999999996</v>
      </c>
      <c r="L83" s="3">
        <f>Data!T85</f>
        <v>0</v>
      </c>
      <c r="M83" s="3">
        <f>ROUND(Data!AB85*$B$2,2)</f>
        <v>0</v>
      </c>
      <c r="N83" s="3">
        <f>Data!U85</f>
        <v>0</v>
      </c>
      <c r="O83" s="3">
        <f t="shared" si="4"/>
        <v>130285.40000000001</v>
      </c>
      <c r="P83" s="3">
        <f t="shared" si="5"/>
        <v>130285.40000000001</v>
      </c>
      <c r="Q83" s="3">
        <f t="shared" si="6"/>
        <v>0</v>
      </c>
    </row>
    <row r="84" spans="1:17" x14ac:dyDescent="0.2">
      <c r="A84" s="17">
        <v>270</v>
      </c>
      <c r="B84" s="17">
        <v>1</v>
      </c>
      <c r="C84" s="3" t="s">
        <v>84</v>
      </c>
      <c r="D84" s="3">
        <f>ROUND(Data!AA86*$B$2,2)</f>
        <v>0</v>
      </c>
      <c r="E84" s="3">
        <f>MAX(0,Data!AD86-Data!Y86)</f>
        <v>0</v>
      </c>
      <c r="F84" s="3">
        <f>Data!Y86</f>
        <v>4134654.98</v>
      </c>
      <c r="G84" s="3">
        <f>Data!X86</f>
        <v>0</v>
      </c>
      <c r="H84" s="3">
        <f>Data!K86+Data!R86</f>
        <v>173484.46</v>
      </c>
      <c r="I84" s="3">
        <f>Data!I86+Data!L86+Data!M86+Data!N86+Data!O86+Data!S86</f>
        <v>0</v>
      </c>
      <c r="J84" s="3">
        <f>Data!Q86</f>
        <v>0</v>
      </c>
      <c r="K84" s="3">
        <f>Data!J86+Data!P86</f>
        <v>91645.99</v>
      </c>
      <c r="L84" s="3">
        <f>Data!T86</f>
        <v>0</v>
      </c>
      <c r="M84" s="3">
        <f>ROUND(Data!AB86*$B$2,2)</f>
        <v>0</v>
      </c>
      <c r="N84" s="3">
        <f>Data!U86</f>
        <v>0</v>
      </c>
      <c r="O84" s="3">
        <f t="shared" si="4"/>
        <v>4399785.4300000006</v>
      </c>
      <c r="P84" s="3">
        <f t="shared" si="5"/>
        <v>4399785.4300000006</v>
      </c>
      <c r="Q84" s="3">
        <f t="shared" si="6"/>
        <v>0</v>
      </c>
    </row>
    <row r="85" spans="1:17" x14ac:dyDescent="0.2">
      <c r="A85" s="17">
        <v>271</v>
      </c>
      <c r="B85" s="17">
        <v>1</v>
      </c>
      <c r="C85" s="3" t="s">
        <v>85</v>
      </c>
      <c r="D85" s="3">
        <f>ROUND(Data!AA87*$B$2,2)</f>
        <v>0</v>
      </c>
      <c r="E85" s="3">
        <f>MAX(0,Data!AD87-Data!Y87)</f>
        <v>0</v>
      </c>
      <c r="F85" s="3">
        <f>Data!Y87</f>
        <v>3892764.24</v>
      </c>
      <c r="G85" s="3">
        <f>Data!X87</f>
        <v>0</v>
      </c>
      <c r="H85" s="3">
        <f>Data!K87+Data!R87</f>
        <v>235724.33999999997</v>
      </c>
      <c r="I85" s="3">
        <f>Data!I87+Data!L87+Data!M87+Data!N87+Data!O87+Data!S87</f>
        <v>0</v>
      </c>
      <c r="J85" s="3">
        <f>Data!Q87</f>
        <v>0</v>
      </c>
      <c r="K85" s="3">
        <f>Data!J87+Data!P87</f>
        <v>230127.21</v>
      </c>
      <c r="L85" s="3">
        <f>Data!T87</f>
        <v>0</v>
      </c>
      <c r="M85" s="3">
        <f>ROUND(Data!AB87*$B$2,2)</f>
        <v>0</v>
      </c>
      <c r="N85" s="3">
        <f>Data!U87</f>
        <v>0</v>
      </c>
      <c r="O85" s="3">
        <f t="shared" si="4"/>
        <v>4358615.79</v>
      </c>
      <c r="P85" s="3">
        <f t="shared" si="5"/>
        <v>4358615.79</v>
      </c>
      <c r="Q85" s="3">
        <f t="shared" si="6"/>
        <v>0</v>
      </c>
    </row>
    <row r="86" spans="1:17" x14ac:dyDescent="0.2">
      <c r="A86" s="17">
        <v>272</v>
      </c>
      <c r="B86" s="17">
        <v>1</v>
      </c>
      <c r="C86" s="3" t="s">
        <v>86</v>
      </c>
      <c r="D86" s="3">
        <f>ROUND(Data!AA88*$B$2,2)</f>
        <v>0</v>
      </c>
      <c r="E86" s="3">
        <f>MAX(0,Data!AD88-Data!Y88)</f>
        <v>0</v>
      </c>
      <c r="F86" s="3">
        <f>Data!Y88</f>
        <v>3383760.71</v>
      </c>
      <c r="G86" s="3">
        <f>Data!X88</f>
        <v>116982.81</v>
      </c>
      <c r="H86" s="3">
        <f>Data!K88+Data!R88</f>
        <v>228015.26</v>
      </c>
      <c r="I86" s="3">
        <f>Data!I88+Data!L88+Data!M88+Data!N88+Data!O88+Data!S88</f>
        <v>0</v>
      </c>
      <c r="J86" s="3">
        <f>Data!Q88</f>
        <v>0</v>
      </c>
      <c r="K86" s="3">
        <f>Data!J88+Data!P88</f>
        <v>-32081.959999999992</v>
      </c>
      <c r="L86" s="3">
        <f>Data!T88</f>
        <v>0</v>
      </c>
      <c r="M86" s="3">
        <f>ROUND(Data!AB88*$B$2,2)</f>
        <v>0</v>
      </c>
      <c r="N86" s="3">
        <f>Data!U88</f>
        <v>0</v>
      </c>
      <c r="O86" s="3">
        <f t="shared" si="4"/>
        <v>3696676.8200000003</v>
      </c>
      <c r="P86" s="3">
        <f t="shared" si="5"/>
        <v>3696676.8200000003</v>
      </c>
      <c r="Q86" s="3">
        <f t="shared" si="6"/>
        <v>0</v>
      </c>
    </row>
    <row r="87" spans="1:17" x14ac:dyDescent="0.2">
      <c r="A87" s="17">
        <v>273</v>
      </c>
      <c r="B87" s="17">
        <v>1</v>
      </c>
      <c r="C87" s="3" t="s">
        <v>87</v>
      </c>
      <c r="D87" s="3">
        <f>ROUND(Data!AA89*$B$2,2)</f>
        <v>0</v>
      </c>
      <c r="E87" s="3">
        <f>MAX(0,Data!AD89-Data!Y89)</f>
        <v>0</v>
      </c>
      <c r="F87" s="3">
        <f>Data!Y89</f>
        <v>3617532.85</v>
      </c>
      <c r="G87" s="3">
        <f>Data!X89</f>
        <v>0</v>
      </c>
      <c r="H87" s="3">
        <f>Data!K89+Data!R89</f>
        <v>39298.92</v>
      </c>
      <c r="I87" s="3">
        <f>Data!I89+Data!L89+Data!M89+Data!N89+Data!O89+Data!S89</f>
        <v>0</v>
      </c>
      <c r="J87" s="3">
        <f>Data!Q89</f>
        <v>0</v>
      </c>
      <c r="K87" s="3">
        <f>Data!J89+Data!P89</f>
        <v>33360.039999999994</v>
      </c>
      <c r="L87" s="3">
        <f>Data!T89</f>
        <v>0</v>
      </c>
      <c r="M87" s="3">
        <f>ROUND(Data!AB89*$B$2,2)</f>
        <v>0</v>
      </c>
      <c r="N87" s="3">
        <f>Data!U89</f>
        <v>0</v>
      </c>
      <c r="O87" s="3">
        <f t="shared" si="4"/>
        <v>3690191.81</v>
      </c>
      <c r="P87" s="3">
        <f t="shared" si="5"/>
        <v>3690191.81</v>
      </c>
      <c r="Q87" s="3">
        <f t="shared" si="6"/>
        <v>0</v>
      </c>
    </row>
    <row r="88" spans="1:17" x14ac:dyDescent="0.2">
      <c r="A88" s="17">
        <v>276</v>
      </c>
      <c r="B88" s="17">
        <v>1</v>
      </c>
      <c r="C88" s="3" t="s">
        <v>88</v>
      </c>
      <c r="D88" s="3">
        <f>ROUND(Data!AA90*$B$2,2)</f>
        <v>0</v>
      </c>
      <c r="E88" s="3">
        <f>MAX(0,Data!AD90-Data!Y90)</f>
        <v>0</v>
      </c>
      <c r="F88" s="3">
        <f>Data!Y90</f>
        <v>3991123.96</v>
      </c>
      <c r="G88" s="3">
        <f>Data!X90</f>
        <v>0</v>
      </c>
      <c r="H88" s="3">
        <f>Data!K90+Data!R90</f>
        <v>142795.81</v>
      </c>
      <c r="I88" s="3">
        <f>Data!I90+Data!L90+Data!M90+Data!N90+Data!O90+Data!S90</f>
        <v>925.2</v>
      </c>
      <c r="J88" s="3">
        <f>Data!Q90</f>
        <v>0</v>
      </c>
      <c r="K88" s="3">
        <f>Data!J90+Data!P90</f>
        <v>16177.35</v>
      </c>
      <c r="L88" s="3">
        <f>Data!T90</f>
        <v>0</v>
      </c>
      <c r="M88" s="3">
        <f>ROUND(Data!AB90*$B$2,2)</f>
        <v>0</v>
      </c>
      <c r="N88" s="3">
        <f>Data!U90</f>
        <v>0</v>
      </c>
      <c r="O88" s="3">
        <f t="shared" si="4"/>
        <v>4151022.3200000003</v>
      </c>
      <c r="P88" s="3">
        <f t="shared" si="5"/>
        <v>4151022.3200000003</v>
      </c>
      <c r="Q88" s="3">
        <f t="shared" si="6"/>
        <v>0</v>
      </c>
    </row>
    <row r="89" spans="1:17" x14ac:dyDescent="0.2">
      <c r="A89" s="17">
        <v>277</v>
      </c>
      <c r="B89" s="17">
        <v>1</v>
      </c>
      <c r="C89" s="3" t="s">
        <v>89</v>
      </c>
      <c r="D89" s="3">
        <f>ROUND(Data!AA91*$B$2,2)</f>
        <v>0</v>
      </c>
      <c r="E89" s="3">
        <f>MAX(0,Data!AD91-Data!Y91)</f>
        <v>0</v>
      </c>
      <c r="F89" s="3">
        <f>Data!Y91</f>
        <v>856488.26</v>
      </c>
      <c r="G89" s="3">
        <f>Data!X91</f>
        <v>0</v>
      </c>
      <c r="H89" s="3">
        <f>Data!K91+Data!R91</f>
        <v>32066.700000000004</v>
      </c>
      <c r="I89" s="3">
        <f>Data!I91+Data!L91+Data!M91+Data!N91+Data!O91+Data!S91</f>
        <v>0</v>
      </c>
      <c r="J89" s="3">
        <f>Data!Q91</f>
        <v>0</v>
      </c>
      <c r="K89" s="3">
        <f>Data!J91+Data!P91</f>
        <v>16961.940000000002</v>
      </c>
      <c r="L89" s="3">
        <f>Data!T91</f>
        <v>0</v>
      </c>
      <c r="M89" s="3">
        <f>ROUND(Data!AB91*$B$2,2)</f>
        <v>0</v>
      </c>
      <c r="N89" s="3">
        <f>Data!U91</f>
        <v>0</v>
      </c>
      <c r="O89" s="3">
        <f t="shared" si="4"/>
        <v>905516.89999999991</v>
      </c>
      <c r="P89" s="3">
        <f t="shared" si="5"/>
        <v>905516.89999999991</v>
      </c>
      <c r="Q89" s="3">
        <f t="shared" si="6"/>
        <v>0</v>
      </c>
    </row>
    <row r="90" spans="1:17" x14ac:dyDescent="0.2">
      <c r="A90" s="17">
        <v>278</v>
      </c>
      <c r="B90" s="17">
        <v>1</v>
      </c>
      <c r="C90" s="3" t="s">
        <v>90</v>
      </c>
      <c r="D90" s="3">
        <f>ROUND(Data!AA92*$B$2,2)</f>
        <v>0</v>
      </c>
      <c r="E90" s="3">
        <f>MAX(0,Data!AD92-Data!Y92)</f>
        <v>0</v>
      </c>
      <c r="F90" s="3">
        <f>Data!Y92</f>
        <v>887487.03</v>
      </c>
      <c r="G90" s="3">
        <f>Data!X92</f>
        <v>0</v>
      </c>
      <c r="H90" s="3">
        <f>Data!K92+Data!R92</f>
        <v>46905.88</v>
      </c>
      <c r="I90" s="3">
        <f>Data!I92+Data!L92+Data!M92+Data!N92+Data!O92+Data!S92</f>
        <v>0</v>
      </c>
      <c r="J90" s="3">
        <f>Data!Q92</f>
        <v>0</v>
      </c>
      <c r="K90" s="3">
        <f>Data!J92+Data!P92</f>
        <v>11577.22</v>
      </c>
      <c r="L90" s="3">
        <f>Data!T92</f>
        <v>0</v>
      </c>
      <c r="M90" s="3">
        <f>ROUND(Data!AB92*$B$2,2)</f>
        <v>0</v>
      </c>
      <c r="N90" s="3">
        <f>Data!U92</f>
        <v>0</v>
      </c>
      <c r="O90" s="3">
        <f t="shared" si="4"/>
        <v>945970.13</v>
      </c>
      <c r="P90" s="3">
        <f t="shared" si="5"/>
        <v>945970.13</v>
      </c>
      <c r="Q90" s="3">
        <f t="shared" si="6"/>
        <v>0</v>
      </c>
    </row>
    <row r="91" spans="1:17" x14ac:dyDescent="0.2">
      <c r="A91" s="17">
        <v>279</v>
      </c>
      <c r="B91" s="17">
        <v>1</v>
      </c>
      <c r="C91" s="3" t="s">
        <v>91</v>
      </c>
      <c r="D91" s="3">
        <f>ROUND(Data!AA93*$B$2,2)</f>
        <v>0</v>
      </c>
      <c r="E91" s="3">
        <f>MAX(0,Data!AD93-Data!Y93)</f>
        <v>0</v>
      </c>
      <c r="F91" s="3">
        <f>Data!Y93</f>
        <v>3660705.88</v>
      </c>
      <c r="G91" s="3">
        <f>Data!X93</f>
        <v>0</v>
      </c>
      <c r="H91" s="3">
        <f>Data!K93+Data!R93</f>
        <v>391485.95</v>
      </c>
      <c r="I91" s="3">
        <f>Data!I93+Data!L93+Data!M93+Data!N93+Data!O93+Data!S93</f>
        <v>0</v>
      </c>
      <c r="J91" s="3">
        <f>Data!Q93</f>
        <v>0</v>
      </c>
      <c r="K91" s="3">
        <f>Data!J93+Data!P93</f>
        <v>170933.83</v>
      </c>
      <c r="L91" s="3">
        <f>Data!T93</f>
        <v>0</v>
      </c>
      <c r="M91" s="3">
        <f>ROUND(Data!AB93*$B$2,2)</f>
        <v>0</v>
      </c>
      <c r="N91" s="3">
        <f>Data!U93</f>
        <v>0</v>
      </c>
      <c r="O91" s="3">
        <f t="shared" si="4"/>
        <v>4223125.66</v>
      </c>
      <c r="P91" s="3">
        <f t="shared" si="5"/>
        <v>4223125.66</v>
      </c>
      <c r="Q91" s="3">
        <f t="shared" si="6"/>
        <v>0</v>
      </c>
    </row>
    <row r="92" spans="1:17" x14ac:dyDescent="0.2">
      <c r="A92" s="17">
        <v>280</v>
      </c>
      <c r="B92" s="17">
        <v>1</v>
      </c>
      <c r="C92" s="3" t="s">
        <v>92</v>
      </c>
      <c r="D92" s="3">
        <f>ROUND(Data!AA94*$B$2,2)</f>
        <v>0</v>
      </c>
      <c r="E92" s="3">
        <f>MAX(0,Data!AD94-Data!Y94)</f>
        <v>0</v>
      </c>
      <c r="F92" s="3">
        <f>Data!Y94</f>
        <v>1308442.53</v>
      </c>
      <c r="G92" s="3">
        <f>Data!X94</f>
        <v>0</v>
      </c>
      <c r="H92" s="3">
        <f>Data!K94+Data!R94</f>
        <v>90363.760000000009</v>
      </c>
      <c r="I92" s="3">
        <f>Data!I94+Data!L94+Data!M94+Data!N94+Data!O94+Data!S94</f>
        <v>89689.64</v>
      </c>
      <c r="J92" s="3">
        <f>Data!Q94</f>
        <v>0</v>
      </c>
      <c r="K92" s="3">
        <f>Data!J94+Data!P94</f>
        <v>48733.25</v>
      </c>
      <c r="L92" s="3">
        <f>Data!T94</f>
        <v>0</v>
      </c>
      <c r="M92" s="3">
        <f>ROUND(Data!AB94*$B$2,2)</f>
        <v>0</v>
      </c>
      <c r="N92" s="3">
        <f>Data!U94</f>
        <v>0</v>
      </c>
      <c r="O92" s="3">
        <f t="shared" si="4"/>
        <v>1537229.18</v>
      </c>
      <c r="P92" s="3">
        <f t="shared" si="5"/>
        <v>1537229.18</v>
      </c>
      <c r="Q92" s="3">
        <f t="shared" si="6"/>
        <v>0</v>
      </c>
    </row>
    <row r="93" spans="1:17" x14ac:dyDescent="0.2">
      <c r="A93" s="17">
        <v>281</v>
      </c>
      <c r="B93" s="17">
        <v>1</v>
      </c>
      <c r="C93" s="3" t="s">
        <v>93</v>
      </c>
      <c r="D93" s="3">
        <f>ROUND(Data!AA95*$B$2,2)</f>
        <v>0</v>
      </c>
      <c r="E93" s="3">
        <f>MAX(0,Data!AD95-Data!Y95)</f>
        <v>0</v>
      </c>
      <c r="F93" s="3">
        <f>Data!Y95</f>
        <v>3392196.06</v>
      </c>
      <c r="G93" s="3">
        <f>Data!X95</f>
        <v>0</v>
      </c>
      <c r="H93" s="3">
        <f>Data!K95+Data!R95</f>
        <v>245038.52000000002</v>
      </c>
      <c r="I93" s="3">
        <f>Data!I95+Data!L95+Data!M95+Data!N95+Data!O95+Data!S95</f>
        <v>0</v>
      </c>
      <c r="J93" s="3">
        <f>Data!Q95</f>
        <v>0</v>
      </c>
      <c r="K93" s="3">
        <f>Data!J95+Data!P95</f>
        <v>-23500.309999999998</v>
      </c>
      <c r="L93" s="3">
        <f>Data!T95</f>
        <v>0</v>
      </c>
      <c r="M93" s="3">
        <f>ROUND(Data!AB95*$B$2,2)</f>
        <v>0</v>
      </c>
      <c r="N93" s="3">
        <f>Data!U95</f>
        <v>0</v>
      </c>
      <c r="O93" s="3">
        <f t="shared" si="4"/>
        <v>3613734.27</v>
      </c>
      <c r="P93" s="3">
        <f t="shared" si="5"/>
        <v>3613734.27</v>
      </c>
      <c r="Q93" s="3">
        <f t="shared" si="6"/>
        <v>0</v>
      </c>
    </row>
    <row r="94" spans="1:17" x14ac:dyDescent="0.2">
      <c r="A94" s="17">
        <v>282</v>
      </c>
      <c r="B94" s="17">
        <v>1</v>
      </c>
      <c r="C94" s="3" t="s">
        <v>1176</v>
      </c>
      <c r="D94" s="3">
        <f>ROUND(Data!AA96*$B$2,2)</f>
        <v>0</v>
      </c>
      <c r="E94" s="3">
        <f>MAX(0,Data!AD96-Data!Y96)</f>
        <v>0</v>
      </c>
      <c r="F94" s="3">
        <f>Data!Y96</f>
        <v>285410.61</v>
      </c>
      <c r="G94" s="3">
        <f>Data!X96</f>
        <v>0</v>
      </c>
      <c r="H94" s="3">
        <f>Data!K96+Data!R96</f>
        <v>10681.189999999999</v>
      </c>
      <c r="I94" s="3">
        <f>Data!I96+Data!L96+Data!M96+Data!N96+Data!O96+Data!S96</f>
        <v>0</v>
      </c>
      <c r="J94" s="3">
        <f>Data!Q96</f>
        <v>0</v>
      </c>
      <c r="K94" s="3">
        <f>Data!J96+Data!P96</f>
        <v>38018.81</v>
      </c>
      <c r="L94" s="3">
        <f>Data!T96</f>
        <v>0</v>
      </c>
      <c r="M94" s="3">
        <f>ROUND(Data!AB96*$B$2,2)</f>
        <v>0</v>
      </c>
      <c r="N94" s="3">
        <f>Data!U96</f>
        <v>0</v>
      </c>
      <c r="O94" s="3">
        <f t="shared" si="4"/>
        <v>334110.61</v>
      </c>
      <c r="P94" s="3">
        <f t="shared" si="5"/>
        <v>334110.61</v>
      </c>
      <c r="Q94" s="3">
        <f t="shared" si="6"/>
        <v>0</v>
      </c>
    </row>
    <row r="95" spans="1:17" x14ac:dyDescent="0.2">
      <c r="A95" s="17">
        <v>283</v>
      </c>
      <c r="B95" s="17">
        <v>1</v>
      </c>
      <c r="C95" s="3" t="s">
        <v>95</v>
      </c>
      <c r="D95" s="3">
        <f>ROUND(Data!AA97*$B$2,2)</f>
        <v>0</v>
      </c>
      <c r="E95" s="3">
        <f>MAX(0,Data!AD97-Data!Y97)</f>
        <v>0</v>
      </c>
      <c r="F95" s="3">
        <f>Data!Y97</f>
        <v>2205291.65</v>
      </c>
      <c r="G95" s="3">
        <f>Data!X97</f>
        <v>0</v>
      </c>
      <c r="H95" s="3">
        <f>Data!K97+Data!R97</f>
        <v>91969.02</v>
      </c>
      <c r="I95" s="3">
        <f>Data!I97+Data!L97+Data!M97+Data!N97+Data!O97+Data!S97</f>
        <v>0</v>
      </c>
      <c r="J95" s="3">
        <f>Data!Q97</f>
        <v>0</v>
      </c>
      <c r="K95" s="3">
        <f>Data!J97+Data!P97</f>
        <v>15209.8</v>
      </c>
      <c r="L95" s="3">
        <f>Data!T97</f>
        <v>0</v>
      </c>
      <c r="M95" s="3">
        <f>ROUND(Data!AB97*$B$2,2)</f>
        <v>0</v>
      </c>
      <c r="N95" s="3">
        <f>Data!U97</f>
        <v>0</v>
      </c>
      <c r="O95" s="3">
        <f t="shared" si="4"/>
        <v>2312470.4699999997</v>
      </c>
      <c r="P95" s="3">
        <f t="shared" si="5"/>
        <v>2312470.4699999997</v>
      </c>
      <c r="Q95" s="3">
        <f t="shared" si="6"/>
        <v>0</v>
      </c>
    </row>
    <row r="96" spans="1:17" x14ac:dyDescent="0.2">
      <c r="A96" s="17">
        <v>284</v>
      </c>
      <c r="B96" s="17">
        <v>1</v>
      </c>
      <c r="C96" s="3" t="s">
        <v>96</v>
      </c>
      <c r="D96" s="3">
        <f>ROUND(Data!AA98*$B$2,2)</f>
        <v>0</v>
      </c>
      <c r="E96" s="3">
        <f>MAX(0,Data!AD98-Data!Y98)</f>
        <v>0</v>
      </c>
      <c r="F96" s="3">
        <f>Data!Y98</f>
        <v>3560480.14</v>
      </c>
      <c r="G96" s="3">
        <f>Data!X98</f>
        <v>0</v>
      </c>
      <c r="H96" s="3">
        <f>Data!K98+Data!R98</f>
        <v>232452.75999999998</v>
      </c>
      <c r="I96" s="3">
        <f>Data!I98+Data!L98+Data!M98+Data!N98+Data!O98+Data!S98</f>
        <v>0</v>
      </c>
      <c r="J96" s="3">
        <f>Data!Q98</f>
        <v>0</v>
      </c>
      <c r="K96" s="3">
        <f>Data!J98+Data!P98</f>
        <v>50534.97</v>
      </c>
      <c r="L96" s="3">
        <f>Data!T98</f>
        <v>0</v>
      </c>
      <c r="M96" s="3">
        <f>ROUND(Data!AB98*$B$2,2)</f>
        <v>0</v>
      </c>
      <c r="N96" s="3">
        <f>Data!U98</f>
        <v>0</v>
      </c>
      <c r="O96" s="3">
        <f t="shared" si="4"/>
        <v>3843467.87</v>
      </c>
      <c r="P96" s="3">
        <f t="shared" si="5"/>
        <v>3843467.87</v>
      </c>
      <c r="Q96" s="3">
        <f t="shared" si="6"/>
        <v>0</v>
      </c>
    </row>
    <row r="97" spans="1:17" x14ac:dyDescent="0.2">
      <c r="A97" s="17">
        <v>286</v>
      </c>
      <c r="B97" s="17">
        <v>1</v>
      </c>
      <c r="C97" s="3" t="s">
        <v>97</v>
      </c>
      <c r="D97" s="3">
        <f>ROUND(Data!AA99*$B$2,2)</f>
        <v>0</v>
      </c>
      <c r="E97" s="3">
        <f>MAX(0,Data!AD99-Data!Y99)</f>
        <v>0</v>
      </c>
      <c r="F97" s="3">
        <f>Data!Y99</f>
        <v>324009.17</v>
      </c>
      <c r="G97" s="3">
        <f>Data!X99</f>
        <v>53469.46</v>
      </c>
      <c r="H97" s="3">
        <f>Data!K99+Data!R99</f>
        <v>5220.8300000000017</v>
      </c>
      <c r="I97" s="3">
        <f>Data!I99+Data!L99+Data!M99+Data!N99+Data!O99+Data!S99</f>
        <v>0</v>
      </c>
      <c r="J97" s="3">
        <f>Data!Q99</f>
        <v>0</v>
      </c>
      <c r="K97" s="3">
        <f>Data!J99+Data!P99</f>
        <v>130198.96</v>
      </c>
      <c r="L97" s="3">
        <f>Data!T99</f>
        <v>0</v>
      </c>
      <c r="M97" s="3">
        <f>ROUND(Data!AB99*$B$2,2)</f>
        <v>0</v>
      </c>
      <c r="N97" s="3">
        <f>Data!U99</f>
        <v>0</v>
      </c>
      <c r="O97" s="3">
        <f t="shared" si="4"/>
        <v>512898.42000000004</v>
      </c>
      <c r="P97" s="3">
        <f t="shared" si="5"/>
        <v>512898.42000000004</v>
      </c>
      <c r="Q97" s="3">
        <f t="shared" si="6"/>
        <v>0</v>
      </c>
    </row>
    <row r="98" spans="1:17" x14ac:dyDescent="0.2">
      <c r="A98" s="17">
        <v>294</v>
      </c>
      <c r="B98" s="17">
        <v>1</v>
      </c>
      <c r="C98" s="3" t="s">
        <v>98</v>
      </c>
      <c r="D98" s="3">
        <f>ROUND(Data!AA100*$B$2,2)</f>
        <v>0</v>
      </c>
      <c r="E98" s="3">
        <f>MAX(0,Data!AD100-Data!Y100)</f>
        <v>0</v>
      </c>
      <c r="F98" s="3">
        <f>Data!Y100</f>
        <v>100737.93</v>
      </c>
      <c r="G98" s="3">
        <f>Data!X100</f>
        <v>0</v>
      </c>
      <c r="H98" s="3">
        <f>Data!K100+Data!R100</f>
        <v>11828.81</v>
      </c>
      <c r="I98" s="3">
        <f>Data!I100+Data!L100+Data!M100+Data!N100+Data!O100+Data!S100</f>
        <v>0</v>
      </c>
      <c r="J98" s="3">
        <f>Data!Q100</f>
        <v>0</v>
      </c>
      <c r="K98" s="3">
        <f>Data!J100+Data!P100</f>
        <v>0</v>
      </c>
      <c r="L98" s="3">
        <f>Data!T100</f>
        <v>0</v>
      </c>
      <c r="M98" s="3">
        <f>ROUND(Data!AB100*$B$2,2)</f>
        <v>0</v>
      </c>
      <c r="N98" s="3">
        <f>Data!U100</f>
        <v>0</v>
      </c>
      <c r="O98" s="3">
        <f t="shared" si="4"/>
        <v>112566.73999999999</v>
      </c>
      <c r="P98" s="3">
        <f t="shared" si="5"/>
        <v>112566.73999999999</v>
      </c>
      <c r="Q98" s="3">
        <f t="shared" si="6"/>
        <v>0</v>
      </c>
    </row>
    <row r="99" spans="1:17" x14ac:dyDescent="0.2">
      <c r="A99" s="17">
        <v>297</v>
      </c>
      <c r="B99" s="17">
        <v>1</v>
      </c>
      <c r="C99" s="3" t="s">
        <v>99</v>
      </c>
      <c r="D99" s="3">
        <f>ROUND(Data!AA101*$B$2,2)</f>
        <v>0</v>
      </c>
      <c r="E99" s="3">
        <f>MAX(0,Data!AD101-Data!Y101)</f>
        <v>0</v>
      </c>
      <c r="F99" s="3">
        <f>Data!Y101</f>
        <v>58342.8</v>
      </c>
      <c r="G99" s="3">
        <f>Data!X101</f>
        <v>2325.33</v>
      </c>
      <c r="H99" s="3">
        <f>Data!K101+Data!R101</f>
        <v>7086.4699999999993</v>
      </c>
      <c r="I99" s="3">
        <f>Data!I101+Data!L101+Data!M101+Data!N101+Data!O101+Data!S101</f>
        <v>0</v>
      </c>
      <c r="J99" s="3">
        <f>Data!Q101</f>
        <v>0</v>
      </c>
      <c r="K99" s="3">
        <f>Data!J101+Data!P101</f>
        <v>2454.31</v>
      </c>
      <c r="L99" s="3">
        <f>Data!T101</f>
        <v>0</v>
      </c>
      <c r="M99" s="3">
        <f>ROUND(Data!AB101*$B$2,2)</f>
        <v>0</v>
      </c>
      <c r="N99" s="3">
        <f>Data!U101</f>
        <v>0</v>
      </c>
      <c r="O99" s="3">
        <f t="shared" si="4"/>
        <v>70208.91</v>
      </c>
      <c r="P99" s="3">
        <f t="shared" si="5"/>
        <v>70208.91</v>
      </c>
      <c r="Q99" s="3">
        <f t="shared" si="6"/>
        <v>0</v>
      </c>
    </row>
    <row r="100" spans="1:17" x14ac:dyDescent="0.2">
      <c r="A100" s="17">
        <v>299</v>
      </c>
      <c r="B100" s="17">
        <v>1</v>
      </c>
      <c r="C100" s="3" t="s">
        <v>100</v>
      </c>
      <c r="D100" s="3">
        <f>ROUND(Data!AA102*$B$2,2)</f>
        <v>0</v>
      </c>
      <c r="E100" s="3">
        <f>MAX(0,Data!AD102-Data!Y102)</f>
        <v>0</v>
      </c>
      <c r="F100" s="3">
        <f>Data!Y102</f>
        <v>48805.67</v>
      </c>
      <c r="G100" s="3">
        <f>Data!X102</f>
        <v>392.08</v>
      </c>
      <c r="H100" s="3">
        <f>Data!K102+Data!R102</f>
        <v>24352.67</v>
      </c>
      <c r="I100" s="3">
        <f>Data!I102+Data!L102+Data!M102+Data!N102+Data!O102+Data!S102</f>
        <v>0</v>
      </c>
      <c r="J100" s="3">
        <f>Data!Q102</f>
        <v>0</v>
      </c>
      <c r="K100" s="3">
        <f>Data!J102+Data!P102</f>
        <v>22098.22</v>
      </c>
      <c r="L100" s="3">
        <f>Data!T102</f>
        <v>0</v>
      </c>
      <c r="M100" s="3">
        <f>ROUND(Data!AB102*$B$2,2)</f>
        <v>0</v>
      </c>
      <c r="N100" s="3">
        <f>Data!U102</f>
        <v>0</v>
      </c>
      <c r="O100" s="3">
        <f t="shared" si="4"/>
        <v>95648.639999999999</v>
      </c>
      <c r="P100" s="3">
        <f t="shared" si="5"/>
        <v>95648.639999999999</v>
      </c>
      <c r="Q100" s="3">
        <f t="shared" si="6"/>
        <v>0</v>
      </c>
    </row>
    <row r="101" spans="1:17" x14ac:dyDescent="0.2">
      <c r="A101" s="17">
        <v>300</v>
      </c>
      <c r="B101" s="17">
        <v>1</v>
      </c>
      <c r="C101" s="3" t="s">
        <v>101</v>
      </c>
      <c r="D101" s="3">
        <f>ROUND(Data!AA103*$B$2,2)</f>
        <v>0</v>
      </c>
      <c r="E101" s="3">
        <f>MAX(0,Data!AD103-Data!Y103)</f>
        <v>0</v>
      </c>
      <c r="F101" s="3">
        <f>Data!Y103</f>
        <v>46368.28</v>
      </c>
      <c r="G101" s="3">
        <f>Data!X103</f>
        <v>0</v>
      </c>
      <c r="H101" s="3">
        <f>Data!K103+Data!R103</f>
        <v>7604.6</v>
      </c>
      <c r="I101" s="3">
        <f>Data!I103+Data!L103+Data!M103+Data!N103+Data!O103+Data!S103</f>
        <v>0</v>
      </c>
      <c r="J101" s="3">
        <f>Data!Q103</f>
        <v>0</v>
      </c>
      <c r="K101" s="3">
        <f>Data!J103+Data!P103</f>
        <v>-143.80000000000001</v>
      </c>
      <c r="L101" s="3">
        <f>Data!T103</f>
        <v>0</v>
      </c>
      <c r="M101" s="3">
        <f>ROUND(Data!AB103*$B$2,2)</f>
        <v>0</v>
      </c>
      <c r="N101" s="3">
        <f>Data!U103</f>
        <v>0</v>
      </c>
      <c r="O101" s="3">
        <f t="shared" si="4"/>
        <v>53829.079999999994</v>
      </c>
      <c r="P101" s="3">
        <f t="shared" si="5"/>
        <v>53829.079999999994</v>
      </c>
      <c r="Q101" s="3">
        <f t="shared" si="6"/>
        <v>0</v>
      </c>
    </row>
    <row r="102" spans="1:17" x14ac:dyDescent="0.2">
      <c r="A102" s="17">
        <v>306</v>
      </c>
      <c r="B102" s="17">
        <v>1</v>
      </c>
      <c r="C102" s="3" t="s">
        <v>102</v>
      </c>
      <c r="D102" s="3">
        <f>ROUND(Data!AA104*$B$2,2)</f>
        <v>0</v>
      </c>
      <c r="E102" s="3">
        <f>MAX(0,Data!AD104-Data!Y104)</f>
        <v>0</v>
      </c>
      <c r="F102" s="3">
        <f>Data!Y104</f>
        <v>19117.21</v>
      </c>
      <c r="G102" s="3">
        <f>Data!X104</f>
        <v>566.32000000000005</v>
      </c>
      <c r="H102" s="3">
        <f>Data!K104+Data!R104</f>
        <v>3803.21</v>
      </c>
      <c r="I102" s="3">
        <f>Data!I104+Data!L104+Data!M104+Data!N104+Data!O104+Data!S104</f>
        <v>0</v>
      </c>
      <c r="J102" s="3">
        <f>Data!Q104</f>
        <v>0</v>
      </c>
      <c r="K102" s="3">
        <f>Data!J104+Data!P104</f>
        <v>-3511.3199999999997</v>
      </c>
      <c r="L102" s="3">
        <f>Data!T104</f>
        <v>0</v>
      </c>
      <c r="M102" s="3">
        <f>ROUND(Data!AB104*$B$2,2)</f>
        <v>0</v>
      </c>
      <c r="N102" s="3">
        <f>Data!U104</f>
        <v>0</v>
      </c>
      <c r="O102" s="3">
        <f t="shared" si="4"/>
        <v>19975.419999999998</v>
      </c>
      <c r="P102" s="3">
        <f t="shared" si="5"/>
        <v>19975.419999999998</v>
      </c>
      <c r="Q102" s="3">
        <f t="shared" si="6"/>
        <v>0</v>
      </c>
    </row>
    <row r="103" spans="1:17" x14ac:dyDescent="0.2">
      <c r="A103" s="17">
        <v>308</v>
      </c>
      <c r="B103" s="17">
        <v>1</v>
      </c>
      <c r="C103" s="3" t="s">
        <v>103</v>
      </c>
      <c r="D103" s="3">
        <f>ROUND(Data!AA105*$B$2,2)</f>
        <v>0</v>
      </c>
      <c r="E103" s="3">
        <f>MAX(0,Data!AD105-Data!Y105)</f>
        <v>0</v>
      </c>
      <c r="F103" s="3">
        <f>Data!Y105</f>
        <v>39387.699999999997</v>
      </c>
      <c r="G103" s="3">
        <f>Data!X105</f>
        <v>6860.73</v>
      </c>
      <c r="H103" s="3">
        <f>Data!K105+Data!R105</f>
        <v>20487.600000000002</v>
      </c>
      <c r="I103" s="3">
        <f>Data!I105+Data!L105+Data!M105+Data!N105+Data!O105+Data!S105</f>
        <v>0</v>
      </c>
      <c r="J103" s="3">
        <f>Data!Q105</f>
        <v>0</v>
      </c>
      <c r="K103" s="3">
        <f>Data!J105+Data!P105</f>
        <v>-4853.8100000000004</v>
      </c>
      <c r="L103" s="3">
        <f>Data!T105</f>
        <v>0</v>
      </c>
      <c r="M103" s="3">
        <f>ROUND(Data!AB105*$B$2,2)</f>
        <v>0</v>
      </c>
      <c r="N103" s="3">
        <f>Data!U105</f>
        <v>0</v>
      </c>
      <c r="O103" s="3">
        <f t="shared" si="4"/>
        <v>61882.22</v>
      </c>
      <c r="P103" s="3">
        <f t="shared" si="5"/>
        <v>61882.22</v>
      </c>
      <c r="Q103" s="3">
        <f t="shared" si="6"/>
        <v>0</v>
      </c>
    </row>
    <row r="104" spans="1:17" x14ac:dyDescent="0.2">
      <c r="A104" s="17">
        <v>309</v>
      </c>
      <c r="B104" s="17">
        <v>1</v>
      </c>
      <c r="C104" s="3" t="s">
        <v>104</v>
      </c>
      <c r="D104" s="3">
        <f>ROUND(Data!AA106*$B$2,2)</f>
        <v>0</v>
      </c>
      <c r="E104" s="3">
        <f>MAX(0,Data!AD106-Data!Y106)</f>
        <v>0</v>
      </c>
      <c r="F104" s="3">
        <f>Data!Y106</f>
        <v>90003.03</v>
      </c>
      <c r="G104" s="3">
        <f>Data!X106</f>
        <v>0</v>
      </c>
      <c r="H104" s="3">
        <f>Data!K106+Data!R106</f>
        <v>46170.75</v>
      </c>
      <c r="I104" s="3">
        <f>Data!I106+Data!L106+Data!M106+Data!N106+Data!O106+Data!S106</f>
        <v>0</v>
      </c>
      <c r="J104" s="3">
        <f>Data!Q106</f>
        <v>0</v>
      </c>
      <c r="K104" s="3">
        <f>Data!J106+Data!P106</f>
        <v>-13020.73</v>
      </c>
      <c r="L104" s="3">
        <f>Data!T106</f>
        <v>0</v>
      </c>
      <c r="M104" s="3">
        <f>ROUND(Data!AB106*$B$2,2)</f>
        <v>0</v>
      </c>
      <c r="N104" s="3">
        <f>Data!U106</f>
        <v>0</v>
      </c>
      <c r="O104" s="3">
        <f t="shared" si="4"/>
        <v>123153.05</v>
      </c>
      <c r="P104" s="3">
        <f t="shared" si="5"/>
        <v>123153.05</v>
      </c>
      <c r="Q104" s="3">
        <f t="shared" si="6"/>
        <v>0</v>
      </c>
    </row>
    <row r="105" spans="1:17" x14ac:dyDescent="0.2">
      <c r="A105" s="17">
        <v>314</v>
      </c>
      <c r="B105" s="17">
        <v>1</v>
      </c>
      <c r="C105" s="3" t="s">
        <v>105</v>
      </c>
      <c r="D105" s="3">
        <f>ROUND(Data!AA107*$B$2,2)</f>
        <v>0</v>
      </c>
      <c r="E105" s="3">
        <f>MAX(0,Data!AD107-Data!Y107)</f>
        <v>0</v>
      </c>
      <c r="F105" s="3">
        <f>Data!Y107</f>
        <v>43340.39</v>
      </c>
      <c r="G105" s="3">
        <f>Data!X107</f>
        <v>0</v>
      </c>
      <c r="H105" s="3">
        <f>Data!K107+Data!R107</f>
        <v>9333.32</v>
      </c>
      <c r="I105" s="3">
        <f>Data!I107+Data!L107+Data!M107+Data!N107+Data!O107+Data!S107</f>
        <v>0</v>
      </c>
      <c r="J105" s="3">
        <f>Data!Q107</f>
        <v>0</v>
      </c>
      <c r="K105" s="3">
        <f>Data!J107+Data!P107</f>
        <v>20016.93</v>
      </c>
      <c r="L105" s="3">
        <f>Data!T107</f>
        <v>0</v>
      </c>
      <c r="M105" s="3">
        <f>ROUND(Data!AB107*$B$2,2)</f>
        <v>0</v>
      </c>
      <c r="N105" s="3">
        <f>Data!U107</f>
        <v>0</v>
      </c>
      <c r="O105" s="3">
        <f t="shared" si="4"/>
        <v>72690.64</v>
      </c>
      <c r="P105" s="3">
        <f t="shared" si="5"/>
        <v>72690.64</v>
      </c>
      <c r="Q105" s="3">
        <f t="shared" si="6"/>
        <v>0</v>
      </c>
    </row>
    <row r="106" spans="1:17" x14ac:dyDescent="0.2">
      <c r="A106" s="17">
        <v>316</v>
      </c>
      <c r="B106" s="17">
        <v>1</v>
      </c>
      <c r="C106" s="3" t="s">
        <v>106</v>
      </c>
      <c r="D106" s="3">
        <f>ROUND(Data!AA108*$B$2,2)</f>
        <v>0</v>
      </c>
      <c r="E106" s="3">
        <f>MAX(0,Data!AD108-Data!Y108)</f>
        <v>0</v>
      </c>
      <c r="F106" s="3">
        <f>Data!Y108</f>
        <v>367402.25</v>
      </c>
      <c r="G106" s="3">
        <f>Data!X108</f>
        <v>27341.23</v>
      </c>
      <c r="H106" s="3">
        <f>Data!K108+Data!R108</f>
        <v>23264.77</v>
      </c>
      <c r="I106" s="3">
        <f>Data!I108+Data!L108+Data!M108+Data!N108+Data!O108+Data!S108</f>
        <v>0</v>
      </c>
      <c r="J106" s="3">
        <f>Data!Q108</f>
        <v>0</v>
      </c>
      <c r="K106" s="3">
        <f>Data!J108+Data!P108</f>
        <v>13743.05</v>
      </c>
      <c r="L106" s="3">
        <f>Data!T108</f>
        <v>0</v>
      </c>
      <c r="M106" s="3">
        <f>ROUND(Data!AB108*$B$2,2)</f>
        <v>0</v>
      </c>
      <c r="N106" s="3">
        <f>Data!U108</f>
        <v>0</v>
      </c>
      <c r="O106" s="3">
        <f t="shared" si="4"/>
        <v>431751.3</v>
      </c>
      <c r="P106" s="3">
        <f t="shared" si="5"/>
        <v>431751.3</v>
      </c>
      <c r="Q106" s="3">
        <f t="shared" si="6"/>
        <v>0</v>
      </c>
    </row>
    <row r="107" spans="1:17" x14ac:dyDescent="0.2">
      <c r="A107" s="17">
        <v>317</v>
      </c>
      <c r="B107" s="17">
        <v>1</v>
      </c>
      <c r="C107" s="3" t="s">
        <v>107</v>
      </c>
      <c r="D107" s="3">
        <f>ROUND(Data!AA109*$B$2,2)</f>
        <v>0</v>
      </c>
      <c r="E107" s="3">
        <f>MAX(0,Data!AD109-Data!Y109)</f>
        <v>0</v>
      </c>
      <c r="F107" s="3">
        <f>Data!Y109</f>
        <v>51234.74</v>
      </c>
      <c r="G107" s="3">
        <f>Data!X109</f>
        <v>0</v>
      </c>
      <c r="H107" s="3">
        <f>Data!K109+Data!R109</f>
        <v>21198.75</v>
      </c>
      <c r="I107" s="3">
        <f>Data!I109+Data!L109+Data!M109+Data!N109+Data!O109+Data!S109</f>
        <v>0</v>
      </c>
      <c r="J107" s="3">
        <f>Data!Q109</f>
        <v>0</v>
      </c>
      <c r="K107" s="3">
        <f>Data!J109+Data!P109</f>
        <v>17206.510000000002</v>
      </c>
      <c r="L107" s="3">
        <f>Data!T109</f>
        <v>0</v>
      </c>
      <c r="M107" s="3">
        <f>ROUND(Data!AB109*$B$2,2)</f>
        <v>0</v>
      </c>
      <c r="N107" s="3">
        <f>Data!U109</f>
        <v>0</v>
      </c>
      <c r="O107" s="3">
        <f t="shared" si="4"/>
        <v>89640</v>
      </c>
      <c r="P107" s="3">
        <f t="shared" si="5"/>
        <v>89640</v>
      </c>
      <c r="Q107" s="3">
        <f t="shared" si="6"/>
        <v>0</v>
      </c>
    </row>
    <row r="108" spans="1:17" x14ac:dyDescent="0.2">
      <c r="A108" s="17">
        <v>318</v>
      </c>
      <c r="B108" s="17">
        <v>1</v>
      </c>
      <c r="C108" s="3" t="s">
        <v>108</v>
      </c>
      <c r="D108" s="3">
        <f>ROUND(Data!AA110*$B$2,2)</f>
        <v>0</v>
      </c>
      <c r="E108" s="3">
        <f>MAX(0,Data!AD110-Data!Y110)</f>
        <v>0</v>
      </c>
      <c r="F108" s="3">
        <f>Data!Y110</f>
        <v>181247.22</v>
      </c>
      <c r="G108" s="3">
        <f>Data!X110</f>
        <v>24400.32</v>
      </c>
      <c r="H108" s="3">
        <f>Data!K110+Data!R110</f>
        <v>102329.43</v>
      </c>
      <c r="I108" s="3">
        <f>Data!I110+Data!L110+Data!M110+Data!N110+Data!O110+Data!S110</f>
        <v>652168.80000000005</v>
      </c>
      <c r="J108" s="3">
        <f>Data!Q110</f>
        <v>0</v>
      </c>
      <c r="K108" s="3">
        <f>Data!J110+Data!P110</f>
        <v>29700.5</v>
      </c>
      <c r="L108" s="3">
        <f>Data!T110</f>
        <v>0</v>
      </c>
      <c r="M108" s="3">
        <f>ROUND(Data!AB110*$B$2,2)</f>
        <v>0</v>
      </c>
      <c r="N108" s="3">
        <f>Data!U110</f>
        <v>0</v>
      </c>
      <c r="O108" s="3">
        <f t="shared" si="4"/>
        <v>989846.27</v>
      </c>
      <c r="P108" s="3">
        <f t="shared" si="5"/>
        <v>989846.27</v>
      </c>
      <c r="Q108" s="3">
        <f t="shared" si="6"/>
        <v>0</v>
      </c>
    </row>
    <row r="109" spans="1:17" x14ac:dyDescent="0.2">
      <c r="A109" s="17">
        <v>319</v>
      </c>
      <c r="B109" s="17">
        <v>1</v>
      </c>
      <c r="C109" s="3" t="s">
        <v>1177</v>
      </c>
      <c r="D109" s="3">
        <f>ROUND(Data!AA111*$B$2,2)</f>
        <v>0</v>
      </c>
      <c r="E109" s="3">
        <f>MAX(0,Data!AD111-Data!Y111)</f>
        <v>0</v>
      </c>
      <c r="F109" s="3">
        <f>Data!Y111</f>
        <v>26397.040000000001</v>
      </c>
      <c r="G109" s="3">
        <f>Data!X111</f>
        <v>10096.66</v>
      </c>
      <c r="H109" s="3">
        <f>Data!K111+Data!R111</f>
        <v>12343.29</v>
      </c>
      <c r="I109" s="3">
        <f>Data!I111+Data!L111+Data!M111+Data!N111+Data!O111+Data!S111</f>
        <v>0</v>
      </c>
      <c r="J109" s="3">
        <f>Data!Q111</f>
        <v>0</v>
      </c>
      <c r="K109" s="3">
        <f>Data!J111+Data!P111</f>
        <v>27919.25</v>
      </c>
      <c r="L109" s="3">
        <f>Data!T111</f>
        <v>0</v>
      </c>
      <c r="M109" s="3">
        <f>ROUND(Data!AB111*$B$2,2)</f>
        <v>0</v>
      </c>
      <c r="N109" s="3">
        <f>Data!U111</f>
        <v>0</v>
      </c>
      <c r="O109" s="3">
        <f t="shared" si="4"/>
        <v>76756.239999999991</v>
      </c>
      <c r="P109" s="3">
        <f t="shared" si="5"/>
        <v>76756.239999999991</v>
      </c>
      <c r="Q109" s="3">
        <f t="shared" si="6"/>
        <v>0</v>
      </c>
    </row>
    <row r="110" spans="1:17" x14ac:dyDescent="0.2">
      <c r="A110" s="17">
        <v>323</v>
      </c>
      <c r="B110" s="17">
        <v>2</v>
      </c>
      <c r="C110" s="3" t="s">
        <v>110</v>
      </c>
      <c r="D110" s="3">
        <f>ROUND(Data!AA112*$B$2,2)</f>
        <v>0</v>
      </c>
      <c r="E110" s="3">
        <f>MAX(0,Data!AD112-Data!Y112)</f>
        <v>0</v>
      </c>
      <c r="F110" s="3">
        <f>Data!Y112</f>
        <v>7317.68</v>
      </c>
      <c r="G110" s="3">
        <f>Data!X112</f>
        <v>0</v>
      </c>
      <c r="H110" s="3">
        <f>Data!K112+Data!R112</f>
        <v>0</v>
      </c>
      <c r="I110" s="3">
        <f>Data!I112+Data!L112+Data!M112+Data!N112+Data!O112+Data!S112</f>
        <v>0</v>
      </c>
      <c r="J110" s="3">
        <f>Data!Q112</f>
        <v>0</v>
      </c>
      <c r="K110" s="3">
        <f>Data!J112+Data!P112</f>
        <v>0</v>
      </c>
      <c r="L110" s="3">
        <f>Data!T112</f>
        <v>0</v>
      </c>
      <c r="M110" s="3">
        <f>ROUND(Data!AB112*$B$2,2)</f>
        <v>0</v>
      </c>
      <c r="N110" s="3">
        <f>Data!U112</f>
        <v>0</v>
      </c>
      <c r="O110" s="3">
        <f t="shared" si="4"/>
        <v>7317.68</v>
      </c>
      <c r="P110" s="3">
        <f t="shared" si="5"/>
        <v>7317.68</v>
      </c>
      <c r="Q110" s="3">
        <f t="shared" si="6"/>
        <v>0</v>
      </c>
    </row>
    <row r="111" spans="1:17" x14ac:dyDescent="0.2">
      <c r="A111" s="17">
        <v>330</v>
      </c>
      <c r="B111" s="17">
        <v>1</v>
      </c>
      <c r="C111" s="3" t="s">
        <v>1178</v>
      </c>
      <c r="D111" s="3">
        <f>ROUND(Data!AA113*$B$2,2)</f>
        <v>0</v>
      </c>
      <c r="E111" s="3">
        <f>MAX(0,Data!AD113-Data!Y113)</f>
        <v>0</v>
      </c>
      <c r="F111" s="3">
        <f>Data!Y113</f>
        <v>74812.61</v>
      </c>
      <c r="G111" s="3">
        <f>Data!X113</f>
        <v>18104.77</v>
      </c>
      <c r="H111" s="3">
        <f>Data!K113+Data!R113</f>
        <v>20487.600000000002</v>
      </c>
      <c r="I111" s="3">
        <f>Data!I113+Data!L113+Data!M113+Data!N113+Data!O113+Data!S113</f>
        <v>0</v>
      </c>
      <c r="J111" s="3">
        <f>Data!Q113</f>
        <v>0</v>
      </c>
      <c r="K111" s="3">
        <f>Data!J113+Data!P113</f>
        <v>-656.14</v>
      </c>
      <c r="L111" s="3">
        <f>Data!T113</f>
        <v>0</v>
      </c>
      <c r="M111" s="3">
        <f>ROUND(Data!AB113*$B$2,2)</f>
        <v>0</v>
      </c>
      <c r="N111" s="3">
        <f>Data!U113</f>
        <v>0</v>
      </c>
      <c r="O111" s="3">
        <f t="shared" si="4"/>
        <v>112748.84000000001</v>
      </c>
      <c r="P111" s="3">
        <f t="shared" si="5"/>
        <v>112748.84000000001</v>
      </c>
      <c r="Q111" s="3">
        <f t="shared" si="6"/>
        <v>0</v>
      </c>
    </row>
    <row r="112" spans="1:17" x14ac:dyDescent="0.2">
      <c r="A112" s="17">
        <v>332</v>
      </c>
      <c r="B112" s="17">
        <v>1</v>
      </c>
      <c r="C112" s="3" t="s">
        <v>112</v>
      </c>
      <c r="D112" s="3">
        <f>ROUND(Data!AA114*$B$2,2)</f>
        <v>0</v>
      </c>
      <c r="E112" s="3">
        <f>MAX(0,Data!AD114-Data!Y114)</f>
        <v>0</v>
      </c>
      <c r="F112" s="3">
        <f>Data!Y114</f>
        <v>0</v>
      </c>
      <c r="G112" s="3">
        <f>Data!X114</f>
        <v>0</v>
      </c>
      <c r="H112" s="3">
        <f>Data!K114+Data!R114</f>
        <v>17745.21</v>
      </c>
      <c r="I112" s="3">
        <f>Data!I114+Data!L114+Data!M114+Data!N114+Data!O114+Data!S114</f>
        <v>0</v>
      </c>
      <c r="J112" s="3">
        <f>Data!Q114</f>
        <v>0</v>
      </c>
      <c r="K112" s="3">
        <f>Data!J114+Data!P114</f>
        <v>-3265.7099999999991</v>
      </c>
      <c r="L112" s="3">
        <f>Data!T114</f>
        <v>0</v>
      </c>
      <c r="M112" s="3">
        <f>ROUND(Data!AB114*$B$2,2)</f>
        <v>0</v>
      </c>
      <c r="N112" s="3">
        <f>Data!U114</f>
        <v>0</v>
      </c>
      <c r="O112" s="3">
        <f t="shared" si="4"/>
        <v>14479.5</v>
      </c>
      <c r="P112" s="3">
        <f t="shared" si="5"/>
        <v>14479.5</v>
      </c>
      <c r="Q112" s="3">
        <f t="shared" si="6"/>
        <v>0</v>
      </c>
    </row>
    <row r="113" spans="1:17" x14ac:dyDescent="0.2">
      <c r="A113" s="17">
        <v>333</v>
      </c>
      <c r="B113" s="17">
        <v>1</v>
      </c>
      <c r="C113" s="3" t="s">
        <v>113</v>
      </c>
      <c r="D113" s="3">
        <f>ROUND(Data!AA115*$B$2,2)</f>
        <v>0</v>
      </c>
      <c r="E113" s="3">
        <f>MAX(0,Data!AD115-Data!Y115)</f>
        <v>0</v>
      </c>
      <c r="F113" s="3">
        <f>Data!Y115</f>
        <v>23206.16</v>
      </c>
      <c r="G113" s="3">
        <f>Data!X115</f>
        <v>0</v>
      </c>
      <c r="H113" s="3">
        <f>Data!K115+Data!R115</f>
        <v>3541.02</v>
      </c>
      <c r="I113" s="3">
        <f>Data!I115+Data!L115+Data!M115+Data!N115+Data!O115+Data!S115</f>
        <v>0</v>
      </c>
      <c r="J113" s="3">
        <f>Data!Q115</f>
        <v>0</v>
      </c>
      <c r="K113" s="3">
        <f>Data!J115+Data!P115</f>
        <v>25789.690000000002</v>
      </c>
      <c r="L113" s="3">
        <f>Data!T115</f>
        <v>0</v>
      </c>
      <c r="M113" s="3">
        <f>ROUND(Data!AB115*$B$2,2)</f>
        <v>0</v>
      </c>
      <c r="N113" s="3">
        <f>Data!U115</f>
        <v>0</v>
      </c>
      <c r="O113" s="3">
        <f t="shared" si="4"/>
        <v>52536.87</v>
      </c>
      <c r="P113" s="3">
        <f t="shared" si="5"/>
        <v>52536.87</v>
      </c>
      <c r="Q113" s="3">
        <f t="shared" si="6"/>
        <v>0</v>
      </c>
    </row>
    <row r="114" spans="1:17" x14ac:dyDescent="0.2">
      <c r="A114" s="17">
        <v>345</v>
      </c>
      <c r="B114" s="17">
        <v>1</v>
      </c>
      <c r="C114" s="3" t="s">
        <v>1179</v>
      </c>
      <c r="D114" s="3">
        <f>ROUND(Data!AA116*$B$2,2)</f>
        <v>0</v>
      </c>
      <c r="E114" s="3">
        <f>MAX(0,Data!AD116-Data!Y116)</f>
        <v>0</v>
      </c>
      <c r="F114" s="3">
        <f>Data!Y116</f>
        <v>95479.19</v>
      </c>
      <c r="G114" s="3">
        <f>Data!X116</f>
        <v>0</v>
      </c>
      <c r="H114" s="3">
        <f>Data!K116+Data!R116</f>
        <v>40390.090000000004</v>
      </c>
      <c r="I114" s="3">
        <f>Data!I116+Data!L116+Data!M116+Data!N116+Data!O116+Data!S116</f>
        <v>0</v>
      </c>
      <c r="J114" s="3">
        <f>Data!Q116</f>
        <v>0</v>
      </c>
      <c r="K114" s="3">
        <f>Data!J116+Data!P116</f>
        <v>22853.46</v>
      </c>
      <c r="L114" s="3">
        <f>Data!T116</f>
        <v>0</v>
      </c>
      <c r="M114" s="3">
        <f>ROUND(Data!AB116*$B$2,2)</f>
        <v>0</v>
      </c>
      <c r="N114" s="3">
        <f>Data!U116</f>
        <v>0</v>
      </c>
      <c r="O114" s="3">
        <f t="shared" si="4"/>
        <v>158722.74</v>
      </c>
      <c r="P114" s="3">
        <f t="shared" si="5"/>
        <v>158722.74</v>
      </c>
      <c r="Q114" s="3">
        <f t="shared" si="6"/>
        <v>0</v>
      </c>
    </row>
    <row r="115" spans="1:17" x14ac:dyDescent="0.2">
      <c r="A115" s="17">
        <v>347</v>
      </c>
      <c r="B115" s="17">
        <v>1</v>
      </c>
      <c r="C115" s="3" t="s">
        <v>115</v>
      </c>
      <c r="D115" s="3">
        <f>ROUND(Data!AA117*$B$2,2)</f>
        <v>0</v>
      </c>
      <c r="E115" s="3">
        <f>MAX(0,Data!AD117-Data!Y117)</f>
        <v>0</v>
      </c>
      <c r="F115" s="3">
        <f>Data!Y117</f>
        <v>184153.16</v>
      </c>
      <c r="G115" s="3">
        <f>Data!X117</f>
        <v>0</v>
      </c>
      <c r="H115" s="3">
        <f>Data!K117+Data!R117</f>
        <v>53302.009999999995</v>
      </c>
      <c r="I115" s="3">
        <f>Data!I117+Data!L117+Data!M117+Data!N117+Data!O117+Data!S117</f>
        <v>0</v>
      </c>
      <c r="J115" s="3">
        <f>Data!Q117</f>
        <v>0</v>
      </c>
      <c r="K115" s="3">
        <f>Data!J117+Data!P117</f>
        <v>45174.21</v>
      </c>
      <c r="L115" s="3">
        <f>Data!T117</f>
        <v>0</v>
      </c>
      <c r="M115" s="3">
        <f>ROUND(Data!AB117*$B$2,2)</f>
        <v>0</v>
      </c>
      <c r="N115" s="3">
        <f>Data!U117</f>
        <v>0</v>
      </c>
      <c r="O115" s="3">
        <f t="shared" si="4"/>
        <v>282629.38</v>
      </c>
      <c r="P115" s="3">
        <f t="shared" si="5"/>
        <v>282629.38</v>
      </c>
      <c r="Q115" s="3">
        <f t="shared" si="6"/>
        <v>0</v>
      </c>
    </row>
    <row r="116" spans="1:17" x14ac:dyDescent="0.2">
      <c r="A116" s="17">
        <v>356</v>
      </c>
      <c r="B116" s="17">
        <v>1</v>
      </c>
      <c r="C116" s="3" t="s">
        <v>116</v>
      </c>
      <c r="D116" s="3">
        <f>ROUND(Data!AA118*$B$2,2)</f>
        <v>0</v>
      </c>
      <c r="E116" s="3">
        <f>MAX(0,Data!AD118-Data!Y118)</f>
        <v>0</v>
      </c>
      <c r="F116" s="3">
        <f>Data!Y118</f>
        <v>77555.070000000007</v>
      </c>
      <c r="G116" s="3">
        <f>Data!X118</f>
        <v>0</v>
      </c>
      <c r="H116" s="3">
        <f>Data!K118+Data!R118</f>
        <v>21088.379999999997</v>
      </c>
      <c r="I116" s="3">
        <f>Data!I118+Data!L118+Data!M118+Data!N118+Data!O118+Data!S118</f>
        <v>0</v>
      </c>
      <c r="J116" s="3">
        <f>Data!Q118</f>
        <v>0</v>
      </c>
      <c r="K116" s="3">
        <f>Data!J118+Data!P118</f>
        <v>0</v>
      </c>
      <c r="L116" s="3">
        <f>Data!T118</f>
        <v>0</v>
      </c>
      <c r="M116" s="3">
        <f>ROUND(Data!AB118*$B$2,2)</f>
        <v>0</v>
      </c>
      <c r="N116" s="3">
        <f>Data!U118</f>
        <v>0</v>
      </c>
      <c r="O116" s="3">
        <f t="shared" si="4"/>
        <v>98643.450000000012</v>
      </c>
      <c r="P116" s="3">
        <f t="shared" si="5"/>
        <v>98643.450000000012</v>
      </c>
      <c r="Q116" s="3">
        <f t="shared" si="6"/>
        <v>0</v>
      </c>
    </row>
    <row r="117" spans="1:17" x14ac:dyDescent="0.2">
      <c r="A117" s="17">
        <v>361</v>
      </c>
      <c r="B117" s="17">
        <v>1</v>
      </c>
      <c r="C117" s="3" t="s">
        <v>1180</v>
      </c>
      <c r="D117" s="3">
        <f>ROUND(Data!AA119*$B$2,2)</f>
        <v>0</v>
      </c>
      <c r="E117" s="3">
        <f>MAX(0,Data!AD119-Data!Y119)</f>
        <v>0</v>
      </c>
      <c r="F117" s="3">
        <f>Data!Y119</f>
        <v>75327.83</v>
      </c>
      <c r="G117" s="3">
        <f>Data!X119</f>
        <v>0</v>
      </c>
      <c r="H117" s="3">
        <f>Data!K119+Data!R119</f>
        <v>6409.0999999999995</v>
      </c>
      <c r="I117" s="3">
        <f>Data!I119+Data!L119+Data!M119+Data!N119+Data!O119+Data!S119</f>
        <v>0</v>
      </c>
      <c r="J117" s="3">
        <f>Data!Q119</f>
        <v>0</v>
      </c>
      <c r="K117" s="3">
        <f>Data!J119+Data!P119</f>
        <v>21604.2</v>
      </c>
      <c r="L117" s="3">
        <f>Data!T119</f>
        <v>0</v>
      </c>
      <c r="M117" s="3">
        <f>ROUND(Data!AB119*$B$2,2)</f>
        <v>0</v>
      </c>
      <c r="N117" s="3">
        <f>Data!U119</f>
        <v>0</v>
      </c>
      <c r="O117" s="3">
        <f t="shared" si="4"/>
        <v>103341.13</v>
      </c>
      <c r="P117" s="3">
        <f t="shared" si="5"/>
        <v>103341.13</v>
      </c>
      <c r="Q117" s="3">
        <f t="shared" si="6"/>
        <v>0</v>
      </c>
    </row>
    <row r="118" spans="1:17" x14ac:dyDescent="0.2">
      <c r="A118" s="17">
        <v>362</v>
      </c>
      <c r="B118" s="17">
        <v>1</v>
      </c>
      <c r="C118" s="3" t="s">
        <v>1181</v>
      </c>
      <c r="D118" s="3">
        <f>ROUND(Data!AA120*$B$2,2)</f>
        <v>0</v>
      </c>
      <c r="E118" s="3">
        <f>MAX(0,Data!AD120-Data!Y120)</f>
        <v>0</v>
      </c>
      <c r="F118" s="3">
        <f>Data!Y120</f>
        <v>0</v>
      </c>
      <c r="G118" s="3">
        <f>Data!X120</f>
        <v>0</v>
      </c>
      <c r="H118" s="3">
        <f>Data!K120+Data!R120</f>
        <v>1227.33</v>
      </c>
      <c r="I118" s="3">
        <f>Data!I120+Data!L120+Data!M120+Data!N120+Data!O120+Data!S120</f>
        <v>0</v>
      </c>
      <c r="J118" s="3">
        <f>Data!Q120</f>
        <v>0</v>
      </c>
      <c r="K118" s="3">
        <f>Data!J120+Data!P120</f>
        <v>10452.69</v>
      </c>
      <c r="L118" s="3">
        <f>Data!T120</f>
        <v>0</v>
      </c>
      <c r="M118" s="3">
        <f>ROUND(Data!AB120*$B$2,2)</f>
        <v>0</v>
      </c>
      <c r="N118" s="3">
        <f>Data!U120</f>
        <v>0</v>
      </c>
      <c r="O118" s="3">
        <f t="shared" si="4"/>
        <v>11680.02</v>
      </c>
      <c r="P118" s="3">
        <f t="shared" si="5"/>
        <v>11680.02</v>
      </c>
      <c r="Q118" s="3">
        <f t="shared" si="6"/>
        <v>0</v>
      </c>
    </row>
    <row r="119" spans="1:17" x14ac:dyDescent="0.2">
      <c r="A119" s="17">
        <v>363</v>
      </c>
      <c r="B119" s="17">
        <v>1</v>
      </c>
      <c r="C119" s="3" t="s">
        <v>1182</v>
      </c>
      <c r="D119" s="3">
        <f>ROUND(Data!AA121*$B$2,2)</f>
        <v>0</v>
      </c>
      <c r="E119" s="3">
        <f>MAX(0,Data!AD121-Data!Y121)</f>
        <v>0</v>
      </c>
      <c r="F119" s="3">
        <f>Data!Y121</f>
        <v>0</v>
      </c>
      <c r="G119" s="3">
        <f>Data!X121</f>
        <v>0</v>
      </c>
      <c r="H119" s="3">
        <f>Data!K121+Data!R121</f>
        <v>5070.87</v>
      </c>
      <c r="I119" s="3">
        <f>Data!I121+Data!L121+Data!M121+Data!N121+Data!O121+Data!S121</f>
        <v>0</v>
      </c>
      <c r="J119" s="3">
        <f>Data!Q121</f>
        <v>0</v>
      </c>
      <c r="K119" s="3">
        <f>Data!J121+Data!P121</f>
        <v>-332.03</v>
      </c>
      <c r="L119" s="3">
        <f>Data!T121</f>
        <v>0</v>
      </c>
      <c r="M119" s="3">
        <f>ROUND(Data!AB121*$B$2,2)</f>
        <v>0</v>
      </c>
      <c r="N119" s="3">
        <f>Data!U121</f>
        <v>0</v>
      </c>
      <c r="O119" s="3">
        <f t="shared" si="4"/>
        <v>4738.84</v>
      </c>
      <c r="P119" s="3">
        <f t="shared" si="5"/>
        <v>4738.84</v>
      </c>
      <c r="Q119" s="3">
        <f t="shared" si="6"/>
        <v>0</v>
      </c>
    </row>
    <row r="120" spans="1:17" x14ac:dyDescent="0.2">
      <c r="A120" s="17">
        <v>378</v>
      </c>
      <c r="B120" s="17">
        <v>1</v>
      </c>
      <c r="C120" s="3" t="s">
        <v>120</v>
      </c>
      <c r="D120" s="3">
        <f>ROUND(Data!AA122*$B$2,2)</f>
        <v>0</v>
      </c>
      <c r="E120" s="3">
        <f>MAX(0,Data!AD122-Data!Y122)</f>
        <v>0</v>
      </c>
      <c r="F120" s="3">
        <f>Data!Y122</f>
        <v>39303.019999999997</v>
      </c>
      <c r="G120" s="3">
        <f>Data!X122</f>
        <v>4537.68</v>
      </c>
      <c r="H120" s="3">
        <f>Data!K122+Data!R122</f>
        <v>13671.09</v>
      </c>
      <c r="I120" s="3">
        <f>Data!I122+Data!L122+Data!M122+Data!N122+Data!O122+Data!S122</f>
        <v>0</v>
      </c>
      <c r="J120" s="3">
        <f>Data!Q122</f>
        <v>-200</v>
      </c>
      <c r="K120" s="3">
        <f>Data!J122+Data!P122</f>
        <v>-292.29000000000002</v>
      </c>
      <c r="L120" s="3">
        <f>Data!T122</f>
        <v>0</v>
      </c>
      <c r="M120" s="3">
        <f>ROUND(Data!AB122*$B$2,2)</f>
        <v>0</v>
      </c>
      <c r="N120" s="3">
        <f>Data!U122</f>
        <v>0</v>
      </c>
      <c r="O120" s="3">
        <f t="shared" si="4"/>
        <v>57019.499999999993</v>
      </c>
      <c r="P120" s="3">
        <f t="shared" si="5"/>
        <v>57019.499999999993</v>
      </c>
      <c r="Q120" s="3">
        <f t="shared" si="6"/>
        <v>0</v>
      </c>
    </row>
    <row r="121" spans="1:17" x14ac:dyDescent="0.2">
      <c r="A121" s="17">
        <v>381</v>
      </c>
      <c r="B121" s="17">
        <v>1</v>
      </c>
      <c r="C121" s="3" t="s">
        <v>121</v>
      </c>
      <c r="D121" s="3">
        <f>ROUND(Data!AA123*$B$2,2)</f>
        <v>0</v>
      </c>
      <c r="E121" s="3">
        <f>MAX(0,Data!AD123-Data!Y123)</f>
        <v>0</v>
      </c>
      <c r="F121" s="3">
        <f>Data!Y123</f>
        <v>121543.27</v>
      </c>
      <c r="G121" s="3">
        <f>Data!X123</f>
        <v>76394.2</v>
      </c>
      <c r="H121" s="3">
        <f>Data!K123+Data!R123</f>
        <v>29812.75</v>
      </c>
      <c r="I121" s="3">
        <f>Data!I123+Data!L123+Data!M123+Data!N123+Data!O123+Data!S123</f>
        <v>0</v>
      </c>
      <c r="J121" s="3">
        <f>Data!Q123</f>
        <v>0</v>
      </c>
      <c r="K121" s="3">
        <f>Data!J123+Data!P123</f>
        <v>14054.130000000001</v>
      </c>
      <c r="L121" s="3">
        <f>Data!T123</f>
        <v>0</v>
      </c>
      <c r="M121" s="3">
        <f>ROUND(Data!AB123*$B$2,2)</f>
        <v>0</v>
      </c>
      <c r="N121" s="3">
        <f>Data!U123</f>
        <v>0</v>
      </c>
      <c r="O121" s="3">
        <f t="shared" si="4"/>
        <v>241804.35</v>
      </c>
      <c r="P121" s="3">
        <f t="shared" si="5"/>
        <v>241804.35</v>
      </c>
      <c r="Q121" s="3">
        <f t="shared" si="6"/>
        <v>0</v>
      </c>
    </row>
    <row r="122" spans="1:17" x14ac:dyDescent="0.2">
      <c r="A122" s="17">
        <v>390</v>
      </c>
      <c r="B122" s="17">
        <v>1</v>
      </c>
      <c r="C122" s="3" t="s">
        <v>1183</v>
      </c>
      <c r="D122" s="3">
        <f>ROUND(Data!AA124*$B$2,2)</f>
        <v>0</v>
      </c>
      <c r="E122" s="3">
        <f>MAX(0,Data!AD124-Data!Y124)</f>
        <v>0</v>
      </c>
      <c r="F122" s="3">
        <f>Data!Y124</f>
        <v>0</v>
      </c>
      <c r="G122" s="3">
        <f>Data!X124</f>
        <v>0</v>
      </c>
      <c r="H122" s="3">
        <f>Data!K124+Data!R124</f>
        <v>12101.48</v>
      </c>
      <c r="I122" s="3">
        <f>Data!I124+Data!L124+Data!M124+Data!N124+Data!O124+Data!S124</f>
        <v>0</v>
      </c>
      <c r="J122" s="3">
        <f>Data!Q124</f>
        <v>0</v>
      </c>
      <c r="K122" s="3">
        <f>Data!J124+Data!P124</f>
        <v>-3224.7299999999996</v>
      </c>
      <c r="L122" s="3">
        <f>Data!T124</f>
        <v>0</v>
      </c>
      <c r="M122" s="3">
        <f>ROUND(Data!AB124*$B$2,2)</f>
        <v>0</v>
      </c>
      <c r="N122" s="3">
        <f>Data!U124</f>
        <v>0</v>
      </c>
      <c r="O122" s="3">
        <f t="shared" si="4"/>
        <v>8876.75</v>
      </c>
      <c r="P122" s="3">
        <f t="shared" si="5"/>
        <v>8876.75</v>
      </c>
      <c r="Q122" s="3">
        <f t="shared" si="6"/>
        <v>0</v>
      </c>
    </row>
    <row r="123" spans="1:17" x14ac:dyDescent="0.2">
      <c r="A123" s="17">
        <v>391</v>
      </c>
      <c r="B123" s="17">
        <v>1</v>
      </c>
      <c r="C123" s="3" t="s">
        <v>123</v>
      </c>
      <c r="D123" s="3">
        <f>ROUND(Data!AA125*$B$2,2)</f>
        <v>0</v>
      </c>
      <c r="E123" s="3">
        <f>MAX(0,Data!AD125-Data!Y125)</f>
        <v>0</v>
      </c>
      <c r="F123" s="3">
        <f>Data!Y125</f>
        <v>42002.25</v>
      </c>
      <c r="G123" s="3">
        <f>Data!X125</f>
        <v>0</v>
      </c>
      <c r="H123" s="3">
        <f>Data!K125+Data!R125</f>
        <v>12569.630000000001</v>
      </c>
      <c r="I123" s="3">
        <f>Data!I125+Data!L125+Data!M125+Data!N125+Data!O125+Data!S125</f>
        <v>0</v>
      </c>
      <c r="J123" s="3">
        <f>Data!Q125</f>
        <v>0</v>
      </c>
      <c r="K123" s="3">
        <f>Data!J125+Data!P125</f>
        <v>20000</v>
      </c>
      <c r="L123" s="3">
        <f>Data!T125</f>
        <v>0</v>
      </c>
      <c r="M123" s="3">
        <f>ROUND(Data!AB125*$B$2,2)</f>
        <v>0</v>
      </c>
      <c r="N123" s="3">
        <f>Data!U125</f>
        <v>0</v>
      </c>
      <c r="O123" s="3">
        <f t="shared" si="4"/>
        <v>74571.88</v>
      </c>
      <c r="P123" s="3">
        <f t="shared" si="5"/>
        <v>74571.88</v>
      </c>
      <c r="Q123" s="3">
        <f t="shared" si="6"/>
        <v>0</v>
      </c>
    </row>
    <row r="124" spans="1:17" x14ac:dyDescent="0.2">
      <c r="A124" s="17">
        <v>402</v>
      </c>
      <c r="B124" s="17">
        <v>1</v>
      </c>
      <c r="C124" s="3" t="s">
        <v>124</v>
      </c>
      <c r="D124" s="3">
        <f>ROUND(Data!AA126*$B$2,2)</f>
        <v>0</v>
      </c>
      <c r="E124" s="3">
        <f>MAX(0,Data!AD126-Data!Y126)</f>
        <v>0</v>
      </c>
      <c r="F124" s="3">
        <f>Data!Y126</f>
        <v>9929.51</v>
      </c>
      <c r="G124" s="3">
        <f>Data!X126</f>
        <v>4376.54</v>
      </c>
      <c r="H124" s="3">
        <f>Data!K126+Data!R126</f>
        <v>1995.1</v>
      </c>
      <c r="I124" s="3">
        <f>Data!I126+Data!L126+Data!M126+Data!N126+Data!O126+Data!S126</f>
        <v>0</v>
      </c>
      <c r="J124" s="3">
        <f>Data!Q126</f>
        <v>0</v>
      </c>
      <c r="K124" s="3">
        <f>Data!J126+Data!P126</f>
        <v>8189.2099999999991</v>
      </c>
      <c r="L124" s="3">
        <f>Data!T126</f>
        <v>0</v>
      </c>
      <c r="M124" s="3">
        <f>ROUND(Data!AB126*$B$2,2)</f>
        <v>0</v>
      </c>
      <c r="N124" s="3">
        <f>Data!U126</f>
        <v>0</v>
      </c>
      <c r="O124" s="3">
        <f t="shared" si="4"/>
        <v>24490.36</v>
      </c>
      <c r="P124" s="3">
        <f t="shared" si="5"/>
        <v>24490.36</v>
      </c>
      <c r="Q124" s="3">
        <f t="shared" si="6"/>
        <v>0</v>
      </c>
    </row>
    <row r="125" spans="1:17" x14ac:dyDescent="0.2">
      <c r="A125" s="17">
        <v>403</v>
      </c>
      <c r="B125" s="17">
        <v>1</v>
      </c>
      <c r="C125" s="3" t="s">
        <v>125</v>
      </c>
      <c r="D125" s="3">
        <f>ROUND(Data!AA127*$B$2,2)</f>
        <v>0</v>
      </c>
      <c r="E125" s="3">
        <f>MAX(0,Data!AD127-Data!Y127)</f>
        <v>0</v>
      </c>
      <c r="F125" s="3">
        <f>Data!Y127</f>
        <v>17191.45</v>
      </c>
      <c r="G125" s="3">
        <f>Data!X127</f>
        <v>0</v>
      </c>
      <c r="H125" s="3">
        <f>Data!K127+Data!R127</f>
        <v>11742.86</v>
      </c>
      <c r="I125" s="3">
        <f>Data!I127+Data!L127+Data!M127+Data!N127+Data!O127+Data!S127</f>
        <v>0</v>
      </c>
      <c r="J125" s="3">
        <f>Data!Q127</f>
        <v>0</v>
      </c>
      <c r="K125" s="3">
        <f>Data!J127+Data!P127</f>
        <v>2500</v>
      </c>
      <c r="L125" s="3">
        <f>Data!T127</f>
        <v>0</v>
      </c>
      <c r="M125" s="3">
        <f>ROUND(Data!AB127*$B$2,2)</f>
        <v>0</v>
      </c>
      <c r="N125" s="3">
        <f>Data!U127</f>
        <v>0</v>
      </c>
      <c r="O125" s="3">
        <f t="shared" si="4"/>
        <v>31434.31</v>
      </c>
      <c r="P125" s="3">
        <f t="shared" si="5"/>
        <v>31434.31</v>
      </c>
      <c r="Q125" s="3">
        <f t="shared" si="6"/>
        <v>0</v>
      </c>
    </row>
    <row r="126" spans="1:17" x14ac:dyDescent="0.2">
      <c r="A126" s="17">
        <v>404</v>
      </c>
      <c r="B126" s="17">
        <v>1</v>
      </c>
      <c r="C126" s="3" t="s">
        <v>126</v>
      </c>
      <c r="D126" s="3">
        <f>ROUND(Data!AA128*$B$2,2)</f>
        <v>0</v>
      </c>
      <c r="E126" s="3">
        <f>MAX(0,Data!AD128-Data!Y128)</f>
        <v>0</v>
      </c>
      <c r="F126" s="3">
        <f>Data!Y128</f>
        <v>70889.98</v>
      </c>
      <c r="G126" s="3">
        <f>Data!X128</f>
        <v>325.19</v>
      </c>
      <c r="H126" s="3">
        <f>Data!K128+Data!R128</f>
        <v>0</v>
      </c>
      <c r="I126" s="3">
        <f>Data!I128+Data!L128+Data!M128+Data!N128+Data!O128+Data!S128</f>
        <v>0</v>
      </c>
      <c r="J126" s="3">
        <f>Data!Q128</f>
        <v>0</v>
      </c>
      <c r="K126" s="3">
        <f>Data!J128+Data!P128</f>
        <v>3706.98</v>
      </c>
      <c r="L126" s="3">
        <f>Data!T128</f>
        <v>0</v>
      </c>
      <c r="M126" s="3">
        <f>ROUND(Data!AB128*$B$2,2)</f>
        <v>0</v>
      </c>
      <c r="N126" s="3">
        <f>Data!U128</f>
        <v>0</v>
      </c>
      <c r="O126" s="3">
        <f t="shared" si="4"/>
        <v>74922.149999999994</v>
      </c>
      <c r="P126" s="3">
        <f t="shared" si="5"/>
        <v>74922.149999999994</v>
      </c>
      <c r="Q126" s="3">
        <f t="shared" si="6"/>
        <v>0</v>
      </c>
    </row>
    <row r="127" spans="1:17" x14ac:dyDescent="0.2">
      <c r="A127" s="17">
        <v>413</v>
      </c>
      <c r="B127" s="17">
        <v>1</v>
      </c>
      <c r="C127" s="3" t="s">
        <v>127</v>
      </c>
      <c r="D127" s="3">
        <f>ROUND(Data!AA129*$B$2,2)</f>
        <v>0</v>
      </c>
      <c r="E127" s="3">
        <f>MAX(0,Data!AD129-Data!Y129)</f>
        <v>0</v>
      </c>
      <c r="F127" s="3">
        <f>Data!Y129</f>
        <v>185634.72</v>
      </c>
      <c r="G127" s="3">
        <f>Data!X129</f>
        <v>0</v>
      </c>
      <c r="H127" s="3">
        <f>Data!K129+Data!R129</f>
        <v>46533.26</v>
      </c>
      <c r="I127" s="3">
        <f>Data!I129+Data!L129+Data!M129+Data!N129+Data!O129+Data!S129</f>
        <v>0</v>
      </c>
      <c r="J127" s="3">
        <f>Data!Q129</f>
        <v>0</v>
      </c>
      <c r="K127" s="3">
        <f>Data!J129+Data!P129</f>
        <v>5152.74</v>
      </c>
      <c r="L127" s="3">
        <f>Data!T129</f>
        <v>0</v>
      </c>
      <c r="M127" s="3">
        <f>ROUND(Data!AB129*$B$2,2)</f>
        <v>0</v>
      </c>
      <c r="N127" s="3">
        <f>Data!U129</f>
        <v>0</v>
      </c>
      <c r="O127" s="3">
        <f t="shared" si="4"/>
        <v>237320.72</v>
      </c>
      <c r="P127" s="3">
        <f t="shared" si="5"/>
        <v>237320.72</v>
      </c>
      <c r="Q127" s="3">
        <f t="shared" si="6"/>
        <v>0</v>
      </c>
    </row>
    <row r="128" spans="1:17" x14ac:dyDescent="0.2">
      <c r="A128" s="17">
        <v>414</v>
      </c>
      <c r="B128" s="17">
        <v>1</v>
      </c>
      <c r="C128" s="3" t="s">
        <v>128</v>
      </c>
      <c r="D128" s="3">
        <f>ROUND(Data!AA130*$B$2,2)</f>
        <v>0</v>
      </c>
      <c r="E128" s="3">
        <f>MAX(0,Data!AD130-Data!Y130)</f>
        <v>0</v>
      </c>
      <c r="F128" s="3">
        <f>Data!Y130</f>
        <v>28651.58</v>
      </c>
      <c r="G128" s="3">
        <f>Data!X130</f>
        <v>262.36</v>
      </c>
      <c r="H128" s="3">
        <f>Data!K130+Data!R130</f>
        <v>11810.35</v>
      </c>
      <c r="I128" s="3">
        <f>Data!I130+Data!L130+Data!M130+Data!N130+Data!O130+Data!S130</f>
        <v>0</v>
      </c>
      <c r="J128" s="3">
        <f>Data!Q130</f>
        <v>0</v>
      </c>
      <c r="K128" s="3">
        <f>Data!J130+Data!P130</f>
        <v>-2479.3999999999996</v>
      </c>
      <c r="L128" s="3">
        <f>Data!T130</f>
        <v>0</v>
      </c>
      <c r="M128" s="3">
        <f>ROUND(Data!AB130*$B$2,2)</f>
        <v>0</v>
      </c>
      <c r="N128" s="3">
        <f>Data!U130</f>
        <v>0</v>
      </c>
      <c r="O128" s="3">
        <f t="shared" si="4"/>
        <v>38244.89</v>
      </c>
      <c r="P128" s="3">
        <f t="shared" si="5"/>
        <v>38244.89</v>
      </c>
      <c r="Q128" s="3">
        <f t="shared" si="6"/>
        <v>0</v>
      </c>
    </row>
    <row r="129" spans="1:17" x14ac:dyDescent="0.2">
      <c r="A129" s="17">
        <v>415</v>
      </c>
      <c r="B129" s="17">
        <v>1</v>
      </c>
      <c r="C129" s="3" t="s">
        <v>129</v>
      </c>
      <c r="D129" s="3">
        <f>ROUND(Data!AA131*$B$2,2)</f>
        <v>0</v>
      </c>
      <c r="E129" s="3">
        <f>MAX(0,Data!AD131-Data!Y131)</f>
        <v>0</v>
      </c>
      <c r="F129" s="3">
        <f>Data!Y131</f>
        <v>20886.88</v>
      </c>
      <c r="G129" s="3">
        <f>Data!X131</f>
        <v>4594.3999999999996</v>
      </c>
      <c r="H129" s="3">
        <f>Data!K131+Data!R131</f>
        <v>715.45</v>
      </c>
      <c r="I129" s="3">
        <f>Data!I131+Data!L131+Data!M131+Data!N131+Data!O131+Data!S131</f>
        <v>0</v>
      </c>
      <c r="J129" s="3">
        <f>Data!Q131</f>
        <v>0</v>
      </c>
      <c r="K129" s="3">
        <f>Data!J131+Data!P131</f>
        <v>-3925.37</v>
      </c>
      <c r="L129" s="3">
        <f>Data!T131</f>
        <v>0</v>
      </c>
      <c r="M129" s="3">
        <f>ROUND(Data!AB131*$B$2,2)</f>
        <v>0</v>
      </c>
      <c r="N129" s="3">
        <f>Data!U131</f>
        <v>0</v>
      </c>
      <c r="O129" s="3">
        <f t="shared" ref="O129:O189" si="7">SUM(D129:N129)</f>
        <v>22271.360000000001</v>
      </c>
      <c r="P129" s="3">
        <f t="shared" si="5"/>
        <v>22271.360000000001</v>
      </c>
      <c r="Q129" s="3">
        <f t="shared" si="6"/>
        <v>0</v>
      </c>
    </row>
    <row r="130" spans="1:17" x14ac:dyDescent="0.2">
      <c r="A130" s="17">
        <v>423</v>
      </c>
      <c r="B130" s="17">
        <v>1</v>
      </c>
      <c r="C130" s="3" t="s">
        <v>130</v>
      </c>
      <c r="D130" s="3">
        <f>ROUND(Data!AA132*$B$2,2)</f>
        <v>0</v>
      </c>
      <c r="E130" s="3">
        <f>MAX(0,Data!AD132-Data!Y132)</f>
        <v>0</v>
      </c>
      <c r="F130" s="3">
        <f>Data!Y132</f>
        <v>159248.91</v>
      </c>
      <c r="G130" s="3">
        <f>Data!X132</f>
        <v>0</v>
      </c>
      <c r="H130" s="3">
        <f>Data!K132+Data!R132</f>
        <v>38751.68</v>
      </c>
      <c r="I130" s="3">
        <f>Data!I132+Data!L132+Data!M132+Data!N132+Data!O132+Data!S132</f>
        <v>0</v>
      </c>
      <c r="J130" s="3">
        <f>Data!Q132</f>
        <v>0</v>
      </c>
      <c r="K130" s="3">
        <f>Data!J132+Data!P132</f>
        <v>8227.98</v>
      </c>
      <c r="L130" s="3">
        <f>Data!T132</f>
        <v>0</v>
      </c>
      <c r="M130" s="3">
        <f>ROUND(Data!AB132*$B$2,2)</f>
        <v>0</v>
      </c>
      <c r="N130" s="3">
        <f>Data!U132</f>
        <v>0</v>
      </c>
      <c r="O130" s="3">
        <f t="shared" si="7"/>
        <v>206228.57</v>
      </c>
      <c r="P130" s="3">
        <f t="shared" ref="P130:P192" si="8">SUM(D130:L130)</f>
        <v>206228.57</v>
      </c>
      <c r="Q130" s="3">
        <f t="shared" ref="Q130:Q192" si="9">SUM(M130:N130)</f>
        <v>0</v>
      </c>
    </row>
    <row r="131" spans="1:17" x14ac:dyDescent="0.2">
      <c r="A131" s="17">
        <v>424</v>
      </c>
      <c r="B131" s="17">
        <v>1</v>
      </c>
      <c r="C131" s="3" t="s">
        <v>131</v>
      </c>
      <c r="D131" s="3">
        <f>ROUND(Data!AA133*$B$2,2)</f>
        <v>0</v>
      </c>
      <c r="E131" s="3">
        <f>MAX(0,Data!AD133-Data!Y133)</f>
        <v>0</v>
      </c>
      <c r="F131" s="3">
        <f>Data!Y133</f>
        <v>24228.86</v>
      </c>
      <c r="G131" s="3">
        <f>Data!X133</f>
        <v>0</v>
      </c>
      <c r="H131" s="3">
        <f>Data!K133+Data!R133</f>
        <v>7121.65</v>
      </c>
      <c r="I131" s="3">
        <f>Data!I133+Data!L133+Data!M133+Data!N133+Data!O133+Data!S133</f>
        <v>0</v>
      </c>
      <c r="J131" s="3">
        <f>Data!Q133</f>
        <v>0</v>
      </c>
      <c r="K131" s="3">
        <f>Data!J133+Data!P133</f>
        <v>19241.2</v>
      </c>
      <c r="L131" s="3">
        <f>Data!T133</f>
        <v>0</v>
      </c>
      <c r="M131" s="3">
        <f>ROUND(Data!AB133*$B$2,2)</f>
        <v>0</v>
      </c>
      <c r="N131" s="3">
        <f>Data!U133</f>
        <v>0</v>
      </c>
      <c r="O131" s="3">
        <f t="shared" si="7"/>
        <v>50591.710000000006</v>
      </c>
      <c r="P131" s="3">
        <f t="shared" si="8"/>
        <v>50591.710000000006</v>
      </c>
      <c r="Q131" s="3">
        <f t="shared" si="9"/>
        <v>0</v>
      </c>
    </row>
    <row r="132" spans="1:17" x14ac:dyDescent="0.2">
      <c r="A132" s="17">
        <v>432</v>
      </c>
      <c r="B132" s="17">
        <v>1</v>
      </c>
      <c r="C132" s="3" t="s">
        <v>132</v>
      </c>
      <c r="D132" s="3">
        <f>ROUND(Data!AA134*$B$2,2)</f>
        <v>0</v>
      </c>
      <c r="E132" s="3">
        <f>MAX(0,Data!AD134-Data!Y134)</f>
        <v>0</v>
      </c>
      <c r="F132" s="3">
        <f>Data!Y134</f>
        <v>0</v>
      </c>
      <c r="G132" s="3">
        <f>Data!X134</f>
        <v>0</v>
      </c>
      <c r="H132" s="3">
        <f>Data!K134+Data!R134</f>
        <v>16463.260000000002</v>
      </c>
      <c r="I132" s="3">
        <f>Data!I134+Data!L134+Data!M134+Data!N134+Data!O134+Data!S134</f>
        <v>0</v>
      </c>
      <c r="J132" s="3">
        <f>Data!Q134</f>
        <v>0</v>
      </c>
      <c r="K132" s="3">
        <f>Data!J134+Data!P134</f>
        <v>-5000</v>
      </c>
      <c r="L132" s="3">
        <f>Data!T134</f>
        <v>0</v>
      </c>
      <c r="M132" s="3">
        <f>ROUND(Data!AB134*$B$2,2)</f>
        <v>0</v>
      </c>
      <c r="N132" s="3">
        <f>Data!U134</f>
        <v>0</v>
      </c>
      <c r="O132" s="3">
        <f t="shared" si="7"/>
        <v>11463.260000000002</v>
      </c>
      <c r="P132" s="3">
        <f t="shared" si="8"/>
        <v>11463.260000000002</v>
      </c>
      <c r="Q132" s="3">
        <f t="shared" si="9"/>
        <v>0</v>
      </c>
    </row>
    <row r="133" spans="1:17" x14ac:dyDescent="0.2">
      <c r="A133" s="17">
        <v>435</v>
      </c>
      <c r="B133" s="17">
        <v>1</v>
      </c>
      <c r="C133" s="3" t="s">
        <v>1184</v>
      </c>
      <c r="D133" s="3">
        <f>ROUND(Data!AA135*$B$2,2)</f>
        <v>0</v>
      </c>
      <c r="E133" s="3">
        <f>MAX(0,Data!AD135-Data!Y135)</f>
        <v>0</v>
      </c>
      <c r="F133" s="3">
        <f>Data!Y135</f>
        <v>0</v>
      </c>
      <c r="G133" s="3">
        <f>Data!X135</f>
        <v>0</v>
      </c>
      <c r="H133" s="3">
        <f>Data!K135+Data!R135</f>
        <v>19636.440000000002</v>
      </c>
      <c r="I133" s="3">
        <f>Data!I135+Data!L135+Data!M135+Data!N135+Data!O135+Data!S135</f>
        <v>0</v>
      </c>
      <c r="J133" s="3">
        <f>Data!Q135</f>
        <v>0</v>
      </c>
      <c r="K133" s="3">
        <f>Data!J135+Data!P135</f>
        <v>1314.41</v>
      </c>
      <c r="L133" s="3">
        <f>Data!T135</f>
        <v>0</v>
      </c>
      <c r="M133" s="3">
        <f>ROUND(Data!AB135*$B$2,2)</f>
        <v>0</v>
      </c>
      <c r="N133" s="3">
        <f>Data!U135</f>
        <v>0</v>
      </c>
      <c r="O133" s="3">
        <f t="shared" si="7"/>
        <v>20950.850000000002</v>
      </c>
      <c r="P133" s="3">
        <f t="shared" si="8"/>
        <v>20950.850000000002</v>
      </c>
      <c r="Q133" s="3">
        <f t="shared" si="9"/>
        <v>0</v>
      </c>
    </row>
    <row r="134" spans="1:17" x14ac:dyDescent="0.2">
      <c r="A134" s="17">
        <v>441</v>
      </c>
      <c r="B134" s="17">
        <v>1</v>
      </c>
      <c r="C134" s="3" t="s">
        <v>134</v>
      </c>
      <c r="D134" s="3">
        <f>ROUND(Data!AA136*$B$2,2)</f>
        <v>0</v>
      </c>
      <c r="E134" s="3">
        <f>MAX(0,Data!AD136-Data!Y136)</f>
        <v>0</v>
      </c>
      <c r="F134" s="3">
        <f>Data!Y136</f>
        <v>24919.51</v>
      </c>
      <c r="G134" s="3">
        <f>Data!X136</f>
        <v>10876.31</v>
      </c>
      <c r="H134" s="3">
        <f>Data!K136+Data!R136</f>
        <v>11742.86</v>
      </c>
      <c r="I134" s="3">
        <f>Data!I136+Data!L136+Data!M136+Data!N136+Data!O136+Data!S136</f>
        <v>0</v>
      </c>
      <c r="J134" s="3">
        <f>Data!Q136</f>
        <v>0</v>
      </c>
      <c r="K134" s="3">
        <f>Data!J136+Data!P136</f>
        <v>25176.17</v>
      </c>
      <c r="L134" s="3">
        <f>Data!T136</f>
        <v>0</v>
      </c>
      <c r="M134" s="3">
        <f>ROUND(Data!AB136*$B$2,2)</f>
        <v>0</v>
      </c>
      <c r="N134" s="3">
        <f>Data!U136</f>
        <v>0</v>
      </c>
      <c r="O134" s="3">
        <f t="shared" si="7"/>
        <v>72714.850000000006</v>
      </c>
      <c r="P134" s="3">
        <f t="shared" si="8"/>
        <v>72714.850000000006</v>
      </c>
      <c r="Q134" s="3">
        <f t="shared" si="9"/>
        <v>0</v>
      </c>
    </row>
    <row r="135" spans="1:17" x14ac:dyDescent="0.2">
      <c r="A135" s="17">
        <v>447</v>
      </c>
      <c r="B135" s="17">
        <v>1</v>
      </c>
      <c r="C135" s="3" t="s">
        <v>135</v>
      </c>
      <c r="D135" s="3">
        <f>ROUND(Data!AA137*$B$2,2)</f>
        <v>0</v>
      </c>
      <c r="E135" s="3">
        <f>MAX(0,Data!AD137-Data!Y137)</f>
        <v>0</v>
      </c>
      <c r="F135" s="3">
        <f>Data!Y137</f>
        <v>4943.41</v>
      </c>
      <c r="G135" s="3">
        <f>Data!X137</f>
        <v>0</v>
      </c>
      <c r="H135" s="3">
        <f>Data!K137+Data!R137</f>
        <v>9893.3700000000008</v>
      </c>
      <c r="I135" s="3">
        <f>Data!I137+Data!L137+Data!M137+Data!N137+Data!O137+Data!S137</f>
        <v>0</v>
      </c>
      <c r="J135" s="3">
        <f>Data!Q137</f>
        <v>0</v>
      </c>
      <c r="K135" s="3">
        <f>Data!J137+Data!P137</f>
        <v>-4497.95</v>
      </c>
      <c r="L135" s="3">
        <f>Data!T137</f>
        <v>0</v>
      </c>
      <c r="M135" s="3">
        <f>ROUND(Data!AB137*$B$2,2)</f>
        <v>0</v>
      </c>
      <c r="N135" s="3">
        <f>Data!U137</f>
        <v>0</v>
      </c>
      <c r="O135" s="3">
        <f t="shared" si="7"/>
        <v>10338.830000000002</v>
      </c>
      <c r="P135" s="3">
        <f t="shared" si="8"/>
        <v>10338.830000000002</v>
      </c>
      <c r="Q135" s="3">
        <f t="shared" si="9"/>
        <v>0</v>
      </c>
    </row>
    <row r="136" spans="1:17" x14ac:dyDescent="0.2">
      <c r="A136" s="17">
        <v>458</v>
      </c>
      <c r="B136" s="17">
        <v>1</v>
      </c>
      <c r="C136" s="3" t="s">
        <v>136</v>
      </c>
      <c r="D136" s="3">
        <f>ROUND(Data!AA138*$B$2,2)</f>
        <v>0</v>
      </c>
      <c r="E136" s="3">
        <f>MAX(0,Data!AD138-Data!Y138)</f>
        <v>0</v>
      </c>
      <c r="F136" s="3">
        <f>Data!Y138</f>
        <v>138045.48000000001</v>
      </c>
      <c r="G136" s="3">
        <f>Data!X138</f>
        <v>9301.26</v>
      </c>
      <c r="H136" s="3">
        <f>Data!K138+Data!R138</f>
        <v>9948.7400000000016</v>
      </c>
      <c r="I136" s="3">
        <f>Data!I138+Data!L138+Data!M138+Data!N138+Data!O138+Data!S138</f>
        <v>0</v>
      </c>
      <c r="J136" s="3">
        <f>Data!Q138</f>
        <v>0</v>
      </c>
      <c r="K136" s="3">
        <f>Data!J138+Data!P138</f>
        <v>59754.630000000005</v>
      </c>
      <c r="L136" s="3">
        <f>Data!T138</f>
        <v>0</v>
      </c>
      <c r="M136" s="3">
        <f>ROUND(Data!AB138*$B$2,2)</f>
        <v>0</v>
      </c>
      <c r="N136" s="3">
        <f>Data!U138</f>
        <v>0</v>
      </c>
      <c r="O136" s="3">
        <f t="shared" si="7"/>
        <v>217050.11000000002</v>
      </c>
      <c r="P136" s="3">
        <f t="shared" si="8"/>
        <v>217050.11000000002</v>
      </c>
      <c r="Q136" s="3">
        <f t="shared" si="9"/>
        <v>0</v>
      </c>
    </row>
    <row r="137" spans="1:17" x14ac:dyDescent="0.2">
      <c r="A137" s="17">
        <v>463</v>
      </c>
      <c r="B137" s="17">
        <v>1</v>
      </c>
      <c r="C137" s="3" t="s">
        <v>1185</v>
      </c>
      <c r="D137" s="3">
        <f>ROUND(Data!AA139*$B$2,2)</f>
        <v>0</v>
      </c>
      <c r="E137" s="3">
        <f>MAX(0,Data!AD139-Data!Y139)</f>
        <v>0</v>
      </c>
      <c r="F137" s="3">
        <f>Data!Y139</f>
        <v>32117.919999999998</v>
      </c>
      <c r="G137" s="3">
        <f>Data!X139</f>
        <v>0</v>
      </c>
      <c r="H137" s="3">
        <f>Data!K139+Data!R139</f>
        <v>18293.45</v>
      </c>
      <c r="I137" s="3">
        <f>Data!I139+Data!L139+Data!M139+Data!N139+Data!O139+Data!S139</f>
        <v>0</v>
      </c>
      <c r="J137" s="3">
        <f>Data!Q139</f>
        <v>0</v>
      </c>
      <c r="K137" s="3">
        <f>Data!J139+Data!P139</f>
        <v>-2035.8200000000002</v>
      </c>
      <c r="L137" s="3">
        <f>Data!T139</f>
        <v>0</v>
      </c>
      <c r="M137" s="3">
        <f>ROUND(Data!AB139*$B$2,2)</f>
        <v>0</v>
      </c>
      <c r="N137" s="3">
        <f>Data!U139</f>
        <v>0</v>
      </c>
      <c r="O137" s="3">
        <f t="shared" si="7"/>
        <v>48375.549999999996</v>
      </c>
      <c r="P137" s="3">
        <f t="shared" si="8"/>
        <v>48375.549999999996</v>
      </c>
      <c r="Q137" s="3">
        <f t="shared" si="9"/>
        <v>0</v>
      </c>
    </row>
    <row r="138" spans="1:17" x14ac:dyDescent="0.2">
      <c r="A138" s="17">
        <v>465</v>
      </c>
      <c r="B138" s="17">
        <v>1</v>
      </c>
      <c r="C138" s="3" t="s">
        <v>138</v>
      </c>
      <c r="D138" s="3">
        <f>ROUND(Data!AA140*$B$2,2)</f>
        <v>0</v>
      </c>
      <c r="E138" s="3">
        <f>MAX(0,Data!AD140-Data!Y140)</f>
        <v>0</v>
      </c>
      <c r="F138" s="3">
        <f>Data!Y140</f>
        <v>97079.01</v>
      </c>
      <c r="G138" s="3">
        <f>Data!X140</f>
        <v>0</v>
      </c>
      <c r="H138" s="3">
        <f>Data!K140+Data!R140</f>
        <v>31538.29</v>
      </c>
      <c r="I138" s="3">
        <f>Data!I140+Data!L140+Data!M140+Data!N140+Data!O140+Data!S140</f>
        <v>0</v>
      </c>
      <c r="J138" s="3">
        <f>Data!Q140</f>
        <v>0</v>
      </c>
      <c r="K138" s="3">
        <f>Data!J140+Data!P140</f>
        <v>12747.59</v>
      </c>
      <c r="L138" s="3">
        <f>Data!T140</f>
        <v>0</v>
      </c>
      <c r="M138" s="3">
        <f>ROUND(Data!AB140*$B$2,2)</f>
        <v>0</v>
      </c>
      <c r="N138" s="3">
        <f>Data!U140</f>
        <v>0</v>
      </c>
      <c r="O138" s="3">
        <f t="shared" si="7"/>
        <v>141364.88999999998</v>
      </c>
      <c r="P138" s="3">
        <f t="shared" si="8"/>
        <v>141364.88999999998</v>
      </c>
      <c r="Q138" s="3">
        <f t="shared" si="9"/>
        <v>0</v>
      </c>
    </row>
    <row r="139" spans="1:17" x14ac:dyDescent="0.2">
      <c r="A139" s="17">
        <v>466</v>
      </c>
      <c r="B139" s="17">
        <v>1</v>
      </c>
      <c r="C139" s="3" t="s">
        <v>139</v>
      </c>
      <c r="D139" s="3">
        <f>ROUND(Data!AA141*$B$2,2)</f>
        <v>0</v>
      </c>
      <c r="E139" s="3">
        <f>MAX(0,Data!AD141-Data!Y141)</f>
        <v>0</v>
      </c>
      <c r="F139" s="3">
        <f>Data!Y141</f>
        <v>84376.93</v>
      </c>
      <c r="G139" s="3">
        <f>Data!X141</f>
        <v>0</v>
      </c>
      <c r="H139" s="3">
        <f>Data!K141+Data!R141</f>
        <v>20718.96</v>
      </c>
      <c r="I139" s="3">
        <f>Data!I141+Data!L141+Data!M141+Data!N141+Data!O141+Data!S141</f>
        <v>0</v>
      </c>
      <c r="J139" s="3">
        <f>Data!Q141</f>
        <v>0</v>
      </c>
      <c r="K139" s="3">
        <f>Data!J141+Data!P141</f>
        <v>2556.42</v>
      </c>
      <c r="L139" s="3">
        <f>Data!T141</f>
        <v>0</v>
      </c>
      <c r="M139" s="3">
        <f>ROUND(Data!AB141*$B$2,2)</f>
        <v>0</v>
      </c>
      <c r="N139" s="3">
        <f>Data!U141</f>
        <v>0</v>
      </c>
      <c r="O139" s="3">
        <f t="shared" si="7"/>
        <v>107652.30999999998</v>
      </c>
      <c r="P139" s="3">
        <f t="shared" si="8"/>
        <v>107652.30999999998</v>
      </c>
      <c r="Q139" s="3">
        <f t="shared" si="9"/>
        <v>0</v>
      </c>
    </row>
    <row r="140" spans="1:17" x14ac:dyDescent="0.2">
      <c r="A140" s="17">
        <v>473</v>
      </c>
      <c r="B140" s="17">
        <v>1</v>
      </c>
      <c r="C140" s="3" t="s">
        <v>140</v>
      </c>
      <c r="D140" s="3">
        <f>ROUND(Data!AA142*$B$2,2)</f>
        <v>0</v>
      </c>
      <c r="E140" s="3">
        <f>MAX(0,Data!AD142-Data!Y142)</f>
        <v>0</v>
      </c>
      <c r="F140" s="3">
        <f>Data!Y142</f>
        <v>22384.46</v>
      </c>
      <c r="G140" s="3">
        <f>Data!X142</f>
        <v>3627.63</v>
      </c>
      <c r="H140" s="3">
        <f>Data!K142+Data!R142</f>
        <v>11758.21</v>
      </c>
      <c r="I140" s="3">
        <f>Data!I142+Data!L142+Data!M142+Data!N142+Data!O142+Data!S142</f>
        <v>0</v>
      </c>
      <c r="J140" s="3">
        <f>Data!Q142</f>
        <v>0</v>
      </c>
      <c r="K140" s="3">
        <f>Data!J142+Data!P142</f>
        <v>-5023.55</v>
      </c>
      <c r="L140" s="3">
        <f>Data!T142</f>
        <v>0</v>
      </c>
      <c r="M140" s="3">
        <f>ROUND(Data!AB142*$B$2,2)</f>
        <v>0</v>
      </c>
      <c r="N140" s="3">
        <f>Data!U142</f>
        <v>0</v>
      </c>
      <c r="O140" s="3">
        <f t="shared" si="7"/>
        <v>32746.750000000004</v>
      </c>
      <c r="P140" s="3">
        <f t="shared" si="8"/>
        <v>32746.750000000004</v>
      </c>
      <c r="Q140" s="3">
        <f t="shared" si="9"/>
        <v>0</v>
      </c>
    </row>
    <row r="141" spans="1:17" x14ac:dyDescent="0.2">
      <c r="A141" s="17">
        <v>477</v>
      </c>
      <c r="B141" s="17">
        <v>1</v>
      </c>
      <c r="C141" s="3" t="s">
        <v>141</v>
      </c>
      <c r="D141" s="3">
        <f>ROUND(Data!AA143*$B$2,2)</f>
        <v>0</v>
      </c>
      <c r="E141" s="3">
        <f>MAX(0,Data!AD143-Data!Y143)</f>
        <v>0</v>
      </c>
      <c r="F141" s="3">
        <f>Data!Y143</f>
        <v>117256.13</v>
      </c>
      <c r="G141" s="3">
        <f>Data!X143</f>
        <v>0</v>
      </c>
      <c r="H141" s="3">
        <f>Data!K143+Data!R143</f>
        <v>28060.190000000002</v>
      </c>
      <c r="I141" s="3">
        <f>Data!I143+Data!L143+Data!M143+Data!N143+Data!O143+Data!S143</f>
        <v>0</v>
      </c>
      <c r="J141" s="3">
        <f>Data!Q143</f>
        <v>0</v>
      </c>
      <c r="K141" s="3">
        <f>Data!J143+Data!P143</f>
        <v>-73149</v>
      </c>
      <c r="L141" s="3">
        <f>Data!T143</f>
        <v>0</v>
      </c>
      <c r="M141" s="3">
        <f>ROUND(Data!AB143*$B$2,2)</f>
        <v>0</v>
      </c>
      <c r="N141" s="3">
        <f>Data!U143</f>
        <v>0</v>
      </c>
      <c r="O141" s="3">
        <f t="shared" si="7"/>
        <v>72167.320000000007</v>
      </c>
      <c r="P141" s="3">
        <f t="shared" si="8"/>
        <v>72167.320000000007</v>
      </c>
      <c r="Q141" s="3">
        <f t="shared" si="9"/>
        <v>0</v>
      </c>
    </row>
    <row r="142" spans="1:17" x14ac:dyDescent="0.2">
      <c r="A142" s="17">
        <v>480</v>
      </c>
      <c r="B142" s="17">
        <v>1</v>
      </c>
      <c r="C142" s="3" t="s">
        <v>142</v>
      </c>
      <c r="D142" s="3">
        <f>ROUND(Data!AA144*$B$2,2)</f>
        <v>0</v>
      </c>
      <c r="E142" s="3">
        <f>MAX(0,Data!AD144-Data!Y144)</f>
        <v>0</v>
      </c>
      <c r="F142" s="3">
        <f>Data!Y144</f>
        <v>0</v>
      </c>
      <c r="G142" s="3">
        <f>Data!X144</f>
        <v>0</v>
      </c>
      <c r="H142" s="3">
        <f>Data!K144+Data!R144</f>
        <v>16470.7</v>
      </c>
      <c r="I142" s="3">
        <f>Data!I144+Data!L144+Data!M144+Data!N144+Data!O144+Data!S144</f>
        <v>0</v>
      </c>
      <c r="J142" s="3">
        <f>Data!Q144</f>
        <v>0</v>
      </c>
      <c r="K142" s="3">
        <f>Data!J144+Data!P144</f>
        <v>17266.509999999998</v>
      </c>
      <c r="L142" s="3">
        <f>Data!T144</f>
        <v>0</v>
      </c>
      <c r="M142" s="3">
        <f>ROUND(Data!AB144*$B$2,2)</f>
        <v>0</v>
      </c>
      <c r="N142" s="3">
        <f>Data!U144</f>
        <v>0</v>
      </c>
      <c r="O142" s="3">
        <f t="shared" si="7"/>
        <v>33737.21</v>
      </c>
      <c r="P142" s="3">
        <f t="shared" si="8"/>
        <v>33737.21</v>
      </c>
      <c r="Q142" s="3">
        <f t="shared" si="9"/>
        <v>0</v>
      </c>
    </row>
    <row r="143" spans="1:17" x14ac:dyDescent="0.2">
      <c r="A143" s="17">
        <v>482</v>
      </c>
      <c r="B143" s="17">
        <v>1</v>
      </c>
      <c r="C143" s="3" t="s">
        <v>143</v>
      </c>
      <c r="D143" s="3">
        <f>ROUND(Data!AA145*$B$2,2)</f>
        <v>0</v>
      </c>
      <c r="E143" s="3">
        <f>MAX(0,Data!AD145-Data!Y145)</f>
        <v>0</v>
      </c>
      <c r="F143" s="3">
        <f>Data!Y145</f>
        <v>98308.58</v>
      </c>
      <c r="G143" s="3">
        <f>Data!X145</f>
        <v>0</v>
      </c>
      <c r="H143" s="3">
        <f>Data!K145+Data!R145</f>
        <v>25191.94</v>
      </c>
      <c r="I143" s="3">
        <f>Data!I145+Data!L145+Data!M145+Data!N145+Data!O145+Data!S145</f>
        <v>0</v>
      </c>
      <c r="J143" s="3">
        <f>Data!Q145</f>
        <v>0</v>
      </c>
      <c r="K143" s="3">
        <f>Data!J145+Data!P145</f>
        <v>15499.04</v>
      </c>
      <c r="L143" s="3">
        <f>Data!T145</f>
        <v>0</v>
      </c>
      <c r="M143" s="3">
        <f>ROUND(Data!AB145*$B$2,2)</f>
        <v>0</v>
      </c>
      <c r="N143" s="3">
        <f>Data!U145</f>
        <v>0</v>
      </c>
      <c r="O143" s="3">
        <f t="shared" si="7"/>
        <v>138999.56</v>
      </c>
      <c r="P143" s="3">
        <f t="shared" si="8"/>
        <v>138999.56</v>
      </c>
      <c r="Q143" s="3">
        <f t="shared" si="9"/>
        <v>0</v>
      </c>
    </row>
    <row r="144" spans="1:17" x14ac:dyDescent="0.2">
      <c r="A144" s="17">
        <v>484</v>
      </c>
      <c r="B144" s="17">
        <v>1</v>
      </c>
      <c r="C144" s="3" t="s">
        <v>144</v>
      </c>
      <c r="D144" s="3">
        <f>ROUND(Data!AA146*$B$2,2)</f>
        <v>0</v>
      </c>
      <c r="E144" s="3">
        <f>MAX(0,Data!AD146-Data!Y146)</f>
        <v>0</v>
      </c>
      <c r="F144" s="3">
        <f>Data!Y146</f>
        <v>31118.21</v>
      </c>
      <c r="G144" s="3">
        <f>Data!X146</f>
        <v>0</v>
      </c>
      <c r="H144" s="3">
        <f>Data!K146+Data!R146</f>
        <v>19279.599999999999</v>
      </c>
      <c r="I144" s="3">
        <f>Data!I146+Data!L146+Data!M146+Data!N146+Data!O146+Data!S146</f>
        <v>0</v>
      </c>
      <c r="J144" s="3">
        <f>Data!Q146</f>
        <v>0</v>
      </c>
      <c r="K144" s="3">
        <f>Data!J146+Data!P146</f>
        <v>5000</v>
      </c>
      <c r="L144" s="3">
        <f>Data!T146</f>
        <v>0</v>
      </c>
      <c r="M144" s="3">
        <f>ROUND(Data!AB146*$B$2,2)</f>
        <v>0</v>
      </c>
      <c r="N144" s="3">
        <f>Data!U146</f>
        <v>0</v>
      </c>
      <c r="O144" s="3">
        <f t="shared" si="7"/>
        <v>55397.81</v>
      </c>
      <c r="P144" s="3">
        <f t="shared" si="8"/>
        <v>55397.81</v>
      </c>
      <c r="Q144" s="3">
        <f t="shared" si="9"/>
        <v>0</v>
      </c>
    </row>
    <row r="145" spans="1:17" x14ac:dyDescent="0.2">
      <c r="A145" s="17">
        <v>485</v>
      </c>
      <c r="B145" s="17">
        <v>1</v>
      </c>
      <c r="C145" s="3" t="s">
        <v>145</v>
      </c>
      <c r="D145" s="3">
        <f>ROUND(Data!AA147*$B$2,2)</f>
        <v>0</v>
      </c>
      <c r="E145" s="3">
        <f>MAX(0,Data!AD147-Data!Y147)</f>
        <v>0</v>
      </c>
      <c r="F145" s="3">
        <f>Data!Y147</f>
        <v>29270.26</v>
      </c>
      <c r="G145" s="3">
        <f>Data!X147</f>
        <v>0</v>
      </c>
      <c r="H145" s="3">
        <f>Data!K147+Data!R147</f>
        <v>-58.06000000000131</v>
      </c>
      <c r="I145" s="3">
        <f>Data!I147+Data!L147+Data!M147+Data!N147+Data!O147+Data!S147</f>
        <v>0</v>
      </c>
      <c r="J145" s="3">
        <f>Data!Q147</f>
        <v>0</v>
      </c>
      <c r="K145" s="3">
        <f>Data!J147+Data!P147</f>
        <v>-21238.45</v>
      </c>
      <c r="L145" s="3">
        <f>Data!T147</f>
        <v>0</v>
      </c>
      <c r="M145" s="3">
        <f>ROUND(Data!AB147*$B$2,2)</f>
        <v>0</v>
      </c>
      <c r="N145" s="3">
        <f>Data!U147</f>
        <v>0</v>
      </c>
      <c r="O145" s="3">
        <f t="shared" si="7"/>
        <v>7973.7499999999964</v>
      </c>
      <c r="P145" s="3">
        <f t="shared" si="8"/>
        <v>7973.7499999999964</v>
      </c>
      <c r="Q145" s="3">
        <f t="shared" si="9"/>
        <v>0</v>
      </c>
    </row>
    <row r="146" spans="1:17" x14ac:dyDescent="0.2">
      <c r="A146" s="17">
        <v>486</v>
      </c>
      <c r="B146" s="17">
        <v>1</v>
      </c>
      <c r="C146" s="3" t="s">
        <v>146</v>
      </c>
      <c r="D146" s="3">
        <f>ROUND(Data!AA148*$B$2,2)</f>
        <v>0</v>
      </c>
      <c r="E146" s="3">
        <f>MAX(0,Data!AD148-Data!Y148)</f>
        <v>0</v>
      </c>
      <c r="F146" s="3">
        <f>Data!Y148</f>
        <v>15148.78</v>
      </c>
      <c r="G146" s="3">
        <f>Data!X148</f>
        <v>0</v>
      </c>
      <c r="H146" s="3">
        <f>Data!K148+Data!R148</f>
        <v>0</v>
      </c>
      <c r="I146" s="3">
        <f>Data!I148+Data!L148+Data!M148+Data!N148+Data!O148+Data!S148</f>
        <v>0</v>
      </c>
      <c r="J146" s="3">
        <f>Data!Q148</f>
        <v>0</v>
      </c>
      <c r="K146" s="3">
        <f>Data!J148+Data!P148</f>
        <v>1546.98</v>
      </c>
      <c r="L146" s="3">
        <f>Data!T148</f>
        <v>0</v>
      </c>
      <c r="M146" s="3">
        <f>ROUND(Data!AB148*$B$2,2)</f>
        <v>0</v>
      </c>
      <c r="N146" s="3">
        <f>Data!U148</f>
        <v>0</v>
      </c>
      <c r="O146" s="3">
        <f t="shared" si="7"/>
        <v>16695.760000000002</v>
      </c>
      <c r="P146" s="3">
        <f t="shared" si="8"/>
        <v>16695.760000000002</v>
      </c>
      <c r="Q146" s="3">
        <f t="shared" si="9"/>
        <v>0</v>
      </c>
    </row>
    <row r="147" spans="1:17" x14ac:dyDescent="0.2">
      <c r="A147" s="17">
        <v>487</v>
      </c>
      <c r="B147" s="17">
        <v>1</v>
      </c>
      <c r="C147" s="3" t="s">
        <v>147</v>
      </c>
      <c r="D147" s="3">
        <f>ROUND(Data!AA149*$B$2,2)</f>
        <v>0</v>
      </c>
      <c r="E147" s="3">
        <f>MAX(0,Data!AD149-Data!Y149)</f>
        <v>0</v>
      </c>
      <c r="F147" s="3">
        <f>Data!Y149</f>
        <v>32084.69</v>
      </c>
      <c r="G147" s="3">
        <f>Data!X149</f>
        <v>0</v>
      </c>
      <c r="H147" s="3">
        <f>Data!K149+Data!R149</f>
        <v>4974.92</v>
      </c>
      <c r="I147" s="3">
        <f>Data!I149+Data!L149+Data!M149+Data!N149+Data!O149+Data!S149</f>
        <v>0</v>
      </c>
      <c r="J147" s="3">
        <f>Data!Q149</f>
        <v>0</v>
      </c>
      <c r="K147" s="3">
        <f>Data!J149+Data!P149</f>
        <v>327.16000000000003</v>
      </c>
      <c r="L147" s="3">
        <f>Data!T149</f>
        <v>0</v>
      </c>
      <c r="M147" s="3">
        <f>ROUND(Data!AB149*$B$2,2)</f>
        <v>0</v>
      </c>
      <c r="N147" s="3">
        <f>Data!U149</f>
        <v>0</v>
      </c>
      <c r="O147" s="3">
        <f t="shared" si="7"/>
        <v>37386.770000000004</v>
      </c>
      <c r="P147" s="3">
        <f t="shared" si="8"/>
        <v>37386.770000000004</v>
      </c>
      <c r="Q147" s="3">
        <f t="shared" si="9"/>
        <v>0</v>
      </c>
    </row>
    <row r="148" spans="1:17" x14ac:dyDescent="0.2">
      <c r="A148" s="17">
        <v>492</v>
      </c>
      <c r="B148" s="17">
        <v>1</v>
      </c>
      <c r="C148" s="3" t="s">
        <v>148</v>
      </c>
      <c r="D148" s="3">
        <f>ROUND(Data!AA150*$B$2,2)</f>
        <v>0</v>
      </c>
      <c r="E148" s="3">
        <f>MAX(0,Data!AD150-Data!Y150)</f>
        <v>0</v>
      </c>
      <c r="F148" s="3">
        <f>Data!Y150</f>
        <v>295941.48</v>
      </c>
      <c r="G148" s="3">
        <f>Data!X150</f>
        <v>61476.54</v>
      </c>
      <c r="H148" s="3">
        <f>Data!K150+Data!R150</f>
        <v>29283.940000000002</v>
      </c>
      <c r="I148" s="3">
        <f>Data!I150+Data!L150+Data!M150+Data!N150+Data!O150+Data!S150</f>
        <v>0</v>
      </c>
      <c r="J148" s="3">
        <f>Data!Q150</f>
        <v>0</v>
      </c>
      <c r="K148" s="3">
        <f>Data!J150+Data!P150</f>
        <v>-34614.58</v>
      </c>
      <c r="L148" s="3">
        <f>Data!T150</f>
        <v>0</v>
      </c>
      <c r="M148" s="3">
        <f>ROUND(Data!AB150*$B$2,2)</f>
        <v>0</v>
      </c>
      <c r="N148" s="3">
        <f>Data!U150</f>
        <v>0</v>
      </c>
      <c r="O148" s="3">
        <f t="shared" si="7"/>
        <v>352087.37999999995</v>
      </c>
      <c r="P148" s="3">
        <f t="shared" si="8"/>
        <v>352087.37999999995</v>
      </c>
      <c r="Q148" s="3">
        <f t="shared" si="9"/>
        <v>0</v>
      </c>
    </row>
    <row r="149" spans="1:17" x14ac:dyDescent="0.2">
      <c r="A149" s="17">
        <v>495</v>
      </c>
      <c r="B149" s="17">
        <v>1</v>
      </c>
      <c r="C149" s="3" t="s">
        <v>149</v>
      </c>
      <c r="D149" s="3">
        <f>ROUND(Data!AA151*$B$2,2)</f>
        <v>0</v>
      </c>
      <c r="E149" s="3">
        <f>MAX(0,Data!AD151-Data!Y151)</f>
        <v>0</v>
      </c>
      <c r="F149" s="3">
        <f>Data!Y151</f>
        <v>55032.71</v>
      </c>
      <c r="G149" s="3">
        <f>Data!X151</f>
        <v>7031.72</v>
      </c>
      <c r="H149" s="3">
        <f>Data!K151+Data!R151</f>
        <v>11742.86</v>
      </c>
      <c r="I149" s="3">
        <f>Data!I151+Data!L151+Data!M151+Data!N151+Data!O151+Data!S151</f>
        <v>0</v>
      </c>
      <c r="J149" s="3">
        <f>Data!Q151</f>
        <v>0</v>
      </c>
      <c r="K149" s="3">
        <f>Data!J151+Data!P151</f>
        <v>3299.37</v>
      </c>
      <c r="L149" s="3">
        <f>Data!T151</f>
        <v>0</v>
      </c>
      <c r="M149" s="3">
        <f>ROUND(Data!AB151*$B$2,2)</f>
        <v>0</v>
      </c>
      <c r="N149" s="3">
        <f>Data!U151</f>
        <v>0</v>
      </c>
      <c r="O149" s="3">
        <f t="shared" si="7"/>
        <v>77106.66</v>
      </c>
      <c r="P149" s="3">
        <f t="shared" si="8"/>
        <v>77106.66</v>
      </c>
      <c r="Q149" s="3">
        <f t="shared" si="9"/>
        <v>0</v>
      </c>
    </row>
    <row r="150" spans="1:17" x14ac:dyDescent="0.2">
      <c r="A150" s="17">
        <v>497</v>
      </c>
      <c r="B150" s="17">
        <v>1</v>
      </c>
      <c r="C150" s="3" t="s">
        <v>150</v>
      </c>
      <c r="D150" s="3">
        <f>ROUND(Data!AA152*$B$2,2)</f>
        <v>0</v>
      </c>
      <c r="E150" s="3">
        <f>MAX(0,Data!AD152-Data!Y152)</f>
        <v>0</v>
      </c>
      <c r="F150" s="3">
        <f>Data!Y152</f>
        <v>65196.27</v>
      </c>
      <c r="G150" s="3">
        <f>Data!X152</f>
        <v>3172.07</v>
      </c>
      <c r="H150" s="3">
        <f>Data!K152+Data!R152</f>
        <v>0</v>
      </c>
      <c r="I150" s="3">
        <f>Data!I152+Data!L152+Data!M152+Data!N152+Data!O152+Data!S152</f>
        <v>0</v>
      </c>
      <c r="J150" s="3">
        <f>Data!Q152</f>
        <v>0</v>
      </c>
      <c r="K150" s="3">
        <f>Data!J152+Data!P152</f>
        <v>4160</v>
      </c>
      <c r="L150" s="3">
        <f>Data!T152</f>
        <v>0</v>
      </c>
      <c r="M150" s="3">
        <f>ROUND(Data!AB152*$B$2,2)</f>
        <v>0</v>
      </c>
      <c r="N150" s="3">
        <f>Data!U152</f>
        <v>0</v>
      </c>
      <c r="O150" s="3">
        <f t="shared" si="7"/>
        <v>72528.34</v>
      </c>
      <c r="P150" s="3">
        <f t="shared" si="8"/>
        <v>72528.34</v>
      </c>
      <c r="Q150" s="3">
        <f t="shared" si="9"/>
        <v>0</v>
      </c>
    </row>
    <row r="151" spans="1:17" x14ac:dyDescent="0.2">
      <c r="A151" s="17">
        <v>499</v>
      </c>
      <c r="B151" s="17">
        <v>1</v>
      </c>
      <c r="C151" s="3" t="s">
        <v>1186</v>
      </c>
      <c r="D151" s="3">
        <f>ROUND(Data!AA153*$B$2,2)</f>
        <v>0</v>
      </c>
      <c r="E151" s="3">
        <f>MAX(0,Data!AD153-Data!Y153)</f>
        <v>0</v>
      </c>
      <c r="F151" s="3">
        <f>Data!Y153</f>
        <v>112134.59</v>
      </c>
      <c r="G151" s="3">
        <f>Data!X153</f>
        <v>0</v>
      </c>
      <c r="H151" s="3">
        <f>Data!K153+Data!R153</f>
        <v>24546.19</v>
      </c>
      <c r="I151" s="3">
        <f>Data!I153+Data!L153+Data!M153+Data!N153+Data!O153+Data!S153</f>
        <v>0</v>
      </c>
      <c r="J151" s="3">
        <f>Data!Q153</f>
        <v>0</v>
      </c>
      <c r="K151" s="3">
        <f>Data!J153+Data!P153</f>
        <v>-4433.09</v>
      </c>
      <c r="L151" s="3">
        <f>Data!T153</f>
        <v>0</v>
      </c>
      <c r="M151" s="3">
        <f>ROUND(Data!AB153*$B$2,2)</f>
        <v>0</v>
      </c>
      <c r="N151" s="3">
        <f>Data!U153</f>
        <v>0</v>
      </c>
      <c r="O151" s="3">
        <f t="shared" si="7"/>
        <v>132247.69</v>
      </c>
      <c r="P151" s="3">
        <f t="shared" si="8"/>
        <v>132247.69</v>
      </c>
      <c r="Q151" s="3">
        <f t="shared" si="9"/>
        <v>0</v>
      </c>
    </row>
    <row r="152" spans="1:17" x14ac:dyDescent="0.2">
      <c r="A152" s="17">
        <v>500</v>
      </c>
      <c r="B152" s="17">
        <v>1</v>
      </c>
      <c r="C152" s="3" t="s">
        <v>152</v>
      </c>
      <c r="D152" s="3">
        <f>ROUND(Data!AA154*$B$2,2)</f>
        <v>0</v>
      </c>
      <c r="E152" s="3">
        <f>MAX(0,Data!AD154-Data!Y154)</f>
        <v>0</v>
      </c>
      <c r="F152" s="3">
        <f>Data!Y154</f>
        <v>97648.05</v>
      </c>
      <c r="G152" s="3">
        <f>Data!X154</f>
        <v>5199.95</v>
      </c>
      <c r="H152" s="3">
        <f>Data!K154+Data!R154</f>
        <v>17849.62</v>
      </c>
      <c r="I152" s="3">
        <f>Data!I154+Data!L154+Data!M154+Data!N154+Data!O154+Data!S154</f>
        <v>0</v>
      </c>
      <c r="J152" s="3">
        <f>Data!Q154</f>
        <v>0</v>
      </c>
      <c r="K152" s="3">
        <f>Data!J154+Data!P154</f>
        <v>-160.36999999999989</v>
      </c>
      <c r="L152" s="3">
        <f>Data!T154</f>
        <v>0</v>
      </c>
      <c r="M152" s="3">
        <f>ROUND(Data!AB154*$B$2,2)</f>
        <v>0</v>
      </c>
      <c r="N152" s="3">
        <f>Data!U154</f>
        <v>0</v>
      </c>
      <c r="O152" s="3">
        <f t="shared" si="7"/>
        <v>120537.25</v>
      </c>
      <c r="P152" s="3">
        <f t="shared" si="8"/>
        <v>120537.25</v>
      </c>
      <c r="Q152" s="3">
        <f t="shared" si="9"/>
        <v>0</v>
      </c>
    </row>
    <row r="153" spans="1:17" x14ac:dyDescent="0.2">
      <c r="A153" s="17">
        <v>505</v>
      </c>
      <c r="B153" s="17">
        <v>1</v>
      </c>
      <c r="C153" s="3" t="s">
        <v>153</v>
      </c>
      <c r="D153" s="3">
        <f>ROUND(Data!AA155*$B$2,2)</f>
        <v>0</v>
      </c>
      <c r="E153" s="3">
        <f>MAX(0,Data!AD155-Data!Y155)</f>
        <v>0</v>
      </c>
      <c r="F153" s="3">
        <f>Data!Y155</f>
        <v>77554.06</v>
      </c>
      <c r="G153" s="3">
        <f>Data!X155</f>
        <v>2413.96</v>
      </c>
      <c r="H153" s="3">
        <f>Data!K155+Data!R155</f>
        <v>20487.600000000002</v>
      </c>
      <c r="I153" s="3">
        <f>Data!I155+Data!L155+Data!M155+Data!N155+Data!O155+Data!S155</f>
        <v>0</v>
      </c>
      <c r="J153" s="3">
        <f>Data!Q155</f>
        <v>0</v>
      </c>
      <c r="K153" s="3">
        <f>Data!J155+Data!P155</f>
        <v>5024.78</v>
      </c>
      <c r="L153" s="3">
        <f>Data!T155</f>
        <v>0</v>
      </c>
      <c r="M153" s="3">
        <f>ROUND(Data!AB155*$B$2,2)</f>
        <v>0</v>
      </c>
      <c r="N153" s="3">
        <f>Data!U155</f>
        <v>0</v>
      </c>
      <c r="O153" s="3">
        <f t="shared" si="7"/>
        <v>105480.40000000001</v>
      </c>
      <c r="P153" s="3">
        <f t="shared" si="8"/>
        <v>105480.40000000001</v>
      </c>
      <c r="Q153" s="3">
        <f t="shared" si="9"/>
        <v>0</v>
      </c>
    </row>
    <row r="154" spans="1:17" x14ac:dyDescent="0.2">
      <c r="A154" s="17">
        <v>507</v>
      </c>
      <c r="B154" s="17">
        <v>1</v>
      </c>
      <c r="C154" s="3" t="s">
        <v>154</v>
      </c>
      <c r="D154" s="3">
        <f>ROUND(Data!AA156*$B$2,2)</f>
        <v>0</v>
      </c>
      <c r="E154" s="3">
        <f>MAX(0,Data!AD156-Data!Y156)</f>
        <v>0</v>
      </c>
      <c r="F154" s="3">
        <f>Data!Y156</f>
        <v>124645.82</v>
      </c>
      <c r="G154" s="3">
        <f>Data!X156</f>
        <v>0</v>
      </c>
      <c r="H154" s="3">
        <f>Data!K156+Data!R156</f>
        <v>3912.62</v>
      </c>
      <c r="I154" s="3">
        <f>Data!I156+Data!L156+Data!M156+Data!N156+Data!O156+Data!S156</f>
        <v>0</v>
      </c>
      <c r="J154" s="3">
        <f>Data!Q156</f>
        <v>0</v>
      </c>
      <c r="K154" s="3">
        <f>Data!J156+Data!P156</f>
        <v>8381.9599999999991</v>
      </c>
      <c r="L154" s="3">
        <f>Data!T156</f>
        <v>0</v>
      </c>
      <c r="M154" s="3">
        <f>ROUND(Data!AB156*$B$2,2)</f>
        <v>0</v>
      </c>
      <c r="N154" s="3">
        <f>Data!U156</f>
        <v>0</v>
      </c>
      <c r="O154" s="3">
        <f t="shared" si="7"/>
        <v>136940.4</v>
      </c>
      <c r="P154" s="3">
        <f t="shared" si="8"/>
        <v>136940.4</v>
      </c>
      <c r="Q154" s="3">
        <f t="shared" si="9"/>
        <v>0</v>
      </c>
    </row>
    <row r="155" spans="1:17" x14ac:dyDescent="0.2">
      <c r="A155" s="17">
        <v>508</v>
      </c>
      <c r="B155" s="17">
        <v>1</v>
      </c>
      <c r="C155" s="3" t="s">
        <v>155</v>
      </c>
      <c r="D155" s="3">
        <f>ROUND(Data!AA157*$B$2,2)</f>
        <v>0</v>
      </c>
      <c r="E155" s="3">
        <f>MAX(0,Data!AD157-Data!Y157)</f>
        <v>0</v>
      </c>
      <c r="F155" s="3">
        <f>Data!Y157</f>
        <v>172318.92</v>
      </c>
      <c r="G155" s="3">
        <f>Data!X157</f>
        <v>0</v>
      </c>
      <c r="H155" s="3">
        <f>Data!K157+Data!R157</f>
        <v>-1260.2600000000002</v>
      </c>
      <c r="I155" s="3">
        <f>Data!I157+Data!L157+Data!M157+Data!N157+Data!O157+Data!S157</f>
        <v>0</v>
      </c>
      <c r="J155" s="3">
        <f>Data!Q157</f>
        <v>0</v>
      </c>
      <c r="K155" s="3">
        <f>Data!J157+Data!P157</f>
        <v>18492.059999999998</v>
      </c>
      <c r="L155" s="3">
        <f>Data!T157</f>
        <v>0</v>
      </c>
      <c r="M155" s="3">
        <f>ROUND(Data!AB157*$B$2,2)</f>
        <v>0</v>
      </c>
      <c r="N155" s="3">
        <f>Data!U157</f>
        <v>0</v>
      </c>
      <c r="O155" s="3">
        <f t="shared" si="7"/>
        <v>189550.72</v>
      </c>
      <c r="P155" s="3">
        <f t="shared" si="8"/>
        <v>189550.72</v>
      </c>
      <c r="Q155" s="3">
        <f t="shared" si="9"/>
        <v>0</v>
      </c>
    </row>
    <row r="156" spans="1:17" x14ac:dyDescent="0.2">
      <c r="A156" s="17">
        <v>511</v>
      </c>
      <c r="B156" s="17">
        <v>1</v>
      </c>
      <c r="C156" s="3" t="s">
        <v>156</v>
      </c>
      <c r="D156" s="3">
        <f>ROUND(Data!AA158*$B$2,2)</f>
        <v>0</v>
      </c>
      <c r="E156" s="3">
        <f>MAX(0,Data!AD158-Data!Y158)</f>
        <v>0</v>
      </c>
      <c r="F156" s="3">
        <f>Data!Y158</f>
        <v>21485.18</v>
      </c>
      <c r="G156" s="3">
        <f>Data!X158</f>
        <v>0</v>
      </c>
      <c r="H156" s="3">
        <f>Data!K158+Data!R158</f>
        <v>12349.93</v>
      </c>
      <c r="I156" s="3">
        <f>Data!I158+Data!L158+Data!M158+Data!N158+Data!O158+Data!S158</f>
        <v>0</v>
      </c>
      <c r="J156" s="3">
        <f>Data!Q158</f>
        <v>0</v>
      </c>
      <c r="K156" s="3">
        <f>Data!J158+Data!P158</f>
        <v>4145</v>
      </c>
      <c r="L156" s="3">
        <f>Data!T158</f>
        <v>0</v>
      </c>
      <c r="M156" s="3">
        <f>ROUND(Data!AB158*$B$2,2)</f>
        <v>0</v>
      </c>
      <c r="N156" s="3">
        <f>Data!U158</f>
        <v>0</v>
      </c>
      <c r="O156" s="3">
        <f t="shared" si="7"/>
        <v>37980.11</v>
      </c>
      <c r="P156" s="3">
        <f t="shared" si="8"/>
        <v>37980.11</v>
      </c>
      <c r="Q156" s="3">
        <f t="shared" si="9"/>
        <v>0</v>
      </c>
    </row>
    <row r="157" spans="1:17" x14ac:dyDescent="0.2">
      <c r="A157" s="17">
        <v>514</v>
      </c>
      <c r="B157" s="17">
        <v>1</v>
      </c>
      <c r="C157" s="3" t="s">
        <v>158</v>
      </c>
      <c r="D157" s="3">
        <f>ROUND(Data!AA159*$B$2,2)</f>
        <v>0</v>
      </c>
      <c r="E157" s="3">
        <f>MAX(0,Data!AD159-Data!Y159)</f>
        <v>0</v>
      </c>
      <c r="F157" s="3">
        <f>Data!Y159</f>
        <v>57410.63</v>
      </c>
      <c r="G157" s="3">
        <f>Data!X159</f>
        <v>0</v>
      </c>
      <c r="H157" s="3">
        <f>Data!K159+Data!R159</f>
        <v>11742.86</v>
      </c>
      <c r="I157" s="3">
        <f>Data!I159+Data!L159+Data!M159+Data!N159+Data!O159+Data!S159</f>
        <v>0</v>
      </c>
      <c r="J157" s="3">
        <f>Data!Q159</f>
        <v>0</v>
      </c>
      <c r="K157" s="3">
        <f>Data!J159+Data!P159</f>
        <v>143.96</v>
      </c>
      <c r="L157" s="3">
        <f>Data!T159</f>
        <v>0</v>
      </c>
      <c r="M157" s="3">
        <f>ROUND(Data!AB159*$B$2,2)</f>
        <v>0</v>
      </c>
      <c r="N157" s="3">
        <f>Data!U159</f>
        <v>0</v>
      </c>
      <c r="O157" s="3">
        <f t="shared" si="7"/>
        <v>69297.45</v>
      </c>
      <c r="P157" s="3">
        <f t="shared" si="8"/>
        <v>69297.45</v>
      </c>
      <c r="Q157" s="3">
        <f t="shared" si="9"/>
        <v>0</v>
      </c>
    </row>
    <row r="158" spans="1:17" x14ac:dyDescent="0.2">
      <c r="A158" s="17">
        <v>518</v>
      </c>
      <c r="B158" s="17">
        <v>1</v>
      </c>
      <c r="C158" s="3" t="s">
        <v>160</v>
      </c>
      <c r="D158" s="3">
        <f>ROUND(Data!AA160*$B$2,2)</f>
        <v>0</v>
      </c>
      <c r="E158" s="3">
        <f>MAX(0,Data!AD160-Data!Y160)</f>
        <v>0</v>
      </c>
      <c r="F158" s="3">
        <f>Data!Y160</f>
        <v>75872.61</v>
      </c>
      <c r="G158" s="3">
        <f>Data!X160</f>
        <v>0</v>
      </c>
      <c r="H158" s="3">
        <f>Data!K160+Data!R160</f>
        <v>34358.36</v>
      </c>
      <c r="I158" s="3">
        <f>Data!I160+Data!L160+Data!M160+Data!N160+Data!O160+Data!S160</f>
        <v>0</v>
      </c>
      <c r="J158" s="3">
        <f>Data!Q160</f>
        <v>0</v>
      </c>
      <c r="K158" s="3">
        <f>Data!J160+Data!P160</f>
        <v>-16448.63</v>
      </c>
      <c r="L158" s="3">
        <f>Data!T160</f>
        <v>0</v>
      </c>
      <c r="M158" s="3">
        <f>ROUND(Data!AB160*$B$2,2)</f>
        <v>0</v>
      </c>
      <c r="N158" s="3">
        <f>Data!U160</f>
        <v>0</v>
      </c>
      <c r="O158" s="3">
        <f t="shared" si="7"/>
        <v>93782.34</v>
      </c>
      <c r="P158" s="3">
        <f t="shared" si="8"/>
        <v>93782.34</v>
      </c>
      <c r="Q158" s="3">
        <f t="shared" si="9"/>
        <v>0</v>
      </c>
    </row>
    <row r="159" spans="1:17" x14ac:dyDescent="0.2">
      <c r="A159" s="17">
        <v>531</v>
      </c>
      <c r="B159" s="17">
        <v>1</v>
      </c>
      <c r="C159" s="3" t="s">
        <v>161</v>
      </c>
      <c r="D159" s="3">
        <f>ROUND(Data!AA161*$B$2,2)</f>
        <v>0</v>
      </c>
      <c r="E159" s="3">
        <f>MAX(0,Data!AD161-Data!Y161)</f>
        <v>0</v>
      </c>
      <c r="F159" s="3">
        <f>Data!Y161</f>
        <v>45629.11</v>
      </c>
      <c r="G159" s="3">
        <f>Data!X161</f>
        <v>0</v>
      </c>
      <c r="H159" s="3">
        <f>Data!K161+Data!R161</f>
        <v>13909.06</v>
      </c>
      <c r="I159" s="3">
        <f>Data!I161+Data!L161+Data!M161+Data!N161+Data!O161+Data!S161</f>
        <v>0</v>
      </c>
      <c r="J159" s="3">
        <f>Data!Q161</f>
        <v>0</v>
      </c>
      <c r="K159" s="3">
        <f>Data!J161+Data!P161</f>
        <v>23190.85</v>
      </c>
      <c r="L159" s="3">
        <f>Data!T161</f>
        <v>0</v>
      </c>
      <c r="M159" s="3">
        <f>ROUND(Data!AB161*$B$2,2)</f>
        <v>0</v>
      </c>
      <c r="N159" s="3">
        <f>Data!U161</f>
        <v>0</v>
      </c>
      <c r="O159" s="3">
        <f t="shared" si="7"/>
        <v>82729.01999999999</v>
      </c>
      <c r="P159" s="3">
        <f t="shared" si="8"/>
        <v>82729.01999999999</v>
      </c>
      <c r="Q159" s="3">
        <f t="shared" si="9"/>
        <v>0</v>
      </c>
    </row>
    <row r="160" spans="1:17" x14ac:dyDescent="0.2">
      <c r="A160" s="17">
        <v>533</v>
      </c>
      <c r="B160" s="17">
        <v>1</v>
      </c>
      <c r="C160" s="3" t="s">
        <v>162</v>
      </c>
      <c r="D160" s="3">
        <f>ROUND(Data!AA162*$B$2,2)</f>
        <v>0</v>
      </c>
      <c r="E160" s="3">
        <f>MAX(0,Data!AD162-Data!Y162)</f>
        <v>0</v>
      </c>
      <c r="F160" s="3">
        <f>Data!Y162</f>
        <v>0</v>
      </c>
      <c r="G160" s="3">
        <f>Data!X162</f>
        <v>0</v>
      </c>
      <c r="H160" s="3">
        <f>Data!K162+Data!R162</f>
        <v>9328.66</v>
      </c>
      <c r="I160" s="3">
        <f>Data!I162+Data!L162+Data!M162+Data!N162+Data!O162+Data!S162</f>
        <v>0</v>
      </c>
      <c r="J160" s="3">
        <f>Data!Q162</f>
        <v>0</v>
      </c>
      <c r="K160" s="3">
        <f>Data!J162+Data!P162</f>
        <v>-4703.68</v>
      </c>
      <c r="L160" s="3">
        <f>Data!T162</f>
        <v>0</v>
      </c>
      <c r="M160" s="3">
        <f>ROUND(Data!AB162*$B$2,2)</f>
        <v>0</v>
      </c>
      <c r="N160" s="3">
        <f>Data!U162</f>
        <v>0</v>
      </c>
      <c r="O160" s="3">
        <f t="shared" si="7"/>
        <v>4624.9799999999996</v>
      </c>
      <c r="P160" s="3">
        <f t="shared" si="8"/>
        <v>4624.9799999999996</v>
      </c>
      <c r="Q160" s="3">
        <f t="shared" si="9"/>
        <v>0</v>
      </c>
    </row>
    <row r="161" spans="1:17" x14ac:dyDescent="0.2">
      <c r="A161" s="17">
        <v>534</v>
      </c>
      <c r="B161" s="17">
        <v>1</v>
      </c>
      <c r="C161" s="3" t="s">
        <v>163</v>
      </c>
      <c r="D161" s="3">
        <f>ROUND(Data!AA163*$B$2,2)</f>
        <v>0</v>
      </c>
      <c r="E161" s="3">
        <f>MAX(0,Data!AD163-Data!Y163)</f>
        <v>0</v>
      </c>
      <c r="F161" s="3">
        <f>Data!Y163</f>
        <v>67031.990000000005</v>
      </c>
      <c r="G161" s="3">
        <f>Data!X163</f>
        <v>13095.74</v>
      </c>
      <c r="H161" s="3">
        <f>Data!K163+Data!R163</f>
        <v>16777.740000000002</v>
      </c>
      <c r="I161" s="3">
        <f>Data!I163+Data!L163+Data!M163+Data!N163+Data!O163+Data!S163</f>
        <v>0</v>
      </c>
      <c r="J161" s="3">
        <f>Data!Q163</f>
        <v>0</v>
      </c>
      <c r="K161" s="3">
        <f>Data!J163+Data!P163</f>
        <v>2657.7799999999997</v>
      </c>
      <c r="L161" s="3">
        <f>Data!T163</f>
        <v>0</v>
      </c>
      <c r="M161" s="3">
        <f>ROUND(Data!AB163*$B$2,2)</f>
        <v>0</v>
      </c>
      <c r="N161" s="3">
        <f>Data!U163</f>
        <v>0</v>
      </c>
      <c r="O161" s="3">
        <f t="shared" si="7"/>
        <v>99563.250000000015</v>
      </c>
      <c r="P161" s="3">
        <f t="shared" si="8"/>
        <v>99563.250000000015</v>
      </c>
      <c r="Q161" s="3">
        <f t="shared" si="9"/>
        <v>0</v>
      </c>
    </row>
    <row r="162" spans="1:17" x14ac:dyDescent="0.2">
      <c r="A162" s="17">
        <v>535</v>
      </c>
      <c r="B162" s="17">
        <v>1</v>
      </c>
      <c r="C162" s="3" t="s">
        <v>164</v>
      </c>
      <c r="D162" s="3">
        <f>ROUND(Data!AA164*$B$2,2)</f>
        <v>0</v>
      </c>
      <c r="E162" s="3">
        <f>MAX(0,Data!AD164-Data!Y164)</f>
        <v>0</v>
      </c>
      <c r="F162" s="3">
        <f>Data!Y164</f>
        <v>1455888.91</v>
      </c>
      <c r="G162" s="3">
        <f>Data!X164</f>
        <v>317690.53999999998</v>
      </c>
      <c r="H162" s="3">
        <f>Data!K164+Data!R164</f>
        <v>290065.94</v>
      </c>
      <c r="I162" s="3">
        <f>Data!I164+Data!L164+Data!M164+Data!N164+Data!O164+Data!S164</f>
        <v>0</v>
      </c>
      <c r="J162" s="3">
        <f>Data!Q164</f>
        <v>0</v>
      </c>
      <c r="K162" s="3">
        <f>Data!J164+Data!P164</f>
        <v>132482.69</v>
      </c>
      <c r="L162" s="3">
        <f>Data!T164</f>
        <v>0</v>
      </c>
      <c r="M162" s="3">
        <f>ROUND(Data!AB164*$B$2,2)</f>
        <v>0</v>
      </c>
      <c r="N162" s="3">
        <f>Data!U164</f>
        <v>0</v>
      </c>
      <c r="O162" s="3">
        <f t="shared" si="7"/>
        <v>2196128.08</v>
      </c>
      <c r="P162" s="3">
        <f t="shared" si="8"/>
        <v>2196128.08</v>
      </c>
      <c r="Q162" s="3">
        <f t="shared" si="9"/>
        <v>0</v>
      </c>
    </row>
    <row r="163" spans="1:17" x14ac:dyDescent="0.2">
      <c r="A163" s="17">
        <v>542</v>
      </c>
      <c r="B163" s="17">
        <v>1</v>
      </c>
      <c r="C163" s="3" t="s">
        <v>165</v>
      </c>
      <c r="D163" s="3">
        <f>ROUND(Data!AA165*$B$2,2)</f>
        <v>0</v>
      </c>
      <c r="E163" s="3">
        <f>MAX(0,Data!AD165-Data!Y165)</f>
        <v>0</v>
      </c>
      <c r="F163" s="3">
        <f>Data!Y165</f>
        <v>0</v>
      </c>
      <c r="G163" s="3">
        <f>Data!X165</f>
        <v>0</v>
      </c>
      <c r="H163" s="3">
        <f>Data!K165+Data!R165</f>
        <v>18148.75</v>
      </c>
      <c r="I163" s="3">
        <f>Data!I165+Data!L165+Data!M165+Data!N165+Data!O165+Data!S165</f>
        <v>0</v>
      </c>
      <c r="J163" s="3">
        <f>Data!Q165</f>
        <v>0</v>
      </c>
      <c r="K163" s="3">
        <f>Data!J165+Data!P165</f>
        <v>761.46</v>
      </c>
      <c r="L163" s="3">
        <f>Data!T165</f>
        <v>0</v>
      </c>
      <c r="M163" s="3">
        <f>ROUND(Data!AB165*$B$2,2)</f>
        <v>0</v>
      </c>
      <c r="N163" s="3">
        <f>Data!U165</f>
        <v>0</v>
      </c>
      <c r="O163" s="3">
        <f t="shared" si="7"/>
        <v>18910.21</v>
      </c>
      <c r="P163" s="3">
        <f t="shared" si="8"/>
        <v>18910.21</v>
      </c>
      <c r="Q163" s="3">
        <f t="shared" si="9"/>
        <v>0</v>
      </c>
    </row>
    <row r="164" spans="1:17" x14ac:dyDescent="0.2">
      <c r="A164" s="17">
        <v>544</v>
      </c>
      <c r="B164" s="17">
        <v>1</v>
      </c>
      <c r="C164" s="3" t="s">
        <v>166</v>
      </c>
      <c r="D164" s="3">
        <f>ROUND(Data!AA166*$B$2,2)</f>
        <v>0</v>
      </c>
      <c r="E164" s="3">
        <f>MAX(0,Data!AD166-Data!Y166)</f>
        <v>0</v>
      </c>
      <c r="F164" s="3">
        <f>Data!Y166</f>
        <v>194521.26</v>
      </c>
      <c r="G164" s="3">
        <f>Data!X166</f>
        <v>0</v>
      </c>
      <c r="H164" s="3">
        <f>Data!K166+Data!R166</f>
        <v>53962.11</v>
      </c>
      <c r="I164" s="3">
        <f>Data!I166+Data!L166+Data!M166+Data!N166+Data!O166+Data!S166</f>
        <v>0</v>
      </c>
      <c r="J164" s="3">
        <f>Data!Q166</f>
        <v>0</v>
      </c>
      <c r="K164" s="3">
        <f>Data!J166+Data!P166</f>
        <v>19615.38</v>
      </c>
      <c r="L164" s="3">
        <f>Data!T166</f>
        <v>0</v>
      </c>
      <c r="M164" s="3">
        <f>ROUND(Data!AB166*$B$2,2)</f>
        <v>0</v>
      </c>
      <c r="N164" s="3">
        <f>Data!U166</f>
        <v>0</v>
      </c>
      <c r="O164" s="3">
        <f t="shared" si="7"/>
        <v>268098.75</v>
      </c>
      <c r="P164" s="3">
        <f t="shared" si="8"/>
        <v>268098.75</v>
      </c>
      <c r="Q164" s="3">
        <f t="shared" si="9"/>
        <v>0</v>
      </c>
    </row>
    <row r="165" spans="1:17" x14ac:dyDescent="0.2">
      <c r="A165" s="17">
        <v>545</v>
      </c>
      <c r="B165" s="17">
        <v>1</v>
      </c>
      <c r="C165" s="3" t="s">
        <v>167</v>
      </c>
      <c r="D165" s="3">
        <f>ROUND(Data!AA167*$B$2,2)</f>
        <v>0</v>
      </c>
      <c r="E165" s="3">
        <f>MAX(0,Data!AD167-Data!Y167)</f>
        <v>0</v>
      </c>
      <c r="F165" s="3">
        <f>Data!Y167</f>
        <v>37137.35</v>
      </c>
      <c r="G165" s="3">
        <f>Data!X167</f>
        <v>0</v>
      </c>
      <c r="H165" s="3">
        <f>Data!K167+Data!R167</f>
        <v>8701.89</v>
      </c>
      <c r="I165" s="3">
        <f>Data!I167+Data!L167+Data!M167+Data!N167+Data!O167+Data!S167</f>
        <v>0</v>
      </c>
      <c r="J165" s="3">
        <f>Data!Q167</f>
        <v>0</v>
      </c>
      <c r="K165" s="3">
        <f>Data!J167+Data!P167</f>
        <v>561.84000000000015</v>
      </c>
      <c r="L165" s="3">
        <f>Data!T167</f>
        <v>0</v>
      </c>
      <c r="M165" s="3">
        <f>ROUND(Data!AB167*$B$2,2)</f>
        <v>0</v>
      </c>
      <c r="N165" s="3">
        <f>Data!U167</f>
        <v>0</v>
      </c>
      <c r="O165" s="3">
        <f t="shared" si="7"/>
        <v>46401.08</v>
      </c>
      <c r="P165" s="3">
        <f t="shared" si="8"/>
        <v>46401.08</v>
      </c>
      <c r="Q165" s="3">
        <f t="shared" si="9"/>
        <v>0</v>
      </c>
    </row>
    <row r="166" spans="1:17" x14ac:dyDescent="0.2">
      <c r="A166" s="17">
        <v>547</v>
      </c>
      <c r="B166" s="17">
        <v>1</v>
      </c>
      <c r="C166" s="3" t="s">
        <v>168</v>
      </c>
      <c r="D166" s="3">
        <f>ROUND(Data!AA168*$B$2,2)</f>
        <v>0</v>
      </c>
      <c r="E166" s="3">
        <f>MAX(0,Data!AD168-Data!Y168)</f>
        <v>0</v>
      </c>
      <c r="F166" s="3">
        <f>Data!Y168</f>
        <v>24144.3</v>
      </c>
      <c r="G166" s="3">
        <f>Data!X168</f>
        <v>0</v>
      </c>
      <c r="H166" s="3">
        <f>Data!K168+Data!R168</f>
        <v>19250.96</v>
      </c>
      <c r="I166" s="3">
        <f>Data!I168+Data!L168+Data!M168+Data!N168+Data!O168+Data!S168</f>
        <v>0</v>
      </c>
      <c r="J166" s="3">
        <f>Data!Q168</f>
        <v>0</v>
      </c>
      <c r="K166" s="3">
        <f>Data!J168+Data!P168</f>
        <v>9000</v>
      </c>
      <c r="L166" s="3">
        <f>Data!T168</f>
        <v>0</v>
      </c>
      <c r="M166" s="3">
        <f>ROUND(Data!AB168*$B$2,2)</f>
        <v>0</v>
      </c>
      <c r="N166" s="3">
        <f>Data!U168</f>
        <v>0</v>
      </c>
      <c r="O166" s="3">
        <f t="shared" si="7"/>
        <v>52395.259999999995</v>
      </c>
      <c r="P166" s="3">
        <f t="shared" si="8"/>
        <v>52395.259999999995</v>
      </c>
      <c r="Q166" s="3">
        <f t="shared" si="9"/>
        <v>0</v>
      </c>
    </row>
    <row r="167" spans="1:17" x14ac:dyDescent="0.2">
      <c r="A167" s="17">
        <v>548</v>
      </c>
      <c r="B167" s="17">
        <v>1</v>
      </c>
      <c r="C167" s="3" t="s">
        <v>169</v>
      </c>
      <c r="D167" s="3">
        <f>ROUND(Data!AA169*$B$2,2)</f>
        <v>0</v>
      </c>
      <c r="E167" s="3">
        <f>MAX(0,Data!AD169-Data!Y169)</f>
        <v>0</v>
      </c>
      <c r="F167" s="3">
        <f>Data!Y169</f>
        <v>0</v>
      </c>
      <c r="G167" s="3">
        <f>Data!X169</f>
        <v>0</v>
      </c>
      <c r="H167" s="3">
        <f>Data!K169+Data!R169</f>
        <v>26935.280000000002</v>
      </c>
      <c r="I167" s="3">
        <f>Data!I169+Data!L169+Data!M169+Data!N169+Data!O169+Data!S169</f>
        <v>0</v>
      </c>
      <c r="J167" s="3">
        <f>Data!Q169</f>
        <v>0</v>
      </c>
      <c r="K167" s="3">
        <f>Data!J169+Data!P169</f>
        <v>9743</v>
      </c>
      <c r="L167" s="3">
        <f>Data!T169</f>
        <v>0</v>
      </c>
      <c r="M167" s="3">
        <f>ROUND(Data!AB169*$B$2,2)</f>
        <v>0</v>
      </c>
      <c r="N167" s="3">
        <f>Data!U169</f>
        <v>0</v>
      </c>
      <c r="O167" s="3">
        <f t="shared" si="7"/>
        <v>36678.28</v>
      </c>
      <c r="P167" s="3">
        <f t="shared" si="8"/>
        <v>36678.28</v>
      </c>
      <c r="Q167" s="3">
        <f t="shared" si="9"/>
        <v>0</v>
      </c>
    </row>
    <row r="168" spans="1:17" x14ac:dyDescent="0.2">
      <c r="A168" s="17">
        <v>549</v>
      </c>
      <c r="B168" s="17">
        <v>1</v>
      </c>
      <c r="C168" s="3" t="s">
        <v>1187</v>
      </c>
      <c r="D168" s="3">
        <f>ROUND(Data!AA170*$B$2,2)</f>
        <v>0</v>
      </c>
      <c r="E168" s="3">
        <f>MAX(0,Data!AD170-Data!Y170)</f>
        <v>0</v>
      </c>
      <c r="F168" s="3">
        <f>Data!Y170</f>
        <v>134947.70000000001</v>
      </c>
      <c r="G168" s="3">
        <f>Data!X170</f>
        <v>0</v>
      </c>
      <c r="H168" s="3">
        <f>Data!K170+Data!R170</f>
        <v>40874.600000000006</v>
      </c>
      <c r="I168" s="3">
        <f>Data!I170+Data!L170+Data!M170+Data!N170+Data!O170+Data!S170</f>
        <v>0</v>
      </c>
      <c r="J168" s="3">
        <f>Data!Q170</f>
        <v>0</v>
      </c>
      <c r="K168" s="3">
        <f>Data!J170+Data!P170</f>
        <v>-39895.070000000007</v>
      </c>
      <c r="L168" s="3">
        <f>Data!T170</f>
        <v>0</v>
      </c>
      <c r="M168" s="3">
        <f>ROUND(Data!AB170*$B$2,2)</f>
        <v>0</v>
      </c>
      <c r="N168" s="3">
        <f>Data!U170</f>
        <v>0</v>
      </c>
      <c r="O168" s="3">
        <f t="shared" si="7"/>
        <v>135927.23000000001</v>
      </c>
      <c r="P168" s="3">
        <f t="shared" si="8"/>
        <v>135927.23000000001</v>
      </c>
      <c r="Q168" s="3">
        <f t="shared" si="9"/>
        <v>0</v>
      </c>
    </row>
    <row r="169" spans="1:17" x14ac:dyDescent="0.2">
      <c r="A169" s="17">
        <v>550</v>
      </c>
      <c r="B169" s="17">
        <v>1</v>
      </c>
      <c r="C169" s="3" t="s">
        <v>171</v>
      </c>
      <c r="D169" s="3">
        <f>ROUND(Data!AA171*$B$2,2)</f>
        <v>0</v>
      </c>
      <c r="E169" s="3">
        <f>MAX(0,Data!AD171-Data!Y171)</f>
        <v>0</v>
      </c>
      <c r="F169" s="3">
        <f>Data!Y171</f>
        <v>11066.56</v>
      </c>
      <c r="G169" s="3">
        <f>Data!X171</f>
        <v>0</v>
      </c>
      <c r="H169" s="3">
        <f>Data!K171+Data!R171</f>
        <v>7130.9500000000007</v>
      </c>
      <c r="I169" s="3">
        <f>Data!I171+Data!L171+Data!M171+Data!N171+Data!O171+Data!S171</f>
        <v>0</v>
      </c>
      <c r="J169" s="3">
        <f>Data!Q171</f>
        <v>0</v>
      </c>
      <c r="K169" s="3">
        <f>Data!J171+Data!P171</f>
        <v>5182</v>
      </c>
      <c r="L169" s="3">
        <f>Data!T171</f>
        <v>0</v>
      </c>
      <c r="M169" s="3">
        <f>ROUND(Data!AB171*$B$2,2)</f>
        <v>0</v>
      </c>
      <c r="N169" s="3">
        <f>Data!U171</f>
        <v>0</v>
      </c>
      <c r="O169" s="3">
        <f t="shared" si="7"/>
        <v>23379.510000000002</v>
      </c>
      <c r="P169" s="3">
        <f t="shared" si="8"/>
        <v>23379.510000000002</v>
      </c>
      <c r="Q169" s="3">
        <f t="shared" si="9"/>
        <v>0</v>
      </c>
    </row>
    <row r="170" spans="1:17" x14ac:dyDescent="0.2">
      <c r="A170" s="17">
        <v>553</v>
      </c>
      <c r="B170" s="17">
        <v>1</v>
      </c>
      <c r="C170" s="3" t="s">
        <v>172</v>
      </c>
      <c r="D170" s="3">
        <f>ROUND(Data!AA172*$B$2,2)</f>
        <v>0</v>
      </c>
      <c r="E170" s="3">
        <f>MAX(0,Data!AD172-Data!Y172)</f>
        <v>0</v>
      </c>
      <c r="F170" s="3">
        <f>Data!Y172</f>
        <v>19531.990000000002</v>
      </c>
      <c r="G170" s="3">
        <f>Data!X172</f>
        <v>0</v>
      </c>
      <c r="H170" s="3">
        <f>Data!K172+Data!R172</f>
        <v>11118.6</v>
      </c>
      <c r="I170" s="3">
        <f>Data!I172+Data!L172+Data!M172+Data!N172+Data!O172+Data!S172</f>
        <v>0</v>
      </c>
      <c r="J170" s="3">
        <f>Data!Q172</f>
        <v>0</v>
      </c>
      <c r="K170" s="3">
        <f>Data!J172+Data!P172</f>
        <v>-882.2800000000002</v>
      </c>
      <c r="L170" s="3">
        <f>Data!T172</f>
        <v>0</v>
      </c>
      <c r="M170" s="3">
        <f>ROUND(Data!AB172*$B$2,2)</f>
        <v>0</v>
      </c>
      <c r="N170" s="3">
        <f>Data!U172</f>
        <v>0</v>
      </c>
      <c r="O170" s="3">
        <f t="shared" si="7"/>
        <v>29768.310000000005</v>
      </c>
      <c r="P170" s="3">
        <f t="shared" si="8"/>
        <v>29768.310000000005</v>
      </c>
      <c r="Q170" s="3">
        <f t="shared" si="9"/>
        <v>0</v>
      </c>
    </row>
    <row r="171" spans="1:17" x14ac:dyDescent="0.2">
      <c r="A171" s="17">
        <v>561</v>
      </c>
      <c r="B171" s="17">
        <v>1</v>
      </c>
      <c r="C171" s="3" t="s">
        <v>173</v>
      </c>
      <c r="D171" s="3">
        <f>ROUND(Data!AA173*$B$2,2)</f>
        <v>0</v>
      </c>
      <c r="E171" s="3">
        <f>MAX(0,Data!AD173-Data!Y173)</f>
        <v>0</v>
      </c>
      <c r="F171" s="3">
        <f>Data!Y173</f>
        <v>11548.19</v>
      </c>
      <c r="G171" s="3">
        <f>Data!X173</f>
        <v>0</v>
      </c>
      <c r="H171" s="3">
        <f>Data!K173+Data!R173</f>
        <v>2169.08</v>
      </c>
      <c r="I171" s="3">
        <f>Data!I173+Data!L173+Data!M173+Data!N173+Data!O173+Data!S173</f>
        <v>0</v>
      </c>
      <c r="J171" s="3">
        <f>Data!Q173</f>
        <v>0</v>
      </c>
      <c r="K171" s="3">
        <f>Data!J173+Data!P173</f>
        <v>3176.78</v>
      </c>
      <c r="L171" s="3">
        <f>Data!T173</f>
        <v>0</v>
      </c>
      <c r="M171" s="3">
        <f>ROUND(Data!AB173*$B$2,2)</f>
        <v>0</v>
      </c>
      <c r="N171" s="3">
        <f>Data!U173</f>
        <v>0</v>
      </c>
      <c r="O171" s="3">
        <f t="shared" si="7"/>
        <v>16894.05</v>
      </c>
      <c r="P171" s="3">
        <f t="shared" si="8"/>
        <v>16894.05</v>
      </c>
      <c r="Q171" s="3">
        <f t="shared" si="9"/>
        <v>0</v>
      </c>
    </row>
    <row r="172" spans="1:17" x14ac:dyDescent="0.2">
      <c r="A172" s="17">
        <v>564</v>
      </c>
      <c r="B172" s="17">
        <v>1</v>
      </c>
      <c r="C172" s="3" t="s">
        <v>1188</v>
      </c>
      <c r="D172" s="3">
        <f>ROUND(Data!AA174*$B$2,2)</f>
        <v>0</v>
      </c>
      <c r="E172" s="3">
        <f>MAX(0,Data!AD174-Data!Y174)</f>
        <v>0</v>
      </c>
      <c r="F172" s="3">
        <f>Data!Y174</f>
        <v>76655.520000000004</v>
      </c>
      <c r="G172" s="3">
        <f>Data!X174</f>
        <v>0</v>
      </c>
      <c r="H172" s="3">
        <f>Data!K174+Data!R174</f>
        <v>26154.300000000003</v>
      </c>
      <c r="I172" s="3">
        <f>Data!I174+Data!L174+Data!M174+Data!N174+Data!O174+Data!S174</f>
        <v>0</v>
      </c>
      <c r="J172" s="3">
        <f>Data!Q174</f>
        <v>0</v>
      </c>
      <c r="K172" s="3">
        <f>Data!J174+Data!P174</f>
        <v>-5002.8999999999996</v>
      </c>
      <c r="L172" s="3">
        <f>Data!T174</f>
        <v>0</v>
      </c>
      <c r="M172" s="3">
        <f>ROUND(Data!AB174*$B$2,2)</f>
        <v>0</v>
      </c>
      <c r="N172" s="3">
        <f>Data!U174</f>
        <v>0</v>
      </c>
      <c r="O172" s="3">
        <f t="shared" si="7"/>
        <v>97806.920000000013</v>
      </c>
      <c r="P172" s="3">
        <f t="shared" si="8"/>
        <v>97806.920000000013</v>
      </c>
      <c r="Q172" s="3">
        <f t="shared" si="9"/>
        <v>0</v>
      </c>
    </row>
    <row r="173" spans="1:17" x14ac:dyDescent="0.2">
      <c r="A173" s="17">
        <v>577</v>
      </c>
      <c r="B173" s="17">
        <v>1</v>
      </c>
      <c r="C173" s="3" t="s">
        <v>175</v>
      </c>
      <c r="D173" s="3">
        <f>ROUND(Data!AA175*$B$2,2)</f>
        <v>0</v>
      </c>
      <c r="E173" s="3">
        <f>MAX(0,Data!AD175-Data!Y175)</f>
        <v>0</v>
      </c>
      <c r="F173" s="3">
        <f>Data!Y175</f>
        <v>20976.46</v>
      </c>
      <c r="G173" s="3">
        <f>Data!X175</f>
        <v>0</v>
      </c>
      <c r="H173" s="3">
        <f>Data!K175+Data!R175</f>
        <v>10954.8</v>
      </c>
      <c r="I173" s="3">
        <f>Data!I175+Data!L175+Data!M175+Data!N175+Data!O175+Data!S175</f>
        <v>0</v>
      </c>
      <c r="J173" s="3">
        <f>Data!Q175</f>
        <v>0</v>
      </c>
      <c r="K173" s="3">
        <f>Data!J175+Data!P175</f>
        <v>20739.82</v>
      </c>
      <c r="L173" s="3">
        <f>Data!T175</f>
        <v>0</v>
      </c>
      <c r="M173" s="3">
        <f>ROUND(Data!AB175*$B$2,2)</f>
        <v>0</v>
      </c>
      <c r="N173" s="3">
        <f>Data!U175</f>
        <v>0</v>
      </c>
      <c r="O173" s="3">
        <f t="shared" si="7"/>
        <v>52671.08</v>
      </c>
      <c r="P173" s="3">
        <f t="shared" si="8"/>
        <v>52671.08</v>
      </c>
      <c r="Q173" s="3">
        <f t="shared" si="9"/>
        <v>0</v>
      </c>
    </row>
    <row r="174" spans="1:17" x14ac:dyDescent="0.2">
      <c r="A174" s="17">
        <v>578</v>
      </c>
      <c r="B174" s="17">
        <v>1</v>
      </c>
      <c r="C174" s="3" t="s">
        <v>176</v>
      </c>
      <c r="D174" s="3">
        <f>ROUND(Data!AA176*$B$2,2)</f>
        <v>0</v>
      </c>
      <c r="E174" s="3">
        <f>MAX(0,Data!AD176-Data!Y176)</f>
        <v>0</v>
      </c>
      <c r="F174" s="3">
        <f>Data!Y176</f>
        <v>95310.14</v>
      </c>
      <c r="G174" s="3">
        <f>Data!X176</f>
        <v>0</v>
      </c>
      <c r="H174" s="3">
        <f>Data!K176+Data!R176</f>
        <v>19755.340000000004</v>
      </c>
      <c r="I174" s="3">
        <f>Data!I176+Data!L176+Data!M176+Data!N176+Data!O176+Data!S176</f>
        <v>0</v>
      </c>
      <c r="J174" s="3">
        <f>Data!Q176</f>
        <v>0</v>
      </c>
      <c r="K174" s="3">
        <f>Data!J176+Data!P176</f>
        <v>19508.060000000001</v>
      </c>
      <c r="L174" s="3">
        <f>Data!T176</f>
        <v>0</v>
      </c>
      <c r="M174" s="3">
        <f>ROUND(Data!AB176*$B$2,2)</f>
        <v>0</v>
      </c>
      <c r="N174" s="3">
        <f>Data!U176</f>
        <v>0</v>
      </c>
      <c r="O174" s="3">
        <f t="shared" si="7"/>
        <v>134573.54</v>
      </c>
      <c r="P174" s="3">
        <f t="shared" si="8"/>
        <v>134573.54</v>
      </c>
      <c r="Q174" s="3">
        <f t="shared" si="9"/>
        <v>0</v>
      </c>
    </row>
    <row r="175" spans="1:17" x14ac:dyDescent="0.2">
      <c r="A175" s="17">
        <v>581</v>
      </c>
      <c r="B175" s="17">
        <v>1</v>
      </c>
      <c r="C175" s="3" t="s">
        <v>177</v>
      </c>
      <c r="D175" s="3">
        <f>ROUND(Data!AA177*$B$2,2)</f>
        <v>0</v>
      </c>
      <c r="E175" s="3">
        <f>MAX(0,Data!AD177-Data!Y177)</f>
        <v>0</v>
      </c>
      <c r="F175" s="3">
        <f>Data!Y177</f>
        <v>52073.1</v>
      </c>
      <c r="G175" s="3">
        <f>Data!X177</f>
        <v>2335.4899999999998</v>
      </c>
      <c r="H175" s="3">
        <f>Data!K177+Data!R177</f>
        <v>11742.86</v>
      </c>
      <c r="I175" s="3">
        <f>Data!I177+Data!L177+Data!M177+Data!N177+Data!O177+Data!S177</f>
        <v>0</v>
      </c>
      <c r="J175" s="3">
        <f>Data!Q177</f>
        <v>0</v>
      </c>
      <c r="K175" s="3">
        <f>Data!J177+Data!P177</f>
        <v>0</v>
      </c>
      <c r="L175" s="3">
        <f>Data!T177</f>
        <v>0</v>
      </c>
      <c r="M175" s="3">
        <f>ROUND(Data!AB177*$B$2,2)</f>
        <v>0</v>
      </c>
      <c r="N175" s="3">
        <f>Data!U177</f>
        <v>0</v>
      </c>
      <c r="O175" s="3">
        <f t="shared" si="7"/>
        <v>66151.45</v>
      </c>
      <c r="P175" s="3">
        <f t="shared" si="8"/>
        <v>66151.45</v>
      </c>
      <c r="Q175" s="3">
        <f t="shared" si="9"/>
        <v>0</v>
      </c>
    </row>
    <row r="176" spans="1:17" x14ac:dyDescent="0.2">
      <c r="A176" s="17">
        <v>592</v>
      </c>
      <c r="B176" s="17">
        <v>1</v>
      </c>
      <c r="C176" s="3" t="s">
        <v>1189</v>
      </c>
      <c r="D176" s="3">
        <f>ROUND(Data!AA178*$B$2,2)</f>
        <v>0</v>
      </c>
      <c r="E176" s="3">
        <f>MAX(0,Data!AD178-Data!Y178)</f>
        <v>0</v>
      </c>
      <c r="F176" s="3">
        <f>Data!Y178</f>
        <v>59852.66</v>
      </c>
      <c r="G176" s="3">
        <f>Data!X178</f>
        <v>0</v>
      </c>
      <c r="H176" s="3">
        <f>Data!K178+Data!R178</f>
        <v>11742.86</v>
      </c>
      <c r="I176" s="3">
        <f>Data!I178+Data!L178+Data!M178+Data!N178+Data!O178+Data!S178</f>
        <v>0</v>
      </c>
      <c r="J176" s="3">
        <f>Data!Q178</f>
        <v>0</v>
      </c>
      <c r="K176" s="3">
        <f>Data!J178+Data!P178</f>
        <v>8303.44</v>
      </c>
      <c r="L176" s="3">
        <f>Data!T178</f>
        <v>0</v>
      </c>
      <c r="M176" s="3">
        <f>ROUND(Data!AB178*$B$2,2)</f>
        <v>0</v>
      </c>
      <c r="N176" s="3">
        <f>Data!U178</f>
        <v>0</v>
      </c>
      <c r="O176" s="3">
        <f t="shared" si="7"/>
        <v>79898.960000000006</v>
      </c>
      <c r="P176" s="3">
        <f t="shared" si="8"/>
        <v>79898.960000000006</v>
      </c>
      <c r="Q176" s="3">
        <f t="shared" si="9"/>
        <v>0</v>
      </c>
    </row>
    <row r="177" spans="1:17" x14ac:dyDescent="0.2">
      <c r="A177" s="17">
        <v>593</v>
      </c>
      <c r="B177" s="17">
        <v>1</v>
      </c>
      <c r="C177" s="3" t="s">
        <v>179</v>
      </c>
      <c r="D177" s="3">
        <f>ROUND(Data!AA179*$B$2,2)</f>
        <v>0</v>
      </c>
      <c r="E177" s="3">
        <f>MAX(0,Data!AD179-Data!Y179)</f>
        <v>0</v>
      </c>
      <c r="F177" s="3">
        <f>Data!Y179</f>
        <v>0</v>
      </c>
      <c r="G177" s="3">
        <f>Data!X179</f>
        <v>0</v>
      </c>
      <c r="H177" s="3">
        <f>Data!K179+Data!R179</f>
        <v>30920.97</v>
      </c>
      <c r="I177" s="3">
        <f>Data!I179+Data!L179+Data!M179+Data!N179+Data!O179+Data!S179</f>
        <v>0</v>
      </c>
      <c r="J177" s="3">
        <f>Data!Q179</f>
        <v>0</v>
      </c>
      <c r="K177" s="3">
        <f>Data!J179+Data!P179</f>
        <v>-12204.85</v>
      </c>
      <c r="L177" s="3">
        <f>Data!T179</f>
        <v>0</v>
      </c>
      <c r="M177" s="3">
        <f>ROUND(Data!AB179*$B$2,2)</f>
        <v>0</v>
      </c>
      <c r="N177" s="3">
        <f>Data!U179</f>
        <v>0</v>
      </c>
      <c r="O177" s="3">
        <f t="shared" si="7"/>
        <v>18716.120000000003</v>
      </c>
      <c r="P177" s="3">
        <f t="shared" si="8"/>
        <v>18716.120000000003</v>
      </c>
      <c r="Q177" s="3">
        <f t="shared" si="9"/>
        <v>0</v>
      </c>
    </row>
    <row r="178" spans="1:17" x14ac:dyDescent="0.2">
      <c r="A178" s="17">
        <v>595</v>
      </c>
      <c r="B178" s="17">
        <v>1</v>
      </c>
      <c r="C178" s="3" t="s">
        <v>180</v>
      </c>
      <c r="D178" s="3">
        <f>ROUND(Data!AA180*$B$2,2)</f>
        <v>0</v>
      </c>
      <c r="E178" s="3">
        <f>MAX(0,Data!AD180-Data!Y180)</f>
        <v>0</v>
      </c>
      <c r="F178" s="3">
        <f>Data!Y180</f>
        <v>0</v>
      </c>
      <c r="G178" s="3">
        <f>Data!X180</f>
        <v>0</v>
      </c>
      <c r="H178" s="3">
        <f>Data!K180+Data!R180</f>
        <v>28638.869999999995</v>
      </c>
      <c r="I178" s="3">
        <f>Data!I180+Data!L180+Data!M180+Data!N180+Data!O180+Data!S180</f>
        <v>0</v>
      </c>
      <c r="J178" s="3">
        <f>Data!Q180</f>
        <v>0</v>
      </c>
      <c r="K178" s="3">
        <f>Data!J180+Data!P180</f>
        <v>17608.03</v>
      </c>
      <c r="L178" s="3">
        <f>Data!T180</f>
        <v>0</v>
      </c>
      <c r="M178" s="3">
        <f>ROUND(Data!AB180*$B$2,2)</f>
        <v>0</v>
      </c>
      <c r="N178" s="3">
        <f>Data!U180</f>
        <v>0</v>
      </c>
      <c r="O178" s="3">
        <f t="shared" si="7"/>
        <v>46246.899999999994</v>
      </c>
      <c r="P178" s="3">
        <f t="shared" si="8"/>
        <v>46246.899999999994</v>
      </c>
      <c r="Q178" s="3">
        <f t="shared" si="9"/>
        <v>0</v>
      </c>
    </row>
    <row r="179" spans="1:17" x14ac:dyDescent="0.2">
      <c r="A179" s="17">
        <v>599</v>
      </c>
      <c r="B179" s="17">
        <v>1</v>
      </c>
      <c r="C179" s="3" t="s">
        <v>181</v>
      </c>
      <c r="D179" s="3">
        <f>ROUND(Data!AA181*$B$2,2)</f>
        <v>0</v>
      </c>
      <c r="E179" s="3">
        <f>MAX(0,Data!AD181-Data!Y181)</f>
        <v>0</v>
      </c>
      <c r="F179" s="3">
        <f>Data!Y181</f>
        <v>37537.56</v>
      </c>
      <c r="G179" s="3">
        <f>Data!X181</f>
        <v>0</v>
      </c>
      <c r="H179" s="3">
        <f>Data!K181+Data!R181</f>
        <v>20487.600000000002</v>
      </c>
      <c r="I179" s="3">
        <f>Data!I181+Data!L181+Data!M181+Data!N181+Data!O181+Data!S181</f>
        <v>0</v>
      </c>
      <c r="J179" s="3">
        <f>Data!Q181</f>
        <v>0</v>
      </c>
      <c r="K179" s="3">
        <f>Data!J181+Data!P181</f>
        <v>4754.6400000000003</v>
      </c>
      <c r="L179" s="3">
        <f>Data!T181</f>
        <v>0</v>
      </c>
      <c r="M179" s="3">
        <f>ROUND(Data!AB181*$B$2,2)</f>
        <v>0</v>
      </c>
      <c r="N179" s="3">
        <f>Data!U181</f>
        <v>0</v>
      </c>
      <c r="O179" s="3">
        <f t="shared" si="7"/>
        <v>62779.8</v>
      </c>
      <c r="P179" s="3">
        <f t="shared" si="8"/>
        <v>62779.8</v>
      </c>
      <c r="Q179" s="3">
        <f t="shared" si="9"/>
        <v>0</v>
      </c>
    </row>
    <row r="180" spans="1:17" x14ac:dyDescent="0.2">
      <c r="A180" s="17">
        <v>600</v>
      </c>
      <c r="B180" s="17">
        <v>1</v>
      </c>
      <c r="C180" s="3" t="s">
        <v>182</v>
      </c>
      <c r="D180" s="3">
        <f>ROUND(Data!AA182*$B$2,2)</f>
        <v>0</v>
      </c>
      <c r="E180" s="3">
        <f>MAX(0,Data!AD182-Data!Y182)</f>
        <v>0</v>
      </c>
      <c r="F180" s="3">
        <f>Data!Y182</f>
        <v>75126.47</v>
      </c>
      <c r="G180" s="3">
        <f>Data!X182</f>
        <v>0</v>
      </c>
      <c r="H180" s="3">
        <f>Data!K182+Data!R182</f>
        <v>11742.86</v>
      </c>
      <c r="I180" s="3">
        <f>Data!I182+Data!L182+Data!M182+Data!N182+Data!O182+Data!S182</f>
        <v>0</v>
      </c>
      <c r="J180" s="3">
        <f>Data!Q182</f>
        <v>0</v>
      </c>
      <c r="K180" s="3">
        <f>Data!J182+Data!P182</f>
        <v>-4964.92</v>
      </c>
      <c r="L180" s="3">
        <f>Data!T182</f>
        <v>0</v>
      </c>
      <c r="M180" s="3">
        <f>ROUND(Data!AB182*$B$2,2)</f>
        <v>0</v>
      </c>
      <c r="N180" s="3">
        <f>Data!U182</f>
        <v>0</v>
      </c>
      <c r="O180" s="3">
        <f t="shared" si="7"/>
        <v>81904.41</v>
      </c>
      <c r="P180" s="3">
        <f t="shared" si="8"/>
        <v>81904.41</v>
      </c>
      <c r="Q180" s="3">
        <f t="shared" si="9"/>
        <v>0</v>
      </c>
    </row>
    <row r="181" spans="1:17" x14ac:dyDescent="0.2">
      <c r="A181" s="17">
        <v>601</v>
      </c>
      <c r="B181" s="17">
        <v>1</v>
      </c>
      <c r="C181" s="3" t="s">
        <v>183</v>
      </c>
      <c r="D181" s="3">
        <f>ROUND(Data!AA183*$B$2,2)</f>
        <v>0</v>
      </c>
      <c r="E181" s="3">
        <f>MAX(0,Data!AD183-Data!Y183)</f>
        <v>0</v>
      </c>
      <c r="F181" s="3">
        <f>Data!Y183</f>
        <v>10280.629999999999</v>
      </c>
      <c r="G181" s="3">
        <f>Data!X183</f>
        <v>5949.94</v>
      </c>
      <c r="H181" s="3">
        <f>Data!K183+Data!R183</f>
        <v>10149.42</v>
      </c>
      <c r="I181" s="3">
        <f>Data!I183+Data!L183+Data!M183+Data!N183+Data!O183+Data!S183</f>
        <v>0</v>
      </c>
      <c r="J181" s="3">
        <f>Data!Q183</f>
        <v>0</v>
      </c>
      <c r="K181" s="3">
        <f>Data!J183+Data!P183</f>
        <v>3554.13</v>
      </c>
      <c r="L181" s="3">
        <f>Data!T183</f>
        <v>0</v>
      </c>
      <c r="M181" s="3">
        <f>ROUND(Data!AB183*$B$2,2)</f>
        <v>0</v>
      </c>
      <c r="N181" s="3">
        <f>Data!U183</f>
        <v>0</v>
      </c>
      <c r="O181" s="3">
        <f t="shared" si="7"/>
        <v>29934.12</v>
      </c>
      <c r="P181" s="3">
        <f t="shared" si="8"/>
        <v>29934.12</v>
      </c>
      <c r="Q181" s="3">
        <f t="shared" si="9"/>
        <v>0</v>
      </c>
    </row>
    <row r="182" spans="1:17" x14ac:dyDescent="0.2">
      <c r="A182" s="17">
        <v>621</v>
      </c>
      <c r="B182" s="17">
        <v>1</v>
      </c>
      <c r="C182" s="3" t="s">
        <v>185</v>
      </c>
      <c r="D182" s="3">
        <f>ROUND(Data!AA184*$B$2,2)</f>
        <v>0</v>
      </c>
      <c r="E182" s="3">
        <f>MAX(0,Data!AD184-Data!Y184)</f>
        <v>0</v>
      </c>
      <c r="F182" s="3">
        <f>Data!Y184</f>
        <v>2472890.44</v>
      </c>
      <c r="G182" s="3">
        <f>Data!X184</f>
        <v>212864.42</v>
      </c>
      <c r="H182" s="3">
        <f>Data!K184+Data!R184</f>
        <v>208427.44999999998</v>
      </c>
      <c r="I182" s="3">
        <f>Data!I184+Data!L184+Data!M184+Data!N184+Data!O184+Data!S184</f>
        <v>8563.0300000000007</v>
      </c>
      <c r="J182" s="3">
        <f>Data!Q184</f>
        <v>0</v>
      </c>
      <c r="K182" s="3">
        <f>Data!J184+Data!P184</f>
        <v>209329.62</v>
      </c>
      <c r="L182" s="3">
        <f>Data!T184</f>
        <v>0</v>
      </c>
      <c r="M182" s="3">
        <f>ROUND(Data!AB184*$B$2,2)</f>
        <v>0</v>
      </c>
      <c r="N182" s="3">
        <f>Data!U184</f>
        <v>0</v>
      </c>
      <c r="O182" s="3">
        <f t="shared" si="7"/>
        <v>3112074.96</v>
      </c>
      <c r="P182" s="3">
        <f t="shared" si="8"/>
        <v>3112074.96</v>
      </c>
      <c r="Q182" s="3">
        <f t="shared" si="9"/>
        <v>0</v>
      </c>
    </row>
    <row r="183" spans="1:17" x14ac:dyDescent="0.2">
      <c r="A183" s="17">
        <v>622</v>
      </c>
      <c r="B183" s="17">
        <v>1</v>
      </c>
      <c r="C183" s="3" t="s">
        <v>1190</v>
      </c>
      <c r="D183" s="3">
        <f>ROUND(Data!AA185*$B$2,2)</f>
        <v>0</v>
      </c>
      <c r="E183" s="3">
        <f>MAX(0,Data!AD185-Data!Y185)</f>
        <v>0</v>
      </c>
      <c r="F183" s="3">
        <f>Data!Y185</f>
        <v>2611114.7599999998</v>
      </c>
      <c r="G183" s="3">
        <f>Data!X185</f>
        <v>46112.3</v>
      </c>
      <c r="H183" s="3">
        <f>Data!K185+Data!R185</f>
        <v>259508.57999999996</v>
      </c>
      <c r="I183" s="3">
        <f>Data!I185+Data!L185+Data!M185+Data!N185+Data!O185+Data!S185</f>
        <v>0</v>
      </c>
      <c r="J183" s="3">
        <f>Data!Q185</f>
        <v>0</v>
      </c>
      <c r="K183" s="3">
        <f>Data!J185+Data!P185</f>
        <v>100543.18</v>
      </c>
      <c r="L183" s="3">
        <f>Data!T185</f>
        <v>0</v>
      </c>
      <c r="M183" s="3">
        <f>ROUND(Data!AB185*$B$2,2)</f>
        <v>0</v>
      </c>
      <c r="N183" s="3">
        <f>Data!U185</f>
        <v>0</v>
      </c>
      <c r="O183" s="3">
        <f t="shared" si="7"/>
        <v>3017278.82</v>
      </c>
      <c r="P183" s="3">
        <f t="shared" si="8"/>
        <v>3017278.82</v>
      </c>
      <c r="Q183" s="3">
        <f t="shared" si="9"/>
        <v>0</v>
      </c>
    </row>
    <row r="184" spans="1:17" x14ac:dyDescent="0.2">
      <c r="A184" s="17">
        <v>623</v>
      </c>
      <c r="B184" s="17">
        <v>1</v>
      </c>
      <c r="C184" s="3" t="s">
        <v>187</v>
      </c>
      <c r="D184" s="3">
        <f>ROUND(Data!AA186*$B$2,2)</f>
        <v>0</v>
      </c>
      <c r="E184" s="3">
        <f>MAX(0,Data!AD186-Data!Y186)</f>
        <v>0</v>
      </c>
      <c r="F184" s="3">
        <f>Data!Y186</f>
        <v>2907226.7</v>
      </c>
      <c r="G184" s="3">
        <f>Data!X186</f>
        <v>0</v>
      </c>
      <c r="H184" s="3">
        <f>Data!K186+Data!R186</f>
        <v>154701.44999999998</v>
      </c>
      <c r="I184" s="3">
        <f>Data!I186+Data!L186+Data!M186+Data!N186+Data!O186+Data!S186</f>
        <v>0</v>
      </c>
      <c r="J184" s="3">
        <f>Data!Q186</f>
        <v>0</v>
      </c>
      <c r="K184" s="3">
        <f>Data!J186+Data!P186</f>
        <v>-2384.8700000000026</v>
      </c>
      <c r="L184" s="3">
        <f>Data!T186</f>
        <v>0</v>
      </c>
      <c r="M184" s="3">
        <f>ROUND(Data!AB186*$B$2,2)</f>
        <v>0</v>
      </c>
      <c r="N184" s="3">
        <f>Data!U186</f>
        <v>0</v>
      </c>
      <c r="O184" s="3">
        <f t="shared" si="7"/>
        <v>3059543.2800000003</v>
      </c>
      <c r="P184" s="3">
        <f t="shared" si="8"/>
        <v>3059543.2800000003</v>
      </c>
      <c r="Q184" s="3">
        <f t="shared" si="9"/>
        <v>0</v>
      </c>
    </row>
    <row r="185" spans="1:17" x14ac:dyDescent="0.2">
      <c r="A185" s="17">
        <v>624</v>
      </c>
      <c r="B185" s="17">
        <v>1</v>
      </c>
      <c r="C185" s="3" t="s">
        <v>188</v>
      </c>
      <c r="D185" s="3">
        <f>ROUND(Data!AA187*$B$2,2)</f>
        <v>0</v>
      </c>
      <c r="E185" s="3">
        <f>MAX(0,Data!AD187-Data!Y187)</f>
        <v>0</v>
      </c>
      <c r="F185" s="3">
        <f>Data!Y187</f>
        <v>1582149</v>
      </c>
      <c r="G185" s="3">
        <f>Data!X187</f>
        <v>0</v>
      </c>
      <c r="H185" s="3">
        <f>Data!K187+Data!R187</f>
        <v>196331.98</v>
      </c>
      <c r="I185" s="3">
        <f>Data!I187+Data!L187+Data!M187+Data!N187+Data!O187+Data!S187</f>
        <v>0</v>
      </c>
      <c r="J185" s="3">
        <f>Data!Q187</f>
        <v>0</v>
      </c>
      <c r="K185" s="3">
        <f>Data!J187+Data!P187</f>
        <v>129111.01999999999</v>
      </c>
      <c r="L185" s="3">
        <f>Data!T187</f>
        <v>0</v>
      </c>
      <c r="M185" s="3">
        <f>ROUND(Data!AB187*$B$2,2)</f>
        <v>0</v>
      </c>
      <c r="N185" s="3">
        <f>Data!U187</f>
        <v>0</v>
      </c>
      <c r="O185" s="3">
        <f t="shared" si="7"/>
        <v>1907592</v>
      </c>
      <c r="P185" s="3">
        <f t="shared" si="8"/>
        <v>1907592</v>
      </c>
      <c r="Q185" s="3">
        <f t="shared" si="9"/>
        <v>0</v>
      </c>
    </row>
    <row r="186" spans="1:17" x14ac:dyDescent="0.2">
      <c r="A186" s="17">
        <v>625</v>
      </c>
      <c r="B186" s="17">
        <v>1</v>
      </c>
      <c r="C186" s="3" t="s">
        <v>189</v>
      </c>
      <c r="D186" s="3">
        <f>ROUND(Data!AA188*$B$2,2)</f>
        <v>0</v>
      </c>
      <c r="E186" s="3">
        <f>MAX(0,Data!AD188-Data!Y188)</f>
        <v>0</v>
      </c>
      <c r="F186" s="3">
        <f>Data!Y188</f>
        <v>2473342.0699999998</v>
      </c>
      <c r="G186" s="3">
        <f>Data!X188</f>
        <v>0</v>
      </c>
      <c r="H186" s="3">
        <f>Data!K188+Data!R188</f>
        <v>549836.26</v>
      </c>
      <c r="I186" s="3">
        <f>Data!I188+Data!L188+Data!M188+Data!N188+Data!O188+Data!S188</f>
        <v>17530255.579999998</v>
      </c>
      <c r="J186" s="3">
        <f>Data!Q188</f>
        <v>0</v>
      </c>
      <c r="K186" s="3">
        <f>Data!J188+Data!P188</f>
        <v>259177.45000000007</v>
      </c>
      <c r="L186" s="3">
        <f>Data!T188</f>
        <v>0</v>
      </c>
      <c r="M186" s="3">
        <f>ROUND(Data!AB188*$B$2,2)</f>
        <v>0</v>
      </c>
      <c r="N186" s="3">
        <f>Data!U188</f>
        <v>0</v>
      </c>
      <c r="O186" s="3">
        <f t="shared" si="7"/>
        <v>20812611.359999996</v>
      </c>
      <c r="P186" s="3">
        <f t="shared" si="8"/>
        <v>20812611.359999996</v>
      </c>
      <c r="Q186" s="3">
        <f t="shared" si="9"/>
        <v>0</v>
      </c>
    </row>
    <row r="187" spans="1:17" x14ac:dyDescent="0.2">
      <c r="A187" s="17">
        <v>630</v>
      </c>
      <c r="B187" s="17">
        <v>1</v>
      </c>
      <c r="C187" s="3" t="s">
        <v>192</v>
      </c>
      <c r="D187" s="3">
        <f>ROUND(Data!AA189*$B$2,2)</f>
        <v>0</v>
      </c>
      <c r="E187" s="3">
        <f>MAX(0,Data!AD189-Data!Y189)</f>
        <v>0</v>
      </c>
      <c r="F187" s="3">
        <f>Data!Y189</f>
        <v>15914.47</v>
      </c>
      <c r="G187" s="3">
        <f>Data!X189</f>
        <v>0</v>
      </c>
      <c r="H187" s="3">
        <f>Data!K189+Data!R189</f>
        <v>4353.91</v>
      </c>
      <c r="I187" s="3">
        <f>Data!I189+Data!L189+Data!M189+Data!N189+Data!O189+Data!S189</f>
        <v>0</v>
      </c>
      <c r="J187" s="3">
        <f>Data!Q189</f>
        <v>-8011.98</v>
      </c>
      <c r="K187" s="3">
        <f>Data!J189+Data!P189</f>
        <v>8011.98</v>
      </c>
      <c r="L187" s="3">
        <f>Data!T189</f>
        <v>0</v>
      </c>
      <c r="M187" s="3">
        <f>ROUND(Data!AB189*$B$2,2)</f>
        <v>0</v>
      </c>
      <c r="N187" s="3">
        <f>Data!U189</f>
        <v>0</v>
      </c>
      <c r="O187" s="3">
        <f t="shared" si="7"/>
        <v>20268.379999999997</v>
      </c>
      <c r="P187" s="3">
        <f t="shared" si="8"/>
        <v>20268.379999999997</v>
      </c>
      <c r="Q187" s="3">
        <f t="shared" si="9"/>
        <v>0</v>
      </c>
    </row>
    <row r="188" spans="1:17" x14ac:dyDescent="0.2">
      <c r="A188" s="17">
        <v>635</v>
      </c>
      <c r="B188" s="17">
        <v>1</v>
      </c>
      <c r="C188" s="3" t="s">
        <v>193</v>
      </c>
      <c r="D188" s="3">
        <f>ROUND(Data!AA190*$B$2,2)</f>
        <v>0</v>
      </c>
      <c r="E188" s="3">
        <f>MAX(0,Data!AD190-Data!Y190)</f>
        <v>0</v>
      </c>
      <c r="F188" s="3">
        <f>Data!Y190</f>
        <v>34554.870000000003</v>
      </c>
      <c r="G188" s="3">
        <f>Data!X190</f>
        <v>0</v>
      </c>
      <c r="H188" s="3">
        <f>Data!K190+Data!R190</f>
        <v>0</v>
      </c>
      <c r="I188" s="3">
        <f>Data!I190+Data!L190+Data!M190+Data!N190+Data!O190+Data!S190</f>
        <v>0</v>
      </c>
      <c r="J188" s="3">
        <f>Data!Q190</f>
        <v>0</v>
      </c>
      <c r="K188" s="3">
        <f>Data!J190+Data!P190</f>
        <v>1752.48</v>
      </c>
      <c r="L188" s="3">
        <f>Data!T190</f>
        <v>0</v>
      </c>
      <c r="M188" s="3">
        <f>ROUND(Data!AB190*$B$2,2)</f>
        <v>0</v>
      </c>
      <c r="N188" s="3">
        <f>Data!U190</f>
        <v>0</v>
      </c>
      <c r="O188" s="3">
        <f t="shared" si="7"/>
        <v>36307.350000000006</v>
      </c>
      <c r="P188" s="3">
        <f t="shared" si="8"/>
        <v>36307.350000000006</v>
      </c>
      <c r="Q188" s="3">
        <f t="shared" si="9"/>
        <v>0</v>
      </c>
    </row>
    <row r="189" spans="1:17" x14ac:dyDescent="0.2">
      <c r="A189" s="17">
        <v>640</v>
      </c>
      <c r="B189" s="17">
        <v>1</v>
      </c>
      <c r="C189" s="3" t="s">
        <v>194</v>
      </c>
      <c r="D189" s="3">
        <f>ROUND(Data!AA191*$B$2,2)</f>
        <v>0</v>
      </c>
      <c r="E189" s="3">
        <f>MAX(0,Data!AD191-Data!Y191)</f>
        <v>0</v>
      </c>
      <c r="F189" s="3">
        <f>Data!Y191</f>
        <v>21257.8</v>
      </c>
      <c r="G189" s="3">
        <f>Data!X191</f>
        <v>3893.65</v>
      </c>
      <c r="H189" s="3">
        <f>Data!K191+Data!R191</f>
        <v>11823.869999999999</v>
      </c>
      <c r="I189" s="3">
        <f>Data!I191+Data!L191+Data!M191+Data!N191+Data!O191+Data!S191</f>
        <v>0</v>
      </c>
      <c r="J189" s="3">
        <f>Data!Q191</f>
        <v>0</v>
      </c>
      <c r="K189" s="3">
        <f>Data!J191+Data!P191</f>
        <v>-1004.05</v>
      </c>
      <c r="L189" s="3">
        <f>Data!T191</f>
        <v>0</v>
      </c>
      <c r="M189" s="3">
        <f>ROUND(Data!AB191*$B$2,2)</f>
        <v>0</v>
      </c>
      <c r="N189" s="3">
        <f>Data!U191</f>
        <v>0</v>
      </c>
      <c r="O189" s="3">
        <f t="shared" si="7"/>
        <v>35971.269999999997</v>
      </c>
      <c r="P189" s="3">
        <f t="shared" si="8"/>
        <v>35971.269999999997</v>
      </c>
      <c r="Q189" s="3">
        <f t="shared" si="9"/>
        <v>0</v>
      </c>
    </row>
    <row r="190" spans="1:17" x14ac:dyDescent="0.2">
      <c r="A190" s="17">
        <v>656</v>
      </c>
      <c r="B190" s="17">
        <v>1</v>
      </c>
      <c r="C190" s="3" t="s">
        <v>195</v>
      </c>
      <c r="D190" s="3">
        <f>ROUND(Data!AA192*$B$2,2)</f>
        <v>0</v>
      </c>
      <c r="E190" s="3">
        <f>MAX(0,Data!AD192-Data!Y192)</f>
        <v>0</v>
      </c>
      <c r="F190" s="3">
        <f>Data!Y192</f>
        <v>329972.17</v>
      </c>
      <c r="G190" s="3">
        <f>Data!X192</f>
        <v>0</v>
      </c>
      <c r="H190" s="3">
        <f>Data!K192+Data!R192</f>
        <v>45969.49</v>
      </c>
      <c r="I190" s="3">
        <f>Data!I192+Data!L192+Data!M192+Data!N192+Data!O192+Data!S192</f>
        <v>0</v>
      </c>
      <c r="J190" s="3">
        <f>Data!Q192</f>
        <v>0</v>
      </c>
      <c r="K190" s="3">
        <f>Data!J192+Data!P192</f>
        <v>107337.73000000001</v>
      </c>
      <c r="L190" s="3">
        <f>Data!T192</f>
        <v>0</v>
      </c>
      <c r="M190" s="3">
        <f>ROUND(Data!AB192*$B$2,2)</f>
        <v>0</v>
      </c>
      <c r="N190" s="3">
        <f>Data!U192</f>
        <v>0</v>
      </c>
      <c r="O190" s="3">
        <f t="shared" ref="O190:O251" si="10">SUM(D190:N190)</f>
        <v>483279.39</v>
      </c>
      <c r="P190" s="3">
        <f t="shared" si="8"/>
        <v>483279.39</v>
      </c>
      <c r="Q190" s="3">
        <f t="shared" si="9"/>
        <v>0</v>
      </c>
    </row>
    <row r="191" spans="1:17" x14ac:dyDescent="0.2">
      <c r="A191" s="17">
        <v>659</v>
      </c>
      <c r="B191" s="17">
        <v>1</v>
      </c>
      <c r="C191" s="3" t="s">
        <v>196</v>
      </c>
      <c r="D191" s="3">
        <f>ROUND(Data!AA193*$B$2,2)</f>
        <v>0</v>
      </c>
      <c r="E191" s="3">
        <f>MAX(0,Data!AD193-Data!Y193)</f>
        <v>0</v>
      </c>
      <c r="F191" s="3">
        <f>Data!Y193</f>
        <v>374465.93</v>
      </c>
      <c r="G191" s="3">
        <f>Data!X193</f>
        <v>0</v>
      </c>
      <c r="H191" s="3">
        <f>Data!K193+Data!R193</f>
        <v>13262.349999999999</v>
      </c>
      <c r="I191" s="3">
        <f>Data!I193+Data!L193+Data!M193+Data!N193+Data!O193+Data!S193</f>
        <v>0</v>
      </c>
      <c r="J191" s="3">
        <f>Data!Q193</f>
        <v>0</v>
      </c>
      <c r="K191" s="3">
        <f>Data!J193+Data!P193</f>
        <v>10015.200000000001</v>
      </c>
      <c r="L191" s="3">
        <f>Data!T193</f>
        <v>0</v>
      </c>
      <c r="M191" s="3">
        <f>ROUND(Data!AB193*$B$2,2)</f>
        <v>0</v>
      </c>
      <c r="N191" s="3">
        <f>Data!U193</f>
        <v>0</v>
      </c>
      <c r="O191" s="3">
        <f t="shared" si="10"/>
        <v>397743.48</v>
      </c>
      <c r="P191" s="3">
        <f t="shared" si="8"/>
        <v>397743.48</v>
      </c>
      <c r="Q191" s="3">
        <f t="shared" si="9"/>
        <v>0</v>
      </c>
    </row>
    <row r="192" spans="1:17" x14ac:dyDescent="0.2">
      <c r="A192" s="17">
        <v>671</v>
      </c>
      <c r="B192" s="17">
        <v>1</v>
      </c>
      <c r="C192" s="3" t="s">
        <v>1191</v>
      </c>
      <c r="D192" s="3">
        <f>ROUND(Data!AA194*$B$2,2)</f>
        <v>0</v>
      </c>
      <c r="E192" s="3">
        <f>MAX(0,Data!AD194-Data!Y194)</f>
        <v>0</v>
      </c>
      <c r="F192" s="3">
        <f>Data!Y194</f>
        <v>64894.85</v>
      </c>
      <c r="G192" s="3">
        <f>Data!X194</f>
        <v>0</v>
      </c>
      <c r="H192" s="3">
        <f>Data!K194+Data!R194</f>
        <v>11768.59</v>
      </c>
      <c r="I192" s="3">
        <f>Data!I194+Data!L194+Data!M194+Data!N194+Data!O194+Data!S194</f>
        <v>0</v>
      </c>
      <c r="J192" s="3">
        <f>Data!Q194</f>
        <v>0</v>
      </c>
      <c r="K192" s="3">
        <f>Data!J194+Data!P194</f>
        <v>0</v>
      </c>
      <c r="L192" s="3">
        <f>Data!T194</f>
        <v>0</v>
      </c>
      <c r="M192" s="3">
        <f>ROUND(Data!AB194*$B$2,2)</f>
        <v>0</v>
      </c>
      <c r="N192" s="3">
        <f>Data!U194</f>
        <v>0</v>
      </c>
      <c r="O192" s="3">
        <f t="shared" si="10"/>
        <v>76663.44</v>
      </c>
      <c r="P192" s="3">
        <f t="shared" si="8"/>
        <v>76663.44</v>
      </c>
      <c r="Q192" s="3">
        <f t="shared" si="9"/>
        <v>0</v>
      </c>
    </row>
    <row r="193" spans="1:17" x14ac:dyDescent="0.2">
      <c r="A193" s="17">
        <v>676</v>
      </c>
      <c r="B193" s="17">
        <v>1</v>
      </c>
      <c r="C193" s="3" t="s">
        <v>198</v>
      </c>
      <c r="D193" s="3">
        <f>ROUND(Data!AA195*$B$2,2)</f>
        <v>0</v>
      </c>
      <c r="E193" s="3">
        <f>MAX(0,Data!AD195-Data!Y195)</f>
        <v>0</v>
      </c>
      <c r="F193" s="3">
        <f>Data!Y195</f>
        <v>82150</v>
      </c>
      <c r="G193" s="3">
        <f>Data!X195</f>
        <v>0</v>
      </c>
      <c r="H193" s="3">
        <f>Data!K195+Data!R195</f>
        <v>4019.2</v>
      </c>
      <c r="I193" s="3">
        <f>Data!I195+Data!L195+Data!M195+Data!N195+Data!O195+Data!S195</f>
        <v>0</v>
      </c>
      <c r="J193" s="3">
        <f>Data!Q195</f>
        <v>0</v>
      </c>
      <c r="K193" s="3">
        <f>Data!J195+Data!P195</f>
        <v>4.2</v>
      </c>
      <c r="L193" s="3">
        <f>Data!T195</f>
        <v>0</v>
      </c>
      <c r="M193" s="3">
        <f>ROUND(Data!AB195*$B$2,2)</f>
        <v>0</v>
      </c>
      <c r="N193" s="3">
        <f>Data!U195</f>
        <v>0</v>
      </c>
      <c r="O193" s="3">
        <f t="shared" si="10"/>
        <v>86173.4</v>
      </c>
      <c r="P193" s="3">
        <f t="shared" ref="P193:P256" si="11">SUM(D193:L193)</f>
        <v>86173.4</v>
      </c>
      <c r="Q193" s="3">
        <f t="shared" ref="Q193:Q256" si="12">SUM(M193:N193)</f>
        <v>0</v>
      </c>
    </row>
    <row r="194" spans="1:17" x14ac:dyDescent="0.2">
      <c r="A194" s="17">
        <v>682</v>
      </c>
      <c r="B194" s="17">
        <v>1</v>
      </c>
      <c r="C194" s="3" t="s">
        <v>199</v>
      </c>
      <c r="D194" s="3">
        <f>ROUND(Data!AA196*$B$2,2)</f>
        <v>0</v>
      </c>
      <c r="E194" s="3">
        <f>MAX(0,Data!AD196-Data!Y196)</f>
        <v>0</v>
      </c>
      <c r="F194" s="3">
        <f>Data!Y196</f>
        <v>45551.1</v>
      </c>
      <c r="G194" s="3">
        <f>Data!X196</f>
        <v>17470.36</v>
      </c>
      <c r="H194" s="3">
        <f>Data!K196+Data!R196</f>
        <v>9877.81</v>
      </c>
      <c r="I194" s="3">
        <f>Data!I196+Data!L196+Data!M196+Data!N196+Data!O196+Data!S196</f>
        <v>0</v>
      </c>
      <c r="J194" s="3">
        <f>Data!Q196</f>
        <v>0</v>
      </c>
      <c r="K194" s="3">
        <f>Data!J196+Data!P196</f>
        <v>-4500</v>
      </c>
      <c r="L194" s="3">
        <f>Data!T196</f>
        <v>0</v>
      </c>
      <c r="M194" s="3">
        <f>ROUND(Data!AB196*$B$2,2)</f>
        <v>0</v>
      </c>
      <c r="N194" s="3">
        <f>Data!U196</f>
        <v>0</v>
      </c>
      <c r="O194" s="3">
        <f t="shared" si="10"/>
        <v>68399.27</v>
      </c>
      <c r="P194" s="3">
        <f t="shared" si="11"/>
        <v>68399.27</v>
      </c>
      <c r="Q194" s="3">
        <f t="shared" si="12"/>
        <v>0</v>
      </c>
    </row>
    <row r="195" spans="1:17" x14ac:dyDescent="0.2">
      <c r="A195" s="17">
        <v>690</v>
      </c>
      <c r="B195" s="17">
        <v>1</v>
      </c>
      <c r="C195" s="3" t="s">
        <v>200</v>
      </c>
      <c r="D195" s="3">
        <f>ROUND(Data!AA197*$B$2,2)</f>
        <v>0</v>
      </c>
      <c r="E195" s="3">
        <f>MAX(0,Data!AD197-Data!Y197)</f>
        <v>0</v>
      </c>
      <c r="F195" s="3">
        <f>Data!Y197</f>
        <v>36984.730000000003</v>
      </c>
      <c r="G195" s="3">
        <f>Data!X197</f>
        <v>0</v>
      </c>
      <c r="H195" s="3">
        <f>Data!K197+Data!R197</f>
        <v>11900.48</v>
      </c>
      <c r="I195" s="3">
        <f>Data!I197+Data!L197+Data!M197+Data!N197+Data!O197+Data!S197</f>
        <v>0</v>
      </c>
      <c r="J195" s="3">
        <f>Data!Q197</f>
        <v>0</v>
      </c>
      <c r="K195" s="3">
        <f>Data!J197+Data!P197</f>
        <v>79000.160000000003</v>
      </c>
      <c r="L195" s="3">
        <f>Data!T197</f>
        <v>0</v>
      </c>
      <c r="M195" s="3">
        <f>ROUND(Data!AB197*$B$2,2)</f>
        <v>0</v>
      </c>
      <c r="N195" s="3">
        <f>Data!U197</f>
        <v>0</v>
      </c>
      <c r="O195" s="3">
        <f t="shared" si="10"/>
        <v>127885.37000000001</v>
      </c>
      <c r="P195" s="3">
        <f t="shared" si="11"/>
        <v>127885.37000000001</v>
      </c>
      <c r="Q195" s="3">
        <f t="shared" si="12"/>
        <v>0</v>
      </c>
    </row>
    <row r="196" spans="1:17" x14ac:dyDescent="0.2">
      <c r="A196" s="17">
        <v>695</v>
      </c>
      <c r="B196" s="17">
        <v>1</v>
      </c>
      <c r="C196" s="3" t="s">
        <v>201</v>
      </c>
      <c r="D196" s="3">
        <f>ROUND(Data!AA198*$B$2,2)</f>
        <v>0</v>
      </c>
      <c r="E196" s="3">
        <f>MAX(0,Data!AD198-Data!Y198)</f>
        <v>0</v>
      </c>
      <c r="F196" s="3">
        <f>Data!Y198</f>
        <v>27688.080000000002</v>
      </c>
      <c r="G196" s="3">
        <f>Data!X198</f>
        <v>8880.85</v>
      </c>
      <c r="H196" s="3">
        <f>Data!K198+Data!R198</f>
        <v>3481.7100000000005</v>
      </c>
      <c r="I196" s="3">
        <f>Data!I198+Data!L198+Data!M198+Data!N198+Data!O198+Data!S198</f>
        <v>126192.26999999999</v>
      </c>
      <c r="J196" s="3">
        <f>Data!Q198</f>
        <v>0</v>
      </c>
      <c r="K196" s="3">
        <f>Data!J198+Data!P198</f>
        <v>1097.3599999999999</v>
      </c>
      <c r="L196" s="3">
        <f>Data!T198</f>
        <v>0</v>
      </c>
      <c r="M196" s="3">
        <f>ROUND(Data!AB198*$B$2,2)</f>
        <v>0</v>
      </c>
      <c r="N196" s="3">
        <f>Data!U198</f>
        <v>0</v>
      </c>
      <c r="O196" s="3">
        <f t="shared" si="10"/>
        <v>167340.26999999996</v>
      </c>
      <c r="P196" s="3">
        <f t="shared" si="11"/>
        <v>167340.26999999996</v>
      </c>
      <c r="Q196" s="3">
        <f t="shared" si="12"/>
        <v>0</v>
      </c>
    </row>
    <row r="197" spans="1:17" x14ac:dyDescent="0.2">
      <c r="A197" s="17">
        <v>696</v>
      </c>
      <c r="B197" s="17">
        <v>1</v>
      </c>
      <c r="C197" s="3" t="s">
        <v>202</v>
      </c>
      <c r="D197" s="3">
        <f>ROUND(Data!AA199*$B$2,2)</f>
        <v>0</v>
      </c>
      <c r="E197" s="3">
        <f>MAX(0,Data!AD199-Data!Y199)</f>
        <v>0</v>
      </c>
      <c r="F197" s="3">
        <f>Data!Y199</f>
        <v>61464.47</v>
      </c>
      <c r="G197" s="3">
        <f>Data!X199</f>
        <v>2504.4899999999998</v>
      </c>
      <c r="H197" s="3">
        <f>Data!K199+Data!R199</f>
        <v>0</v>
      </c>
      <c r="I197" s="3">
        <f>Data!I199+Data!L199+Data!M199+Data!N199+Data!O199+Data!S199</f>
        <v>134114.66</v>
      </c>
      <c r="J197" s="3">
        <f>Data!Q199</f>
        <v>0</v>
      </c>
      <c r="K197" s="3">
        <f>Data!J199+Data!P199</f>
        <v>-5950.8200000000006</v>
      </c>
      <c r="L197" s="3">
        <f>Data!T199</f>
        <v>0</v>
      </c>
      <c r="M197" s="3">
        <f>ROUND(Data!AB199*$B$2,2)</f>
        <v>0</v>
      </c>
      <c r="N197" s="3">
        <f>Data!U199</f>
        <v>0</v>
      </c>
      <c r="O197" s="3">
        <f t="shared" si="10"/>
        <v>192132.8</v>
      </c>
      <c r="P197" s="3">
        <f t="shared" si="11"/>
        <v>192132.8</v>
      </c>
      <c r="Q197" s="3">
        <f t="shared" si="12"/>
        <v>0</v>
      </c>
    </row>
    <row r="198" spans="1:17" x14ac:dyDescent="0.2">
      <c r="A198" s="17">
        <v>698</v>
      </c>
      <c r="B198" s="17">
        <v>1</v>
      </c>
      <c r="C198" s="3" t="s">
        <v>203</v>
      </c>
      <c r="D198" s="3">
        <f>ROUND(Data!AA200*$B$2,2)</f>
        <v>0</v>
      </c>
      <c r="E198" s="3">
        <f>MAX(0,Data!AD200-Data!Y200)</f>
        <v>0</v>
      </c>
      <c r="F198" s="3">
        <f>Data!Y200</f>
        <v>14891.46</v>
      </c>
      <c r="G198" s="3">
        <f>Data!X200</f>
        <v>5557.25</v>
      </c>
      <c r="H198" s="3">
        <f>Data!K200+Data!R200</f>
        <v>8677.25</v>
      </c>
      <c r="I198" s="3">
        <f>Data!I200+Data!L200+Data!M200+Data!N200+Data!O200+Data!S200</f>
        <v>0</v>
      </c>
      <c r="J198" s="3">
        <f>Data!Q200</f>
        <v>0</v>
      </c>
      <c r="K198" s="3">
        <f>Data!J200+Data!P200</f>
        <v>7439.6900000000005</v>
      </c>
      <c r="L198" s="3">
        <f>Data!T200</f>
        <v>0</v>
      </c>
      <c r="M198" s="3">
        <f>ROUND(Data!AB200*$B$2,2)</f>
        <v>0</v>
      </c>
      <c r="N198" s="3">
        <f>Data!U200</f>
        <v>0</v>
      </c>
      <c r="O198" s="3">
        <f t="shared" si="10"/>
        <v>36565.65</v>
      </c>
      <c r="P198" s="3">
        <f t="shared" si="11"/>
        <v>36565.65</v>
      </c>
      <c r="Q198" s="3">
        <f t="shared" si="12"/>
        <v>0</v>
      </c>
    </row>
    <row r="199" spans="1:17" x14ac:dyDescent="0.2">
      <c r="A199" s="17">
        <v>700</v>
      </c>
      <c r="B199" s="17">
        <v>1</v>
      </c>
      <c r="C199" s="3" t="s">
        <v>204</v>
      </c>
      <c r="D199" s="3">
        <f>ROUND(Data!AA201*$B$2,2)</f>
        <v>0</v>
      </c>
      <c r="E199" s="3">
        <f>MAX(0,Data!AD201-Data!Y201)</f>
        <v>0</v>
      </c>
      <c r="F199" s="3">
        <f>Data!Y201</f>
        <v>83202.59</v>
      </c>
      <c r="G199" s="3">
        <f>Data!X201</f>
        <v>0</v>
      </c>
      <c r="H199" s="3">
        <f>Data!K201+Data!R201</f>
        <v>11469.57</v>
      </c>
      <c r="I199" s="3">
        <f>Data!I201+Data!L201+Data!M201+Data!N201+Data!O201+Data!S201</f>
        <v>0</v>
      </c>
      <c r="J199" s="3">
        <f>Data!Q201</f>
        <v>0</v>
      </c>
      <c r="K199" s="3">
        <f>Data!J201+Data!P201</f>
        <v>-1054.2199999999993</v>
      </c>
      <c r="L199" s="3">
        <f>Data!T201</f>
        <v>0</v>
      </c>
      <c r="M199" s="3">
        <f>ROUND(Data!AB201*$B$2,2)</f>
        <v>0</v>
      </c>
      <c r="N199" s="3">
        <f>Data!U201</f>
        <v>0</v>
      </c>
      <c r="O199" s="3">
        <f t="shared" si="10"/>
        <v>93617.94</v>
      </c>
      <c r="P199" s="3">
        <f t="shared" si="11"/>
        <v>93617.94</v>
      </c>
      <c r="Q199" s="3">
        <f t="shared" si="12"/>
        <v>0</v>
      </c>
    </row>
    <row r="200" spans="1:17" x14ac:dyDescent="0.2">
      <c r="A200" s="17">
        <v>701</v>
      </c>
      <c r="B200" s="17">
        <v>1</v>
      </c>
      <c r="C200" s="3" t="s">
        <v>205</v>
      </c>
      <c r="D200" s="3">
        <f>ROUND(Data!AA202*$B$2,2)</f>
        <v>0</v>
      </c>
      <c r="E200" s="3">
        <f>MAX(0,Data!AD202-Data!Y202)</f>
        <v>0</v>
      </c>
      <c r="F200" s="3">
        <f>Data!Y202</f>
        <v>109071.21</v>
      </c>
      <c r="G200" s="3">
        <f>Data!X202</f>
        <v>59276.87</v>
      </c>
      <c r="H200" s="3">
        <f>Data!K202+Data!R202</f>
        <v>18867.469999999998</v>
      </c>
      <c r="I200" s="3">
        <f>Data!I202+Data!L202+Data!M202+Data!N202+Data!O202+Data!S202</f>
        <v>421440</v>
      </c>
      <c r="J200" s="3">
        <f>Data!Q202</f>
        <v>0</v>
      </c>
      <c r="K200" s="3">
        <f>Data!J202+Data!P202</f>
        <v>2151.34</v>
      </c>
      <c r="L200" s="3">
        <f>Data!T202</f>
        <v>0</v>
      </c>
      <c r="M200" s="3">
        <f>ROUND(Data!AB202*$B$2,2)</f>
        <v>0</v>
      </c>
      <c r="N200" s="3">
        <f>Data!U202</f>
        <v>0</v>
      </c>
      <c r="O200" s="3">
        <f t="shared" si="10"/>
        <v>610806.89</v>
      </c>
      <c r="P200" s="3">
        <f t="shared" si="11"/>
        <v>610806.89</v>
      </c>
      <c r="Q200" s="3">
        <f t="shared" si="12"/>
        <v>0</v>
      </c>
    </row>
    <row r="201" spans="1:17" x14ac:dyDescent="0.2">
      <c r="A201" s="17">
        <v>704</v>
      </c>
      <c r="B201" s="17">
        <v>1</v>
      </c>
      <c r="C201" s="3" t="s">
        <v>206</v>
      </c>
      <c r="D201" s="3">
        <f>ROUND(Data!AA203*$B$2,2)</f>
        <v>0</v>
      </c>
      <c r="E201" s="3">
        <f>MAX(0,Data!AD203-Data!Y203)</f>
        <v>0</v>
      </c>
      <c r="F201" s="3">
        <f>Data!Y203</f>
        <v>96036.52</v>
      </c>
      <c r="G201" s="3">
        <f>Data!X203</f>
        <v>0</v>
      </c>
      <c r="H201" s="3">
        <f>Data!K203+Data!R203</f>
        <v>17577.199999999997</v>
      </c>
      <c r="I201" s="3">
        <f>Data!I203+Data!L203+Data!M203+Data!N203+Data!O203+Data!S203</f>
        <v>0</v>
      </c>
      <c r="J201" s="3">
        <f>Data!Q203</f>
        <v>0</v>
      </c>
      <c r="K201" s="3">
        <f>Data!J203+Data!P203</f>
        <v>23742.93</v>
      </c>
      <c r="L201" s="3">
        <f>Data!T203</f>
        <v>0</v>
      </c>
      <c r="M201" s="3">
        <f>ROUND(Data!AB203*$B$2,2)</f>
        <v>0</v>
      </c>
      <c r="N201" s="3">
        <f>Data!U203</f>
        <v>0</v>
      </c>
      <c r="O201" s="3">
        <f t="shared" si="10"/>
        <v>137356.65</v>
      </c>
      <c r="P201" s="3">
        <f t="shared" si="11"/>
        <v>137356.65</v>
      </c>
      <c r="Q201" s="3">
        <f t="shared" si="12"/>
        <v>0</v>
      </c>
    </row>
    <row r="202" spans="1:17" x14ac:dyDescent="0.2">
      <c r="A202" s="17">
        <v>706</v>
      </c>
      <c r="B202" s="17">
        <v>1</v>
      </c>
      <c r="C202" s="3" t="s">
        <v>207</v>
      </c>
      <c r="D202" s="3">
        <f>ROUND(Data!AA204*$B$2,2)</f>
        <v>0</v>
      </c>
      <c r="E202" s="3">
        <f>MAX(0,Data!AD204-Data!Y204)</f>
        <v>0</v>
      </c>
      <c r="F202" s="3">
        <f>Data!Y204</f>
        <v>66181.42</v>
      </c>
      <c r="G202" s="3">
        <f>Data!X204</f>
        <v>46429.98</v>
      </c>
      <c r="H202" s="3">
        <f>Data!K204+Data!R204</f>
        <v>12902.99</v>
      </c>
      <c r="I202" s="3">
        <f>Data!I204+Data!L204+Data!M204+Data!N204+Data!O204+Data!S204</f>
        <v>524299.30000000005</v>
      </c>
      <c r="J202" s="3">
        <f>Data!Q204</f>
        <v>0</v>
      </c>
      <c r="K202" s="3">
        <f>Data!J204+Data!P204</f>
        <v>3448.73</v>
      </c>
      <c r="L202" s="3">
        <f>Data!T204</f>
        <v>0</v>
      </c>
      <c r="M202" s="3">
        <f>ROUND(Data!AB204*$B$2,2)</f>
        <v>0</v>
      </c>
      <c r="N202" s="3">
        <f>Data!U204</f>
        <v>0</v>
      </c>
      <c r="O202" s="3">
        <f t="shared" si="10"/>
        <v>653262.42000000004</v>
      </c>
      <c r="P202" s="3">
        <f t="shared" si="11"/>
        <v>653262.42000000004</v>
      </c>
      <c r="Q202" s="3">
        <f t="shared" si="12"/>
        <v>0</v>
      </c>
    </row>
    <row r="203" spans="1:17" x14ac:dyDescent="0.2">
      <c r="A203" s="17">
        <v>707</v>
      </c>
      <c r="B203" s="17">
        <v>1</v>
      </c>
      <c r="C203" s="3" t="s">
        <v>208</v>
      </c>
      <c r="D203" s="3">
        <f>ROUND(Data!AA205*$B$2,2)</f>
        <v>0</v>
      </c>
      <c r="E203" s="3">
        <f>MAX(0,Data!AD205-Data!Y205)</f>
        <v>0</v>
      </c>
      <c r="F203" s="3">
        <f>Data!Y205</f>
        <v>38.729999999999997</v>
      </c>
      <c r="G203" s="3">
        <f>Data!X205</f>
        <v>0</v>
      </c>
      <c r="H203" s="3">
        <f>Data!K205+Data!R205</f>
        <v>0</v>
      </c>
      <c r="I203" s="3">
        <f>Data!I205+Data!L205+Data!M205+Data!N205+Data!O205+Data!S205</f>
        <v>0</v>
      </c>
      <c r="J203" s="3">
        <f>Data!Q205</f>
        <v>0</v>
      </c>
      <c r="K203" s="3">
        <f>Data!J205+Data!P205</f>
        <v>9685.83</v>
      </c>
      <c r="L203" s="3">
        <f>Data!T205</f>
        <v>0</v>
      </c>
      <c r="M203" s="3">
        <f>ROUND(Data!AB205*$B$2,2)</f>
        <v>0</v>
      </c>
      <c r="N203" s="3">
        <f>Data!U205</f>
        <v>0</v>
      </c>
      <c r="O203" s="3">
        <f t="shared" si="10"/>
        <v>9724.56</v>
      </c>
      <c r="P203" s="3">
        <f t="shared" si="11"/>
        <v>9724.56</v>
      </c>
      <c r="Q203" s="3">
        <f t="shared" si="12"/>
        <v>0</v>
      </c>
    </row>
    <row r="204" spans="1:17" x14ac:dyDescent="0.2">
      <c r="A204" s="17">
        <v>709</v>
      </c>
      <c r="B204" s="17">
        <v>1</v>
      </c>
      <c r="C204" s="3" t="s">
        <v>209</v>
      </c>
      <c r="D204" s="3">
        <f>ROUND(Data!AA206*$B$2,2)</f>
        <v>0</v>
      </c>
      <c r="E204" s="3">
        <f>MAX(0,Data!AD206-Data!Y206)</f>
        <v>0</v>
      </c>
      <c r="F204" s="3">
        <f>Data!Y206</f>
        <v>563244.99</v>
      </c>
      <c r="G204" s="3">
        <f>Data!X206</f>
        <v>0</v>
      </c>
      <c r="H204" s="3">
        <f>Data!K206+Data!R206</f>
        <v>306903.38999999996</v>
      </c>
      <c r="I204" s="3">
        <f>Data!I206+Data!L206+Data!M206+Data!N206+Data!O206+Data!S206</f>
        <v>468675.18999999994</v>
      </c>
      <c r="J204" s="3">
        <f>Data!Q206</f>
        <v>0</v>
      </c>
      <c r="K204" s="3">
        <f>Data!J206+Data!P206</f>
        <v>-249311.89</v>
      </c>
      <c r="L204" s="3">
        <f>Data!T206</f>
        <v>0</v>
      </c>
      <c r="M204" s="3">
        <f>ROUND(Data!AB206*$B$2,2)</f>
        <v>0</v>
      </c>
      <c r="N204" s="3">
        <f>Data!U206</f>
        <v>0</v>
      </c>
      <c r="O204" s="3">
        <f t="shared" si="10"/>
        <v>1089511.6799999997</v>
      </c>
      <c r="P204" s="3">
        <f t="shared" si="11"/>
        <v>1089511.6799999997</v>
      </c>
      <c r="Q204" s="3">
        <f t="shared" si="12"/>
        <v>0</v>
      </c>
    </row>
    <row r="205" spans="1:17" x14ac:dyDescent="0.2">
      <c r="A205" s="17">
        <v>712</v>
      </c>
      <c r="B205" s="17">
        <v>1</v>
      </c>
      <c r="C205" s="3" t="s">
        <v>1192</v>
      </c>
      <c r="D205" s="3">
        <f>ROUND(Data!AA207*$B$2,2)</f>
        <v>0</v>
      </c>
      <c r="E205" s="3">
        <f>MAX(0,Data!AD207-Data!Y207)</f>
        <v>0</v>
      </c>
      <c r="F205" s="3">
        <f>Data!Y207</f>
        <v>26674.799999999999</v>
      </c>
      <c r="G205" s="3">
        <f>Data!X207</f>
        <v>21715.31</v>
      </c>
      <c r="H205" s="3">
        <f>Data!K207+Data!R207</f>
        <v>17344.280000000002</v>
      </c>
      <c r="I205" s="3">
        <f>Data!I207+Data!L207+Data!M207+Data!N207+Data!O207+Data!S207</f>
        <v>37319</v>
      </c>
      <c r="J205" s="3">
        <f>Data!Q207</f>
        <v>0</v>
      </c>
      <c r="K205" s="3">
        <f>Data!J207+Data!P207</f>
        <v>12308.630000000001</v>
      </c>
      <c r="L205" s="3">
        <f>Data!T207</f>
        <v>0</v>
      </c>
      <c r="M205" s="3">
        <f>ROUND(Data!AB207*$B$2,2)</f>
        <v>0</v>
      </c>
      <c r="N205" s="3">
        <f>Data!U207</f>
        <v>0</v>
      </c>
      <c r="O205" s="3">
        <f t="shared" si="10"/>
        <v>115362.02</v>
      </c>
      <c r="P205" s="3">
        <f t="shared" si="11"/>
        <v>115362.02</v>
      </c>
      <c r="Q205" s="3">
        <f t="shared" si="12"/>
        <v>0</v>
      </c>
    </row>
    <row r="206" spans="1:17" x14ac:dyDescent="0.2">
      <c r="A206" s="17">
        <v>716</v>
      </c>
      <c r="B206" s="17">
        <v>1</v>
      </c>
      <c r="C206" s="3" t="s">
        <v>211</v>
      </c>
      <c r="D206" s="3">
        <f>ROUND(Data!AA208*$B$2,2)</f>
        <v>0</v>
      </c>
      <c r="E206" s="3">
        <f>MAX(0,Data!AD208-Data!Y208)</f>
        <v>0</v>
      </c>
      <c r="F206" s="3">
        <f>Data!Y208</f>
        <v>63260.97</v>
      </c>
      <c r="G206" s="3">
        <f>Data!X208</f>
        <v>0</v>
      </c>
      <c r="H206" s="3">
        <f>Data!K208+Data!R208</f>
        <v>20944.34</v>
      </c>
      <c r="I206" s="3">
        <f>Data!I208+Data!L208+Data!M208+Data!N208+Data!O208+Data!S208</f>
        <v>0</v>
      </c>
      <c r="J206" s="3">
        <f>Data!Q208</f>
        <v>0</v>
      </c>
      <c r="K206" s="3">
        <f>Data!J208+Data!P208</f>
        <v>12442.61</v>
      </c>
      <c r="L206" s="3">
        <f>Data!T208</f>
        <v>0</v>
      </c>
      <c r="M206" s="3">
        <f>ROUND(Data!AB208*$B$2,2)</f>
        <v>0</v>
      </c>
      <c r="N206" s="3">
        <f>Data!U208</f>
        <v>0</v>
      </c>
      <c r="O206" s="3">
        <f t="shared" si="10"/>
        <v>96647.92</v>
      </c>
      <c r="P206" s="3">
        <f t="shared" si="11"/>
        <v>96647.92</v>
      </c>
      <c r="Q206" s="3">
        <f t="shared" si="12"/>
        <v>0</v>
      </c>
    </row>
    <row r="207" spans="1:17" x14ac:dyDescent="0.2">
      <c r="A207" s="17">
        <v>717</v>
      </c>
      <c r="B207" s="17">
        <v>1</v>
      </c>
      <c r="C207" s="3" t="s">
        <v>212</v>
      </c>
      <c r="D207" s="3">
        <f>ROUND(Data!AA209*$B$2,2)</f>
        <v>0</v>
      </c>
      <c r="E207" s="3">
        <f>MAX(0,Data!AD209-Data!Y209)</f>
        <v>0</v>
      </c>
      <c r="F207" s="3">
        <f>Data!Y209</f>
        <v>55047.71</v>
      </c>
      <c r="G207" s="3">
        <f>Data!X209</f>
        <v>14022.14</v>
      </c>
      <c r="H207" s="3">
        <f>Data!K209+Data!R209</f>
        <v>22430.55</v>
      </c>
      <c r="I207" s="3">
        <f>Data!I209+Data!L209+Data!M209+Data!N209+Data!O209+Data!S209</f>
        <v>0</v>
      </c>
      <c r="J207" s="3">
        <f>Data!Q209</f>
        <v>0</v>
      </c>
      <c r="K207" s="3">
        <f>Data!J209+Data!P209</f>
        <v>-4731.9799999999996</v>
      </c>
      <c r="L207" s="3">
        <f>Data!T209</f>
        <v>0</v>
      </c>
      <c r="M207" s="3">
        <f>ROUND(Data!AB209*$B$2,2)</f>
        <v>0</v>
      </c>
      <c r="N207" s="3">
        <f>Data!U209</f>
        <v>0</v>
      </c>
      <c r="O207" s="3">
        <f t="shared" si="10"/>
        <v>86768.420000000013</v>
      </c>
      <c r="P207" s="3">
        <f t="shared" si="11"/>
        <v>86768.420000000013</v>
      </c>
      <c r="Q207" s="3">
        <f t="shared" si="12"/>
        <v>0</v>
      </c>
    </row>
    <row r="208" spans="1:17" x14ac:dyDescent="0.2">
      <c r="A208" s="17">
        <v>719</v>
      </c>
      <c r="B208" s="17">
        <v>1</v>
      </c>
      <c r="C208" s="3" t="s">
        <v>1193</v>
      </c>
      <c r="D208" s="3">
        <f>ROUND(Data!AA210*$B$2,2)</f>
        <v>0</v>
      </c>
      <c r="E208" s="3">
        <f>MAX(0,Data!AD210-Data!Y210)</f>
        <v>0</v>
      </c>
      <c r="F208" s="3">
        <f>Data!Y210</f>
        <v>893301.55</v>
      </c>
      <c r="G208" s="3">
        <f>Data!X210</f>
        <v>0</v>
      </c>
      <c r="H208" s="3">
        <f>Data!K210+Data!R210</f>
        <v>95054.27</v>
      </c>
      <c r="I208" s="3">
        <f>Data!I210+Data!L210+Data!M210+Data!N210+Data!O210+Data!S210</f>
        <v>0</v>
      </c>
      <c r="J208" s="3">
        <f>Data!Q210</f>
        <v>0</v>
      </c>
      <c r="K208" s="3">
        <f>Data!J210+Data!P210</f>
        <v>136315.53999999998</v>
      </c>
      <c r="L208" s="3">
        <f>Data!T210</f>
        <v>0</v>
      </c>
      <c r="M208" s="3">
        <f>ROUND(Data!AB210*$B$2,2)</f>
        <v>0</v>
      </c>
      <c r="N208" s="3">
        <f>Data!U210</f>
        <v>0</v>
      </c>
      <c r="O208" s="3">
        <f t="shared" si="10"/>
        <v>1124671.3600000001</v>
      </c>
      <c r="P208" s="3">
        <f t="shared" si="11"/>
        <v>1124671.3600000001</v>
      </c>
      <c r="Q208" s="3">
        <f t="shared" si="12"/>
        <v>0</v>
      </c>
    </row>
    <row r="209" spans="1:17" x14ac:dyDescent="0.2">
      <c r="A209" s="17">
        <v>720</v>
      </c>
      <c r="B209" s="17">
        <v>1</v>
      </c>
      <c r="C209" s="3" t="s">
        <v>213</v>
      </c>
      <c r="D209" s="3">
        <f>ROUND(Data!AA211*$B$2,2)</f>
        <v>0</v>
      </c>
      <c r="E209" s="3">
        <f>MAX(0,Data!AD211-Data!Y211)</f>
        <v>0</v>
      </c>
      <c r="F209" s="3">
        <f>Data!Y211</f>
        <v>747920.6</v>
      </c>
      <c r="G209" s="3">
        <f>Data!X211</f>
        <v>5134.3100000000004</v>
      </c>
      <c r="H209" s="3">
        <f>Data!K211+Data!R211</f>
        <v>86246.77</v>
      </c>
      <c r="I209" s="3">
        <f>Data!I211+Data!L211+Data!M211+Data!N211+Data!O211+Data!S211</f>
        <v>0</v>
      </c>
      <c r="J209" s="3">
        <f>Data!Q211</f>
        <v>0</v>
      </c>
      <c r="K209" s="3">
        <f>Data!J211+Data!P211</f>
        <v>42380.14</v>
      </c>
      <c r="L209" s="3">
        <f>Data!T211</f>
        <v>0</v>
      </c>
      <c r="M209" s="3">
        <f>ROUND(Data!AB211*$B$2,2)</f>
        <v>0</v>
      </c>
      <c r="N209" s="3">
        <f>Data!U211</f>
        <v>0</v>
      </c>
      <c r="O209" s="3">
        <f t="shared" si="10"/>
        <v>881681.82000000007</v>
      </c>
      <c r="P209" s="3">
        <f t="shared" si="11"/>
        <v>881681.82000000007</v>
      </c>
      <c r="Q209" s="3">
        <f t="shared" si="12"/>
        <v>0</v>
      </c>
    </row>
    <row r="210" spans="1:17" x14ac:dyDescent="0.2">
      <c r="A210" s="17">
        <v>721</v>
      </c>
      <c r="B210" s="17">
        <v>1</v>
      </c>
      <c r="C210" s="3" t="s">
        <v>214</v>
      </c>
      <c r="D210" s="3">
        <f>ROUND(Data!AA212*$B$2,2)</f>
        <v>0</v>
      </c>
      <c r="E210" s="3">
        <f>MAX(0,Data!AD212-Data!Y212)</f>
        <v>0</v>
      </c>
      <c r="F210" s="3">
        <f>Data!Y212</f>
        <v>161681.19</v>
      </c>
      <c r="G210" s="3">
        <f>Data!X212</f>
        <v>0</v>
      </c>
      <c r="H210" s="3">
        <f>Data!K212+Data!R212</f>
        <v>30696.959999999999</v>
      </c>
      <c r="I210" s="3">
        <f>Data!I212+Data!L212+Data!M212+Data!N212+Data!O212+Data!S212</f>
        <v>0</v>
      </c>
      <c r="J210" s="3">
        <f>Data!Q212</f>
        <v>0</v>
      </c>
      <c r="K210" s="3">
        <f>Data!J212+Data!P212</f>
        <v>8664.65</v>
      </c>
      <c r="L210" s="3">
        <f>Data!T212</f>
        <v>0</v>
      </c>
      <c r="M210" s="3">
        <f>ROUND(Data!AB212*$B$2,2)</f>
        <v>0</v>
      </c>
      <c r="N210" s="3">
        <f>Data!U212</f>
        <v>0</v>
      </c>
      <c r="O210" s="3">
        <f t="shared" si="10"/>
        <v>201042.8</v>
      </c>
      <c r="P210" s="3">
        <f t="shared" si="11"/>
        <v>201042.8</v>
      </c>
      <c r="Q210" s="3">
        <f t="shared" si="12"/>
        <v>0</v>
      </c>
    </row>
    <row r="211" spans="1:17" x14ac:dyDescent="0.2">
      <c r="A211" s="17">
        <v>726</v>
      </c>
      <c r="B211" s="17">
        <v>1</v>
      </c>
      <c r="C211" s="3" t="s">
        <v>215</v>
      </c>
      <c r="D211" s="3">
        <f>ROUND(Data!AA213*$B$2,2)</f>
        <v>0</v>
      </c>
      <c r="E211" s="3">
        <f>MAX(0,Data!AD213-Data!Y213)</f>
        <v>0</v>
      </c>
      <c r="F211" s="3">
        <f>Data!Y213</f>
        <v>783519.3</v>
      </c>
      <c r="G211" s="3">
        <f>Data!X213</f>
        <v>0</v>
      </c>
      <c r="H211" s="3">
        <f>Data!K213+Data!R213</f>
        <v>29471.040000000001</v>
      </c>
      <c r="I211" s="3">
        <f>Data!I213+Data!L213+Data!M213+Data!N213+Data!O213+Data!S213</f>
        <v>0</v>
      </c>
      <c r="J211" s="3">
        <f>Data!Q213</f>
        <v>0</v>
      </c>
      <c r="K211" s="3">
        <f>Data!J213+Data!P213</f>
        <v>29682.2</v>
      </c>
      <c r="L211" s="3">
        <f>Data!T213</f>
        <v>0</v>
      </c>
      <c r="M211" s="3">
        <f>ROUND(Data!AB213*$B$2,2)</f>
        <v>0</v>
      </c>
      <c r="N211" s="3">
        <f>Data!U213</f>
        <v>0</v>
      </c>
      <c r="O211" s="3">
        <f t="shared" si="10"/>
        <v>842672.54</v>
      </c>
      <c r="P211" s="3">
        <f t="shared" si="11"/>
        <v>842672.54</v>
      </c>
      <c r="Q211" s="3">
        <f t="shared" si="12"/>
        <v>0</v>
      </c>
    </row>
    <row r="212" spans="1:17" x14ac:dyDescent="0.2">
      <c r="A212" s="17">
        <v>727</v>
      </c>
      <c r="B212" s="17">
        <v>1</v>
      </c>
      <c r="C212" s="3" t="s">
        <v>216</v>
      </c>
      <c r="D212" s="3">
        <f>ROUND(Data!AA214*$B$2,2)</f>
        <v>0</v>
      </c>
      <c r="E212" s="3">
        <f>MAX(0,Data!AD214-Data!Y214)</f>
        <v>0</v>
      </c>
      <c r="F212" s="3">
        <f>Data!Y214</f>
        <v>115044.4</v>
      </c>
      <c r="G212" s="3">
        <f>Data!X214</f>
        <v>0</v>
      </c>
      <c r="H212" s="3">
        <f>Data!K214+Data!R214</f>
        <v>17769.089999999997</v>
      </c>
      <c r="I212" s="3">
        <f>Data!I214+Data!L214+Data!M214+Data!N214+Data!O214+Data!S214</f>
        <v>0</v>
      </c>
      <c r="J212" s="3">
        <f>Data!Q214</f>
        <v>0</v>
      </c>
      <c r="K212" s="3">
        <f>Data!J214+Data!P214</f>
        <v>33421.880000000005</v>
      </c>
      <c r="L212" s="3">
        <f>Data!T214</f>
        <v>0</v>
      </c>
      <c r="M212" s="3">
        <f>ROUND(Data!AB214*$B$2,2)</f>
        <v>0</v>
      </c>
      <c r="N212" s="3">
        <f>Data!U214</f>
        <v>0</v>
      </c>
      <c r="O212" s="3">
        <f t="shared" si="10"/>
        <v>166235.37</v>
      </c>
      <c r="P212" s="3">
        <f t="shared" si="11"/>
        <v>166235.37</v>
      </c>
      <c r="Q212" s="3">
        <f t="shared" si="12"/>
        <v>0</v>
      </c>
    </row>
    <row r="213" spans="1:17" x14ac:dyDescent="0.2">
      <c r="A213" s="17">
        <v>728</v>
      </c>
      <c r="B213" s="17">
        <v>1</v>
      </c>
      <c r="C213" s="3" t="s">
        <v>217</v>
      </c>
      <c r="D213" s="3">
        <f>ROUND(Data!AA215*$B$2,2)</f>
        <v>0</v>
      </c>
      <c r="E213" s="3">
        <f>MAX(0,Data!AD215-Data!Y215)</f>
        <v>0</v>
      </c>
      <c r="F213" s="3">
        <f>Data!Y215</f>
        <v>1478546.91</v>
      </c>
      <c r="G213" s="3">
        <f>Data!X215</f>
        <v>118407.02</v>
      </c>
      <c r="H213" s="3">
        <f>Data!K215+Data!R215</f>
        <v>91506.77</v>
      </c>
      <c r="I213" s="3">
        <f>Data!I215+Data!L215+Data!M215+Data!N215+Data!O215+Data!S215</f>
        <v>0</v>
      </c>
      <c r="J213" s="3">
        <f>Data!Q215</f>
        <v>0</v>
      </c>
      <c r="K213" s="3">
        <f>Data!J215+Data!P215</f>
        <v>88394.959999999992</v>
      </c>
      <c r="L213" s="3">
        <f>Data!T215</f>
        <v>0</v>
      </c>
      <c r="M213" s="3">
        <f>ROUND(Data!AB215*$B$2,2)</f>
        <v>0</v>
      </c>
      <c r="N213" s="3">
        <f>Data!U215</f>
        <v>0</v>
      </c>
      <c r="O213" s="3">
        <f t="shared" si="10"/>
        <v>1776855.66</v>
      </c>
      <c r="P213" s="3">
        <f t="shared" si="11"/>
        <v>1776855.66</v>
      </c>
      <c r="Q213" s="3">
        <f t="shared" si="12"/>
        <v>0</v>
      </c>
    </row>
    <row r="214" spans="1:17" x14ac:dyDescent="0.2">
      <c r="A214" s="17">
        <v>738</v>
      </c>
      <c r="B214" s="17">
        <v>1</v>
      </c>
      <c r="C214" s="3" t="s">
        <v>218</v>
      </c>
      <c r="D214" s="3">
        <f>ROUND(Data!AA216*$B$2,2)</f>
        <v>0</v>
      </c>
      <c r="E214" s="3">
        <f>MAX(0,Data!AD216-Data!Y216)</f>
        <v>0</v>
      </c>
      <c r="F214" s="3">
        <f>Data!Y216</f>
        <v>34772.33</v>
      </c>
      <c r="G214" s="3">
        <f>Data!X216</f>
        <v>0</v>
      </c>
      <c r="H214" s="3">
        <f>Data!K216+Data!R216</f>
        <v>12363.470000000001</v>
      </c>
      <c r="I214" s="3">
        <f>Data!I216+Data!L216+Data!M216+Data!N216+Data!O216+Data!S216</f>
        <v>0</v>
      </c>
      <c r="J214" s="3">
        <f>Data!Q216</f>
        <v>0</v>
      </c>
      <c r="K214" s="3">
        <f>Data!J216+Data!P216</f>
        <v>13492.25</v>
      </c>
      <c r="L214" s="3">
        <f>Data!T216</f>
        <v>0</v>
      </c>
      <c r="M214" s="3">
        <f>ROUND(Data!AB216*$B$2,2)</f>
        <v>0</v>
      </c>
      <c r="N214" s="3">
        <f>Data!U216</f>
        <v>0</v>
      </c>
      <c r="O214" s="3">
        <f t="shared" si="10"/>
        <v>60628.05</v>
      </c>
      <c r="P214" s="3">
        <f t="shared" si="11"/>
        <v>60628.05</v>
      </c>
      <c r="Q214" s="3">
        <f t="shared" si="12"/>
        <v>0</v>
      </c>
    </row>
    <row r="215" spans="1:17" x14ac:dyDescent="0.2">
      <c r="A215" s="17">
        <v>739</v>
      </c>
      <c r="B215" s="17">
        <v>1</v>
      </c>
      <c r="C215" s="3" t="s">
        <v>219</v>
      </c>
      <c r="D215" s="3">
        <f>ROUND(Data!AA217*$B$2,2)</f>
        <v>0</v>
      </c>
      <c r="E215" s="3">
        <f>MAX(0,Data!AD217-Data!Y217)</f>
        <v>0</v>
      </c>
      <c r="F215" s="3">
        <f>Data!Y217</f>
        <v>43638.03</v>
      </c>
      <c r="G215" s="3">
        <f>Data!X217</f>
        <v>0</v>
      </c>
      <c r="H215" s="3">
        <f>Data!K217+Data!R217</f>
        <v>16047.93</v>
      </c>
      <c r="I215" s="3">
        <f>Data!I217+Data!L217+Data!M217+Data!N217+Data!O217+Data!S217</f>
        <v>0</v>
      </c>
      <c r="J215" s="3">
        <f>Data!Q217</f>
        <v>0</v>
      </c>
      <c r="K215" s="3">
        <f>Data!J217+Data!P217</f>
        <v>8165</v>
      </c>
      <c r="L215" s="3">
        <f>Data!T217</f>
        <v>0</v>
      </c>
      <c r="M215" s="3">
        <f>ROUND(Data!AB217*$B$2,2)</f>
        <v>0</v>
      </c>
      <c r="N215" s="3">
        <f>Data!U217</f>
        <v>0</v>
      </c>
      <c r="O215" s="3">
        <f t="shared" si="10"/>
        <v>67850.959999999992</v>
      </c>
      <c r="P215" s="3">
        <f t="shared" si="11"/>
        <v>67850.959999999992</v>
      </c>
      <c r="Q215" s="3">
        <f t="shared" si="12"/>
        <v>0</v>
      </c>
    </row>
    <row r="216" spans="1:17" x14ac:dyDescent="0.2">
      <c r="A216" s="17">
        <v>740</v>
      </c>
      <c r="B216" s="17">
        <v>1</v>
      </c>
      <c r="C216" s="3" t="s">
        <v>220</v>
      </c>
      <c r="D216" s="3">
        <f>ROUND(Data!AA218*$B$2,2)</f>
        <v>0</v>
      </c>
      <c r="E216" s="3">
        <f>MAX(0,Data!AD218-Data!Y218)</f>
        <v>0</v>
      </c>
      <c r="F216" s="3">
        <f>Data!Y218</f>
        <v>52270.81</v>
      </c>
      <c r="G216" s="3">
        <f>Data!X218</f>
        <v>0</v>
      </c>
      <c r="H216" s="3">
        <f>Data!K218+Data!R218</f>
        <v>20572.010000000002</v>
      </c>
      <c r="I216" s="3">
        <f>Data!I218+Data!L218+Data!M218+Data!N218+Data!O218+Data!S218</f>
        <v>0</v>
      </c>
      <c r="J216" s="3">
        <f>Data!Q218</f>
        <v>0</v>
      </c>
      <c r="K216" s="3">
        <f>Data!J218+Data!P218</f>
        <v>6160.24</v>
      </c>
      <c r="L216" s="3">
        <f>Data!T218</f>
        <v>0</v>
      </c>
      <c r="M216" s="3">
        <f>ROUND(Data!AB218*$B$2,2)</f>
        <v>0</v>
      </c>
      <c r="N216" s="3">
        <f>Data!U218</f>
        <v>0</v>
      </c>
      <c r="O216" s="3">
        <f t="shared" si="10"/>
        <v>79003.060000000012</v>
      </c>
      <c r="P216" s="3">
        <f t="shared" si="11"/>
        <v>79003.060000000012</v>
      </c>
      <c r="Q216" s="3">
        <f t="shared" si="12"/>
        <v>0</v>
      </c>
    </row>
    <row r="217" spans="1:17" x14ac:dyDescent="0.2">
      <c r="A217" s="17">
        <v>741</v>
      </c>
      <c r="B217" s="17">
        <v>1</v>
      </c>
      <c r="C217" s="3" t="s">
        <v>221</v>
      </c>
      <c r="D217" s="3">
        <f>ROUND(Data!AA219*$B$2,2)</f>
        <v>0</v>
      </c>
      <c r="E217" s="3">
        <f>MAX(0,Data!AD219-Data!Y219)</f>
        <v>0</v>
      </c>
      <c r="F217" s="3">
        <f>Data!Y219</f>
        <v>50390.3</v>
      </c>
      <c r="G217" s="3">
        <f>Data!X219</f>
        <v>14724.96</v>
      </c>
      <c r="H217" s="3">
        <f>Data!K219+Data!R219</f>
        <v>24453.309999999998</v>
      </c>
      <c r="I217" s="3">
        <f>Data!I219+Data!L219+Data!M219+Data!N219+Data!O219+Data!S219</f>
        <v>0</v>
      </c>
      <c r="J217" s="3">
        <f>Data!Q219</f>
        <v>0</v>
      </c>
      <c r="K217" s="3">
        <f>Data!J219+Data!P219</f>
        <v>3563.4700000000003</v>
      </c>
      <c r="L217" s="3">
        <f>Data!T219</f>
        <v>0</v>
      </c>
      <c r="M217" s="3">
        <f>ROUND(Data!AB219*$B$2,2)</f>
        <v>0</v>
      </c>
      <c r="N217" s="3">
        <f>Data!U219</f>
        <v>0</v>
      </c>
      <c r="O217" s="3">
        <f t="shared" si="10"/>
        <v>93132.040000000008</v>
      </c>
      <c r="P217" s="3">
        <f t="shared" si="11"/>
        <v>93132.040000000008</v>
      </c>
      <c r="Q217" s="3">
        <f t="shared" si="12"/>
        <v>0</v>
      </c>
    </row>
    <row r="218" spans="1:17" x14ac:dyDescent="0.2">
      <c r="A218" s="17">
        <v>742</v>
      </c>
      <c r="B218" s="17">
        <v>1</v>
      </c>
      <c r="C218" s="3" t="s">
        <v>222</v>
      </c>
      <c r="D218" s="3">
        <f>ROUND(Data!AA220*$B$2,2)</f>
        <v>0</v>
      </c>
      <c r="E218" s="3">
        <f>MAX(0,Data!AD220-Data!Y220)</f>
        <v>0</v>
      </c>
      <c r="F218" s="3">
        <f>Data!Y220</f>
        <v>1164341.68</v>
      </c>
      <c r="G218" s="3">
        <f>Data!X220</f>
        <v>0</v>
      </c>
      <c r="H218" s="3">
        <f>Data!K220+Data!R220</f>
        <v>199692.03</v>
      </c>
      <c r="I218" s="3">
        <f>Data!I220+Data!L220+Data!M220+Data!N220+Data!O220+Data!S220</f>
        <v>622.20000000000005</v>
      </c>
      <c r="J218" s="3">
        <f>Data!Q220</f>
        <v>0</v>
      </c>
      <c r="K218" s="3">
        <f>Data!J220+Data!P220</f>
        <v>-31155.630000000005</v>
      </c>
      <c r="L218" s="3">
        <f>Data!T220</f>
        <v>0</v>
      </c>
      <c r="M218" s="3">
        <f>ROUND(Data!AB220*$B$2,2)</f>
        <v>0</v>
      </c>
      <c r="N218" s="3">
        <f>Data!U220</f>
        <v>0</v>
      </c>
      <c r="O218" s="3">
        <f t="shared" si="10"/>
        <v>1333500.2799999998</v>
      </c>
      <c r="P218" s="3">
        <f t="shared" si="11"/>
        <v>1333500.2799999998</v>
      </c>
      <c r="Q218" s="3">
        <f t="shared" si="12"/>
        <v>0</v>
      </c>
    </row>
    <row r="219" spans="1:17" x14ac:dyDescent="0.2">
      <c r="A219" s="17">
        <v>743</v>
      </c>
      <c r="B219" s="17">
        <v>1</v>
      </c>
      <c r="C219" s="3" t="s">
        <v>223</v>
      </c>
      <c r="D219" s="3">
        <f>ROUND(Data!AA221*$B$2,2)</f>
        <v>0</v>
      </c>
      <c r="E219" s="3">
        <f>MAX(0,Data!AD221-Data!Y221)</f>
        <v>0</v>
      </c>
      <c r="F219" s="3">
        <f>Data!Y221</f>
        <v>35407.78</v>
      </c>
      <c r="G219" s="3">
        <f>Data!X221</f>
        <v>0</v>
      </c>
      <c r="H219" s="3">
        <f>Data!K221+Data!R221</f>
        <v>29953.140000000003</v>
      </c>
      <c r="I219" s="3">
        <f>Data!I221+Data!L221+Data!M221+Data!N221+Data!O221+Data!S221</f>
        <v>0</v>
      </c>
      <c r="J219" s="3">
        <f>Data!Q221</f>
        <v>0</v>
      </c>
      <c r="K219" s="3">
        <f>Data!J221+Data!P221</f>
        <v>6285.77</v>
      </c>
      <c r="L219" s="3">
        <f>Data!T221</f>
        <v>0</v>
      </c>
      <c r="M219" s="3">
        <f>ROUND(Data!AB221*$B$2,2)</f>
        <v>0</v>
      </c>
      <c r="N219" s="3">
        <f>Data!U221</f>
        <v>0</v>
      </c>
      <c r="O219" s="3">
        <f t="shared" si="10"/>
        <v>71646.69</v>
      </c>
      <c r="P219" s="3">
        <f t="shared" si="11"/>
        <v>71646.69</v>
      </c>
      <c r="Q219" s="3">
        <f t="shared" si="12"/>
        <v>0</v>
      </c>
    </row>
    <row r="220" spans="1:17" x14ac:dyDescent="0.2">
      <c r="A220" s="17">
        <v>745</v>
      </c>
      <c r="B220" s="17">
        <v>1</v>
      </c>
      <c r="C220" s="3" t="s">
        <v>224</v>
      </c>
      <c r="D220" s="3">
        <f>ROUND(Data!AA222*$B$2,2)</f>
        <v>0</v>
      </c>
      <c r="E220" s="3">
        <f>MAX(0,Data!AD222-Data!Y222)</f>
        <v>0</v>
      </c>
      <c r="F220" s="3">
        <f>Data!Y222</f>
        <v>60324.53</v>
      </c>
      <c r="G220" s="3">
        <f>Data!X222</f>
        <v>0</v>
      </c>
      <c r="H220" s="3">
        <f>Data!K222+Data!R222</f>
        <v>19049.259999999998</v>
      </c>
      <c r="I220" s="3">
        <f>Data!I222+Data!L222+Data!M222+Data!N222+Data!O222+Data!S222</f>
        <v>0</v>
      </c>
      <c r="J220" s="3">
        <f>Data!Q222</f>
        <v>0</v>
      </c>
      <c r="K220" s="3">
        <f>Data!J222+Data!P222</f>
        <v>16028.1</v>
      </c>
      <c r="L220" s="3">
        <f>Data!T222</f>
        <v>0</v>
      </c>
      <c r="M220" s="3">
        <f>ROUND(Data!AB222*$B$2,2)</f>
        <v>0</v>
      </c>
      <c r="N220" s="3">
        <f>Data!U222</f>
        <v>0</v>
      </c>
      <c r="O220" s="3">
        <f t="shared" si="10"/>
        <v>95401.89</v>
      </c>
      <c r="P220" s="3">
        <f t="shared" si="11"/>
        <v>95401.89</v>
      </c>
      <c r="Q220" s="3">
        <f t="shared" si="12"/>
        <v>0</v>
      </c>
    </row>
    <row r="221" spans="1:17" x14ac:dyDescent="0.2">
      <c r="A221" s="17">
        <v>748</v>
      </c>
      <c r="B221" s="17">
        <v>1</v>
      </c>
      <c r="C221" s="3" t="s">
        <v>1194</v>
      </c>
      <c r="D221" s="3">
        <f>ROUND(Data!AA223*$B$2,2)</f>
        <v>0</v>
      </c>
      <c r="E221" s="3">
        <f>MAX(0,Data!AD223-Data!Y223)</f>
        <v>0</v>
      </c>
      <c r="F221" s="3">
        <f>Data!Y223</f>
        <v>92655.9</v>
      </c>
      <c r="G221" s="3">
        <f>Data!X223</f>
        <v>0</v>
      </c>
      <c r="H221" s="3">
        <f>Data!K223+Data!R223</f>
        <v>96934.79</v>
      </c>
      <c r="I221" s="3">
        <f>Data!I223+Data!L223+Data!M223+Data!N223+Data!O223+Data!S223</f>
        <v>0</v>
      </c>
      <c r="J221" s="3">
        <f>Data!Q223</f>
        <v>0</v>
      </c>
      <c r="K221" s="3">
        <f>Data!J223+Data!P223</f>
        <v>46296.55</v>
      </c>
      <c r="L221" s="3">
        <f>Data!T223</f>
        <v>0</v>
      </c>
      <c r="M221" s="3">
        <f>ROUND(Data!AB223*$B$2,2)</f>
        <v>0</v>
      </c>
      <c r="N221" s="3">
        <f>Data!U223</f>
        <v>0</v>
      </c>
      <c r="O221" s="3">
        <f t="shared" si="10"/>
        <v>235887.24</v>
      </c>
      <c r="P221" s="3">
        <f t="shared" si="11"/>
        <v>235887.24</v>
      </c>
      <c r="Q221" s="3">
        <f t="shared" si="12"/>
        <v>0</v>
      </c>
    </row>
    <row r="222" spans="1:17" x14ac:dyDescent="0.2">
      <c r="A222" s="17">
        <v>750</v>
      </c>
      <c r="B222" s="17">
        <v>1</v>
      </c>
      <c r="C222" s="3" t="s">
        <v>226</v>
      </c>
      <c r="D222" s="3">
        <f>ROUND(Data!AA224*$B$2,2)</f>
        <v>0</v>
      </c>
      <c r="E222" s="3">
        <f>MAX(0,Data!AD224-Data!Y224)</f>
        <v>0</v>
      </c>
      <c r="F222" s="3">
        <f>Data!Y224</f>
        <v>110156.45</v>
      </c>
      <c r="G222" s="3">
        <f>Data!X224</f>
        <v>0</v>
      </c>
      <c r="H222" s="3">
        <f>Data!K224+Data!R224</f>
        <v>27672.800000000003</v>
      </c>
      <c r="I222" s="3">
        <f>Data!I224+Data!L224+Data!M224+Data!N224+Data!O224+Data!S224</f>
        <v>0</v>
      </c>
      <c r="J222" s="3">
        <f>Data!Q224</f>
        <v>0</v>
      </c>
      <c r="K222" s="3">
        <f>Data!J224+Data!P224</f>
        <v>25591.45</v>
      </c>
      <c r="L222" s="3">
        <f>Data!T224</f>
        <v>0</v>
      </c>
      <c r="M222" s="3">
        <f>ROUND(Data!AB224*$B$2,2)</f>
        <v>0</v>
      </c>
      <c r="N222" s="3">
        <f>Data!U224</f>
        <v>0</v>
      </c>
      <c r="O222" s="3">
        <f t="shared" si="10"/>
        <v>163420.70000000001</v>
      </c>
      <c r="P222" s="3">
        <f t="shared" si="11"/>
        <v>163420.70000000001</v>
      </c>
      <c r="Q222" s="3">
        <f t="shared" si="12"/>
        <v>0</v>
      </c>
    </row>
    <row r="223" spans="1:17" x14ac:dyDescent="0.2">
      <c r="A223" s="17">
        <v>756</v>
      </c>
      <c r="B223" s="17">
        <v>1</v>
      </c>
      <c r="C223" s="3" t="s">
        <v>227</v>
      </c>
      <c r="D223" s="3">
        <f>ROUND(Data!AA225*$B$2,2)</f>
        <v>0</v>
      </c>
      <c r="E223" s="3">
        <f>MAX(0,Data!AD225-Data!Y225)</f>
        <v>0</v>
      </c>
      <c r="F223" s="3">
        <f>Data!Y225</f>
        <v>49372.4</v>
      </c>
      <c r="G223" s="3">
        <f>Data!X225</f>
        <v>0</v>
      </c>
      <c r="H223" s="3">
        <f>Data!K225+Data!R225</f>
        <v>17994.060000000001</v>
      </c>
      <c r="I223" s="3">
        <f>Data!I225+Data!L225+Data!M225+Data!N225+Data!O225+Data!S225</f>
        <v>0</v>
      </c>
      <c r="J223" s="3">
        <f>Data!Q225</f>
        <v>0</v>
      </c>
      <c r="K223" s="3">
        <f>Data!J225+Data!P225</f>
        <v>14412.75</v>
      </c>
      <c r="L223" s="3">
        <f>Data!T225</f>
        <v>0</v>
      </c>
      <c r="M223" s="3">
        <f>ROUND(Data!AB225*$B$2,2)</f>
        <v>0</v>
      </c>
      <c r="N223" s="3">
        <f>Data!U225</f>
        <v>0</v>
      </c>
      <c r="O223" s="3">
        <f t="shared" si="10"/>
        <v>81779.210000000006</v>
      </c>
      <c r="P223" s="3">
        <f t="shared" si="11"/>
        <v>81779.210000000006</v>
      </c>
      <c r="Q223" s="3">
        <f t="shared" si="12"/>
        <v>0</v>
      </c>
    </row>
    <row r="224" spans="1:17" x14ac:dyDescent="0.2">
      <c r="A224" s="17">
        <v>761</v>
      </c>
      <c r="B224" s="17">
        <v>1</v>
      </c>
      <c r="C224" s="3" t="s">
        <v>228</v>
      </c>
      <c r="D224" s="3">
        <f>ROUND(Data!AA226*$B$2,2)</f>
        <v>0</v>
      </c>
      <c r="E224" s="3">
        <f>MAX(0,Data!AD226-Data!Y226)</f>
        <v>0</v>
      </c>
      <c r="F224" s="3">
        <f>Data!Y226</f>
        <v>339315.37</v>
      </c>
      <c r="G224" s="3">
        <f>Data!X226</f>
        <v>0</v>
      </c>
      <c r="H224" s="3">
        <f>Data!K226+Data!R226</f>
        <v>68257.860000000015</v>
      </c>
      <c r="I224" s="3">
        <f>Data!I226+Data!L226+Data!M226+Data!N226+Data!O226+Data!S226</f>
        <v>0</v>
      </c>
      <c r="J224" s="3">
        <f>Data!Q226</f>
        <v>0</v>
      </c>
      <c r="K224" s="3">
        <f>Data!J226+Data!P226</f>
        <v>81525.88</v>
      </c>
      <c r="L224" s="3">
        <f>Data!T226</f>
        <v>0</v>
      </c>
      <c r="M224" s="3">
        <f>ROUND(Data!AB226*$B$2,2)</f>
        <v>0</v>
      </c>
      <c r="N224" s="3">
        <f>Data!U226</f>
        <v>0</v>
      </c>
      <c r="O224" s="3">
        <f t="shared" si="10"/>
        <v>489099.11</v>
      </c>
      <c r="P224" s="3">
        <f t="shared" si="11"/>
        <v>489099.11</v>
      </c>
      <c r="Q224" s="3">
        <f t="shared" si="12"/>
        <v>0</v>
      </c>
    </row>
    <row r="225" spans="1:17" x14ac:dyDescent="0.2">
      <c r="A225" s="17">
        <v>763</v>
      </c>
      <c r="B225" s="17">
        <v>1</v>
      </c>
      <c r="C225" s="3" t="s">
        <v>229</v>
      </c>
      <c r="D225" s="3">
        <f>ROUND(Data!AA227*$B$2,2)</f>
        <v>0</v>
      </c>
      <c r="E225" s="3">
        <f>MAX(0,Data!AD227-Data!Y227)</f>
        <v>0</v>
      </c>
      <c r="F225" s="3">
        <f>Data!Y227</f>
        <v>82496.66</v>
      </c>
      <c r="G225" s="3">
        <f>Data!X227</f>
        <v>2287.08</v>
      </c>
      <c r="H225" s="3">
        <f>Data!K227+Data!R227</f>
        <v>4952.67</v>
      </c>
      <c r="I225" s="3">
        <f>Data!I227+Data!L227+Data!M227+Data!N227+Data!O227+Data!S227</f>
        <v>0</v>
      </c>
      <c r="J225" s="3">
        <f>Data!Q227</f>
        <v>0</v>
      </c>
      <c r="K225" s="3">
        <f>Data!J227+Data!P227</f>
        <v>11092.09</v>
      </c>
      <c r="L225" s="3">
        <f>Data!T227</f>
        <v>0</v>
      </c>
      <c r="M225" s="3">
        <f>ROUND(Data!AB227*$B$2,2)</f>
        <v>0</v>
      </c>
      <c r="N225" s="3">
        <f>Data!U227</f>
        <v>0</v>
      </c>
      <c r="O225" s="3">
        <f t="shared" si="10"/>
        <v>100828.5</v>
      </c>
      <c r="P225" s="3">
        <f t="shared" si="11"/>
        <v>100828.5</v>
      </c>
      <c r="Q225" s="3">
        <f t="shared" si="12"/>
        <v>0</v>
      </c>
    </row>
    <row r="226" spans="1:17" x14ac:dyDescent="0.2">
      <c r="A226" s="17">
        <v>768</v>
      </c>
      <c r="B226" s="17">
        <v>1</v>
      </c>
      <c r="C226" s="3" t="s">
        <v>230</v>
      </c>
      <c r="D226" s="3">
        <f>ROUND(Data!AA228*$B$2,2)</f>
        <v>0</v>
      </c>
      <c r="E226" s="3">
        <f>MAX(0,Data!AD228-Data!Y228)</f>
        <v>0</v>
      </c>
      <c r="F226" s="3">
        <f>Data!Y228</f>
        <v>16918.64</v>
      </c>
      <c r="G226" s="3">
        <f>Data!X228</f>
        <v>0</v>
      </c>
      <c r="H226" s="3">
        <f>Data!K228+Data!R228</f>
        <v>8918.98</v>
      </c>
      <c r="I226" s="3">
        <f>Data!I228+Data!L228+Data!M228+Data!N228+Data!O228+Data!S228</f>
        <v>0</v>
      </c>
      <c r="J226" s="3">
        <f>Data!Q228</f>
        <v>0</v>
      </c>
      <c r="K226" s="3">
        <f>Data!J228+Data!P228</f>
        <v>819.89</v>
      </c>
      <c r="L226" s="3">
        <f>Data!T228</f>
        <v>0</v>
      </c>
      <c r="M226" s="3">
        <f>ROUND(Data!AB228*$B$2,2)</f>
        <v>0</v>
      </c>
      <c r="N226" s="3">
        <f>Data!U228</f>
        <v>0</v>
      </c>
      <c r="O226" s="3">
        <f t="shared" si="10"/>
        <v>26657.51</v>
      </c>
      <c r="P226" s="3">
        <f t="shared" si="11"/>
        <v>26657.51</v>
      </c>
      <c r="Q226" s="3">
        <f t="shared" si="12"/>
        <v>0</v>
      </c>
    </row>
    <row r="227" spans="1:17" x14ac:dyDescent="0.2">
      <c r="A227" s="17">
        <v>771</v>
      </c>
      <c r="B227" s="17">
        <v>1</v>
      </c>
      <c r="C227" s="3" t="s">
        <v>232</v>
      </c>
      <c r="D227" s="3">
        <f>ROUND(Data!AA229*$B$2,2)</f>
        <v>0</v>
      </c>
      <c r="E227" s="3">
        <f>MAX(0,Data!AD229-Data!Y229)</f>
        <v>0</v>
      </c>
      <c r="F227" s="3">
        <f>Data!Y229</f>
        <v>91489.25</v>
      </c>
      <c r="G227" s="3">
        <f>Data!X229</f>
        <v>0</v>
      </c>
      <c r="H227" s="3">
        <f>Data!K229+Data!R229</f>
        <v>11742.86</v>
      </c>
      <c r="I227" s="3">
        <f>Data!I229+Data!L229+Data!M229+Data!N229+Data!O229+Data!S229</f>
        <v>0</v>
      </c>
      <c r="J227" s="3">
        <f>Data!Q229</f>
        <v>0</v>
      </c>
      <c r="K227" s="3">
        <f>Data!J229+Data!P229</f>
        <v>-3891.1400000000003</v>
      </c>
      <c r="L227" s="3">
        <f>Data!T229</f>
        <v>0</v>
      </c>
      <c r="M227" s="3">
        <f>ROUND(Data!AB229*$B$2,2)</f>
        <v>0</v>
      </c>
      <c r="N227" s="3">
        <f>Data!U229</f>
        <v>0</v>
      </c>
      <c r="O227" s="3">
        <f t="shared" si="10"/>
        <v>99340.97</v>
      </c>
      <c r="P227" s="3">
        <f t="shared" si="11"/>
        <v>99340.97</v>
      </c>
      <c r="Q227" s="3">
        <f t="shared" si="12"/>
        <v>0</v>
      </c>
    </row>
    <row r="228" spans="1:17" x14ac:dyDescent="0.2">
      <c r="A228" s="17">
        <v>775</v>
      </c>
      <c r="B228" s="17">
        <v>1</v>
      </c>
      <c r="C228" s="3" t="s">
        <v>1195</v>
      </c>
      <c r="D228" s="3">
        <f>ROUND(Data!AA230*$B$2,2)</f>
        <v>0</v>
      </c>
      <c r="E228" s="3">
        <f>MAX(0,Data!AD230-Data!Y230)</f>
        <v>0</v>
      </c>
      <c r="F228" s="3">
        <f>Data!Y230</f>
        <v>70853.63</v>
      </c>
      <c r="G228" s="3">
        <f>Data!X230</f>
        <v>2763.8</v>
      </c>
      <c r="H228" s="3">
        <f>Data!K230+Data!R230</f>
        <v>14690.670000000002</v>
      </c>
      <c r="I228" s="3">
        <f>Data!I230+Data!L230+Data!M230+Data!N230+Data!O230+Data!S230</f>
        <v>14401.35</v>
      </c>
      <c r="J228" s="3">
        <f>Data!Q230</f>
        <v>0</v>
      </c>
      <c r="K228" s="3">
        <f>Data!J230+Data!P230</f>
        <v>-8428.76</v>
      </c>
      <c r="L228" s="3">
        <f>Data!T230</f>
        <v>0</v>
      </c>
      <c r="M228" s="3">
        <f>ROUND(Data!AB230*$B$2,2)</f>
        <v>0</v>
      </c>
      <c r="N228" s="3">
        <f>Data!U230</f>
        <v>0</v>
      </c>
      <c r="O228" s="3">
        <f t="shared" si="10"/>
        <v>94280.690000000017</v>
      </c>
      <c r="P228" s="3">
        <f t="shared" si="11"/>
        <v>94280.690000000017</v>
      </c>
      <c r="Q228" s="3">
        <f t="shared" si="12"/>
        <v>0</v>
      </c>
    </row>
    <row r="229" spans="1:17" x14ac:dyDescent="0.2">
      <c r="A229" s="17">
        <v>777</v>
      </c>
      <c r="B229" s="17">
        <v>1</v>
      </c>
      <c r="C229" s="3" t="s">
        <v>234</v>
      </c>
      <c r="D229" s="3">
        <f>ROUND(Data!AA231*$B$2,2)</f>
        <v>0</v>
      </c>
      <c r="E229" s="3">
        <f>MAX(0,Data!AD231-Data!Y231)</f>
        <v>0</v>
      </c>
      <c r="F229" s="3">
        <f>Data!Y231</f>
        <v>57663.73</v>
      </c>
      <c r="G229" s="3">
        <f>Data!X231</f>
        <v>0</v>
      </c>
      <c r="H229" s="3">
        <f>Data!K231+Data!R231</f>
        <v>32881.22</v>
      </c>
      <c r="I229" s="3">
        <f>Data!I231+Data!L231+Data!M231+Data!N231+Data!O231+Data!S231</f>
        <v>0</v>
      </c>
      <c r="J229" s="3">
        <f>Data!Q231</f>
        <v>0</v>
      </c>
      <c r="K229" s="3">
        <f>Data!J231+Data!P231</f>
        <v>12376.25</v>
      </c>
      <c r="L229" s="3">
        <f>Data!T231</f>
        <v>0</v>
      </c>
      <c r="M229" s="3">
        <f>ROUND(Data!AB231*$B$2,2)</f>
        <v>0</v>
      </c>
      <c r="N229" s="3">
        <f>Data!U231</f>
        <v>0</v>
      </c>
      <c r="O229" s="3">
        <f t="shared" si="10"/>
        <v>102921.20000000001</v>
      </c>
      <c r="P229" s="3">
        <f t="shared" si="11"/>
        <v>102921.20000000001</v>
      </c>
      <c r="Q229" s="3">
        <f t="shared" si="12"/>
        <v>0</v>
      </c>
    </row>
    <row r="230" spans="1:17" x14ac:dyDescent="0.2">
      <c r="A230" s="17">
        <v>786</v>
      </c>
      <c r="B230" s="17">
        <v>1</v>
      </c>
      <c r="C230" s="3" t="s">
        <v>235</v>
      </c>
      <c r="D230" s="3">
        <f>ROUND(Data!AA232*$B$2,2)</f>
        <v>0</v>
      </c>
      <c r="E230" s="3">
        <f>MAX(0,Data!AD232-Data!Y232)</f>
        <v>0</v>
      </c>
      <c r="F230" s="3">
        <f>Data!Y232</f>
        <v>9085.75</v>
      </c>
      <c r="G230" s="3">
        <f>Data!X232</f>
        <v>0</v>
      </c>
      <c r="H230" s="3">
        <f>Data!K232+Data!R232</f>
        <v>3189.76</v>
      </c>
      <c r="I230" s="3">
        <f>Data!I232+Data!L232+Data!M232+Data!N232+Data!O232+Data!S232</f>
        <v>0</v>
      </c>
      <c r="J230" s="3">
        <f>Data!Q232</f>
        <v>0</v>
      </c>
      <c r="K230" s="3">
        <f>Data!J232+Data!P232</f>
        <v>-3926.6499999999996</v>
      </c>
      <c r="L230" s="3">
        <f>Data!T232</f>
        <v>0</v>
      </c>
      <c r="M230" s="3">
        <f>ROUND(Data!AB232*$B$2,2)</f>
        <v>0</v>
      </c>
      <c r="N230" s="3">
        <f>Data!U232</f>
        <v>0</v>
      </c>
      <c r="O230" s="3">
        <f t="shared" si="10"/>
        <v>8348.86</v>
      </c>
      <c r="P230" s="3">
        <f t="shared" si="11"/>
        <v>8348.86</v>
      </c>
      <c r="Q230" s="3">
        <f t="shared" si="12"/>
        <v>0</v>
      </c>
    </row>
    <row r="231" spans="1:17" x14ac:dyDescent="0.2">
      <c r="A231" s="17">
        <v>787</v>
      </c>
      <c r="B231" s="17">
        <v>1</v>
      </c>
      <c r="C231" s="3" t="s">
        <v>236</v>
      </c>
      <c r="D231" s="3">
        <f>ROUND(Data!AA233*$B$2,2)</f>
        <v>0</v>
      </c>
      <c r="E231" s="3">
        <f>MAX(0,Data!AD233-Data!Y233)</f>
        <v>0</v>
      </c>
      <c r="F231" s="3">
        <f>Data!Y233</f>
        <v>16243.15</v>
      </c>
      <c r="G231" s="3">
        <f>Data!X233</f>
        <v>0</v>
      </c>
      <c r="H231" s="3">
        <f>Data!K233+Data!R233</f>
        <v>11029.439999999999</v>
      </c>
      <c r="I231" s="3">
        <f>Data!I233+Data!L233+Data!M233+Data!N233+Data!O233+Data!S233</f>
        <v>0</v>
      </c>
      <c r="J231" s="3">
        <f>Data!Q233</f>
        <v>-10000</v>
      </c>
      <c r="K231" s="3">
        <f>Data!J233+Data!P233</f>
        <v>10000</v>
      </c>
      <c r="L231" s="3">
        <f>Data!T233</f>
        <v>0</v>
      </c>
      <c r="M231" s="3">
        <f>ROUND(Data!AB233*$B$2,2)</f>
        <v>0</v>
      </c>
      <c r="N231" s="3">
        <f>Data!U233</f>
        <v>0</v>
      </c>
      <c r="O231" s="3">
        <f t="shared" si="10"/>
        <v>27272.589999999997</v>
      </c>
      <c r="P231" s="3">
        <f t="shared" si="11"/>
        <v>27272.589999999997</v>
      </c>
      <c r="Q231" s="3">
        <f t="shared" si="12"/>
        <v>0</v>
      </c>
    </row>
    <row r="232" spans="1:17" x14ac:dyDescent="0.2">
      <c r="A232" s="17">
        <v>801</v>
      </c>
      <c r="B232" s="17">
        <v>1</v>
      </c>
      <c r="C232" s="3" t="s">
        <v>237</v>
      </c>
      <c r="D232" s="3">
        <f>ROUND(Data!AA234*$B$2,2)</f>
        <v>0</v>
      </c>
      <c r="E232" s="3">
        <f>MAX(0,Data!AD234-Data!Y234)</f>
        <v>0</v>
      </c>
      <c r="F232" s="3">
        <f>Data!Y234</f>
        <v>38455.82</v>
      </c>
      <c r="G232" s="3">
        <f>Data!X234</f>
        <v>1041.8699999999999</v>
      </c>
      <c r="H232" s="3">
        <f>Data!K234+Data!R234</f>
        <v>0</v>
      </c>
      <c r="I232" s="3">
        <f>Data!I234+Data!L234+Data!M234+Data!N234+Data!O234+Data!S234</f>
        <v>0</v>
      </c>
      <c r="J232" s="3">
        <f>Data!Q234</f>
        <v>-1339</v>
      </c>
      <c r="K232" s="3">
        <f>Data!J234+Data!P234</f>
        <v>1339</v>
      </c>
      <c r="L232" s="3">
        <f>Data!T234</f>
        <v>0</v>
      </c>
      <c r="M232" s="3">
        <f>ROUND(Data!AB234*$B$2,2)</f>
        <v>0</v>
      </c>
      <c r="N232" s="3">
        <f>Data!U234</f>
        <v>0</v>
      </c>
      <c r="O232" s="3">
        <f t="shared" si="10"/>
        <v>39497.69</v>
      </c>
      <c r="P232" s="3">
        <f t="shared" si="11"/>
        <v>39497.69</v>
      </c>
      <c r="Q232" s="3">
        <f t="shared" si="12"/>
        <v>0</v>
      </c>
    </row>
    <row r="233" spans="1:17" x14ac:dyDescent="0.2">
      <c r="A233" s="17">
        <v>803</v>
      </c>
      <c r="B233" s="17">
        <v>1</v>
      </c>
      <c r="C233" s="3" t="s">
        <v>238</v>
      </c>
      <c r="D233" s="3">
        <f>ROUND(Data!AA235*$B$2,2)</f>
        <v>0</v>
      </c>
      <c r="E233" s="3">
        <f>MAX(0,Data!AD235-Data!Y235)</f>
        <v>0</v>
      </c>
      <c r="F233" s="3">
        <f>Data!Y235</f>
        <v>87665.33</v>
      </c>
      <c r="G233" s="3">
        <f>Data!X235</f>
        <v>0</v>
      </c>
      <c r="H233" s="3">
        <f>Data!K235+Data!R235</f>
        <v>11742.86</v>
      </c>
      <c r="I233" s="3">
        <f>Data!I235+Data!L235+Data!M235+Data!N235+Data!O235+Data!S235</f>
        <v>0</v>
      </c>
      <c r="J233" s="3">
        <f>Data!Q235</f>
        <v>0</v>
      </c>
      <c r="K233" s="3">
        <f>Data!J235+Data!P235</f>
        <v>2000</v>
      </c>
      <c r="L233" s="3">
        <f>Data!T235</f>
        <v>0</v>
      </c>
      <c r="M233" s="3">
        <f>ROUND(Data!AB235*$B$2,2)</f>
        <v>0</v>
      </c>
      <c r="N233" s="3">
        <f>Data!U235</f>
        <v>0</v>
      </c>
      <c r="O233" s="3">
        <f t="shared" si="10"/>
        <v>101408.19</v>
      </c>
      <c r="P233" s="3">
        <f t="shared" si="11"/>
        <v>101408.19</v>
      </c>
      <c r="Q233" s="3">
        <f t="shared" si="12"/>
        <v>0</v>
      </c>
    </row>
    <row r="234" spans="1:17" x14ac:dyDescent="0.2">
      <c r="A234" s="17">
        <v>811</v>
      </c>
      <c r="B234" s="17">
        <v>1</v>
      </c>
      <c r="C234" s="3" t="s">
        <v>239</v>
      </c>
      <c r="D234" s="3">
        <f>ROUND(Data!AA236*$B$2,2)</f>
        <v>0</v>
      </c>
      <c r="E234" s="3">
        <f>MAX(0,Data!AD236-Data!Y236)</f>
        <v>0</v>
      </c>
      <c r="F234" s="3">
        <f>Data!Y236</f>
        <v>59013.4</v>
      </c>
      <c r="G234" s="3">
        <f>Data!X236</f>
        <v>0</v>
      </c>
      <c r="H234" s="3">
        <f>Data!K236+Data!R236</f>
        <v>19875.810000000001</v>
      </c>
      <c r="I234" s="3">
        <f>Data!I236+Data!L236+Data!M236+Data!N236+Data!O236+Data!S236</f>
        <v>0</v>
      </c>
      <c r="J234" s="3">
        <f>Data!Q236</f>
        <v>0</v>
      </c>
      <c r="K234" s="3">
        <f>Data!J236+Data!P236</f>
        <v>8158.91</v>
      </c>
      <c r="L234" s="3">
        <f>Data!T236</f>
        <v>0</v>
      </c>
      <c r="M234" s="3">
        <f>ROUND(Data!AB236*$B$2,2)</f>
        <v>0</v>
      </c>
      <c r="N234" s="3">
        <f>Data!U236</f>
        <v>0</v>
      </c>
      <c r="O234" s="3">
        <f t="shared" si="10"/>
        <v>87048.12000000001</v>
      </c>
      <c r="P234" s="3">
        <f t="shared" si="11"/>
        <v>87048.12000000001</v>
      </c>
      <c r="Q234" s="3">
        <f t="shared" si="12"/>
        <v>0</v>
      </c>
    </row>
    <row r="235" spans="1:17" x14ac:dyDescent="0.2">
      <c r="A235" s="17">
        <v>813</v>
      </c>
      <c r="B235" s="17">
        <v>1</v>
      </c>
      <c r="C235" s="3" t="s">
        <v>240</v>
      </c>
      <c r="D235" s="3">
        <f>ROUND(Data!AA237*$B$2,2)</f>
        <v>0</v>
      </c>
      <c r="E235" s="3">
        <f>MAX(0,Data!AD237-Data!Y237)</f>
        <v>0</v>
      </c>
      <c r="F235" s="3">
        <f>Data!Y237</f>
        <v>0</v>
      </c>
      <c r="G235" s="3">
        <f>Data!X237</f>
        <v>0</v>
      </c>
      <c r="H235" s="3">
        <f>Data!K237+Data!R237</f>
        <v>30449.14</v>
      </c>
      <c r="I235" s="3">
        <f>Data!I237+Data!L237+Data!M237+Data!N237+Data!O237+Data!S237</f>
        <v>0</v>
      </c>
      <c r="J235" s="3">
        <f>Data!Q237</f>
        <v>0</v>
      </c>
      <c r="K235" s="3">
        <f>Data!J237+Data!P237</f>
        <v>-12358.4</v>
      </c>
      <c r="L235" s="3">
        <f>Data!T237</f>
        <v>0</v>
      </c>
      <c r="M235" s="3">
        <f>ROUND(Data!AB237*$B$2,2)</f>
        <v>0</v>
      </c>
      <c r="N235" s="3">
        <f>Data!U237</f>
        <v>0</v>
      </c>
      <c r="O235" s="3">
        <f t="shared" si="10"/>
        <v>18090.739999999998</v>
      </c>
      <c r="P235" s="3">
        <f t="shared" si="11"/>
        <v>18090.739999999998</v>
      </c>
      <c r="Q235" s="3">
        <f t="shared" si="12"/>
        <v>0</v>
      </c>
    </row>
    <row r="236" spans="1:17" x14ac:dyDescent="0.2">
      <c r="A236" s="17">
        <v>815</v>
      </c>
      <c r="B236" s="17">
        <v>2</v>
      </c>
      <c r="C236" s="3" t="s">
        <v>241</v>
      </c>
      <c r="D236" s="3">
        <f>ROUND(Data!AA238*$B$2,2)</f>
        <v>0</v>
      </c>
      <c r="E236" s="3">
        <f>MAX(0,Data!AD238-Data!Y238)</f>
        <v>0</v>
      </c>
      <c r="F236" s="3">
        <f>Data!Y238</f>
        <v>0</v>
      </c>
      <c r="G236" s="3">
        <f>Data!X238</f>
        <v>0</v>
      </c>
      <c r="H236" s="3">
        <f>Data!K238+Data!R238</f>
        <v>0</v>
      </c>
      <c r="I236" s="3">
        <f>Data!I238+Data!L238+Data!M238+Data!N238+Data!O238+Data!S238</f>
        <v>0</v>
      </c>
      <c r="J236" s="3">
        <f>Data!Q238</f>
        <v>0</v>
      </c>
      <c r="K236" s="3">
        <f>Data!J238+Data!P238</f>
        <v>0</v>
      </c>
      <c r="L236" s="3">
        <f>Data!T238</f>
        <v>0</v>
      </c>
      <c r="M236" s="3">
        <f>ROUND(Data!AB238*$B$2,2)</f>
        <v>0</v>
      </c>
      <c r="N236" s="3">
        <f>Data!U238</f>
        <v>0</v>
      </c>
      <c r="O236" s="3">
        <f t="shared" si="10"/>
        <v>0</v>
      </c>
      <c r="P236" s="3">
        <f t="shared" si="11"/>
        <v>0</v>
      </c>
      <c r="Q236" s="3">
        <f t="shared" si="12"/>
        <v>0</v>
      </c>
    </row>
    <row r="237" spans="1:17" x14ac:dyDescent="0.2">
      <c r="A237" s="17">
        <v>818</v>
      </c>
      <c r="B237" s="17">
        <v>1</v>
      </c>
      <c r="C237" s="3" t="s">
        <v>242</v>
      </c>
      <c r="D237" s="3">
        <f>ROUND(Data!AA239*$B$2,2)</f>
        <v>0</v>
      </c>
      <c r="E237" s="3">
        <f>MAX(0,Data!AD239-Data!Y239)</f>
        <v>0</v>
      </c>
      <c r="F237" s="3">
        <f>Data!Y239</f>
        <v>10032.65</v>
      </c>
      <c r="G237" s="3">
        <f>Data!X239</f>
        <v>0</v>
      </c>
      <c r="H237" s="3">
        <f>Data!K239+Data!R239</f>
        <v>2495.0600000000004</v>
      </c>
      <c r="I237" s="3">
        <f>Data!I239+Data!L239+Data!M239+Data!N239+Data!O239+Data!S239</f>
        <v>0</v>
      </c>
      <c r="J237" s="3">
        <f>Data!Q239</f>
        <v>0</v>
      </c>
      <c r="K237" s="3">
        <f>Data!J239+Data!P239</f>
        <v>5057.6100000000006</v>
      </c>
      <c r="L237" s="3">
        <f>Data!T239</f>
        <v>0</v>
      </c>
      <c r="M237" s="3">
        <f>ROUND(Data!AB239*$B$2,2)</f>
        <v>0</v>
      </c>
      <c r="N237" s="3">
        <f>Data!U239</f>
        <v>0</v>
      </c>
      <c r="O237" s="3">
        <f t="shared" si="10"/>
        <v>17585.32</v>
      </c>
      <c r="P237" s="3">
        <f t="shared" si="11"/>
        <v>17585.32</v>
      </c>
      <c r="Q237" s="3">
        <f t="shared" si="12"/>
        <v>0</v>
      </c>
    </row>
    <row r="238" spans="1:17" x14ac:dyDescent="0.2">
      <c r="A238" s="17">
        <v>820</v>
      </c>
      <c r="B238" s="17">
        <v>1</v>
      </c>
      <c r="C238" s="3" t="s">
        <v>243</v>
      </c>
      <c r="D238" s="3">
        <f>ROUND(Data!AA240*$B$2,2)</f>
        <v>0</v>
      </c>
      <c r="E238" s="3">
        <f>MAX(0,Data!AD240-Data!Y240)</f>
        <v>0</v>
      </c>
      <c r="F238" s="3">
        <f>Data!Y240</f>
        <v>16184.54</v>
      </c>
      <c r="G238" s="3">
        <f>Data!X240</f>
        <v>0</v>
      </c>
      <c r="H238" s="3">
        <f>Data!K240+Data!R240</f>
        <v>14417.350000000002</v>
      </c>
      <c r="I238" s="3">
        <f>Data!I240+Data!L240+Data!M240+Data!N240+Data!O240+Data!S240</f>
        <v>0</v>
      </c>
      <c r="J238" s="3">
        <f>Data!Q240</f>
        <v>-7429.12</v>
      </c>
      <c r="K238" s="3">
        <f>Data!J240+Data!P240</f>
        <v>1617</v>
      </c>
      <c r="L238" s="3">
        <f>Data!T240</f>
        <v>0</v>
      </c>
      <c r="M238" s="3">
        <f>ROUND(Data!AB240*$B$2,2)</f>
        <v>0</v>
      </c>
      <c r="N238" s="3">
        <f>Data!U240</f>
        <v>0</v>
      </c>
      <c r="O238" s="3">
        <f t="shared" si="10"/>
        <v>24789.770000000004</v>
      </c>
      <c r="P238" s="3">
        <f t="shared" si="11"/>
        <v>24789.770000000004</v>
      </c>
      <c r="Q238" s="3">
        <f t="shared" si="12"/>
        <v>0</v>
      </c>
    </row>
    <row r="239" spans="1:17" x14ac:dyDescent="0.2">
      <c r="A239" s="17">
        <v>821</v>
      </c>
      <c r="B239" s="17">
        <v>1</v>
      </c>
      <c r="C239" s="3" t="s">
        <v>244</v>
      </c>
      <c r="D239" s="3">
        <f>ROUND(Data!AA241*$B$2,2)</f>
        <v>0</v>
      </c>
      <c r="E239" s="3">
        <f>MAX(0,Data!AD241-Data!Y241)</f>
        <v>0</v>
      </c>
      <c r="F239" s="3">
        <f>Data!Y241</f>
        <v>0</v>
      </c>
      <c r="G239" s="3">
        <f>Data!X241</f>
        <v>0</v>
      </c>
      <c r="H239" s="3">
        <f>Data!K241+Data!R241</f>
        <v>5610.0300000000007</v>
      </c>
      <c r="I239" s="3">
        <f>Data!I241+Data!L241+Data!M241+Data!N241+Data!O241+Data!S241</f>
        <v>0</v>
      </c>
      <c r="J239" s="3">
        <f>Data!Q241</f>
        <v>0</v>
      </c>
      <c r="K239" s="3">
        <f>Data!J241+Data!P241</f>
        <v>-279.15999999999985</v>
      </c>
      <c r="L239" s="3">
        <f>Data!T241</f>
        <v>0</v>
      </c>
      <c r="M239" s="3">
        <f>ROUND(Data!AB241*$B$2,2)</f>
        <v>0</v>
      </c>
      <c r="N239" s="3">
        <f>Data!U241</f>
        <v>0</v>
      </c>
      <c r="O239" s="3">
        <f t="shared" si="10"/>
        <v>5330.8700000000008</v>
      </c>
      <c r="P239" s="3">
        <f t="shared" si="11"/>
        <v>5330.8700000000008</v>
      </c>
      <c r="Q239" s="3">
        <f t="shared" si="12"/>
        <v>0</v>
      </c>
    </row>
    <row r="240" spans="1:17" x14ac:dyDescent="0.2">
      <c r="A240" s="17">
        <v>829</v>
      </c>
      <c r="B240" s="17">
        <v>1</v>
      </c>
      <c r="C240" s="3" t="s">
        <v>245</v>
      </c>
      <c r="D240" s="3">
        <f>ROUND(Data!AA242*$B$2,2)</f>
        <v>0</v>
      </c>
      <c r="E240" s="3">
        <f>MAX(0,Data!AD242-Data!Y242)</f>
        <v>0</v>
      </c>
      <c r="F240" s="3">
        <f>Data!Y242</f>
        <v>96765.35</v>
      </c>
      <c r="G240" s="3">
        <f>Data!X242</f>
        <v>0</v>
      </c>
      <c r="H240" s="3">
        <f>Data!K242+Data!R242</f>
        <v>27745.399999999998</v>
      </c>
      <c r="I240" s="3">
        <f>Data!I242+Data!L242+Data!M242+Data!N242+Data!O242+Data!S242</f>
        <v>0</v>
      </c>
      <c r="J240" s="3">
        <f>Data!Q242</f>
        <v>0</v>
      </c>
      <c r="K240" s="3">
        <f>Data!J242+Data!P242</f>
        <v>8247.36</v>
      </c>
      <c r="L240" s="3">
        <f>Data!T242</f>
        <v>0</v>
      </c>
      <c r="M240" s="3">
        <f>ROUND(Data!AB242*$B$2,2)</f>
        <v>0</v>
      </c>
      <c r="N240" s="3">
        <f>Data!U242</f>
        <v>0</v>
      </c>
      <c r="O240" s="3">
        <f t="shared" si="10"/>
        <v>132758.10999999999</v>
      </c>
      <c r="P240" s="3">
        <f t="shared" si="11"/>
        <v>132758.10999999999</v>
      </c>
      <c r="Q240" s="3">
        <f t="shared" si="12"/>
        <v>0</v>
      </c>
    </row>
    <row r="241" spans="1:17" x14ac:dyDescent="0.2">
      <c r="A241" s="17">
        <v>831</v>
      </c>
      <c r="B241" s="17">
        <v>1</v>
      </c>
      <c r="C241" s="3" t="s">
        <v>246</v>
      </c>
      <c r="D241" s="3">
        <f>ROUND(Data!AA243*$B$2,2)</f>
        <v>0</v>
      </c>
      <c r="E241" s="3">
        <f>MAX(0,Data!AD243-Data!Y243)</f>
        <v>0</v>
      </c>
      <c r="F241" s="3">
        <f>Data!Y243</f>
        <v>393408.33</v>
      </c>
      <c r="G241" s="3">
        <f>Data!X243</f>
        <v>0</v>
      </c>
      <c r="H241" s="3">
        <f>Data!K243+Data!R243</f>
        <v>106138.50000000001</v>
      </c>
      <c r="I241" s="3">
        <f>Data!I243+Data!L243+Data!M243+Data!N243+Data!O243+Data!S243</f>
        <v>0</v>
      </c>
      <c r="J241" s="3">
        <f>Data!Q243</f>
        <v>0</v>
      </c>
      <c r="K241" s="3">
        <f>Data!J243+Data!P243</f>
        <v>46371.97</v>
      </c>
      <c r="L241" s="3">
        <f>Data!T243</f>
        <v>0</v>
      </c>
      <c r="M241" s="3">
        <f>ROUND(Data!AB243*$B$2,2)</f>
        <v>0</v>
      </c>
      <c r="N241" s="3">
        <f>Data!U243</f>
        <v>0</v>
      </c>
      <c r="O241" s="3">
        <f t="shared" si="10"/>
        <v>545918.80000000005</v>
      </c>
      <c r="P241" s="3">
        <f t="shared" si="11"/>
        <v>545918.80000000005</v>
      </c>
      <c r="Q241" s="3">
        <f t="shared" si="12"/>
        <v>0</v>
      </c>
    </row>
    <row r="242" spans="1:17" x14ac:dyDescent="0.2">
      <c r="A242" s="17">
        <v>832</v>
      </c>
      <c r="B242" s="17">
        <v>1</v>
      </c>
      <c r="C242" s="3" t="s">
        <v>247</v>
      </c>
      <c r="D242" s="3">
        <f>ROUND(Data!AA244*$B$2,2)</f>
        <v>0</v>
      </c>
      <c r="E242" s="3">
        <f>MAX(0,Data!AD244-Data!Y244)</f>
        <v>0</v>
      </c>
      <c r="F242" s="3">
        <f>Data!Y244</f>
        <v>632970.1</v>
      </c>
      <c r="G242" s="3">
        <f>Data!X244</f>
        <v>20881.96</v>
      </c>
      <c r="H242" s="3">
        <f>Data!K244+Data!R244</f>
        <v>47503.520000000004</v>
      </c>
      <c r="I242" s="3">
        <f>Data!I244+Data!L244+Data!M244+Data!N244+Data!O244+Data!S244</f>
        <v>0</v>
      </c>
      <c r="J242" s="3">
        <f>Data!Q244</f>
        <v>0</v>
      </c>
      <c r="K242" s="3">
        <f>Data!J244+Data!P244</f>
        <v>-39884.97</v>
      </c>
      <c r="L242" s="3">
        <f>Data!T244</f>
        <v>0</v>
      </c>
      <c r="M242" s="3">
        <f>ROUND(Data!AB244*$B$2,2)</f>
        <v>0</v>
      </c>
      <c r="N242" s="3">
        <f>Data!U244</f>
        <v>0</v>
      </c>
      <c r="O242" s="3">
        <f t="shared" si="10"/>
        <v>661470.61</v>
      </c>
      <c r="P242" s="3">
        <f t="shared" si="11"/>
        <v>661470.61</v>
      </c>
      <c r="Q242" s="3">
        <f t="shared" si="12"/>
        <v>0</v>
      </c>
    </row>
    <row r="243" spans="1:17" x14ac:dyDescent="0.2">
      <c r="A243" s="17">
        <v>833</v>
      </c>
      <c r="B243" s="17">
        <v>1</v>
      </c>
      <c r="C243" s="3" t="s">
        <v>248</v>
      </c>
      <c r="D243" s="3">
        <f>ROUND(Data!AA245*$B$2,2)</f>
        <v>0</v>
      </c>
      <c r="E243" s="3">
        <f>MAX(0,Data!AD245-Data!Y245)</f>
        <v>0</v>
      </c>
      <c r="F243" s="3">
        <f>Data!Y245</f>
        <v>2822207.2</v>
      </c>
      <c r="G243" s="3">
        <f>Data!X245</f>
        <v>55969.13</v>
      </c>
      <c r="H243" s="3">
        <f>Data!K245+Data!R245</f>
        <v>213155.90999999997</v>
      </c>
      <c r="I243" s="3">
        <f>Data!I245+Data!L245+Data!M245+Data!N245+Data!O245+Data!S245</f>
        <v>0</v>
      </c>
      <c r="J243" s="3">
        <f>Data!Q245</f>
        <v>0</v>
      </c>
      <c r="K243" s="3">
        <f>Data!J245+Data!P245</f>
        <v>156128.52000000002</v>
      </c>
      <c r="L243" s="3">
        <f>Data!T245</f>
        <v>0</v>
      </c>
      <c r="M243" s="3">
        <f>ROUND(Data!AB245*$B$2,2)</f>
        <v>0</v>
      </c>
      <c r="N243" s="3">
        <f>Data!U245</f>
        <v>0</v>
      </c>
      <c r="O243" s="3">
        <f t="shared" si="10"/>
        <v>3247460.7600000002</v>
      </c>
      <c r="P243" s="3">
        <f t="shared" si="11"/>
        <v>3247460.7600000002</v>
      </c>
      <c r="Q243" s="3">
        <f t="shared" si="12"/>
        <v>0</v>
      </c>
    </row>
    <row r="244" spans="1:17" x14ac:dyDescent="0.2">
      <c r="A244" s="17">
        <v>834</v>
      </c>
      <c r="B244" s="17">
        <v>1</v>
      </c>
      <c r="C244" s="3" t="s">
        <v>249</v>
      </c>
      <c r="D244" s="3">
        <f>ROUND(Data!AA246*$B$2,2)</f>
        <v>0</v>
      </c>
      <c r="E244" s="3">
        <f>MAX(0,Data!AD246-Data!Y246)</f>
        <v>0</v>
      </c>
      <c r="F244" s="3">
        <f>Data!Y246</f>
        <v>1639817.77</v>
      </c>
      <c r="G244" s="3">
        <f>Data!X246</f>
        <v>207626.7</v>
      </c>
      <c r="H244" s="3">
        <f>Data!K246+Data!R246</f>
        <v>181750.44</v>
      </c>
      <c r="I244" s="3">
        <f>Data!I246+Data!L246+Data!M246+Data!N246+Data!O246+Data!S246</f>
        <v>0</v>
      </c>
      <c r="J244" s="3">
        <f>Data!Q246</f>
        <v>0</v>
      </c>
      <c r="K244" s="3">
        <f>Data!J246+Data!P246</f>
        <v>108118.63</v>
      </c>
      <c r="L244" s="3">
        <f>Data!T246</f>
        <v>0</v>
      </c>
      <c r="M244" s="3">
        <f>ROUND(Data!AB246*$B$2,2)</f>
        <v>0</v>
      </c>
      <c r="N244" s="3">
        <f>Data!U246</f>
        <v>0</v>
      </c>
      <c r="O244" s="3">
        <f t="shared" si="10"/>
        <v>2137313.54</v>
      </c>
      <c r="P244" s="3">
        <f t="shared" si="11"/>
        <v>2137313.54</v>
      </c>
      <c r="Q244" s="3">
        <f t="shared" si="12"/>
        <v>0</v>
      </c>
    </row>
    <row r="245" spans="1:17" x14ac:dyDescent="0.2">
      <c r="A245" s="17">
        <v>836</v>
      </c>
      <c r="B245" s="17">
        <v>1</v>
      </c>
      <c r="C245" s="3" t="s">
        <v>250</v>
      </c>
      <c r="D245" s="3">
        <f>ROUND(Data!AA247*$B$2,2)</f>
        <v>0</v>
      </c>
      <c r="E245" s="3">
        <f>MAX(0,Data!AD247-Data!Y247)</f>
        <v>0</v>
      </c>
      <c r="F245" s="3">
        <f>Data!Y247</f>
        <v>69875.679999999993</v>
      </c>
      <c r="G245" s="3">
        <f>Data!X247</f>
        <v>0</v>
      </c>
      <c r="H245" s="3">
        <f>Data!K247+Data!R247</f>
        <v>-1665.08</v>
      </c>
      <c r="I245" s="3">
        <f>Data!I247+Data!L247+Data!M247+Data!N247+Data!O247+Data!S247</f>
        <v>0</v>
      </c>
      <c r="J245" s="3">
        <f>Data!Q247</f>
        <v>0</v>
      </c>
      <c r="K245" s="3">
        <f>Data!J247+Data!P247</f>
        <v>1420.17</v>
      </c>
      <c r="L245" s="3">
        <f>Data!T247</f>
        <v>0</v>
      </c>
      <c r="M245" s="3">
        <f>ROUND(Data!AB247*$B$2,2)</f>
        <v>0</v>
      </c>
      <c r="N245" s="3">
        <f>Data!U247</f>
        <v>0</v>
      </c>
      <c r="O245" s="3">
        <f t="shared" si="10"/>
        <v>69630.76999999999</v>
      </c>
      <c r="P245" s="3">
        <f t="shared" si="11"/>
        <v>69630.76999999999</v>
      </c>
      <c r="Q245" s="3">
        <f t="shared" si="12"/>
        <v>0</v>
      </c>
    </row>
    <row r="246" spans="1:17" x14ac:dyDescent="0.2">
      <c r="A246" s="17">
        <v>837</v>
      </c>
      <c r="B246" s="17">
        <v>1</v>
      </c>
      <c r="C246" s="3" t="s">
        <v>251</v>
      </c>
      <c r="D246" s="3">
        <f>ROUND(Data!AA248*$B$2,2)</f>
        <v>0</v>
      </c>
      <c r="E246" s="3">
        <f>MAX(0,Data!AD248-Data!Y248)</f>
        <v>0</v>
      </c>
      <c r="F246" s="3">
        <f>Data!Y248</f>
        <v>78714.820000000007</v>
      </c>
      <c r="G246" s="3">
        <f>Data!X248</f>
        <v>8589.65</v>
      </c>
      <c r="H246" s="3">
        <f>Data!K248+Data!R248</f>
        <v>15542.509999999998</v>
      </c>
      <c r="I246" s="3">
        <f>Data!I248+Data!L248+Data!M248+Data!N248+Data!O248+Data!S248</f>
        <v>0</v>
      </c>
      <c r="J246" s="3">
        <f>Data!Q248</f>
        <v>0</v>
      </c>
      <c r="K246" s="3">
        <f>Data!J248+Data!P248</f>
        <v>24117.71</v>
      </c>
      <c r="L246" s="3">
        <f>Data!T248</f>
        <v>0</v>
      </c>
      <c r="M246" s="3">
        <f>ROUND(Data!AB248*$B$2,2)</f>
        <v>0</v>
      </c>
      <c r="N246" s="3">
        <f>Data!U248</f>
        <v>0</v>
      </c>
      <c r="O246" s="3">
        <f t="shared" si="10"/>
        <v>126964.69</v>
      </c>
      <c r="P246" s="3">
        <f t="shared" si="11"/>
        <v>126964.69</v>
      </c>
      <c r="Q246" s="3">
        <f t="shared" si="12"/>
        <v>0</v>
      </c>
    </row>
    <row r="247" spans="1:17" x14ac:dyDescent="0.2">
      <c r="A247" s="17">
        <v>840</v>
      </c>
      <c r="B247" s="17">
        <v>1</v>
      </c>
      <c r="C247" s="3" t="s">
        <v>252</v>
      </c>
      <c r="D247" s="3">
        <f>ROUND(Data!AA249*$B$2,2)</f>
        <v>0</v>
      </c>
      <c r="E247" s="3">
        <f>MAX(0,Data!AD249-Data!Y249)</f>
        <v>0</v>
      </c>
      <c r="F247" s="3">
        <f>Data!Y249</f>
        <v>66890.06</v>
      </c>
      <c r="G247" s="3">
        <f>Data!X249</f>
        <v>0</v>
      </c>
      <c r="H247" s="3">
        <f>Data!K249+Data!R249</f>
        <v>45749.78</v>
      </c>
      <c r="I247" s="3">
        <f>Data!I249+Data!L249+Data!M249+Data!N249+Data!O249+Data!S249</f>
        <v>0</v>
      </c>
      <c r="J247" s="3">
        <f>Data!Q249</f>
        <v>0</v>
      </c>
      <c r="K247" s="3">
        <f>Data!J249+Data!P249</f>
        <v>8665.85</v>
      </c>
      <c r="L247" s="3">
        <f>Data!T249</f>
        <v>0</v>
      </c>
      <c r="M247" s="3">
        <f>ROUND(Data!AB249*$B$2,2)</f>
        <v>0</v>
      </c>
      <c r="N247" s="3">
        <f>Data!U249</f>
        <v>0</v>
      </c>
      <c r="O247" s="3">
        <f t="shared" si="10"/>
        <v>121305.69</v>
      </c>
      <c r="P247" s="3">
        <f t="shared" si="11"/>
        <v>121305.69</v>
      </c>
      <c r="Q247" s="3">
        <f t="shared" si="12"/>
        <v>0</v>
      </c>
    </row>
    <row r="248" spans="1:17" x14ac:dyDescent="0.2">
      <c r="A248" s="17">
        <v>846</v>
      </c>
      <c r="B248" s="17">
        <v>1</v>
      </c>
      <c r="C248" s="3" t="s">
        <v>253</v>
      </c>
      <c r="D248" s="3">
        <f>ROUND(Data!AA250*$B$2,2)</f>
        <v>0</v>
      </c>
      <c r="E248" s="3">
        <f>MAX(0,Data!AD250-Data!Y250)</f>
        <v>0</v>
      </c>
      <c r="F248" s="3">
        <f>Data!Y250</f>
        <v>18639.04</v>
      </c>
      <c r="G248" s="3">
        <f>Data!X250</f>
        <v>0</v>
      </c>
      <c r="H248" s="3">
        <f>Data!K250+Data!R250</f>
        <v>20275.650000000001</v>
      </c>
      <c r="I248" s="3">
        <f>Data!I250+Data!L250+Data!M250+Data!N250+Data!O250+Data!S250</f>
        <v>0</v>
      </c>
      <c r="J248" s="3">
        <f>Data!Q250</f>
        <v>0</v>
      </c>
      <c r="K248" s="3">
        <f>Data!J250+Data!P250</f>
        <v>5195.17</v>
      </c>
      <c r="L248" s="3">
        <f>Data!T250</f>
        <v>0</v>
      </c>
      <c r="M248" s="3">
        <f>ROUND(Data!AB250*$B$2,2)</f>
        <v>0</v>
      </c>
      <c r="N248" s="3">
        <f>Data!U250</f>
        <v>0</v>
      </c>
      <c r="O248" s="3">
        <f t="shared" si="10"/>
        <v>44109.86</v>
      </c>
      <c r="P248" s="3">
        <f t="shared" si="11"/>
        <v>44109.86</v>
      </c>
      <c r="Q248" s="3">
        <f t="shared" si="12"/>
        <v>0</v>
      </c>
    </row>
    <row r="249" spans="1:17" x14ac:dyDescent="0.2">
      <c r="A249" s="17">
        <v>850</v>
      </c>
      <c r="B249" s="17">
        <v>1</v>
      </c>
      <c r="C249" s="3" t="s">
        <v>254</v>
      </c>
      <c r="D249" s="3">
        <f>ROUND(Data!AA251*$B$2,2)</f>
        <v>0</v>
      </c>
      <c r="E249" s="3">
        <f>MAX(0,Data!AD251-Data!Y251)</f>
        <v>0</v>
      </c>
      <c r="F249" s="3">
        <f>Data!Y251</f>
        <v>70534.77</v>
      </c>
      <c r="G249" s="3">
        <f>Data!X251</f>
        <v>0</v>
      </c>
      <c r="H249" s="3">
        <f>Data!K251+Data!R251</f>
        <v>11742.86</v>
      </c>
      <c r="I249" s="3">
        <f>Data!I251+Data!L251+Data!M251+Data!N251+Data!O251+Data!S251</f>
        <v>0</v>
      </c>
      <c r="J249" s="3">
        <f>Data!Q251</f>
        <v>0</v>
      </c>
      <c r="K249" s="3">
        <f>Data!J251+Data!P251</f>
        <v>10000</v>
      </c>
      <c r="L249" s="3">
        <f>Data!T251</f>
        <v>0</v>
      </c>
      <c r="M249" s="3">
        <f>ROUND(Data!AB251*$B$2,2)</f>
        <v>0</v>
      </c>
      <c r="N249" s="3">
        <f>Data!U251</f>
        <v>0</v>
      </c>
      <c r="O249" s="3">
        <f t="shared" si="10"/>
        <v>92277.63</v>
      </c>
      <c r="P249" s="3">
        <f t="shared" si="11"/>
        <v>92277.63</v>
      </c>
      <c r="Q249" s="3">
        <f t="shared" si="12"/>
        <v>0</v>
      </c>
    </row>
    <row r="250" spans="1:17" x14ac:dyDescent="0.2">
      <c r="A250" s="17">
        <v>852</v>
      </c>
      <c r="B250" s="17">
        <v>1</v>
      </c>
      <c r="C250" s="3" t="s">
        <v>255</v>
      </c>
      <c r="D250" s="3">
        <f>ROUND(Data!AA252*$B$2,2)</f>
        <v>0</v>
      </c>
      <c r="E250" s="3">
        <f>MAX(0,Data!AD252-Data!Y252)</f>
        <v>0</v>
      </c>
      <c r="F250" s="3">
        <f>Data!Y252</f>
        <v>97310.3</v>
      </c>
      <c r="G250" s="3">
        <f>Data!X252</f>
        <v>0</v>
      </c>
      <c r="H250" s="3">
        <f>Data!K252+Data!R252</f>
        <v>11742.86</v>
      </c>
      <c r="I250" s="3">
        <f>Data!I252+Data!L252+Data!M252+Data!N252+Data!O252+Data!S252</f>
        <v>0</v>
      </c>
      <c r="J250" s="3">
        <f>Data!Q252</f>
        <v>0</v>
      </c>
      <c r="K250" s="3">
        <f>Data!J252+Data!P252</f>
        <v>0</v>
      </c>
      <c r="L250" s="3">
        <f>Data!T252</f>
        <v>0</v>
      </c>
      <c r="M250" s="3">
        <f>ROUND(Data!AB252*$B$2,2)</f>
        <v>0</v>
      </c>
      <c r="N250" s="3">
        <f>Data!U252</f>
        <v>0</v>
      </c>
      <c r="O250" s="3">
        <f t="shared" si="10"/>
        <v>109053.16</v>
      </c>
      <c r="P250" s="3">
        <f t="shared" si="11"/>
        <v>109053.16</v>
      </c>
      <c r="Q250" s="3">
        <f t="shared" si="12"/>
        <v>0</v>
      </c>
    </row>
    <row r="251" spans="1:17" x14ac:dyDescent="0.2">
      <c r="A251" s="17">
        <v>857</v>
      </c>
      <c r="B251" s="17">
        <v>1</v>
      </c>
      <c r="C251" s="3" t="s">
        <v>256</v>
      </c>
      <c r="D251" s="3">
        <f>ROUND(Data!AA253*$B$2,2)</f>
        <v>0</v>
      </c>
      <c r="E251" s="3">
        <f>MAX(0,Data!AD253-Data!Y253)</f>
        <v>0</v>
      </c>
      <c r="F251" s="3">
        <f>Data!Y253</f>
        <v>0</v>
      </c>
      <c r="G251" s="3">
        <f>Data!X253</f>
        <v>0</v>
      </c>
      <c r="H251" s="3">
        <f>Data!K253+Data!R253</f>
        <v>10030.91</v>
      </c>
      <c r="I251" s="3">
        <f>Data!I253+Data!L253+Data!M253+Data!N253+Data!O253+Data!S253</f>
        <v>0</v>
      </c>
      <c r="J251" s="3">
        <f>Data!Q253</f>
        <v>0</v>
      </c>
      <c r="K251" s="3">
        <f>Data!J253+Data!P253</f>
        <v>-4726.4699999999993</v>
      </c>
      <c r="L251" s="3">
        <f>Data!T253</f>
        <v>0</v>
      </c>
      <c r="M251" s="3">
        <f>ROUND(Data!AB253*$B$2,2)</f>
        <v>0</v>
      </c>
      <c r="N251" s="3">
        <f>Data!U253</f>
        <v>0</v>
      </c>
      <c r="O251" s="3">
        <f t="shared" si="10"/>
        <v>5304.4400000000005</v>
      </c>
      <c r="P251" s="3">
        <f t="shared" si="11"/>
        <v>5304.4400000000005</v>
      </c>
      <c r="Q251" s="3">
        <f t="shared" si="12"/>
        <v>0</v>
      </c>
    </row>
    <row r="252" spans="1:17" x14ac:dyDescent="0.2">
      <c r="A252" s="17">
        <v>858</v>
      </c>
      <c r="B252" s="17">
        <v>1</v>
      </c>
      <c r="C252" s="3" t="s">
        <v>257</v>
      </c>
      <c r="D252" s="3">
        <f>ROUND(Data!AA254*$B$2,2)</f>
        <v>0</v>
      </c>
      <c r="E252" s="3">
        <f>MAX(0,Data!AD254-Data!Y254)</f>
        <v>0</v>
      </c>
      <c r="F252" s="3">
        <f>Data!Y254</f>
        <v>0</v>
      </c>
      <c r="G252" s="3">
        <f>Data!X254</f>
        <v>0</v>
      </c>
      <c r="H252" s="3">
        <f>Data!K254+Data!R254</f>
        <v>12348.619999999999</v>
      </c>
      <c r="I252" s="3">
        <f>Data!I254+Data!L254+Data!M254+Data!N254+Data!O254+Data!S254</f>
        <v>0</v>
      </c>
      <c r="J252" s="3">
        <f>Data!Q254</f>
        <v>0</v>
      </c>
      <c r="K252" s="3">
        <f>Data!J254+Data!P254</f>
        <v>9217.1</v>
      </c>
      <c r="L252" s="3">
        <f>Data!T254</f>
        <v>0</v>
      </c>
      <c r="M252" s="3">
        <f>ROUND(Data!AB254*$B$2,2)</f>
        <v>0</v>
      </c>
      <c r="N252" s="3">
        <f>Data!U254</f>
        <v>0</v>
      </c>
      <c r="O252" s="3">
        <f t="shared" ref="O252:O314" si="13">SUM(D252:N252)</f>
        <v>21565.72</v>
      </c>
      <c r="P252" s="3">
        <f t="shared" si="11"/>
        <v>21565.72</v>
      </c>
      <c r="Q252" s="3">
        <f t="shared" si="12"/>
        <v>0</v>
      </c>
    </row>
    <row r="253" spans="1:17" x14ac:dyDescent="0.2">
      <c r="A253" s="17">
        <v>861</v>
      </c>
      <c r="B253" s="17">
        <v>1</v>
      </c>
      <c r="C253" s="3" t="s">
        <v>1196</v>
      </c>
      <c r="D253" s="3">
        <f>ROUND(Data!AA255*$B$2,2)</f>
        <v>0</v>
      </c>
      <c r="E253" s="3">
        <f>MAX(0,Data!AD255-Data!Y255)</f>
        <v>0</v>
      </c>
      <c r="F253" s="3">
        <f>Data!Y255</f>
        <v>163275.60999999999</v>
      </c>
      <c r="G253" s="3">
        <f>Data!X255</f>
        <v>0</v>
      </c>
      <c r="H253" s="3">
        <f>Data!K255+Data!R255</f>
        <v>48699.210000000006</v>
      </c>
      <c r="I253" s="3">
        <f>Data!I255+Data!L255+Data!M255+Data!N255+Data!O255+Data!S255</f>
        <v>0</v>
      </c>
      <c r="J253" s="3">
        <f>Data!Q255</f>
        <v>0</v>
      </c>
      <c r="K253" s="3">
        <f>Data!J255+Data!P255</f>
        <v>35633.03</v>
      </c>
      <c r="L253" s="3">
        <f>Data!T255</f>
        <v>0</v>
      </c>
      <c r="M253" s="3">
        <f>ROUND(Data!AB255*$B$2,2)</f>
        <v>0</v>
      </c>
      <c r="N253" s="3">
        <f>Data!U255</f>
        <v>0</v>
      </c>
      <c r="O253" s="3">
        <f t="shared" si="13"/>
        <v>247607.85</v>
      </c>
      <c r="P253" s="3">
        <f t="shared" si="11"/>
        <v>247607.85</v>
      </c>
      <c r="Q253" s="3">
        <f t="shared" si="12"/>
        <v>0</v>
      </c>
    </row>
    <row r="254" spans="1:17" x14ac:dyDescent="0.2">
      <c r="A254" s="17">
        <v>876</v>
      </c>
      <c r="B254" s="17">
        <v>1</v>
      </c>
      <c r="C254" s="3" t="s">
        <v>259</v>
      </c>
      <c r="D254" s="3">
        <f>ROUND(Data!AA256*$B$2,2)</f>
        <v>0</v>
      </c>
      <c r="E254" s="3">
        <f>MAX(0,Data!AD256-Data!Y256)</f>
        <v>0</v>
      </c>
      <c r="F254" s="3">
        <f>Data!Y256</f>
        <v>207538.92</v>
      </c>
      <c r="G254" s="3">
        <f>Data!X256</f>
        <v>63681.05</v>
      </c>
      <c r="H254" s="3">
        <f>Data!K256+Data!R256</f>
        <v>43105.919999999998</v>
      </c>
      <c r="I254" s="3">
        <f>Data!I256+Data!L256+Data!M256+Data!N256+Data!O256+Data!S256</f>
        <v>0</v>
      </c>
      <c r="J254" s="3">
        <f>Data!Q256</f>
        <v>0</v>
      </c>
      <c r="K254" s="3">
        <f>Data!J256+Data!P256</f>
        <v>13229.16</v>
      </c>
      <c r="L254" s="3">
        <f>Data!T256</f>
        <v>0</v>
      </c>
      <c r="M254" s="3">
        <f>ROUND(Data!AB256*$B$2,2)</f>
        <v>0</v>
      </c>
      <c r="N254" s="3">
        <f>Data!U256</f>
        <v>0</v>
      </c>
      <c r="O254" s="3">
        <f t="shared" si="13"/>
        <v>327555.05</v>
      </c>
      <c r="P254" s="3">
        <f t="shared" si="11"/>
        <v>327555.05</v>
      </c>
      <c r="Q254" s="3">
        <f t="shared" si="12"/>
        <v>0</v>
      </c>
    </row>
    <row r="255" spans="1:17" x14ac:dyDescent="0.2">
      <c r="A255" s="17">
        <v>877</v>
      </c>
      <c r="B255" s="17">
        <v>1</v>
      </c>
      <c r="C255" s="3" t="s">
        <v>1005</v>
      </c>
      <c r="D255" s="3">
        <f>ROUND(Data!AA257*$B$2,2)</f>
        <v>0</v>
      </c>
      <c r="E255" s="3">
        <f>MAX(0,Data!AD257-Data!Y257)</f>
        <v>0</v>
      </c>
      <c r="F255" s="3">
        <f>Data!Y257</f>
        <v>442510.09</v>
      </c>
      <c r="G255" s="3">
        <f>Data!X257</f>
        <v>0</v>
      </c>
      <c r="H255" s="3">
        <f>Data!K257+Data!R257</f>
        <v>60604.799999999996</v>
      </c>
      <c r="I255" s="3">
        <f>Data!I257+Data!L257+Data!M257+Data!N257+Data!O257+Data!S257</f>
        <v>0</v>
      </c>
      <c r="J255" s="3">
        <f>Data!Q257</f>
        <v>0</v>
      </c>
      <c r="K255" s="3">
        <f>Data!J257+Data!P257</f>
        <v>15069.169999999998</v>
      </c>
      <c r="L255" s="3">
        <f>Data!T257</f>
        <v>0</v>
      </c>
      <c r="M255" s="3">
        <f>ROUND(Data!AB257*$B$2,2)</f>
        <v>0</v>
      </c>
      <c r="N255" s="3">
        <f>Data!U257</f>
        <v>0</v>
      </c>
      <c r="O255" s="3">
        <f t="shared" si="13"/>
        <v>518184.06</v>
      </c>
      <c r="P255" s="3">
        <f t="shared" si="11"/>
        <v>518184.06</v>
      </c>
      <c r="Q255" s="3">
        <f t="shared" si="12"/>
        <v>0</v>
      </c>
    </row>
    <row r="256" spans="1:17" x14ac:dyDescent="0.2">
      <c r="A256" s="17">
        <v>879</v>
      </c>
      <c r="B256" s="17">
        <v>1</v>
      </c>
      <c r="C256" s="3" t="s">
        <v>261</v>
      </c>
      <c r="D256" s="3">
        <f>ROUND(Data!AA258*$B$2,2)</f>
        <v>0</v>
      </c>
      <c r="E256" s="3">
        <f>MAX(0,Data!AD258-Data!Y258)</f>
        <v>0</v>
      </c>
      <c r="F256" s="3">
        <f>Data!Y258</f>
        <v>117957.42</v>
      </c>
      <c r="G256" s="3">
        <f>Data!X258</f>
        <v>0</v>
      </c>
      <c r="H256" s="3">
        <f>Data!K258+Data!R258</f>
        <v>33307.46</v>
      </c>
      <c r="I256" s="3">
        <f>Data!I258+Data!L258+Data!M258+Data!N258+Data!O258+Data!S258</f>
        <v>0</v>
      </c>
      <c r="J256" s="3">
        <f>Data!Q258</f>
        <v>0</v>
      </c>
      <c r="K256" s="3">
        <f>Data!J258+Data!P258</f>
        <v>27737.87</v>
      </c>
      <c r="L256" s="3">
        <f>Data!T258</f>
        <v>0</v>
      </c>
      <c r="M256" s="3">
        <f>ROUND(Data!AB258*$B$2,2)</f>
        <v>0</v>
      </c>
      <c r="N256" s="3">
        <f>Data!U258</f>
        <v>0</v>
      </c>
      <c r="O256" s="3">
        <f t="shared" si="13"/>
        <v>179002.75</v>
      </c>
      <c r="P256" s="3">
        <f t="shared" si="11"/>
        <v>179002.75</v>
      </c>
      <c r="Q256" s="3">
        <f t="shared" si="12"/>
        <v>0</v>
      </c>
    </row>
    <row r="257" spans="1:17" x14ac:dyDescent="0.2">
      <c r="A257" s="17">
        <v>881</v>
      </c>
      <c r="B257" s="17">
        <v>1</v>
      </c>
      <c r="C257" s="3" t="s">
        <v>262</v>
      </c>
      <c r="D257" s="3">
        <f>ROUND(Data!AA259*$B$2,2)</f>
        <v>0</v>
      </c>
      <c r="E257" s="3">
        <f>MAX(0,Data!AD259-Data!Y259)</f>
        <v>0</v>
      </c>
      <c r="F257" s="3">
        <f>Data!Y259</f>
        <v>117442.28</v>
      </c>
      <c r="G257" s="3">
        <f>Data!X259</f>
        <v>19558.900000000001</v>
      </c>
      <c r="H257" s="3">
        <f>Data!K259+Data!R259</f>
        <v>13025.32</v>
      </c>
      <c r="I257" s="3">
        <f>Data!I259+Data!L259+Data!M259+Data!N259+Data!O259+Data!S259</f>
        <v>0</v>
      </c>
      <c r="J257" s="3">
        <f>Data!Q259</f>
        <v>0</v>
      </c>
      <c r="K257" s="3">
        <f>Data!J259+Data!P259</f>
        <v>2411.67</v>
      </c>
      <c r="L257" s="3">
        <f>Data!T259</f>
        <v>0</v>
      </c>
      <c r="M257" s="3">
        <f>ROUND(Data!AB259*$B$2,2)</f>
        <v>0</v>
      </c>
      <c r="N257" s="3">
        <f>Data!U259</f>
        <v>0</v>
      </c>
      <c r="O257" s="3">
        <f t="shared" si="13"/>
        <v>152438.17000000001</v>
      </c>
      <c r="P257" s="3">
        <f t="shared" ref="P257:P320" si="14">SUM(D257:L257)</f>
        <v>152438.17000000001</v>
      </c>
      <c r="Q257" s="3">
        <f t="shared" ref="Q257:Q320" si="15">SUM(M257:N257)</f>
        <v>0</v>
      </c>
    </row>
    <row r="258" spans="1:17" x14ac:dyDescent="0.2">
      <c r="A258" s="17">
        <v>882</v>
      </c>
      <c r="B258" s="17">
        <v>1</v>
      </c>
      <c r="C258" s="3" t="s">
        <v>263</v>
      </c>
      <c r="D258" s="3">
        <f>ROUND(Data!AA260*$B$2,2)</f>
        <v>0</v>
      </c>
      <c r="E258" s="3">
        <f>MAX(0,Data!AD260-Data!Y260)</f>
        <v>0</v>
      </c>
      <c r="F258" s="3">
        <f>Data!Y260</f>
        <v>480525.55</v>
      </c>
      <c r="G258" s="3">
        <f>Data!X260</f>
        <v>155849.28</v>
      </c>
      <c r="H258" s="3">
        <f>Data!K260+Data!R260</f>
        <v>35571.910000000003</v>
      </c>
      <c r="I258" s="3">
        <f>Data!I260+Data!L260+Data!M260+Data!N260+Data!O260+Data!S260</f>
        <v>0</v>
      </c>
      <c r="J258" s="3">
        <f>Data!Q260</f>
        <v>0</v>
      </c>
      <c r="K258" s="3">
        <f>Data!J260+Data!P260</f>
        <v>24377.129999999997</v>
      </c>
      <c r="L258" s="3">
        <f>Data!T260</f>
        <v>0</v>
      </c>
      <c r="M258" s="3">
        <f>ROUND(Data!AB260*$B$2,2)</f>
        <v>0</v>
      </c>
      <c r="N258" s="3">
        <f>Data!U260</f>
        <v>0</v>
      </c>
      <c r="O258" s="3">
        <f t="shared" si="13"/>
        <v>696323.87</v>
      </c>
      <c r="P258" s="3">
        <f t="shared" si="14"/>
        <v>696323.87</v>
      </c>
      <c r="Q258" s="3">
        <f t="shared" si="15"/>
        <v>0</v>
      </c>
    </row>
    <row r="259" spans="1:17" x14ac:dyDescent="0.2">
      <c r="A259" s="17">
        <v>883</v>
      </c>
      <c r="B259" s="17">
        <v>1</v>
      </c>
      <c r="C259" s="3" t="s">
        <v>264</v>
      </c>
      <c r="D259" s="3">
        <f>ROUND(Data!AA261*$B$2,2)</f>
        <v>0</v>
      </c>
      <c r="E259" s="3">
        <f>MAX(0,Data!AD261-Data!Y261)</f>
        <v>0</v>
      </c>
      <c r="F259" s="3">
        <f>Data!Y261</f>
        <v>108595.68</v>
      </c>
      <c r="G259" s="3">
        <f>Data!X261</f>
        <v>0</v>
      </c>
      <c r="H259" s="3">
        <f>Data!K261+Data!R261</f>
        <v>2827.66</v>
      </c>
      <c r="I259" s="3">
        <f>Data!I261+Data!L261+Data!M261+Data!N261+Data!O261+Data!S261</f>
        <v>0</v>
      </c>
      <c r="J259" s="3">
        <f>Data!Q261</f>
        <v>0</v>
      </c>
      <c r="K259" s="3">
        <f>Data!J261+Data!P261</f>
        <v>-2968.05</v>
      </c>
      <c r="L259" s="3">
        <f>Data!T261</f>
        <v>0</v>
      </c>
      <c r="M259" s="3">
        <f>ROUND(Data!AB261*$B$2,2)</f>
        <v>0</v>
      </c>
      <c r="N259" s="3">
        <f>Data!U261</f>
        <v>0</v>
      </c>
      <c r="O259" s="3">
        <f t="shared" si="13"/>
        <v>108455.29</v>
      </c>
      <c r="P259" s="3">
        <f t="shared" si="14"/>
        <v>108455.29</v>
      </c>
      <c r="Q259" s="3">
        <f t="shared" si="15"/>
        <v>0</v>
      </c>
    </row>
    <row r="260" spans="1:17" x14ac:dyDescent="0.2">
      <c r="A260" s="17">
        <v>885</v>
      </c>
      <c r="B260" s="17">
        <v>1</v>
      </c>
      <c r="C260" s="3" t="s">
        <v>1197</v>
      </c>
      <c r="D260" s="3">
        <f>ROUND(Data!AA262*$B$2,2)</f>
        <v>0</v>
      </c>
      <c r="E260" s="3">
        <f>MAX(0,Data!AD262-Data!Y262)</f>
        <v>0</v>
      </c>
      <c r="F260" s="3">
        <f>Data!Y262</f>
        <v>131136.53</v>
      </c>
      <c r="G260" s="3">
        <f>Data!X262</f>
        <v>0</v>
      </c>
      <c r="H260" s="3">
        <f>Data!K262+Data!R262</f>
        <v>25618.95</v>
      </c>
      <c r="I260" s="3">
        <f>Data!I262+Data!L262+Data!M262+Data!N262+Data!O262+Data!S262</f>
        <v>0</v>
      </c>
      <c r="J260" s="3">
        <f>Data!Q262</f>
        <v>0</v>
      </c>
      <c r="K260" s="3">
        <f>Data!J262+Data!P262</f>
        <v>31079.23</v>
      </c>
      <c r="L260" s="3">
        <f>Data!T262</f>
        <v>0</v>
      </c>
      <c r="M260" s="3">
        <f>ROUND(Data!AB262*$B$2,2)</f>
        <v>0</v>
      </c>
      <c r="N260" s="3">
        <f>Data!U262</f>
        <v>0</v>
      </c>
      <c r="O260" s="3">
        <f t="shared" si="13"/>
        <v>187834.71000000002</v>
      </c>
      <c r="P260" s="3">
        <f t="shared" si="14"/>
        <v>187834.71000000002</v>
      </c>
      <c r="Q260" s="3">
        <f t="shared" si="15"/>
        <v>0</v>
      </c>
    </row>
    <row r="261" spans="1:17" x14ac:dyDescent="0.2">
      <c r="A261" s="17">
        <v>891</v>
      </c>
      <c r="B261" s="17">
        <v>1</v>
      </c>
      <c r="C261" s="3" t="s">
        <v>266</v>
      </c>
      <c r="D261" s="3">
        <f>ROUND(Data!AA263*$B$2,2)</f>
        <v>0</v>
      </c>
      <c r="E261" s="3">
        <f>MAX(0,Data!AD263-Data!Y263)</f>
        <v>0</v>
      </c>
      <c r="F261" s="3">
        <f>Data!Y263</f>
        <v>32209.42</v>
      </c>
      <c r="G261" s="3">
        <f>Data!X263</f>
        <v>18617.810000000001</v>
      </c>
      <c r="H261" s="3">
        <f>Data!K263+Data!R263</f>
        <v>15776.159999999998</v>
      </c>
      <c r="I261" s="3">
        <f>Data!I263+Data!L263+Data!M263+Data!N263+Data!O263+Data!S263</f>
        <v>0</v>
      </c>
      <c r="J261" s="3">
        <f>Data!Q263</f>
        <v>0</v>
      </c>
      <c r="K261" s="3">
        <f>Data!J263+Data!P263</f>
        <v>4548.96</v>
      </c>
      <c r="L261" s="3">
        <f>Data!T263</f>
        <v>0</v>
      </c>
      <c r="M261" s="3">
        <f>ROUND(Data!AB263*$B$2,2)</f>
        <v>0</v>
      </c>
      <c r="N261" s="3">
        <f>Data!U263</f>
        <v>0</v>
      </c>
      <c r="O261" s="3">
        <f t="shared" si="13"/>
        <v>71152.350000000006</v>
      </c>
      <c r="P261" s="3">
        <f t="shared" si="14"/>
        <v>71152.350000000006</v>
      </c>
      <c r="Q261" s="3">
        <f t="shared" si="15"/>
        <v>0</v>
      </c>
    </row>
    <row r="262" spans="1:17" x14ac:dyDescent="0.2">
      <c r="A262" s="17">
        <v>911</v>
      </c>
      <c r="B262" s="17">
        <v>1</v>
      </c>
      <c r="C262" s="3" t="s">
        <v>267</v>
      </c>
      <c r="D262" s="3">
        <f>ROUND(Data!AA264*$B$2,2)</f>
        <v>0</v>
      </c>
      <c r="E262" s="3">
        <f>MAX(0,Data!AD264-Data!Y264)</f>
        <v>0</v>
      </c>
      <c r="F262" s="3">
        <f>Data!Y264</f>
        <v>217668.75</v>
      </c>
      <c r="G262" s="3">
        <f>Data!X264</f>
        <v>0</v>
      </c>
      <c r="H262" s="3">
        <f>Data!K264+Data!R264</f>
        <v>46137.509999999995</v>
      </c>
      <c r="I262" s="3">
        <f>Data!I264+Data!L264+Data!M264+Data!N264+Data!O264+Data!S264</f>
        <v>0</v>
      </c>
      <c r="J262" s="3">
        <f>Data!Q264</f>
        <v>0</v>
      </c>
      <c r="K262" s="3">
        <f>Data!J264+Data!P264</f>
        <v>24947.57</v>
      </c>
      <c r="L262" s="3">
        <f>Data!T264</f>
        <v>0</v>
      </c>
      <c r="M262" s="3">
        <f>ROUND(Data!AB264*$B$2,2)</f>
        <v>0</v>
      </c>
      <c r="N262" s="3">
        <f>Data!U264</f>
        <v>0</v>
      </c>
      <c r="O262" s="3">
        <f t="shared" si="13"/>
        <v>288753.83</v>
      </c>
      <c r="P262" s="3">
        <f t="shared" si="14"/>
        <v>288753.83</v>
      </c>
      <c r="Q262" s="3">
        <f t="shared" si="15"/>
        <v>0</v>
      </c>
    </row>
    <row r="263" spans="1:17" x14ac:dyDescent="0.2">
      <c r="A263" s="17">
        <v>912</v>
      </c>
      <c r="B263" s="17">
        <v>1</v>
      </c>
      <c r="C263" s="3" t="s">
        <v>268</v>
      </c>
      <c r="D263" s="3">
        <f>ROUND(Data!AA265*$B$2,2)</f>
        <v>0</v>
      </c>
      <c r="E263" s="3">
        <f>MAX(0,Data!AD265-Data!Y265)</f>
        <v>0</v>
      </c>
      <c r="F263" s="3">
        <f>Data!Y265</f>
        <v>54092.15</v>
      </c>
      <c r="G263" s="3">
        <f>Data!X265</f>
        <v>0</v>
      </c>
      <c r="H263" s="3">
        <f>Data!K265+Data!R265</f>
        <v>15455.439999999999</v>
      </c>
      <c r="I263" s="3">
        <f>Data!I265+Data!L265+Data!M265+Data!N265+Data!O265+Data!S265</f>
        <v>0</v>
      </c>
      <c r="J263" s="3">
        <f>Data!Q265</f>
        <v>0</v>
      </c>
      <c r="K263" s="3">
        <f>Data!J265+Data!P265</f>
        <v>15460.86</v>
      </c>
      <c r="L263" s="3">
        <f>Data!T265</f>
        <v>0</v>
      </c>
      <c r="M263" s="3">
        <f>ROUND(Data!AB265*$B$2,2)</f>
        <v>0</v>
      </c>
      <c r="N263" s="3">
        <f>Data!U265</f>
        <v>0</v>
      </c>
      <c r="O263" s="3">
        <f t="shared" si="13"/>
        <v>85008.45</v>
      </c>
      <c r="P263" s="3">
        <f t="shared" si="14"/>
        <v>85008.45</v>
      </c>
      <c r="Q263" s="3">
        <f t="shared" si="15"/>
        <v>0</v>
      </c>
    </row>
    <row r="264" spans="1:17" x14ac:dyDescent="0.2">
      <c r="A264" s="17">
        <v>914</v>
      </c>
      <c r="B264" s="17">
        <v>1</v>
      </c>
      <c r="C264" s="3" t="s">
        <v>269</v>
      </c>
      <c r="D264" s="3">
        <f>ROUND(Data!AA266*$B$2,2)</f>
        <v>0</v>
      </c>
      <c r="E264" s="3">
        <f>MAX(0,Data!AD266-Data!Y266)</f>
        <v>0</v>
      </c>
      <c r="F264" s="3">
        <f>Data!Y266</f>
        <v>88350</v>
      </c>
      <c r="G264" s="3">
        <f>Data!X266</f>
        <v>527.82000000000005</v>
      </c>
      <c r="H264" s="3">
        <f>Data!K266+Data!R266</f>
        <v>11742.86</v>
      </c>
      <c r="I264" s="3">
        <f>Data!I266+Data!L266+Data!M266+Data!N266+Data!O266+Data!S266</f>
        <v>0</v>
      </c>
      <c r="J264" s="3">
        <f>Data!Q266</f>
        <v>0</v>
      </c>
      <c r="K264" s="3">
        <f>Data!J266+Data!P266</f>
        <v>2546.7199999999998</v>
      </c>
      <c r="L264" s="3">
        <f>Data!T266</f>
        <v>0</v>
      </c>
      <c r="M264" s="3">
        <f>ROUND(Data!AB266*$B$2,2)</f>
        <v>0</v>
      </c>
      <c r="N264" s="3">
        <f>Data!U266</f>
        <v>0</v>
      </c>
      <c r="O264" s="3">
        <f t="shared" si="13"/>
        <v>103167.40000000001</v>
      </c>
      <c r="P264" s="3">
        <f t="shared" si="14"/>
        <v>103167.40000000001</v>
      </c>
      <c r="Q264" s="3">
        <f t="shared" si="15"/>
        <v>0</v>
      </c>
    </row>
    <row r="265" spans="1:17" x14ac:dyDescent="0.2">
      <c r="A265" s="17">
        <v>2071</v>
      </c>
      <c r="B265" s="17">
        <v>1</v>
      </c>
      <c r="C265" s="3" t="s">
        <v>1166</v>
      </c>
      <c r="D265" s="3">
        <f>ROUND(Data!AA267*$B$2,2)</f>
        <v>0</v>
      </c>
      <c r="E265" s="3">
        <f>MAX(0,Data!AD267-Data!Y267)</f>
        <v>0</v>
      </c>
      <c r="F265" s="3">
        <f>Data!Y267</f>
        <v>216532</v>
      </c>
      <c r="G265" s="3">
        <f>Data!X267</f>
        <v>0</v>
      </c>
      <c r="H265" s="3">
        <f>Data!K267+Data!R267</f>
        <v>18212.09</v>
      </c>
      <c r="I265" s="3">
        <f>Data!I267+Data!L267+Data!M267+Data!N267+Data!O267+Data!S267</f>
        <v>0</v>
      </c>
      <c r="J265" s="3">
        <f>Data!Q267</f>
        <v>0</v>
      </c>
      <c r="K265" s="3">
        <f>Data!J267+Data!P267</f>
        <v>-18.839999999999918</v>
      </c>
      <c r="L265" s="3">
        <f>Data!T267</f>
        <v>0</v>
      </c>
      <c r="M265" s="3">
        <f>ROUND(Data!AB267*$B$2,2)</f>
        <v>0</v>
      </c>
      <c r="N265" s="3">
        <f>Data!U267</f>
        <v>0</v>
      </c>
      <c r="O265" s="3">
        <f t="shared" si="13"/>
        <v>234725.25</v>
      </c>
      <c r="P265" s="3">
        <f t="shared" si="14"/>
        <v>234725.25</v>
      </c>
      <c r="Q265" s="3">
        <f t="shared" si="15"/>
        <v>0</v>
      </c>
    </row>
    <row r="266" spans="1:17" x14ac:dyDescent="0.2">
      <c r="A266" s="17">
        <v>2125</v>
      </c>
      <c r="B266" s="17">
        <v>1</v>
      </c>
      <c r="C266" s="3" t="s">
        <v>271</v>
      </c>
      <c r="D266" s="3">
        <f>ROUND(Data!AA268*$B$2,2)</f>
        <v>0</v>
      </c>
      <c r="E266" s="3">
        <f>MAX(0,Data!AD268-Data!Y268)</f>
        <v>0</v>
      </c>
      <c r="F266" s="3">
        <f>Data!Y268</f>
        <v>130834.75</v>
      </c>
      <c r="G266" s="3">
        <f>Data!X268</f>
        <v>0</v>
      </c>
      <c r="H266" s="3">
        <f>Data!K268+Data!R268</f>
        <v>11812.01</v>
      </c>
      <c r="I266" s="3">
        <f>Data!I268+Data!L268+Data!M268+Data!N268+Data!O268+Data!S268</f>
        <v>0</v>
      </c>
      <c r="J266" s="3">
        <f>Data!Q268</f>
        <v>0</v>
      </c>
      <c r="K266" s="3">
        <f>Data!J268+Data!P268</f>
        <v>-10000</v>
      </c>
      <c r="L266" s="3">
        <f>Data!T268</f>
        <v>0</v>
      </c>
      <c r="M266" s="3">
        <f>ROUND(Data!AB268*$B$2,2)</f>
        <v>0</v>
      </c>
      <c r="N266" s="3">
        <f>Data!U268</f>
        <v>0</v>
      </c>
      <c r="O266" s="3">
        <f t="shared" si="13"/>
        <v>132646.76</v>
      </c>
      <c r="P266" s="3">
        <f t="shared" si="14"/>
        <v>132646.76</v>
      </c>
      <c r="Q266" s="3">
        <f t="shared" si="15"/>
        <v>0</v>
      </c>
    </row>
    <row r="267" spans="1:17" x14ac:dyDescent="0.2">
      <c r="A267" s="17">
        <v>2134</v>
      </c>
      <c r="B267" s="17">
        <v>1</v>
      </c>
      <c r="C267" s="3" t="s">
        <v>1165</v>
      </c>
      <c r="D267" s="3">
        <f>ROUND(Data!AA269*$B$2,2)</f>
        <v>0</v>
      </c>
      <c r="E267" s="3">
        <f>MAX(0,Data!AD269-Data!Y269)</f>
        <v>0</v>
      </c>
      <c r="F267" s="3">
        <f>Data!Y269</f>
        <v>243273.5</v>
      </c>
      <c r="G267" s="3">
        <f>Data!X269</f>
        <v>10564.1</v>
      </c>
      <c r="H267" s="3">
        <f>Data!K269+Data!R269</f>
        <v>23021.789999999997</v>
      </c>
      <c r="I267" s="3">
        <f>Data!I269+Data!L269+Data!M269+Data!N269+Data!O269+Data!S269</f>
        <v>0</v>
      </c>
      <c r="J267" s="3">
        <f>Data!Q269</f>
        <v>0</v>
      </c>
      <c r="K267" s="3">
        <f>Data!J269+Data!P269</f>
        <v>-11394.89</v>
      </c>
      <c r="L267" s="3">
        <f>Data!T269</f>
        <v>0</v>
      </c>
      <c r="M267" s="3">
        <f>ROUND(Data!AB269*$B$2,2)</f>
        <v>0</v>
      </c>
      <c r="N267" s="3">
        <f>Data!U269</f>
        <v>0</v>
      </c>
      <c r="O267" s="3">
        <f t="shared" si="13"/>
        <v>265464.5</v>
      </c>
      <c r="P267" s="3">
        <f t="shared" si="14"/>
        <v>265464.5</v>
      </c>
      <c r="Q267" s="3">
        <f t="shared" si="15"/>
        <v>0</v>
      </c>
    </row>
    <row r="268" spans="1:17" x14ac:dyDescent="0.2">
      <c r="A268" s="17">
        <v>2135</v>
      </c>
      <c r="B268" s="17">
        <v>1</v>
      </c>
      <c r="C268" s="3" t="s">
        <v>273</v>
      </c>
      <c r="D268" s="3">
        <f>ROUND(Data!AA270*$B$2,2)</f>
        <v>0</v>
      </c>
      <c r="E268" s="3">
        <f>MAX(0,Data!AD270-Data!Y270)</f>
        <v>0</v>
      </c>
      <c r="F268" s="3">
        <f>Data!Y270</f>
        <v>188722.05</v>
      </c>
      <c r="G268" s="3">
        <f>Data!X270</f>
        <v>0</v>
      </c>
      <c r="H268" s="3">
        <f>Data!K270+Data!R270</f>
        <v>27518.92</v>
      </c>
      <c r="I268" s="3">
        <f>Data!I270+Data!L270+Data!M270+Data!N270+Data!O270+Data!S270</f>
        <v>0</v>
      </c>
      <c r="J268" s="3">
        <f>Data!Q270</f>
        <v>0</v>
      </c>
      <c r="K268" s="3">
        <f>Data!J270+Data!P270</f>
        <v>11520.71</v>
      </c>
      <c r="L268" s="3">
        <f>Data!T270</f>
        <v>0</v>
      </c>
      <c r="M268" s="3">
        <f>ROUND(Data!AB270*$B$2,2)</f>
        <v>0</v>
      </c>
      <c r="N268" s="3">
        <f>Data!U270</f>
        <v>0</v>
      </c>
      <c r="O268" s="3">
        <f t="shared" si="13"/>
        <v>227761.67999999996</v>
      </c>
      <c r="P268" s="3">
        <f t="shared" si="14"/>
        <v>227761.67999999996</v>
      </c>
      <c r="Q268" s="3">
        <f t="shared" si="15"/>
        <v>0</v>
      </c>
    </row>
    <row r="269" spans="1:17" x14ac:dyDescent="0.2">
      <c r="A269" s="17">
        <v>2137</v>
      </c>
      <c r="B269" s="17">
        <v>1</v>
      </c>
      <c r="C269" s="3" t="s">
        <v>274</v>
      </c>
      <c r="D269" s="3">
        <f>ROUND(Data!AA271*$B$2,2)</f>
        <v>0</v>
      </c>
      <c r="E269" s="3">
        <f>MAX(0,Data!AD271-Data!Y271)</f>
        <v>0</v>
      </c>
      <c r="F269" s="3">
        <f>Data!Y271</f>
        <v>63102.69</v>
      </c>
      <c r="G269" s="3">
        <f>Data!X271</f>
        <v>0</v>
      </c>
      <c r="H269" s="3">
        <f>Data!K271+Data!R271</f>
        <v>22486.399999999998</v>
      </c>
      <c r="I269" s="3">
        <f>Data!I271+Data!L271+Data!M271+Data!N271+Data!O271+Data!S271</f>
        <v>0</v>
      </c>
      <c r="J269" s="3">
        <f>Data!Q271</f>
        <v>0</v>
      </c>
      <c r="K269" s="3">
        <f>Data!J271+Data!P271</f>
        <v>-8640.08</v>
      </c>
      <c r="L269" s="3">
        <f>Data!T271</f>
        <v>0</v>
      </c>
      <c r="M269" s="3">
        <f>ROUND(Data!AB271*$B$2,2)</f>
        <v>0</v>
      </c>
      <c r="N269" s="3">
        <f>Data!U271</f>
        <v>0</v>
      </c>
      <c r="O269" s="3">
        <f t="shared" si="13"/>
        <v>76949.009999999995</v>
      </c>
      <c r="P269" s="3">
        <f t="shared" si="14"/>
        <v>76949.009999999995</v>
      </c>
      <c r="Q269" s="3">
        <f t="shared" si="15"/>
        <v>0</v>
      </c>
    </row>
    <row r="270" spans="1:17" x14ac:dyDescent="0.2">
      <c r="A270" s="17">
        <v>2142</v>
      </c>
      <c r="B270" s="17">
        <v>1</v>
      </c>
      <c r="C270" s="3" t="s">
        <v>275</v>
      </c>
      <c r="D270" s="3">
        <f>ROUND(Data!AA272*$B$2,2)</f>
        <v>0</v>
      </c>
      <c r="E270" s="3">
        <f>MAX(0,Data!AD272-Data!Y272)</f>
        <v>0</v>
      </c>
      <c r="F270" s="3">
        <f>Data!Y272</f>
        <v>171786.65</v>
      </c>
      <c r="G270" s="3">
        <f>Data!X272</f>
        <v>21538.33</v>
      </c>
      <c r="H270" s="3">
        <f>Data!K272+Data!R272</f>
        <v>25657.5</v>
      </c>
      <c r="I270" s="3">
        <f>Data!I272+Data!L272+Data!M272+Data!N272+Data!O272+Data!S272</f>
        <v>241433.36</v>
      </c>
      <c r="J270" s="3">
        <f>Data!Q272</f>
        <v>0</v>
      </c>
      <c r="K270" s="3">
        <f>Data!J272+Data!P272</f>
        <v>113050.4</v>
      </c>
      <c r="L270" s="3">
        <f>Data!T272</f>
        <v>0</v>
      </c>
      <c r="M270" s="3">
        <f>ROUND(Data!AB272*$B$2,2)</f>
        <v>0</v>
      </c>
      <c r="N270" s="3">
        <f>Data!U272</f>
        <v>0</v>
      </c>
      <c r="O270" s="3">
        <f t="shared" si="13"/>
        <v>573466.24</v>
      </c>
      <c r="P270" s="3">
        <f t="shared" si="14"/>
        <v>573466.24</v>
      </c>
      <c r="Q270" s="3">
        <f t="shared" si="15"/>
        <v>0</v>
      </c>
    </row>
    <row r="271" spans="1:17" x14ac:dyDescent="0.2">
      <c r="A271" s="17">
        <v>2143</v>
      </c>
      <c r="B271" s="17">
        <v>1</v>
      </c>
      <c r="C271" s="3" t="s">
        <v>1164</v>
      </c>
      <c r="D271" s="3">
        <f>ROUND(Data!AA273*$B$2,2)</f>
        <v>0</v>
      </c>
      <c r="E271" s="3">
        <f>MAX(0,Data!AD273-Data!Y273)</f>
        <v>0</v>
      </c>
      <c r="F271" s="3">
        <f>Data!Y273</f>
        <v>72111.33</v>
      </c>
      <c r="G271" s="3">
        <f>Data!X273</f>
        <v>0</v>
      </c>
      <c r="H271" s="3">
        <f>Data!K273+Data!R273</f>
        <v>21603.55</v>
      </c>
      <c r="I271" s="3">
        <f>Data!I273+Data!L273+Data!M273+Data!N273+Data!O273+Data!S273</f>
        <v>0</v>
      </c>
      <c r="J271" s="3">
        <f>Data!Q273</f>
        <v>0</v>
      </c>
      <c r="K271" s="3">
        <f>Data!J273+Data!P273</f>
        <v>-3697.09</v>
      </c>
      <c r="L271" s="3">
        <f>Data!T273</f>
        <v>0</v>
      </c>
      <c r="M271" s="3">
        <f>ROUND(Data!AB273*$B$2,2)</f>
        <v>0</v>
      </c>
      <c r="N271" s="3">
        <f>Data!U273</f>
        <v>0</v>
      </c>
      <c r="O271" s="3">
        <f t="shared" si="13"/>
        <v>90017.790000000008</v>
      </c>
      <c r="P271" s="3">
        <f t="shared" si="14"/>
        <v>90017.790000000008</v>
      </c>
      <c r="Q271" s="3">
        <f t="shared" si="15"/>
        <v>0</v>
      </c>
    </row>
    <row r="272" spans="1:17" x14ac:dyDescent="0.2">
      <c r="A272" s="17">
        <v>2144</v>
      </c>
      <c r="B272" s="17">
        <v>1</v>
      </c>
      <c r="C272" s="3" t="s">
        <v>277</v>
      </c>
      <c r="D272" s="3">
        <f>ROUND(Data!AA274*$B$2,2)</f>
        <v>0</v>
      </c>
      <c r="E272" s="3">
        <f>MAX(0,Data!AD274-Data!Y274)</f>
        <v>0</v>
      </c>
      <c r="F272" s="3">
        <f>Data!Y274</f>
        <v>212914.72</v>
      </c>
      <c r="G272" s="3">
        <f>Data!X274</f>
        <v>0</v>
      </c>
      <c r="H272" s="3">
        <f>Data!K274+Data!R274</f>
        <v>50915.570000000007</v>
      </c>
      <c r="I272" s="3">
        <f>Data!I274+Data!L274+Data!M274+Data!N274+Data!O274+Data!S274</f>
        <v>0</v>
      </c>
      <c r="J272" s="3">
        <f>Data!Q274</f>
        <v>0</v>
      </c>
      <c r="K272" s="3">
        <f>Data!J274+Data!P274</f>
        <v>-3139.5999999999985</v>
      </c>
      <c r="L272" s="3">
        <f>Data!T274</f>
        <v>0</v>
      </c>
      <c r="M272" s="3">
        <f>ROUND(Data!AB274*$B$2,2)</f>
        <v>0</v>
      </c>
      <c r="N272" s="3">
        <f>Data!U274</f>
        <v>0</v>
      </c>
      <c r="O272" s="3">
        <f t="shared" si="13"/>
        <v>260690.69000000003</v>
      </c>
      <c r="P272" s="3">
        <f t="shared" si="14"/>
        <v>260690.69000000003</v>
      </c>
      <c r="Q272" s="3">
        <f t="shared" si="15"/>
        <v>0</v>
      </c>
    </row>
    <row r="273" spans="1:17" x14ac:dyDescent="0.2">
      <c r="A273" s="17">
        <v>2149</v>
      </c>
      <c r="B273" s="17">
        <v>1</v>
      </c>
      <c r="C273" s="3" t="s">
        <v>278</v>
      </c>
      <c r="D273" s="3">
        <f>ROUND(Data!AA275*$B$2,2)</f>
        <v>0</v>
      </c>
      <c r="E273" s="3">
        <f>MAX(0,Data!AD275-Data!Y275)</f>
        <v>0</v>
      </c>
      <c r="F273" s="3">
        <f>Data!Y275</f>
        <v>105651.52</v>
      </c>
      <c r="G273" s="3">
        <f>Data!X275</f>
        <v>0</v>
      </c>
      <c r="H273" s="3">
        <f>Data!K275+Data!R275</f>
        <v>40330.75</v>
      </c>
      <c r="I273" s="3">
        <f>Data!I275+Data!L275+Data!M275+Data!N275+Data!O275+Data!S275</f>
        <v>0</v>
      </c>
      <c r="J273" s="3">
        <f>Data!Q275</f>
        <v>0</v>
      </c>
      <c r="K273" s="3">
        <f>Data!J275+Data!P275</f>
        <v>-5544.5500000000011</v>
      </c>
      <c r="L273" s="3">
        <f>Data!T275</f>
        <v>0</v>
      </c>
      <c r="M273" s="3">
        <f>ROUND(Data!AB275*$B$2,2)</f>
        <v>0</v>
      </c>
      <c r="N273" s="3">
        <f>Data!U275</f>
        <v>0</v>
      </c>
      <c r="O273" s="3">
        <f t="shared" si="13"/>
        <v>140437.72000000003</v>
      </c>
      <c r="P273" s="3">
        <f t="shared" si="14"/>
        <v>140437.72000000003</v>
      </c>
      <c r="Q273" s="3">
        <f t="shared" si="15"/>
        <v>0</v>
      </c>
    </row>
    <row r="274" spans="1:17" x14ac:dyDescent="0.2">
      <c r="A274" s="17">
        <v>2154</v>
      </c>
      <c r="B274" s="17">
        <v>1</v>
      </c>
      <c r="C274" s="3" t="s">
        <v>279</v>
      </c>
      <c r="D274" s="3">
        <f>ROUND(Data!AA276*$B$2,2)</f>
        <v>0</v>
      </c>
      <c r="E274" s="3">
        <f>MAX(0,Data!AD276-Data!Y276)</f>
        <v>0</v>
      </c>
      <c r="F274" s="3">
        <f>Data!Y276</f>
        <v>52276.22</v>
      </c>
      <c r="G274" s="3">
        <f>Data!X276</f>
        <v>22207.47</v>
      </c>
      <c r="H274" s="3">
        <f>Data!K276+Data!R276</f>
        <v>14486.68</v>
      </c>
      <c r="I274" s="3">
        <f>Data!I276+Data!L276+Data!M276+Data!N276+Data!O276+Data!S276</f>
        <v>78738.100000000006</v>
      </c>
      <c r="J274" s="3">
        <f>Data!Q276</f>
        <v>0</v>
      </c>
      <c r="K274" s="3">
        <f>Data!J276+Data!P276</f>
        <v>22924.989999999998</v>
      </c>
      <c r="L274" s="3">
        <f>Data!T276</f>
        <v>0</v>
      </c>
      <c r="M274" s="3">
        <f>ROUND(Data!AB276*$B$2,2)</f>
        <v>0</v>
      </c>
      <c r="N274" s="3">
        <f>Data!U276</f>
        <v>0</v>
      </c>
      <c r="O274" s="3">
        <f t="shared" si="13"/>
        <v>190633.46</v>
      </c>
      <c r="P274" s="3">
        <f t="shared" si="14"/>
        <v>190633.46</v>
      </c>
      <c r="Q274" s="3">
        <f t="shared" si="15"/>
        <v>0</v>
      </c>
    </row>
    <row r="275" spans="1:17" x14ac:dyDescent="0.2">
      <c r="A275" s="17">
        <v>2155</v>
      </c>
      <c r="B275" s="17">
        <v>1</v>
      </c>
      <c r="C275" s="3" t="s">
        <v>1163</v>
      </c>
      <c r="D275" s="3">
        <f>ROUND(Data!AA277*$B$2,2)</f>
        <v>0</v>
      </c>
      <c r="E275" s="3">
        <f>MAX(0,Data!AD277-Data!Y277)</f>
        <v>0</v>
      </c>
      <c r="F275" s="3">
        <f>Data!Y277</f>
        <v>38157.32</v>
      </c>
      <c r="G275" s="3">
        <f>Data!X277</f>
        <v>0</v>
      </c>
      <c r="H275" s="3">
        <f>Data!K277+Data!R277</f>
        <v>14060.7</v>
      </c>
      <c r="I275" s="3">
        <f>Data!I277+Data!L277+Data!M277+Data!N277+Data!O277+Data!S277</f>
        <v>0</v>
      </c>
      <c r="J275" s="3">
        <f>Data!Q277</f>
        <v>0</v>
      </c>
      <c r="K275" s="3">
        <f>Data!J277+Data!P277</f>
        <v>11855.75</v>
      </c>
      <c r="L275" s="3">
        <f>Data!T277</f>
        <v>0</v>
      </c>
      <c r="M275" s="3">
        <f>ROUND(Data!AB277*$B$2,2)</f>
        <v>0</v>
      </c>
      <c r="N275" s="3">
        <f>Data!U277</f>
        <v>0</v>
      </c>
      <c r="O275" s="3">
        <f t="shared" si="13"/>
        <v>64073.770000000004</v>
      </c>
      <c r="P275" s="3">
        <f t="shared" si="14"/>
        <v>64073.770000000004</v>
      </c>
      <c r="Q275" s="3">
        <f t="shared" si="15"/>
        <v>0</v>
      </c>
    </row>
    <row r="276" spans="1:17" x14ac:dyDescent="0.2">
      <c r="A276" s="17">
        <v>2159</v>
      </c>
      <c r="B276" s="17">
        <v>1</v>
      </c>
      <c r="C276" s="3" t="s">
        <v>1162</v>
      </c>
      <c r="D276" s="3">
        <f>ROUND(Data!AA278*$B$2,2)</f>
        <v>0</v>
      </c>
      <c r="E276" s="3">
        <f>MAX(0,Data!AD278-Data!Y278)</f>
        <v>0</v>
      </c>
      <c r="F276" s="3">
        <f>Data!Y278</f>
        <v>102520.67</v>
      </c>
      <c r="G276" s="3">
        <f>Data!X278</f>
        <v>23853.190000000002</v>
      </c>
      <c r="H276" s="3">
        <f>Data!K278+Data!R278</f>
        <v>13890.300000000001</v>
      </c>
      <c r="I276" s="3">
        <f>Data!I278+Data!L278+Data!M278+Data!N278+Data!O278+Data!S278</f>
        <v>0</v>
      </c>
      <c r="J276" s="3">
        <f>Data!Q278</f>
        <v>0</v>
      </c>
      <c r="K276" s="3">
        <f>Data!J278+Data!P278</f>
        <v>-1339.0200000000004</v>
      </c>
      <c r="L276" s="3">
        <f>Data!T278</f>
        <v>0</v>
      </c>
      <c r="M276" s="3">
        <f>ROUND(Data!AB278*$B$2,2)</f>
        <v>0</v>
      </c>
      <c r="N276" s="3">
        <f>Data!U278</f>
        <v>0</v>
      </c>
      <c r="O276" s="3">
        <f t="shared" si="13"/>
        <v>138925.14000000001</v>
      </c>
      <c r="P276" s="3">
        <f t="shared" si="14"/>
        <v>138925.14000000001</v>
      </c>
      <c r="Q276" s="3">
        <f t="shared" si="15"/>
        <v>0</v>
      </c>
    </row>
    <row r="277" spans="1:17" x14ac:dyDescent="0.2">
      <c r="A277" s="17">
        <v>2164</v>
      </c>
      <c r="B277" s="17">
        <v>1</v>
      </c>
      <c r="C277" s="3" t="s">
        <v>1161</v>
      </c>
      <c r="D277" s="3">
        <f>ROUND(Data!AA279*$B$2,2)</f>
        <v>0</v>
      </c>
      <c r="E277" s="3">
        <f>MAX(0,Data!AD279-Data!Y279)</f>
        <v>0</v>
      </c>
      <c r="F277" s="3">
        <f>Data!Y279</f>
        <v>55510.33</v>
      </c>
      <c r="G277" s="3">
        <f>Data!X279</f>
        <v>0</v>
      </c>
      <c r="H277" s="3">
        <f>Data!K279+Data!R279</f>
        <v>13690.18</v>
      </c>
      <c r="I277" s="3">
        <f>Data!I279+Data!L279+Data!M279+Data!N279+Data!O279+Data!S279</f>
        <v>0</v>
      </c>
      <c r="J277" s="3">
        <f>Data!Q279</f>
        <v>0</v>
      </c>
      <c r="K277" s="3">
        <f>Data!J279+Data!P279</f>
        <v>15894</v>
      </c>
      <c r="L277" s="3">
        <f>Data!T279</f>
        <v>0</v>
      </c>
      <c r="M277" s="3">
        <f>ROUND(Data!AB279*$B$2,2)</f>
        <v>0</v>
      </c>
      <c r="N277" s="3">
        <f>Data!U279</f>
        <v>0</v>
      </c>
      <c r="O277" s="3">
        <f t="shared" si="13"/>
        <v>85094.510000000009</v>
      </c>
      <c r="P277" s="3">
        <f t="shared" si="14"/>
        <v>85094.510000000009</v>
      </c>
      <c r="Q277" s="3">
        <f t="shared" si="15"/>
        <v>0</v>
      </c>
    </row>
    <row r="278" spans="1:17" x14ac:dyDescent="0.2">
      <c r="A278" s="17">
        <v>2165</v>
      </c>
      <c r="B278" s="17">
        <v>1</v>
      </c>
      <c r="C278" s="3" t="s">
        <v>1160</v>
      </c>
      <c r="D278" s="3">
        <f>ROUND(Data!AA280*$B$2,2)</f>
        <v>0</v>
      </c>
      <c r="E278" s="3">
        <f>MAX(0,Data!AD280-Data!Y280)</f>
        <v>0</v>
      </c>
      <c r="F278" s="3">
        <f>Data!Y280</f>
        <v>51707.97</v>
      </c>
      <c r="G278" s="3">
        <f>Data!X280</f>
        <v>0</v>
      </c>
      <c r="H278" s="3">
        <f>Data!K280+Data!R280</f>
        <v>21479.9</v>
      </c>
      <c r="I278" s="3">
        <f>Data!I280+Data!L280+Data!M280+Data!N280+Data!O280+Data!S280</f>
        <v>0</v>
      </c>
      <c r="J278" s="3">
        <f>Data!Q280</f>
        <v>0</v>
      </c>
      <c r="K278" s="3">
        <f>Data!J280+Data!P280</f>
        <v>12979.05</v>
      </c>
      <c r="L278" s="3">
        <f>Data!T280</f>
        <v>0</v>
      </c>
      <c r="M278" s="3">
        <f>ROUND(Data!AB280*$B$2,2)</f>
        <v>0</v>
      </c>
      <c r="N278" s="3">
        <f>Data!U280</f>
        <v>0</v>
      </c>
      <c r="O278" s="3">
        <f t="shared" si="13"/>
        <v>86166.92</v>
      </c>
      <c r="P278" s="3">
        <f t="shared" si="14"/>
        <v>86166.92</v>
      </c>
      <c r="Q278" s="3">
        <f t="shared" si="15"/>
        <v>0</v>
      </c>
    </row>
    <row r="279" spans="1:17" x14ac:dyDescent="0.2">
      <c r="A279" s="17">
        <v>2167</v>
      </c>
      <c r="B279" s="17">
        <v>1</v>
      </c>
      <c r="C279" s="3" t="s">
        <v>284</v>
      </c>
      <c r="D279" s="3">
        <f>ROUND(Data!AA281*$B$2,2)</f>
        <v>0</v>
      </c>
      <c r="E279" s="3">
        <f>MAX(0,Data!AD281-Data!Y281)</f>
        <v>0</v>
      </c>
      <c r="F279" s="3">
        <f>Data!Y281</f>
        <v>31840.2</v>
      </c>
      <c r="G279" s="3">
        <f>Data!X281</f>
        <v>5689.16</v>
      </c>
      <c r="H279" s="3">
        <f>Data!K281+Data!R281</f>
        <v>14137.6</v>
      </c>
      <c r="I279" s="3">
        <f>Data!I281+Data!L281+Data!M281+Data!N281+Data!O281+Data!S281</f>
        <v>0</v>
      </c>
      <c r="J279" s="3">
        <f>Data!Q281</f>
        <v>0</v>
      </c>
      <c r="K279" s="3">
        <f>Data!J281+Data!P281</f>
        <v>286.37</v>
      </c>
      <c r="L279" s="3">
        <f>Data!T281</f>
        <v>0</v>
      </c>
      <c r="M279" s="3">
        <f>ROUND(Data!AB281*$B$2,2)</f>
        <v>0</v>
      </c>
      <c r="N279" s="3">
        <f>Data!U281</f>
        <v>0</v>
      </c>
      <c r="O279" s="3">
        <f t="shared" si="13"/>
        <v>51953.33</v>
      </c>
      <c r="P279" s="3">
        <f t="shared" si="14"/>
        <v>51953.33</v>
      </c>
      <c r="Q279" s="3">
        <f t="shared" si="15"/>
        <v>0</v>
      </c>
    </row>
    <row r="280" spans="1:17" x14ac:dyDescent="0.2">
      <c r="A280" s="17">
        <v>2168</v>
      </c>
      <c r="B280" s="17">
        <v>1</v>
      </c>
      <c r="C280" s="3" t="s">
        <v>285</v>
      </c>
      <c r="D280" s="3">
        <f>ROUND(Data!AA282*$B$2,2)</f>
        <v>0</v>
      </c>
      <c r="E280" s="3">
        <f>MAX(0,Data!AD282-Data!Y282)</f>
        <v>0</v>
      </c>
      <c r="F280" s="3">
        <f>Data!Y282</f>
        <v>77590.100000000006</v>
      </c>
      <c r="G280" s="3">
        <f>Data!X282</f>
        <v>11668.37</v>
      </c>
      <c r="H280" s="3">
        <f>Data!K282+Data!R282</f>
        <v>22434.71</v>
      </c>
      <c r="I280" s="3">
        <f>Data!I282+Data!L282+Data!M282+Data!N282+Data!O282+Data!S282</f>
        <v>0</v>
      </c>
      <c r="J280" s="3">
        <f>Data!Q282</f>
        <v>0</v>
      </c>
      <c r="K280" s="3">
        <f>Data!J282+Data!P282</f>
        <v>-9604.67</v>
      </c>
      <c r="L280" s="3">
        <f>Data!T282</f>
        <v>0</v>
      </c>
      <c r="M280" s="3">
        <f>ROUND(Data!AB282*$B$2,2)</f>
        <v>0</v>
      </c>
      <c r="N280" s="3">
        <f>Data!U282</f>
        <v>0</v>
      </c>
      <c r="O280" s="3">
        <f t="shared" si="13"/>
        <v>102088.51</v>
      </c>
      <c r="P280" s="3">
        <f t="shared" si="14"/>
        <v>102088.51</v>
      </c>
      <c r="Q280" s="3">
        <f t="shared" si="15"/>
        <v>0</v>
      </c>
    </row>
    <row r="281" spans="1:17" x14ac:dyDescent="0.2">
      <c r="A281" s="17">
        <v>2169</v>
      </c>
      <c r="B281" s="17">
        <v>1</v>
      </c>
      <c r="C281" s="3" t="s">
        <v>1159</v>
      </c>
      <c r="D281" s="3">
        <f>ROUND(Data!AA283*$B$2,2)</f>
        <v>0</v>
      </c>
      <c r="E281" s="3">
        <f>MAX(0,Data!AD283-Data!Y283)</f>
        <v>0</v>
      </c>
      <c r="F281" s="3">
        <f>Data!Y283</f>
        <v>61280.65</v>
      </c>
      <c r="G281" s="3">
        <f>Data!X283</f>
        <v>5478.96</v>
      </c>
      <c r="H281" s="3">
        <f>Data!K283+Data!R283</f>
        <v>17567.510000000002</v>
      </c>
      <c r="I281" s="3">
        <f>Data!I283+Data!L283+Data!M283+Data!N283+Data!O283+Data!S283</f>
        <v>0</v>
      </c>
      <c r="J281" s="3">
        <f>Data!Q283</f>
        <v>0</v>
      </c>
      <c r="K281" s="3">
        <f>Data!J283+Data!P283</f>
        <v>3374.33</v>
      </c>
      <c r="L281" s="3">
        <f>Data!T283</f>
        <v>0</v>
      </c>
      <c r="M281" s="3">
        <f>ROUND(Data!AB283*$B$2,2)</f>
        <v>0</v>
      </c>
      <c r="N281" s="3">
        <f>Data!U283</f>
        <v>0</v>
      </c>
      <c r="O281" s="3">
        <f t="shared" si="13"/>
        <v>87701.45</v>
      </c>
      <c r="P281" s="3">
        <f t="shared" si="14"/>
        <v>87701.45</v>
      </c>
      <c r="Q281" s="3">
        <f t="shared" si="15"/>
        <v>0</v>
      </c>
    </row>
    <row r="282" spans="1:17" x14ac:dyDescent="0.2">
      <c r="A282" s="17">
        <v>2170</v>
      </c>
      <c r="B282" s="17">
        <v>1</v>
      </c>
      <c r="C282" s="3" t="s">
        <v>287</v>
      </c>
      <c r="D282" s="3">
        <f>ROUND(Data!AA284*$B$2,2)</f>
        <v>0</v>
      </c>
      <c r="E282" s="3">
        <f>MAX(0,Data!AD284-Data!Y284)</f>
        <v>0</v>
      </c>
      <c r="F282" s="3">
        <f>Data!Y284</f>
        <v>78553.36</v>
      </c>
      <c r="G282" s="3">
        <f>Data!X284</f>
        <v>0</v>
      </c>
      <c r="H282" s="3">
        <f>Data!K284+Data!R284</f>
        <v>63601.100000000006</v>
      </c>
      <c r="I282" s="3">
        <f>Data!I284+Data!L284+Data!M284+Data!N284+Data!O284+Data!S284</f>
        <v>0</v>
      </c>
      <c r="J282" s="3">
        <f>Data!Q284</f>
        <v>0</v>
      </c>
      <c r="K282" s="3">
        <f>Data!J284+Data!P284</f>
        <v>16164.16</v>
      </c>
      <c r="L282" s="3">
        <f>Data!T284</f>
        <v>0</v>
      </c>
      <c r="M282" s="3">
        <f>ROUND(Data!AB284*$B$2,2)</f>
        <v>0</v>
      </c>
      <c r="N282" s="3">
        <f>Data!U284</f>
        <v>0</v>
      </c>
      <c r="O282" s="3">
        <f t="shared" si="13"/>
        <v>158318.62000000002</v>
      </c>
      <c r="P282" s="3">
        <f t="shared" si="14"/>
        <v>158318.62000000002</v>
      </c>
      <c r="Q282" s="3">
        <f t="shared" si="15"/>
        <v>0</v>
      </c>
    </row>
    <row r="283" spans="1:17" x14ac:dyDescent="0.2">
      <c r="A283" s="17">
        <v>2171</v>
      </c>
      <c r="B283" s="17">
        <v>1</v>
      </c>
      <c r="C283" s="3" t="s">
        <v>288</v>
      </c>
      <c r="D283" s="3">
        <f>ROUND(Data!AA285*$B$2,2)</f>
        <v>0</v>
      </c>
      <c r="E283" s="3">
        <f>MAX(0,Data!AD285-Data!Y285)</f>
        <v>0</v>
      </c>
      <c r="F283" s="3">
        <f>Data!Y285</f>
        <v>312434.59999999998</v>
      </c>
      <c r="G283" s="3">
        <f>Data!X285</f>
        <v>0</v>
      </c>
      <c r="H283" s="3">
        <f>Data!K285+Data!R285</f>
        <v>11742.86</v>
      </c>
      <c r="I283" s="3">
        <f>Data!I285+Data!L285+Data!M285+Data!N285+Data!O285+Data!S285</f>
        <v>0</v>
      </c>
      <c r="J283" s="3">
        <f>Data!Q285</f>
        <v>0</v>
      </c>
      <c r="K283" s="3">
        <f>Data!J285+Data!P285</f>
        <v>0</v>
      </c>
      <c r="L283" s="3">
        <f>Data!T285</f>
        <v>0</v>
      </c>
      <c r="M283" s="3">
        <f>ROUND(Data!AB285*$B$2,2)</f>
        <v>0</v>
      </c>
      <c r="N283" s="3">
        <f>Data!U285</f>
        <v>0</v>
      </c>
      <c r="O283" s="3">
        <f t="shared" si="13"/>
        <v>324177.45999999996</v>
      </c>
      <c r="P283" s="3">
        <f t="shared" si="14"/>
        <v>324177.45999999996</v>
      </c>
      <c r="Q283" s="3">
        <f t="shared" si="15"/>
        <v>0</v>
      </c>
    </row>
    <row r="284" spans="1:17" x14ac:dyDescent="0.2">
      <c r="A284" s="17">
        <v>2172</v>
      </c>
      <c r="B284" s="17">
        <v>1</v>
      </c>
      <c r="C284" s="3" t="s">
        <v>289</v>
      </c>
      <c r="D284" s="3">
        <f>ROUND(Data!AA286*$B$2,2)</f>
        <v>0</v>
      </c>
      <c r="E284" s="3">
        <f>MAX(0,Data!AD286-Data!Y286)</f>
        <v>0</v>
      </c>
      <c r="F284" s="3">
        <f>Data!Y286</f>
        <v>71959.179999999993</v>
      </c>
      <c r="G284" s="3">
        <f>Data!X286</f>
        <v>0</v>
      </c>
      <c r="H284" s="3">
        <f>Data!K286+Data!R286</f>
        <v>20169.21</v>
      </c>
      <c r="I284" s="3">
        <f>Data!I286+Data!L286+Data!M286+Data!N286+Data!O286+Data!S286</f>
        <v>4500</v>
      </c>
      <c r="J284" s="3">
        <f>Data!Q286</f>
        <v>0</v>
      </c>
      <c r="K284" s="3">
        <f>Data!J286+Data!P286</f>
        <v>1065.02</v>
      </c>
      <c r="L284" s="3">
        <f>Data!T286</f>
        <v>0</v>
      </c>
      <c r="M284" s="3">
        <f>ROUND(Data!AB286*$B$2,2)</f>
        <v>0</v>
      </c>
      <c r="N284" s="3">
        <f>Data!U286</f>
        <v>0</v>
      </c>
      <c r="O284" s="3">
        <f t="shared" si="13"/>
        <v>97693.409999999989</v>
      </c>
      <c r="P284" s="3">
        <f t="shared" si="14"/>
        <v>97693.409999999989</v>
      </c>
      <c r="Q284" s="3">
        <f t="shared" si="15"/>
        <v>0</v>
      </c>
    </row>
    <row r="285" spans="1:17" x14ac:dyDescent="0.2">
      <c r="A285" s="17">
        <v>2174</v>
      </c>
      <c r="B285" s="17">
        <v>1</v>
      </c>
      <c r="C285" s="3" t="s">
        <v>1158</v>
      </c>
      <c r="D285" s="3">
        <f>ROUND(Data!AA287*$B$2,2)</f>
        <v>0</v>
      </c>
      <c r="E285" s="3">
        <f>MAX(0,Data!AD287-Data!Y287)</f>
        <v>0</v>
      </c>
      <c r="F285" s="3">
        <f>Data!Y287</f>
        <v>0</v>
      </c>
      <c r="G285" s="3">
        <f>Data!X287</f>
        <v>0</v>
      </c>
      <c r="H285" s="3">
        <f>Data!K287+Data!R287</f>
        <v>22729.85</v>
      </c>
      <c r="I285" s="3">
        <f>Data!I287+Data!L287+Data!M287+Data!N287+Data!O287+Data!S287</f>
        <v>0</v>
      </c>
      <c r="J285" s="3">
        <f>Data!Q287</f>
        <v>0</v>
      </c>
      <c r="K285" s="3">
        <f>Data!J287+Data!P287</f>
        <v>18036.34</v>
      </c>
      <c r="L285" s="3">
        <f>Data!T287</f>
        <v>0</v>
      </c>
      <c r="M285" s="3">
        <f>ROUND(Data!AB287*$B$2,2)</f>
        <v>0</v>
      </c>
      <c r="N285" s="3">
        <f>Data!U287</f>
        <v>0</v>
      </c>
      <c r="O285" s="3">
        <f t="shared" si="13"/>
        <v>40766.19</v>
      </c>
      <c r="P285" s="3">
        <f t="shared" si="14"/>
        <v>40766.19</v>
      </c>
      <c r="Q285" s="3">
        <f t="shared" si="15"/>
        <v>0</v>
      </c>
    </row>
    <row r="286" spans="1:17" x14ac:dyDescent="0.2">
      <c r="A286" s="17">
        <v>2176</v>
      </c>
      <c r="B286" s="17">
        <v>1</v>
      </c>
      <c r="C286" s="3" t="s">
        <v>1157</v>
      </c>
      <c r="D286" s="3">
        <f>ROUND(Data!AA288*$B$2,2)</f>
        <v>0</v>
      </c>
      <c r="E286" s="3">
        <f>MAX(0,Data!AD288-Data!Y288)</f>
        <v>0</v>
      </c>
      <c r="F286" s="3">
        <f>Data!Y288</f>
        <v>228879.6</v>
      </c>
      <c r="G286" s="3">
        <f>Data!X288</f>
        <v>0</v>
      </c>
      <c r="H286" s="3">
        <f>Data!K288+Data!R288</f>
        <v>8356.5499999999993</v>
      </c>
      <c r="I286" s="3">
        <f>Data!I288+Data!L288+Data!M288+Data!N288+Data!O288+Data!S288</f>
        <v>0</v>
      </c>
      <c r="J286" s="3">
        <f>Data!Q288</f>
        <v>0</v>
      </c>
      <c r="K286" s="3">
        <f>Data!J288+Data!P288</f>
        <v>-4111</v>
      </c>
      <c r="L286" s="3">
        <f>Data!T288</f>
        <v>0</v>
      </c>
      <c r="M286" s="3">
        <f>ROUND(Data!AB288*$B$2,2)</f>
        <v>0</v>
      </c>
      <c r="N286" s="3">
        <f>Data!U288</f>
        <v>0</v>
      </c>
      <c r="O286" s="3">
        <f t="shared" si="13"/>
        <v>233125.15</v>
      </c>
      <c r="P286" s="3">
        <f t="shared" si="14"/>
        <v>233125.15</v>
      </c>
      <c r="Q286" s="3">
        <f t="shared" si="15"/>
        <v>0</v>
      </c>
    </row>
    <row r="287" spans="1:17" x14ac:dyDescent="0.2">
      <c r="A287" s="17">
        <v>2180</v>
      </c>
      <c r="B287" s="17">
        <v>1</v>
      </c>
      <c r="C287" s="3" t="s">
        <v>292</v>
      </c>
      <c r="D287" s="3">
        <f>ROUND(Data!AA289*$B$2,2)</f>
        <v>0</v>
      </c>
      <c r="E287" s="3">
        <f>MAX(0,Data!AD289-Data!Y289)</f>
        <v>0</v>
      </c>
      <c r="F287" s="3">
        <f>Data!Y289</f>
        <v>173617.36</v>
      </c>
      <c r="G287" s="3">
        <f>Data!X289</f>
        <v>0</v>
      </c>
      <c r="H287" s="3">
        <f>Data!K289+Data!R289</f>
        <v>11742.86</v>
      </c>
      <c r="I287" s="3">
        <f>Data!I289+Data!L289+Data!M289+Data!N289+Data!O289+Data!S289</f>
        <v>0</v>
      </c>
      <c r="J287" s="3">
        <f>Data!Q289</f>
        <v>0</v>
      </c>
      <c r="K287" s="3">
        <f>Data!J289+Data!P289</f>
        <v>-3000</v>
      </c>
      <c r="L287" s="3">
        <f>Data!T289</f>
        <v>0</v>
      </c>
      <c r="M287" s="3">
        <f>ROUND(Data!AB289*$B$2,2)</f>
        <v>0</v>
      </c>
      <c r="N287" s="3">
        <f>Data!U289</f>
        <v>0</v>
      </c>
      <c r="O287" s="3">
        <f t="shared" si="13"/>
        <v>182360.21999999997</v>
      </c>
      <c r="P287" s="3">
        <f t="shared" si="14"/>
        <v>182360.21999999997</v>
      </c>
      <c r="Q287" s="3">
        <f t="shared" si="15"/>
        <v>0</v>
      </c>
    </row>
    <row r="288" spans="1:17" x14ac:dyDescent="0.2">
      <c r="A288" s="17">
        <v>2184</v>
      </c>
      <c r="B288" s="17">
        <v>1</v>
      </c>
      <c r="C288" s="3" t="s">
        <v>293</v>
      </c>
      <c r="D288" s="3">
        <f>ROUND(Data!AA290*$B$2,2)</f>
        <v>0</v>
      </c>
      <c r="E288" s="3">
        <f>MAX(0,Data!AD290-Data!Y290)</f>
        <v>0</v>
      </c>
      <c r="F288" s="3">
        <f>Data!Y290</f>
        <v>45058.55</v>
      </c>
      <c r="G288" s="3">
        <f>Data!X290</f>
        <v>2150.0300000000002</v>
      </c>
      <c r="H288" s="3">
        <f>Data!K290+Data!R290</f>
        <v>26655.88</v>
      </c>
      <c r="I288" s="3">
        <f>Data!I290+Data!L290+Data!M290+Data!N290+Data!O290+Data!S290</f>
        <v>0</v>
      </c>
      <c r="J288" s="3">
        <f>Data!Q290</f>
        <v>0</v>
      </c>
      <c r="K288" s="3">
        <f>Data!J290+Data!P290</f>
        <v>-1900.88</v>
      </c>
      <c r="L288" s="3">
        <f>Data!T290</f>
        <v>0</v>
      </c>
      <c r="M288" s="3">
        <f>ROUND(Data!AB290*$B$2,2)</f>
        <v>0</v>
      </c>
      <c r="N288" s="3">
        <f>Data!U290</f>
        <v>0</v>
      </c>
      <c r="O288" s="3">
        <f t="shared" si="13"/>
        <v>71963.58</v>
      </c>
      <c r="P288" s="3">
        <f t="shared" si="14"/>
        <v>71963.58</v>
      </c>
      <c r="Q288" s="3">
        <f t="shared" si="15"/>
        <v>0</v>
      </c>
    </row>
    <row r="289" spans="1:17" x14ac:dyDescent="0.2">
      <c r="A289" s="17">
        <v>2190</v>
      </c>
      <c r="B289" s="17">
        <v>1</v>
      </c>
      <c r="C289" s="3" t="s">
        <v>1156</v>
      </c>
      <c r="D289" s="3">
        <f>ROUND(Data!AA291*$B$2,2)</f>
        <v>0</v>
      </c>
      <c r="E289" s="3">
        <f>MAX(0,Data!AD291-Data!Y291)</f>
        <v>0</v>
      </c>
      <c r="F289" s="3">
        <f>Data!Y291</f>
        <v>106127.39</v>
      </c>
      <c r="G289" s="3">
        <f>Data!X291</f>
        <v>3393.38</v>
      </c>
      <c r="H289" s="3">
        <f>Data!K291+Data!R291</f>
        <v>31594.89</v>
      </c>
      <c r="I289" s="3">
        <f>Data!I291+Data!L291+Data!M291+Data!N291+Data!O291+Data!S291</f>
        <v>0</v>
      </c>
      <c r="J289" s="3">
        <f>Data!Q291</f>
        <v>0</v>
      </c>
      <c r="K289" s="3">
        <f>Data!J291+Data!P291</f>
        <v>-25771.25</v>
      </c>
      <c r="L289" s="3">
        <f>Data!T291</f>
        <v>0</v>
      </c>
      <c r="M289" s="3">
        <f>ROUND(Data!AB291*$B$2,2)</f>
        <v>0</v>
      </c>
      <c r="N289" s="3">
        <f>Data!U291</f>
        <v>0</v>
      </c>
      <c r="O289" s="3">
        <f t="shared" si="13"/>
        <v>115344.41</v>
      </c>
      <c r="P289" s="3">
        <f t="shared" si="14"/>
        <v>115344.41</v>
      </c>
      <c r="Q289" s="3">
        <f t="shared" si="15"/>
        <v>0</v>
      </c>
    </row>
    <row r="290" spans="1:17" x14ac:dyDescent="0.2">
      <c r="A290" s="17">
        <v>2198</v>
      </c>
      <c r="B290" s="17">
        <v>1</v>
      </c>
      <c r="C290" s="3" t="s">
        <v>295</v>
      </c>
      <c r="D290" s="3">
        <f>ROUND(Data!AA292*$B$2,2)</f>
        <v>0</v>
      </c>
      <c r="E290" s="3">
        <f>MAX(0,Data!AD292-Data!Y292)</f>
        <v>0</v>
      </c>
      <c r="F290" s="3">
        <f>Data!Y292</f>
        <v>54051.81</v>
      </c>
      <c r="G290" s="3">
        <f>Data!X292</f>
        <v>0</v>
      </c>
      <c r="H290" s="3">
        <f>Data!K292+Data!R292</f>
        <v>20661.8</v>
      </c>
      <c r="I290" s="3">
        <f>Data!I292+Data!L292+Data!M292+Data!N292+Data!O292+Data!S292</f>
        <v>0</v>
      </c>
      <c r="J290" s="3">
        <f>Data!Q292</f>
        <v>0</v>
      </c>
      <c r="K290" s="3">
        <f>Data!J292+Data!P292</f>
        <v>56270.98</v>
      </c>
      <c r="L290" s="3">
        <f>Data!T292</f>
        <v>0</v>
      </c>
      <c r="M290" s="3">
        <f>ROUND(Data!AB292*$B$2,2)</f>
        <v>0</v>
      </c>
      <c r="N290" s="3">
        <f>Data!U292</f>
        <v>0</v>
      </c>
      <c r="O290" s="3">
        <f t="shared" si="13"/>
        <v>130984.59</v>
      </c>
      <c r="P290" s="3">
        <f t="shared" si="14"/>
        <v>130984.59</v>
      </c>
      <c r="Q290" s="3">
        <f t="shared" si="15"/>
        <v>0</v>
      </c>
    </row>
    <row r="291" spans="1:17" x14ac:dyDescent="0.2">
      <c r="A291" s="17">
        <v>2215</v>
      </c>
      <c r="B291" s="17">
        <v>1</v>
      </c>
      <c r="C291" s="3" t="s">
        <v>1155</v>
      </c>
      <c r="D291" s="3">
        <f>ROUND(Data!AA293*$B$2,2)</f>
        <v>0</v>
      </c>
      <c r="E291" s="3">
        <f>MAX(0,Data!AD293-Data!Y293)</f>
        <v>0</v>
      </c>
      <c r="F291" s="3">
        <f>Data!Y293</f>
        <v>26598.22</v>
      </c>
      <c r="G291" s="3">
        <f>Data!X293</f>
        <v>0</v>
      </c>
      <c r="H291" s="3">
        <f>Data!K293+Data!R293</f>
        <v>23469.739999999998</v>
      </c>
      <c r="I291" s="3">
        <f>Data!I293+Data!L293+Data!M293+Data!N293+Data!O293+Data!S293</f>
        <v>0</v>
      </c>
      <c r="J291" s="3">
        <f>Data!Q293</f>
        <v>0</v>
      </c>
      <c r="K291" s="3">
        <f>Data!J293+Data!P293</f>
        <v>22876.62</v>
      </c>
      <c r="L291" s="3">
        <f>Data!T293</f>
        <v>0</v>
      </c>
      <c r="M291" s="3">
        <f>ROUND(Data!AB293*$B$2,2)</f>
        <v>0</v>
      </c>
      <c r="N291" s="3">
        <f>Data!U293</f>
        <v>0</v>
      </c>
      <c r="O291" s="3">
        <f t="shared" si="13"/>
        <v>72944.58</v>
      </c>
      <c r="P291" s="3">
        <f t="shared" si="14"/>
        <v>72944.58</v>
      </c>
      <c r="Q291" s="3">
        <f t="shared" si="15"/>
        <v>0</v>
      </c>
    </row>
    <row r="292" spans="1:17" x14ac:dyDescent="0.2">
      <c r="A292" s="17">
        <v>2310</v>
      </c>
      <c r="B292" s="17">
        <v>1</v>
      </c>
      <c r="C292" s="3" t="s">
        <v>297</v>
      </c>
      <c r="D292" s="3">
        <f>ROUND(Data!AA294*$B$2,2)</f>
        <v>0</v>
      </c>
      <c r="E292" s="3">
        <f>MAX(0,Data!AD294-Data!Y294)</f>
        <v>0</v>
      </c>
      <c r="F292" s="3">
        <f>Data!Y294</f>
        <v>69650.559999999998</v>
      </c>
      <c r="G292" s="3">
        <f>Data!X294</f>
        <v>0</v>
      </c>
      <c r="H292" s="3">
        <f>Data!K294+Data!R294</f>
        <v>26257.52</v>
      </c>
      <c r="I292" s="3">
        <f>Data!I294+Data!L294+Data!M294+Data!N294+Data!O294+Data!S294</f>
        <v>0</v>
      </c>
      <c r="J292" s="3">
        <f>Data!Q294</f>
        <v>-2000</v>
      </c>
      <c r="K292" s="3">
        <f>Data!J294+Data!P294</f>
        <v>-2959.5699999999997</v>
      </c>
      <c r="L292" s="3">
        <f>Data!T294</f>
        <v>0</v>
      </c>
      <c r="M292" s="3">
        <f>ROUND(Data!AB294*$B$2,2)</f>
        <v>0</v>
      </c>
      <c r="N292" s="3">
        <f>Data!U294</f>
        <v>0</v>
      </c>
      <c r="O292" s="3">
        <f t="shared" si="13"/>
        <v>90948.510000000009</v>
      </c>
      <c r="P292" s="3">
        <f t="shared" si="14"/>
        <v>90948.510000000009</v>
      </c>
      <c r="Q292" s="3">
        <f t="shared" si="15"/>
        <v>0</v>
      </c>
    </row>
    <row r="293" spans="1:17" x14ac:dyDescent="0.2">
      <c r="A293" s="17">
        <v>2311</v>
      </c>
      <c r="B293" s="17">
        <v>1</v>
      </c>
      <c r="C293" s="3" t="s">
        <v>1154</v>
      </c>
      <c r="D293" s="3">
        <f>ROUND(Data!AA295*$B$2,2)</f>
        <v>0</v>
      </c>
      <c r="E293" s="3">
        <f>MAX(0,Data!AD295-Data!Y295)</f>
        <v>0</v>
      </c>
      <c r="F293" s="3">
        <f>Data!Y295</f>
        <v>57346.63</v>
      </c>
      <c r="G293" s="3">
        <f>Data!X295</f>
        <v>8613.4699999999993</v>
      </c>
      <c r="H293" s="3">
        <f>Data!K295+Data!R295</f>
        <v>11826.380000000001</v>
      </c>
      <c r="I293" s="3">
        <f>Data!I295+Data!L295+Data!M295+Data!N295+Data!O295+Data!S295</f>
        <v>0</v>
      </c>
      <c r="J293" s="3">
        <f>Data!Q295</f>
        <v>0</v>
      </c>
      <c r="K293" s="3">
        <f>Data!J295+Data!P295</f>
        <v>2772</v>
      </c>
      <c r="L293" s="3">
        <f>Data!T295</f>
        <v>0</v>
      </c>
      <c r="M293" s="3">
        <f>ROUND(Data!AB295*$B$2,2)</f>
        <v>0</v>
      </c>
      <c r="N293" s="3">
        <f>Data!U295</f>
        <v>0</v>
      </c>
      <c r="O293" s="3">
        <f t="shared" si="13"/>
        <v>80558.48</v>
      </c>
      <c r="P293" s="3">
        <f t="shared" si="14"/>
        <v>80558.48</v>
      </c>
      <c r="Q293" s="3">
        <f t="shared" si="15"/>
        <v>0</v>
      </c>
    </row>
    <row r="294" spans="1:17" x14ac:dyDescent="0.2">
      <c r="A294" s="17">
        <v>2342</v>
      </c>
      <c r="B294" s="17">
        <v>1</v>
      </c>
      <c r="C294" s="3" t="s">
        <v>1153</v>
      </c>
      <c r="D294" s="3">
        <f>ROUND(Data!AA296*$B$2,2)</f>
        <v>0</v>
      </c>
      <c r="E294" s="3">
        <f>MAX(0,Data!AD296-Data!Y296)</f>
        <v>0</v>
      </c>
      <c r="F294" s="3">
        <f>Data!Y296</f>
        <v>76124.09</v>
      </c>
      <c r="G294" s="3">
        <f>Data!X296</f>
        <v>0</v>
      </c>
      <c r="H294" s="3">
        <f>Data!K296+Data!R296</f>
        <v>23266.710000000003</v>
      </c>
      <c r="I294" s="3">
        <f>Data!I296+Data!L296+Data!M296+Data!N296+Data!O296+Data!S296</f>
        <v>0</v>
      </c>
      <c r="J294" s="3">
        <f>Data!Q296</f>
        <v>0</v>
      </c>
      <c r="K294" s="3">
        <f>Data!J296+Data!P296</f>
        <v>-4717.1200000000008</v>
      </c>
      <c r="L294" s="3">
        <f>Data!T296</f>
        <v>0</v>
      </c>
      <c r="M294" s="3">
        <f>ROUND(Data!AB296*$B$2,2)</f>
        <v>0</v>
      </c>
      <c r="N294" s="3">
        <f>Data!U296</f>
        <v>0</v>
      </c>
      <c r="O294" s="3">
        <f t="shared" si="13"/>
        <v>94673.680000000008</v>
      </c>
      <c r="P294" s="3">
        <f t="shared" si="14"/>
        <v>94673.680000000008</v>
      </c>
      <c r="Q294" s="3">
        <f t="shared" si="15"/>
        <v>0</v>
      </c>
    </row>
    <row r="295" spans="1:17" x14ac:dyDescent="0.2">
      <c r="A295" s="17">
        <v>2358</v>
      </c>
      <c r="B295" s="17">
        <v>1</v>
      </c>
      <c r="C295" s="3" t="s">
        <v>300</v>
      </c>
      <c r="D295" s="3">
        <f>ROUND(Data!AA297*$B$2,2)</f>
        <v>0</v>
      </c>
      <c r="E295" s="3">
        <f>MAX(0,Data!AD297-Data!Y297)</f>
        <v>0</v>
      </c>
      <c r="F295" s="3">
        <f>Data!Y297</f>
        <v>36123.39</v>
      </c>
      <c r="G295" s="3">
        <f>Data!X297</f>
        <v>2260.84</v>
      </c>
      <c r="H295" s="3">
        <f>Data!K297+Data!R297</f>
        <v>11667.990000000002</v>
      </c>
      <c r="I295" s="3">
        <f>Data!I297+Data!L297+Data!M297+Data!N297+Data!O297+Data!S297</f>
        <v>0</v>
      </c>
      <c r="J295" s="3">
        <f>Data!Q297</f>
        <v>0</v>
      </c>
      <c r="K295" s="3">
        <f>Data!J297+Data!P297</f>
        <v>-768.31</v>
      </c>
      <c r="L295" s="3">
        <f>Data!T297</f>
        <v>0</v>
      </c>
      <c r="M295" s="3">
        <f>ROUND(Data!AB297*$B$2,2)</f>
        <v>0</v>
      </c>
      <c r="N295" s="3">
        <f>Data!U297</f>
        <v>0</v>
      </c>
      <c r="O295" s="3">
        <f t="shared" si="13"/>
        <v>49283.91</v>
      </c>
      <c r="P295" s="3">
        <f t="shared" si="14"/>
        <v>49283.91</v>
      </c>
      <c r="Q295" s="3">
        <f t="shared" si="15"/>
        <v>0</v>
      </c>
    </row>
    <row r="296" spans="1:17" x14ac:dyDescent="0.2">
      <c r="A296" s="17">
        <v>2364</v>
      </c>
      <c r="B296" s="17">
        <v>1</v>
      </c>
      <c r="C296" s="3" t="s">
        <v>1152</v>
      </c>
      <c r="D296" s="3">
        <f>ROUND(Data!AA298*$B$2,2)</f>
        <v>0</v>
      </c>
      <c r="E296" s="3">
        <f>MAX(0,Data!AD298-Data!Y298)</f>
        <v>0</v>
      </c>
      <c r="F296" s="3">
        <f>Data!Y298</f>
        <v>33392.53</v>
      </c>
      <c r="G296" s="3">
        <f>Data!X298</f>
        <v>11.77</v>
      </c>
      <c r="H296" s="3">
        <f>Data!K298+Data!R298</f>
        <v>25650.880000000001</v>
      </c>
      <c r="I296" s="3">
        <f>Data!I298+Data!L298+Data!M298+Data!N298+Data!O298+Data!S298</f>
        <v>0</v>
      </c>
      <c r="J296" s="3">
        <f>Data!Q298</f>
        <v>0</v>
      </c>
      <c r="K296" s="3">
        <f>Data!J298+Data!P298</f>
        <v>1146</v>
      </c>
      <c r="L296" s="3">
        <f>Data!T298</f>
        <v>0</v>
      </c>
      <c r="M296" s="3">
        <f>ROUND(Data!AB298*$B$2,2)</f>
        <v>0</v>
      </c>
      <c r="N296" s="3">
        <f>Data!U298</f>
        <v>0</v>
      </c>
      <c r="O296" s="3">
        <f t="shared" si="13"/>
        <v>60201.179999999993</v>
      </c>
      <c r="P296" s="3">
        <f t="shared" si="14"/>
        <v>60201.179999999993</v>
      </c>
      <c r="Q296" s="3">
        <f t="shared" si="15"/>
        <v>0</v>
      </c>
    </row>
    <row r="297" spans="1:17" x14ac:dyDescent="0.2">
      <c r="A297" s="17">
        <v>2365</v>
      </c>
      <c r="B297" s="17">
        <v>1</v>
      </c>
      <c r="C297" s="3" t="s">
        <v>302</v>
      </c>
      <c r="D297" s="3">
        <f>ROUND(Data!AA299*$B$2,2)</f>
        <v>0</v>
      </c>
      <c r="E297" s="3">
        <f>MAX(0,Data!AD299-Data!Y299)</f>
        <v>0</v>
      </c>
      <c r="F297" s="3">
        <f>Data!Y299</f>
        <v>150758.15</v>
      </c>
      <c r="G297" s="3">
        <f>Data!X299</f>
        <v>1584.22</v>
      </c>
      <c r="H297" s="3">
        <f>Data!K299+Data!R299</f>
        <v>25569.010000000002</v>
      </c>
      <c r="I297" s="3">
        <f>Data!I299+Data!L299+Data!M299+Data!N299+Data!O299+Data!S299</f>
        <v>0</v>
      </c>
      <c r="J297" s="3">
        <f>Data!Q299</f>
        <v>0</v>
      </c>
      <c r="K297" s="3">
        <f>Data!J299+Data!P299</f>
        <v>16429.52</v>
      </c>
      <c r="L297" s="3">
        <f>Data!T299</f>
        <v>0</v>
      </c>
      <c r="M297" s="3">
        <f>ROUND(Data!AB299*$B$2,2)</f>
        <v>0</v>
      </c>
      <c r="N297" s="3">
        <f>Data!U299</f>
        <v>0</v>
      </c>
      <c r="O297" s="3">
        <f t="shared" si="13"/>
        <v>194340.9</v>
      </c>
      <c r="P297" s="3">
        <f t="shared" si="14"/>
        <v>194340.9</v>
      </c>
      <c r="Q297" s="3">
        <f t="shared" si="15"/>
        <v>0</v>
      </c>
    </row>
    <row r="298" spans="1:17" x14ac:dyDescent="0.2">
      <c r="A298" s="17">
        <v>2396</v>
      </c>
      <c r="B298" s="17">
        <v>1</v>
      </c>
      <c r="C298" s="3" t="s">
        <v>303</v>
      </c>
      <c r="D298" s="3">
        <f>ROUND(Data!AA300*$B$2,2)</f>
        <v>0</v>
      </c>
      <c r="E298" s="3">
        <f>MAX(0,Data!AD300-Data!Y300)</f>
        <v>0</v>
      </c>
      <c r="F298" s="3">
        <f>Data!Y300</f>
        <v>102338.72</v>
      </c>
      <c r="G298" s="3">
        <f>Data!X300</f>
        <v>6520.58</v>
      </c>
      <c r="H298" s="3">
        <f>Data!K300+Data!R300</f>
        <v>18362.909999999996</v>
      </c>
      <c r="I298" s="3">
        <f>Data!I300+Data!L300+Data!M300+Data!N300+Data!O300+Data!S300</f>
        <v>0</v>
      </c>
      <c r="J298" s="3">
        <f>Data!Q300</f>
        <v>0</v>
      </c>
      <c r="K298" s="3">
        <f>Data!J300+Data!P300</f>
        <v>10529.03</v>
      </c>
      <c r="L298" s="3">
        <f>Data!T300</f>
        <v>0</v>
      </c>
      <c r="M298" s="3">
        <f>ROUND(Data!AB300*$B$2,2)</f>
        <v>0</v>
      </c>
      <c r="N298" s="3">
        <f>Data!U300</f>
        <v>0</v>
      </c>
      <c r="O298" s="3">
        <f t="shared" si="13"/>
        <v>137751.24</v>
      </c>
      <c r="P298" s="3">
        <f t="shared" si="14"/>
        <v>137751.24</v>
      </c>
      <c r="Q298" s="3">
        <f t="shared" si="15"/>
        <v>0</v>
      </c>
    </row>
    <row r="299" spans="1:17" x14ac:dyDescent="0.2">
      <c r="A299" s="17">
        <v>2397</v>
      </c>
      <c r="B299" s="17">
        <v>1</v>
      </c>
      <c r="C299" s="3" t="s">
        <v>1151</v>
      </c>
      <c r="D299" s="3">
        <f>ROUND(Data!AA301*$B$2,2)</f>
        <v>0</v>
      </c>
      <c r="E299" s="3">
        <f>MAX(0,Data!AD301-Data!Y301)</f>
        <v>0</v>
      </c>
      <c r="F299" s="3">
        <f>Data!Y301</f>
        <v>75648.160000000003</v>
      </c>
      <c r="G299" s="3">
        <f>Data!X301</f>
        <v>0</v>
      </c>
      <c r="H299" s="3">
        <f>Data!K301+Data!R301</f>
        <v>27588.749999999996</v>
      </c>
      <c r="I299" s="3">
        <f>Data!I301+Data!L301+Data!M301+Data!N301+Data!O301+Data!S301</f>
        <v>0</v>
      </c>
      <c r="J299" s="3">
        <f>Data!Q301</f>
        <v>0</v>
      </c>
      <c r="K299" s="3">
        <f>Data!J301+Data!P301</f>
        <v>4186.9799999999996</v>
      </c>
      <c r="L299" s="3">
        <f>Data!T301</f>
        <v>0</v>
      </c>
      <c r="M299" s="3">
        <f>ROUND(Data!AB301*$B$2,2)</f>
        <v>0</v>
      </c>
      <c r="N299" s="3">
        <f>Data!U301</f>
        <v>0</v>
      </c>
      <c r="O299" s="3">
        <f t="shared" si="13"/>
        <v>107423.89</v>
      </c>
      <c r="P299" s="3">
        <f t="shared" si="14"/>
        <v>107423.89</v>
      </c>
      <c r="Q299" s="3">
        <f t="shared" si="15"/>
        <v>0</v>
      </c>
    </row>
    <row r="300" spans="1:17" x14ac:dyDescent="0.2">
      <c r="A300" s="17">
        <v>2448</v>
      </c>
      <c r="B300" s="17">
        <v>1</v>
      </c>
      <c r="C300" s="3" t="s">
        <v>1150</v>
      </c>
      <c r="D300" s="3">
        <f>ROUND(Data!AA302*$B$2,2)</f>
        <v>0</v>
      </c>
      <c r="E300" s="3">
        <f>MAX(0,Data!AD302-Data!Y302)</f>
        <v>0</v>
      </c>
      <c r="F300" s="3">
        <f>Data!Y302</f>
        <v>221365</v>
      </c>
      <c r="G300" s="3">
        <f>Data!X302</f>
        <v>0</v>
      </c>
      <c r="H300" s="3">
        <f>Data!K302+Data!R302</f>
        <v>27129.82</v>
      </c>
      <c r="I300" s="3">
        <f>Data!I302+Data!L302+Data!M302+Data!N302+Data!O302+Data!S302</f>
        <v>0</v>
      </c>
      <c r="J300" s="3">
        <f>Data!Q302</f>
        <v>0</v>
      </c>
      <c r="K300" s="3">
        <f>Data!J302+Data!P302</f>
        <v>4442.8</v>
      </c>
      <c r="L300" s="3">
        <f>Data!T302</f>
        <v>0</v>
      </c>
      <c r="M300" s="3">
        <f>ROUND(Data!AB302*$B$2,2)</f>
        <v>0</v>
      </c>
      <c r="N300" s="3">
        <f>Data!U302</f>
        <v>0</v>
      </c>
      <c r="O300" s="3">
        <f t="shared" si="13"/>
        <v>252937.62</v>
      </c>
      <c r="P300" s="3">
        <f t="shared" si="14"/>
        <v>252937.62</v>
      </c>
      <c r="Q300" s="3">
        <f t="shared" si="15"/>
        <v>0</v>
      </c>
    </row>
    <row r="301" spans="1:17" x14ac:dyDescent="0.2">
      <c r="A301" s="17">
        <v>2527</v>
      </c>
      <c r="B301" s="17">
        <v>1</v>
      </c>
      <c r="C301" s="3" t="s">
        <v>1149</v>
      </c>
      <c r="D301" s="3">
        <f>ROUND(Data!AA303*$B$2,2)</f>
        <v>0</v>
      </c>
      <c r="E301" s="3">
        <f>MAX(0,Data!AD303-Data!Y303)</f>
        <v>0</v>
      </c>
      <c r="F301" s="3">
        <f>Data!Y303</f>
        <v>61388.37</v>
      </c>
      <c r="G301" s="3">
        <f>Data!X303</f>
        <v>0</v>
      </c>
      <c r="H301" s="3">
        <f>Data!K303+Data!R303</f>
        <v>18905.410000000003</v>
      </c>
      <c r="I301" s="3">
        <f>Data!I303+Data!L303+Data!M303+Data!N303+Data!O303+Data!S303</f>
        <v>0</v>
      </c>
      <c r="J301" s="3">
        <f>Data!Q303</f>
        <v>0</v>
      </c>
      <c r="K301" s="3">
        <f>Data!J303+Data!P303</f>
        <v>261.18</v>
      </c>
      <c r="L301" s="3">
        <f>Data!T303</f>
        <v>0</v>
      </c>
      <c r="M301" s="3">
        <f>ROUND(Data!AB303*$B$2,2)</f>
        <v>0</v>
      </c>
      <c r="N301" s="3">
        <f>Data!U303</f>
        <v>0</v>
      </c>
      <c r="O301" s="3">
        <f t="shared" si="13"/>
        <v>80554.959999999992</v>
      </c>
      <c r="P301" s="3">
        <f t="shared" si="14"/>
        <v>80554.959999999992</v>
      </c>
      <c r="Q301" s="3">
        <f t="shared" si="15"/>
        <v>0</v>
      </c>
    </row>
    <row r="302" spans="1:17" x14ac:dyDescent="0.2">
      <c r="A302" s="17">
        <v>2534</v>
      </c>
      <c r="B302" s="17">
        <v>1</v>
      </c>
      <c r="C302" s="3" t="s">
        <v>1148</v>
      </c>
      <c r="D302" s="3">
        <f>ROUND(Data!AA304*$B$2,2)</f>
        <v>0</v>
      </c>
      <c r="E302" s="3">
        <f>MAX(0,Data!AD304-Data!Y304)</f>
        <v>0</v>
      </c>
      <c r="F302" s="3">
        <f>Data!Y304</f>
        <v>96802.28</v>
      </c>
      <c r="G302" s="3">
        <f>Data!X304</f>
        <v>0</v>
      </c>
      <c r="H302" s="3">
        <f>Data!K304+Data!R304</f>
        <v>24634.19</v>
      </c>
      <c r="I302" s="3">
        <f>Data!I304+Data!L304+Data!M304+Data!N304+Data!O304+Data!S304</f>
        <v>0</v>
      </c>
      <c r="J302" s="3">
        <f>Data!Q304</f>
        <v>0</v>
      </c>
      <c r="K302" s="3">
        <f>Data!J304+Data!P304</f>
        <v>-6541.33</v>
      </c>
      <c r="L302" s="3">
        <f>Data!T304</f>
        <v>0</v>
      </c>
      <c r="M302" s="3">
        <f>ROUND(Data!AB304*$B$2,2)</f>
        <v>0</v>
      </c>
      <c r="N302" s="3">
        <f>Data!U304</f>
        <v>0</v>
      </c>
      <c r="O302" s="3">
        <f t="shared" si="13"/>
        <v>114895.14</v>
      </c>
      <c r="P302" s="3">
        <f t="shared" si="14"/>
        <v>114895.14</v>
      </c>
      <c r="Q302" s="3">
        <f t="shared" si="15"/>
        <v>0</v>
      </c>
    </row>
    <row r="303" spans="1:17" x14ac:dyDescent="0.2">
      <c r="A303" s="17">
        <v>2536</v>
      </c>
      <c r="B303" s="17">
        <v>1</v>
      </c>
      <c r="C303" s="3" t="s">
        <v>1146</v>
      </c>
      <c r="D303" s="3">
        <f>ROUND(Data!AA305*$B$2,2)</f>
        <v>0</v>
      </c>
      <c r="E303" s="3">
        <f>MAX(0,Data!AD305-Data!Y305)</f>
        <v>0</v>
      </c>
      <c r="F303" s="3">
        <f>Data!Y305</f>
        <v>112538.9</v>
      </c>
      <c r="G303" s="3">
        <f>Data!X305</f>
        <v>0</v>
      </c>
      <c r="H303" s="3">
        <f>Data!K305+Data!R305</f>
        <v>0</v>
      </c>
      <c r="I303" s="3">
        <f>Data!I305+Data!L305+Data!M305+Data!N305+Data!O305+Data!S305</f>
        <v>0</v>
      </c>
      <c r="J303" s="3">
        <f>Data!Q305</f>
        <v>0</v>
      </c>
      <c r="K303" s="3">
        <f>Data!J305+Data!P305</f>
        <v>0</v>
      </c>
      <c r="L303" s="3">
        <f>Data!T305</f>
        <v>0</v>
      </c>
      <c r="M303" s="3">
        <f>ROUND(Data!AB305*$B$2,2)</f>
        <v>0</v>
      </c>
      <c r="N303" s="3">
        <f>Data!U305</f>
        <v>0</v>
      </c>
      <c r="O303" s="3">
        <f t="shared" si="13"/>
        <v>112538.9</v>
      </c>
      <c r="P303" s="3">
        <f t="shared" si="14"/>
        <v>112538.9</v>
      </c>
      <c r="Q303" s="3">
        <f t="shared" si="15"/>
        <v>0</v>
      </c>
    </row>
    <row r="304" spans="1:17" x14ac:dyDescent="0.2">
      <c r="A304" s="17">
        <v>2580</v>
      </c>
      <c r="B304" s="17">
        <v>1</v>
      </c>
      <c r="C304" s="3" t="s">
        <v>1147</v>
      </c>
      <c r="D304" s="3">
        <f>ROUND(Data!AA306*$B$2,2)</f>
        <v>0</v>
      </c>
      <c r="E304" s="3">
        <f>MAX(0,Data!AD306-Data!Y306)</f>
        <v>0</v>
      </c>
      <c r="F304" s="3">
        <f>Data!Y306</f>
        <v>47527.08</v>
      </c>
      <c r="G304" s="3">
        <f>Data!X306</f>
        <v>0</v>
      </c>
      <c r="H304" s="3">
        <f>Data!K306+Data!R306</f>
        <v>9466.7800000000007</v>
      </c>
      <c r="I304" s="3">
        <f>Data!I306+Data!L306+Data!M306+Data!N306+Data!O306+Data!S306</f>
        <v>0</v>
      </c>
      <c r="J304" s="3">
        <f>Data!Q306</f>
        <v>0</v>
      </c>
      <c r="K304" s="3">
        <f>Data!J306+Data!P306</f>
        <v>93379.75</v>
      </c>
      <c r="L304" s="3">
        <f>Data!T306</f>
        <v>0</v>
      </c>
      <c r="M304" s="3">
        <f>ROUND(Data!AB306*$B$2,2)</f>
        <v>0</v>
      </c>
      <c r="N304" s="3">
        <f>Data!U306</f>
        <v>0</v>
      </c>
      <c r="O304" s="3">
        <f t="shared" si="13"/>
        <v>150373.60999999999</v>
      </c>
      <c r="P304" s="3">
        <f t="shared" si="14"/>
        <v>150373.60999999999</v>
      </c>
      <c r="Q304" s="3">
        <f t="shared" si="15"/>
        <v>0</v>
      </c>
    </row>
    <row r="305" spans="1:17" x14ac:dyDescent="0.2">
      <c r="A305" s="17">
        <v>2609</v>
      </c>
      <c r="B305" s="17">
        <v>1</v>
      </c>
      <c r="C305" s="3" t="s">
        <v>310</v>
      </c>
      <c r="D305" s="3">
        <f>ROUND(Data!AA307*$B$2,2)</f>
        <v>0</v>
      </c>
      <c r="E305" s="3">
        <f>MAX(0,Data!AD307-Data!Y307)</f>
        <v>0</v>
      </c>
      <c r="F305" s="3">
        <f>Data!Y307</f>
        <v>16182.82</v>
      </c>
      <c r="G305" s="3">
        <f>Data!X307</f>
        <v>2194.98</v>
      </c>
      <c r="H305" s="3">
        <f>Data!K307+Data!R307</f>
        <v>12624.7</v>
      </c>
      <c r="I305" s="3">
        <f>Data!I307+Data!L307+Data!M307+Data!N307+Data!O307+Data!S307</f>
        <v>0</v>
      </c>
      <c r="J305" s="3">
        <f>Data!Q307</f>
        <v>0</v>
      </c>
      <c r="K305" s="3">
        <f>Data!J307+Data!P307</f>
        <v>-853.76</v>
      </c>
      <c r="L305" s="3">
        <f>Data!T307</f>
        <v>0</v>
      </c>
      <c r="M305" s="3">
        <f>ROUND(Data!AB307*$B$2,2)</f>
        <v>0</v>
      </c>
      <c r="N305" s="3">
        <f>Data!U307</f>
        <v>0</v>
      </c>
      <c r="O305" s="3">
        <f t="shared" si="13"/>
        <v>30148.74</v>
      </c>
      <c r="P305" s="3">
        <f t="shared" si="14"/>
        <v>30148.74</v>
      </c>
      <c r="Q305" s="3">
        <f t="shared" si="15"/>
        <v>0</v>
      </c>
    </row>
    <row r="306" spans="1:17" x14ac:dyDescent="0.2">
      <c r="A306" s="17">
        <v>2683</v>
      </c>
      <c r="B306" s="17">
        <v>1</v>
      </c>
      <c r="C306" s="3" t="s">
        <v>1145</v>
      </c>
      <c r="D306" s="3">
        <f>ROUND(Data!AA308*$B$2,2)</f>
        <v>0</v>
      </c>
      <c r="E306" s="3">
        <f>MAX(0,Data!AD308-Data!Y308)</f>
        <v>0</v>
      </c>
      <c r="F306" s="3">
        <f>Data!Y308</f>
        <v>57512.51</v>
      </c>
      <c r="G306" s="3">
        <f>Data!X308</f>
        <v>0</v>
      </c>
      <c r="H306" s="3">
        <f>Data!K308+Data!R308</f>
        <v>-545.23</v>
      </c>
      <c r="I306" s="3">
        <f>Data!I308+Data!L308+Data!M308+Data!N308+Data!O308+Data!S308</f>
        <v>0</v>
      </c>
      <c r="J306" s="3">
        <f>Data!Q308</f>
        <v>0</v>
      </c>
      <c r="K306" s="3">
        <f>Data!J308+Data!P308</f>
        <v>-16.149999999999999</v>
      </c>
      <c r="L306" s="3">
        <f>Data!T308</f>
        <v>0</v>
      </c>
      <c r="M306" s="3">
        <f>ROUND(Data!AB308*$B$2,2)</f>
        <v>0</v>
      </c>
      <c r="N306" s="3">
        <f>Data!U308</f>
        <v>0</v>
      </c>
      <c r="O306" s="3">
        <f t="shared" si="13"/>
        <v>56951.13</v>
      </c>
      <c r="P306" s="3">
        <f t="shared" si="14"/>
        <v>56951.13</v>
      </c>
      <c r="Q306" s="3">
        <f t="shared" si="15"/>
        <v>0</v>
      </c>
    </row>
    <row r="307" spans="1:17" x14ac:dyDescent="0.2">
      <c r="A307" s="17">
        <v>2687</v>
      </c>
      <c r="B307" s="17">
        <v>1</v>
      </c>
      <c r="C307" s="3" t="s">
        <v>1144</v>
      </c>
      <c r="D307" s="3">
        <f>ROUND(Data!AA309*$B$2,2)</f>
        <v>0</v>
      </c>
      <c r="E307" s="3">
        <f>MAX(0,Data!AD309-Data!Y309)</f>
        <v>0</v>
      </c>
      <c r="F307" s="3">
        <f>Data!Y309</f>
        <v>128380.69</v>
      </c>
      <c r="G307" s="3">
        <f>Data!X309</f>
        <v>0</v>
      </c>
      <c r="H307" s="3">
        <f>Data!K309+Data!R309</f>
        <v>19524.439999999999</v>
      </c>
      <c r="I307" s="3">
        <f>Data!I309+Data!L309+Data!M309+Data!N309+Data!O309+Data!S309</f>
        <v>0</v>
      </c>
      <c r="J307" s="3">
        <f>Data!Q309</f>
        <v>0</v>
      </c>
      <c r="K307" s="3">
        <f>Data!J309+Data!P309</f>
        <v>16156.85</v>
      </c>
      <c r="L307" s="3">
        <f>Data!T309</f>
        <v>0</v>
      </c>
      <c r="M307" s="3">
        <f>ROUND(Data!AB309*$B$2,2)</f>
        <v>0</v>
      </c>
      <c r="N307" s="3">
        <f>Data!U309</f>
        <v>0</v>
      </c>
      <c r="O307" s="3">
        <f t="shared" si="13"/>
        <v>164061.98000000001</v>
      </c>
      <c r="P307" s="3">
        <f t="shared" si="14"/>
        <v>164061.98000000001</v>
      </c>
      <c r="Q307" s="3">
        <f t="shared" si="15"/>
        <v>0</v>
      </c>
    </row>
    <row r="308" spans="1:17" x14ac:dyDescent="0.2">
      <c r="A308" s="17">
        <v>2689</v>
      </c>
      <c r="B308" s="17">
        <v>1</v>
      </c>
      <c r="C308" s="3" t="s">
        <v>1143</v>
      </c>
      <c r="D308" s="3">
        <f>ROUND(Data!AA310*$B$2,2)</f>
        <v>0</v>
      </c>
      <c r="E308" s="3">
        <f>MAX(0,Data!AD310-Data!Y310)</f>
        <v>0</v>
      </c>
      <c r="F308" s="3">
        <f>Data!Y310</f>
        <v>41180.28</v>
      </c>
      <c r="G308" s="3">
        <f>Data!X310</f>
        <v>0</v>
      </c>
      <c r="H308" s="3">
        <f>Data!K310+Data!R310</f>
        <v>8292.18</v>
      </c>
      <c r="I308" s="3">
        <f>Data!I310+Data!L310+Data!M310+Data!N310+Data!O310+Data!S310</f>
        <v>0</v>
      </c>
      <c r="J308" s="3">
        <f>Data!Q310</f>
        <v>0</v>
      </c>
      <c r="K308" s="3">
        <f>Data!J310+Data!P310</f>
        <v>7907.92</v>
      </c>
      <c r="L308" s="3">
        <f>Data!T310</f>
        <v>0</v>
      </c>
      <c r="M308" s="3">
        <f>ROUND(Data!AB310*$B$2,2)</f>
        <v>0</v>
      </c>
      <c r="N308" s="3">
        <f>Data!U310</f>
        <v>0</v>
      </c>
      <c r="O308" s="3">
        <f t="shared" si="13"/>
        <v>57380.38</v>
      </c>
      <c r="P308" s="3">
        <f t="shared" si="14"/>
        <v>57380.38</v>
      </c>
      <c r="Q308" s="3">
        <f t="shared" si="15"/>
        <v>0</v>
      </c>
    </row>
    <row r="309" spans="1:17" x14ac:dyDescent="0.2">
      <c r="A309" s="17">
        <v>2711</v>
      </c>
      <c r="B309" s="17">
        <v>1</v>
      </c>
      <c r="C309" s="3" t="s">
        <v>314</v>
      </c>
      <c r="D309" s="3">
        <f>ROUND(Data!AA311*$B$2,2)</f>
        <v>0</v>
      </c>
      <c r="E309" s="3">
        <f>MAX(0,Data!AD311-Data!Y311)</f>
        <v>0</v>
      </c>
      <c r="F309" s="3">
        <f>Data!Y311</f>
        <v>76000.399999999994</v>
      </c>
      <c r="G309" s="3">
        <f>Data!X311</f>
        <v>7178.43</v>
      </c>
      <c r="H309" s="3">
        <f>Data!K311+Data!R311</f>
        <v>18633.38</v>
      </c>
      <c r="I309" s="3">
        <f>Data!I311+Data!L311+Data!M311+Data!N311+Data!O311+Data!S311</f>
        <v>210022.59</v>
      </c>
      <c r="J309" s="3">
        <f>Data!Q311</f>
        <v>0</v>
      </c>
      <c r="K309" s="3">
        <f>Data!J311+Data!P311</f>
        <v>19416.919999999998</v>
      </c>
      <c r="L309" s="3">
        <f>Data!T311</f>
        <v>0</v>
      </c>
      <c r="M309" s="3">
        <f>ROUND(Data!AB311*$B$2,2)</f>
        <v>0</v>
      </c>
      <c r="N309" s="3">
        <f>Data!U311</f>
        <v>0</v>
      </c>
      <c r="O309" s="3">
        <f t="shared" si="13"/>
        <v>331251.71999999997</v>
      </c>
      <c r="P309" s="3">
        <f t="shared" si="14"/>
        <v>331251.71999999997</v>
      </c>
      <c r="Q309" s="3">
        <f t="shared" si="15"/>
        <v>0</v>
      </c>
    </row>
    <row r="310" spans="1:17" x14ac:dyDescent="0.2">
      <c r="A310" s="17">
        <v>2752</v>
      </c>
      <c r="B310" s="17">
        <v>1</v>
      </c>
      <c r="C310" s="3" t="s">
        <v>1142</v>
      </c>
      <c r="D310" s="3">
        <f>ROUND(Data!AA312*$B$2,2)</f>
        <v>0</v>
      </c>
      <c r="E310" s="3">
        <f>MAX(0,Data!AD312-Data!Y312)</f>
        <v>0</v>
      </c>
      <c r="F310" s="3">
        <f>Data!Y312</f>
        <v>54445.41</v>
      </c>
      <c r="G310" s="3">
        <f>Data!X312</f>
        <v>0</v>
      </c>
      <c r="H310" s="3">
        <f>Data!K312+Data!R312</f>
        <v>37310.990000000005</v>
      </c>
      <c r="I310" s="3">
        <f>Data!I312+Data!L312+Data!M312+Data!N312+Data!O312+Data!S312</f>
        <v>0</v>
      </c>
      <c r="J310" s="3">
        <f>Data!Q312</f>
        <v>0</v>
      </c>
      <c r="K310" s="3">
        <f>Data!J312+Data!P312</f>
        <v>108357.91</v>
      </c>
      <c r="L310" s="3">
        <f>Data!T312</f>
        <v>0</v>
      </c>
      <c r="M310" s="3">
        <f>ROUND(Data!AB312*$B$2,2)</f>
        <v>0</v>
      </c>
      <c r="N310" s="3">
        <f>Data!U312</f>
        <v>0</v>
      </c>
      <c r="O310" s="3">
        <f t="shared" si="13"/>
        <v>200114.31</v>
      </c>
      <c r="P310" s="3">
        <f t="shared" si="14"/>
        <v>200114.31</v>
      </c>
      <c r="Q310" s="3">
        <f t="shared" si="15"/>
        <v>0</v>
      </c>
    </row>
    <row r="311" spans="1:17" x14ac:dyDescent="0.2">
      <c r="A311" s="17">
        <v>2753</v>
      </c>
      <c r="B311" s="17">
        <v>1</v>
      </c>
      <c r="C311" s="3" t="s">
        <v>1141</v>
      </c>
      <c r="D311" s="3">
        <f>ROUND(Data!AA313*$B$2,2)</f>
        <v>0</v>
      </c>
      <c r="E311" s="3">
        <f>MAX(0,Data!AD313-Data!Y313)</f>
        <v>0</v>
      </c>
      <c r="F311" s="3">
        <f>Data!Y313</f>
        <v>61420.61</v>
      </c>
      <c r="G311" s="3">
        <f>Data!X313</f>
        <v>0</v>
      </c>
      <c r="H311" s="3">
        <f>Data!K313+Data!R313</f>
        <v>64002.7</v>
      </c>
      <c r="I311" s="3">
        <f>Data!I313+Data!L313+Data!M313+Data!N313+Data!O313+Data!S313</f>
        <v>0</v>
      </c>
      <c r="J311" s="3">
        <f>Data!Q313</f>
        <v>0</v>
      </c>
      <c r="K311" s="3">
        <f>Data!J313+Data!P313</f>
        <v>-11170.98</v>
      </c>
      <c r="L311" s="3">
        <f>Data!T313</f>
        <v>0</v>
      </c>
      <c r="M311" s="3">
        <f>ROUND(Data!AB313*$B$2,2)</f>
        <v>0</v>
      </c>
      <c r="N311" s="3">
        <f>Data!U313</f>
        <v>0</v>
      </c>
      <c r="O311" s="3">
        <f t="shared" si="13"/>
        <v>114252.33</v>
      </c>
      <c r="P311" s="3">
        <f t="shared" si="14"/>
        <v>114252.33</v>
      </c>
      <c r="Q311" s="3">
        <f t="shared" si="15"/>
        <v>0</v>
      </c>
    </row>
    <row r="312" spans="1:17" x14ac:dyDescent="0.2">
      <c r="A312" s="17">
        <v>2754</v>
      </c>
      <c r="B312" s="17">
        <v>1</v>
      </c>
      <c r="C312" s="3" t="s">
        <v>317</v>
      </c>
      <c r="D312" s="3">
        <f>ROUND(Data!AA314*$B$2,2)</f>
        <v>0</v>
      </c>
      <c r="E312" s="3">
        <f>MAX(0,Data!AD314-Data!Y314)</f>
        <v>0</v>
      </c>
      <c r="F312" s="3">
        <f>Data!Y314</f>
        <v>98018.3</v>
      </c>
      <c r="G312" s="3">
        <f>Data!X314</f>
        <v>8095.57</v>
      </c>
      <c r="H312" s="3">
        <f>Data!K314+Data!R314</f>
        <v>21483.629999999997</v>
      </c>
      <c r="I312" s="3">
        <f>Data!I314+Data!L314+Data!M314+Data!N314+Data!O314+Data!S314</f>
        <v>0</v>
      </c>
      <c r="J312" s="3">
        <f>Data!Q314</f>
        <v>0</v>
      </c>
      <c r="K312" s="3">
        <f>Data!J314+Data!P314</f>
        <v>5855.27</v>
      </c>
      <c r="L312" s="3">
        <f>Data!T314</f>
        <v>0</v>
      </c>
      <c r="M312" s="3">
        <f>ROUND(Data!AB314*$B$2,2)</f>
        <v>0</v>
      </c>
      <c r="N312" s="3">
        <f>Data!U314</f>
        <v>0</v>
      </c>
      <c r="O312" s="3">
        <f t="shared" si="13"/>
        <v>133452.76999999999</v>
      </c>
      <c r="P312" s="3">
        <f t="shared" si="14"/>
        <v>133452.76999999999</v>
      </c>
      <c r="Q312" s="3">
        <f t="shared" si="15"/>
        <v>0</v>
      </c>
    </row>
    <row r="313" spans="1:17" x14ac:dyDescent="0.2">
      <c r="A313" s="17">
        <v>2759</v>
      </c>
      <c r="B313" s="17">
        <v>1</v>
      </c>
      <c r="C313" s="3" t="s">
        <v>1140</v>
      </c>
      <c r="D313" s="3">
        <f>ROUND(Data!AA315*$B$2,2)</f>
        <v>0</v>
      </c>
      <c r="E313" s="3">
        <f>MAX(0,Data!AD315-Data!Y315)</f>
        <v>0</v>
      </c>
      <c r="F313" s="3">
        <f>Data!Y315</f>
        <v>12843.72</v>
      </c>
      <c r="G313" s="3">
        <f>Data!X315</f>
        <v>0</v>
      </c>
      <c r="H313" s="3">
        <f>Data!K315+Data!R315</f>
        <v>3467.5899999999983</v>
      </c>
      <c r="I313" s="3">
        <f>Data!I315+Data!L315+Data!M315+Data!N315+Data!O315+Data!S315</f>
        <v>0</v>
      </c>
      <c r="J313" s="3">
        <f>Data!Q315</f>
        <v>0</v>
      </c>
      <c r="K313" s="3">
        <f>Data!J315+Data!P315</f>
        <v>9924.2200000000012</v>
      </c>
      <c r="L313" s="3">
        <f>Data!T315</f>
        <v>0</v>
      </c>
      <c r="M313" s="3">
        <f>ROUND(Data!AB315*$B$2,2)</f>
        <v>0</v>
      </c>
      <c r="N313" s="3">
        <f>Data!U315</f>
        <v>0</v>
      </c>
      <c r="O313" s="3">
        <f t="shared" si="13"/>
        <v>26235.53</v>
      </c>
      <c r="P313" s="3">
        <f t="shared" si="14"/>
        <v>26235.53</v>
      </c>
      <c r="Q313" s="3">
        <f t="shared" si="15"/>
        <v>0</v>
      </c>
    </row>
    <row r="314" spans="1:17" x14ac:dyDescent="0.2">
      <c r="A314" s="17">
        <v>2769</v>
      </c>
      <c r="B314" s="17">
        <v>1</v>
      </c>
      <c r="C314" s="3" t="s">
        <v>1167</v>
      </c>
      <c r="D314" s="3">
        <f>ROUND(Data!AA316*$B$2,2)</f>
        <v>0</v>
      </c>
      <c r="E314" s="3">
        <f>MAX(0,Data!AD316-Data!Y316)</f>
        <v>0</v>
      </c>
      <c r="F314" s="3">
        <f>Data!Y316</f>
        <v>185416.57</v>
      </c>
      <c r="G314" s="3">
        <f>Data!X316</f>
        <v>0</v>
      </c>
      <c r="H314" s="3">
        <f>Data!K316+Data!R316</f>
        <v>22251.37</v>
      </c>
      <c r="I314" s="3">
        <f>Data!I316+Data!L316+Data!M316+Data!N316+Data!O316+Data!S316</f>
        <v>0</v>
      </c>
      <c r="J314" s="3">
        <f>Data!Q316</f>
        <v>0</v>
      </c>
      <c r="K314" s="3">
        <f>Data!J316+Data!P316</f>
        <v>-19578.849999999999</v>
      </c>
      <c r="L314" s="3">
        <f>Data!T316</f>
        <v>0</v>
      </c>
      <c r="M314" s="3">
        <f>ROUND(Data!AB316*$B$2,2)</f>
        <v>0</v>
      </c>
      <c r="N314" s="3">
        <f>Data!U316</f>
        <v>0</v>
      </c>
      <c r="O314" s="3">
        <f t="shared" si="13"/>
        <v>188089.09</v>
      </c>
      <c r="P314" s="3">
        <f t="shared" si="14"/>
        <v>188089.09</v>
      </c>
      <c r="Q314" s="3">
        <f t="shared" si="15"/>
        <v>0</v>
      </c>
    </row>
    <row r="315" spans="1:17" x14ac:dyDescent="0.2">
      <c r="A315" s="17">
        <v>2805</v>
      </c>
      <c r="B315" s="17">
        <v>1</v>
      </c>
      <c r="C315" s="3" t="s">
        <v>319</v>
      </c>
      <c r="D315" s="3">
        <f>ROUND(Data!AA317*$B$2,2)</f>
        <v>0</v>
      </c>
      <c r="E315" s="3">
        <f>MAX(0,Data!AD317-Data!Y317)</f>
        <v>0</v>
      </c>
      <c r="F315" s="3">
        <f>Data!Y317</f>
        <v>152693.4</v>
      </c>
      <c r="G315" s="3">
        <f>Data!X317</f>
        <v>0</v>
      </c>
      <c r="H315" s="3">
        <f>Data!K317+Data!R317</f>
        <v>19210.16</v>
      </c>
      <c r="I315" s="3">
        <f>Data!I317+Data!L317+Data!M317+Data!N317+Data!O317+Data!S317</f>
        <v>0</v>
      </c>
      <c r="J315" s="3">
        <f>Data!Q317</f>
        <v>0</v>
      </c>
      <c r="K315" s="3">
        <f>Data!J317+Data!P317</f>
        <v>1030.5999999999999</v>
      </c>
      <c r="L315" s="3">
        <f>Data!T317</f>
        <v>0</v>
      </c>
      <c r="M315" s="3">
        <f>ROUND(Data!AB317*$B$2,2)</f>
        <v>0</v>
      </c>
      <c r="N315" s="3">
        <f>Data!U317</f>
        <v>0</v>
      </c>
      <c r="O315" s="3">
        <f t="shared" ref="O315:O336" si="16">SUM(D315:N315)</f>
        <v>172934.16</v>
      </c>
      <c r="P315" s="3">
        <f t="shared" si="14"/>
        <v>172934.16</v>
      </c>
      <c r="Q315" s="3">
        <f t="shared" si="15"/>
        <v>0</v>
      </c>
    </row>
    <row r="316" spans="1:17" x14ac:dyDescent="0.2">
      <c r="A316" s="17">
        <v>2835</v>
      </c>
      <c r="B316" s="17">
        <v>1</v>
      </c>
      <c r="C316" s="3" t="s">
        <v>1139</v>
      </c>
      <c r="D316" s="3">
        <f>ROUND(Data!AA318*$B$2,2)</f>
        <v>0</v>
      </c>
      <c r="E316" s="3">
        <f>MAX(0,Data!AD318-Data!Y318)</f>
        <v>0</v>
      </c>
      <c r="F316" s="3">
        <f>Data!Y318</f>
        <v>161255.4</v>
      </c>
      <c r="G316" s="3">
        <f>Data!X318</f>
        <v>0</v>
      </c>
      <c r="H316" s="3">
        <f>Data!K318+Data!R318</f>
        <v>21926.7</v>
      </c>
      <c r="I316" s="3">
        <f>Data!I318+Data!L318+Data!M318+Data!N318+Data!O318+Data!S318</f>
        <v>0</v>
      </c>
      <c r="J316" s="3">
        <f>Data!Q318</f>
        <v>0</v>
      </c>
      <c r="K316" s="3">
        <f>Data!J318+Data!P318</f>
        <v>4426.32</v>
      </c>
      <c r="L316" s="3">
        <f>Data!T318</f>
        <v>0</v>
      </c>
      <c r="M316" s="3">
        <f>ROUND(Data!AB318*$B$2,2)</f>
        <v>0</v>
      </c>
      <c r="N316" s="3">
        <f>Data!U318</f>
        <v>0</v>
      </c>
      <c r="O316" s="3">
        <f t="shared" si="16"/>
        <v>187608.42</v>
      </c>
      <c r="P316" s="3">
        <f t="shared" si="14"/>
        <v>187608.42</v>
      </c>
      <c r="Q316" s="3">
        <f t="shared" si="15"/>
        <v>0</v>
      </c>
    </row>
    <row r="317" spans="1:17" x14ac:dyDescent="0.2">
      <c r="A317" s="17">
        <v>2853</v>
      </c>
      <c r="B317" s="17">
        <v>1</v>
      </c>
      <c r="C317" s="3" t="s">
        <v>1138</v>
      </c>
      <c r="D317" s="3">
        <f>ROUND(Data!AA319*$B$2,2)</f>
        <v>0</v>
      </c>
      <c r="E317" s="3">
        <f>MAX(0,Data!AD319-Data!Y319)</f>
        <v>0</v>
      </c>
      <c r="F317" s="3">
        <f>Data!Y319</f>
        <v>88378.21</v>
      </c>
      <c r="G317" s="3">
        <f>Data!X319</f>
        <v>642.47</v>
      </c>
      <c r="H317" s="3">
        <f>Data!K319+Data!R319</f>
        <v>35283.879999999997</v>
      </c>
      <c r="I317" s="3">
        <f>Data!I319+Data!L319+Data!M319+Data!N319+Data!O319+Data!S319</f>
        <v>0</v>
      </c>
      <c r="J317" s="3">
        <f>Data!Q319</f>
        <v>0</v>
      </c>
      <c r="K317" s="3">
        <f>Data!J319+Data!P319</f>
        <v>5382.45</v>
      </c>
      <c r="L317" s="3">
        <f>Data!T319</f>
        <v>0</v>
      </c>
      <c r="M317" s="3">
        <f>ROUND(Data!AB319*$B$2,2)</f>
        <v>0</v>
      </c>
      <c r="N317" s="3">
        <f>Data!U319</f>
        <v>0</v>
      </c>
      <c r="O317" s="3">
        <f t="shared" si="16"/>
        <v>129687.01</v>
      </c>
      <c r="P317" s="3">
        <f t="shared" si="14"/>
        <v>129687.01</v>
      </c>
      <c r="Q317" s="3">
        <f t="shared" si="15"/>
        <v>0</v>
      </c>
    </row>
    <row r="318" spans="1:17" x14ac:dyDescent="0.2">
      <c r="A318" s="17">
        <v>2854</v>
      </c>
      <c r="B318" s="17">
        <v>1</v>
      </c>
      <c r="C318" s="3" t="s">
        <v>322</v>
      </c>
      <c r="D318" s="3">
        <f>ROUND(Data!AA320*$B$2,2)</f>
        <v>0</v>
      </c>
      <c r="E318" s="3">
        <f>MAX(0,Data!AD320-Data!Y320)</f>
        <v>0</v>
      </c>
      <c r="F318" s="3">
        <f>Data!Y320</f>
        <v>40913.339999999997</v>
      </c>
      <c r="G318" s="3">
        <f>Data!X320</f>
        <v>0</v>
      </c>
      <c r="H318" s="3">
        <f>Data!K320+Data!R320</f>
        <v>32245.360000000001</v>
      </c>
      <c r="I318" s="3">
        <f>Data!I320+Data!L320+Data!M320+Data!N320+Data!O320+Data!S320</f>
        <v>0</v>
      </c>
      <c r="J318" s="3">
        <f>Data!Q320</f>
        <v>0</v>
      </c>
      <c r="K318" s="3">
        <f>Data!J320+Data!P320</f>
        <v>-1416.41</v>
      </c>
      <c r="L318" s="3">
        <f>Data!T320</f>
        <v>0</v>
      </c>
      <c r="M318" s="3">
        <f>ROUND(Data!AB320*$B$2,2)</f>
        <v>0</v>
      </c>
      <c r="N318" s="3">
        <f>Data!U320</f>
        <v>0</v>
      </c>
      <c r="O318" s="3">
        <f t="shared" si="16"/>
        <v>71742.289999999994</v>
      </c>
      <c r="P318" s="3">
        <f t="shared" si="14"/>
        <v>71742.289999999994</v>
      </c>
      <c r="Q318" s="3">
        <f t="shared" si="15"/>
        <v>0</v>
      </c>
    </row>
    <row r="319" spans="1:17" x14ac:dyDescent="0.2">
      <c r="A319" s="17">
        <v>2856</v>
      </c>
      <c r="B319" s="17">
        <v>1</v>
      </c>
      <c r="C319" s="3" t="s">
        <v>1137</v>
      </c>
      <c r="D319" s="3">
        <f>ROUND(Data!AA321*$B$2,2)</f>
        <v>0</v>
      </c>
      <c r="E319" s="3">
        <f>MAX(0,Data!AD321-Data!Y321)</f>
        <v>0</v>
      </c>
      <c r="F319" s="3">
        <f>Data!Y321</f>
        <v>122060.62</v>
      </c>
      <c r="G319" s="3">
        <f>Data!X321</f>
        <v>2021.24</v>
      </c>
      <c r="H319" s="3">
        <f>Data!K321+Data!R321</f>
        <v>11742.86</v>
      </c>
      <c r="I319" s="3">
        <f>Data!I321+Data!L321+Data!M321+Data!N321+Data!O321+Data!S321</f>
        <v>0</v>
      </c>
      <c r="J319" s="3">
        <f>Data!Q321</f>
        <v>0</v>
      </c>
      <c r="K319" s="3">
        <f>Data!J321+Data!P321</f>
        <v>13888.54</v>
      </c>
      <c r="L319" s="3">
        <f>Data!T321</f>
        <v>0</v>
      </c>
      <c r="M319" s="3">
        <f>ROUND(Data!AB321*$B$2,2)</f>
        <v>0</v>
      </c>
      <c r="N319" s="3">
        <f>Data!U321</f>
        <v>0</v>
      </c>
      <c r="O319" s="3">
        <f t="shared" si="16"/>
        <v>149713.26</v>
      </c>
      <c r="P319" s="3">
        <f t="shared" si="14"/>
        <v>149713.26</v>
      </c>
      <c r="Q319" s="3">
        <f t="shared" si="15"/>
        <v>0</v>
      </c>
    </row>
    <row r="320" spans="1:17" x14ac:dyDescent="0.2">
      <c r="A320" s="17">
        <v>2859</v>
      </c>
      <c r="B320" s="17">
        <v>1</v>
      </c>
      <c r="C320" s="3" t="s">
        <v>1136</v>
      </c>
      <c r="D320" s="3">
        <f>ROUND(Data!AA322*$B$2,2)</f>
        <v>0</v>
      </c>
      <c r="E320" s="3">
        <f>MAX(0,Data!AD322-Data!Y322)</f>
        <v>0</v>
      </c>
      <c r="F320" s="3">
        <f>Data!Y322</f>
        <v>168353.22</v>
      </c>
      <c r="G320" s="3">
        <f>Data!X322</f>
        <v>3949.77</v>
      </c>
      <c r="H320" s="3">
        <f>Data!K322+Data!R322</f>
        <v>29459.449999999997</v>
      </c>
      <c r="I320" s="3">
        <f>Data!I322+Data!L322+Data!M322+Data!N322+Data!O322+Data!S322</f>
        <v>0</v>
      </c>
      <c r="J320" s="3">
        <f>Data!Q322</f>
        <v>0</v>
      </c>
      <c r="K320" s="3">
        <f>Data!J322+Data!P322</f>
        <v>20000</v>
      </c>
      <c r="L320" s="3">
        <f>Data!T322</f>
        <v>0</v>
      </c>
      <c r="M320" s="3">
        <f>ROUND(Data!AB322*$B$2,2)</f>
        <v>0</v>
      </c>
      <c r="N320" s="3">
        <f>Data!U322</f>
        <v>0</v>
      </c>
      <c r="O320" s="3">
        <f t="shared" si="16"/>
        <v>221762.44</v>
      </c>
      <c r="P320" s="3">
        <f t="shared" si="14"/>
        <v>221762.44</v>
      </c>
      <c r="Q320" s="3">
        <f t="shared" si="15"/>
        <v>0</v>
      </c>
    </row>
    <row r="321" spans="1:17" x14ac:dyDescent="0.2">
      <c r="A321" s="17">
        <v>2860</v>
      </c>
      <c r="B321" s="17">
        <v>1</v>
      </c>
      <c r="C321" s="3" t="s">
        <v>325</v>
      </c>
      <c r="D321" s="3">
        <f>ROUND(Data!AA323*$B$2,2)</f>
        <v>0</v>
      </c>
      <c r="E321" s="3">
        <f>MAX(0,Data!AD323-Data!Y323)</f>
        <v>0</v>
      </c>
      <c r="F321" s="3">
        <f>Data!Y323</f>
        <v>161661.34</v>
      </c>
      <c r="G321" s="3">
        <f>Data!X323</f>
        <v>0</v>
      </c>
      <c r="H321" s="3">
        <f>Data!K323+Data!R323</f>
        <v>0</v>
      </c>
      <c r="I321" s="3">
        <f>Data!I323+Data!L323+Data!M323+Data!N323+Data!O323+Data!S323</f>
        <v>0</v>
      </c>
      <c r="J321" s="3">
        <f>Data!Q323</f>
        <v>-9583.94</v>
      </c>
      <c r="K321" s="3">
        <f>Data!J323+Data!P323</f>
        <v>9583.94</v>
      </c>
      <c r="L321" s="3">
        <f>Data!T323</f>
        <v>0</v>
      </c>
      <c r="M321" s="3">
        <f>ROUND(Data!AB323*$B$2,2)</f>
        <v>0</v>
      </c>
      <c r="N321" s="3">
        <f>Data!U323</f>
        <v>0</v>
      </c>
      <c r="O321" s="3">
        <f t="shared" si="16"/>
        <v>161661.34</v>
      </c>
      <c r="P321" s="3">
        <f t="shared" ref="P321:P337" si="17">SUM(D321:L321)</f>
        <v>161661.34</v>
      </c>
      <c r="Q321" s="3">
        <f t="shared" ref="Q321:Q337" si="18">SUM(M321:N321)</f>
        <v>0</v>
      </c>
    </row>
    <row r="322" spans="1:17" x14ac:dyDescent="0.2">
      <c r="A322" s="17">
        <v>2884</v>
      </c>
      <c r="B322" s="17">
        <v>1</v>
      </c>
      <c r="C322" s="3" t="s">
        <v>326</v>
      </c>
      <c r="D322" s="3">
        <f>ROUND(Data!AA324*$B$2,2)</f>
        <v>0</v>
      </c>
      <c r="E322" s="3">
        <f>MAX(0,Data!AD324-Data!Y324)</f>
        <v>0</v>
      </c>
      <c r="F322" s="3">
        <f>Data!Y324</f>
        <v>56094.94</v>
      </c>
      <c r="G322" s="3">
        <f>Data!X324</f>
        <v>16313.15</v>
      </c>
      <c r="H322" s="3">
        <f>Data!K324+Data!R324</f>
        <v>10795</v>
      </c>
      <c r="I322" s="3">
        <f>Data!I324+Data!L324+Data!M324+Data!N324+Data!O324+Data!S324</f>
        <v>0</v>
      </c>
      <c r="J322" s="3">
        <f>Data!Q324</f>
        <v>0</v>
      </c>
      <c r="K322" s="3">
        <f>Data!J324+Data!P324</f>
        <v>0</v>
      </c>
      <c r="L322" s="3">
        <f>Data!T324</f>
        <v>0</v>
      </c>
      <c r="M322" s="3">
        <f>ROUND(Data!AB324*$B$2,2)</f>
        <v>0</v>
      </c>
      <c r="N322" s="3">
        <f>Data!U324</f>
        <v>0</v>
      </c>
      <c r="O322" s="3">
        <f t="shared" si="16"/>
        <v>83203.09</v>
      </c>
      <c r="P322" s="3">
        <f t="shared" si="17"/>
        <v>83203.09</v>
      </c>
      <c r="Q322" s="3">
        <f t="shared" si="18"/>
        <v>0</v>
      </c>
    </row>
    <row r="323" spans="1:17" x14ac:dyDescent="0.2">
      <c r="A323" s="17">
        <v>2886</v>
      </c>
      <c r="B323" s="17">
        <v>1</v>
      </c>
      <c r="C323" s="3" t="s">
        <v>327</v>
      </c>
      <c r="D323" s="3">
        <f>ROUND(Data!AA325*$B$2,2)</f>
        <v>0</v>
      </c>
      <c r="E323" s="3">
        <f>MAX(0,Data!AD325-Data!Y325)</f>
        <v>0</v>
      </c>
      <c r="F323" s="3">
        <f>Data!Y325</f>
        <v>122081.61</v>
      </c>
      <c r="G323" s="3">
        <f>Data!X325</f>
        <v>519.49</v>
      </c>
      <c r="H323" s="3">
        <f>Data!K325+Data!R325</f>
        <v>19955.129999999997</v>
      </c>
      <c r="I323" s="3">
        <f>Data!I325+Data!L325+Data!M325+Data!N325+Data!O325+Data!S325</f>
        <v>0</v>
      </c>
      <c r="J323" s="3">
        <f>Data!Q325</f>
        <v>0</v>
      </c>
      <c r="K323" s="3">
        <f>Data!J325+Data!P325</f>
        <v>-7898.46</v>
      </c>
      <c r="L323" s="3">
        <f>Data!T325</f>
        <v>0</v>
      </c>
      <c r="M323" s="3">
        <f>ROUND(Data!AB325*$B$2,2)</f>
        <v>0</v>
      </c>
      <c r="N323" s="3">
        <f>Data!U325</f>
        <v>0</v>
      </c>
      <c r="O323" s="3">
        <f t="shared" si="16"/>
        <v>134657.77000000002</v>
      </c>
      <c r="P323" s="3">
        <f t="shared" si="17"/>
        <v>134657.77000000002</v>
      </c>
      <c r="Q323" s="3">
        <f t="shared" si="18"/>
        <v>0</v>
      </c>
    </row>
    <row r="324" spans="1:17" x14ac:dyDescent="0.2">
      <c r="A324" s="17">
        <v>2888</v>
      </c>
      <c r="B324" s="17">
        <v>1</v>
      </c>
      <c r="C324" s="3" t="s">
        <v>1135</v>
      </c>
      <c r="D324" s="3">
        <f>ROUND(Data!AA326*$B$2,2)</f>
        <v>0</v>
      </c>
      <c r="E324" s="3">
        <f>MAX(0,Data!AD326-Data!Y326)</f>
        <v>0</v>
      </c>
      <c r="F324" s="3">
        <f>Data!Y326</f>
        <v>38564.47</v>
      </c>
      <c r="G324" s="3">
        <f>Data!X326</f>
        <v>5805.07</v>
      </c>
      <c r="H324" s="3">
        <f>Data!K326+Data!R326</f>
        <v>11999.43</v>
      </c>
      <c r="I324" s="3">
        <f>Data!I326+Data!L326+Data!M326+Data!N326+Data!O326+Data!S326</f>
        <v>0</v>
      </c>
      <c r="J324" s="3">
        <f>Data!Q326</f>
        <v>0</v>
      </c>
      <c r="K324" s="3">
        <f>Data!J326+Data!P326</f>
        <v>-884.72000000000025</v>
      </c>
      <c r="L324" s="3">
        <f>Data!T326</f>
        <v>0</v>
      </c>
      <c r="M324" s="3">
        <f>ROUND(Data!AB326*$B$2,2)</f>
        <v>0</v>
      </c>
      <c r="N324" s="3">
        <f>Data!U326</f>
        <v>0</v>
      </c>
      <c r="O324" s="3">
        <f t="shared" si="16"/>
        <v>55484.25</v>
      </c>
      <c r="P324" s="3">
        <f t="shared" si="17"/>
        <v>55484.25</v>
      </c>
      <c r="Q324" s="3">
        <f t="shared" si="18"/>
        <v>0</v>
      </c>
    </row>
    <row r="325" spans="1:17" x14ac:dyDescent="0.2">
      <c r="A325" s="17">
        <v>2889</v>
      </c>
      <c r="B325" s="17">
        <v>1</v>
      </c>
      <c r="C325" s="3" t="s">
        <v>1134</v>
      </c>
      <c r="D325" s="3">
        <f>ROUND(Data!AA327*$B$2,2)</f>
        <v>0</v>
      </c>
      <c r="E325" s="3">
        <f>MAX(0,Data!AD327-Data!Y327)</f>
        <v>0</v>
      </c>
      <c r="F325" s="3">
        <f>Data!Y327</f>
        <v>70465.440000000002</v>
      </c>
      <c r="G325" s="3">
        <f>Data!X327</f>
        <v>11121.56</v>
      </c>
      <c r="H325" s="3">
        <f>Data!K327+Data!R327</f>
        <v>15845.970000000001</v>
      </c>
      <c r="I325" s="3">
        <f>Data!I327+Data!L327+Data!M327+Data!N327+Data!O327+Data!S327</f>
        <v>0</v>
      </c>
      <c r="J325" s="3">
        <f>Data!Q327</f>
        <v>0</v>
      </c>
      <c r="K325" s="3">
        <f>Data!J327+Data!P327</f>
        <v>2610.4700000000003</v>
      </c>
      <c r="L325" s="3">
        <f>Data!T327</f>
        <v>0</v>
      </c>
      <c r="M325" s="3">
        <f>ROUND(Data!AB327*$B$2,2)</f>
        <v>0</v>
      </c>
      <c r="N325" s="3">
        <f>Data!U327</f>
        <v>0</v>
      </c>
      <c r="O325" s="3">
        <f t="shared" si="16"/>
        <v>100043.44</v>
      </c>
      <c r="P325" s="3">
        <f t="shared" si="17"/>
        <v>100043.44</v>
      </c>
      <c r="Q325" s="3">
        <f t="shared" si="18"/>
        <v>0</v>
      </c>
    </row>
    <row r="326" spans="1:17" x14ac:dyDescent="0.2">
      <c r="A326" s="17">
        <v>2890</v>
      </c>
      <c r="B326" s="17">
        <v>1</v>
      </c>
      <c r="C326" s="3" t="s">
        <v>1133</v>
      </c>
      <c r="D326" s="3">
        <f>ROUND(Data!AA328*$B$2,2)</f>
        <v>0</v>
      </c>
      <c r="E326" s="3">
        <f>MAX(0,Data!AD328-Data!Y328)</f>
        <v>0</v>
      </c>
      <c r="F326" s="3">
        <f>Data!Y328</f>
        <v>202355.05</v>
      </c>
      <c r="G326" s="3">
        <f>Data!X328</f>
        <v>0</v>
      </c>
      <c r="H326" s="3">
        <f>Data!K328+Data!R328</f>
        <v>15309.619999999999</v>
      </c>
      <c r="I326" s="3">
        <f>Data!I328+Data!L328+Data!M328+Data!N328+Data!O328+Data!S328</f>
        <v>0</v>
      </c>
      <c r="J326" s="3">
        <f>Data!Q328</f>
        <v>0</v>
      </c>
      <c r="K326" s="3">
        <f>Data!J328+Data!P328</f>
        <v>5100.4799999999996</v>
      </c>
      <c r="L326" s="3">
        <f>Data!T328</f>
        <v>0</v>
      </c>
      <c r="M326" s="3">
        <f>ROUND(Data!AB328*$B$2,2)</f>
        <v>0</v>
      </c>
      <c r="N326" s="3">
        <f>Data!U328</f>
        <v>0</v>
      </c>
      <c r="O326" s="3">
        <f t="shared" si="16"/>
        <v>222765.15</v>
      </c>
      <c r="P326" s="3">
        <f t="shared" si="17"/>
        <v>222765.15</v>
      </c>
      <c r="Q326" s="3">
        <f t="shared" si="18"/>
        <v>0</v>
      </c>
    </row>
    <row r="327" spans="1:17" x14ac:dyDescent="0.2">
      <c r="A327" s="17">
        <v>2895</v>
      </c>
      <c r="B327" s="17">
        <v>1</v>
      </c>
      <c r="C327" s="3" t="s">
        <v>1132</v>
      </c>
      <c r="D327" s="3">
        <f>ROUND(Data!AA329*$B$2,2)</f>
        <v>0</v>
      </c>
      <c r="E327" s="3">
        <f>MAX(0,Data!AD329-Data!Y329)</f>
        <v>0</v>
      </c>
      <c r="F327" s="3">
        <f>Data!Y329</f>
        <v>40827.550000000003</v>
      </c>
      <c r="G327" s="3">
        <f>Data!X329</f>
        <v>13469.21</v>
      </c>
      <c r="H327" s="3">
        <f>Data!K329+Data!R329</f>
        <v>25036.579999999998</v>
      </c>
      <c r="I327" s="3">
        <f>Data!I329+Data!L329+Data!M329+Data!N329+Data!O329+Data!S329</f>
        <v>0</v>
      </c>
      <c r="J327" s="3">
        <f>Data!Q329</f>
        <v>0</v>
      </c>
      <c r="K327" s="3">
        <f>Data!J329+Data!P329</f>
        <v>-7229.3600000000006</v>
      </c>
      <c r="L327" s="3">
        <f>Data!T329</f>
        <v>0</v>
      </c>
      <c r="M327" s="3">
        <f>ROUND(Data!AB329*$B$2,2)</f>
        <v>0</v>
      </c>
      <c r="N327" s="3">
        <f>Data!U329</f>
        <v>0</v>
      </c>
      <c r="O327" s="3">
        <f t="shared" si="16"/>
        <v>72103.98</v>
      </c>
      <c r="P327" s="3">
        <f t="shared" si="17"/>
        <v>72103.98</v>
      </c>
      <c r="Q327" s="3">
        <f t="shared" si="18"/>
        <v>0</v>
      </c>
    </row>
    <row r="328" spans="1:17" x14ac:dyDescent="0.2">
      <c r="A328" s="17">
        <v>2897</v>
      </c>
      <c r="B328" s="17">
        <v>1</v>
      </c>
      <c r="C328" s="3" t="s">
        <v>1131</v>
      </c>
      <c r="D328" s="3">
        <f>ROUND(Data!AA330*$B$2,2)</f>
        <v>0</v>
      </c>
      <c r="E328" s="3">
        <f>MAX(0,Data!AD330-Data!Y330)</f>
        <v>0</v>
      </c>
      <c r="F328" s="3">
        <f>Data!Y330</f>
        <v>0</v>
      </c>
      <c r="G328" s="3">
        <f>Data!X330</f>
        <v>0</v>
      </c>
      <c r="H328" s="3">
        <f>Data!K330+Data!R330</f>
        <v>11899.55</v>
      </c>
      <c r="I328" s="3">
        <f>Data!I330+Data!L330+Data!M330+Data!N330+Data!O330+Data!S330</f>
        <v>0</v>
      </c>
      <c r="J328" s="3">
        <f>Data!Q330</f>
        <v>0</v>
      </c>
      <c r="K328" s="3">
        <f>Data!J330+Data!P330</f>
        <v>11807.46</v>
      </c>
      <c r="L328" s="3">
        <f>Data!T330</f>
        <v>0</v>
      </c>
      <c r="M328" s="3">
        <f>ROUND(Data!AB330*$B$2,2)</f>
        <v>0</v>
      </c>
      <c r="N328" s="3">
        <f>Data!U330</f>
        <v>0</v>
      </c>
      <c r="O328" s="3">
        <f t="shared" si="16"/>
        <v>23707.01</v>
      </c>
      <c r="P328" s="3">
        <f t="shared" si="17"/>
        <v>23707.01</v>
      </c>
      <c r="Q328" s="3">
        <f t="shared" si="18"/>
        <v>0</v>
      </c>
    </row>
    <row r="329" spans="1:17" x14ac:dyDescent="0.2">
      <c r="A329" s="17">
        <v>2898</v>
      </c>
      <c r="B329" s="17">
        <v>1</v>
      </c>
      <c r="C329" s="3" t="s">
        <v>1130</v>
      </c>
      <c r="D329" s="3">
        <f>ROUND(Data!AA331*$B$2,2)</f>
        <v>0</v>
      </c>
      <c r="E329" s="3">
        <f>MAX(0,Data!AD331-Data!Y331)</f>
        <v>0</v>
      </c>
      <c r="F329" s="3">
        <f>Data!Y331</f>
        <v>115844.14</v>
      </c>
      <c r="G329" s="3">
        <f>Data!X331</f>
        <v>0</v>
      </c>
      <c r="H329" s="3">
        <f>Data!K331+Data!R331</f>
        <v>11222.98</v>
      </c>
      <c r="I329" s="3">
        <f>Data!I331+Data!L331+Data!M331+Data!N331+Data!O331+Data!S331</f>
        <v>0</v>
      </c>
      <c r="J329" s="3">
        <f>Data!Q331</f>
        <v>0</v>
      </c>
      <c r="K329" s="3">
        <f>Data!J331+Data!P331</f>
        <v>12149.61</v>
      </c>
      <c r="L329" s="3">
        <f>Data!T331</f>
        <v>0</v>
      </c>
      <c r="M329" s="3">
        <f>ROUND(Data!AB331*$B$2,2)</f>
        <v>0</v>
      </c>
      <c r="N329" s="3">
        <f>Data!U331</f>
        <v>0</v>
      </c>
      <c r="O329" s="3">
        <f t="shared" si="16"/>
        <v>139216.72999999998</v>
      </c>
      <c r="P329" s="3">
        <f t="shared" si="17"/>
        <v>139216.72999999998</v>
      </c>
      <c r="Q329" s="3">
        <f t="shared" si="18"/>
        <v>0</v>
      </c>
    </row>
    <row r="330" spans="1:17" x14ac:dyDescent="0.2">
      <c r="A330" s="17">
        <v>2899</v>
      </c>
      <c r="B330" s="17">
        <v>1</v>
      </c>
      <c r="C330" s="3" t="s">
        <v>1079</v>
      </c>
      <c r="D330" s="3">
        <f>ROUND(Data!AA332*$B$2,2)</f>
        <v>0</v>
      </c>
      <c r="E330" s="3">
        <f>MAX(0,Data!AD332-Data!Y332)</f>
        <v>0</v>
      </c>
      <c r="F330" s="3">
        <f>Data!Y332</f>
        <v>24224.82</v>
      </c>
      <c r="G330" s="3">
        <f>Data!X332</f>
        <v>0</v>
      </c>
      <c r="H330" s="3">
        <f>Data!K332+Data!R332</f>
        <v>23261.120000000003</v>
      </c>
      <c r="I330" s="3">
        <f>Data!I332+Data!L332+Data!M332+Data!N332+Data!O332+Data!S332</f>
        <v>0</v>
      </c>
      <c r="J330" s="3">
        <f>Data!Q332</f>
        <v>0</v>
      </c>
      <c r="K330" s="3">
        <f>Data!J332+Data!P332</f>
        <v>-380.31999999999971</v>
      </c>
      <c r="L330" s="3">
        <f>Data!T332</f>
        <v>0</v>
      </c>
      <c r="M330" s="3">
        <f>ROUND(Data!AB332*$B$2,2)</f>
        <v>0</v>
      </c>
      <c r="N330" s="3">
        <f>Data!U332</f>
        <v>0</v>
      </c>
      <c r="O330" s="3">
        <f t="shared" si="16"/>
        <v>47105.62</v>
      </c>
      <c r="P330" s="3">
        <f t="shared" si="17"/>
        <v>47105.62</v>
      </c>
      <c r="Q330" s="3">
        <f t="shared" si="18"/>
        <v>0</v>
      </c>
    </row>
    <row r="331" spans="1:17" x14ac:dyDescent="0.2">
      <c r="A331" s="17">
        <v>2902</v>
      </c>
      <c r="B331" s="17">
        <v>1</v>
      </c>
      <c r="C331" s="3" t="s">
        <v>493</v>
      </c>
      <c r="D331" s="3">
        <f>ROUND(Data!AA333*$B$2,2)</f>
        <v>0</v>
      </c>
      <c r="E331" s="3">
        <f>MAX(0,Data!AD333-Data!Y333)</f>
        <v>0</v>
      </c>
      <c r="F331" s="3">
        <f>Data!Y333</f>
        <v>56182.83</v>
      </c>
      <c r="G331" s="3">
        <f>Data!X333</f>
        <v>479.17</v>
      </c>
      <c r="H331" s="3">
        <f>Data!K333+Data!R333</f>
        <v>14268.819999999998</v>
      </c>
      <c r="I331" s="3">
        <f>Data!I333+Data!L333+Data!M333+Data!N333+Data!O333+Data!S333</f>
        <v>0</v>
      </c>
      <c r="J331" s="3">
        <f>Data!Q333</f>
        <v>0</v>
      </c>
      <c r="K331" s="3">
        <f>Data!J333+Data!P333</f>
        <v>-5923.71</v>
      </c>
      <c r="L331" s="3">
        <f>Data!T333</f>
        <v>0</v>
      </c>
      <c r="M331" s="3">
        <f>ROUND(Data!AB333*$B$2,2)</f>
        <v>0</v>
      </c>
      <c r="N331" s="3">
        <f>Data!U333</f>
        <v>0</v>
      </c>
      <c r="O331" s="3">
        <f t="shared" si="16"/>
        <v>65007.109999999993</v>
      </c>
      <c r="P331" s="3">
        <f t="shared" si="17"/>
        <v>65007.109999999993</v>
      </c>
      <c r="Q331" s="3">
        <f t="shared" si="18"/>
        <v>0</v>
      </c>
    </row>
    <row r="332" spans="1:17" x14ac:dyDescent="0.2">
      <c r="A332" s="17">
        <v>2903</v>
      </c>
      <c r="B332" s="17">
        <v>1</v>
      </c>
      <c r="C332" s="3" t="s">
        <v>633</v>
      </c>
      <c r="D332" s="3">
        <f>ROUND(Data!AA334*$B$2,2)</f>
        <v>0</v>
      </c>
      <c r="E332" s="3">
        <f>MAX(0,Data!AD334-Data!Y334)</f>
        <v>0</v>
      </c>
      <c r="F332" s="3">
        <f>Data!Y334</f>
        <v>78903.95</v>
      </c>
      <c r="G332" s="3">
        <f>Data!X334</f>
        <v>0</v>
      </c>
      <c r="H332" s="3">
        <f>Data!K334+Data!R334</f>
        <v>13178.35</v>
      </c>
      <c r="I332" s="3">
        <f>Data!I334+Data!L334+Data!M334+Data!N334+Data!O334+Data!S334</f>
        <v>0</v>
      </c>
      <c r="J332" s="3">
        <f>Data!Q334</f>
        <v>-100.1</v>
      </c>
      <c r="K332" s="3">
        <f>Data!J334+Data!P334</f>
        <v>100.1</v>
      </c>
      <c r="L332" s="3">
        <f>Data!T334</f>
        <v>0</v>
      </c>
      <c r="M332" s="3">
        <f>ROUND(Data!AB334*$B$2,2)</f>
        <v>0</v>
      </c>
      <c r="N332" s="3">
        <f>Data!U334</f>
        <v>0</v>
      </c>
      <c r="O332" s="3">
        <f t="shared" si="16"/>
        <v>92082.3</v>
      </c>
      <c r="P332" s="3">
        <f t="shared" si="17"/>
        <v>92082.3</v>
      </c>
      <c r="Q332" s="3">
        <f t="shared" si="18"/>
        <v>0</v>
      </c>
    </row>
    <row r="333" spans="1:17" x14ac:dyDescent="0.2">
      <c r="A333" s="17">
        <v>2904</v>
      </c>
      <c r="B333" s="17">
        <v>1</v>
      </c>
      <c r="C333" s="3" t="s">
        <v>634</v>
      </c>
      <c r="D333" s="3">
        <f>ROUND(Data!AA335*$B$2,2)</f>
        <v>0</v>
      </c>
      <c r="E333" s="3">
        <f>MAX(0,Data!AD335-Data!Y335)</f>
        <v>0</v>
      </c>
      <c r="F333" s="3">
        <f>Data!Y335</f>
        <v>99195.199999999997</v>
      </c>
      <c r="G333" s="3">
        <f>Data!X335</f>
        <v>4004.21</v>
      </c>
      <c r="H333" s="3">
        <f>Data!K335+Data!R335</f>
        <v>20451.969999999998</v>
      </c>
      <c r="I333" s="3">
        <f>Data!I335+Data!L335+Data!M335+Data!N335+Data!O335+Data!S335</f>
        <v>0</v>
      </c>
      <c r="J333" s="3">
        <f>Data!Q335</f>
        <v>0</v>
      </c>
      <c r="K333" s="3">
        <f>Data!J335+Data!P335</f>
        <v>3686.9599999999991</v>
      </c>
      <c r="L333" s="3">
        <f>Data!T335</f>
        <v>0</v>
      </c>
      <c r="M333" s="3">
        <f>ROUND(Data!AB335*$B$2,2)</f>
        <v>0</v>
      </c>
      <c r="N333" s="3">
        <f>Data!U335</f>
        <v>0</v>
      </c>
      <c r="O333" s="3">
        <f t="shared" si="16"/>
        <v>127338.34</v>
      </c>
      <c r="P333" s="3">
        <f t="shared" si="17"/>
        <v>127338.34</v>
      </c>
      <c r="Q333" s="3">
        <f t="shared" si="18"/>
        <v>0</v>
      </c>
    </row>
    <row r="334" spans="1:17" x14ac:dyDescent="0.2">
      <c r="A334" s="17">
        <v>2905</v>
      </c>
      <c r="B334" s="17">
        <v>1</v>
      </c>
      <c r="C334" s="3" t="s">
        <v>1129</v>
      </c>
      <c r="D334" s="3">
        <f>ROUND(Data!AA336*$B$2,2)</f>
        <v>0</v>
      </c>
      <c r="E334" s="3">
        <f>MAX(0,Data!AD336-Data!Y336)</f>
        <v>0</v>
      </c>
      <c r="F334" s="3">
        <f>Data!Y336</f>
        <v>24770.37</v>
      </c>
      <c r="G334" s="3">
        <f>Data!X336</f>
        <v>0</v>
      </c>
      <c r="H334" s="3">
        <f>Data!K336+Data!R336</f>
        <v>34984.620000000003</v>
      </c>
      <c r="I334" s="3">
        <f>Data!I336+Data!L336+Data!M336+Data!N336+Data!O336+Data!S336</f>
        <v>0</v>
      </c>
      <c r="J334" s="3">
        <f>Data!Q336</f>
        <v>0</v>
      </c>
      <c r="K334" s="3">
        <f>Data!J336+Data!P336</f>
        <v>13877.85</v>
      </c>
      <c r="L334" s="3">
        <f>Data!T336</f>
        <v>0</v>
      </c>
      <c r="M334" s="3">
        <f>ROUND(Data!AB336*$B$2,2)</f>
        <v>0</v>
      </c>
      <c r="N334" s="3">
        <f>Data!U336</f>
        <v>0</v>
      </c>
      <c r="O334" s="3">
        <f t="shared" si="16"/>
        <v>73632.840000000011</v>
      </c>
      <c r="P334" s="3">
        <f t="shared" si="17"/>
        <v>73632.840000000011</v>
      </c>
      <c r="Q334" s="3">
        <f t="shared" si="18"/>
        <v>0</v>
      </c>
    </row>
    <row r="335" spans="1:17" x14ac:dyDescent="0.2">
      <c r="A335" s="17">
        <v>2906</v>
      </c>
      <c r="B335" s="17">
        <v>1</v>
      </c>
      <c r="C335" s="3" t="s">
        <v>1085</v>
      </c>
      <c r="D335" s="3">
        <f>ROUND(Data!AA337*$B$2,2)</f>
        <v>0</v>
      </c>
      <c r="E335" s="3">
        <f>MAX(0,Data!AD337-Data!Y337)</f>
        <v>0</v>
      </c>
      <c r="F335" s="3">
        <f>Data!Y337</f>
        <v>99235.76999999999</v>
      </c>
      <c r="G335" s="3">
        <f>Data!X337</f>
        <v>5099.47</v>
      </c>
      <c r="H335" s="3">
        <f>Data!K337+Data!R337</f>
        <v>16390.79</v>
      </c>
      <c r="I335" s="3">
        <f>Data!I337+Data!L337+Data!M337+Data!N337+Data!O337+Data!S337</f>
        <v>0</v>
      </c>
      <c r="J335" s="3">
        <f>Data!Q337</f>
        <v>0</v>
      </c>
      <c r="K335" s="3">
        <f>Data!J337+Data!P337</f>
        <v>-8253.66</v>
      </c>
      <c r="L335" s="3">
        <f>Data!T337</f>
        <v>0</v>
      </c>
      <c r="M335" s="3">
        <f>ROUND(Data!AB337*$B$2,2)</f>
        <v>0</v>
      </c>
      <c r="N335" s="3">
        <f>Data!U337</f>
        <v>0</v>
      </c>
      <c r="O335" s="3">
        <f t="shared" si="16"/>
        <v>112472.37</v>
      </c>
      <c r="P335" s="3">
        <f t="shared" si="17"/>
        <v>112472.37</v>
      </c>
      <c r="Q335" s="3">
        <f t="shared" si="18"/>
        <v>0</v>
      </c>
    </row>
    <row r="336" spans="1:17" x14ac:dyDescent="0.2">
      <c r="A336" s="17">
        <v>2907</v>
      </c>
      <c r="B336" s="17">
        <v>1</v>
      </c>
      <c r="C336" s="3" t="s">
        <v>1127</v>
      </c>
      <c r="D336" s="3">
        <f>ROUND(Data!AA338*$B$2,2)</f>
        <v>0</v>
      </c>
      <c r="E336" s="3">
        <f>MAX(0,Data!AD338-Data!Y338)</f>
        <v>0</v>
      </c>
      <c r="F336" s="3">
        <f>Data!Y338</f>
        <v>77208.320000000007</v>
      </c>
      <c r="G336" s="3">
        <f>Data!X338</f>
        <v>7070.9400000000005</v>
      </c>
      <c r="H336" s="3">
        <f>Data!K338+Data!R338</f>
        <v>0</v>
      </c>
      <c r="I336" s="3">
        <f>Data!I338+Data!L338+Data!M338+Data!N338+Data!O338+Data!S338</f>
        <v>0</v>
      </c>
      <c r="J336" s="3">
        <f>Data!Q338</f>
        <v>0</v>
      </c>
      <c r="K336" s="3">
        <f>Data!J338+Data!P338</f>
        <v>6650.87</v>
      </c>
      <c r="L336" s="3">
        <f>Data!T338</f>
        <v>0</v>
      </c>
      <c r="M336" s="3">
        <f>ROUND(Data!AB338*$B$2,2)</f>
        <v>0</v>
      </c>
      <c r="N336" s="3">
        <f>Data!U338</f>
        <v>0</v>
      </c>
      <c r="O336" s="3">
        <f t="shared" si="16"/>
        <v>90930.13</v>
      </c>
      <c r="P336" s="3">
        <f t="shared" si="17"/>
        <v>90930.13</v>
      </c>
      <c r="Q336" s="3">
        <f t="shared" si="18"/>
        <v>0</v>
      </c>
    </row>
    <row r="337" spans="1:17" x14ac:dyDescent="0.2">
      <c r="A337" s="17">
        <v>2908</v>
      </c>
      <c r="B337" s="17">
        <v>1</v>
      </c>
      <c r="C337" s="3" t="s">
        <v>1128</v>
      </c>
      <c r="D337" s="3">
        <f>ROUND(Data!AA339*$B$2,2)</f>
        <v>0</v>
      </c>
      <c r="E337" s="3">
        <f>MAX(0,Data!AD339-Data!Y339)</f>
        <v>0</v>
      </c>
      <c r="F337" s="3">
        <f>Data!Y339</f>
        <v>0</v>
      </c>
      <c r="G337" s="3">
        <f>Data!X339</f>
        <v>0</v>
      </c>
      <c r="H337" s="3">
        <f>Data!K339+Data!R339</f>
        <v>26815.88</v>
      </c>
      <c r="I337" s="3">
        <f>Data!I339+Data!L339+Data!M339+Data!N339+Data!O339+Data!S339</f>
        <v>0</v>
      </c>
      <c r="J337" s="3">
        <f>Data!Q339</f>
        <v>-4306.76</v>
      </c>
      <c r="K337" s="3">
        <f>Data!J339+Data!P339</f>
        <v>-493.1200000000008</v>
      </c>
      <c r="L337" s="3">
        <f>Data!T339</f>
        <v>0</v>
      </c>
      <c r="M337" s="3">
        <f>ROUND(Data!AB339*$B$2,2)</f>
        <v>0</v>
      </c>
      <c r="N337" s="3">
        <f>Data!U339</f>
        <v>0</v>
      </c>
      <c r="O337" s="3">
        <f>SUM(D337:N337)</f>
        <v>22016</v>
      </c>
      <c r="P337" s="3">
        <f t="shared" si="17"/>
        <v>22016</v>
      </c>
      <c r="Q337" s="3">
        <f t="shared" si="18"/>
        <v>0</v>
      </c>
    </row>
    <row r="338" spans="1:17" x14ac:dyDescent="0.2">
      <c r="A338" s="247" t="s">
        <v>1240</v>
      </c>
    </row>
    <row r="339" spans="1:17" x14ac:dyDescent="0.2">
      <c r="A339" s="247" t="s">
        <v>1240</v>
      </c>
    </row>
    <row r="340" spans="1:17" x14ac:dyDescent="0.2">
      <c r="A340" s="247" t="s">
        <v>1240</v>
      </c>
      <c r="D340" s="3">
        <f>+D4</f>
        <v>0</v>
      </c>
    </row>
    <row r="341" spans="1:17" x14ac:dyDescent="0.2">
      <c r="A341" s="247" t="s">
        <v>1242</v>
      </c>
      <c r="B341" s="247" t="s">
        <v>1242</v>
      </c>
      <c r="C341" s="247" t="s">
        <v>1242</v>
      </c>
      <c r="D341" s="3">
        <v>249448244.94999999</v>
      </c>
    </row>
    <row r="342" spans="1:17" x14ac:dyDescent="0.2">
      <c r="A342" s="247" t="s">
        <v>1242</v>
      </c>
      <c r="B342" s="247" t="s">
        <v>1242</v>
      </c>
      <c r="C342" s="247" t="s">
        <v>1242</v>
      </c>
      <c r="D342" s="3">
        <f>+D340-D341</f>
        <v>-249448244.94999999</v>
      </c>
    </row>
    <row r="343" spans="1:17" x14ac:dyDescent="0.2">
      <c r="A343" s="154" t="s">
        <v>1241</v>
      </c>
    </row>
    <row r="344" spans="1:17" hidden="1" x14ac:dyDescent="0.2"/>
  </sheetData>
  <phoneticPr fontId="0" type="noConversion"/>
  <pageMargins left="0.75" right="0.75" top="1" bottom="1" header="0.5" footer="0.5"/>
  <pageSetup scale="65" fitToHeight="7" orientation="landscape" r:id="rId1"/>
  <headerFooter alignWithMargins="0">
    <oddFooter>&amp;C&amp;P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B359"/>
  <sheetViews>
    <sheetView workbookViewId="0">
      <pane xSplit="3" ySplit="7" topLeftCell="D8" activePane="bottomRight" state="frozen"/>
      <selection pane="topRight" activeCell="D1" sqref="D1"/>
      <selection pane="bottomLeft" activeCell="A8" sqref="A8"/>
      <selection pane="bottomRight"/>
    </sheetView>
  </sheetViews>
  <sheetFormatPr defaultColWidth="0" defaultRowHeight="11.25" zeroHeight="1" x14ac:dyDescent="0.2"/>
  <cols>
    <col min="1" max="1" width="7" style="17" customWidth="1"/>
    <col min="2" max="2" width="6.83203125" style="17" customWidth="1"/>
    <col min="3" max="3" width="18.33203125" style="3" customWidth="1"/>
    <col min="4" max="7" width="15.1640625" style="3" customWidth="1"/>
    <col min="8" max="8" width="16.6640625" style="3" customWidth="1"/>
    <col min="9" max="9" width="14.1640625" style="142" customWidth="1"/>
    <col min="10" max="10" width="14.1640625" style="3" customWidth="1"/>
    <col min="11" max="11" width="13.83203125" style="3" customWidth="1"/>
    <col min="12" max="12" width="13" style="3" customWidth="1"/>
    <col min="13" max="13" width="13.83203125" style="3" customWidth="1"/>
    <col min="14" max="15" width="13" style="3" customWidth="1"/>
    <col min="16" max="18" width="13.83203125" style="3" customWidth="1"/>
    <col min="19" max="19" width="15" style="3" bestFit="1" customWidth="1"/>
    <col min="20" max="21" width="13" style="3" customWidth="1"/>
    <col min="22" max="22" width="13.83203125" style="3" bestFit="1" customWidth="1"/>
    <col min="23" max="23" width="13.6640625" style="3" bestFit="1" customWidth="1"/>
    <col min="24" max="24" width="13" style="3" customWidth="1"/>
    <col min="25" max="26" width="14.83203125" style="3" customWidth="1"/>
    <col min="27" max="27" width="16.5" style="3" customWidth="1"/>
    <col min="28" max="29" width="14.83203125" style="3" customWidth="1"/>
    <col min="30" max="30" width="16" style="3" customWidth="1"/>
    <col min="31" max="31" width="13.83203125" style="3" customWidth="1"/>
    <col min="32" max="32" width="9.33203125" style="3" customWidth="1"/>
    <col min="33" max="33" width="8.5" style="3" customWidth="1"/>
    <col min="34" max="48" width="13.83203125" style="3" customWidth="1"/>
    <col min="49" max="49" width="6.83203125" style="3" customWidth="1"/>
    <col min="50" max="50" width="7" style="3" customWidth="1"/>
    <col min="51" max="52" width="13.83203125" style="3" customWidth="1"/>
    <col min="53" max="53" width="15.1640625" style="3" bestFit="1" customWidth="1"/>
    <col min="54" max="54" width="0" style="3" hidden="1"/>
    <col min="55" max="16384" width="13.83203125" style="3" hidden="1"/>
  </cols>
  <sheetData>
    <row r="1" spans="1:54" ht="19.5" x14ac:dyDescent="0.3">
      <c r="A1" s="246" t="str">
        <f>Levy!A3</f>
        <v>Pay 2014 Levy</v>
      </c>
      <c r="H1" s="217"/>
      <c r="I1" s="192" t="s">
        <v>1211</v>
      </c>
      <c r="J1" s="192"/>
      <c r="K1" s="192"/>
      <c r="L1" s="192"/>
      <c r="M1" s="192"/>
      <c r="N1" s="192"/>
      <c r="O1" s="192"/>
      <c r="P1" s="192"/>
      <c r="Q1" s="192"/>
      <c r="R1" s="192"/>
      <c r="S1" s="192"/>
      <c r="T1" s="192"/>
      <c r="U1" s="192"/>
      <c r="V1" s="192"/>
      <c r="W1" s="192"/>
      <c r="X1" s="192"/>
      <c r="Y1" s="222"/>
      <c r="AD1" s="137">
        <f>Report!I1</f>
        <v>41828</v>
      </c>
    </row>
    <row r="2" spans="1:54" x14ac:dyDescent="0.2">
      <c r="H2" s="217"/>
      <c r="I2" s="228" t="s">
        <v>693</v>
      </c>
      <c r="J2" s="228"/>
      <c r="K2" s="228"/>
      <c r="L2" s="228"/>
      <c r="M2" s="228"/>
      <c r="N2" s="228"/>
      <c r="O2" s="228"/>
      <c r="P2" s="228"/>
      <c r="Q2" s="228"/>
      <c r="R2" s="228"/>
      <c r="S2" s="228"/>
      <c r="T2" s="228"/>
      <c r="U2" s="228"/>
      <c r="V2" s="228"/>
      <c r="W2" s="228"/>
      <c r="X2" s="228"/>
      <c r="Y2" s="229"/>
    </row>
    <row r="3" spans="1:54" x14ac:dyDescent="0.2">
      <c r="H3" s="225"/>
      <c r="I3" s="213" t="s">
        <v>1212</v>
      </c>
      <c r="J3" s="213" t="s">
        <v>1213</v>
      </c>
      <c r="K3" s="213" t="s">
        <v>1214</v>
      </c>
      <c r="L3" s="213" t="s">
        <v>1215</v>
      </c>
      <c r="M3" s="213" t="s">
        <v>1216</v>
      </c>
      <c r="N3" s="213" t="s">
        <v>1217</v>
      </c>
      <c r="O3" s="213" t="s">
        <v>1218</v>
      </c>
      <c r="P3" s="213" t="s">
        <v>1219</v>
      </c>
      <c r="Q3" s="213" t="s">
        <v>1220</v>
      </c>
      <c r="R3" s="213" t="s">
        <v>1221</v>
      </c>
      <c r="S3" s="213" t="s">
        <v>1222</v>
      </c>
      <c r="T3" s="213"/>
      <c r="U3" s="213"/>
      <c r="V3" s="213" t="s">
        <v>1223</v>
      </c>
      <c r="W3" s="213" t="s">
        <v>1224</v>
      </c>
      <c r="X3" s="213" t="s">
        <v>1225</v>
      </c>
      <c r="Y3" s="223" t="s">
        <v>1225</v>
      </c>
    </row>
    <row r="4" spans="1:54" s="8" customFormat="1" ht="33.75" x14ac:dyDescent="0.2">
      <c r="A4" s="144"/>
      <c r="B4" s="144"/>
      <c r="D4" s="8" t="s">
        <v>613</v>
      </c>
      <c r="E4" s="8" t="s">
        <v>342</v>
      </c>
      <c r="F4" s="8" t="s">
        <v>343</v>
      </c>
      <c r="G4" s="8" t="s">
        <v>344</v>
      </c>
      <c r="H4" s="226" t="s">
        <v>334</v>
      </c>
      <c r="I4" s="16" t="s">
        <v>345</v>
      </c>
      <c r="J4" s="16" t="s">
        <v>335</v>
      </c>
      <c r="K4" s="16" t="s">
        <v>457</v>
      </c>
      <c r="L4" s="16" t="s">
        <v>336</v>
      </c>
      <c r="M4" s="16" t="s">
        <v>360</v>
      </c>
      <c r="N4" s="16" t="s">
        <v>347</v>
      </c>
      <c r="O4" s="16" t="s">
        <v>348</v>
      </c>
      <c r="P4" s="16" t="s">
        <v>479</v>
      </c>
      <c r="Q4" s="16" t="s">
        <v>478</v>
      </c>
      <c r="R4" s="16" t="s">
        <v>646</v>
      </c>
      <c r="S4" s="16" t="s">
        <v>346</v>
      </c>
      <c r="T4" s="16" t="s">
        <v>487</v>
      </c>
      <c r="U4" s="16" t="s">
        <v>488</v>
      </c>
      <c r="V4" s="16" t="s">
        <v>476</v>
      </c>
      <c r="W4" s="16" t="s">
        <v>475</v>
      </c>
      <c r="X4" s="218" t="s">
        <v>338</v>
      </c>
      <c r="Y4" s="224" t="s">
        <v>629</v>
      </c>
      <c r="Z4" s="8" t="s">
        <v>337</v>
      </c>
      <c r="AA4" s="8" t="s">
        <v>499</v>
      </c>
      <c r="AB4" s="8" t="s">
        <v>500</v>
      </c>
      <c r="AC4" s="8" t="str">
        <f>Instructions!P1&amp;" Refer at Shift Percent"</f>
        <v>Pay 2014 Refer at Shift Percent</v>
      </c>
      <c r="AD4" s="8" t="str">
        <f>"Refer (GTR of "&amp;Instructions!P1&amp;" or Pay 2001)"</f>
        <v>Refer (GTR of Pay 2014 or Pay 2001)</v>
      </c>
      <c r="AW4" s="144"/>
      <c r="AX4" s="144"/>
      <c r="AZ4" s="8" t="s">
        <v>338</v>
      </c>
      <c r="BA4" s="16" t="s">
        <v>629</v>
      </c>
      <c r="BB4" s="16"/>
    </row>
    <row r="5" spans="1:54" x14ac:dyDescent="0.2">
      <c r="H5" s="217"/>
      <c r="I5" s="19"/>
      <c r="J5" s="19"/>
      <c r="K5" s="19"/>
      <c r="L5" s="19"/>
      <c r="M5" s="19"/>
      <c r="N5" s="19"/>
      <c r="O5" s="19"/>
      <c r="P5" s="19"/>
      <c r="Q5" s="19"/>
      <c r="R5" s="19"/>
      <c r="S5" s="19"/>
      <c r="T5" s="19"/>
      <c r="U5" s="19"/>
      <c r="V5" s="19"/>
      <c r="W5" s="19"/>
      <c r="X5" s="19"/>
      <c r="Y5" s="217"/>
      <c r="AA5" s="3">
        <v>508946528.53000039</v>
      </c>
      <c r="AB5" s="3">
        <v>73254627.609999985</v>
      </c>
      <c r="AW5" s="17"/>
      <c r="AX5" s="17"/>
      <c r="AZ5" s="3">
        <v>4282529.1899999995</v>
      </c>
      <c r="BA5" s="19">
        <v>114228540.45999998</v>
      </c>
      <c r="BB5" s="19"/>
    </row>
    <row r="6" spans="1:54" x14ac:dyDescent="0.2">
      <c r="C6" s="3" t="s">
        <v>340</v>
      </c>
      <c r="D6" s="3">
        <f t="shared" ref="D6:AD6" si="0">SUM(D8:D339)</f>
        <v>530525427.1699999</v>
      </c>
      <c r="E6" s="3">
        <f t="shared" si="0"/>
        <v>336399264.74999982</v>
      </c>
      <c r="F6" s="3">
        <f t="shared" si="0"/>
        <v>60897103.600000001</v>
      </c>
      <c r="G6" s="3">
        <f t="shared" si="0"/>
        <v>481543123.81999993</v>
      </c>
      <c r="H6" s="217">
        <f t="shared" si="0"/>
        <v>74876385.850000054</v>
      </c>
      <c r="I6" s="19">
        <f t="shared" si="0"/>
        <v>10042492.860000001</v>
      </c>
      <c r="J6" s="19">
        <f t="shared" si="0"/>
        <v>8090511.1600000011</v>
      </c>
      <c r="K6" s="19">
        <f t="shared" si="0"/>
        <v>16370040.689999985</v>
      </c>
      <c r="L6" s="19">
        <f t="shared" si="0"/>
        <v>2655540.3499999996</v>
      </c>
      <c r="M6" s="19">
        <f t="shared" si="0"/>
        <v>20281548</v>
      </c>
      <c r="N6" s="19">
        <f t="shared" si="0"/>
        <v>0</v>
      </c>
      <c r="O6" s="19">
        <f t="shared" si="0"/>
        <v>44156.61</v>
      </c>
      <c r="P6" s="19">
        <f t="shared" si="0"/>
        <v>-2374512.0200000028</v>
      </c>
      <c r="Q6" s="19">
        <f t="shared" si="0"/>
        <v>-42970.9</v>
      </c>
      <c r="R6" s="19">
        <f t="shared" si="0"/>
        <v>-2959083.0199999996</v>
      </c>
      <c r="S6" s="19">
        <f t="shared" si="0"/>
        <v>503588.30999999988</v>
      </c>
      <c r="T6" s="19">
        <f t="shared" si="0"/>
        <v>0</v>
      </c>
      <c r="U6" s="19">
        <f t="shared" si="0"/>
        <v>0</v>
      </c>
      <c r="V6" s="19">
        <f t="shared" si="0"/>
        <v>19500</v>
      </c>
      <c r="W6" s="19">
        <f t="shared" si="0"/>
        <v>45500</v>
      </c>
      <c r="X6" s="19">
        <f>SUM(X8:X339)</f>
        <v>4282529.1900000004</v>
      </c>
      <c r="Y6" s="217">
        <f>SUM(Y8:Y339)</f>
        <v>114228540.45999995</v>
      </c>
      <c r="Z6" s="3">
        <f t="shared" si="0"/>
        <v>52611312.039999977</v>
      </c>
      <c r="AA6" s="3">
        <f t="shared" si="0"/>
        <v>822167512.28999972</v>
      </c>
      <c r="AB6" s="3">
        <f t="shared" si="0"/>
        <v>74876385.850000054</v>
      </c>
      <c r="AC6" s="3">
        <f t="shared" si="0"/>
        <v>0</v>
      </c>
      <c r="AD6" s="3">
        <f t="shared" si="0"/>
        <v>114228540.45999995</v>
      </c>
      <c r="AW6" s="17"/>
      <c r="AX6" s="17"/>
      <c r="AY6" s="3" t="s">
        <v>340</v>
      </c>
      <c r="AZ6" s="3">
        <f>SUM(AZ8:AZ339)</f>
        <v>4282529.1900000004</v>
      </c>
      <c r="BA6" s="3">
        <f>SUM(BA8:BA339)</f>
        <v>114228540.45999995</v>
      </c>
      <c r="BB6" s="19"/>
    </row>
    <row r="7" spans="1:54" x14ac:dyDescent="0.2">
      <c r="H7" s="217"/>
      <c r="I7" s="19"/>
      <c r="J7" s="19"/>
      <c r="K7" s="19"/>
      <c r="L7" s="19"/>
      <c r="M7" s="19"/>
      <c r="N7" s="19"/>
      <c r="O7" s="19"/>
      <c r="P7" s="19"/>
      <c r="Q7" s="19"/>
      <c r="R7" s="19"/>
      <c r="S7" s="19"/>
      <c r="T7" s="19"/>
      <c r="U7" s="19"/>
      <c r="V7" s="19"/>
      <c r="W7" s="19"/>
      <c r="X7" s="19"/>
      <c r="Y7" s="217"/>
      <c r="AF7" s="3" t="s">
        <v>624</v>
      </c>
      <c r="AG7" s="3" t="s">
        <v>625</v>
      </c>
      <c r="AH7" s="3" t="s">
        <v>1223</v>
      </c>
      <c r="AI7" s="3" t="s">
        <v>1224</v>
      </c>
      <c r="AJ7" s="3" t="s">
        <v>1212</v>
      </c>
      <c r="AK7" s="3" t="s">
        <v>1213</v>
      </c>
      <c r="AL7" s="3" t="s">
        <v>1214</v>
      </c>
      <c r="AM7" s="3" t="s">
        <v>1215</v>
      </c>
      <c r="AN7" s="3" t="s">
        <v>1216</v>
      </c>
      <c r="AO7" s="3" t="s">
        <v>1217</v>
      </c>
      <c r="AP7" s="3" t="s">
        <v>1218</v>
      </c>
      <c r="AQ7" s="3" t="s">
        <v>1219</v>
      </c>
      <c r="AR7" s="3" t="s">
        <v>1220</v>
      </c>
      <c r="AS7" s="3" t="s">
        <v>1221</v>
      </c>
      <c r="AT7" s="3" t="s">
        <v>1222</v>
      </c>
      <c r="AV7" s="215" t="s">
        <v>1227</v>
      </c>
      <c r="AW7" s="216" t="s">
        <v>1228</v>
      </c>
      <c r="AX7" s="216" t="s">
        <v>1229</v>
      </c>
      <c r="BA7" s="19"/>
      <c r="BB7" s="19"/>
    </row>
    <row r="8" spans="1:54" x14ac:dyDescent="0.2">
      <c r="A8" s="17">
        <v>1</v>
      </c>
      <c r="B8" s="17">
        <v>1</v>
      </c>
      <c r="C8" s="3" t="s">
        <v>5</v>
      </c>
      <c r="D8" s="3">
        <f>Levy!F9</f>
        <v>3</v>
      </c>
      <c r="E8" s="3">
        <f>Levy!G9</f>
        <v>512160</v>
      </c>
      <c r="F8" s="3">
        <f>Levy!H9</f>
        <v>0</v>
      </c>
      <c r="G8" s="3">
        <f>Levy!I9</f>
        <v>376935</v>
      </c>
      <c r="H8" s="217">
        <f>Levy!J9</f>
        <v>0</v>
      </c>
      <c r="I8" s="219">
        <v>0</v>
      </c>
      <c r="J8" s="219">
        <v>7000</v>
      </c>
      <c r="K8" s="219">
        <v>34841.339999999997</v>
      </c>
      <c r="L8" s="219">
        <v>0</v>
      </c>
      <c r="M8" s="219">
        <v>0</v>
      </c>
      <c r="N8" s="19">
        <v>0</v>
      </c>
      <c r="O8" s="19">
        <v>0</v>
      </c>
      <c r="P8" s="219">
        <v>-304.24</v>
      </c>
      <c r="Q8" s="219">
        <v>0</v>
      </c>
      <c r="R8" s="219">
        <v>-4677.57</v>
      </c>
      <c r="S8" s="219">
        <v>0</v>
      </c>
      <c r="T8" s="19">
        <v>0</v>
      </c>
      <c r="U8" s="19">
        <v>0</v>
      </c>
      <c r="V8" s="19">
        <v>0</v>
      </c>
      <c r="W8" s="19">
        <v>0</v>
      </c>
      <c r="X8" s="19">
        <v>0</v>
      </c>
      <c r="Y8" s="217">
        <v>141143.88</v>
      </c>
      <c r="Z8" s="3">
        <f t="shared" ref="Z8:Z71" si="1">SUM(I8:T8)</f>
        <v>36859.53</v>
      </c>
      <c r="AA8" s="3">
        <f t="shared" ref="AA8:AA71" si="2">ROUND(MAX(E8+F8+G8-W8-X8-Z8,0),2)</f>
        <v>852235.47</v>
      </c>
      <c r="AB8" s="3">
        <f>ROUND(MAX(H8-U8,0),2)</f>
        <v>0</v>
      </c>
      <c r="AC8" s="3">
        <f>ROUND(MAX(0,(D8-V8)*'Shift 14'!$B$2),2)</f>
        <v>0</v>
      </c>
      <c r="AD8" s="3">
        <f t="shared" ref="AD8:AD71" si="3">MAX(AC8,Y8)</f>
        <v>141143.88</v>
      </c>
      <c r="AE8" s="3">
        <f>AF8-A8</f>
        <v>0</v>
      </c>
      <c r="AF8" s="214">
        <v>1</v>
      </c>
      <c r="AG8" s="214">
        <v>1</v>
      </c>
      <c r="AH8" s="3">
        <v>0</v>
      </c>
      <c r="AI8" s="3">
        <v>0</v>
      </c>
      <c r="AJ8" s="3">
        <v>0</v>
      </c>
      <c r="AK8" s="3">
        <v>7000</v>
      </c>
      <c r="AL8" s="3">
        <v>34841.339999999997</v>
      </c>
      <c r="AM8" s="3">
        <v>0</v>
      </c>
      <c r="AN8" s="3">
        <v>0</v>
      </c>
      <c r="AO8" s="3">
        <v>0</v>
      </c>
      <c r="AP8" s="3">
        <v>0</v>
      </c>
      <c r="AQ8" s="3">
        <v>-304.24</v>
      </c>
      <c r="AR8" s="3">
        <v>0</v>
      </c>
      <c r="AS8" s="3">
        <v>-4677.57</v>
      </c>
      <c r="AT8" s="3">
        <v>0</v>
      </c>
      <c r="AU8" s="3">
        <f>AV8-A8</f>
        <v>0</v>
      </c>
      <c r="AV8" s="17">
        <v>1</v>
      </c>
      <c r="AW8" s="17">
        <v>1</v>
      </c>
      <c r="AX8" s="17">
        <v>1</v>
      </c>
      <c r="AY8" s="3" t="s">
        <v>5</v>
      </c>
      <c r="AZ8" s="3">
        <v>0</v>
      </c>
      <c r="BA8" s="19">
        <v>141143.88</v>
      </c>
    </row>
    <row r="9" spans="1:54" x14ac:dyDescent="0.2">
      <c r="A9" s="17">
        <v>1.2</v>
      </c>
      <c r="B9" s="17">
        <v>3</v>
      </c>
      <c r="C9" s="3" t="s">
        <v>6</v>
      </c>
      <c r="D9" s="3">
        <f>Levy!F10</f>
        <v>42963956.869999997</v>
      </c>
      <c r="E9" s="3">
        <f>Levy!G10</f>
        <v>32244452.789999999</v>
      </c>
      <c r="F9" s="3">
        <f>Levy!H10</f>
        <v>0</v>
      </c>
      <c r="G9" s="3">
        <f>Levy!I10</f>
        <v>40377224.859999999</v>
      </c>
      <c r="H9" s="217">
        <f>Levy!J10</f>
        <v>4958084.99</v>
      </c>
      <c r="I9" s="19">
        <v>4400061.01</v>
      </c>
      <c r="J9" s="219">
        <v>1000000</v>
      </c>
      <c r="K9" s="219">
        <v>705788.41</v>
      </c>
      <c r="L9" s="219">
        <v>0</v>
      </c>
      <c r="M9" s="219">
        <v>8470800</v>
      </c>
      <c r="N9" s="19">
        <v>0</v>
      </c>
      <c r="O9" s="19">
        <v>98405.69</v>
      </c>
      <c r="P9" s="219">
        <v>-347192.3</v>
      </c>
      <c r="Q9" s="219">
        <v>0</v>
      </c>
      <c r="R9" s="219">
        <v>-28526.93</v>
      </c>
      <c r="S9" s="219">
        <v>0</v>
      </c>
      <c r="T9" s="19">
        <v>0</v>
      </c>
      <c r="U9" s="19">
        <v>0</v>
      </c>
      <c r="V9" s="19">
        <v>0</v>
      </c>
      <c r="W9" s="19">
        <v>0</v>
      </c>
      <c r="X9" s="19">
        <v>1205612.71</v>
      </c>
      <c r="Y9" s="217">
        <v>10049626.5</v>
      </c>
      <c r="Z9" s="3">
        <f t="shared" si="1"/>
        <v>14299335.879999999</v>
      </c>
      <c r="AA9" s="3">
        <f t="shared" si="2"/>
        <v>57116729.060000002</v>
      </c>
      <c r="AB9" s="3">
        <f t="shared" ref="AB9:AB72" si="4">ROUND(MAX(H9-U9,0),2)</f>
        <v>4958084.99</v>
      </c>
      <c r="AC9" s="3">
        <f>ROUND(MAX(0,(D9-V9)*'Shift 14'!$B$2),2)</f>
        <v>0</v>
      </c>
      <c r="AD9" s="3">
        <f t="shared" si="3"/>
        <v>10049626.5</v>
      </c>
      <c r="AE9" s="3">
        <f t="shared" ref="AE9:AE72" si="5">AF9-A9</f>
        <v>0</v>
      </c>
      <c r="AF9" s="214">
        <v>1.2</v>
      </c>
      <c r="AG9" s="214">
        <v>3</v>
      </c>
      <c r="AH9" s="3">
        <v>0</v>
      </c>
      <c r="AI9" s="3">
        <v>0</v>
      </c>
      <c r="AJ9" s="3">
        <v>4400061.01</v>
      </c>
      <c r="AK9" s="3">
        <v>1000000</v>
      </c>
      <c r="AL9" s="3">
        <v>705788.41</v>
      </c>
      <c r="AM9" s="3">
        <v>0</v>
      </c>
      <c r="AN9" s="3">
        <v>8470800</v>
      </c>
      <c r="AO9" s="3">
        <v>0</v>
      </c>
      <c r="AP9" s="3">
        <v>98405.69</v>
      </c>
      <c r="AQ9" s="3">
        <v>-347192.3</v>
      </c>
      <c r="AR9" s="3">
        <v>0</v>
      </c>
      <c r="AS9" s="3">
        <v>-28526.93</v>
      </c>
      <c r="AT9" s="3">
        <v>0</v>
      </c>
      <c r="AU9" s="3">
        <f t="shared" ref="AU9:AU72" si="6">AV9-A9</f>
        <v>0</v>
      </c>
      <c r="AV9" s="17">
        <v>1.2</v>
      </c>
      <c r="AW9" s="17">
        <v>1.2</v>
      </c>
      <c r="AX9" s="17">
        <v>3</v>
      </c>
      <c r="AY9" s="3" t="s">
        <v>6</v>
      </c>
      <c r="AZ9" s="3">
        <v>1205612.71</v>
      </c>
      <c r="BA9" s="19">
        <v>10049626.5</v>
      </c>
    </row>
    <row r="10" spans="1:54" x14ac:dyDescent="0.2">
      <c r="A10" s="17">
        <v>2</v>
      </c>
      <c r="B10" s="17">
        <v>1</v>
      </c>
      <c r="C10" s="3" t="s">
        <v>7</v>
      </c>
      <c r="D10" s="3">
        <f>Levy!F11</f>
        <v>0</v>
      </c>
      <c r="E10" s="3">
        <f>Levy!G11</f>
        <v>55347</v>
      </c>
      <c r="F10" s="3">
        <f>Levy!H11</f>
        <v>0</v>
      </c>
      <c r="G10" s="3">
        <f>Levy!I11</f>
        <v>61170</v>
      </c>
      <c r="H10" s="217">
        <f>Levy!J11</f>
        <v>18559</v>
      </c>
      <c r="I10" s="219">
        <v>0</v>
      </c>
      <c r="J10" s="219">
        <v>0</v>
      </c>
      <c r="K10" s="219">
        <v>0</v>
      </c>
      <c r="L10" s="219">
        <v>0</v>
      </c>
      <c r="M10" s="219">
        <v>0</v>
      </c>
      <c r="N10" s="19">
        <v>0</v>
      </c>
      <c r="O10" s="19">
        <v>0</v>
      </c>
      <c r="P10" s="219">
        <v>-9946.3700000000008</v>
      </c>
      <c r="Q10" s="219">
        <v>0</v>
      </c>
      <c r="R10" s="219">
        <v>-10000</v>
      </c>
      <c r="S10" s="219">
        <v>0</v>
      </c>
      <c r="T10" s="167">
        <v>0</v>
      </c>
      <c r="U10" s="19">
        <v>0</v>
      </c>
      <c r="V10" s="19">
        <v>0</v>
      </c>
      <c r="W10" s="19">
        <v>0</v>
      </c>
      <c r="X10" s="19">
        <v>0</v>
      </c>
      <c r="Y10" s="217">
        <v>0</v>
      </c>
      <c r="Z10" s="3">
        <f t="shared" si="1"/>
        <v>-19946.370000000003</v>
      </c>
      <c r="AA10" s="3">
        <f t="shared" si="2"/>
        <v>136463.37</v>
      </c>
      <c r="AB10" s="3">
        <f t="shared" si="4"/>
        <v>18559</v>
      </c>
      <c r="AC10" s="3">
        <f>ROUND(MAX(0,(D10-V10)*'Shift 14'!$B$2),2)</f>
        <v>0</v>
      </c>
      <c r="AD10" s="3">
        <f t="shared" si="3"/>
        <v>0</v>
      </c>
      <c r="AE10" s="3">
        <f t="shared" si="5"/>
        <v>0</v>
      </c>
      <c r="AF10" s="214">
        <v>2</v>
      </c>
      <c r="AG10" s="214">
        <v>1</v>
      </c>
      <c r="AH10" s="3">
        <v>0</v>
      </c>
      <c r="AI10" s="3">
        <v>0</v>
      </c>
      <c r="AJ10" s="3">
        <v>0</v>
      </c>
      <c r="AK10" s="3">
        <v>0</v>
      </c>
      <c r="AL10" s="3">
        <v>0</v>
      </c>
      <c r="AM10" s="3">
        <v>0</v>
      </c>
      <c r="AN10" s="3">
        <v>0</v>
      </c>
      <c r="AO10" s="3">
        <v>0</v>
      </c>
      <c r="AP10" s="3">
        <v>0</v>
      </c>
      <c r="AQ10" s="3">
        <v>-9946.3700000000008</v>
      </c>
      <c r="AR10" s="3">
        <v>0</v>
      </c>
      <c r="AS10" s="3">
        <v>-10000</v>
      </c>
      <c r="AT10" s="3">
        <v>0</v>
      </c>
      <c r="AU10" s="3">
        <f t="shared" si="6"/>
        <v>0</v>
      </c>
      <c r="AV10" s="17">
        <v>2</v>
      </c>
      <c r="AW10" s="17">
        <v>2</v>
      </c>
      <c r="AX10" s="17">
        <v>1</v>
      </c>
      <c r="AY10" s="3" t="s">
        <v>7</v>
      </c>
      <c r="AZ10" s="3">
        <v>0</v>
      </c>
      <c r="BA10" s="19">
        <v>0</v>
      </c>
    </row>
    <row r="11" spans="1:54" x14ac:dyDescent="0.2">
      <c r="A11" s="17">
        <v>4</v>
      </c>
      <c r="B11" s="17">
        <v>1</v>
      </c>
      <c r="C11" s="3" t="s">
        <v>8</v>
      </c>
      <c r="D11" s="3">
        <f>Levy!F12</f>
        <v>375</v>
      </c>
      <c r="E11" s="3">
        <f>Levy!G12</f>
        <v>100950</v>
      </c>
      <c r="F11" s="3">
        <f>Levy!H12</f>
        <v>0</v>
      </c>
      <c r="G11" s="3">
        <f>Levy!I12</f>
        <v>319645</v>
      </c>
      <c r="H11" s="217">
        <f>Levy!J12</f>
        <v>53030</v>
      </c>
      <c r="I11" s="219">
        <v>0</v>
      </c>
      <c r="J11" s="219">
        <v>7300</v>
      </c>
      <c r="K11" s="219">
        <v>12648</v>
      </c>
      <c r="L11" s="219">
        <v>0</v>
      </c>
      <c r="M11" s="219">
        <v>0</v>
      </c>
      <c r="N11" s="19">
        <v>0</v>
      </c>
      <c r="O11" s="19">
        <v>0</v>
      </c>
      <c r="P11" s="219">
        <v>7777.41</v>
      </c>
      <c r="Q11" s="219">
        <v>0</v>
      </c>
      <c r="R11" s="219">
        <v>-1665.08</v>
      </c>
      <c r="S11" s="219">
        <v>0</v>
      </c>
      <c r="T11" s="19">
        <v>0</v>
      </c>
      <c r="U11" s="19">
        <v>0</v>
      </c>
      <c r="V11" s="19">
        <v>0</v>
      </c>
      <c r="W11" s="19">
        <v>0</v>
      </c>
      <c r="X11" s="19">
        <v>0</v>
      </c>
      <c r="Y11" s="217">
        <v>51784.65</v>
      </c>
      <c r="Z11" s="3">
        <f t="shared" si="1"/>
        <v>26060.33</v>
      </c>
      <c r="AA11" s="3">
        <f t="shared" si="2"/>
        <v>394534.67</v>
      </c>
      <c r="AB11" s="3">
        <f t="shared" si="4"/>
        <v>53030</v>
      </c>
      <c r="AC11" s="3">
        <f>ROUND(MAX(0,(D11-V11)*'Shift 14'!$B$2),2)</f>
        <v>0</v>
      </c>
      <c r="AD11" s="3">
        <f t="shared" si="3"/>
        <v>51784.65</v>
      </c>
      <c r="AE11" s="3">
        <f t="shared" si="5"/>
        <v>0</v>
      </c>
      <c r="AF11" s="214">
        <v>4</v>
      </c>
      <c r="AG11" s="214">
        <v>1</v>
      </c>
      <c r="AH11" s="3">
        <v>0</v>
      </c>
      <c r="AI11" s="3">
        <v>0</v>
      </c>
      <c r="AJ11" s="3">
        <v>0</v>
      </c>
      <c r="AK11" s="3">
        <v>7300</v>
      </c>
      <c r="AL11" s="3">
        <v>12648</v>
      </c>
      <c r="AM11" s="3">
        <v>0</v>
      </c>
      <c r="AN11" s="3">
        <v>0</v>
      </c>
      <c r="AO11" s="3">
        <v>0</v>
      </c>
      <c r="AP11" s="3">
        <v>0</v>
      </c>
      <c r="AQ11" s="3">
        <v>7777.41</v>
      </c>
      <c r="AR11" s="3">
        <v>0</v>
      </c>
      <c r="AS11" s="3">
        <v>-1665.08</v>
      </c>
      <c r="AT11" s="3">
        <v>0</v>
      </c>
      <c r="AU11" s="3">
        <f t="shared" si="6"/>
        <v>0</v>
      </c>
      <c r="AV11" s="17">
        <v>4</v>
      </c>
      <c r="AW11" s="17">
        <v>4</v>
      </c>
      <c r="AX11" s="17">
        <v>1</v>
      </c>
      <c r="AY11" s="3" t="s">
        <v>8</v>
      </c>
      <c r="AZ11" s="3">
        <v>0</v>
      </c>
      <c r="BA11" s="19">
        <v>51784.65</v>
      </c>
    </row>
    <row r="12" spans="1:54" x14ac:dyDescent="0.2">
      <c r="A12" s="17">
        <v>6</v>
      </c>
      <c r="B12" s="17">
        <v>3</v>
      </c>
      <c r="C12" s="3" t="s">
        <v>9</v>
      </c>
      <c r="D12" s="3">
        <f>Levy!F13</f>
        <v>1109814</v>
      </c>
      <c r="E12" s="3">
        <f>Levy!G13</f>
        <v>1607848</v>
      </c>
      <c r="F12" s="3">
        <f>Levy!H13</f>
        <v>522346</v>
      </c>
      <c r="G12" s="3">
        <f>Levy!I13</f>
        <v>2118168</v>
      </c>
      <c r="H12" s="217">
        <f>Levy!J13</f>
        <v>313589</v>
      </c>
      <c r="I12" s="219">
        <v>0</v>
      </c>
      <c r="J12" s="219">
        <v>26700</v>
      </c>
      <c r="K12" s="219">
        <v>45409.2</v>
      </c>
      <c r="L12" s="219">
        <v>0</v>
      </c>
      <c r="M12" s="219">
        <v>0</v>
      </c>
      <c r="N12" s="19">
        <v>0</v>
      </c>
      <c r="O12" s="19">
        <v>0</v>
      </c>
      <c r="P12" s="219">
        <v>-8485.85</v>
      </c>
      <c r="Q12" s="219">
        <v>0</v>
      </c>
      <c r="R12" s="219">
        <v>-12263.56</v>
      </c>
      <c r="S12" s="219">
        <v>0</v>
      </c>
      <c r="T12" s="19">
        <v>0</v>
      </c>
      <c r="U12" s="19">
        <v>0</v>
      </c>
      <c r="V12" s="19">
        <v>0</v>
      </c>
      <c r="W12" s="19">
        <v>0</v>
      </c>
      <c r="X12" s="19">
        <v>0</v>
      </c>
      <c r="Y12" s="217">
        <v>360711.07</v>
      </c>
      <c r="Z12" s="3">
        <f t="shared" si="1"/>
        <v>51359.79</v>
      </c>
      <c r="AA12" s="3">
        <f t="shared" si="2"/>
        <v>4197002.21</v>
      </c>
      <c r="AB12" s="3">
        <f t="shared" si="4"/>
        <v>313589</v>
      </c>
      <c r="AC12" s="3">
        <f>ROUND(MAX(0,(D12-V12)*'Shift 14'!$B$2),2)</f>
        <v>0</v>
      </c>
      <c r="AD12" s="3">
        <f t="shared" si="3"/>
        <v>360711.07</v>
      </c>
      <c r="AE12" s="3">
        <f t="shared" si="5"/>
        <v>0</v>
      </c>
      <c r="AF12" s="214">
        <v>6</v>
      </c>
      <c r="AG12" s="214">
        <v>3</v>
      </c>
      <c r="AH12" s="3">
        <v>0</v>
      </c>
      <c r="AI12" s="3">
        <v>0</v>
      </c>
      <c r="AJ12" s="3">
        <v>154304.54</v>
      </c>
      <c r="AK12" s="3">
        <v>26700</v>
      </c>
      <c r="AL12" s="3">
        <v>45409.2</v>
      </c>
      <c r="AM12" s="3">
        <v>0</v>
      </c>
      <c r="AN12" s="3">
        <v>0</v>
      </c>
      <c r="AO12" s="3">
        <v>0</v>
      </c>
      <c r="AP12" s="3">
        <v>-1881.17</v>
      </c>
      <c r="AQ12" s="3">
        <v>-8485.85</v>
      </c>
      <c r="AR12" s="3">
        <v>0</v>
      </c>
      <c r="AS12" s="3">
        <v>-12263.56</v>
      </c>
      <c r="AT12" s="3">
        <v>0</v>
      </c>
      <c r="AU12" s="3">
        <f t="shared" si="6"/>
        <v>0</v>
      </c>
      <c r="AV12" s="17">
        <v>6</v>
      </c>
      <c r="AW12" s="17">
        <v>6</v>
      </c>
      <c r="AX12" s="17">
        <v>3</v>
      </c>
      <c r="AY12" s="3" t="s">
        <v>9</v>
      </c>
      <c r="AZ12" s="3">
        <v>0</v>
      </c>
      <c r="BA12" s="19">
        <v>360711.07</v>
      </c>
    </row>
    <row r="13" spans="1:54" x14ac:dyDescent="0.2">
      <c r="A13" s="17">
        <v>11</v>
      </c>
      <c r="B13" s="17">
        <v>1</v>
      </c>
      <c r="C13" s="3" t="s">
        <v>10</v>
      </c>
      <c r="D13" s="3">
        <f>Levy!F14</f>
        <v>26446869</v>
      </c>
      <c r="E13" s="3">
        <f>Levy!G14</f>
        <v>15845307.619999999</v>
      </c>
      <c r="F13" s="3">
        <f>Levy!H14</f>
        <v>2728226</v>
      </c>
      <c r="G13" s="3">
        <f>Levy!I14</f>
        <v>23560897.32</v>
      </c>
      <c r="H13" s="217">
        <f>Levy!J14</f>
        <v>3085048.57</v>
      </c>
      <c r="I13" s="219">
        <v>0</v>
      </c>
      <c r="J13" s="219">
        <v>100000</v>
      </c>
      <c r="K13" s="219">
        <v>652459.11</v>
      </c>
      <c r="L13" s="219">
        <v>0</v>
      </c>
      <c r="M13" s="219">
        <v>0</v>
      </c>
      <c r="N13" s="19">
        <v>0</v>
      </c>
      <c r="O13" s="19">
        <v>0</v>
      </c>
      <c r="P13" s="219">
        <v>-142469.48000000001</v>
      </c>
      <c r="Q13" s="219">
        <v>0</v>
      </c>
      <c r="R13" s="219">
        <v>-149969.54</v>
      </c>
      <c r="S13" s="219">
        <v>0</v>
      </c>
      <c r="T13" s="19">
        <v>0</v>
      </c>
      <c r="U13" s="19">
        <v>0</v>
      </c>
      <c r="V13" s="19">
        <v>0</v>
      </c>
      <c r="W13" s="19">
        <v>0</v>
      </c>
      <c r="X13" s="19">
        <v>197692.1</v>
      </c>
      <c r="Y13" s="217">
        <v>3515884.7</v>
      </c>
      <c r="Z13" s="3">
        <f t="shared" si="1"/>
        <v>460020.08999999997</v>
      </c>
      <c r="AA13" s="3">
        <f t="shared" si="2"/>
        <v>41476718.75</v>
      </c>
      <c r="AB13" s="3">
        <f t="shared" si="4"/>
        <v>3085048.57</v>
      </c>
      <c r="AC13" s="3">
        <f>ROUND(MAX(0,(D13-V13)*'Shift 14'!$B$2),2)</f>
        <v>0</v>
      </c>
      <c r="AD13" s="3">
        <f t="shared" si="3"/>
        <v>3515884.7</v>
      </c>
      <c r="AE13" s="3">
        <f t="shared" si="5"/>
        <v>0</v>
      </c>
      <c r="AF13" s="214">
        <v>11</v>
      </c>
      <c r="AG13" s="214">
        <v>1</v>
      </c>
      <c r="AH13" s="3">
        <v>0</v>
      </c>
      <c r="AI13" s="3">
        <v>0</v>
      </c>
      <c r="AJ13" s="3">
        <v>1502416.37</v>
      </c>
      <c r="AK13" s="3">
        <v>100000</v>
      </c>
      <c r="AL13" s="3">
        <v>652459.11</v>
      </c>
      <c r="AM13" s="3">
        <v>0</v>
      </c>
      <c r="AN13" s="3">
        <v>0</v>
      </c>
      <c r="AO13" s="3">
        <v>0</v>
      </c>
      <c r="AP13" s="3">
        <v>288.18</v>
      </c>
      <c r="AQ13" s="3">
        <v>-142469.48000000001</v>
      </c>
      <c r="AR13" s="3">
        <v>0</v>
      </c>
      <c r="AS13" s="3">
        <v>-149969.54</v>
      </c>
      <c r="AT13" s="3">
        <v>0</v>
      </c>
      <c r="AU13" s="3">
        <f t="shared" si="6"/>
        <v>0</v>
      </c>
      <c r="AV13" s="17">
        <v>11</v>
      </c>
      <c r="AW13" s="17">
        <v>11</v>
      </c>
      <c r="AX13" s="17">
        <v>1</v>
      </c>
      <c r="AY13" s="3" t="s">
        <v>10</v>
      </c>
      <c r="AZ13" s="3">
        <v>197692.1</v>
      </c>
      <c r="BA13" s="19">
        <v>3515884.7</v>
      </c>
    </row>
    <row r="14" spans="1:54" x14ac:dyDescent="0.2">
      <c r="A14" s="17">
        <v>12</v>
      </c>
      <c r="B14" s="17">
        <v>1</v>
      </c>
      <c r="C14" s="3" t="s">
        <v>11</v>
      </c>
      <c r="D14" s="3">
        <f>Levy!F15</f>
        <v>1845321.42</v>
      </c>
      <c r="E14" s="3">
        <f>Levy!G15</f>
        <v>3019153.12</v>
      </c>
      <c r="F14" s="3">
        <f>Levy!H15</f>
        <v>0</v>
      </c>
      <c r="G14" s="3">
        <f>Levy!I15</f>
        <v>4960893.54</v>
      </c>
      <c r="H14" s="217">
        <f>Levy!J15</f>
        <v>413840.61</v>
      </c>
      <c r="I14" s="219">
        <v>0</v>
      </c>
      <c r="J14" s="219">
        <v>25000</v>
      </c>
      <c r="K14" s="219">
        <v>67877.919999999998</v>
      </c>
      <c r="L14" s="219">
        <v>0</v>
      </c>
      <c r="M14" s="219">
        <v>0</v>
      </c>
      <c r="N14" s="19">
        <v>0</v>
      </c>
      <c r="O14" s="19">
        <v>0</v>
      </c>
      <c r="P14" s="219">
        <v>25424.71</v>
      </c>
      <c r="Q14" s="219">
        <v>0</v>
      </c>
      <c r="R14" s="219">
        <v>-16431.2</v>
      </c>
      <c r="S14" s="219">
        <v>0</v>
      </c>
      <c r="T14" s="19">
        <v>0</v>
      </c>
      <c r="U14" s="19">
        <v>0</v>
      </c>
      <c r="V14" s="19">
        <v>0</v>
      </c>
      <c r="W14" s="19">
        <v>0</v>
      </c>
      <c r="X14" s="19">
        <v>16533.75</v>
      </c>
      <c r="Y14" s="217">
        <v>320094.52</v>
      </c>
      <c r="Z14" s="3">
        <f t="shared" si="1"/>
        <v>101871.43000000001</v>
      </c>
      <c r="AA14" s="3">
        <f t="shared" si="2"/>
        <v>7861641.4800000004</v>
      </c>
      <c r="AB14" s="3">
        <f t="shared" si="4"/>
        <v>413840.61</v>
      </c>
      <c r="AC14" s="3">
        <f>ROUND(MAX(0,(D14-V14)*'Shift 14'!$B$2),2)</f>
        <v>0</v>
      </c>
      <c r="AD14" s="3">
        <f t="shared" si="3"/>
        <v>320094.52</v>
      </c>
      <c r="AE14" s="3">
        <f t="shared" si="5"/>
        <v>0</v>
      </c>
      <c r="AF14" s="214">
        <v>12</v>
      </c>
      <c r="AG14" s="214">
        <v>1</v>
      </c>
      <c r="AH14" s="3">
        <v>0</v>
      </c>
      <c r="AI14" s="3">
        <v>0</v>
      </c>
      <c r="AJ14" s="3">
        <v>0</v>
      </c>
      <c r="AK14" s="3">
        <v>25000</v>
      </c>
      <c r="AL14" s="3">
        <v>67877.919999999998</v>
      </c>
      <c r="AM14" s="3">
        <v>0</v>
      </c>
      <c r="AN14" s="3">
        <v>0</v>
      </c>
      <c r="AO14" s="3">
        <v>0</v>
      </c>
      <c r="AP14" s="3">
        <v>0</v>
      </c>
      <c r="AQ14" s="3">
        <v>25424.71</v>
      </c>
      <c r="AR14" s="3">
        <v>0</v>
      </c>
      <c r="AS14" s="3">
        <v>-16431.2</v>
      </c>
      <c r="AT14" s="3">
        <v>0</v>
      </c>
      <c r="AU14" s="3">
        <f t="shared" si="6"/>
        <v>0</v>
      </c>
      <c r="AV14" s="17">
        <v>12</v>
      </c>
      <c r="AW14" s="17">
        <v>12</v>
      </c>
      <c r="AX14" s="17">
        <v>1</v>
      </c>
      <c r="AY14" s="3" t="s">
        <v>11</v>
      </c>
      <c r="AZ14" s="3">
        <v>16533.75</v>
      </c>
      <c r="BA14" s="19">
        <v>320094.52</v>
      </c>
    </row>
    <row r="15" spans="1:54" x14ac:dyDescent="0.2">
      <c r="A15" s="17">
        <v>13</v>
      </c>
      <c r="B15" s="17">
        <v>1</v>
      </c>
      <c r="C15" s="3" t="s">
        <v>12</v>
      </c>
      <c r="D15" s="3">
        <f>Levy!F16</f>
        <v>999598.58</v>
      </c>
      <c r="E15" s="3">
        <f>Levy!G16</f>
        <v>1846818.2</v>
      </c>
      <c r="F15" s="3">
        <f>Levy!H16</f>
        <v>0</v>
      </c>
      <c r="G15" s="3">
        <f>Levy!I16</f>
        <v>1950276.21</v>
      </c>
      <c r="H15" s="217">
        <f>Levy!J16</f>
        <v>404050.21</v>
      </c>
      <c r="I15" s="219">
        <v>0</v>
      </c>
      <c r="J15" s="219">
        <v>22414.639999999999</v>
      </c>
      <c r="K15" s="219">
        <v>57533.58</v>
      </c>
      <c r="L15" s="219">
        <v>0</v>
      </c>
      <c r="M15" s="219">
        <v>0</v>
      </c>
      <c r="N15" s="19">
        <v>0</v>
      </c>
      <c r="O15" s="19">
        <v>0</v>
      </c>
      <c r="P15" s="219">
        <v>14559.12</v>
      </c>
      <c r="Q15" s="219">
        <v>0</v>
      </c>
      <c r="R15" s="219">
        <v>-6994.7</v>
      </c>
      <c r="S15" s="219">
        <v>0</v>
      </c>
      <c r="T15" s="19">
        <v>0</v>
      </c>
      <c r="U15" s="19">
        <v>0</v>
      </c>
      <c r="V15" s="19">
        <v>0</v>
      </c>
      <c r="W15" s="19">
        <v>0</v>
      </c>
      <c r="X15" s="19">
        <v>0</v>
      </c>
      <c r="Y15" s="217">
        <v>848958.71</v>
      </c>
      <c r="Z15" s="3">
        <f t="shared" si="1"/>
        <v>87512.639999999999</v>
      </c>
      <c r="AA15" s="3">
        <f t="shared" si="2"/>
        <v>3709581.77</v>
      </c>
      <c r="AB15" s="3">
        <f t="shared" si="4"/>
        <v>404050.21</v>
      </c>
      <c r="AC15" s="3">
        <f>ROUND(MAX(0,(D15-V15)*'Shift 14'!$B$2),2)</f>
        <v>0</v>
      </c>
      <c r="AD15" s="3">
        <f t="shared" si="3"/>
        <v>848958.71</v>
      </c>
      <c r="AE15" s="3">
        <f t="shared" si="5"/>
        <v>0</v>
      </c>
      <c r="AF15" s="214">
        <v>13</v>
      </c>
      <c r="AG15" s="214">
        <v>1</v>
      </c>
      <c r="AH15" s="3">
        <v>0</v>
      </c>
      <c r="AI15" s="3">
        <v>0</v>
      </c>
      <c r="AJ15" s="3">
        <v>19944.57</v>
      </c>
      <c r="AK15" s="3">
        <v>22414.639999999999</v>
      </c>
      <c r="AL15" s="3">
        <v>57533.58</v>
      </c>
      <c r="AM15" s="3">
        <v>0</v>
      </c>
      <c r="AN15" s="3">
        <v>0</v>
      </c>
      <c r="AO15" s="3">
        <v>0</v>
      </c>
      <c r="AP15" s="3">
        <v>0</v>
      </c>
      <c r="AQ15" s="3">
        <v>14559.12</v>
      </c>
      <c r="AR15" s="3">
        <v>0</v>
      </c>
      <c r="AS15" s="3">
        <v>-6994.7</v>
      </c>
      <c r="AT15" s="3">
        <v>0</v>
      </c>
      <c r="AU15" s="3">
        <f t="shared" si="6"/>
        <v>0</v>
      </c>
      <c r="AV15" s="17">
        <v>13</v>
      </c>
      <c r="AW15" s="17">
        <v>13</v>
      </c>
      <c r="AX15" s="17">
        <v>1</v>
      </c>
      <c r="AY15" s="3" t="s">
        <v>12</v>
      </c>
      <c r="AZ15" s="3">
        <v>0</v>
      </c>
      <c r="BA15" s="19">
        <v>848958.71</v>
      </c>
    </row>
    <row r="16" spans="1:54" x14ac:dyDescent="0.2">
      <c r="A16" s="17">
        <v>14</v>
      </c>
      <c r="B16" s="17">
        <v>1</v>
      </c>
      <c r="C16" s="3" t="s">
        <v>13</v>
      </c>
      <c r="D16" s="3">
        <f>Levy!F17</f>
        <v>799891.31</v>
      </c>
      <c r="E16" s="3">
        <f>Levy!G17</f>
        <v>1293258.0900000001</v>
      </c>
      <c r="F16" s="3">
        <f>Levy!H17</f>
        <v>651253</v>
      </c>
      <c r="G16" s="3">
        <f>Levy!I17</f>
        <v>1382396.71</v>
      </c>
      <c r="H16" s="217">
        <f>Levy!J17</f>
        <v>321785.77</v>
      </c>
      <c r="I16" s="219">
        <v>0</v>
      </c>
      <c r="J16" s="219">
        <v>40000</v>
      </c>
      <c r="K16" s="219">
        <v>44391.45</v>
      </c>
      <c r="L16" s="219">
        <v>0</v>
      </c>
      <c r="M16" s="219">
        <v>0</v>
      </c>
      <c r="N16" s="19">
        <v>0</v>
      </c>
      <c r="O16" s="19">
        <v>0</v>
      </c>
      <c r="P16" s="219">
        <v>-68231.13</v>
      </c>
      <c r="Q16" s="219">
        <v>0</v>
      </c>
      <c r="R16" s="219">
        <v>-9789.49</v>
      </c>
      <c r="S16" s="219">
        <v>0</v>
      </c>
      <c r="T16" s="19">
        <v>0</v>
      </c>
      <c r="U16" s="19">
        <v>0</v>
      </c>
      <c r="V16" s="19">
        <v>0</v>
      </c>
      <c r="W16" s="19">
        <v>0</v>
      </c>
      <c r="X16" s="19">
        <v>0</v>
      </c>
      <c r="Y16" s="217">
        <v>468605.33</v>
      </c>
      <c r="Z16" s="3">
        <f t="shared" si="1"/>
        <v>6370.8299999999927</v>
      </c>
      <c r="AA16" s="3">
        <f t="shared" si="2"/>
        <v>3320536.97</v>
      </c>
      <c r="AB16" s="3">
        <f t="shared" si="4"/>
        <v>321785.77</v>
      </c>
      <c r="AC16" s="3">
        <f>ROUND(MAX(0,(D16-V16)*'Shift 14'!$B$2),2)</f>
        <v>0</v>
      </c>
      <c r="AD16" s="3">
        <f t="shared" si="3"/>
        <v>468605.33</v>
      </c>
      <c r="AE16" s="3">
        <f t="shared" si="5"/>
        <v>0</v>
      </c>
      <c r="AF16" s="214">
        <v>14</v>
      </c>
      <c r="AG16" s="214">
        <v>1</v>
      </c>
      <c r="AH16" s="3">
        <v>0</v>
      </c>
      <c r="AI16" s="3">
        <v>0</v>
      </c>
      <c r="AJ16" s="3">
        <v>155039.35999999999</v>
      </c>
      <c r="AK16" s="3">
        <v>40000</v>
      </c>
      <c r="AL16" s="3">
        <v>44391.45</v>
      </c>
      <c r="AM16" s="3">
        <v>0</v>
      </c>
      <c r="AN16" s="3">
        <v>0</v>
      </c>
      <c r="AO16" s="3">
        <v>0</v>
      </c>
      <c r="AP16" s="3">
        <v>0</v>
      </c>
      <c r="AQ16" s="3">
        <v>-68231.13</v>
      </c>
      <c r="AR16" s="3">
        <v>0</v>
      </c>
      <c r="AS16" s="3">
        <v>-9789.49</v>
      </c>
      <c r="AT16" s="3">
        <v>0</v>
      </c>
      <c r="AU16" s="3">
        <f t="shared" si="6"/>
        <v>0</v>
      </c>
      <c r="AV16" s="17">
        <v>14</v>
      </c>
      <c r="AW16" s="17">
        <v>14</v>
      </c>
      <c r="AX16" s="17">
        <v>1</v>
      </c>
      <c r="AY16" s="3" t="s">
        <v>13</v>
      </c>
      <c r="AZ16" s="3">
        <v>0</v>
      </c>
      <c r="BA16" s="19">
        <v>468605.33</v>
      </c>
    </row>
    <row r="17" spans="1:53" x14ac:dyDescent="0.2">
      <c r="A17" s="17">
        <v>15</v>
      </c>
      <c r="B17" s="17">
        <v>1</v>
      </c>
      <c r="C17" s="3" t="s">
        <v>14</v>
      </c>
      <c r="D17" s="3">
        <f>Levy!F18</f>
        <v>0</v>
      </c>
      <c r="E17" s="3">
        <f>Levy!G18</f>
        <v>2815887.68</v>
      </c>
      <c r="F17" s="3">
        <f>Levy!H18</f>
        <v>0</v>
      </c>
      <c r="G17" s="3">
        <f>Levy!I18</f>
        <v>1739098.86</v>
      </c>
      <c r="H17" s="217">
        <f>Levy!J18</f>
        <v>353468.71</v>
      </c>
      <c r="I17" s="219">
        <v>0</v>
      </c>
      <c r="J17" s="219">
        <v>60000</v>
      </c>
      <c r="K17" s="219">
        <v>104874.58</v>
      </c>
      <c r="L17" s="219">
        <v>0</v>
      </c>
      <c r="M17" s="219">
        <v>0</v>
      </c>
      <c r="N17" s="19">
        <v>0</v>
      </c>
      <c r="O17" s="19">
        <v>0</v>
      </c>
      <c r="P17" s="219">
        <v>-33541.42</v>
      </c>
      <c r="Q17" s="219">
        <v>0</v>
      </c>
      <c r="R17" s="219">
        <v>-29802.1</v>
      </c>
      <c r="S17" s="219">
        <v>0</v>
      </c>
      <c r="T17" s="19">
        <v>0</v>
      </c>
      <c r="U17" s="19">
        <v>0</v>
      </c>
      <c r="V17" s="19">
        <v>0</v>
      </c>
      <c r="W17" s="19">
        <v>0</v>
      </c>
      <c r="X17" s="19">
        <v>0</v>
      </c>
      <c r="Y17" s="217">
        <v>288492.78999999998</v>
      </c>
      <c r="Z17" s="3">
        <f t="shared" si="1"/>
        <v>101531.06000000003</v>
      </c>
      <c r="AA17" s="3">
        <f t="shared" si="2"/>
        <v>4453455.4800000004</v>
      </c>
      <c r="AB17" s="3">
        <f t="shared" si="4"/>
        <v>353468.71</v>
      </c>
      <c r="AC17" s="3">
        <f>ROUND(MAX(0,(D17-V17)*'Shift 14'!$B$2),2)</f>
        <v>0</v>
      </c>
      <c r="AD17" s="3">
        <f t="shared" si="3"/>
        <v>288492.78999999998</v>
      </c>
      <c r="AE17" s="3">
        <f t="shared" si="5"/>
        <v>0</v>
      </c>
      <c r="AF17" s="214">
        <v>15</v>
      </c>
      <c r="AG17" s="214">
        <v>1</v>
      </c>
      <c r="AH17" s="3">
        <v>0</v>
      </c>
      <c r="AI17" s="3">
        <v>0</v>
      </c>
      <c r="AJ17" s="3">
        <v>0</v>
      </c>
      <c r="AK17" s="3">
        <v>60000</v>
      </c>
      <c r="AL17" s="3">
        <v>104874.58</v>
      </c>
      <c r="AM17" s="3">
        <v>0</v>
      </c>
      <c r="AN17" s="3">
        <v>0</v>
      </c>
      <c r="AO17" s="3">
        <v>0</v>
      </c>
      <c r="AP17" s="3">
        <v>0</v>
      </c>
      <c r="AQ17" s="3">
        <v>-33541.42</v>
      </c>
      <c r="AR17" s="3">
        <v>0</v>
      </c>
      <c r="AS17" s="3">
        <v>-29802.1</v>
      </c>
      <c r="AT17" s="3">
        <v>0</v>
      </c>
      <c r="AU17" s="3">
        <f t="shared" si="6"/>
        <v>0</v>
      </c>
      <c r="AV17" s="17">
        <v>15</v>
      </c>
      <c r="AW17" s="17">
        <v>15</v>
      </c>
      <c r="AX17" s="17">
        <v>1</v>
      </c>
      <c r="AY17" s="3" t="s">
        <v>14</v>
      </c>
      <c r="AZ17" s="3">
        <v>0</v>
      </c>
      <c r="BA17" s="19">
        <v>288492.78999999998</v>
      </c>
    </row>
    <row r="18" spans="1:53" x14ac:dyDescent="0.2">
      <c r="A18" s="17">
        <v>16</v>
      </c>
      <c r="B18" s="17">
        <v>1</v>
      </c>
      <c r="C18" s="3" t="s">
        <v>15</v>
      </c>
      <c r="D18" s="3">
        <f>Levy!F19</f>
        <v>2046138.17</v>
      </c>
      <c r="E18" s="3">
        <f>Levy!G19</f>
        <v>3636327.57</v>
      </c>
      <c r="F18" s="3">
        <f>Levy!H19</f>
        <v>940446</v>
      </c>
      <c r="G18" s="3">
        <f>Levy!I19</f>
        <v>3060271.54</v>
      </c>
      <c r="H18" s="217">
        <f>Levy!J19</f>
        <v>461412.97</v>
      </c>
      <c r="I18" s="219">
        <v>0</v>
      </c>
      <c r="J18" s="219">
        <v>100000</v>
      </c>
      <c r="K18" s="219">
        <v>80264.11</v>
      </c>
      <c r="L18" s="219">
        <v>0</v>
      </c>
      <c r="M18" s="219">
        <v>0</v>
      </c>
      <c r="N18" s="19">
        <v>0</v>
      </c>
      <c r="O18" s="19">
        <v>0</v>
      </c>
      <c r="P18" s="219">
        <v>35923.82</v>
      </c>
      <c r="Q18" s="219">
        <v>0</v>
      </c>
      <c r="R18" s="219">
        <v>-22305.56</v>
      </c>
      <c r="S18" s="219">
        <v>0</v>
      </c>
      <c r="T18" s="19">
        <v>0</v>
      </c>
      <c r="U18" s="19">
        <v>0</v>
      </c>
      <c r="V18" s="19">
        <v>0</v>
      </c>
      <c r="W18" s="19">
        <v>0</v>
      </c>
      <c r="X18" s="19">
        <v>73286.44</v>
      </c>
      <c r="Y18" s="217">
        <v>804793.86</v>
      </c>
      <c r="Z18" s="3">
        <f t="shared" si="1"/>
        <v>193882.37</v>
      </c>
      <c r="AA18" s="3">
        <f t="shared" si="2"/>
        <v>7369876.2999999998</v>
      </c>
      <c r="AB18" s="3">
        <f t="shared" si="4"/>
        <v>461412.97</v>
      </c>
      <c r="AC18" s="3">
        <f>ROUND(MAX(0,(D18-V18)*'Shift 14'!$B$2),2)</f>
        <v>0</v>
      </c>
      <c r="AD18" s="3">
        <f t="shared" si="3"/>
        <v>804793.86</v>
      </c>
      <c r="AE18" s="3">
        <f t="shared" si="5"/>
        <v>0</v>
      </c>
      <c r="AF18" s="214">
        <v>16</v>
      </c>
      <c r="AG18" s="214">
        <v>1</v>
      </c>
      <c r="AH18" s="3">
        <v>0</v>
      </c>
      <c r="AI18" s="3">
        <v>0</v>
      </c>
      <c r="AJ18" s="3">
        <v>220864.07</v>
      </c>
      <c r="AK18" s="3">
        <v>100000</v>
      </c>
      <c r="AL18" s="3">
        <v>80264.11</v>
      </c>
      <c r="AM18" s="3">
        <v>0</v>
      </c>
      <c r="AN18" s="3">
        <v>0</v>
      </c>
      <c r="AO18" s="3">
        <v>0</v>
      </c>
      <c r="AP18" s="3">
        <v>0</v>
      </c>
      <c r="AQ18" s="3">
        <v>35923.82</v>
      </c>
      <c r="AR18" s="3">
        <v>0</v>
      </c>
      <c r="AS18" s="3">
        <v>-22305.56</v>
      </c>
      <c r="AT18" s="3">
        <v>0</v>
      </c>
      <c r="AU18" s="3">
        <f t="shared" si="6"/>
        <v>0</v>
      </c>
      <c r="AV18" s="17">
        <v>16</v>
      </c>
      <c r="AW18" s="17">
        <v>16</v>
      </c>
      <c r="AX18" s="17">
        <v>1</v>
      </c>
      <c r="AY18" s="3" t="s">
        <v>15</v>
      </c>
      <c r="AZ18" s="3">
        <v>73286.44</v>
      </c>
      <c r="BA18" s="19">
        <v>804793.86</v>
      </c>
    </row>
    <row r="19" spans="1:53" x14ac:dyDescent="0.2">
      <c r="A19" s="17">
        <v>22</v>
      </c>
      <c r="B19" s="17">
        <v>1</v>
      </c>
      <c r="C19" s="3" t="s">
        <v>16</v>
      </c>
      <c r="D19" s="3">
        <f>Levy!F20</f>
        <v>408798.15</v>
      </c>
      <c r="E19" s="3">
        <f>Levy!G20</f>
        <v>1057760.71</v>
      </c>
      <c r="F19" s="3">
        <f>Levy!H20</f>
        <v>0</v>
      </c>
      <c r="G19" s="3">
        <f>Levy!I20</f>
        <v>1282085.8</v>
      </c>
      <c r="H19" s="217">
        <f>Levy!J20</f>
        <v>214519.78</v>
      </c>
      <c r="I19" s="219">
        <v>0</v>
      </c>
      <c r="J19" s="219">
        <v>7231.58</v>
      </c>
      <c r="K19" s="219">
        <v>59281.47</v>
      </c>
      <c r="L19" s="219">
        <v>0</v>
      </c>
      <c r="M19" s="219">
        <v>0</v>
      </c>
      <c r="N19" s="19">
        <v>0</v>
      </c>
      <c r="O19" s="19">
        <v>0</v>
      </c>
      <c r="P19" s="219">
        <v>22527.25</v>
      </c>
      <c r="Q19" s="219">
        <v>0</v>
      </c>
      <c r="R19" s="219">
        <v>-5434.69</v>
      </c>
      <c r="S19" s="219">
        <v>0</v>
      </c>
      <c r="T19" s="19">
        <v>0</v>
      </c>
      <c r="U19" s="19">
        <v>0</v>
      </c>
      <c r="V19" s="19">
        <v>0</v>
      </c>
      <c r="W19" s="19">
        <v>0</v>
      </c>
      <c r="X19" s="19">
        <v>0</v>
      </c>
      <c r="Y19" s="217">
        <v>133298.49</v>
      </c>
      <c r="Z19" s="3">
        <f t="shared" si="1"/>
        <v>83605.61</v>
      </c>
      <c r="AA19" s="3">
        <f t="shared" si="2"/>
        <v>2256240.9</v>
      </c>
      <c r="AB19" s="3">
        <f t="shared" si="4"/>
        <v>214519.78</v>
      </c>
      <c r="AC19" s="3">
        <f>ROUND(MAX(0,(D19-V19)*'Shift 14'!$B$2),2)</f>
        <v>0</v>
      </c>
      <c r="AD19" s="3">
        <f t="shared" si="3"/>
        <v>133298.49</v>
      </c>
      <c r="AE19" s="3">
        <f t="shared" si="5"/>
        <v>0</v>
      </c>
      <c r="AF19" s="214">
        <v>22</v>
      </c>
      <c r="AG19" s="214">
        <v>1</v>
      </c>
      <c r="AH19" s="3">
        <v>0</v>
      </c>
      <c r="AI19" s="3">
        <v>0</v>
      </c>
      <c r="AJ19" s="3">
        <v>82342.7</v>
      </c>
      <c r="AK19" s="3">
        <v>7231.58</v>
      </c>
      <c r="AL19" s="3">
        <v>59281.47</v>
      </c>
      <c r="AM19" s="3">
        <v>0</v>
      </c>
      <c r="AN19" s="3">
        <v>0</v>
      </c>
      <c r="AO19" s="3">
        <v>0</v>
      </c>
      <c r="AP19" s="3">
        <v>-282.92</v>
      </c>
      <c r="AQ19" s="3">
        <v>22527.25</v>
      </c>
      <c r="AR19" s="3">
        <v>0</v>
      </c>
      <c r="AS19" s="3">
        <v>-5434.69</v>
      </c>
      <c r="AT19" s="3">
        <v>0</v>
      </c>
      <c r="AU19" s="3">
        <f t="shared" si="6"/>
        <v>0</v>
      </c>
      <c r="AV19" s="17">
        <v>22</v>
      </c>
      <c r="AW19" s="17">
        <v>22</v>
      </c>
      <c r="AX19" s="17">
        <v>1</v>
      </c>
      <c r="AY19" s="3" t="s">
        <v>16</v>
      </c>
      <c r="AZ19" s="3">
        <v>0</v>
      </c>
      <c r="BA19" s="19">
        <v>133298.49</v>
      </c>
    </row>
    <row r="20" spans="1:53" x14ac:dyDescent="0.2">
      <c r="A20" s="17">
        <v>23</v>
      </c>
      <c r="B20" s="17">
        <v>1</v>
      </c>
      <c r="C20" s="3" t="s">
        <v>17</v>
      </c>
      <c r="D20" s="3">
        <f>Levy!F21</f>
        <v>567702.98</v>
      </c>
      <c r="E20" s="3">
        <f>Levy!G21</f>
        <v>71072.81</v>
      </c>
      <c r="F20" s="3">
        <f>Levy!H21</f>
        <v>0</v>
      </c>
      <c r="G20" s="3">
        <f>Levy!I21</f>
        <v>294950.26</v>
      </c>
      <c r="H20" s="217">
        <f>Levy!J21</f>
        <v>75123.22</v>
      </c>
      <c r="I20" s="219">
        <v>0</v>
      </c>
      <c r="J20" s="219">
        <v>10000</v>
      </c>
      <c r="K20" s="219">
        <v>30436.39</v>
      </c>
      <c r="L20" s="219">
        <v>0</v>
      </c>
      <c r="M20" s="219">
        <v>0</v>
      </c>
      <c r="N20" s="19">
        <v>0</v>
      </c>
      <c r="O20" s="19">
        <v>0</v>
      </c>
      <c r="P20" s="219">
        <v>-6744.99</v>
      </c>
      <c r="Q20" s="219">
        <v>0</v>
      </c>
      <c r="R20" s="219">
        <v>-4033.21</v>
      </c>
      <c r="S20" s="219">
        <v>0</v>
      </c>
      <c r="T20" s="19">
        <v>0</v>
      </c>
      <c r="U20" s="19">
        <v>0</v>
      </c>
      <c r="V20" s="19">
        <v>0</v>
      </c>
      <c r="W20" s="19">
        <v>0</v>
      </c>
      <c r="X20" s="19">
        <v>0</v>
      </c>
      <c r="Y20" s="217">
        <v>0</v>
      </c>
      <c r="Z20" s="3">
        <f t="shared" si="1"/>
        <v>29658.190000000002</v>
      </c>
      <c r="AA20" s="3">
        <f t="shared" si="2"/>
        <v>336364.88</v>
      </c>
      <c r="AB20" s="3">
        <f t="shared" si="4"/>
        <v>75123.22</v>
      </c>
      <c r="AC20" s="3">
        <f>ROUND(MAX(0,(D20-V20)*'Shift 14'!$B$2),2)</f>
        <v>0</v>
      </c>
      <c r="AD20" s="3">
        <f t="shared" si="3"/>
        <v>0</v>
      </c>
      <c r="AE20" s="3">
        <f t="shared" si="5"/>
        <v>0</v>
      </c>
      <c r="AF20" s="214">
        <v>23</v>
      </c>
      <c r="AG20" s="214">
        <v>1</v>
      </c>
      <c r="AH20" s="3">
        <v>0</v>
      </c>
      <c r="AI20" s="3">
        <v>0</v>
      </c>
      <c r="AJ20" s="3">
        <v>20221.669999999998</v>
      </c>
      <c r="AK20" s="3">
        <v>10000</v>
      </c>
      <c r="AL20" s="3">
        <v>30436.39</v>
      </c>
      <c r="AM20" s="3">
        <v>0</v>
      </c>
      <c r="AN20" s="3">
        <v>0</v>
      </c>
      <c r="AO20" s="3">
        <v>0</v>
      </c>
      <c r="AP20" s="3">
        <v>356.32</v>
      </c>
      <c r="AQ20" s="3">
        <v>-6744.99</v>
      </c>
      <c r="AR20" s="3">
        <v>0</v>
      </c>
      <c r="AS20" s="3">
        <v>-4033.21</v>
      </c>
      <c r="AT20" s="3">
        <v>0</v>
      </c>
      <c r="AU20" s="3">
        <f t="shared" si="6"/>
        <v>0</v>
      </c>
      <c r="AV20" s="17">
        <v>23</v>
      </c>
      <c r="AW20" s="17">
        <v>23</v>
      </c>
      <c r="AX20" s="17">
        <v>1</v>
      </c>
      <c r="AY20" s="3" t="s">
        <v>17</v>
      </c>
      <c r="AZ20" s="3">
        <v>0</v>
      </c>
      <c r="BA20" s="19">
        <v>0</v>
      </c>
    </row>
    <row r="21" spans="1:53" x14ac:dyDescent="0.2">
      <c r="A21" s="17">
        <v>25</v>
      </c>
      <c r="B21" s="17">
        <v>1</v>
      </c>
      <c r="C21" s="3" t="s">
        <v>341</v>
      </c>
      <c r="D21" s="3">
        <f>Levy!F22</f>
        <v>0</v>
      </c>
      <c r="E21" s="3">
        <f>Levy!G22</f>
        <v>0</v>
      </c>
      <c r="F21" s="3">
        <f>Levy!H22</f>
        <v>0</v>
      </c>
      <c r="G21" s="3">
        <f>Levy!I22</f>
        <v>0</v>
      </c>
      <c r="H21" s="217">
        <f>Levy!J22</f>
        <v>0</v>
      </c>
      <c r="I21" s="219">
        <v>0</v>
      </c>
      <c r="J21" s="219">
        <v>0</v>
      </c>
      <c r="K21" s="219">
        <v>0</v>
      </c>
      <c r="L21" s="219">
        <v>0</v>
      </c>
      <c r="M21" s="219">
        <v>0</v>
      </c>
      <c r="N21" s="19">
        <v>0</v>
      </c>
      <c r="O21" s="19">
        <v>0</v>
      </c>
      <c r="P21" s="219">
        <v>0</v>
      </c>
      <c r="Q21" s="219">
        <v>0</v>
      </c>
      <c r="R21" s="219">
        <v>0</v>
      </c>
      <c r="S21" s="219">
        <v>0</v>
      </c>
      <c r="T21" s="19">
        <v>0</v>
      </c>
      <c r="U21" s="19">
        <v>0</v>
      </c>
      <c r="V21" s="19">
        <v>0</v>
      </c>
      <c r="W21" s="19">
        <v>0</v>
      </c>
      <c r="X21" s="19">
        <v>0</v>
      </c>
      <c r="Y21" s="217">
        <v>0</v>
      </c>
      <c r="Z21" s="3">
        <f t="shared" si="1"/>
        <v>0</v>
      </c>
      <c r="AA21" s="3">
        <f t="shared" si="2"/>
        <v>0</v>
      </c>
      <c r="AB21" s="3">
        <f t="shared" si="4"/>
        <v>0</v>
      </c>
      <c r="AC21" s="3">
        <f>ROUND(MAX(0,(D21-V21)*'Shift 14'!$B$2),2)</f>
        <v>0</v>
      </c>
      <c r="AD21" s="3">
        <f t="shared" si="3"/>
        <v>0</v>
      </c>
      <c r="AE21" s="3">
        <f t="shared" si="5"/>
        <v>0</v>
      </c>
      <c r="AF21" s="214">
        <v>25</v>
      </c>
      <c r="AG21" s="214">
        <v>1</v>
      </c>
      <c r="AH21" s="3">
        <v>0</v>
      </c>
      <c r="AI21" s="3">
        <v>0</v>
      </c>
      <c r="AJ21" s="3">
        <v>0</v>
      </c>
      <c r="AK21" s="3">
        <v>0</v>
      </c>
      <c r="AL21" s="3">
        <v>0</v>
      </c>
      <c r="AM21" s="3">
        <v>0</v>
      </c>
      <c r="AN21" s="3">
        <v>0</v>
      </c>
      <c r="AO21" s="3">
        <v>0</v>
      </c>
      <c r="AP21" s="3">
        <v>0</v>
      </c>
      <c r="AQ21" s="3">
        <v>0</v>
      </c>
      <c r="AR21" s="3">
        <v>0</v>
      </c>
      <c r="AS21" s="3">
        <v>0</v>
      </c>
      <c r="AT21" s="3">
        <v>0</v>
      </c>
      <c r="AU21" s="3">
        <f t="shared" si="6"/>
        <v>0</v>
      </c>
      <c r="AV21" s="17">
        <v>25</v>
      </c>
      <c r="AW21" s="17">
        <v>25</v>
      </c>
      <c r="AX21" s="17">
        <v>1</v>
      </c>
      <c r="AY21" s="3" t="s">
        <v>341</v>
      </c>
      <c r="AZ21" s="3">
        <v>0</v>
      </c>
      <c r="BA21" s="19">
        <v>0</v>
      </c>
    </row>
    <row r="22" spans="1:53" x14ac:dyDescent="0.2">
      <c r="A22" s="17">
        <v>31</v>
      </c>
      <c r="B22" s="17">
        <v>1</v>
      </c>
      <c r="C22" s="3" t="s">
        <v>18</v>
      </c>
      <c r="D22" s="3">
        <f>Levy!F23</f>
        <v>899051.24</v>
      </c>
      <c r="E22" s="3">
        <f>Levy!G23</f>
        <v>1337002.21</v>
      </c>
      <c r="F22" s="3">
        <f>Levy!H23</f>
        <v>0</v>
      </c>
      <c r="G22" s="3">
        <f>Levy!I23</f>
        <v>1944535.37</v>
      </c>
      <c r="H22" s="217">
        <f>Levy!J23</f>
        <v>392175.59</v>
      </c>
      <c r="I22" s="219">
        <v>0</v>
      </c>
      <c r="J22" s="219">
        <v>20000</v>
      </c>
      <c r="K22" s="219">
        <v>93914.15</v>
      </c>
      <c r="L22" s="219">
        <v>0</v>
      </c>
      <c r="M22" s="219">
        <v>0</v>
      </c>
      <c r="N22" s="19">
        <v>0</v>
      </c>
      <c r="O22" s="19">
        <v>0</v>
      </c>
      <c r="P22" s="219">
        <v>16157.18</v>
      </c>
      <c r="Q22" s="219">
        <v>0</v>
      </c>
      <c r="R22" s="219">
        <v>-15906.26</v>
      </c>
      <c r="S22" s="219">
        <v>0</v>
      </c>
      <c r="T22" s="19">
        <v>0</v>
      </c>
      <c r="U22" s="19">
        <v>0</v>
      </c>
      <c r="V22" s="19">
        <v>0</v>
      </c>
      <c r="W22" s="19">
        <v>0</v>
      </c>
      <c r="X22" s="19">
        <v>0</v>
      </c>
      <c r="Y22" s="217">
        <v>195530.98</v>
      </c>
      <c r="Z22" s="3">
        <f t="shared" si="1"/>
        <v>114165.06999999999</v>
      </c>
      <c r="AA22" s="3">
        <f t="shared" si="2"/>
        <v>3167372.51</v>
      </c>
      <c r="AB22" s="3">
        <f t="shared" si="4"/>
        <v>392175.59</v>
      </c>
      <c r="AC22" s="3">
        <f>ROUND(MAX(0,(D22-V22)*'Shift 14'!$B$2),2)</f>
        <v>0</v>
      </c>
      <c r="AD22" s="3">
        <f t="shared" si="3"/>
        <v>195530.98</v>
      </c>
      <c r="AE22" s="3">
        <f t="shared" si="5"/>
        <v>0</v>
      </c>
      <c r="AF22" s="214">
        <v>31</v>
      </c>
      <c r="AG22" s="214">
        <v>1</v>
      </c>
      <c r="AH22" s="3">
        <v>0</v>
      </c>
      <c r="AI22" s="3">
        <v>0</v>
      </c>
      <c r="AJ22" s="3">
        <v>0</v>
      </c>
      <c r="AK22" s="3">
        <v>20000</v>
      </c>
      <c r="AL22" s="3">
        <v>93914.15</v>
      </c>
      <c r="AM22" s="3">
        <v>0</v>
      </c>
      <c r="AN22" s="3">
        <v>0</v>
      </c>
      <c r="AO22" s="3">
        <v>0</v>
      </c>
      <c r="AP22" s="3">
        <v>0</v>
      </c>
      <c r="AQ22" s="3">
        <v>16157.18</v>
      </c>
      <c r="AR22" s="3">
        <v>0</v>
      </c>
      <c r="AS22" s="3">
        <v>-15906.26</v>
      </c>
      <c r="AT22" s="3">
        <v>0</v>
      </c>
      <c r="AU22" s="3">
        <f t="shared" si="6"/>
        <v>0</v>
      </c>
      <c r="AV22" s="17">
        <v>31</v>
      </c>
      <c r="AW22" s="17">
        <v>31</v>
      </c>
      <c r="AX22" s="17">
        <v>1</v>
      </c>
      <c r="AY22" s="3" t="s">
        <v>18</v>
      </c>
      <c r="AZ22" s="3">
        <v>0</v>
      </c>
      <c r="BA22" s="19">
        <v>195530.98</v>
      </c>
    </row>
    <row r="23" spans="1:53" x14ac:dyDescent="0.2">
      <c r="A23" s="17">
        <v>32</v>
      </c>
      <c r="B23" s="17">
        <v>1</v>
      </c>
      <c r="C23" s="3" t="s">
        <v>19</v>
      </c>
      <c r="D23" s="3">
        <f>Levy!F24</f>
        <v>0</v>
      </c>
      <c r="E23" s="3">
        <f>Levy!G24</f>
        <v>129694.25</v>
      </c>
      <c r="F23" s="3">
        <f>Levy!H24</f>
        <v>0</v>
      </c>
      <c r="G23" s="3">
        <f>Levy!I24</f>
        <v>206015.97</v>
      </c>
      <c r="H23" s="217">
        <f>Levy!J24</f>
        <v>30757.39</v>
      </c>
      <c r="I23" s="219">
        <v>0</v>
      </c>
      <c r="J23" s="219">
        <v>10000</v>
      </c>
      <c r="K23" s="219">
        <v>15224.97</v>
      </c>
      <c r="L23" s="219">
        <v>0</v>
      </c>
      <c r="M23" s="219">
        <v>0</v>
      </c>
      <c r="N23" s="19">
        <v>0</v>
      </c>
      <c r="O23" s="19">
        <v>0</v>
      </c>
      <c r="P23" s="219">
        <v>6161.53</v>
      </c>
      <c r="Q23" s="219">
        <v>0</v>
      </c>
      <c r="R23" s="219">
        <v>-3054.67</v>
      </c>
      <c r="S23" s="219">
        <v>0</v>
      </c>
      <c r="T23" s="19">
        <v>0</v>
      </c>
      <c r="U23" s="19">
        <v>0</v>
      </c>
      <c r="V23" s="19">
        <v>0</v>
      </c>
      <c r="W23" s="19">
        <v>0</v>
      </c>
      <c r="X23" s="19">
        <v>0</v>
      </c>
      <c r="Y23" s="217">
        <v>0</v>
      </c>
      <c r="Z23" s="3">
        <f t="shared" si="1"/>
        <v>28331.83</v>
      </c>
      <c r="AA23" s="3">
        <f t="shared" si="2"/>
        <v>307378.39</v>
      </c>
      <c r="AB23" s="3">
        <f t="shared" si="4"/>
        <v>30757.39</v>
      </c>
      <c r="AC23" s="3">
        <f>ROUND(MAX(0,(D23-V23)*'Shift 14'!$B$2),2)</f>
        <v>0</v>
      </c>
      <c r="AD23" s="3">
        <f t="shared" si="3"/>
        <v>0</v>
      </c>
      <c r="AE23" s="3">
        <f t="shared" si="5"/>
        <v>0</v>
      </c>
      <c r="AF23" s="214">
        <v>32</v>
      </c>
      <c r="AG23" s="214">
        <v>1</v>
      </c>
      <c r="AH23" s="3">
        <v>0</v>
      </c>
      <c r="AI23" s="3">
        <v>0</v>
      </c>
      <c r="AJ23" s="3">
        <v>0</v>
      </c>
      <c r="AK23" s="3">
        <v>10000</v>
      </c>
      <c r="AL23" s="3">
        <v>15224.97</v>
      </c>
      <c r="AM23" s="3">
        <v>0</v>
      </c>
      <c r="AN23" s="3">
        <v>0</v>
      </c>
      <c r="AO23" s="3">
        <v>0</v>
      </c>
      <c r="AP23" s="3">
        <v>0</v>
      </c>
      <c r="AQ23" s="3">
        <v>6161.53</v>
      </c>
      <c r="AR23" s="3">
        <v>0</v>
      </c>
      <c r="AS23" s="3">
        <v>-3054.67</v>
      </c>
      <c r="AT23" s="3">
        <v>0</v>
      </c>
      <c r="AU23" s="3">
        <f t="shared" si="6"/>
        <v>0</v>
      </c>
      <c r="AV23" s="17">
        <v>32</v>
      </c>
      <c r="AW23" s="17">
        <v>32</v>
      </c>
      <c r="AX23" s="17">
        <v>1</v>
      </c>
      <c r="AY23" s="3" t="s">
        <v>19</v>
      </c>
      <c r="AZ23" s="3">
        <v>0</v>
      </c>
      <c r="BA23" s="19">
        <v>0</v>
      </c>
    </row>
    <row r="24" spans="1:53" x14ac:dyDescent="0.2">
      <c r="A24" s="17">
        <v>36</v>
      </c>
      <c r="B24" s="17">
        <v>1</v>
      </c>
      <c r="C24" s="3" t="s">
        <v>20</v>
      </c>
      <c r="D24" s="3">
        <f>Levy!F25</f>
        <v>1.1599999999999999</v>
      </c>
      <c r="E24" s="3">
        <f>Levy!G25</f>
        <v>42134.25</v>
      </c>
      <c r="F24" s="3">
        <f>Levy!H25</f>
        <v>0</v>
      </c>
      <c r="G24" s="3">
        <f>Levy!I25</f>
        <v>19374.75</v>
      </c>
      <c r="H24" s="217">
        <f>Levy!J25</f>
        <v>11557.98</v>
      </c>
      <c r="I24" s="219">
        <v>0</v>
      </c>
      <c r="J24" s="219">
        <v>0</v>
      </c>
      <c r="K24" s="219">
        <v>0</v>
      </c>
      <c r="L24" s="219">
        <v>0</v>
      </c>
      <c r="M24" s="219">
        <v>0</v>
      </c>
      <c r="N24" s="19">
        <v>0</v>
      </c>
      <c r="O24" s="19">
        <v>0</v>
      </c>
      <c r="P24" s="219">
        <v>0</v>
      </c>
      <c r="Q24" s="219">
        <v>0</v>
      </c>
      <c r="R24" s="219">
        <v>0</v>
      </c>
      <c r="S24" s="219">
        <v>0</v>
      </c>
      <c r="T24" s="19">
        <v>0</v>
      </c>
      <c r="U24" s="19">
        <v>0</v>
      </c>
      <c r="V24" s="19">
        <v>0</v>
      </c>
      <c r="W24" s="19">
        <v>0</v>
      </c>
      <c r="X24" s="19">
        <v>0</v>
      </c>
      <c r="Y24" s="217">
        <v>0</v>
      </c>
      <c r="Z24" s="3">
        <f t="shared" si="1"/>
        <v>0</v>
      </c>
      <c r="AA24" s="3">
        <f t="shared" si="2"/>
        <v>61509</v>
      </c>
      <c r="AB24" s="3">
        <f t="shared" si="4"/>
        <v>11557.98</v>
      </c>
      <c r="AC24" s="3">
        <f>ROUND(MAX(0,(D24-V24)*'Shift 14'!$B$2),2)</f>
        <v>0</v>
      </c>
      <c r="AD24" s="3">
        <f t="shared" si="3"/>
        <v>0</v>
      </c>
      <c r="AE24" s="3">
        <f t="shared" si="5"/>
        <v>0</v>
      </c>
      <c r="AF24" s="214">
        <v>36</v>
      </c>
      <c r="AG24" s="214">
        <v>1</v>
      </c>
      <c r="AH24" s="3">
        <v>0</v>
      </c>
      <c r="AI24" s="3">
        <v>0</v>
      </c>
      <c r="AJ24" s="3">
        <v>0</v>
      </c>
      <c r="AK24" s="3">
        <v>0</v>
      </c>
      <c r="AL24" s="3">
        <v>0</v>
      </c>
      <c r="AM24" s="3">
        <v>0</v>
      </c>
      <c r="AN24" s="3">
        <v>0</v>
      </c>
      <c r="AO24" s="3">
        <v>0</v>
      </c>
      <c r="AP24" s="3">
        <v>0</v>
      </c>
      <c r="AQ24" s="3">
        <v>0</v>
      </c>
      <c r="AR24" s="3">
        <v>0</v>
      </c>
      <c r="AS24" s="3">
        <v>0</v>
      </c>
      <c r="AT24" s="3">
        <v>0</v>
      </c>
      <c r="AU24" s="3">
        <f t="shared" si="6"/>
        <v>0</v>
      </c>
      <c r="AV24" s="17">
        <v>36</v>
      </c>
      <c r="AW24" s="17">
        <v>36</v>
      </c>
      <c r="AX24" s="17">
        <v>1</v>
      </c>
      <c r="AY24" s="3" t="s">
        <v>20</v>
      </c>
      <c r="AZ24" s="3">
        <v>0</v>
      </c>
      <c r="BA24" s="19">
        <v>0</v>
      </c>
    </row>
    <row r="25" spans="1:53" x14ac:dyDescent="0.2">
      <c r="A25" s="17">
        <v>38</v>
      </c>
      <c r="B25" s="17">
        <v>1</v>
      </c>
      <c r="C25" s="3" t="s">
        <v>21</v>
      </c>
      <c r="D25" s="3">
        <f>Levy!F26</f>
        <v>2446.0700000000002</v>
      </c>
      <c r="E25" s="3">
        <f>Levy!G26</f>
        <v>286.11</v>
      </c>
      <c r="F25" s="3">
        <f>Levy!H26</f>
        <v>0</v>
      </c>
      <c r="G25" s="3">
        <f>Levy!I26</f>
        <v>1576.36</v>
      </c>
      <c r="H25" s="217">
        <f>Levy!J26</f>
        <v>147.91</v>
      </c>
      <c r="I25" s="219">
        <v>0</v>
      </c>
      <c r="J25" s="219">
        <v>0</v>
      </c>
      <c r="K25" s="219">
        <v>0</v>
      </c>
      <c r="L25" s="219">
        <v>0</v>
      </c>
      <c r="M25" s="219">
        <v>0</v>
      </c>
      <c r="N25" s="19">
        <v>0</v>
      </c>
      <c r="O25" s="19">
        <v>0</v>
      </c>
      <c r="P25" s="219">
        <v>0</v>
      </c>
      <c r="Q25" s="219">
        <v>0</v>
      </c>
      <c r="R25" s="219">
        <v>0</v>
      </c>
      <c r="S25" s="219">
        <v>0</v>
      </c>
      <c r="T25" s="19">
        <v>0</v>
      </c>
      <c r="U25" s="19">
        <v>0</v>
      </c>
      <c r="V25" s="19">
        <v>0</v>
      </c>
      <c r="W25" s="19">
        <v>0</v>
      </c>
      <c r="X25" s="19">
        <v>0</v>
      </c>
      <c r="Y25" s="217">
        <v>149.12</v>
      </c>
      <c r="Z25" s="3">
        <f t="shared" si="1"/>
        <v>0</v>
      </c>
      <c r="AA25" s="3">
        <f t="shared" si="2"/>
        <v>1862.47</v>
      </c>
      <c r="AB25" s="3">
        <f t="shared" si="4"/>
        <v>147.91</v>
      </c>
      <c r="AC25" s="3">
        <f>ROUND(MAX(0,(D25-V25)*'Shift 14'!$B$2),2)</f>
        <v>0</v>
      </c>
      <c r="AD25" s="3">
        <f t="shared" si="3"/>
        <v>149.12</v>
      </c>
      <c r="AE25" s="3">
        <f t="shared" si="5"/>
        <v>0</v>
      </c>
      <c r="AF25" s="214">
        <v>38</v>
      </c>
      <c r="AG25" s="214">
        <v>1</v>
      </c>
      <c r="AH25" s="3">
        <v>0</v>
      </c>
      <c r="AI25" s="3">
        <v>0</v>
      </c>
      <c r="AJ25" s="3">
        <v>0</v>
      </c>
      <c r="AK25" s="3">
        <v>0</v>
      </c>
      <c r="AL25" s="3">
        <v>0</v>
      </c>
      <c r="AM25" s="3">
        <v>0</v>
      </c>
      <c r="AN25" s="3">
        <v>0</v>
      </c>
      <c r="AO25" s="3">
        <v>0</v>
      </c>
      <c r="AP25" s="3">
        <v>0</v>
      </c>
      <c r="AQ25" s="3">
        <v>0</v>
      </c>
      <c r="AR25" s="3">
        <v>0</v>
      </c>
      <c r="AS25" s="3">
        <v>0</v>
      </c>
      <c r="AT25" s="3">
        <v>0</v>
      </c>
      <c r="AU25" s="3">
        <f t="shared" si="6"/>
        <v>0</v>
      </c>
      <c r="AV25" s="17">
        <v>38</v>
      </c>
      <c r="AW25" s="17">
        <v>38</v>
      </c>
      <c r="AX25" s="17">
        <v>1</v>
      </c>
      <c r="AY25" s="3" t="s">
        <v>21</v>
      </c>
      <c r="AZ25" s="3">
        <v>0</v>
      </c>
      <c r="BA25" s="19">
        <v>149.12</v>
      </c>
    </row>
    <row r="26" spans="1:53" x14ac:dyDescent="0.2">
      <c r="A26" s="17">
        <v>47</v>
      </c>
      <c r="B26" s="17">
        <v>1</v>
      </c>
      <c r="C26" s="3" t="s">
        <v>22</v>
      </c>
      <c r="D26" s="3">
        <f>Levy!F27</f>
        <v>280654.53000000003</v>
      </c>
      <c r="E26" s="3">
        <f>Levy!G27</f>
        <v>1222507.3500000001</v>
      </c>
      <c r="F26" s="3">
        <f>Levy!H27</f>
        <v>0</v>
      </c>
      <c r="G26" s="3">
        <f>Levy!I27</f>
        <v>1161105.57</v>
      </c>
      <c r="H26" s="217">
        <f>Levy!J27</f>
        <v>209665.74</v>
      </c>
      <c r="I26" s="219">
        <v>0</v>
      </c>
      <c r="J26" s="219">
        <v>25000</v>
      </c>
      <c r="K26" s="219">
        <v>45166.38</v>
      </c>
      <c r="L26" s="219">
        <v>0</v>
      </c>
      <c r="M26" s="219">
        <v>0</v>
      </c>
      <c r="N26" s="19">
        <v>0</v>
      </c>
      <c r="O26" s="19">
        <v>0</v>
      </c>
      <c r="P26" s="219">
        <v>-13220.27</v>
      </c>
      <c r="Q26" s="219">
        <v>0</v>
      </c>
      <c r="R26" s="219">
        <v>-10409.84</v>
      </c>
      <c r="S26" s="219">
        <v>0</v>
      </c>
      <c r="T26" s="19">
        <v>0</v>
      </c>
      <c r="U26" s="19">
        <v>0</v>
      </c>
      <c r="V26" s="19">
        <v>0</v>
      </c>
      <c r="W26" s="19">
        <v>0</v>
      </c>
      <c r="X26" s="19">
        <v>0</v>
      </c>
      <c r="Y26" s="217">
        <v>133802</v>
      </c>
      <c r="Z26" s="3">
        <f t="shared" si="1"/>
        <v>46536.270000000004</v>
      </c>
      <c r="AA26" s="3">
        <f t="shared" si="2"/>
        <v>2337076.65</v>
      </c>
      <c r="AB26" s="3">
        <f t="shared" si="4"/>
        <v>209665.74</v>
      </c>
      <c r="AC26" s="3">
        <f>ROUND(MAX(0,(D26-V26)*'Shift 14'!$B$2),2)</f>
        <v>0</v>
      </c>
      <c r="AD26" s="3">
        <f t="shared" si="3"/>
        <v>133802</v>
      </c>
      <c r="AE26" s="3">
        <f t="shared" si="5"/>
        <v>0</v>
      </c>
      <c r="AF26" s="214">
        <v>47</v>
      </c>
      <c r="AG26" s="214">
        <v>1</v>
      </c>
      <c r="AH26" s="3">
        <v>0</v>
      </c>
      <c r="AI26" s="3">
        <v>0</v>
      </c>
      <c r="AJ26" s="3">
        <v>99676.25</v>
      </c>
      <c r="AK26" s="3">
        <v>25000</v>
      </c>
      <c r="AL26" s="3">
        <v>45166.38</v>
      </c>
      <c r="AM26" s="3">
        <v>0</v>
      </c>
      <c r="AN26" s="3">
        <v>0</v>
      </c>
      <c r="AO26" s="3">
        <v>0</v>
      </c>
      <c r="AP26" s="3">
        <v>-4784.99</v>
      </c>
      <c r="AQ26" s="3">
        <v>-13220.27</v>
      </c>
      <c r="AR26" s="3">
        <v>0</v>
      </c>
      <c r="AS26" s="3">
        <v>-10409.84</v>
      </c>
      <c r="AT26" s="3">
        <v>0</v>
      </c>
      <c r="AU26" s="3">
        <f t="shared" si="6"/>
        <v>0</v>
      </c>
      <c r="AV26" s="17">
        <v>47</v>
      </c>
      <c r="AW26" s="17">
        <v>47</v>
      </c>
      <c r="AX26" s="17">
        <v>1</v>
      </c>
      <c r="AY26" s="3" t="s">
        <v>22</v>
      </c>
      <c r="AZ26" s="3">
        <v>0</v>
      </c>
      <c r="BA26" s="19">
        <v>133802</v>
      </c>
    </row>
    <row r="27" spans="1:53" x14ac:dyDescent="0.2">
      <c r="A27" s="17">
        <v>51</v>
      </c>
      <c r="B27" s="17">
        <v>1</v>
      </c>
      <c r="C27" s="3" t="s">
        <v>23</v>
      </c>
      <c r="D27" s="3">
        <f>Levy!F28</f>
        <v>170997.51</v>
      </c>
      <c r="E27" s="3">
        <f>Levy!G28</f>
        <v>139352.53</v>
      </c>
      <c r="F27" s="3">
        <f>Levy!H28</f>
        <v>0</v>
      </c>
      <c r="G27" s="3">
        <f>Levy!I28</f>
        <v>382870.51</v>
      </c>
      <c r="H27" s="217">
        <f>Levy!J28</f>
        <v>87027.91</v>
      </c>
      <c r="I27" s="219">
        <v>0</v>
      </c>
      <c r="J27" s="219">
        <v>35000</v>
      </c>
      <c r="K27" s="219">
        <v>18423.64</v>
      </c>
      <c r="L27" s="219">
        <v>0</v>
      </c>
      <c r="M27" s="219">
        <v>0</v>
      </c>
      <c r="N27" s="19">
        <v>0</v>
      </c>
      <c r="O27" s="19">
        <v>0</v>
      </c>
      <c r="P27" s="219">
        <v>7816.32</v>
      </c>
      <c r="Q27" s="219">
        <v>0</v>
      </c>
      <c r="R27" s="219">
        <v>-6144.36</v>
      </c>
      <c r="S27" s="219">
        <v>0</v>
      </c>
      <c r="T27" s="19">
        <v>0</v>
      </c>
      <c r="U27" s="19">
        <v>0</v>
      </c>
      <c r="V27" s="19">
        <v>0</v>
      </c>
      <c r="W27" s="19">
        <v>0</v>
      </c>
      <c r="X27" s="19">
        <v>0</v>
      </c>
      <c r="Y27" s="217">
        <v>32144.54</v>
      </c>
      <c r="Z27" s="3">
        <f t="shared" si="1"/>
        <v>55095.6</v>
      </c>
      <c r="AA27" s="3">
        <f t="shared" si="2"/>
        <v>467127.44</v>
      </c>
      <c r="AB27" s="3">
        <f t="shared" si="4"/>
        <v>87027.91</v>
      </c>
      <c r="AC27" s="3">
        <f>ROUND(MAX(0,(D27-V27)*'Shift 14'!$B$2),2)</f>
        <v>0</v>
      </c>
      <c r="AD27" s="3">
        <f t="shared" si="3"/>
        <v>32144.54</v>
      </c>
      <c r="AE27" s="3">
        <f t="shared" si="5"/>
        <v>0</v>
      </c>
      <c r="AF27" s="214">
        <v>51</v>
      </c>
      <c r="AG27" s="214">
        <v>1</v>
      </c>
      <c r="AH27" s="3">
        <v>0</v>
      </c>
      <c r="AI27" s="3">
        <v>0</v>
      </c>
      <c r="AJ27" s="3">
        <v>0</v>
      </c>
      <c r="AK27" s="3">
        <v>35000</v>
      </c>
      <c r="AL27" s="3">
        <v>18423.64</v>
      </c>
      <c r="AM27" s="3">
        <v>0</v>
      </c>
      <c r="AN27" s="3">
        <v>0</v>
      </c>
      <c r="AO27" s="3">
        <v>0</v>
      </c>
      <c r="AP27" s="3">
        <v>-7277.05</v>
      </c>
      <c r="AQ27" s="3">
        <v>7816.32</v>
      </c>
      <c r="AR27" s="3">
        <v>0</v>
      </c>
      <c r="AS27" s="3">
        <v>-6144.36</v>
      </c>
      <c r="AT27" s="3">
        <v>0</v>
      </c>
      <c r="AU27" s="3">
        <f t="shared" si="6"/>
        <v>0</v>
      </c>
      <c r="AV27" s="17">
        <v>51</v>
      </c>
      <c r="AW27" s="17">
        <v>51</v>
      </c>
      <c r="AX27" s="17">
        <v>1</v>
      </c>
      <c r="AY27" s="3" t="s">
        <v>23</v>
      </c>
      <c r="AZ27" s="3">
        <v>0</v>
      </c>
      <c r="BA27" s="19">
        <v>32144.54</v>
      </c>
    </row>
    <row r="28" spans="1:53" x14ac:dyDescent="0.2">
      <c r="A28" s="17">
        <v>75</v>
      </c>
      <c r="B28" s="17">
        <v>1</v>
      </c>
      <c r="C28" s="3" t="s">
        <v>24</v>
      </c>
      <c r="D28" s="3">
        <f>Levy!F29</f>
        <v>278916.25</v>
      </c>
      <c r="E28" s="3">
        <f>Levy!G29</f>
        <v>53373.61</v>
      </c>
      <c r="F28" s="3">
        <f>Levy!H29</f>
        <v>0</v>
      </c>
      <c r="G28" s="3">
        <f>Levy!I29</f>
        <v>160726.1</v>
      </c>
      <c r="H28" s="217">
        <f>Levy!J29</f>
        <v>34527.629999999997</v>
      </c>
      <c r="I28" s="219">
        <v>0</v>
      </c>
      <c r="J28" s="219">
        <v>150</v>
      </c>
      <c r="K28" s="219">
        <v>10019.620000000001</v>
      </c>
      <c r="L28" s="219">
        <v>0</v>
      </c>
      <c r="M28" s="219">
        <v>0</v>
      </c>
      <c r="N28" s="19">
        <v>0</v>
      </c>
      <c r="O28" s="19">
        <v>0</v>
      </c>
      <c r="P28" s="219">
        <v>135.21</v>
      </c>
      <c r="Q28" s="219">
        <v>0</v>
      </c>
      <c r="R28" s="219">
        <v>-1683.48</v>
      </c>
      <c r="S28" s="219">
        <v>0</v>
      </c>
      <c r="T28" s="19">
        <v>0</v>
      </c>
      <c r="U28" s="19">
        <v>0</v>
      </c>
      <c r="V28" s="19">
        <v>0</v>
      </c>
      <c r="W28" s="19">
        <v>0</v>
      </c>
      <c r="X28" s="19">
        <v>0</v>
      </c>
      <c r="Y28" s="217">
        <v>59511.62</v>
      </c>
      <c r="Z28" s="3">
        <f t="shared" si="1"/>
        <v>8621.35</v>
      </c>
      <c r="AA28" s="3">
        <f t="shared" si="2"/>
        <v>205478.36</v>
      </c>
      <c r="AB28" s="3">
        <f t="shared" si="4"/>
        <v>34527.629999999997</v>
      </c>
      <c r="AC28" s="3">
        <f>ROUND(MAX(0,(D28-V28)*'Shift 14'!$B$2),2)</f>
        <v>0</v>
      </c>
      <c r="AD28" s="3">
        <f t="shared" si="3"/>
        <v>59511.62</v>
      </c>
      <c r="AE28" s="3">
        <f t="shared" si="5"/>
        <v>0</v>
      </c>
      <c r="AF28" s="214">
        <v>75</v>
      </c>
      <c r="AG28" s="214">
        <v>1</v>
      </c>
      <c r="AH28" s="3">
        <v>0</v>
      </c>
      <c r="AI28" s="3">
        <v>0</v>
      </c>
      <c r="AJ28" s="3">
        <v>0</v>
      </c>
      <c r="AK28" s="3">
        <v>150</v>
      </c>
      <c r="AL28" s="3">
        <v>10019.620000000001</v>
      </c>
      <c r="AM28" s="3">
        <v>0</v>
      </c>
      <c r="AN28" s="3">
        <v>0</v>
      </c>
      <c r="AO28" s="3">
        <v>0</v>
      </c>
      <c r="AP28" s="3">
        <v>0</v>
      </c>
      <c r="AQ28" s="3">
        <v>135.21</v>
      </c>
      <c r="AR28" s="3">
        <v>0</v>
      </c>
      <c r="AS28" s="3">
        <v>-1683.48</v>
      </c>
      <c r="AT28" s="3">
        <v>0</v>
      </c>
      <c r="AU28" s="3">
        <f t="shared" si="6"/>
        <v>0</v>
      </c>
      <c r="AV28" s="17">
        <v>75</v>
      </c>
      <c r="AW28" s="17">
        <v>75</v>
      </c>
      <c r="AX28" s="17">
        <v>1</v>
      </c>
      <c r="AY28" s="3" t="s">
        <v>24</v>
      </c>
      <c r="AZ28" s="3">
        <v>0</v>
      </c>
      <c r="BA28" s="19">
        <v>59511.62</v>
      </c>
    </row>
    <row r="29" spans="1:53" x14ac:dyDescent="0.2">
      <c r="A29" s="17">
        <v>77</v>
      </c>
      <c r="B29" s="17">
        <v>1</v>
      </c>
      <c r="C29" s="3" t="s">
        <v>25</v>
      </c>
      <c r="D29" s="3">
        <f>Levy!F30</f>
        <v>3804825.41</v>
      </c>
      <c r="E29" s="3">
        <f>Levy!G30</f>
        <v>3060761.6</v>
      </c>
      <c r="F29" s="3">
        <f>Levy!H30</f>
        <v>499403.6</v>
      </c>
      <c r="G29" s="3">
        <f>Levy!I30</f>
        <v>3289286.6</v>
      </c>
      <c r="H29" s="217">
        <f>Levy!J30</f>
        <v>865574.89</v>
      </c>
      <c r="I29" s="219">
        <v>0</v>
      </c>
      <c r="J29" s="219">
        <v>60000</v>
      </c>
      <c r="K29" s="219">
        <v>160534.51</v>
      </c>
      <c r="L29" s="219">
        <v>0</v>
      </c>
      <c r="M29" s="219">
        <v>0</v>
      </c>
      <c r="N29" s="19">
        <v>0</v>
      </c>
      <c r="O29" s="19">
        <v>0</v>
      </c>
      <c r="P29" s="219">
        <v>-2500.67</v>
      </c>
      <c r="Q29" s="219">
        <v>0</v>
      </c>
      <c r="R29" s="219">
        <v>-21711.59</v>
      </c>
      <c r="S29" s="219">
        <v>0</v>
      </c>
      <c r="T29" s="19">
        <v>0</v>
      </c>
      <c r="U29" s="19">
        <v>0</v>
      </c>
      <c r="V29" s="19">
        <v>0</v>
      </c>
      <c r="W29" s="19">
        <v>0</v>
      </c>
      <c r="X29" s="19">
        <v>0</v>
      </c>
      <c r="Y29" s="217">
        <v>751973.08</v>
      </c>
      <c r="Z29" s="3">
        <f t="shared" si="1"/>
        <v>196322.25</v>
      </c>
      <c r="AA29" s="3">
        <f t="shared" si="2"/>
        <v>6653129.5499999998</v>
      </c>
      <c r="AB29" s="3">
        <f t="shared" si="4"/>
        <v>865574.89</v>
      </c>
      <c r="AC29" s="3">
        <f>ROUND(MAX(0,(D29-V29)*'Shift 14'!$B$2),2)</f>
        <v>0</v>
      </c>
      <c r="AD29" s="3">
        <f t="shared" si="3"/>
        <v>751973.08</v>
      </c>
      <c r="AE29" s="3">
        <f t="shared" si="5"/>
        <v>0</v>
      </c>
      <c r="AF29" s="214">
        <v>77</v>
      </c>
      <c r="AG29" s="214">
        <v>1</v>
      </c>
      <c r="AH29" s="3">
        <v>0</v>
      </c>
      <c r="AI29" s="3">
        <v>-596.4</v>
      </c>
      <c r="AJ29" s="3">
        <v>0</v>
      </c>
      <c r="AK29" s="3">
        <v>60000</v>
      </c>
      <c r="AL29" s="3">
        <v>160534.51</v>
      </c>
      <c r="AM29" s="3">
        <v>0</v>
      </c>
      <c r="AN29" s="3">
        <v>0</v>
      </c>
      <c r="AO29" s="3">
        <v>0</v>
      </c>
      <c r="AP29" s="3">
        <v>0</v>
      </c>
      <c r="AQ29" s="3">
        <v>-2500.67</v>
      </c>
      <c r="AR29" s="3">
        <v>0</v>
      </c>
      <c r="AS29" s="3">
        <v>-21711.59</v>
      </c>
      <c r="AT29" s="3">
        <v>0</v>
      </c>
      <c r="AU29" s="3">
        <f t="shared" si="6"/>
        <v>0</v>
      </c>
      <c r="AV29" s="17">
        <v>77</v>
      </c>
      <c r="AW29" s="17">
        <v>77</v>
      </c>
      <c r="AX29" s="17">
        <v>1</v>
      </c>
      <c r="AY29" s="3" t="s">
        <v>25</v>
      </c>
      <c r="AZ29" s="3">
        <v>0</v>
      </c>
      <c r="BA29" s="19">
        <v>751973.08</v>
      </c>
    </row>
    <row r="30" spans="1:53" x14ac:dyDescent="0.2">
      <c r="A30" s="17">
        <v>81</v>
      </c>
      <c r="B30" s="17">
        <v>1</v>
      </c>
      <c r="C30" s="3" t="s">
        <v>26</v>
      </c>
      <c r="D30" s="3">
        <f>Levy!F31</f>
        <v>185378</v>
      </c>
      <c r="E30" s="3">
        <f>Levy!G31</f>
        <v>10656</v>
      </c>
      <c r="F30" s="3">
        <f>Levy!H31</f>
        <v>0</v>
      </c>
      <c r="G30" s="3">
        <f>Levy!I31</f>
        <v>157369</v>
      </c>
      <c r="H30" s="217">
        <f>Levy!J31</f>
        <v>27181</v>
      </c>
      <c r="I30" s="219">
        <v>0</v>
      </c>
      <c r="J30" s="219">
        <v>4700</v>
      </c>
      <c r="K30" s="219">
        <v>13407.94</v>
      </c>
      <c r="L30" s="219">
        <v>0</v>
      </c>
      <c r="M30" s="219">
        <v>0</v>
      </c>
      <c r="N30" s="19">
        <v>0</v>
      </c>
      <c r="O30" s="19">
        <v>0</v>
      </c>
      <c r="P30" s="219">
        <v>-790.67</v>
      </c>
      <c r="Q30" s="219">
        <v>0</v>
      </c>
      <c r="R30" s="219">
        <v>-1665.08</v>
      </c>
      <c r="S30" s="219">
        <v>0</v>
      </c>
      <c r="T30" s="19">
        <v>0</v>
      </c>
      <c r="U30" s="19">
        <v>0</v>
      </c>
      <c r="V30" s="19">
        <v>0</v>
      </c>
      <c r="W30" s="19">
        <v>0</v>
      </c>
      <c r="X30" s="19">
        <v>0</v>
      </c>
      <c r="Y30" s="217">
        <v>65568.179999999993</v>
      </c>
      <c r="Z30" s="3">
        <f t="shared" si="1"/>
        <v>15652.190000000004</v>
      </c>
      <c r="AA30" s="3">
        <f t="shared" si="2"/>
        <v>152372.81</v>
      </c>
      <c r="AB30" s="3">
        <f t="shared" si="4"/>
        <v>27181</v>
      </c>
      <c r="AC30" s="3">
        <f>ROUND(MAX(0,(D30-V30)*'Shift 14'!$B$2),2)</f>
        <v>0</v>
      </c>
      <c r="AD30" s="3">
        <f t="shared" si="3"/>
        <v>65568.179999999993</v>
      </c>
      <c r="AE30" s="3">
        <f t="shared" si="5"/>
        <v>0</v>
      </c>
      <c r="AF30" s="214">
        <v>81</v>
      </c>
      <c r="AG30" s="214">
        <v>1</v>
      </c>
      <c r="AH30" s="3">
        <v>0</v>
      </c>
      <c r="AI30" s="3">
        <v>0</v>
      </c>
      <c r="AJ30" s="3">
        <v>1875.03</v>
      </c>
      <c r="AK30" s="3">
        <v>4700</v>
      </c>
      <c r="AL30" s="3">
        <v>13407.94</v>
      </c>
      <c r="AM30" s="3">
        <v>0</v>
      </c>
      <c r="AN30" s="3">
        <v>0</v>
      </c>
      <c r="AO30" s="3">
        <v>0</v>
      </c>
      <c r="AP30" s="3">
        <v>-360.02</v>
      </c>
      <c r="AQ30" s="3">
        <v>-790.67</v>
      </c>
      <c r="AR30" s="3">
        <v>0</v>
      </c>
      <c r="AS30" s="3">
        <v>-1665.08</v>
      </c>
      <c r="AT30" s="3">
        <v>0</v>
      </c>
      <c r="AU30" s="3">
        <f t="shared" si="6"/>
        <v>0</v>
      </c>
      <c r="AV30" s="17">
        <v>81</v>
      </c>
      <c r="AW30" s="17">
        <v>81</v>
      </c>
      <c r="AX30" s="17">
        <v>1</v>
      </c>
      <c r="AY30" s="3" t="s">
        <v>26</v>
      </c>
      <c r="AZ30" s="3">
        <v>0</v>
      </c>
      <c r="BA30" s="19">
        <v>65568.179999999993</v>
      </c>
    </row>
    <row r="31" spans="1:53" x14ac:dyDescent="0.2">
      <c r="A31" s="17">
        <v>84</v>
      </c>
      <c r="B31" s="17">
        <v>1</v>
      </c>
      <c r="C31" s="3" t="s">
        <v>27</v>
      </c>
      <c r="D31" s="3">
        <f>Levy!F32</f>
        <v>0</v>
      </c>
      <c r="E31" s="3">
        <f>Levy!G32</f>
        <v>153957</v>
      </c>
      <c r="F31" s="3">
        <f>Levy!H32</f>
        <v>0</v>
      </c>
      <c r="G31" s="3">
        <f>Levy!I32</f>
        <v>320200</v>
      </c>
      <c r="H31" s="217">
        <f>Levy!J32</f>
        <v>74286</v>
      </c>
      <c r="I31" s="219">
        <v>0</v>
      </c>
      <c r="J31" s="219">
        <v>4000</v>
      </c>
      <c r="K31" s="219">
        <v>21291.35</v>
      </c>
      <c r="L31" s="219">
        <v>0</v>
      </c>
      <c r="M31" s="219">
        <v>0</v>
      </c>
      <c r="N31" s="19">
        <v>0</v>
      </c>
      <c r="O31" s="19">
        <v>0</v>
      </c>
      <c r="P31" s="219">
        <v>2546.9299999999998</v>
      </c>
      <c r="Q31" s="219">
        <v>0</v>
      </c>
      <c r="R31" s="219">
        <v>-2644.08</v>
      </c>
      <c r="S31" s="219">
        <v>0</v>
      </c>
      <c r="T31" s="19">
        <v>0</v>
      </c>
      <c r="U31" s="19">
        <v>0</v>
      </c>
      <c r="V31" s="19">
        <v>0</v>
      </c>
      <c r="W31" s="19">
        <v>0</v>
      </c>
      <c r="X31" s="19">
        <v>0</v>
      </c>
      <c r="Y31" s="217">
        <v>64890.080000000002</v>
      </c>
      <c r="Z31" s="3">
        <f t="shared" si="1"/>
        <v>25194.199999999997</v>
      </c>
      <c r="AA31" s="3">
        <f t="shared" si="2"/>
        <v>448962.8</v>
      </c>
      <c r="AB31" s="3">
        <f t="shared" si="4"/>
        <v>74286</v>
      </c>
      <c r="AC31" s="3">
        <f>ROUND(MAX(0,(D31-V31)*'Shift 14'!$B$2),2)</f>
        <v>0</v>
      </c>
      <c r="AD31" s="3">
        <f t="shared" si="3"/>
        <v>64890.080000000002</v>
      </c>
      <c r="AE31" s="3">
        <f t="shared" si="5"/>
        <v>0</v>
      </c>
      <c r="AF31" s="214">
        <v>84</v>
      </c>
      <c r="AG31" s="214">
        <v>1</v>
      </c>
      <c r="AH31" s="3">
        <v>0</v>
      </c>
      <c r="AI31" s="3">
        <v>0</v>
      </c>
      <c r="AJ31" s="3">
        <v>23999.77</v>
      </c>
      <c r="AK31" s="3">
        <v>4000</v>
      </c>
      <c r="AL31" s="3">
        <v>21291.35</v>
      </c>
      <c r="AM31" s="3">
        <v>0</v>
      </c>
      <c r="AN31" s="3">
        <v>0</v>
      </c>
      <c r="AO31" s="3">
        <v>0</v>
      </c>
      <c r="AP31" s="3">
        <v>0</v>
      </c>
      <c r="AQ31" s="3">
        <v>2546.9299999999998</v>
      </c>
      <c r="AR31" s="3">
        <v>0</v>
      </c>
      <c r="AS31" s="3">
        <v>-2644.08</v>
      </c>
      <c r="AT31" s="3">
        <v>0</v>
      </c>
      <c r="AU31" s="3">
        <f t="shared" si="6"/>
        <v>0</v>
      </c>
      <c r="AV31" s="17">
        <v>84</v>
      </c>
      <c r="AW31" s="17">
        <v>84</v>
      </c>
      <c r="AX31" s="17">
        <v>1</v>
      </c>
      <c r="AY31" s="3" t="s">
        <v>27</v>
      </c>
      <c r="AZ31" s="3">
        <v>0</v>
      </c>
      <c r="BA31" s="19">
        <v>64890.080000000002</v>
      </c>
    </row>
    <row r="32" spans="1:53" x14ac:dyDescent="0.2">
      <c r="A32" s="17">
        <v>85</v>
      </c>
      <c r="B32" s="17">
        <v>1</v>
      </c>
      <c r="C32" s="3" t="s">
        <v>28</v>
      </c>
      <c r="D32" s="3">
        <f>Levy!F33</f>
        <v>162144</v>
      </c>
      <c r="E32" s="3">
        <f>Levy!G33</f>
        <v>34625</v>
      </c>
      <c r="F32" s="3">
        <f>Levy!H33</f>
        <v>0</v>
      </c>
      <c r="G32" s="3">
        <f>Levy!I33</f>
        <v>216588</v>
      </c>
      <c r="H32" s="217">
        <f>Levy!J33</f>
        <v>47733</v>
      </c>
      <c r="I32" s="219">
        <v>0</v>
      </c>
      <c r="J32" s="219">
        <v>7035.36</v>
      </c>
      <c r="K32" s="219">
        <v>27858.85</v>
      </c>
      <c r="L32" s="219">
        <v>0</v>
      </c>
      <c r="M32" s="219">
        <v>0</v>
      </c>
      <c r="N32" s="19">
        <v>0</v>
      </c>
      <c r="O32" s="19">
        <v>0</v>
      </c>
      <c r="P32" s="219">
        <v>9396.99</v>
      </c>
      <c r="Q32" s="219">
        <v>0</v>
      </c>
      <c r="R32" s="219">
        <v>-3459.67</v>
      </c>
      <c r="S32" s="219">
        <v>0</v>
      </c>
      <c r="T32" s="19">
        <v>0</v>
      </c>
      <c r="U32" s="19">
        <v>0</v>
      </c>
      <c r="V32" s="19">
        <v>0</v>
      </c>
      <c r="W32" s="19">
        <v>0</v>
      </c>
      <c r="X32" s="19">
        <v>0</v>
      </c>
      <c r="Y32" s="217">
        <v>0</v>
      </c>
      <c r="Z32" s="3">
        <f t="shared" si="1"/>
        <v>40831.53</v>
      </c>
      <c r="AA32" s="3">
        <f t="shared" si="2"/>
        <v>210381.47</v>
      </c>
      <c r="AB32" s="3">
        <f t="shared" si="4"/>
        <v>47733</v>
      </c>
      <c r="AC32" s="3">
        <f>ROUND(MAX(0,(D32-V32)*'Shift 14'!$B$2),2)</f>
        <v>0</v>
      </c>
      <c r="AD32" s="3">
        <f t="shared" si="3"/>
        <v>0</v>
      </c>
      <c r="AE32" s="3">
        <f t="shared" si="5"/>
        <v>0</v>
      </c>
      <c r="AF32" s="214">
        <v>85</v>
      </c>
      <c r="AG32" s="214">
        <v>1</v>
      </c>
      <c r="AH32" s="3">
        <v>0</v>
      </c>
      <c r="AI32" s="3">
        <v>0</v>
      </c>
      <c r="AJ32" s="3">
        <v>14431.55</v>
      </c>
      <c r="AK32" s="3">
        <v>7035.36</v>
      </c>
      <c r="AL32" s="3">
        <v>27858.85</v>
      </c>
      <c r="AM32" s="3">
        <v>0</v>
      </c>
      <c r="AN32" s="3">
        <v>0</v>
      </c>
      <c r="AO32" s="3">
        <v>0</v>
      </c>
      <c r="AP32" s="3">
        <v>0</v>
      </c>
      <c r="AQ32" s="3">
        <v>9396.99</v>
      </c>
      <c r="AR32" s="3">
        <v>0</v>
      </c>
      <c r="AS32" s="3">
        <v>-3459.67</v>
      </c>
      <c r="AT32" s="3">
        <v>0</v>
      </c>
      <c r="AU32" s="3">
        <f t="shared" si="6"/>
        <v>0</v>
      </c>
      <c r="AV32" s="17">
        <v>85</v>
      </c>
      <c r="AW32" s="17">
        <v>85</v>
      </c>
      <c r="AX32" s="17">
        <v>1</v>
      </c>
      <c r="AY32" s="3" t="s">
        <v>28</v>
      </c>
      <c r="AZ32" s="3">
        <v>0</v>
      </c>
      <c r="BA32" s="19">
        <v>0</v>
      </c>
    </row>
    <row r="33" spans="1:53" x14ac:dyDescent="0.2">
      <c r="A33" s="17">
        <v>88</v>
      </c>
      <c r="B33" s="17">
        <v>1</v>
      </c>
      <c r="C33" s="3" t="s">
        <v>29</v>
      </c>
      <c r="D33" s="3">
        <f>Levy!F34</f>
        <v>2879549.3</v>
      </c>
      <c r="E33" s="3">
        <f>Levy!G34</f>
        <v>163789.72</v>
      </c>
      <c r="F33" s="3">
        <f>Levy!H34</f>
        <v>0</v>
      </c>
      <c r="G33" s="3">
        <f>Levy!I34</f>
        <v>1340771.3700000001</v>
      </c>
      <c r="H33" s="217">
        <f>Levy!J34</f>
        <v>231683.64</v>
      </c>
      <c r="I33" s="219">
        <v>0</v>
      </c>
      <c r="J33" s="219">
        <v>7054</v>
      </c>
      <c r="K33" s="219">
        <v>70145.17</v>
      </c>
      <c r="L33" s="219">
        <v>0</v>
      </c>
      <c r="M33" s="219">
        <v>0</v>
      </c>
      <c r="N33" s="19">
        <v>0</v>
      </c>
      <c r="O33" s="19">
        <v>0</v>
      </c>
      <c r="P33" s="219">
        <v>17141.86</v>
      </c>
      <c r="Q33" s="219">
        <v>0</v>
      </c>
      <c r="R33" s="219">
        <v>-8711.0300000000007</v>
      </c>
      <c r="S33" s="219">
        <v>0</v>
      </c>
      <c r="T33" s="19">
        <v>0</v>
      </c>
      <c r="U33" s="19">
        <v>0</v>
      </c>
      <c r="V33" s="19">
        <v>0</v>
      </c>
      <c r="W33" s="19">
        <v>0</v>
      </c>
      <c r="X33" s="19">
        <v>97377.63</v>
      </c>
      <c r="Y33" s="217">
        <v>135266</v>
      </c>
      <c r="Z33" s="3">
        <f t="shared" si="1"/>
        <v>85630</v>
      </c>
      <c r="AA33" s="3">
        <f t="shared" si="2"/>
        <v>1321553.46</v>
      </c>
      <c r="AB33" s="3">
        <f t="shared" si="4"/>
        <v>231683.64</v>
      </c>
      <c r="AC33" s="3">
        <f>ROUND(MAX(0,(D33-V33)*'Shift 14'!$B$2),2)</f>
        <v>0</v>
      </c>
      <c r="AD33" s="3">
        <f t="shared" si="3"/>
        <v>135266</v>
      </c>
      <c r="AE33" s="3">
        <f t="shared" si="5"/>
        <v>0</v>
      </c>
      <c r="AF33" s="214">
        <v>88</v>
      </c>
      <c r="AG33" s="214">
        <v>1</v>
      </c>
      <c r="AH33" s="3">
        <v>0</v>
      </c>
      <c r="AI33" s="3">
        <v>0</v>
      </c>
      <c r="AJ33" s="3">
        <v>50947.82</v>
      </c>
      <c r="AK33" s="3">
        <v>7054</v>
      </c>
      <c r="AL33" s="3">
        <v>70145.17</v>
      </c>
      <c r="AM33" s="3">
        <v>0</v>
      </c>
      <c r="AN33" s="3">
        <v>0</v>
      </c>
      <c r="AO33" s="3">
        <v>0</v>
      </c>
      <c r="AP33" s="3">
        <v>-8397.4</v>
      </c>
      <c r="AQ33" s="3">
        <v>17141.86</v>
      </c>
      <c r="AR33" s="3">
        <v>0</v>
      </c>
      <c r="AS33" s="3">
        <v>-8711.0300000000007</v>
      </c>
      <c r="AT33" s="3">
        <v>0</v>
      </c>
      <c r="AU33" s="3">
        <f t="shared" si="6"/>
        <v>0</v>
      </c>
      <c r="AV33" s="17">
        <v>88</v>
      </c>
      <c r="AW33" s="17">
        <v>88</v>
      </c>
      <c r="AX33" s="17">
        <v>1</v>
      </c>
      <c r="AY33" s="3" t="s">
        <v>29</v>
      </c>
      <c r="AZ33" s="3">
        <v>97377.63</v>
      </c>
      <c r="BA33" s="19">
        <v>135266</v>
      </c>
    </row>
    <row r="34" spans="1:53" x14ac:dyDescent="0.2">
      <c r="A34" s="17">
        <v>91</v>
      </c>
      <c r="B34" s="17">
        <v>1</v>
      </c>
      <c r="C34" s="3" t="s">
        <v>30</v>
      </c>
      <c r="D34" s="3">
        <f>Levy!F35</f>
        <v>0</v>
      </c>
      <c r="E34" s="3">
        <f>Levy!G35</f>
        <v>141795.06</v>
      </c>
      <c r="F34" s="3">
        <f>Levy!H35</f>
        <v>0</v>
      </c>
      <c r="G34" s="3">
        <f>Levy!I35</f>
        <v>266314.7</v>
      </c>
      <c r="H34" s="217">
        <f>Levy!J35</f>
        <v>50650.52</v>
      </c>
      <c r="I34" s="219">
        <v>0</v>
      </c>
      <c r="J34" s="219">
        <v>5000</v>
      </c>
      <c r="K34" s="219">
        <v>8629.66</v>
      </c>
      <c r="L34" s="219">
        <v>0</v>
      </c>
      <c r="M34" s="219">
        <v>0</v>
      </c>
      <c r="N34" s="19">
        <v>0</v>
      </c>
      <c r="O34" s="19">
        <v>0</v>
      </c>
      <c r="P34" s="219">
        <v>-4609.28</v>
      </c>
      <c r="Q34" s="219">
        <v>0</v>
      </c>
      <c r="R34" s="219">
        <v>-887.74</v>
      </c>
      <c r="S34" s="219">
        <v>0</v>
      </c>
      <c r="T34" s="19">
        <v>0</v>
      </c>
      <c r="U34" s="19">
        <v>0</v>
      </c>
      <c r="V34" s="19">
        <v>0</v>
      </c>
      <c r="W34" s="19">
        <v>0</v>
      </c>
      <c r="X34" s="19">
        <v>0</v>
      </c>
      <c r="Y34" s="217">
        <v>19807.54</v>
      </c>
      <c r="Z34" s="3">
        <f t="shared" si="1"/>
        <v>8132.6400000000012</v>
      </c>
      <c r="AA34" s="3">
        <f t="shared" si="2"/>
        <v>399977.12</v>
      </c>
      <c r="AB34" s="3">
        <f t="shared" si="4"/>
        <v>50650.52</v>
      </c>
      <c r="AC34" s="3">
        <f>ROUND(MAX(0,(D34-V34)*'Shift 14'!$B$2),2)</f>
        <v>0</v>
      </c>
      <c r="AD34" s="3">
        <f t="shared" si="3"/>
        <v>19807.54</v>
      </c>
      <c r="AE34" s="3">
        <f t="shared" si="5"/>
        <v>0</v>
      </c>
      <c r="AF34" s="214">
        <v>91</v>
      </c>
      <c r="AG34" s="214">
        <v>1</v>
      </c>
      <c r="AH34" s="3">
        <v>0</v>
      </c>
      <c r="AI34" s="3">
        <v>0</v>
      </c>
      <c r="AJ34" s="3">
        <v>0</v>
      </c>
      <c r="AK34" s="3">
        <v>5000</v>
      </c>
      <c r="AL34" s="3">
        <v>8629.66</v>
      </c>
      <c r="AM34" s="3">
        <v>0</v>
      </c>
      <c r="AN34" s="3">
        <v>0</v>
      </c>
      <c r="AO34" s="3">
        <v>0</v>
      </c>
      <c r="AP34" s="3">
        <v>0</v>
      </c>
      <c r="AQ34" s="3">
        <v>-4609.28</v>
      </c>
      <c r="AR34" s="3">
        <v>0</v>
      </c>
      <c r="AS34" s="3">
        <v>-887.74</v>
      </c>
      <c r="AT34" s="3">
        <v>0</v>
      </c>
      <c r="AU34" s="3">
        <f t="shared" si="6"/>
        <v>0</v>
      </c>
      <c r="AV34" s="17">
        <v>91</v>
      </c>
      <c r="AW34" s="17">
        <v>91</v>
      </c>
      <c r="AX34" s="17">
        <v>1</v>
      </c>
      <c r="AY34" s="3" t="s">
        <v>30</v>
      </c>
      <c r="AZ34" s="3">
        <v>0</v>
      </c>
      <c r="BA34" s="19">
        <v>19807.54</v>
      </c>
    </row>
    <row r="35" spans="1:53" x14ac:dyDescent="0.2">
      <c r="A35" s="17">
        <v>93</v>
      </c>
      <c r="B35" s="17">
        <v>1</v>
      </c>
      <c r="C35" s="3" t="s">
        <v>31</v>
      </c>
      <c r="D35" s="3">
        <f>Levy!F36</f>
        <v>663179.31000000006</v>
      </c>
      <c r="E35" s="3">
        <f>Levy!G36</f>
        <v>40784.449999999997</v>
      </c>
      <c r="F35" s="3">
        <f>Levy!H36</f>
        <v>0</v>
      </c>
      <c r="G35" s="3">
        <f>Levy!I36</f>
        <v>116050.15</v>
      </c>
      <c r="H35" s="217">
        <f>Levy!J36</f>
        <v>53395.81</v>
      </c>
      <c r="I35" s="219">
        <v>0</v>
      </c>
      <c r="J35" s="219">
        <v>10451.620000000001</v>
      </c>
      <c r="K35" s="219">
        <v>13407.94</v>
      </c>
      <c r="L35" s="219">
        <v>0</v>
      </c>
      <c r="M35" s="219">
        <v>0</v>
      </c>
      <c r="N35" s="19">
        <v>0</v>
      </c>
      <c r="O35" s="19">
        <v>0</v>
      </c>
      <c r="P35" s="219">
        <v>11225.6</v>
      </c>
      <c r="Q35" s="219">
        <v>0</v>
      </c>
      <c r="R35" s="219">
        <v>-1665.08</v>
      </c>
      <c r="S35" s="219">
        <v>0</v>
      </c>
      <c r="T35" s="19">
        <v>0</v>
      </c>
      <c r="U35" s="19">
        <v>0</v>
      </c>
      <c r="V35" s="19">
        <v>0</v>
      </c>
      <c r="W35" s="19">
        <v>0</v>
      </c>
      <c r="X35" s="19">
        <v>0</v>
      </c>
      <c r="Y35" s="217">
        <v>27479.15</v>
      </c>
      <c r="Z35" s="3">
        <f t="shared" si="1"/>
        <v>33420.080000000002</v>
      </c>
      <c r="AA35" s="3">
        <f t="shared" si="2"/>
        <v>123414.52</v>
      </c>
      <c r="AB35" s="3">
        <f t="shared" si="4"/>
        <v>53395.81</v>
      </c>
      <c r="AC35" s="3">
        <f>ROUND(MAX(0,(D35-V35)*'Shift 14'!$B$2),2)</f>
        <v>0</v>
      </c>
      <c r="AD35" s="3">
        <f t="shared" si="3"/>
        <v>27479.15</v>
      </c>
      <c r="AE35" s="3">
        <f t="shared" si="5"/>
        <v>0</v>
      </c>
      <c r="AF35" s="214">
        <v>93</v>
      </c>
      <c r="AG35" s="214">
        <v>1</v>
      </c>
      <c r="AH35" s="3">
        <v>0</v>
      </c>
      <c r="AI35" s="3">
        <v>0</v>
      </c>
      <c r="AJ35" s="3">
        <v>0</v>
      </c>
      <c r="AK35" s="3">
        <v>10451.620000000001</v>
      </c>
      <c r="AL35" s="3">
        <v>13407.94</v>
      </c>
      <c r="AM35" s="3">
        <v>0</v>
      </c>
      <c r="AN35" s="3">
        <v>0</v>
      </c>
      <c r="AO35" s="3">
        <v>0</v>
      </c>
      <c r="AP35" s="3">
        <v>-900</v>
      </c>
      <c r="AQ35" s="3">
        <v>11225.6</v>
      </c>
      <c r="AR35" s="3">
        <v>0</v>
      </c>
      <c r="AS35" s="3">
        <v>-1665.08</v>
      </c>
      <c r="AT35" s="3">
        <v>0</v>
      </c>
      <c r="AU35" s="3">
        <f t="shared" si="6"/>
        <v>0</v>
      </c>
      <c r="AV35" s="17">
        <v>93</v>
      </c>
      <c r="AW35" s="17">
        <v>93</v>
      </c>
      <c r="AX35" s="17">
        <v>1</v>
      </c>
      <c r="AY35" s="3" t="s">
        <v>31</v>
      </c>
      <c r="AZ35" s="3">
        <v>0</v>
      </c>
      <c r="BA35" s="19">
        <v>27479.15</v>
      </c>
    </row>
    <row r="36" spans="1:53" x14ac:dyDescent="0.2">
      <c r="A36" s="17">
        <v>94</v>
      </c>
      <c r="B36" s="17">
        <v>1</v>
      </c>
      <c r="C36" s="3" t="s">
        <v>32</v>
      </c>
      <c r="D36" s="3">
        <f>Levy!F37</f>
        <v>0</v>
      </c>
      <c r="E36" s="3">
        <f>Levy!G37</f>
        <v>944781.45</v>
      </c>
      <c r="F36" s="3">
        <f>Levy!H37</f>
        <v>0</v>
      </c>
      <c r="G36" s="3">
        <f>Levy!I37</f>
        <v>424491.06</v>
      </c>
      <c r="H36" s="217">
        <f>Levy!J37</f>
        <v>279662.59999999998</v>
      </c>
      <c r="I36" s="219">
        <v>0</v>
      </c>
      <c r="J36" s="219">
        <v>40000</v>
      </c>
      <c r="K36" s="219">
        <v>15413.2</v>
      </c>
      <c r="L36" s="219">
        <v>0</v>
      </c>
      <c r="M36" s="219">
        <v>0</v>
      </c>
      <c r="N36" s="19">
        <v>0</v>
      </c>
      <c r="O36" s="19">
        <v>0</v>
      </c>
      <c r="P36" s="219">
        <v>-38649.589999999997</v>
      </c>
      <c r="Q36" s="219">
        <v>0</v>
      </c>
      <c r="R36" s="219">
        <v>-5752.55</v>
      </c>
      <c r="S36" s="219">
        <v>14699.16</v>
      </c>
      <c r="T36" s="19">
        <v>0</v>
      </c>
      <c r="U36" s="19">
        <v>0</v>
      </c>
      <c r="V36" s="19">
        <v>0</v>
      </c>
      <c r="W36" s="19">
        <v>0</v>
      </c>
      <c r="X36" s="19">
        <v>0</v>
      </c>
      <c r="Y36" s="217">
        <v>91861.41</v>
      </c>
      <c r="Z36" s="3">
        <f t="shared" si="1"/>
        <v>25710.22</v>
      </c>
      <c r="AA36" s="3">
        <f t="shared" si="2"/>
        <v>1343562.29</v>
      </c>
      <c r="AB36" s="3">
        <f t="shared" si="4"/>
        <v>279662.59999999998</v>
      </c>
      <c r="AC36" s="3">
        <f>ROUND(MAX(0,(D36-V36)*'Shift 14'!$B$2),2)</f>
        <v>0</v>
      </c>
      <c r="AD36" s="3">
        <f t="shared" si="3"/>
        <v>91861.41</v>
      </c>
      <c r="AE36" s="3">
        <f t="shared" si="5"/>
        <v>0</v>
      </c>
      <c r="AF36" s="214">
        <v>94</v>
      </c>
      <c r="AG36" s="214">
        <v>1</v>
      </c>
      <c r="AH36" s="3">
        <v>0</v>
      </c>
      <c r="AI36" s="3">
        <v>0</v>
      </c>
      <c r="AJ36" s="3">
        <v>0</v>
      </c>
      <c r="AK36" s="3">
        <v>40000</v>
      </c>
      <c r="AL36" s="3">
        <v>15413.2</v>
      </c>
      <c r="AM36" s="3">
        <v>0</v>
      </c>
      <c r="AN36" s="3">
        <v>0</v>
      </c>
      <c r="AO36" s="3">
        <v>0</v>
      </c>
      <c r="AP36" s="3">
        <v>-1304.5899999999999</v>
      </c>
      <c r="AQ36" s="3">
        <v>-38649.589999999997</v>
      </c>
      <c r="AR36" s="3">
        <v>0</v>
      </c>
      <c r="AS36" s="3">
        <v>-5752.55</v>
      </c>
      <c r="AT36" s="3">
        <v>14699.16</v>
      </c>
      <c r="AU36" s="3">
        <f t="shared" si="6"/>
        <v>0</v>
      </c>
      <c r="AV36" s="17">
        <v>94</v>
      </c>
      <c r="AW36" s="17">
        <v>94</v>
      </c>
      <c r="AX36" s="17">
        <v>1</v>
      </c>
      <c r="AY36" s="3" t="s">
        <v>32</v>
      </c>
      <c r="AZ36" s="3">
        <v>0</v>
      </c>
      <c r="BA36" s="19">
        <v>91861.41</v>
      </c>
    </row>
    <row r="37" spans="1:53" x14ac:dyDescent="0.2">
      <c r="A37" s="17">
        <v>95</v>
      </c>
      <c r="B37" s="17">
        <v>1</v>
      </c>
      <c r="C37" s="3" t="s">
        <v>33</v>
      </c>
      <c r="D37" s="3">
        <f>Levy!F38</f>
        <v>29.15</v>
      </c>
      <c r="E37" s="3">
        <f>Levy!G38</f>
        <v>83971.82</v>
      </c>
      <c r="F37" s="3">
        <f>Levy!H38</f>
        <v>0</v>
      </c>
      <c r="G37" s="3">
        <f>Levy!I38</f>
        <v>76712.539999999994</v>
      </c>
      <c r="H37" s="217">
        <f>Levy!J38</f>
        <v>22592.080000000002</v>
      </c>
      <c r="I37" s="219">
        <v>0</v>
      </c>
      <c r="J37" s="219">
        <v>0</v>
      </c>
      <c r="K37" s="219">
        <v>9918.9500000000007</v>
      </c>
      <c r="L37" s="219">
        <v>0</v>
      </c>
      <c r="M37" s="219">
        <v>0</v>
      </c>
      <c r="N37" s="19">
        <v>0</v>
      </c>
      <c r="O37" s="19">
        <v>0</v>
      </c>
      <c r="P37" s="219">
        <v>49.23</v>
      </c>
      <c r="Q37" s="219">
        <v>0</v>
      </c>
      <c r="R37" s="219">
        <v>-1665.08</v>
      </c>
      <c r="S37" s="219">
        <v>0</v>
      </c>
      <c r="T37" s="19">
        <v>0</v>
      </c>
      <c r="U37" s="19">
        <v>0</v>
      </c>
      <c r="V37" s="19">
        <v>0</v>
      </c>
      <c r="W37" s="19">
        <v>0</v>
      </c>
      <c r="X37" s="19">
        <v>0</v>
      </c>
      <c r="Y37" s="217">
        <v>0</v>
      </c>
      <c r="Z37" s="3">
        <f t="shared" si="1"/>
        <v>8303.1</v>
      </c>
      <c r="AA37" s="3">
        <f t="shared" si="2"/>
        <v>152381.26</v>
      </c>
      <c r="AB37" s="3">
        <f t="shared" si="4"/>
        <v>22592.080000000002</v>
      </c>
      <c r="AC37" s="3">
        <f>ROUND(MAX(0,(D37-V37)*'Shift 14'!$B$2),2)</f>
        <v>0</v>
      </c>
      <c r="AD37" s="3">
        <f t="shared" si="3"/>
        <v>0</v>
      </c>
      <c r="AE37" s="3">
        <f t="shared" si="5"/>
        <v>0</v>
      </c>
      <c r="AF37" s="214">
        <v>95</v>
      </c>
      <c r="AG37" s="214">
        <v>1</v>
      </c>
      <c r="AH37" s="3">
        <v>0</v>
      </c>
      <c r="AI37" s="3">
        <v>0</v>
      </c>
      <c r="AJ37" s="3">
        <v>0</v>
      </c>
      <c r="AK37" s="3">
        <v>0</v>
      </c>
      <c r="AL37" s="3">
        <v>9918.9500000000007</v>
      </c>
      <c r="AM37" s="3">
        <v>0</v>
      </c>
      <c r="AN37" s="3">
        <v>0</v>
      </c>
      <c r="AO37" s="3">
        <v>0</v>
      </c>
      <c r="AP37" s="3">
        <v>0</v>
      </c>
      <c r="AQ37" s="3">
        <v>49.23</v>
      </c>
      <c r="AR37" s="3">
        <v>0</v>
      </c>
      <c r="AS37" s="3">
        <v>-1665.08</v>
      </c>
      <c r="AT37" s="3">
        <v>0</v>
      </c>
      <c r="AU37" s="3">
        <f t="shared" si="6"/>
        <v>0</v>
      </c>
      <c r="AV37" s="17">
        <v>95</v>
      </c>
      <c r="AW37" s="17">
        <v>95</v>
      </c>
      <c r="AX37" s="17">
        <v>1</v>
      </c>
      <c r="AY37" s="3" t="s">
        <v>33</v>
      </c>
      <c r="AZ37" s="3">
        <v>0</v>
      </c>
      <c r="BA37" s="19">
        <v>0</v>
      </c>
    </row>
    <row r="38" spans="1:53" x14ac:dyDescent="0.2">
      <c r="A38" s="17">
        <v>97</v>
      </c>
      <c r="B38" s="17">
        <v>1</v>
      </c>
      <c r="C38" s="3" t="s">
        <v>34</v>
      </c>
      <c r="D38" s="3">
        <f>Levy!F39</f>
        <v>187691.61</v>
      </c>
      <c r="E38" s="3">
        <f>Levy!G39</f>
        <v>66911.27</v>
      </c>
      <c r="F38" s="3">
        <f>Levy!H39</f>
        <v>0</v>
      </c>
      <c r="G38" s="3">
        <f>Levy!I39</f>
        <v>216914.49</v>
      </c>
      <c r="H38" s="217">
        <f>Levy!J39</f>
        <v>55684.65</v>
      </c>
      <c r="I38" s="219">
        <v>0</v>
      </c>
      <c r="J38" s="219">
        <v>15000</v>
      </c>
      <c r="K38" s="219">
        <v>8610.92</v>
      </c>
      <c r="L38" s="219">
        <v>0</v>
      </c>
      <c r="M38" s="219">
        <v>0</v>
      </c>
      <c r="N38" s="19">
        <v>0</v>
      </c>
      <c r="O38" s="19">
        <v>0</v>
      </c>
      <c r="P38" s="219">
        <v>-9383.42</v>
      </c>
      <c r="Q38" s="219">
        <v>0</v>
      </c>
      <c r="R38" s="219">
        <v>10000</v>
      </c>
      <c r="S38" s="219">
        <v>0</v>
      </c>
      <c r="T38" s="19">
        <v>0</v>
      </c>
      <c r="U38" s="19">
        <v>0</v>
      </c>
      <c r="V38" s="19">
        <v>0</v>
      </c>
      <c r="W38" s="19">
        <v>0</v>
      </c>
      <c r="X38" s="19">
        <v>0</v>
      </c>
      <c r="Y38" s="217">
        <v>31851.86</v>
      </c>
      <c r="Z38" s="3">
        <f t="shared" si="1"/>
        <v>24227.5</v>
      </c>
      <c r="AA38" s="3">
        <f t="shared" si="2"/>
        <v>259598.26</v>
      </c>
      <c r="AB38" s="3">
        <f t="shared" si="4"/>
        <v>55684.65</v>
      </c>
      <c r="AC38" s="3">
        <f>ROUND(MAX(0,(D38-V38)*'Shift 14'!$B$2),2)</f>
        <v>0</v>
      </c>
      <c r="AD38" s="3">
        <f t="shared" si="3"/>
        <v>31851.86</v>
      </c>
      <c r="AE38" s="3">
        <f t="shared" si="5"/>
        <v>0</v>
      </c>
      <c r="AF38" s="214">
        <v>97</v>
      </c>
      <c r="AG38" s="214">
        <v>1</v>
      </c>
      <c r="AH38" s="3">
        <v>0</v>
      </c>
      <c r="AI38" s="3">
        <v>0</v>
      </c>
      <c r="AJ38" s="3">
        <v>0</v>
      </c>
      <c r="AK38" s="3">
        <v>15000</v>
      </c>
      <c r="AL38" s="3">
        <v>8610.92</v>
      </c>
      <c r="AM38" s="3">
        <v>0</v>
      </c>
      <c r="AN38" s="3">
        <v>0</v>
      </c>
      <c r="AO38" s="3">
        <v>0</v>
      </c>
      <c r="AP38" s="3">
        <v>0</v>
      </c>
      <c r="AQ38" s="3">
        <v>-9383.42</v>
      </c>
      <c r="AR38" s="3">
        <v>0</v>
      </c>
      <c r="AS38" s="3">
        <v>10000</v>
      </c>
      <c r="AT38" s="3">
        <v>0</v>
      </c>
      <c r="AU38" s="3">
        <f t="shared" si="6"/>
        <v>0</v>
      </c>
      <c r="AV38" s="17">
        <v>97</v>
      </c>
      <c r="AW38" s="17">
        <v>97</v>
      </c>
      <c r="AX38" s="17">
        <v>1</v>
      </c>
      <c r="AY38" s="3" t="s">
        <v>34</v>
      </c>
      <c r="AZ38" s="3">
        <v>0</v>
      </c>
      <c r="BA38" s="19">
        <v>31851.86</v>
      </c>
    </row>
    <row r="39" spans="1:53" x14ac:dyDescent="0.2">
      <c r="A39" s="17">
        <v>99</v>
      </c>
      <c r="B39" s="17">
        <v>1</v>
      </c>
      <c r="C39" s="3" t="s">
        <v>35</v>
      </c>
      <c r="D39" s="3">
        <f>Levy!F40</f>
        <v>168793.08</v>
      </c>
      <c r="E39" s="3">
        <f>Levy!G40</f>
        <v>126435.7</v>
      </c>
      <c r="F39" s="3">
        <f>Levy!H40</f>
        <v>0</v>
      </c>
      <c r="G39" s="3">
        <f>Levy!I40</f>
        <v>282124.44</v>
      </c>
      <c r="H39" s="217">
        <f>Levy!J40</f>
        <v>45965.15</v>
      </c>
      <c r="I39" s="219">
        <v>0</v>
      </c>
      <c r="J39" s="219">
        <v>4000</v>
      </c>
      <c r="K39" s="219">
        <v>12144.5</v>
      </c>
      <c r="L39" s="219">
        <v>0</v>
      </c>
      <c r="M39" s="219">
        <v>0</v>
      </c>
      <c r="N39" s="19">
        <v>0</v>
      </c>
      <c r="O39" s="19">
        <v>0</v>
      </c>
      <c r="P39" s="219">
        <v>-6088.74</v>
      </c>
      <c r="Q39" s="219">
        <v>0</v>
      </c>
      <c r="R39" s="219">
        <v>-4125.05</v>
      </c>
      <c r="S39" s="219">
        <v>0</v>
      </c>
      <c r="T39" s="19">
        <v>0</v>
      </c>
      <c r="U39" s="19">
        <v>0</v>
      </c>
      <c r="V39" s="19">
        <v>0</v>
      </c>
      <c r="W39" s="19">
        <v>0</v>
      </c>
      <c r="X39" s="19">
        <v>11758.5</v>
      </c>
      <c r="Y39" s="217">
        <v>29606.959999999999</v>
      </c>
      <c r="Z39" s="3">
        <f t="shared" si="1"/>
        <v>5930.71</v>
      </c>
      <c r="AA39" s="3">
        <f t="shared" si="2"/>
        <v>390870.93</v>
      </c>
      <c r="AB39" s="3">
        <f t="shared" si="4"/>
        <v>45965.15</v>
      </c>
      <c r="AC39" s="3">
        <f>ROUND(MAX(0,(D39-V39)*'Shift 14'!$B$2),2)</f>
        <v>0</v>
      </c>
      <c r="AD39" s="3">
        <f t="shared" si="3"/>
        <v>29606.959999999999</v>
      </c>
      <c r="AE39" s="3">
        <f t="shared" si="5"/>
        <v>0</v>
      </c>
      <c r="AF39" s="214">
        <v>99</v>
      </c>
      <c r="AG39" s="214">
        <v>1</v>
      </c>
      <c r="AH39" s="3">
        <v>0</v>
      </c>
      <c r="AI39" s="3">
        <v>0</v>
      </c>
      <c r="AJ39" s="3">
        <v>0</v>
      </c>
      <c r="AK39" s="3">
        <v>4000</v>
      </c>
      <c r="AL39" s="3">
        <v>12144.5</v>
      </c>
      <c r="AM39" s="3">
        <v>0</v>
      </c>
      <c r="AN39" s="3">
        <v>0</v>
      </c>
      <c r="AO39" s="3">
        <v>0</v>
      </c>
      <c r="AP39" s="3">
        <v>0</v>
      </c>
      <c r="AQ39" s="3">
        <v>-6088.74</v>
      </c>
      <c r="AR39" s="3">
        <v>0</v>
      </c>
      <c r="AS39" s="3">
        <v>-4125.05</v>
      </c>
      <c r="AT39" s="3">
        <v>0</v>
      </c>
      <c r="AU39" s="3">
        <f t="shared" si="6"/>
        <v>0</v>
      </c>
      <c r="AV39" s="17">
        <v>99</v>
      </c>
      <c r="AW39" s="17">
        <v>99</v>
      </c>
      <c r="AX39" s="17">
        <v>1</v>
      </c>
      <c r="AY39" s="3" t="s">
        <v>35</v>
      </c>
      <c r="AZ39" s="3">
        <v>11758.5</v>
      </c>
      <c r="BA39" s="19">
        <v>29606.959999999999</v>
      </c>
    </row>
    <row r="40" spans="1:53" x14ac:dyDescent="0.2">
      <c r="A40" s="17">
        <v>100</v>
      </c>
      <c r="B40" s="17">
        <v>1</v>
      </c>
      <c r="C40" s="3" t="s">
        <v>36</v>
      </c>
      <c r="D40" s="3">
        <f>Levy!F41</f>
        <v>207907</v>
      </c>
      <c r="E40" s="3">
        <f>Levy!G41</f>
        <v>45201.54</v>
      </c>
      <c r="F40" s="3">
        <f>Levy!H41</f>
        <v>0</v>
      </c>
      <c r="G40" s="3">
        <f>Levy!I41</f>
        <v>259891.17</v>
      </c>
      <c r="H40" s="217">
        <f>Levy!J41</f>
        <v>27245.69</v>
      </c>
      <c r="I40" s="219">
        <v>0</v>
      </c>
      <c r="J40" s="219">
        <v>12000</v>
      </c>
      <c r="K40" s="219">
        <v>13407.94</v>
      </c>
      <c r="L40" s="219">
        <v>0</v>
      </c>
      <c r="M40" s="219">
        <v>0</v>
      </c>
      <c r="N40" s="19">
        <v>0</v>
      </c>
      <c r="O40" s="19">
        <v>0</v>
      </c>
      <c r="P40" s="219">
        <v>3928</v>
      </c>
      <c r="Q40" s="219">
        <v>0</v>
      </c>
      <c r="R40" s="219">
        <v>-1665.08</v>
      </c>
      <c r="S40" s="219">
        <v>0</v>
      </c>
      <c r="T40" s="19">
        <v>0</v>
      </c>
      <c r="U40" s="19">
        <v>0</v>
      </c>
      <c r="V40" s="19">
        <v>0</v>
      </c>
      <c r="W40" s="19">
        <v>0</v>
      </c>
      <c r="X40" s="19">
        <v>10979.92</v>
      </c>
      <c r="Y40" s="217">
        <v>14322.89</v>
      </c>
      <c r="Z40" s="3">
        <f t="shared" si="1"/>
        <v>27670.86</v>
      </c>
      <c r="AA40" s="3">
        <f t="shared" si="2"/>
        <v>266441.93</v>
      </c>
      <c r="AB40" s="3">
        <f t="shared" si="4"/>
        <v>27245.69</v>
      </c>
      <c r="AC40" s="3">
        <f>ROUND(MAX(0,(D40-V40)*'Shift 14'!$B$2),2)</f>
        <v>0</v>
      </c>
      <c r="AD40" s="3">
        <f t="shared" si="3"/>
        <v>14322.89</v>
      </c>
      <c r="AE40" s="3">
        <f t="shared" si="5"/>
        <v>0</v>
      </c>
      <c r="AF40" s="214">
        <v>100</v>
      </c>
      <c r="AG40" s="214">
        <v>1</v>
      </c>
      <c r="AH40" s="3">
        <v>0</v>
      </c>
      <c r="AI40" s="3">
        <v>0</v>
      </c>
      <c r="AJ40" s="3">
        <v>0</v>
      </c>
      <c r="AK40" s="3">
        <v>12000</v>
      </c>
      <c r="AL40" s="3">
        <v>13407.94</v>
      </c>
      <c r="AM40" s="3">
        <v>0</v>
      </c>
      <c r="AN40" s="3">
        <v>0</v>
      </c>
      <c r="AO40" s="3">
        <v>0</v>
      </c>
      <c r="AP40" s="3">
        <v>0</v>
      </c>
      <c r="AQ40" s="3">
        <v>3928</v>
      </c>
      <c r="AR40" s="3">
        <v>0</v>
      </c>
      <c r="AS40" s="3">
        <v>-1665.08</v>
      </c>
      <c r="AT40" s="3">
        <v>0</v>
      </c>
      <c r="AU40" s="3">
        <f t="shared" si="6"/>
        <v>0</v>
      </c>
      <c r="AV40" s="17">
        <v>100</v>
      </c>
      <c r="AW40" s="17">
        <v>100</v>
      </c>
      <c r="AX40" s="17">
        <v>1</v>
      </c>
      <c r="AY40" s="3" t="s">
        <v>36</v>
      </c>
      <c r="AZ40" s="3">
        <v>10979.92</v>
      </c>
      <c r="BA40" s="19">
        <v>14322.89</v>
      </c>
    </row>
    <row r="41" spans="1:53" x14ac:dyDescent="0.2">
      <c r="A41" s="17">
        <v>108</v>
      </c>
      <c r="B41" s="17">
        <v>1</v>
      </c>
      <c r="C41" s="3" t="s">
        <v>1168</v>
      </c>
      <c r="D41" s="3">
        <f>Levy!F42</f>
        <v>0</v>
      </c>
      <c r="E41" s="3">
        <f>Levy!G42</f>
        <v>700309</v>
      </c>
      <c r="F41" s="3">
        <f>Levy!H42</f>
        <v>0</v>
      </c>
      <c r="G41" s="3">
        <f>Levy!I42</f>
        <v>594967</v>
      </c>
      <c r="H41" s="217">
        <f>Levy!J42</f>
        <v>128442</v>
      </c>
      <c r="I41" s="219">
        <v>0</v>
      </c>
      <c r="J41" s="219">
        <v>15000</v>
      </c>
      <c r="K41" s="219">
        <v>30768.43</v>
      </c>
      <c r="L41" s="219">
        <v>0</v>
      </c>
      <c r="M41" s="219">
        <v>0</v>
      </c>
      <c r="N41" s="19">
        <v>0</v>
      </c>
      <c r="O41" s="19">
        <v>0</v>
      </c>
      <c r="P41" s="219">
        <v>1320.53</v>
      </c>
      <c r="Q41" s="219">
        <v>0</v>
      </c>
      <c r="R41" s="219">
        <v>-3900.92</v>
      </c>
      <c r="S41" s="219">
        <v>0</v>
      </c>
      <c r="T41" s="19">
        <v>0</v>
      </c>
      <c r="U41" s="19">
        <v>0</v>
      </c>
      <c r="V41" s="19">
        <v>0</v>
      </c>
      <c r="W41" s="19">
        <v>0</v>
      </c>
      <c r="X41" s="19">
        <v>0</v>
      </c>
      <c r="Y41" s="217">
        <v>63073.58</v>
      </c>
      <c r="Z41" s="3">
        <f t="shared" si="1"/>
        <v>43188.04</v>
      </c>
      <c r="AA41" s="3">
        <f t="shared" si="2"/>
        <v>1252087.96</v>
      </c>
      <c r="AB41" s="3">
        <f t="shared" si="4"/>
        <v>128442</v>
      </c>
      <c r="AC41" s="3">
        <f>ROUND(MAX(0,(D41-V41)*'Shift 14'!$B$2),2)</f>
        <v>0</v>
      </c>
      <c r="AD41" s="3">
        <f t="shared" si="3"/>
        <v>63073.58</v>
      </c>
      <c r="AE41" s="3">
        <f t="shared" si="5"/>
        <v>0</v>
      </c>
      <c r="AF41" s="214">
        <v>108</v>
      </c>
      <c r="AG41" s="214">
        <v>1</v>
      </c>
      <c r="AH41" s="3">
        <v>0</v>
      </c>
      <c r="AI41" s="3">
        <v>0</v>
      </c>
      <c r="AJ41" s="3">
        <v>0</v>
      </c>
      <c r="AK41" s="3">
        <v>15000</v>
      </c>
      <c r="AL41" s="3">
        <v>30768.43</v>
      </c>
      <c r="AM41" s="3">
        <v>0</v>
      </c>
      <c r="AN41" s="3">
        <v>0</v>
      </c>
      <c r="AO41" s="3">
        <v>0</v>
      </c>
      <c r="AP41" s="3">
        <v>0</v>
      </c>
      <c r="AQ41" s="3">
        <v>1320.53</v>
      </c>
      <c r="AR41" s="3">
        <v>0</v>
      </c>
      <c r="AS41" s="3">
        <v>-3900.92</v>
      </c>
      <c r="AT41" s="3">
        <v>0</v>
      </c>
      <c r="AU41" s="3">
        <f t="shared" si="6"/>
        <v>0</v>
      </c>
      <c r="AV41" s="17">
        <v>108</v>
      </c>
      <c r="AW41" s="17">
        <v>108</v>
      </c>
      <c r="AX41" s="17">
        <v>1</v>
      </c>
      <c r="AY41" s="3" t="s">
        <v>37</v>
      </c>
      <c r="AZ41" s="3">
        <v>0</v>
      </c>
      <c r="BA41" s="19">
        <v>63073.58</v>
      </c>
    </row>
    <row r="42" spans="1:53" x14ac:dyDescent="0.2">
      <c r="A42" s="17">
        <v>110</v>
      </c>
      <c r="B42" s="17">
        <v>1</v>
      </c>
      <c r="C42" s="3" t="s">
        <v>38</v>
      </c>
      <c r="D42" s="3">
        <f>Levy!F43</f>
        <v>962030</v>
      </c>
      <c r="E42" s="3">
        <f>Levy!G43</f>
        <v>1787534</v>
      </c>
      <c r="F42" s="3">
        <f>Levy!H43</f>
        <v>0</v>
      </c>
      <c r="G42" s="3">
        <f>Levy!I43</f>
        <v>1324842</v>
      </c>
      <c r="H42" s="217">
        <f>Levy!J43</f>
        <v>263254</v>
      </c>
      <c r="I42" s="219">
        <v>0</v>
      </c>
      <c r="J42" s="219">
        <v>36800</v>
      </c>
      <c r="K42" s="219">
        <v>63891.89</v>
      </c>
      <c r="L42" s="219">
        <v>0</v>
      </c>
      <c r="M42" s="219">
        <v>0</v>
      </c>
      <c r="N42" s="19">
        <v>0</v>
      </c>
      <c r="O42" s="19">
        <v>0</v>
      </c>
      <c r="P42" s="219">
        <v>3117.51</v>
      </c>
      <c r="Q42" s="219">
        <v>0</v>
      </c>
      <c r="R42" s="219">
        <v>-15875.67</v>
      </c>
      <c r="S42" s="219">
        <v>0</v>
      </c>
      <c r="T42" s="19">
        <v>0</v>
      </c>
      <c r="U42" s="19">
        <v>0</v>
      </c>
      <c r="V42" s="19">
        <v>0</v>
      </c>
      <c r="W42" s="19">
        <v>0</v>
      </c>
      <c r="X42" s="19">
        <v>47580.01</v>
      </c>
      <c r="Y42" s="217">
        <v>263386.8</v>
      </c>
      <c r="Z42" s="3">
        <f t="shared" si="1"/>
        <v>87933.73</v>
      </c>
      <c r="AA42" s="3">
        <f t="shared" si="2"/>
        <v>2976862.26</v>
      </c>
      <c r="AB42" s="3">
        <f t="shared" si="4"/>
        <v>263254</v>
      </c>
      <c r="AC42" s="3">
        <f>ROUND(MAX(0,(D42-V42)*'Shift 14'!$B$2),2)</f>
        <v>0</v>
      </c>
      <c r="AD42" s="3">
        <f t="shared" si="3"/>
        <v>263386.8</v>
      </c>
      <c r="AE42" s="3">
        <f t="shared" si="5"/>
        <v>0</v>
      </c>
      <c r="AF42" s="214">
        <v>110</v>
      </c>
      <c r="AG42" s="214">
        <v>1</v>
      </c>
      <c r="AH42" s="3">
        <v>0</v>
      </c>
      <c r="AI42" s="3">
        <v>0</v>
      </c>
      <c r="AJ42" s="3">
        <v>0</v>
      </c>
      <c r="AK42" s="3">
        <v>36800</v>
      </c>
      <c r="AL42" s="3">
        <v>63891.89</v>
      </c>
      <c r="AM42" s="3">
        <v>0</v>
      </c>
      <c r="AN42" s="3">
        <v>0</v>
      </c>
      <c r="AO42" s="3">
        <v>0</v>
      </c>
      <c r="AP42" s="3">
        <v>0</v>
      </c>
      <c r="AQ42" s="3">
        <v>3117.51</v>
      </c>
      <c r="AR42" s="3">
        <v>0</v>
      </c>
      <c r="AS42" s="3">
        <v>-15875.67</v>
      </c>
      <c r="AT42" s="3">
        <v>0</v>
      </c>
      <c r="AU42" s="3">
        <f t="shared" si="6"/>
        <v>0</v>
      </c>
      <c r="AV42" s="17">
        <v>110</v>
      </c>
      <c r="AW42" s="17">
        <v>110</v>
      </c>
      <c r="AX42" s="17">
        <v>1</v>
      </c>
      <c r="AY42" s="3" t="s">
        <v>38</v>
      </c>
      <c r="AZ42" s="3">
        <v>47580.01</v>
      </c>
      <c r="BA42" s="19">
        <v>263386.8</v>
      </c>
    </row>
    <row r="43" spans="1:53" x14ac:dyDescent="0.2">
      <c r="A43" s="17">
        <v>111</v>
      </c>
      <c r="B43" s="17">
        <v>1</v>
      </c>
      <c r="C43" s="3" t="s">
        <v>39</v>
      </c>
      <c r="D43" s="3">
        <f>Levy!F44</f>
        <v>0</v>
      </c>
      <c r="E43" s="3">
        <f>Levy!G44</f>
        <v>1000868</v>
      </c>
      <c r="F43" s="3">
        <f>Levy!H44</f>
        <v>0</v>
      </c>
      <c r="G43" s="3">
        <f>Levy!I44</f>
        <v>161932</v>
      </c>
      <c r="H43" s="217">
        <f>Levy!J44</f>
        <v>287652</v>
      </c>
      <c r="I43" s="219">
        <v>0</v>
      </c>
      <c r="J43" s="219">
        <v>27000</v>
      </c>
      <c r="K43" s="219">
        <v>35328.99</v>
      </c>
      <c r="L43" s="219">
        <v>0</v>
      </c>
      <c r="M43" s="219">
        <v>0</v>
      </c>
      <c r="N43" s="19">
        <v>0</v>
      </c>
      <c r="O43" s="19">
        <v>0</v>
      </c>
      <c r="P43" s="219">
        <v>-7967.4</v>
      </c>
      <c r="Q43" s="219">
        <v>0</v>
      </c>
      <c r="R43" s="219">
        <v>-8949.52</v>
      </c>
      <c r="S43" s="219">
        <v>0</v>
      </c>
      <c r="T43" s="19">
        <v>0</v>
      </c>
      <c r="U43" s="19">
        <v>0</v>
      </c>
      <c r="V43" s="19">
        <v>0</v>
      </c>
      <c r="W43" s="19">
        <v>0</v>
      </c>
      <c r="X43" s="19">
        <v>14098.14</v>
      </c>
      <c r="Y43" s="217">
        <v>53287.46</v>
      </c>
      <c r="Z43" s="3">
        <f t="shared" si="1"/>
        <v>45412.069999999992</v>
      </c>
      <c r="AA43" s="3">
        <f t="shared" si="2"/>
        <v>1103289.79</v>
      </c>
      <c r="AB43" s="3">
        <f t="shared" si="4"/>
        <v>287652</v>
      </c>
      <c r="AC43" s="3">
        <f>ROUND(MAX(0,(D43-V43)*'Shift 14'!$B$2),2)</f>
        <v>0</v>
      </c>
      <c r="AD43" s="3">
        <f t="shared" si="3"/>
        <v>53287.46</v>
      </c>
      <c r="AE43" s="3">
        <f t="shared" si="5"/>
        <v>0</v>
      </c>
      <c r="AF43" s="214">
        <v>111</v>
      </c>
      <c r="AG43" s="214">
        <v>1</v>
      </c>
      <c r="AH43" s="3">
        <v>0</v>
      </c>
      <c r="AI43" s="3">
        <v>0</v>
      </c>
      <c r="AJ43" s="3">
        <v>0</v>
      </c>
      <c r="AK43" s="3">
        <v>27000</v>
      </c>
      <c r="AL43" s="3">
        <v>35328.99</v>
      </c>
      <c r="AM43" s="3">
        <v>0</v>
      </c>
      <c r="AN43" s="3">
        <v>0</v>
      </c>
      <c r="AO43" s="3">
        <v>0</v>
      </c>
      <c r="AP43" s="3">
        <v>0</v>
      </c>
      <c r="AQ43" s="3">
        <v>-7967.4</v>
      </c>
      <c r="AR43" s="3">
        <v>0</v>
      </c>
      <c r="AS43" s="3">
        <v>-8949.52</v>
      </c>
      <c r="AT43" s="3">
        <v>0</v>
      </c>
      <c r="AU43" s="3">
        <f t="shared" si="6"/>
        <v>0</v>
      </c>
      <c r="AV43" s="17">
        <v>111</v>
      </c>
      <c r="AW43" s="17">
        <v>111</v>
      </c>
      <c r="AX43" s="17">
        <v>1</v>
      </c>
      <c r="AY43" s="3" t="s">
        <v>39</v>
      </c>
      <c r="AZ43" s="3">
        <v>14098.14</v>
      </c>
      <c r="BA43" s="19">
        <v>53287.46</v>
      </c>
    </row>
    <row r="44" spans="1:53" x14ac:dyDescent="0.2">
      <c r="A44" s="17">
        <v>112</v>
      </c>
      <c r="B44" s="17">
        <v>1</v>
      </c>
      <c r="C44" s="3" t="s">
        <v>1169</v>
      </c>
      <c r="D44" s="3">
        <f>Levy!F45</f>
        <v>7330635</v>
      </c>
      <c r="E44" s="3">
        <f>Levy!G45</f>
        <v>5180251</v>
      </c>
      <c r="F44" s="3">
        <f>Levy!H45</f>
        <v>2450000</v>
      </c>
      <c r="G44" s="3">
        <f>Levy!I45</f>
        <v>3827860</v>
      </c>
      <c r="H44" s="217">
        <f>Levy!J45</f>
        <v>731300</v>
      </c>
      <c r="I44" s="219">
        <v>0</v>
      </c>
      <c r="J44" s="219">
        <v>10000</v>
      </c>
      <c r="K44" s="219">
        <v>172507.89</v>
      </c>
      <c r="L44" s="219">
        <v>0</v>
      </c>
      <c r="M44" s="219">
        <v>0</v>
      </c>
      <c r="N44" s="19">
        <v>0</v>
      </c>
      <c r="O44" s="19">
        <v>0</v>
      </c>
      <c r="P44" s="219">
        <v>-73585.740000000005</v>
      </c>
      <c r="Q44" s="219">
        <v>0</v>
      </c>
      <c r="R44" s="219">
        <v>-32877.730000000003</v>
      </c>
      <c r="S44" s="219">
        <v>0</v>
      </c>
      <c r="T44" s="19">
        <v>0</v>
      </c>
      <c r="U44" s="19">
        <v>0</v>
      </c>
      <c r="V44" s="19">
        <v>0</v>
      </c>
      <c r="W44" s="19">
        <v>0</v>
      </c>
      <c r="X44" s="19">
        <v>41804.71</v>
      </c>
      <c r="Y44" s="217">
        <v>1809944.64</v>
      </c>
      <c r="Z44" s="3">
        <f t="shared" si="1"/>
        <v>76044.420000000013</v>
      </c>
      <c r="AA44" s="3">
        <f t="shared" si="2"/>
        <v>11340261.869999999</v>
      </c>
      <c r="AB44" s="3">
        <f t="shared" si="4"/>
        <v>731300</v>
      </c>
      <c r="AC44" s="3">
        <f>ROUND(MAX(0,(D44-V44)*'Shift 14'!$B$2),2)</f>
        <v>0</v>
      </c>
      <c r="AD44" s="3">
        <f t="shared" si="3"/>
        <v>1809944.64</v>
      </c>
      <c r="AE44" s="3">
        <f t="shared" si="5"/>
        <v>0</v>
      </c>
      <c r="AF44" s="214">
        <v>112</v>
      </c>
      <c r="AG44" s="214">
        <v>1</v>
      </c>
      <c r="AH44" s="3">
        <v>0</v>
      </c>
      <c r="AI44" s="3">
        <v>0</v>
      </c>
      <c r="AJ44" s="3">
        <v>0</v>
      </c>
      <c r="AK44" s="3">
        <v>10000</v>
      </c>
      <c r="AL44" s="3">
        <v>172507.89</v>
      </c>
      <c r="AM44" s="3">
        <v>0</v>
      </c>
      <c r="AN44" s="3">
        <v>0</v>
      </c>
      <c r="AO44" s="3">
        <v>0</v>
      </c>
      <c r="AP44" s="3">
        <v>0</v>
      </c>
      <c r="AQ44" s="3">
        <v>-73585.740000000005</v>
      </c>
      <c r="AR44" s="3">
        <v>0</v>
      </c>
      <c r="AS44" s="3">
        <v>-32877.730000000003</v>
      </c>
      <c r="AT44" s="3">
        <v>0</v>
      </c>
      <c r="AU44" s="3">
        <f t="shared" si="6"/>
        <v>0</v>
      </c>
      <c r="AV44" s="17">
        <v>112</v>
      </c>
      <c r="AW44" s="17">
        <v>112</v>
      </c>
      <c r="AX44" s="17">
        <v>1</v>
      </c>
      <c r="AY44" s="3" t="s">
        <v>40</v>
      </c>
      <c r="AZ44" s="3">
        <v>41804.71</v>
      </c>
      <c r="BA44" s="19">
        <v>1809944.64</v>
      </c>
    </row>
    <row r="45" spans="1:53" x14ac:dyDescent="0.2">
      <c r="A45" s="17">
        <v>113</v>
      </c>
      <c r="B45" s="17">
        <v>1</v>
      </c>
      <c r="C45" s="3" t="s">
        <v>1170</v>
      </c>
      <c r="D45" s="3">
        <f>Levy!F46</f>
        <v>0</v>
      </c>
      <c r="E45" s="3">
        <f>Levy!G46</f>
        <v>398066.27</v>
      </c>
      <c r="F45" s="3">
        <f>Levy!H46</f>
        <v>0</v>
      </c>
      <c r="G45" s="3">
        <f>Levy!I46</f>
        <v>524330.23999999999</v>
      </c>
      <c r="H45" s="217">
        <f>Levy!J46</f>
        <v>104010.57</v>
      </c>
      <c r="I45" s="219">
        <v>0</v>
      </c>
      <c r="J45" s="219">
        <v>11844</v>
      </c>
      <c r="K45" s="219">
        <v>28119.97</v>
      </c>
      <c r="L45" s="219">
        <v>0</v>
      </c>
      <c r="M45" s="219">
        <v>0</v>
      </c>
      <c r="N45" s="19">
        <v>0</v>
      </c>
      <c r="O45" s="19">
        <v>0</v>
      </c>
      <c r="P45" s="219">
        <v>2370.6</v>
      </c>
      <c r="Q45" s="219">
        <v>0</v>
      </c>
      <c r="R45" s="219">
        <v>-9779.92</v>
      </c>
      <c r="S45" s="219">
        <v>0</v>
      </c>
      <c r="T45" s="19">
        <v>0</v>
      </c>
      <c r="U45" s="19">
        <v>0</v>
      </c>
      <c r="V45" s="19">
        <v>0</v>
      </c>
      <c r="W45" s="19">
        <v>0</v>
      </c>
      <c r="X45" s="19">
        <v>0</v>
      </c>
      <c r="Y45" s="217">
        <v>0</v>
      </c>
      <c r="Z45" s="3">
        <f t="shared" si="1"/>
        <v>32554.65</v>
      </c>
      <c r="AA45" s="3">
        <f t="shared" si="2"/>
        <v>889841.86</v>
      </c>
      <c r="AB45" s="3">
        <f t="shared" si="4"/>
        <v>104010.57</v>
      </c>
      <c r="AC45" s="3">
        <f>ROUND(MAX(0,(D45-V45)*'Shift 14'!$B$2),2)</f>
        <v>0</v>
      </c>
      <c r="AD45" s="3">
        <f t="shared" si="3"/>
        <v>0</v>
      </c>
      <c r="AE45" s="3">
        <f t="shared" si="5"/>
        <v>0</v>
      </c>
      <c r="AF45" s="214">
        <v>113</v>
      </c>
      <c r="AG45" s="214">
        <v>1</v>
      </c>
      <c r="AH45" s="3">
        <v>0</v>
      </c>
      <c r="AI45" s="3">
        <v>0</v>
      </c>
      <c r="AJ45" s="3">
        <v>0</v>
      </c>
      <c r="AK45" s="3">
        <v>11844</v>
      </c>
      <c r="AL45" s="3">
        <v>28119.97</v>
      </c>
      <c r="AM45" s="3">
        <v>0</v>
      </c>
      <c r="AN45" s="3">
        <v>0</v>
      </c>
      <c r="AO45" s="3">
        <v>0</v>
      </c>
      <c r="AP45" s="3">
        <v>0</v>
      </c>
      <c r="AQ45" s="3">
        <v>2370.6</v>
      </c>
      <c r="AR45" s="3">
        <v>0</v>
      </c>
      <c r="AS45" s="3">
        <v>-9779.92</v>
      </c>
      <c r="AT45" s="3">
        <v>0</v>
      </c>
      <c r="AU45" s="3">
        <f t="shared" si="6"/>
        <v>0</v>
      </c>
      <c r="AV45" s="17">
        <v>113</v>
      </c>
      <c r="AW45" s="17">
        <v>113</v>
      </c>
      <c r="AX45" s="17">
        <v>1</v>
      </c>
      <c r="AY45" s="3" t="s">
        <v>41</v>
      </c>
      <c r="AZ45" s="3">
        <v>0</v>
      </c>
      <c r="BA45" s="19">
        <v>0</v>
      </c>
    </row>
    <row r="46" spans="1:53" x14ac:dyDescent="0.2">
      <c r="A46" s="17">
        <v>115</v>
      </c>
      <c r="B46" s="17">
        <v>1</v>
      </c>
      <c r="C46" s="3" t="s">
        <v>1171</v>
      </c>
      <c r="D46" s="3">
        <f>Levy!F47</f>
        <v>0</v>
      </c>
      <c r="E46" s="3">
        <f>Levy!G47</f>
        <v>450974.14</v>
      </c>
      <c r="F46" s="3">
        <f>Levy!H47</f>
        <v>0</v>
      </c>
      <c r="G46" s="3">
        <f>Levy!I47</f>
        <v>266766.40999999997</v>
      </c>
      <c r="H46" s="217">
        <f>Levy!J47</f>
        <v>60104.29</v>
      </c>
      <c r="I46" s="219">
        <v>0</v>
      </c>
      <c r="J46" s="219">
        <v>31431</v>
      </c>
      <c r="K46" s="219">
        <v>0</v>
      </c>
      <c r="L46" s="219">
        <v>0</v>
      </c>
      <c r="M46" s="219">
        <v>0</v>
      </c>
      <c r="N46" s="19">
        <v>0</v>
      </c>
      <c r="O46" s="19">
        <v>0</v>
      </c>
      <c r="P46" s="219">
        <v>11007.27</v>
      </c>
      <c r="Q46" s="219">
        <v>0</v>
      </c>
      <c r="R46" s="219">
        <v>-11508.53</v>
      </c>
      <c r="S46" s="219">
        <v>0</v>
      </c>
      <c r="T46" s="19">
        <v>0</v>
      </c>
      <c r="U46" s="19">
        <v>0</v>
      </c>
      <c r="V46" s="19">
        <v>0</v>
      </c>
      <c r="W46" s="19">
        <v>0</v>
      </c>
      <c r="X46" s="19">
        <v>0</v>
      </c>
      <c r="Y46" s="217">
        <v>0</v>
      </c>
      <c r="Z46" s="3">
        <f t="shared" si="1"/>
        <v>30929.740000000005</v>
      </c>
      <c r="AA46" s="3">
        <f t="shared" si="2"/>
        <v>686810.81</v>
      </c>
      <c r="AB46" s="3">
        <f t="shared" si="4"/>
        <v>60104.29</v>
      </c>
      <c r="AC46" s="3">
        <f>ROUND(MAX(0,(D46-V46)*'Shift 14'!$B$2),2)</f>
        <v>0</v>
      </c>
      <c r="AD46" s="3">
        <f t="shared" si="3"/>
        <v>0</v>
      </c>
      <c r="AE46" s="3">
        <f t="shared" si="5"/>
        <v>0</v>
      </c>
      <c r="AF46" s="214">
        <v>115</v>
      </c>
      <c r="AG46" s="214">
        <v>1</v>
      </c>
      <c r="AH46" s="3">
        <v>0</v>
      </c>
      <c r="AI46" s="3">
        <v>0</v>
      </c>
      <c r="AJ46" s="3">
        <v>0</v>
      </c>
      <c r="AK46" s="3">
        <v>31431</v>
      </c>
      <c r="AL46" s="3">
        <v>0</v>
      </c>
      <c r="AM46" s="3">
        <v>0</v>
      </c>
      <c r="AN46" s="3">
        <v>0</v>
      </c>
      <c r="AO46" s="3">
        <v>0</v>
      </c>
      <c r="AP46" s="3">
        <v>0</v>
      </c>
      <c r="AQ46" s="3">
        <v>11007.27</v>
      </c>
      <c r="AR46" s="3">
        <v>0</v>
      </c>
      <c r="AS46" s="3">
        <v>-11508.53</v>
      </c>
      <c r="AT46" s="3">
        <v>0</v>
      </c>
      <c r="AU46" s="3">
        <f t="shared" si="6"/>
        <v>0</v>
      </c>
      <c r="AV46" s="17">
        <v>115</v>
      </c>
      <c r="AW46" s="17">
        <v>115</v>
      </c>
      <c r="AX46" s="17">
        <v>1</v>
      </c>
      <c r="AY46" s="3" t="s">
        <v>42</v>
      </c>
      <c r="AZ46" s="3">
        <v>0</v>
      </c>
      <c r="BA46" s="19">
        <v>0</v>
      </c>
    </row>
    <row r="47" spans="1:53" x14ac:dyDescent="0.2">
      <c r="A47" s="17">
        <v>116</v>
      </c>
      <c r="B47" s="17">
        <v>1</v>
      </c>
      <c r="C47" s="3" t="s">
        <v>43</v>
      </c>
      <c r="D47" s="3">
        <f>Levy!F48</f>
        <v>0</v>
      </c>
      <c r="E47" s="3">
        <f>Levy!G48</f>
        <v>333386.09999999998</v>
      </c>
      <c r="F47" s="3">
        <f>Levy!H48</f>
        <v>0</v>
      </c>
      <c r="G47" s="3">
        <f>Levy!I48</f>
        <v>276259.89</v>
      </c>
      <c r="H47" s="217">
        <f>Levy!J48</f>
        <v>92599.08</v>
      </c>
      <c r="I47" s="219">
        <v>0</v>
      </c>
      <c r="J47" s="219">
        <v>0</v>
      </c>
      <c r="K47" s="219">
        <v>0</v>
      </c>
      <c r="L47" s="219">
        <v>0</v>
      </c>
      <c r="M47" s="219">
        <v>0</v>
      </c>
      <c r="N47" s="19">
        <v>0</v>
      </c>
      <c r="O47" s="19">
        <v>0</v>
      </c>
      <c r="P47" s="219">
        <v>-11541.47</v>
      </c>
      <c r="Q47" s="219">
        <v>0</v>
      </c>
      <c r="R47" s="219">
        <v>-2172.0100000000002</v>
      </c>
      <c r="S47" s="219">
        <v>0</v>
      </c>
      <c r="T47" s="19">
        <v>0</v>
      </c>
      <c r="U47" s="19">
        <v>0</v>
      </c>
      <c r="V47" s="19">
        <v>0</v>
      </c>
      <c r="W47" s="19">
        <v>0</v>
      </c>
      <c r="X47" s="19">
        <v>0</v>
      </c>
      <c r="Y47" s="217">
        <v>0</v>
      </c>
      <c r="Z47" s="3">
        <f t="shared" si="1"/>
        <v>-13713.48</v>
      </c>
      <c r="AA47" s="3">
        <f t="shared" si="2"/>
        <v>623359.47</v>
      </c>
      <c r="AB47" s="3">
        <f t="shared" si="4"/>
        <v>92599.08</v>
      </c>
      <c r="AC47" s="3">
        <f>ROUND(MAX(0,(D47-V47)*'Shift 14'!$B$2),2)</f>
        <v>0</v>
      </c>
      <c r="AD47" s="3">
        <f t="shared" si="3"/>
        <v>0</v>
      </c>
      <c r="AE47" s="3">
        <f t="shared" si="5"/>
        <v>0</v>
      </c>
      <c r="AF47" s="214">
        <v>116</v>
      </c>
      <c r="AG47" s="214">
        <v>1</v>
      </c>
      <c r="AH47" s="3">
        <v>0</v>
      </c>
      <c r="AI47" s="3">
        <v>0</v>
      </c>
      <c r="AJ47" s="3">
        <v>0</v>
      </c>
      <c r="AK47" s="3">
        <v>0</v>
      </c>
      <c r="AL47" s="3">
        <v>0</v>
      </c>
      <c r="AM47" s="3">
        <v>0</v>
      </c>
      <c r="AN47" s="3">
        <v>0</v>
      </c>
      <c r="AO47" s="3">
        <v>0</v>
      </c>
      <c r="AP47" s="3">
        <v>0</v>
      </c>
      <c r="AQ47" s="3">
        <v>-11541.47</v>
      </c>
      <c r="AR47" s="3">
        <v>0</v>
      </c>
      <c r="AS47" s="3">
        <v>-2172.0100000000002</v>
      </c>
      <c r="AT47" s="3">
        <v>0</v>
      </c>
      <c r="AU47" s="3">
        <f t="shared" si="6"/>
        <v>0</v>
      </c>
      <c r="AV47" s="17">
        <v>116</v>
      </c>
      <c r="AW47" s="17">
        <v>116</v>
      </c>
      <c r="AX47" s="17">
        <v>1</v>
      </c>
      <c r="AY47" s="3" t="s">
        <v>43</v>
      </c>
      <c r="AZ47" s="3">
        <v>0</v>
      </c>
      <c r="BA47" s="19">
        <v>0</v>
      </c>
    </row>
    <row r="48" spans="1:53" x14ac:dyDescent="0.2">
      <c r="A48" s="17">
        <v>118</v>
      </c>
      <c r="B48" s="17">
        <v>1</v>
      </c>
      <c r="C48" s="3" t="s">
        <v>44</v>
      </c>
      <c r="D48" s="3">
        <f>Levy!F49</f>
        <v>273980.59000000003</v>
      </c>
      <c r="E48" s="3">
        <f>Levy!G49</f>
        <v>38314.400000000001</v>
      </c>
      <c r="F48" s="3">
        <f>Levy!H49</f>
        <v>0</v>
      </c>
      <c r="G48" s="3">
        <f>Levy!I49</f>
        <v>246188.55</v>
      </c>
      <c r="H48" s="217">
        <f>Levy!J49</f>
        <v>36525.68</v>
      </c>
      <c r="I48" s="219">
        <v>0</v>
      </c>
      <c r="J48" s="219">
        <v>5000</v>
      </c>
      <c r="K48" s="219">
        <v>13235</v>
      </c>
      <c r="L48" s="219">
        <v>0</v>
      </c>
      <c r="M48" s="219">
        <v>0</v>
      </c>
      <c r="N48" s="19">
        <v>0</v>
      </c>
      <c r="O48" s="19">
        <v>0</v>
      </c>
      <c r="P48" s="219">
        <v>5411.07</v>
      </c>
      <c r="Q48" s="219">
        <v>0</v>
      </c>
      <c r="R48" s="219">
        <v>-2825</v>
      </c>
      <c r="S48" s="219">
        <v>0</v>
      </c>
      <c r="T48" s="19">
        <v>0</v>
      </c>
      <c r="U48" s="19">
        <v>0</v>
      </c>
      <c r="V48" s="19">
        <v>0</v>
      </c>
      <c r="W48" s="19">
        <v>0</v>
      </c>
      <c r="X48" s="19">
        <v>0</v>
      </c>
      <c r="Y48" s="217">
        <v>71477.7</v>
      </c>
      <c r="Z48" s="3">
        <f t="shared" si="1"/>
        <v>20821.07</v>
      </c>
      <c r="AA48" s="3">
        <f t="shared" si="2"/>
        <v>263681.88</v>
      </c>
      <c r="AB48" s="3">
        <f t="shared" si="4"/>
        <v>36525.68</v>
      </c>
      <c r="AC48" s="3">
        <f>ROUND(MAX(0,(D48-V48)*'Shift 14'!$B$2),2)</f>
        <v>0</v>
      </c>
      <c r="AD48" s="3">
        <f t="shared" si="3"/>
        <v>71477.7</v>
      </c>
      <c r="AE48" s="3">
        <f t="shared" si="5"/>
        <v>0</v>
      </c>
      <c r="AF48" s="214">
        <v>118</v>
      </c>
      <c r="AG48" s="214">
        <v>1</v>
      </c>
      <c r="AH48" s="3">
        <v>0</v>
      </c>
      <c r="AI48" s="3">
        <v>0</v>
      </c>
      <c r="AJ48" s="3">
        <v>0</v>
      </c>
      <c r="AK48" s="3">
        <v>5000</v>
      </c>
      <c r="AL48" s="3">
        <v>13235</v>
      </c>
      <c r="AM48" s="3">
        <v>0</v>
      </c>
      <c r="AN48" s="3">
        <v>0</v>
      </c>
      <c r="AO48" s="3">
        <v>0</v>
      </c>
      <c r="AP48" s="3">
        <v>0</v>
      </c>
      <c r="AQ48" s="3">
        <v>5411.07</v>
      </c>
      <c r="AR48" s="3">
        <v>0</v>
      </c>
      <c r="AS48" s="3">
        <v>-2825</v>
      </c>
      <c r="AT48" s="3">
        <v>0</v>
      </c>
      <c r="AU48" s="3">
        <f t="shared" si="6"/>
        <v>0</v>
      </c>
      <c r="AV48" s="17">
        <v>118</v>
      </c>
      <c r="AW48" s="17">
        <v>118</v>
      </c>
      <c r="AX48" s="17">
        <v>1</v>
      </c>
      <c r="AY48" s="3" t="s">
        <v>44</v>
      </c>
      <c r="AZ48" s="3">
        <v>0</v>
      </c>
      <c r="BA48" s="19">
        <v>71477.7</v>
      </c>
    </row>
    <row r="49" spans="1:53" x14ac:dyDescent="0.2">
      <c r="A49" s="17">
        <v>129</v>
      </c>
      <c r="B49" s="17">
        <v>1</v>
      </c>
      <c r="C49" s="3" t="s">
        <v>45</v>
      </c>
      <c r="D49" s="3">
        <f>Levy!F50</f>
        <v>672844.96</v>
      </c>
      <c r="E49" s="3">
        <f>Levy!G50</f>
        <v>80260.09</v>
      </c>
      <c r="F49" s="3">
        <f>Levy!H50</f>
        <v>0</v>
      </c>
      <c r="G49" s="3">
        <f>Levy!I50</f>
        <v>319254.57</v>
      </c>
      <c r="H49" s="217">
        <f>Levy!J50</f>
        <v>106164.87</v>
      </c>
      <c r="I49" s="219">
        <v>0</v>
      </c>
      <c r="J49" s="219">
        <v>15000</v>
      </c>
      <c r="K49" s="219">
        <v>62130.17</v>
      </c>
      <c r="L49" s="219">
        <v>0</v>
      </c>
      <c r="M49" s="219">
        <v>0</v>
      </c>
      <c r="N49" s="19">
        <v>0</v>
      </c>
      <c r="O49" s="19">
        <v>0</v>
      </c>
      <c r="P49" s="219">
        <v>-17815.8</v>
      </c>
      <c r="Q49" s="219">
        <v>0</v>
      </c>
      <c r="R49" s="219">
        <v>-13318.8</v>
      </c>
      <c r="S49" s="219">
        <v>0</v>
      </c>
      <c r="T49" s="19">
        <v>0</v>
      </c>
      <c r="U49" s="19">
        <v>0</v>
      </c>
      <c r="V49" s="19">
        <v>0</v>
      </c>
      <c r="W49" s="19">
        <v>0</v>
      </c>
      <c r="X49" s="19">
        <v>0</v>
      </c>
      <c r="Y49" s="217">
        <v>76642.47</v>
      </c>
      <c r="Z49" s="3">
        <f t="shared" si="1"/>
        <v>45995.569999999992</v>
      </c>
      <c r="AA49" s="3">
        <f t="shared" si="2"/>
        <v>353519.09</v>
      </c>
      <c r="AB49" s="3">
        <f t="shared" si="4"/>
        <v>106164.87</v>
      </c>
      <c r="AC49" s="3">
        <f>ROUND(MAX(0,(D49-V49)*'Shift 14'!$B$2),2)</f>
        <v>0</v>
      </c>
      <c r="AD49" s="3">
        <f t="shared" si="3"/>
        <v>76642.47</v>
      </c>
      <c r="AE49" s="3">
        <f t="shared" si="5"/>
        <v>0</v>
      </c>
      <c r="AF49" s="214">
        <v>129</v>
      </c>
      <c r="AG49" s="214">
        <v>1</v>
      </c>
      <c r="AH49" s="3">
        <v>0</v>
      </c>
      <c r="AI49" s="3">
        <v>0</v>
      </c>
      <c r="AJ49" s="3">
        <v>35782.46</v>
      </c>
      <c r="AK49" s="3">
        <v>15000</v>
      </c>
      <c r="AL49" s="3">
        <v>62130.17</v>
      </c>
      <c r="AM49" s="3">
        <v>0</v>
      </c>
      <c r="AN49" s="3">
        <v>0</v>
      </c>
      <c r="AO49" s="3">
        <v>0</v>
      </c>
      <c r="AP49" s="3">
        <v>-2140.38</v>
      </c>
      <c r="AQ49" s="3">
        <v>-17815.8</v>
      </c>
      <c r="AR49" s="3">
        <v>0</v>
      </c>
      <c r="AS49" s="3">
        <v>-13318.8</v>
      </c>
      <c r="AT49" s="3">
        <v>0</v>
      </c>
      <c r="AU49" s="3">
        <f t="shared" si="6"/>
        <v>0</v>
      </c>
      <c r="AV49" s="17">
        <v>129</v>
      </c>
      <c r="AW49" s="17">
        <v>129</v>
      </c>
      <c r="AX49" s="17">
        <v>1</v>
      </c>
      <c r="AY49" s="3" t="s">
        <v>45</v>
      </c>
      <c r="AZ49" s="3">
        <v>0</v>
      </c>
      <c r="BA49" s="19">
        <v>76642.47</v>
      </c>
    </row>
    <row r="50" spans="1:53" x14ac:dyDescent="0.2">
      <c r="A50" s="17">
        <v>138</v>
      </c>
      <c r="B50" s="17">
        <v>1</v>
      </c>
      <c r="C50" s="3" t="s">
        <v>46</v>
      </c>
      <c r="D50" s="3">
        <f>Levy!F51</f>
        <v>0</v>
      </c>
      <c r="E50" s="3">
        <f>Levy!G51</f>
        <v>1133877.21</v>
      </c>
      <c r="F50" s="3">
        <f>Levy!H51</f>
        <v>0</v>
      </c>
      <c r="G50" s="3">
        <f>Levy!I51</f>
        <v>883735.88</v>
      </c>
      <c r="H50" s="217">
        <f>Levy!J51</f>
        <v>200066.82</v>
      </c>
      <c r="I50" s="219">
        <v>0</v>
      </c>
      <c r="J50" s="219">
        <v>45000</v>
      </c>
      <c r="K50" s="219">
        <v>46623.82</v>
      </c>
      <c r="L50" s="219">
        <v>0</v>
      </c>
      <c r="M50" s="219">
        <v>0</v>
      </c>
      <c r="N50" s="19">
        <v>0</v>
      </c>
      <c r="O50" s="19">
        <v>0</v>
      </c>
      <c r="P50" s="219">
        <v>-26825.759999999998</v>
      </c>
      <c r="Q50" s="219">
        <v>0</v>
      </c>
      <c r="R50" s="219">
        <v>-14359.66</v>
      </c>
      <c r="S50" s="219">
        <v>0</v>
      </c>
      <c r="T50" s="19">
        <v>0</v>
      </c>
      <c r="U50" s="19">
        <v>0</v>
      </c>
      <c r="V50" s="19">
        <v>0</v>
      </c>
      <c r="W50" s="19">
        <v>0</v>
      </c>
      <c r="X50" s="19">
        <v>0</v>
      </c>
      <c r="Y50" s="217">
        <v>124195.25</v>
      </c>
      <c r="Z50" s="3">
        <f t="shared" si="1"/>
        <v>50438.400000000009</v>
      </c>
      <c r="AA50" s="3">
        <f t="shared" si="2"/>
        <v>1967174.69</v>
      </c>
      <c r="AB50" s="3">
        <f t="shared" si="4"/>
        <v>200066.82</v>
      </c>
      <c r="AC50" s="3">
        <f>ROUND(MAX(0,(D50-V50)*'Shift 14'!$B$2),2)</f>
        <v>0</v>
      </c>
      <c r="AD50" s="3">
        <f t="shared" si="3"/>
        <v>124195.25</v>
      </c>
      <c r="AE50" s="3">
        <f t="shared" si="5"/>
        <v>0</v>
      </c>
      <c r="AF50" s="214">
        <v>138</v>
      </c>
      <c r="AG50" s="214">
        <v>1</v>
      </c>
      <c r="AH50" s="3">
        <v>0</v>
      </c>
      <c r="AI50" s="3">
        <v>0</v>
      </c>
      <c r="AJ50" s="3">
        <v>0</v>
      </c>
      <c r="AK50" s="3">
        <v>45000</v>
      </c>
      <c r="AL50" s="3">
        <v>46623.82</v>
      </c>
      <c r="AM50" s="3">
        <v>0</v>
      </c>
      <c r="AN50" s="3">
        <v>0</v>
      </c>
      <c r="AO50" s="3">
        <v>0</v>
      </c>
      <c r="AP50" s="3">
        <v>0</v>
      </c>
      <c r="AQ50" s="3">
        <v>-26825.759999999998</v>
      </c>
      <c r="AR50" s="3">
        <v>0</v>
      </c>
      <c r="AS50" s="3">
        <v>-14359.66</v>
      </c>
      <c r="AT50" s="3">
        <v>0</v>
      </c>
      <c r="AU50" s="3">
        <f t="shared" si="6"/>
        <v>0</v>
      </c>
      <c r="AV50" s="17">
        <v>138</v>
      </c>
      <c r="AW50" s="17">
        <v>138</v>
      </c>
      <c r="AX50" s="17">
        <v>1</v>
      </c>
      <c r="AY50" s="3" t="s">
        <v>46</v>
      </c>
      <c r="AZ50" s="3">
        <v>0</v>
      </c>
      <c r="BA50" s="19">
        <v>124195.25</v>
      </c>
    </row>
    <row r="51" spans="1:53" x14ac:dyDescent="0.2">
      <c r="A51" s="17">
        <v>139</v>
      </c>
      <c r="B51" s="17">
        <v>1</v>
      </c>
      <c r="C51" s="3" t="s">
        <v>47</v>
      </c>
      <c r="D51" s="3">
        <f>Levy!F52</f>
        <v>0</v>
      </c>
      <c r="E51" s="3">
        <f>Levy!G52</f>
        <v>196814.74</v>
      </c>
      <c r="F51" s="3">
        <f>Levy!H52</f>
        <v>0</v>
      </c>
      <c r="G51" s="3">
        <f>Levy!I52</f>
        <v>351604.6</v>
      </c>
      <c r="H51" s="217">
        <f>Levy!J52</f>
        <v>57660.6</v>
      </c>
      <c r="I51" s="219">
        <v>0</v>
      </c>
      <c r="J51" s="219">
        <v>7000</v>
      </c>
      <c r="K51" s="219">
        <v>13792.57</v>
      </c>
      <c r="L51" s="219">
        <v>0</v>
      </c>
      <c r="M51" s="219">
        <v>0</v>
      </c>
      <c r="N51" s="19">
        <v>0</v>
      </c>
      <c r="O51" s="19">
        <v>0</v>
      </c>
      <c r="P51" s="219">
        <v>-2861.55</v>
      </c>
      <c r="Q51" s="219">
        <v>0</v>
      </c>
      <c r="R51" s="219">
        <v>-3618.95</v>
      </c>
      <c r="S51" s="219">
        <v>0</v>
      </c>
      <c r="T51" s="19">
        <v>0</v>
      </c>
      <c r="U51" s="19">
        <v>0</v>
      </c>
      <c r="V51" s="19">
        <v>0</v>
      </c>
      <c r="W51" s="19">
        <v>0</v>
      </c>
      <c r="X51" s="19">
        <v>0</v>
      </c>
      <c r="Y51" s="217">
        <v>0</v>
      </c>
      <c r="Z51" s="3">
        <f t="shared" si="1"/>
        <v>14312.07</v>
      </c>
      <c r="AA51" s="3">
        <f t="shared" si="2"/>
        <v>534107.27</v>
      </c>
      <c r="AB51" s="3">
        <f t="shared" si="4"/>
        <v>57660.6</v>
      </c>
      <c r="AC51" s="3">
        <f>ROUND(MAX(0,(D51-V51)*'Shift 14'!$B$2),2)</f>
        <v>0</v>
      </c>
      <c r="AD51" s="3">
        <f t="shared" si="3"/>
        <v>0</v>
      </c>
      <c r="AE51" s="3">
        <f t="shared" si="5"/>
        <v>0</v>
      </c>
      <c r="AF51" s="214">
        <v>139</v>
      </c>
      <c r="AG51" s="214">
        <v>1</v>
      </c>
      <c r="AH51" s="3">
        <v>0</v>
      </c>
      <c r="AI51" s="3">
        <v>0</v>
      </c>
      <c r="AJ51" s="3">
        <v>0</v>
      </c>
      <c r="AK51" s="3">
        <v>7000</v>
      </c>
      <c r="AL51" s="3">
        <v>13792.57</v>
      </c>
      <c r="AM51" s="3">
        <v>0</v>
      </c>
      <c r="AN51" s="3">
        <v>0</v>
      </c>
      <c r="AO51" s="3">
        <v>0</v>
      </c>
      <c r="AP51" s="3">
        <v>0</v>
      </c>
      <c r="AQ51" s="3">
        <v>-2861.55</v>
      </c>
      <c r="AR51" s="3">
        <v>0</v>
      </c>
      <c r="AS51" s="3">
        <v>-3618.95</v>
      </c>
      <c r="AT51" s="3">
        <v>0</v>
      </c>
      <c r="AU51" s="3">
        <f t="shared" si="6"/>
        <v>0</v>
      </c>
      <c r="AV51" s="17">
        <v>139</v>
      </c>
      <c r="AW51" s="17">
        <v>139</v>
      </c>
      <c r="AX51" s="17">
        <v>1</v>
      </c>
      <c r="AY51" s="3" t="s">
        <v>47</v>
      </c>
      <c r="AZ51" s="3">
        <v>0</v>
      </c>
      <c r="BA51" s="19">
        <v>0</v>
      </c>
    </row>
    <row r="52" spans="1:53" x14ac:dyDescent="0.2">
      <c r="A52" s="17">
        <v>146</v>
      </c>
      <c r="B52" s="17">
        <v>1</v>
      </c>
      <c r="C52" s="3" t="s">
        <v>48</v>
      </c>
      <c r="D52" s="3">
        <f>Levy!F53</f>
        <v>520544</v>
      </c>
      <c r="E52" s="3">
        <f>Levy!G53</f>
        <v>55173</v>
      </c>
      <c r="F52" s="3">
        <f>Levy!H53</f>
        <v>0</v>
      </c>
      <c r="G52" s="3">
        <f>Levy!I53</f>
        <v>232919</v>
      </c>
      <c r="H52" s="217">
        <f>Levy!J53</f>
        <v>60463</v>
      </c>
      <c r="I52" s="219">
        <v>0</v>
      </c>
      <c r="J52" s="219">
        <v>2000</v>
      </c>
      <c r="K52" s="219">
        <v>18203.34</v>
      </c>
      <c r="L52" s="219">
        <v>0</v>
      </c>
      <c r="M52" s="219">
        <v>0</v>
      </c>
      <c r="N52" s="19">
        <v>0</v>
      </c>
      <c r="O52" s="19">
        <v>0</v>
      </c>
      <c r="P52" s="219">
        <v>4341.9399999999996</v>
      </c>
      <c r="Q52" s="219">
        <v>0</v>
      </c>
      <c r="R52" s="219">
        <v>-3800.39</v>
      </c>
      <c r="S52" s="219">
        <v>0</v>
      </c>
      <c r="T52" s="19">
        <v>0</v>
      </c>
      <c r="U52" s="19">
        <v>0</v>
      </c>
      <c r="V52" s="19">
        <v>0</v>
      </c>
      <c r="W52" s="19">
        <v>0</v>
      </c>
      <c r="X52" s="19">
        <v>0</v>
      </c>
      <c r="Y52" s="217">
        <v>47325.63</v>
      </c>
      <c r="Z52" s="3">
        <f t="shared" si="1"/>
        <v>20744.89</v>
      </c>
      <c r="AA52" s="3">
        <f t="shared" si="2"/>
        <v>267347.11</v>
      </c>
      <c r="AB52" s="3">
        <f t="shared" si="4"/>
        <v>60463</v>
      </c>
      <c r="AC52" s="3">
        <f>ROUND(MAX(0,(D52-V52)*'Shift 14'!$B$2),2)</f>
        <v>0</v>
      </c>
      <c r="AD52" s="3">
        <f t="shared" si="3"/>
        <v>47325.63</v>
      </c>
      <c r="AE52" s="3">
        <f t="shared" si="5"/>
        <v>0</v>
      </c>
      <c r="AF52" s="214">
        <v>146</v>
      </c>
      <c r="AG52" s="214">
        <v>1</v>
      </c>
      <c r="AH52" s="3">
        <v>0</v>
      </c>
      <c r="AI52" s="3">
        <v>0</v>
      </c>
      <c r="AJ52" s="3">
        <v>12589.05</v>
      </c>
      <c r="AK52" s="3">
        <v>2000</v>
      </c>
      <c r="AL52" s="3">
        <v>18203.34</v>
      </c>
      <c r="AM52" s="3">
        <v>0</v>
      </c>
      <c r="AN52" s="3">
        <v>0</v>
      </c>
      <c r="AO52" s="3">
        <v>0</v>
      </c>
      <c r="AP52" s="3">
        <v>-598.52</v>
      </c>
      <c r="AQ52" s="3">
        <v>4341.9399999999996</v>
      </c>
      <c r="AR52" s="3">
        <v>0</v>
      </c>
      <c r="AS52" s="3">
        <v>-3800.39</v>
      </c>
      <c r="AT52" s="3">
        <v>0</v>
      </c>
      <c r="AU52" s="3">
        <f t="shared" si="6"/>
        <v>0</v>
      </c>
      <c r="AV52" s="17">
        <v>146</v>
      </c>
      <c r="AW52" s="17">
        <v>146</v>
      </c>
      <c r="AX52" s="17">
        <v>1</v>
      </c>
      <c r="AY52" s="3" t="s">
        <v>48</v>
      </c>
      <c r="AZ52" s="3">
        <v>0</v>
      </c>
      <c r="BA52" s="19">
        <v>47325.63</v>
      </c>
    </row>
    <row r="53" spans="1:53" x14ac:dyDescent="0.2">
      <c r="A53" s="17">
        <v>150</v>
      </c>
      <c r="B53" s="17">
        <v>1</v>
      </c>
      <c r="C53" s="3" t="s">
        <v>49</v>
      </c>
      <c r="D53" s="3">
        <f>Levy!F54</f>
        <v>202860</v>
      </c>
      <c r="E53" s="3">
        <f>Levy!G54</f>
        <v>51746</v>
      </c>
      <c r="F53" s="3">
        <f>Levy!H54</f>
        <v>0</v>
      </c>
      <c r="G53" s="3">
        <f>Levy!I54</f>
        <v>166970</v>
      </c>
      <c r="H53" s="217">
        <f>Levy!J54</f>
        <v>44848</v>
      </c>
      <c r="I53" s="219">
        <v>0</v>
      </c>
      <c r="J53" s="219">
        <v>0</v>
      </c>
      <c r="K53" s="219">
        <v>10898.77</v>
      </c>
      <c r="L53" s="219">
        <v>0</v>
      </c>
      <c r="M53" s="219">
        <v>0</v>
      </c>
      <c r="N53" s="19">
        <v>0</v>
      </c>
      <c r="O53" s="19">
        <v>0</v>
      </c>
      <c r="P53" s="219">
        <v>-14502</v>
      </c>
      <c r="Q53" s="219">
        <v>0</v>
      </c>
      <c r="R53" s="219">
        <v>-3150.37</v>
      </c>
      <c r="S53" s="219">
        <v>0</v>
      </c>
      <c r="T53" s="19">
        <v>0</v>
      </c>
      <c r="U53" s="19">
        <v>0</v>
      </c>
      <c r="V53" s="19">
        <v>0</v>
      </c>
      <c r="W53" s="19">
        <v>0</v>
      </c>
      <c r="X53" s="19">
        <v>0</v>
      </c>
      <c r="Y53" s="217">
        <v>27885.64</v>
      </c>
      <c r="Z53" s="3">
        <f t="shared" si="1"/>
        <v>-6753.5999999999995</v>
      </c>
      <c r="AA53" s="3">
        <f t="shared" si="2"/>
        <v>225469.6</v>
      </c>
      <c r="AB53" s="3">
        <f t="shared" si="4"/>
        <v>44848</v>
      </c>
      <c r="AC53" s="3">
        <f>ROUND(MAX(0,(D53-V53)*'Shift 14'!$B$2),2)</f>
        <v>0</v>
      </c>
      <c r="AD53" s="3">
        <f t="shared" si="3"/>
        <v>27885.64</v>
      </c>
      <c r="AE53" s="3">
        <f t="shared" si="5"/>
        <v>0</v>
      </c>
      <c r="AF53" s="214">
        <v>150</v>
      </c>
      <c r="AG53" s="214">
        <v>1</v>
      </c>
      <c r="AH53" s="3">
        <v>0</v>
      </c>
      <c r="AI53" s="3">
        <v>0</v>
      </c>
      <c r="AJ53" s="3">
        <v>11359.87</v>
      </c>
      <c r="AK53" s="3">
        <v>0</v>
      </c>
      <c r="AL53" s="3">
        <v>10898.77</v>
      </c>
      <c r="AM53" s="3">
        <v>0</v>
      </c>
      <c r="AN53" s="3">
        <v>0</v>
      </c>
      <c r="AO53" s="3">
        <v>0</v>
      </c>
      <c r="AP53" s="3">
        <v>-2479.11</v>
      </c>
      <c r="AQ53" s="3">
        <v>-14502</v>
      </c>
      <c r="AR53" s="3">
        <v>0</v>
      </c>
      <c r="AS53" s="3">
        <v>-3150.37</v>
      </c>
      <c r="AT53" s="3">
        <v>0</v>
      </c>
      <c r="AU53" s="3">
        <f t="shared" si="6"/>
        <v>0</v>
      </c>
      <c r="AV53" s="17">
        <v>150</v>
      </c>
      <c r="AW53" s="17">
        <v>150</v>
      </c>
      <c r="AX53" s="17">
        <v>1</v>
      </c>
      <c r="AY53" s="3" t="s">
        <v>49</v>
      </c>
      <c r="AZ53" s="3">
        <v>0</v>
      </c>
      <c r="BA53" s="19">
        <v>27885.64</v>
      </c>
    </row>
    <row r="54" spans="1:53" x14ac:dyDescent="0.2">
      <c r="A54" s="17">
        <v>152</v>
      </c>
      <c r="B54" s="17">
        <v>1</v>
      </c>
      <c r="C54" s="3" t="s">
        <v>50</v>
      </c>
      <c r="D54" s="3">
        <f>Levy!F55</f>
        <v>2890453</v>
      </c>
      <c r="E54" s="3">
        <f>Levy!G55</f>
        <v>1709461</v>
      </c>
      <c r="F54" s="3">
        <f>Levy!H55</f>
        <v>0</v>
      </c>
      <c r="G54" s="3">
        <f>Levy!I55</f>
        <v>1715175</v>
      </c>
      <c r="H54" s="217">
        <f>Levy!J55</f>
        <v>455014</v>
      </c>
      <c r="I54" s="219">
        <v>0</v>
      </c>
      <c r="J54" s="219">
        <v>7436.25</v>
      </c>
      <c r="K54" s="219">
        <v>84383.2</v>
      </c>
      <c r="L54" s="219">
        <v>0</v>
      </c>
      <c r="M54" s="219">
        <v>0</v>
      </c>
      <c r="N54" s="19">
        <v>0</v>
      </c>
      <c r="O54" s="19">
        <v>0</v>
      </c>
      <c r="P54" s="219">
        <v>-29585.1</v>
      </c>
      <c r="Q54" s="219">
        <v>0</v>
      </c>
      <c r="R54" s="219">
        <v>-20539.53</v>
      </c>
      <c r="S54" s="219">
        <v>0</v>
      </c>
      <c r="T54" s="19">
        <v>0</v>
      </c>
      <c r="U54" s="19">
        <v>0</v>
      </c>
      <c r="V54" s="19">
        <v>0</v>
      </c>
      <c r="W54" s="19">
        <v>0</v>
      </c>
      <c r="X54" s="19">
        <v>0</v>
      </c>
      <c r="Y54" s="217">
        <v>260799.18</v>
      </c>
      <c r="Z54" s="3">
        <f t="shared" si="1"/>
        <v>41694.82</v>
      </c>
      <c r="AA54" s="3">
        <f t="shared" si="2"/>
        <v>3382941.18</v>
      </c>
      <c r="AB54" s="3">
        <f t="shared" si="4"/>
        <v>455014</v>
      </c>
      <c r="AC54" s="3">
        <f>ROUND(MAX(0,(D54-V54)*'Shift 14'!$B$2),2)</f>
        <v>0</v>
      </c>
      <c r="AD54" s="3">
        <f t="shared" si="3"/>
        <v>260799.18</v>
      </c>
      <c r="AE54" s="3">
        <f t="shared" si="5"/>
        <v>0</v>
      </c>
      <c r="AF54" s="214">
        <v>152</v>
      </c>
      <c r="AG54" s="214">
        <v>1</v>
      </c>
      <c r="AH54" s="3">
        <v>0</v>
      </c>
      <c r="AI54" s="3">
        <v>0</v>
      </c>
      <c r="AJ54" s="3">
        <v>0</v>
      </c>
      <c r="AK54" s="3">
        <v>7436.25</v>
      </c>
      <c r="AL54" s="3">
        <v>84383.2</v>
      </c>
      <c r="AM54" s="3">
        <v>0</v>
      </c>
      <c r="AN54" s="3">
        <v>0</v>
      </c>
      <c r="AO54" s="3">
        <v>0</v>
      </c>
      <c r="AP54" s="3">
        <v>0</v>
      </c>
      <c r="AQ54" s="3">
        <v>-29585.1</v>
      </c>
      <c r="AR54" s="3">
        <v>0</v>
      </c>
      <c r="AS54" s="3">
        <v>-20539.53</v>
      </c>
      <c r="AT54" s="3">
        <v>0</v>
      </c>
      <c r="AU54" s="3">
        <f t="shared" si="6"/>
        <v>0</v>
      </c>
      <c r="AV54" s="17">
        <v>152</v>
      </c>
      <c r="AW54" s="17">
        <v>152</v>
      </c>
      <c r="AX54" s="17">
        <v>1</v>
      </c>
      <c r="AY54" s="3" t="s">
        <v>50</v>
      </c>
      <c r="AZ54" s="3">
        <v>0</v>
      </c>
      <c r="BA54" s="19">
        <v>260799.18</v>
      </c>
    </row>
    <row r="55" spans="1:53" x14ac:dyDescent="0.2">
      <c r="A55" s="17">
        <v>162</v>
      </c>
      <c r="B55" s="17">
        <v>1</v>
      </c>
      <c r="C55" s="3" t="s">
        <v>51</v>
      </c>
      <c r="D55" s="3">
        <f>Levy!F56</f>
        <v>0</v>
      </c>
      <c r="E55" s="3">
        <f>Levy!G56</f>
        <v>182697</v>
      </c>
      <c r="F55" s="3">
        <f>Levy!H56</f>
        <v>0</v>
      </c>
      <c r="G55" s="3">
        <f>Levy!I56</f>
        <v>669370</v>
      </c>
      <c r="H55" s="217">
        <f>Levy!J56</f>
        <v>59824</v>
      </c>
      <c r="I55" s="219">
        <v>0</v>
      </c>
      <c r="J55" s="219">
        <v>8358.35</v>
      </c>
      <c r="K55" s="219">
        <v>16056.17</v>
      </c>
      <c r="L55" s="219">
        <v>0</v>
      </c>
      <c r="M55" s="219">
        <v>0</v>
      </c>
      <c r="N55" s="19">
        <v>0</v>
      </c>
      <c r="O55" s="19">
        <v>0</v>
      </c>
      <c r="P55" s="219">
        <v>-26609.09</v>
      </c>
      <c r="Q55" s="219">
        <v>0</v>
      </c>
      <c r="R55" s="219">
        <v>-3507.03</v>
      </c>
      <c r="S55" s="219">
        <v>0</v>
      </c>
      <c r="T55" s="19">
        <v>0</v>
      </c>
      <c r="U55" s="19">
        <v>0</v>
      </c>
      <c r="V55" s="19">
        <v>0</v>
      </c>
      <c r="W55" s="19">
        <v>0</v>
      </c>
      <c r="X55" s="19">
        <v>0</v>
      </c>
      <c r="Y55" s="217">
        <v>0</v>
      </c>
      <c r="Z55" s="3">
        <f t="shared" si="1"/>
        <v>-5701.6</v>
      </c>
      <c r="AA55" s="3">
        <f t="shared" si="2"/>
        <v>857768.6</v>
      </c>
      <c r="AB55" s="3">
        <f t="shared" si="4"/>
        <v>59824</v>
      </c>
      <c r="AC55" s="3">
        <f>ROUND(MAX(0,(D55-V55)*'Shift 14'!$B$2),2)</f>
        <v>0</v>
      </c>
      <c r="AD55" s="3">
        <f t="shared" si="3"/>
        <v>0</v>
      </c>
      <c r="AE55" s="3">
        <f t="shared" si="5"/>
        <v>0</v>
      </c>
      <c r="AF55" s="214">
        <v>162</v>
      </c>
      <c r="AG55" s="214">
        <v>1</v>
      </c>
      <c r="AH55" s="3">
        <v>0</v>
      </c>
      <c r="AI55" s="3">
        <v>0</v>
      </c>
      <c r="AJ55" s="3">
        <v>0</v>
      </c>
      <c r="AK55" s="3">
        <v>8358.35</v>
      </c>
      <c r="AL55" s="3">
        <v>16056.17</v>
      </c>
      <c r="AM55" s="3">
        <v>0</v>
      </c>
      <c r="AN55" s="3">
        <v>0</v>
      </c>
      <c r="AO55" s="3">
        <v>0</v>
      </c>
      <c r="AP55" s="3">
        <v>0</v>
      </c>
      <c r="AQ55" s="3">
        <v>-26609.09</v>
      </c>
      <c r="AR55" s="3">
        <v>0</v>
      </c>
      <c r="AS55" s="3">
        <v>-3507.03</v>
      </c>
      <c r="AT55" s="3">
        <v>0</v>
      </c>
      <c r="AU55" s="3">
        <f t="shared" si="6"/>
        <v>0</v>
      </c>
      <c r="AV55" s="17">
        <v>162</v>
      </c>
      <c r="AW55" s="17">
        <v>162</v>
      </c>
      <c r="AX55" s="17">
        <v>1</v>
      </c>
      <c r="AY55" s="3" t="s">
        <v>51</v>
      </c>
      <c r="AZ55" s="3">
        <v>0</v>
      </c>
      <c r="BA55" s="19">
        <v>0</v>
      </c>
    </row>
    <row r="56" spans="1:53" x14ac:dyDescent="0.2">
      <c r="A56" s="17">
        <v>166</v>
      </c>
      <c r="B56" s="17">
        <v>1</v>
      </c>
      <c r="C56" s="3" t="s">
        <v>52</v>
      </c>
      <c r="D56" s="3">
        <f>Levy!F57</f>
        <v>427257.25</v>
      </c>
      <c r="E56" s="3">
        <f>Levy!G57</f>
        <v>0</v>
      </c>
      <c r="F56" s="3">
        <f>Levy!H57</f>
        <v>0</v>
      </c>
      <c r="G56" s="3">
        <f>Levy!I57</f>
        <v>58578.36</v>
      </c>
      <c r="H56" s="217">
        <f>Levy!J57</f>
        <v>0</v>
      </c>
      <c r="I56" s="219">
        <v>0</v>
      </c>
      <c r="J56" s="219">
        <v>0</v>
      </c>
      <c r="K56" s="219">
        <v>18917</v>
      </c>
      <c r="L56" s="219">
        <v>0</v>
      </c>
      <c r="M56" s="219">
        <v>0</v>
      </c>
      <c r="N56" s="19">
        <v>0</v>
      </c>
      <c r="O56" s="19">
        <v>0</v>
      </c>
      <c r="P56" s="219">
        <v>-11863.55</v>
      </c>
      <c r="Q56" s="219">
        <v>0</v>
      </c>
      <c r="R56" s="219">
        <v>-3119.92</v>
      </c>
      <c r="S56" s="219">
        <v>0</v>
      </c>
      <c r="T56" s="19">
        <v>0</v>
      </c>
      <c r="U56" s="19">
        <v>0</v>
      </c>
      <c r="V56" s="19">
        <v>0</v>
      </c>
      <c r="W56" s="19">
        <v>0</v>
      </c>
      <c r="X56" s="19">
        <v>0</v>
      </c>
      <c r="Y56" s="217">
        <v>32084.66</v>
      </c>
      <c r="Z56" s="3">
        <f t="shared" si="1"/>
        <v>3933.5300000000007</v>
      </c>
      <c r="AA56" s="3">
        <f t="shared" si="2"/>
        <v>54644.83</v>
      </c>
      <c r="AB56" s="3">
        <f t="shared" si="4"/>
        <v>0</v>
      </c>
      <c r="AC56" s="3">
        <f>ROUND(MAX(0,(D56-V56)*'Shift 14'!$B$2),2)</f>
        <v>0</v>
      </c>
      <c r="AD56" s="3">
        <f t="shared" si="3"/>
        <v>32084.66</v>
      </c>
      <c r="AE56" s="3">
        <f t="shared" si="5"/>
        <v>0</v>
      </c>
      <c r="AF56" s="214">
        <v>166</v>
      </c>
      <c r="AG56" s="214">
        <v>1</v>
      </c>
      <c r="AH56" s="3">
        <v>0</v>
      </c>
      <c r="AI56" s="3">
        <v>0</v>
      </c>
      <c r="AJ56" s="3">
        <v>0</v>
      </c>
      <c r="AK56" s="3">
        <v>0</v>
      </c>
      <c r="AL56" s="3">
        <v>18917</v>
      </c>
      <c r="AM56" s="3">
        <v>0</v>
      </c>
      <c r="AN56" s="3">
        <v>0</v>
      </c>
      <c r="AO56" s="3">
        <v>0</v>
      </c>
      <c r="AP56" s="3">
        <v>0</v>
      </c>
      <c r="AQ56" s="3">
        <v>-11863.55</v>
      </c>
      <c r="AR56" s="3">
        <v>0</v>
      </c>
      <c r="AS56" s="3">
        <v>-3119.92</v>
      </c>
      <c r="AT56" s="3">
        <v>0</v>
      </c>
      <c r="AU56" s="3">
        <f t="shared" si="6"/>
        <v>0</v>
      </c>
      <c r="AV56" s="17">
        <v>166</v>
      </c>
      <c r="AW56" s="17">
        <v>166</v>
      </c>
      <c r="AX56" s="17">
        <v>1</v>
      </c>
      <c r="AY56" s="3" t="s">
        <v>52</v>
      </c>
      <c r="AZ56" s="3">
        <v>0</v>
      </c>
      <c r="BA56" s="19">
        <v>32084.66</v>
      </c>
    </row>
    <row r="57" spans="1:53" x14ac:dyDescent="0.2">
      <c r="A57" s="17">
        <v>173</v>
      </c>
      <c r="B57" s="17">
        <v>1</v>
      </c>
      <c r="C57" s="3" t="s">
        <v>53</v>
      </c>
      <c r="D57" s="3">
        <f>Levy!F58</f>
        <v>535066</v>
      </c>
      <c r="E57" s="3">
        <f>Levy!G58</f>
        <v>14792</v>
      </c>
      <c r="F57" s="3">
        <f>Levy!H58</f>
        <v>0</v>
      </c>
      <c r="G57" s="3">
        <f>Levy!I58</f>
        <v>252586</v>
      </c>
      <c r="H57" s="217">
        <f>Levy!J58</f>
        <v>54724</v>
      </c>
      <c r="I57" s="219">
        <v>0</v>
      </c>
      <c r="J57" s="219">
        <v>5492.7</v>
      </c>
      <c r="K57" s="219">
        <v>21529.64</v>
      </c>
      <c r="L57" s="219">
        <v>0</v>
      </c>
      <c r="M57" s="219">
        <v>0</v>
      </c>
      <c r="N57" s="19">
        <v>0</v>
      </c>
      <c r="O57" s="19">
        <v>0</v>
      </c>
      <c r="P57" s="219">
        <v>3978.87</v>
      </c>
      <c r="Q57" s="219">
        <v>0</v>
      </c>
      <c r="R57" s="219">
        <v>-2673.68</v>
      </c>
      <c r="S57" s="219">
        <v>0</v>
      </c>
      <c r="T57" s="19">
        <v>0</v>
      </c>
      <c r="U57" s="19">
        <v>0</v>
      </c>
      <c r="V57" s="19">
        <v>0</v>
      </c>
      <c r="W57" s="19">
        <v>0</v>
      </c>
      <c r="X57" s="19">
        <v>4153.8</v>
      </c>
      <c r="Y57" s="217">
        <v>90731.14</v>
      </c>
      <c r="Z57" s="3">
        <f t="shared" si="1"/>
        <v>28327.53</v>
      </c>
      <c r="AA57" s="3">
        <f t="shared" si="2"/>
        <v>234896.67</v>
      </c>
      <c r="AB57" s="3">
        <f t="shared" si="4"/>
        <v>54724</v>
      </c>
      <c r="AC57" s="3">
        <f>ROUND(MAX(0,(D57-V57)*'Shift 14'!$B$2),2)</f>
        <v>0</v>
      </c>
      <c r="AD57" s="3">
        <f t="shared" si="3"/>
        <v>90731.14</v>
      </c>
      <c r="AE57" s="3">
        <f t="shared" si="5"/>
        <v>0</v>
      </c>
      <c r="AF57" s="214">
        <v>173</v>
      </c>
      <c r="AG57" s="214">
        <v>1</v>
      </c>
      <c r="AH57" s="3">
        <v>0</v>
      </c>
      <c r="AI57" s="3">
        <v>0</v>
      </c>
      <c r="AJ57" s="3">
        <v>20724.650000000001</v>
      </c>
      <c r="AK57" s="3">
        <v>5492.7</v>
      </c>
      <c r="AL57" s="3">
        <v>21529.64</v>
      </c>
      <c r="AM57" s="3">
        <v>0</v>
      </c>
      <c r="AN57" s="3">
        <v>0</v>
      </c>
      <c r="AO57" s="3">
        <v>0</v>
      </c>
      <c r="AP57" s="3">
        <v>-8709.1299999999992</v>
      </c>
      <c r="AQ57" s="3">
        <v>3978.87</v>
      </c>
      <c r="AR57" s="3">
        <v>0</v>
      </c>
      <c r="AS57" s="3">
        <v>-2673.68</v>
      </c>
      <c r="AT57" s="3">
        <v>0</v>
      </c>
      <c r="AU57" s="3">
        <f t="shared" si="6"/>
        <v>0</v>
      </c>
      <c r="AV57" s="17">
        <v>173</v>
      </c>
      <c r="AW57" s="17">
        <v>173</v>
      </c>
      <c r="AX57" s="17">
        <v>1</v>
      </c>
      <c r="AY57" s="3" t="s">
        <v>53</v>
      </c>
      <c r="AZ57" s="3">
        <v>4153.8</v>
      </c>
      <c r="BA57" s="19">
        <v>90731.14</v>
      </c>
    </row>
    <row r="58" spans="1:53" x14ac:dyDescent="0.2">
      <c r="A58" s="17">
        <v>177</v>
      </c>
      <c r="B58" s="17">
        <v>1</v>
      </c>
      <c r="C58" s="3" t="s">
        <v>54</v>
      </c>
      <c r="D58" s="3">
        <f>Levy!F59</f>
        <v>1012244</v>
      </c>
      <c r="E58" s="3">
        <f>Levy!G59</f>
        <v>59556</v>
      </c>
      <c r="F58" s="3">
        <f>Levy!H59</f>
        <v>0</v>
      </c>
      <c r="G58" s="3">
        <f>Levy!I59</f>
        <v>413444</v>
      </c>
      <c r="H58" s="217">
        <f>Levy!J59</f>
        <v>87180</v>
      </c>
      <c r="I58" s="219">
        <v>0</v>
      </c>
      <c r="J58" s="219">
        <v>12000</v>
      </c>
      <c r="K58" s="219">
        <v>26271.56</v>
      </c>
      <c r="L58" s="219">
        <v>0</v>
      </c>
      <c r="M58" s="219">
        <v>0</v>
      </c>
      <c r="N58" s="19">
        <v>0</v>
      </c>
      <c r="O58" s="19">
        <v>0</v>
      </c>
      <c r="P58" s="219">
        <v>6878.94</v>
      </c>
      <c r="Q58" s="219">
        <v>0</v>
      </c>
      <c r="R58" s="219">
        <v>-7578.38</v>
      </c>
      <c r="S58" s="219">
        <v>0</v>
      </c>
      <c r="T58" s="19">
        <v>0</v>
      </c>
      <c r="U58" s="19">
        <v>0</v>
      </c>
      <c r="V58" s="19">
        <v>0</v>
      </c>
      <c r="W58" s="19">
        <v>0</v>
      </c>
      <c r="X58" s="19">
        <v>7877.23</v>
      </c>
      <c r="Y58" s="217">
        <v>79181.69</v>
      </c>
      <c r="Z58" s="3">
        <f t="shared" si="1"/>
        <v>37572.120000000003</v>
      </c>
      <c r="AA58" s="3">
        <f t="shared" si="2"/>
        <v>427550.65</v>
      </c>
      <c r="AB58" s="3">
        <f t="shared" si="4"/>
        <v>87180</v>
      </c>
      <c r="AC58" s="3">
        <f>ROUND(MAX(0,(D58-V58)*'Shift 14'!$B$2),2)</f>
        <v>0</v>
      </c>
      <c r="AD58" s="3">
        <f t="shared" si="3"/>
        <v>79181.69</v>
      </c>
      <c r="AE58" s="3">
        <f t="shared" si="5"/>
        <v>0</v>
      </c>
      <c r="AF58" s="214">
        <v>177</v>
      </c>
      <c r="AG58" s="214">
        <v>1</v>
      </c>
      <c r="AH58" s="3">
        <v>0</v>
      </c>
      <c r="AI58" s="3">
        <v>0</v>
      </c>
      <c r="AJ58" s="3">
        <v>31253.33</v>
      </c>
      <c r="AK58" s="3">
        <v>12000</v>
      </c>
      <c r="AL58" s="3">
        <v>26271.56</v>
      </c>
      <c r="AM58" s="3">
        <v>0</v>
      </c>
      <c r="AN58" s="3">
        <v>0</v>
      </c>
      <c r="AO58" s="3">
        <v>0</v>
      </c>
      <c r="AP58" s="3">
        <v>-7245.35</v>
      </c>
      <c r="AQ58" s="3">
        <v>6878.94</v>
      </c>
      <c r="AR58" s="3">
        <v>0</v>
      </c>
      <c r="AS58" s="3">
        <v>-7578.38</v>
      </c>
      <c r="AT58" s="3">
        <v>0</v>
      </c>
      <c r="AU58" s="3">
        <f t="shared" si="6"/>
        <v>0</v>
      </c>
      <c r="AV58" s="17">
        <v>177</v>
      </c>
      <c r="AW58" s="17">
        <v>177</v>
      </c>
      <c r="AX58" s="17">
        <v>1</v>
      </c>
      <c r="AY58" s="3" t="s">
        <v>54</v>
      </c>
      <c r="AZ58" s="3">
        <v>7877.23</v>
      </c>
      <c r="BA58" s="19">
        <v>79181.69</v>
      </c>
    </row>
    <row r="59" spans="1:53" x14ac:dyDescent="0.2">
      <c r="A59" s="17">
        <v>181</v>
      </c>
      <c r="B59" s="17">
        <v>1</v>
      </c>
      <c r="C59" s="3" t="s">
        <v>55</v>
      </c>
      <c r="D59" s="3">
        <f>Levy!F60</f>
        <v>1076533.6200000001</v>
      </c>
      <c r="E59" s="3">
        <f>Levy!G60</f>
        <v>2671921.9500000002</v>
      </c>
      <c r="F59" s="3">
        <f>Levy!H60</f>
        <v>0</v>
      </c>
      <c r="G59" s="3">
        <f>Levy!I60</f>
        <v>3385930.92</v>
      </c>
      <c r="H59" s="217">
        <f>Levy!J60</f>
        <v>586259.86</v>
      </c>
      <c r="I59" s="219">
        <v>0</v>
      </c>
      <c r="J59" s="219">
        <v>40000</v>
      </c>
      <c r="K59" s="219">
        <v>326486.40999999997</v>
      </c>
      <c r="L59" s="219">
        <v>0</v>
      </c>
      <c r="M59" s="219">
        <v>0</v>
      </c>
      <c r="N59" s="19">
        <v>0</v>
      </c>
      <c r="O59" s="19">
        <v>0</v>
      </c>
      <c r="P59" s="219">
        <v>-11378.17</v>
      </c>
      <c r="Q59" s="219">
        <v>0</v>
      </c>
      <c r="R59" s="219">
        <v>-40725.26</v>
      </c>
      <c r="S59" s="219">
        <v>0</v>
      </c>
      <c r="T59" s="19">
        <v>0</v>
      </c>
      <c r="U59" s="19">
        <v>0</v>
      </c>
      <c r="V59" s="19">
        <v>0</v>
      </c>
      <c r="W59" s="19">
        <v>0</v>
      </c>
      <c r="X59" s="19">
        <v>0</v>
      </c>
      <c r="Y59" s="217">
        <v>381870.54</v>
      </c>
      <c r="Z59" s="3">
        <f t="shared" si="1"/>
        <v>314382.98</v>
      </c>
      <c r="AA59" s="3">
        <f t="shared" si="2"/>
        <v>5743469.8899999997</v>
      </c>
      <c r="AB59" s="3">
        <f t="shared" si="4"/>
        <v>586259.86</v>
      </c>
      <c r="AC59" s="3">
        <f>ROUND(MAX(0,(D59-V59)*'Shift 14'!$B$2),2)</f>
        <v>0</v>
      </c>
      <c r="AD59" s="3">
        <f t="shared" si="3"/>
        <v>381870.54</v>
      </c>
      <c r="AE59" s="3">
        <f t="shared" si="5"/>
        <v>0</v>
      </c>
      <c r="AF59" s="214">
        <v>181</v>
      </c>
      <c r="AG59" s="214">
        <v>1</v>
      </c>
      <c r="AH59" s="3">
        <v>0</v>
      </c>
      <c r="AI59" s="3">
        <v>0</v>
      </c>
      <c r="AJ59" s="3">
        <v>0</v>
      </c>
      <c r="AK59" s="3">
        <v>40000</v>
      </c>
      <c r="AL59" s="3">
        <v>326486.40999999997</v>
      </c>
      <c r="AM59" s="3">
        <v>0</v>
      </c>
      <c r="AN59" s="3">
        <v>0</v>
      </c>
      <c r="AO59" s="3">
        <v>0</v>
      </c>
      <c r="AP59" s="3">
        <v>0</v>
      </c>
      <c r="AQ59" s="3">
        <v>-11378.17</v>
      </c>
      <c r="AR59" s="3">
        <v>0</v>
      </c>
      <c r="AS59" s="3">
        <v>-40725.26</v>
      </c>
      <c r="AT59" s="3">
        <v>0</v>
      </c>
      <c r="AU59" s="3">
        <f t="shared" si="6"/>
        <v>0</v>
      </c>
      <c r="AV59" s="17">
        <v>181</v>
      </c>
      <c r="AW59" s="17">
        <v>181</v>
      </c>
      <c r="AX59" s="17">
        <v>1</v>
      </c>
      <c r="AY59" s="3" t="s">
        <v>55</v>
      </c>
      <c r="AZ59" s="3">
        <v>0</v>
      </c>
      <c r="BA59" s="19">
        <v>381870.54</v>
      </c>
    </row>
    <row r="60" spans="1:53" x14ac:dyDescent="0.2">
      <c r="A60" s="17">
        <v>182</v>
      </c>
      <c r="B60" s="17">
        <v>1</v>
      </c>
      <c r="C60" s="3" t="s">
        <v>56</v>
      </c>
      <c r="D60" s="3">
        <f>Levy!F61</f>
        <v>271224.15999999997</v>
      </c>
      <c r="E60" s="3">
        <f>Levy!G61</f>
        <v>406446.7</v>
      </c>
      <c r="F60" s="3">
        <f>Levy!H61</f>
        <v>0</v>
      </c>
      <c r="G60" s="3">
        <f>Levy!I61</f>
        <v>558748.25</v>
      </c>
      <c r="H60" s="217">
        <f>Levy!J61</f>
        <v>0</v>
      </c>
      <c r="I60" s="219">
        <v>0</v>
      </c>
      <c r="J60" s="219">
        <v>15000</v>
      </c>
      <c r="K60" s="219">
        <v>36928.33</v>
      </c>
      <c r="L60" s="219">
        <v>0</v>
      </c>
      <c r="M60" s="219">
        <v>0</v>
      </c>
      <c r="N60" s="19">
        <v>0</v>
      </c>
      <c r="O60" s="19">
        <v>0</v>
      </c>
      <c r="P60" s="219">
        <v>-10059.48</v>
      </c>
      <c r="Q60" s="219">
        <v>0</v>
      </c>
      <c r="R60" s="219">
        <v>-4585.97</v>
      </c>
      <c r="S60" s="219">
        <v>0</v>
      </c>
      <c r="T60" s="19">
        <v>0</v>
      </c>
      <c r="U60" s="19">
        <v>0</v>
      </c>
      <c r="V60" s="19">
        <v>0</v>
      </c>
      <c r="W60" s="19">
        <v>0</v>
      </c>
      <c r="X60" s="19">
        <v>0</v>
      </c>
      <c r="Y60" s="217">
        <v>41830.449999999997</v>
      </c>
      <c r="Z60" s="3">
        <f t="shared" si="1"/>
        <v>37282.880000000005</v>
      </c>
      <c r="AA60" s="3">
        <f t="shared" si="2"/>
        <v>927912.07</v>
      </c>
      <c r="AB60" s="3">
        <f t="shared" si="4"/>
        <v>0</v>
      </c>
      <c r="AC60" s="3">
        <f>ROUND(MAX(0,(D60-V60)*'Shift 14'!$B$2),2)</f>
        <v>0</v>
      </c>
      <c r="AD60" s="3">
        <f t="shared" si="3"/>
        <v>41830.449999999997</v>
      </c>
      <c r="AE60" s="3">
        <f t="shared" si="5"/>
        <v>0</v>
      </c>
      <c r="AF60" s="214">
        <v>182</v>
      </c>
      <c r="AG60" s="214">
        <v>1</v>
      </c>
      <c r="AH60" s="3">
        <v>0</v>
      </c>
      <c r="AI60" s="3">
        <v>0</v>
      </c>
      <c r="AJ60" s="3">
        <v>0</v>
      </c>
      <c r="AK60" s="3">
        <v>15000</v>
      </c>
      <c r="AL60" s="3">
        <v>36928.33</v>
      </c>
      <c r="AM60" s="3">
        <v>0</v>
      </c>
      <c r="AN60" s="3">
        <v>0</v>
      </c>
      <c r="AO60" s="3">
        <v>0</v>
      </c>
      <c r="AP60" s="3">
        <v>0</v>
      </c>
      <c r="AQ60" s="3">
        <v>-10059.48</v>
      </c>
      <c r="AR60" s="3">
        <v>0</v>
      </c>
      <c r="AS60" s="3">
        <v>-4585.97</v>
      </c>
      <c r="AT60" s="3">
        <v>0</v>
      </c>
      <c r="AU60" s="3">
        <f t="shared" si="6"/>
        <v>0</v>
      </c>
      <c r="AV60" s="17">
        <v>182</v>
      </c>
      <c r="AW60" s="17">
        <v>182</v>
      </c>
      <c r="AX60" s="17">
        <v>1</v>
      </c>
      <c r="AY60" s="3" t="s">
        <v>56</v>
      </c>
      <c r="AZ60" s="3">
        <v>0</v>
      </c>
      <c r="BA60" s="19">
        <v>41830.449999999997</v>
      </c>
    </row>
    <row r="61" spans="1:53" x14ac:dyDescent="0.2">
      <c r="A61" s="17">
        <v>186</v>
      </c>
      <c r="B61" s="17">
        <v>1</v>
      </c>
      <c r="C61" s="3" t="s">
        <v>57</v>
      </c>
      <c r="D61" s="3">
        <f>Levy!F62</f>
        <v>1549.53</v>
      </c>
      <c r="E61" s="3">
        <f>Levy!G62</f>
        <v>360949.96</v>
      </c>
      <c r="F61" s="3">
        <f>Levy!H62</f>
        <v>0</v>
      </c>
      <c r="G61" s="3">
        <f>Levy!I62</f>
        <v>852935.87</v>
      </c>
      <c r="H61" s="217">
        <f>Levy!J62</f>
        <v>187976.77</v>
      </c>
      <c r="I61" s="219">
        <v>0</v>
      </c>
      <c r="J61" s="219">
        <v>18000</v>
      </c>
      <c r="K61" s="219">
        <v>44624.85</v>
      </c>
      <c r="L61" s="219">
        <v>0</v>
      </c>
      <c r="M61" s="219">
        <v>0</v>
      </c>
      <c r="N61" s="19">
        <v>0</v>
      </c>
      <c r="O61" s="19">
        <v>0</v>
      </c>
      <c r="P61" s="219">
        <v>2095.34</v>
      </c>
      <c r="Q61" s="219">
        <v>0</v>
      </c>
      <c r="R61" s="219">
        <v>-8434.57</v>
      </c>
      <c r="S61" s="219">
        <v>0</v>
      </c>
      <c r="T61" s="19">
        <v>0</v>
      </c>
      <c r="U61" s="19">
        <v>0</v>
      </c>
      <c r="V61" s="19">
        <v>0</v>
      </c>
      <c r="W61" s="19">
        <v>0</v>
      </c>
      <c r="X61" s="19">
        <v>0</v>
      </c>
      <c r="Y61" s="217">
        <v>0</v>
      </c>
      <c r="Z61" s="3">
        <f t="shared" si="1"/>
        <v>56285.62</v>
      </c>
      <c r="AA61" s="3">
        <f t="shared" si="2"/>
        <v>1157600.21</v>
      </c>
      <c r="AB61" s="3">
        <f t="shared" si="4"/>
        <v>187976.77</v>
      </c>
      <c r="AC61" s="3">
        <f>ROUND(MAX(0,(D61-V61)*'Shift 14'!$B$2),2)</f>
        <v>0</v>
      </c>
      <c r="AD61" s="3">
        <f t="shared" si="3"/>
        <v>0</v>
      </c>
      <c r="AE61" s="3">
        <f t="shared" si="5"/>
        <v>0</v>
      </c>
      <c r="AF61" s="214">
        <v>186</v>
      </c>
      <c r="AG61" s="214">
        <v>1</v>
      </c>
      <c r="AH61" s="3">
        <v>0</v>
      </c>
      <c r="AI61" s="3">
        <v>0</v>
      </c>
      <c r="AJ61" s="3">
        <v>0</v>
      </c>
      <c r="AK61" s="3">
        <v>18000</v>
      </c>
      <c r="AL61" s="3">
        <v>44624.85</v>
      </c>
      <c r="AM61" s="3">
        <v>0</v>
      </c>
      <c r="AN61" s="3">
        <v>0</v>
      </c>
      <c r="AO61" s="3">
        <v>0</v>
      </c>
      <c r="AP61" s="3">
        <v>0</v>
      </c>
      <c r="AQ61" s="3">
        <v>2095.34</v>
      </c>
      <c r="AR61" s="3">
        <v>0</v>
      </c>
      <c r="AS61" s="3">
        <v>-8434.57</v>
      </c>
      <c r="AT61" s="3">
        <v>0</v>
      </c>
      <c r="AU61" s="3">
        <f t="shared" si="6"/>
        <v>0</v>
      </c>
      <c r="AV61" s="17">
        <v>186</v>
      </c>
      <c r="AW61" s="17">
        <v>186</v>
      </c>
      <c r="AX61" s="17">
        <v>1</v>
      </c>
      <c r="AY61" s="3" t="s">
        <v>57</v>
      </c>
      <c r="AZ61" s="3">
        <v>0</v>
      </c>
      <c r="BA61" s="19">
        <v>0</v>
      </c>
    </row>
    <row r="62" spans="1:53" x14ac:dyDescent="0.2">
      <c r="A62" s="17">
        <v>191</v>
      </c>
      <c r="B62" s="17">
        <v>1</v>
      </c>
      <c r="C62" s="3" t="s">
        <v>58</v>
      </c>
      <c r="D62" s="3">
        <f>Levy!F63</f>
        <v>11747829</v>
      </c>
      <c r="E62" s="3">
        <f>Levy!G63</f>
        <v>5446409</v>
      </c>
      <c r="F62" s="3">
        <f>Levy!H63</f>
        <v>0</v>
      </c>
      <c r="G62" s="3">
        <f>Levy!I63</f>
        <v>5108322</v>
      </c>
      <c r="H62" s="217">
        <f>Levy!J63</f>
        <v>1084995</v>
      </c>
      <c r="I62" s="219">
        <v>0</v>
      </c>
      <c r="J62" s="219">
        <v>250000</v>
      </c>
      <c r="K62" s="219">
        <v>225641.32</v>
      </c>
      <c r="L62" s="219">
        <v>0</v>
      </c>
      <c r="M62" s="219">
        <v>0</v>
      </c>
      <c r="N62" s="19">
        <v>0</v>
      </c>
      <c r="O62" s="19">
        <v>0</v>
      </c>
      <c r="P62" s="219">
        <v>262661.03000000003</v>
      </c>
      <c r="Q62" s="219">
        <v>0</v>
      </c>
      <c r="R62" s="219">
        <v>-34607.68</v>
      </c>
      <c r="S62" s="219">
        <v>0</v>
      </c>
      <c r="T62" s="19">
        <v>0</v>
      </c>
      <c r="U62" s="19">
        <v>0</v>
      </c>
      <c r="V62" s="19">
        <v>0</v>
      </c>
      <c r="W62" s="19">
        <v>0</v>
      </c>
      <c r="X62" s="19">
        <v>0</v>
      </c>
      <c r="Y62" s="217">
        <v>3269341.23</v>
      </c>
      <c r="Z62" s="3">
        <f t="shared" si="1"/>
        <v>703694.67</v>
      </c>
      <c r="AA62" s="3">
        <f t="shared" si="2"/>
        <v>9851036.3300000001</v>
      </c>
      <c r="AB62" s="3">
        <f t="shared" si="4"/>
        <v>1084995</v>
      </c>
      <c r="AC62" s="3">
        <f>ROUND(MAX(0,(D62-V62)*'Shift 14'!$B$2),2)</f>
        <v>0</v>
      </c>
      <c r="AD62" s="3">
        <f t="shared" si="3"/>
        <v>3269341.23</v>
      </c>
      <c r="AE62" s="3">
        <f t="shared" si="5"/>
        <v>0</v>
      </c>
      <c r="AF62" s="214">
        <v>191</v>
      </c>
      <c r="AG62" s="214">
        <v>1</v>
      </c>
      <c r="AH62" s="3">
        <v>0</v>
      </c>
      <c r="AI62" s="3">
        <v>0</v>
      </c>
      <c r="AJ62" s="3">
        <v>515643.44</v>
      </c>
      <c r="AK62" s="3">
        <v>250000</v>
      </c>
      <c r="AL62" s="3">
        <v>225641.32</v>
      </c>
      <c r="AM62" s="3">
        <v>0</v>
      </c>
      <c r="AN62" s="3">
        <v>0</v>
      </c>
      <c r="AO62" s="3">
        <v>0</v>
      </c>
      <c r="AP62" s="3">
        <v>4383.55</v>
      </c>
      <c r="AQ62" s="3">
        <v>262661.03000000003</v>
      </c>
      <c r="AR62" s="3">
        <v>0</v>
      </c>
      <c r="AS62" s="3">
        <v>-34607.68</v>
      </c>
      <c r="AT62" s="3">
        <v>0</v>
      </c>
      <c r="AU62" s="3">
        <f t="shared" si="6"/>
        <v>0</v>
      </c>
      <c r="AV62" s="17">
        <v>191</v>
      </c>
      <c r="AW62" s="17">
        <v>191</v>
      </c>
      <c r="AX62" s="17">
        <v>1</v>
      </c>
      <c r="AY62" s="3" t="s">
        <v>58</v>
      </c>
      <c r="AZ62" s="3">
        <v>0</v>
      </c>
      <c r="BA62" s="19">
        <v>3269341.23</v>
      </c>
    </row>
    <row r="63" spans="1:53" x14ac:dyDescent="0.2">
      <c r="A63" s="17">
        <v>192</v>
      </c>
      <c r="B63" s="17">
        <v>1</v>
      </c>
      <c r="C63" s="3" t="s">
        <v>59</v>
      </c>
      <c r="D63" s="3">
        <f>Levy!F64</f>
        <v>10145</v>
      </c>
      <c r="E63" s="3">
        <f>Levy!G64</f>
        <v>3112570</v>
      </c>
      <c r="F63" s="3">
        <f>Levy!H64</f>
        <v>0</v>
      </c>
      <c r="G63" s="3">
        <f>Levy!I64</f>
        <v>1796377</v>
      </c>
      <c r="H63" s="217">
        <f>Levy!J64</f>
        <v>527371</v>
      </c>
      <c r="I63" s="219">
        <v>0</v>
      </c>
      <c r="J63" s="219">
        <v>40000</v>
      </c>
      <c r="K63" s="219">
        <v>74749.399999999994</v>
      </c>
      <c r="L63" s="219">
        <v>0</v>
      </c>
      <c r="M63" s="219">
        <v>0</v>
      </c>
      <c r="N63" s="19">
        <v>0</v>
      </c>
      <c r="O63" s="19">
        <v>0</v>
      </c>
      <c r="P63" s="219">
        <v>-48087.42</v>
      </c>
      <c r="Q63" s="219">
        <v>0</v>
      </c>
      <c r="R63" s="219">
        <v>-23202.61</v>
      </c>
      <c r="S63" s="219">
        <v>0</v>
      </c>
      <c r="T63" s="19">
        <v>0</v>
      </c>
      <c r="U63" s="19">
        <v>0</v>
      </c>
      <c r="V63" s="19">
        <v>0</v>
      </c>
      <c r="W63" s="19">
        <v>0</v>
      </c>
      <c r="X63" s="19">
        <v>34108.79</v>
      </c>
      <c r="Y63" s="217">
        <v>497003.31</v>
      </c>
      <c r="Z63" s="3">
        <f t="shared" si="1"/>
        <v>43459.369999999995</v>
      </c>
      <c r="AA63" s="3">
        <f t="shared" si="2"/>
        <v>4831378.84</v>
      </c>
      <c r="AB63" s="3">
        <f t="shared" si="4"/>
        <v>527371</v>
      </c>
      <c r="AC63" s="3">
        <f>ROUND(MAX(0,(D63-V63)*'Shift 14'!$B$2),2)</f>
        <v>0</v>
      </c>
      <c r="AD63" s="3">
        <f t="shared" si="3"/>
        <v>497003.31</v>
      </c>
      <c r="AE63" s="3">
        <f t="shared" si="5"/>
        <v>0</v>
      </c>
      <c r="AF63" s="214">
        <v>192</v>
      </c>
      <c r="AG63" s="214">
        <v>1</v>
      </c>
      <c r="AH63" s="3">
        <v>0</v>
      </c>
      <c r="AI63" s="3">
        <v>0</v>
      </c>
      <c r="AJ63" s="3">
        <v>0</v>
      </c>
      <c r="AK63" s="3">
        <v>40000</v>
      </c>
      <c r="AL63" s="3">
        <v>74749.399999999994</v>
      </c>
      <c r="AM63" s="3">
        <v>0</v>
      </c>
      <c r="AN63" s="3">
        <v>0</v>
      </c>
      <c r="AO63" s="3">
        <v>0</v>
      </c>
      <c r="AP63" s="3">
        <v>0</v>
      </c>
      <c r="AQ63" s="3">
        <v>-48087.42</v>
      </c>
      <c r="AR63" s="3">
        <v>0</v>
      </c>
      <c r="AS63" s="3">
        <v>-23202.61</v>
      </c>
      <c r="AT63" s="3">
        <v>0</v>
      </c>
      <c r="AU63" s="3">
        <f t="shared" si="6"/>
        <v>0</v>
      </c>
      <c r="AV63" s="17">
        <v>192</v>
      </c>
      <c r="AW63" s="17">
        <v>192</v>
      </c>
      <c r="AX63" s="17">
        <v>1</v>
      </c>
      <c r="AY63" s="3" t="s">
        <v>59</v>
      </c>
      <c r="AZ63" s="3">
        <v>34108.79</v>
      </c>
      <c r="BA63" s="19">
        <v>497003.31</v>
      </c>
    </row>
    <row r="64" spans="1:53" x14ac:dyDescent="0.2">
      <c r="A64" s="17">
        <v>194</v>
      </c>
      <c r="B64" s="17">
        <v>1</v>
      </c>
      <c r="C64" s="3" t="s">
        <v>60</v>
      </c>
      <c r="D64" s="3">
        <f>Levy!F65</f>
        <v>10115176</v>
      </c>
      <c r="E64" s="3">
        <f>Levy!G65</f>
        <v>5325438</v>
      </c>
      <c r="F64" s="3">
        <f>Levy!H65</f>
        <v>0</v>
      </c>
      <c r="G64" s="3">
        <f>Levy!I65</f>
        <v>3906323</v>
      </c>
      <c r="H64" s="217">
        <f>Levy!J65</f>
        <v>954956</v>
      </c>
      <c r="I64" s="219">
        <v>0</v>
      </c>
      <c r="J64" s="219">
        <v>26000</v>
      </c>
      <c r="K64" s="219">
        <v>176603.6</v>
      </c>
      <c r="L64" s="219">
        <v>0</v>
      </c>
      <c r="M64" s="219">
        <v>0</v>
      </c>
      <c r="N64" s="19">
        <v>0</v>
      </c>
      <c r="O64" s="19">
        <v>0</v>
      </c>
      <c r="P64" s="219">
        <v>3517.19</v>
      </c>
      <c r="Q64" s="219">
        <v>0</v>
      </c>
      <c r="R64" s="219">
        <v>-32997.9</v>
      </c>
      <c r="S64" s="219">
        <v>0</v>
      </c>
      <c r="T64" s="19">
        <v>0</v>
      </c>
      <c r="U64" s="19">
        <v>0</v>
      </c>
      <c r="V64" s="19">
        <v>0</v>
      </c>
      <c r="W64" s="19">
        <v>0</v>
      </c>
      <c r="X64" s="19">
        <v>230506.25</v>
      </c>
      <c r="Y64" s="217">
        <v>2328572.5699999998</v>
      </c>
      <c r="Z64" s="3">
        <f t="shared" si="1"/>
        <v>173122.89</v>
      </c>
      <c r="AA64" s="3">
        <f t="shared" si="2"/>
        <v>8828131.8599999994</v>
      </c>
      <c r="AB64" s="3">
        <f t="shared" si="4"/>
        <v>954956</v>
      </c>
      <c r="AC64" s="3">
        <f>ROUND(MAX(0,(D64-V64)*'Shift 14'!$B$2),2)</f>
        <v>0</v>
      </c>
      <c r="AD64" s="3">
        <f t="shared" si="3"/>
        <v>2328572.5699999998</v>
      </c>
      <c r="AE64" s="3">
        <f t="shared" si="5"/>
        <v>0</v>
      </c>
      <c r="AF64" s="214">
        <v>194</v>
      </c>
      <c r="AG64" s="214">
        <v>1</v>
      </c>
      <c r="AH64" s="3">
        <v>0</v>
      </c>
      <c r="AI64" s="3">
        <v>0</v>
      </c>
      <c r="AJ64" s="3">
        <v>301623.86</v>
      </c>
      <c r="AK64" s="3">
        <v>26000</v>
      </c>
      <c r="AL64" s="3">
        <v>176603.6</v>
      </c>
      <c r="AM64" s="3">
        <v>0</v>
      </c>
      <c r="AN64" s="3">
        <v>0</v>
      </c>
      <c r="AO64" s="3">
        <v>0</v>
      </c>
      <c r="AP64" s="3">
        <v>-26604.16</v>
      </c>
      <c r="AQ64" s="3">
        <v>3517.19</v>
      </c>
      <c r="AR64" s="3">
        <v>0</v>
      </c>
      <c r="AS64" s="3">
        <v>-32997.9</v>
      </c>
      <c r="AT64" s="3">
        <v>0</v>
      </c>
      <c r="AU64" s="3">
        <f t="shared" si="6"/>
        <v>0</v>
      </c>
      <c r="AV64" s="17">
        <v>194</v>
      </c>
      <c r="AW64" s="17">
        <v>194</v>
      </c>
      <c r="AX64" s="17">
        <v>1</v>
      </c>
      <c r="AY64" s="3" t="s">
        <v>60</v>
      </c>
      <c r="AZ64" s="3">
        <v>230506.25</v>
      </c>
      <c r="BA64" s="19">
        <v>2328572.5699999998</v>
      </c>
    </row>
    <row r="65" spans="1:53" x14ac:dyDescent="0.2">
      <c r="A65" s="17">
        <v>195</v>
      </c>
      <c r="B65" s="17">
        <v>1</v>
      </c>
      <c r="C65" s="3" t="s">
        <v>61</v>
      </c>
      <c r="D65" s="3">
        <f>Levy!F66</f>
        <v>2624</v>
      </c>
      <c r="E65" s="3">
        <f>Levy!G66</f>
        <v>280223</v>
      </c>
      <c r="F65" s="3">
        <f>Levy!H66</f>
        <v>0</v>
      </c>
      <c r="G65" s="3">
        <f>Levy!I66</f>
        <v>179403</v>
      </c>
      <c r="H65" s="217">
        <f>Levy!J66</f>
        <v>19094</v>
      </c>
      <c r="I65" s="219">
        <v>0</v>
      </c>
      <c r="J65" s="219">
        <v>500</v>
      </c>
      <c r="K65" s="219">
        <v>12414.47</v>
      </c>
      <c r="L65" s="219">
        <v>0</v>
      </c>
      <c r="M65" s="219">
        <v>0</v>
      </c>
      <c r="N65" s="19">
        <v>0</v>
      </c>
      <c r="O65" s="19">
        <v>0</v>
      </c>
      <c r="P65" s="219">
        <v>4731.0200000000004</v>
      </c>
      <c r="Q65" s="219">
        <v>0</v>
      </c>
      <c r="R65" s="219">
        <v>-1949.69</v>
      </c>
      <c r="S65" s="219">
        <v>0</v>
      </c>
      <c r="T65" s="19">
        <v>0</v>
      </c>
      <c r="U65" s="19">
        <v>0</v>
      </c>
      <c r="V65" s="19">
        <v>0</v>
      </c>
      <c r="W65" s="19">
        <v>0</v>
      </c>
      <c r="X65" s="19">
        <v>0</v>
      </c>
      <c r="Y65" s="217">
        <v>139518.71</v>
      </c>
      <c r="Z65" s="3">
        <f t="shared" si="1"/>
        <v>15695.799999999997</v>
      </c>
      <c r="AA65" s="3">
        <f t="shared" si="2"/>
        <v>443930.2</v>
      </c>
      <c r="AB65" s="3">
        <f t="shared" si="4"/>
        <v>19094</v>
      </c>
      <c r="AC65" s="3">
        <f>ROUND(MAX(0,(D65-V65)*'Shift 14'!$B$2),2)</f>
        <v>0</v>
      </c>
      <c r="AD65" s="3">
        <f t="shared" si="3"/>
        <v>139518.71</v>
      </c>
      <c r="AE65" s="3">
        <f t="shared" si="5"/>
        <v>0</v>
      </c>
      <c r="AF65" s="214">
        <v>195</v>
      </c>
      <c r="AG65" s="214">
        <v>1</v>
      </c>
      <c r="AH65" s="3">
        <v>0</v>
      </c>
      <c r="AI65" s="3">
        <v>0</v>
      </c>
      <c r="AJ65" s="3">
        <v>0</v>
      </c>
      <c r="AK65" s="3">
        <v>500</v>
      </c>
      <c r="AL65" s="3">
        <v>12414.47</v>
      </c>
      <c r="AM65" s="3">
        <v>0</v>
      </c>
      <c r="AN65" s="3">
        <v>0</v>
      </c>
      <c r="AO65" s="3">
        <v>0</v>
      </c>
      <c r="AP65" s="3">
        <v>0</v>
      </c>
      <c r="AQ65" s="3">
        <v>4731.0200000000004</v>
      </c>
      <c r="AR65" s="3">
        <v>0</v>
      </c>
      <c r="AS65" s="3">
        <v>-1949.69</v>
      </c>
      <c r="AT65" s="3">
        <v>0</v>
      </c>
      <c r="AU65" s="3">
        <f t="shared" si="6"/>
        <v>0</v>
      </c>
      <c r="AV65" s="17">
        <v>195</v>
      </c>
      <c r="AW65" s="17">
        <v>195</v>
      </c>
      <c r="AX65" s="17">
        <v>1</v>
      </c>
      <c r="AY65" s="3" t="s">
        <v>61</v>
      </c>
      <c r="AZ65" s="3">
        <v>0</v>
      </c>
      <c r="BA65" s="19">
        <v>139518.71</v>
      </c>
    </row>
    <row r="66" spans="1:53" x14ac:dyDescent="0.2">
      <c r="A66" s="17">
        <v>196</v>
      </c>
      <c r="B66" s="17">
        <v>1</v>
      </c>
      <c r="C66" s="3" t="s">
        <v>62</v>
      </c>
      <c r="D66" s="3">
        <f>Levy!F67</f>
        <v>24397386</v>
      </c>
      <c r="E66" s="3">
        <f>Levy!G67</f>
        <v>13545284</v>
      </c>
      <c r="F66" s="3">
        <f>Levy!H67</f>
        <v>1250772</v>
      </c>
      <c r="G66" s="3">
        <f>Levy!I67</f>
        <v>18201396</v>
      </c>
      <c r="H66" s="217">
        <f>Levy!J67</f>
        <v>1676223</v>
      </c>
      <c r="I66" s="219">
        <v>0</v>
      </c>
      <c r="J66" s="219">
        <v>260000</v>
      </c>
      <c r="K66" s="219">
        <v>485937.24</v>
      </c>
      <c r="L66" s="219">
        <v>0</v>
      </c>
      <c r="M66" s="219">
        <v>0</v>
      </c>
      <c r="N66" s="19">
        <v>0</v>
      </c>
      <c r="O66" s="19">
        <v>0</v>
      </c>
      <c r="P66" s="219">
        <v>-200035.84</v>
      </c>
      <c r="Q66" s="219">
        <v>0</v>
      </c>
      <c r="R66" s="219">
        <v>-223171.43</v>
      </c>
      <c r="S66" s="219">
        <v>0</v>
      </c>
      <c r="T66" s="19">
        <v>0</v>
      </c>
      <c r="U66" s="19">
        <v>0</v>
      </c>
      <c r="V66" s="19">
        <v>0</v>
      </c>
      <c r="W66" s="19">
        <v>0</v>
      </c>
      <c r="X66" s="19">
        <v>0</v>
      </c>
      <c r="Y66" s="217">
        <v>2902781.6</v>
      </c>
      <c r="Z66" s="3">
        <f t="shared" si="1"/>
        <v>322729.97000000003</v>
      </c>
      <c r="AA66" s="3">
        <f t="shared" si="2"/>
        <v>32674722.030000001</v>
      </c>
      <c r="AB66" s="3">
        <f t="shared" si="4"/>
        <v>1676223</v>
      </c>
      <c r="AC66" s="3">
        <f>ROUND(MAX(0,(D66-V66)*'Shift 14'!$B$2),2)</f>
        <v>0</v>
      </c>
      <c r="AD66" s="3">
        <f t="shared" si="3"/>
        <v>2902781.6</v>
      </c>
      <c r="AE66" s="3">
        <f t="shared" si="5"/>
        <v>0</v>
      </c>
      <c r="AF66" s="214">
        <v>196</v>
      </c>
      <c r="AG66" s="214">
        <v>1</v>
      </c>
      <c r="AH66" s="3">
        <v>0</v>
      </c>
      <c r="AI66" s="3">
        <v>0</v>
      </c>
      <c r="AJ66" s="3">
        <v>1046181.2</v>
      </c>
      <c r="AK66" s="3">
        <v>260000</v>
      </c>
      <c r="AL66" s="3">
        <v>485937.24</v>
      </c>
      <c r="AM66" s="3">
        <v>0</v>
      </c>
      <c r="AN66" s="3">
        <v>0</v>
      </c>
      <c r="AO66" s="3">
        <v>0</v>
      </c>
      <c r="AP66" s="3">
        <v>0</v>
      </c>
      <c r="AQ66" s="3">
        <v>-200035.84</v>
      </c>
      <c r="AR66" s="3">
        <v>0</v>
      </c>
      <c r="AS66" s="3">
        <v>-223171.43</v>
      </c>
      <c r="AT66" s="3">
        <v>0</v>
      </c>
      <c r="AU66" s="3">
        <f t="shared" si="6"/>
        <v>0</v>
      </c>
      <c r="AV66" s="17">
        <v>196</v>
      </c>
      <c r="AW66" s="17">
        <v>196</v>
      </c>
      <c r="AX66" s="17">
        <v>1</v>
      </c>
      <c r="AY66" s="3" t="s">
        <v>62</v>
      </c>
      <c r="AZ66" s="3">
        <v>0</v>
      </c>
      <c r="BA66" s="19">
        <v>2902781.6</v>
      </c>
    </row>
    <row r="67" spans="1:53" x14ac:dyDescent="0.2">
      <c r="A67" s="17">
        <v>197</v>
      </c>
      <c r="B67" s="17">
        <v>1</v>
      </c>
      <c r="C67" s="3" t="s">
        <v>815</v>
      </c>
      <c r="D67" s="3">
        <f>Levy!F68</f>
        <v>7788876</v>
      </c>
      <c r="E67" s="3">
        <f>Levy!G68</f>
        <v>2602055</v>
      </c>
      <c r="F67" s="3">
        <f>Levy!H68</f>
        <v>490000</v>
      </c>
      <c r="G67" s="3">
        <f>Levy!I68</f>
        <v>3601583</v>
      </c>
      <c r="H67" s="217">
        <f>Levy!J68</f>
        <v>890939</v>
      </c>
      <c r="I67" s="219">
        <v>0</v>
      </c>
      <c r="J67" s="219">
        <v>55000</v>
      </c>
      <c r="K67" s="219">
        <v>98338.87</v>
      </c>
      <c r="L67" s="219">
        <v>0</v>
      </c>
      <c r="M67" s="219">
        <v>0</v>
      </c>
      <c r="N67" s="19">
        <v>0</v>
      </c>
      <c r="O67" s="19">
        <v>0</v>
      </c>
      <c r="P67" s="219">
        <v>4904.83</v>
      </c>
      <c r="Q67" s="219">
        <v>0</v>
      </c>
      <c r="R67" s="219">
        <v>-12212.29</v>
      </c>
      <c r="S67" s="219">
        <v>0</v>
      </c>
      <c r="T67" s="19">
        <v>0</v>
      </c>
      <c r="U67" s="19">
        <v>0</v>
      </c>
      <c r="V67" s="19">
        <v>0</v>
      </c>
      <c r="W67" s="19">
        <v>0</v>
      </c>
      <c r="X67" s="19">
        <v>0</v>
      </c>
      <c r="Y67" s="217">
        <v>1798011.75</v>
      </c>
      <c r="Z67" s="3">
        <f t="shared" si="1"/>
        <v>146031.40999999997</v>
      </c>
      <c r="AA67" s="3">
        <f t="shared" si="2"/>
        <v>6547606.5899999999</v>
      </c>
      <c r="AB67" s="3">
        <f t="shared" si="4"/>
        <v>890939</v>
      </c>
      <c r="AC67" s="3">
        <f>ROUND(MAX(0,(D67-V67)*'Shift 14'!$B$2),2)</f>
        <v>0</v>
      </c>
      <c r="AD67" s="3">
        <f t="shared" si="3"/>
        <v>1798011.75</v>
      </c>
      <c r="AE67" s="3">
        <f t="shared" si="5"/>
        <v>0</v>
      </c>
      <c r="AF67" s="214">
        <v>197</v>
      </c>
      <c r="AG67" s="214">
        <v>1</v>
      </c>
      <c r="AH67" s="3">
        <v>0</v>
      </c>
      <c r="AI67" s="3">
        <v>0</v>
      </c>
      <c r="AJ67" s="3">
        <v>248197.58</v>
      </c>
      <c r="AK67" s="3">
        <v>55000</v>
      </c>
      <c r="AL67" s="3">
        <v>98338.87</v>
      </c>
      <c r="AM67" s="3">
        <v>0</v>
      </c>
      <c r="AN67" s="3">
        <v>0</v>
      </c>
      <c r="AO67" s="3">
        <v>0</v>
      </c>
      <c r="AP67" s="3">
        <v>0</v>
      </c>
      <c r="AQ67" s="3">
        <v>4904.83</v>
      </c>
      <c r="AR67" s="3">
        <v>0</v>
      </c>
      <c r="AS67" s="3">
        <v>-12212.29</v>
      </c>
      <c r="AT67" s="3">
        <v>0</v>
      </c>
      <c r="AU67" s="3">
        <f t="shared" si="6"/>
        <v>0</v>
      </c>
      <c r="AV67" s="17">
        <v>197</v>
      </c>
      <c r="AW67" s="17">
        <v>197</v>
      </c>
      <c r="AX67" s="17">
        <v>1</v>
      </c>
      <c r="AY67" s="3" t="s">
        <v>63</v>
      </c>
      <c r="AZ67" s="3">
        <v>0</v>
      </c>
      <c r="BA67" s="19">
        <v>1798011.75</v>
      </c>
    </row>
    <row r="68" spans="1:53" x14ac:dyDescent="0.2">
      <c r="A68" s="17">
        <v>199</v>
      </c>
      <c r="B68" s="17">
        <v>1</v>
      </c>
      <c r="C68" s="3" t="s">
        <v>1172</v>
      </c>
      <c r="D68" s="3">
        <f>Levy!F69</f>
        <v>2055355</v>
      </c>
      <c r="E68" s="3">
        <f>Levy!G69</f>
        <v>2293433</v>
      </c>
      <c r="F68" s="3">
        <f>Levy!H69</f>
        <v>0</v>
      </c>
      <c r="G68" s="3">
        <f>Levy!I69</f>
        <v>2329748</v>
      </c>
      <c r="H68" s="217">
        <f>Levy!J69</f>
        <v>441422</v>
      </c>
      <c r="I68" s="219">
        <v>0</v>
      </c>
      <c r="J68" s="219">
        <v>55500</v>
      </c>
      <c r="K68" s="219">
        <v>62090.1</v>
      </c>
      <c r="L68" s="219">
        <v>0</v>
      </c>
      <c r="M68" s="219">
        <v>0</v>
      </c>
      <c r="N68" s="19">
        <v>0</v>
      </c>
      <c r="O68" s="19">
        <v>0</v>
      </c>
      <c r="P68" s="219">
        <v>-5362.09</v>
      </c>
      <c r="Q68" s="219">
        <v>0</v>
      </c>
      <c r="R68" s="219">
        <v>-14614.8</v>
      </c>
      <c r="S68" s="219">
        <v>0</v>
      </c>
      <c r="T68" s="19">
        <v>0</v>
      </c>
      <c r="U68" s="19">
        <v>0</v>
      </c>
      <c r="V68" s="19">
        <v>0</v>
      </c>
      <c r="W68" s="19">
        <v>0</v>
      </c>
      <c r="X68" s="19">
        <v>29000.73</v>
      </c>
      <c r="Y68" s="217">
        <v>996898.87</v>
      </c>
      <c r="Z68" s="3">
        <f t="shared" si="1"/>
        <v>97613.21</v>
      </c>
      <c r="AA68" s="3">
        <f t="shared" si="2"/>
        <v>4496567.0599999996</v>
      </c>
      <c r="AB68" s="3">
        <f t="shared" si="4"/>
        <v>441422</v>
      </c>
      <c r="AC68" s="3">
        <f>ROUND(MAX(0,(D68-V68)*'Shift 14'!$B$2),2)</f>
        <v>0</v>
      </c>
      <c r="AD68" s="3">
        <f t="shared" si="3"/>
        <v>996898.87</v>
      </c>
      <c r="AE68" s="3">
        <f t="shared" si="5"/>
        <v>0</v>
      </c>
      <c r="AF68" s="214">
        <v>199</v>
      </c>
      <c r="AG68" s="214">
        <v>1</v>
      </c>
      <c r="AH68" s="3">
        <v>0</v>
      </c>
      <c r="AI68" s="3">
        <v>0</v>
      </c>
      <c r="AJ68" s="3">
        <v>168272.92</v>
      </c>
      <c r="AK68" s="3">
        <v>55500</v>
      </c>
      <c r="AL68" s="3">
        <v>62090.1</v>
      </c>
      <c r="AM68" s="3">
        <v>0</v>
      </c>
      <c r="AN68" s="3">
        <v>0</v>
      </c>
      <c r="AO68" s="3">
        <v>0</v>
      </c>
      <c r="AP68" s="3">
        <v>0</v>
      </c>
      <c r="AQ68" s="3">
        <v>-5362.09</v>
      </c>
      <c r="AR68" s="3">
        <v>0</v>
      </c>
      <c r="AS68" s="3">
        <v>-14614.8</v>
      </c>
      <c r="AT68" s="3">
        <v>0</v>
      </c>
      <c r="AU68" s="3">
        <f t="shared" si="6"/>
        <v>0</v>
      </c>
      <c r="AV68" s="17">
        <v>199</v>
      </c>
      <c r="AW68" s="17">
        <v>199</v>
      </c>
      <c r="AX68" s="17">
        <v>1</v>
      </c>
      <c r="AY68" s="3" t="s">
        <v>64</v>
      </c>
      <c r="AZ68" s="3">
        <v>29000.73</v>
      </c>
      <c r="BA68" s="19">
        <v>996898.87</v>
      </c>
    </row>
    <row r="69" spans="1:53" x14ac:dyDescent="0.2">
      <c r="A69" s="17">
        <v>200</v>
      </c>
      <c r="B69" s="17">
        <v>1</v>
      </c>
      <c r="C69" s="3" t="s">
        <v>65</v>
      </c>
      <c r="D69" s="3">
        <f>Levy!F70</f>
        <v>5169870</v>
      </c>
      <c r="E69" s="3">
        <f>Levy!G70</f>
        <v>2264647</v>
      </c>
      <c r="F69" s="3">
        <f>Levy!H70</f>
        <v>0</v>
      </c>
      <c r="G69" s="3">
        <f>Levy!I70</f>
        <v>1752367</v>
      </c>
      <c r="H69" s="217">
        <f>Levy!J70</f>
        <v>482742</v>
      </c>
      <c r="I69" s="219">
        <v>0</v>
      </c>
      <c r="J69" s="219">
        <v>13546.4</v>
      </c>
      <c r="K69" s="219">
        <v>42009.13</v>
      </c>
      <c r="L69" s="219">
        <v>0</v>
      </c>
      <c r="M69" s="219">
        <v>0</v>
      </c>
      <c r="N69" s="19">
        <v>0</v>
      </c>
      <c r="O69" s="19">
        <v>0</v>
      </c>
      <c r="P69" s="219">
        <v>-38019.949999999997</v>
      </c>
      <c r="Q69" s="219">
        <v>0</v>
      </c>
      <c r="R69" s="219">
        <v>-14548.02</v>
      </c>
      <c r="S69" s="219">
        <v>0</v>
      </c>
      <c r="T69" s="19">
        <v>0</v>
      </c>
      <c r="U69" s="19">
        <v>0</v>
      </c>
      <c r="V69" s="19">
        <v>0</v>
      </c>
      <c r="W69" s="19">
        <v>0</v>
      </c>
      <c r="X69" s="19">
        <v>43073.06</v>
      </c>
      <c r="Y69" s="217">
        <v>552049.56000000006</v>
      </c>
      <c r="Z69" s="3">
        <f t="shared" si="1"/>
        <v>2987.5600000000013</v>
      </c>
      <c r="AA69" s="3">
        <f t="shared" si="2"/>
        <v>3970953.38</v>
      </c>
      <c r="AB69" s="3">
        <f t="shared" si="4"/>
        <v>482742</v>
      </c>
      <c r="AC69" s="3">
        <f>ROUND(MAX(0,(D69-V69)*'Shift 14'!$B$2),2)</f>
        <v>0</v>
      </c>
      <c r="AD69" s="3">
        <f t="shared" si="3"/>
        <v>552049.56000000006</v>
      </c>
      <c r="AE69" s="3">
        <f t="shared" si="5"/>
        <v>0</v>
      </c>
      <c r="AF69" s="214">
        <v>200</v>
      </c>
      <c r="AG69" s="214">
        <v>1</v>
      </c>
      <c r="AH69" s="3">
        <v>0</v>
      </c>
      <c r="AI69" s="3">
        <v>0</v>
      </c>
      <c r="AJ69" s="3">
        <v>0</v>
      </c>
      <c r="AK69" s="3">
        <v>13546.4</v>
      </c>
      <c r="AL69" s="3">
        <v>42009.13</v>
      </c>
      <c r="AM69" s="3">
        <v>0</v>
      </c>
      <c r="AN69" s="3">
        <v>0</v>
      </c>
      <c r="AO69" s="3">
        <v>0</v>
      </c>
      <c r="AP69" s="3">
        <v>0</v>
      </c>
      <c r="AQ69" s="3">
        <v>-38019.949999999997</v>
      </c>
      <c r="AR69" s="3">
        <v>0</v>
      </c>
      <c r="AS69" s="3">
        <v>-14548.02</v>
      </c>
      <c r="AT69" s="3">
        <v>0</v>
      </c>
      <c r="AU69" s="3">
        <f t="shared" si="6"/>
        <v>0</v>
      </c>
      <c r="AV69" s="17">
        <v>200</v>
      </c>
      <c r="AW69" s="17">
        <v>200</v>
      </c>
      <c r="AX69" s="17">
        <v>1</v>
      </c>
      <c r="AY69" s="3" t="s">
        <v>65</v>
      </c>
      <c r="AZ69" s="3">
        <v>43073.06</v>
      </c>
      <c r="BA69" s="19">
        <v>552049.56000000006</v>
      </c>
    </row>
    <row r="70" spans="1:53" x14ac:dyDescent="0.2">
      <c r="A70" s="17">
        <v>203</v>
      </c>
      <c r="B70" s="17">
        <v>1</v>
      </c>
      <c r="C70" s="3" t="s">
        <v>66</v>
      </c>
      <c r="D70" s="3">
        <f>Levy!F71</f>
        <v>527945.61</v>
      </c>
      <c r="E70" s="3">
        <f>Levy!G71</f>
        <v>48483.040000000001</v>
      </c>
      <c r="F70" s="3">
        <f>Levy!H71</f>
        <v>0</v>
      </c>
      <c r="G70" s="3">
        <f>Levy!I71</f>
        <v>338658.39</v>
      </c>
      <c r="H70" s="217">
        <f>Levy!J71</f>
        <v>70780.22</v>
      </c>
      <c r="I70" s="219">
        <v>0</v>
      </c>
      <c r="J70" s="219">
        <v>10000</v>
      </c>
      <c r="K70" s="219">
        <v>21210.29</v>
      </c>
      <c r="L70" s="219">
        <v>0</v>
      </c>
      <c r="M70" s="219">
        <v>0</v>
      </c>
      <c r="N70" s="19">
        <v>0</v>
      </c>
      <c r="O70" s="19">
        <v>0</v>
      </c>
      <c r="P70" s="219">
        <v>-8000</v>
      </c>
      <c r="Q70" s="219">
        <v>0</v>
      </c>
      <c r="R70" s="219">
        <v>-2432.42</v>
      </c>
      <c r="S70" s="219">
        <v>0</v>
      </c>
      <c r="T70" s="19">
        <v>0</v>
      </c>
      <c r="U70" s="19">
        <v>0</v>
      </c>
      <c r="V70" s="19">
        <v>0</v>
      </c>
      <c r="W70" s="19">
        <v>0</v>
      </c>
      <c r="X70" s="19">
        <v>0</v>
      </c>
      <c r="Y70" s="217">
        <v>0</v>
      </c>
      <c r="Z70" s="3">
        <f t="shared" si="1"/>
        <v>20777.870000000003</v>
      </c>
      <c r="AA70" s="3">
        <f t="shared" si="2"/>
        <v>366363.56</v>
      </c>
      <c r="AB70" s="3">
        <f t="shared" si="4"/>
        <v>70780.22</v>
      </c>
      <c r="AC70" s="3">
        <f>ROUND(MAX(0,(D70-V70)*'Shift 14'!$B$2),2)</f>
        <v>0</v>
      </c>
      <c r="AD70" s="3">
        <f t="shared" si="3"/>
        <v>0</v>
      </c>
      <c r="AE70" s="3">
        <f t="shared" si="5"/>
        <v>0</v>
      </c>
      <c r="AF70" s="214">
        <v>203</v>
      </c>
      <c r="AG70" s="214">
        <v>1</v>
      </c>
      <c r="AH70" s="3">
        <v>-12162.4</v>
      </c>
      <c r="AI70" s="3">
        <v>0</v>
      </c>
      <c r="AJ70" s="3">
        <v>0</v>
      </c>
      <c r="AK70" s="3">
        <v>10000</v>
      </c>
      <c r="AL70" s="3">
        <v>21210.29</v>
      </c>
      <c r="AM70" s="3">
        <v>0</v>
      </c>
      <c r="AN70" s="3">
        <v>0</v>
      </c>
      <c r="AO70" s="3">
        <v>0</v>
      </c>
      <c r="AP70" s="3">
        <v>-202.62</v>
      </c>
      <c r="AQ70" s="3">
        <v>-8000</v>
      </c>
      <c r="AR70" s="3">
        <v>0</v>
      </c>
      <c r="AS70" s="3">
        <v>-2432.42</v>
      </c>
      <c r="AT70" s="3">
        <v>0</v>
      </c>
      <c r="AU70" s="3">
        <f t="shared" si="6"/>
        <v>0</v>
      </c>
      <c r="AV70" s="17">
        <v>203</v>
      </c>
      <c r="AW70" s="17">
        <v>203</v>
      </c>
      <c r="AX70" s="17">
        <v>1</v>
      </c>
      <c r="AY70" s="3" t="s">
        <v>66</v>
      </c>
      <c r="AZ70" s="3">
        <v>0</v>
      </c>
      <c r="BA70" s="19">
        <v>0</v>
      </c>
    </row>
    <row r="71" spans="1:53" x14ac:dyDescent="0.2">
      <c r="A71" s="17">
        <v>204</v>
      </c>
      <c r="B71" s="17">
        <v>1</v>
      </c>
      <c r="C71" s="3" t="s">
        <v>1173</v>
      </c>
      <c r="D71" s="3">
        <f>Levy!F72</f>
        <v>109125.13</v>
      </c>
      <c r="E71" s="3">
        <f>Levy!G72</f>
        <v>504550.29</v>
      </c>
      <c r="F71" s="3">
        <f>Levy!H72</f>
        <v>0</v>
      </c>
      <c r="G71" s="3">
        <f>Levy!I72</f>
        <v>135932.13</v>
      </c>
      <c r="H71" s="217">
        <f>Levy!J72</f>
        <v>109032.51</v>
      </c>
      <c r="I71" s="219">
        <v>0</v>
      </c>
      <c r="J71" s="219">
        <v>6514.41</v>
      </c>
      <c r="K71" s="219">
        <v>24124.25</v>
      </c>
      <c r="L71" s="219">
        <v>0</v>
      </c>
      <c r="M71" s="219">
        <v>0</v>
      </c>
      <c r="N71" s="19">
        <v>0</v>
      </c>
      <c r="O71" s="19">
        <v>0</v>
      </c>
      <c r="P71" s="219">
        <v>15565.83</v>
      </c>
      <c r="Q71" s="219">
        <v>0</v>
      </c>
      <c r="R71" s="219">
        <v>-6301.87</v>
      </c>
      <c r="S71" s="219">
        <v>0</v>
      </c>
      <c r="T71" s="19">
        <v>0</v>
      </c>
      <c r="U71" s="19">
        <v>0</v>
      </c>
      <c r="V71" s="19">
        <v>0</v>
      </c>
      <c r="W71" s="19">
        <v>0</v>
      </c>
      <c r="X71" s="19">
        <v>0</v>
      </c>
      <c r="Y71" s="217">
        <v>66446.850000000006</v>
      </c>
      <c r="Z71" s="3">
        <f t="shared" si="1"/>
        <v>39902.619999999995</v>
      </c>
      <c r="AA71" s="3">
        <f t="shared" si="2"/>
        <v>600579.80000000005</v>
      </c>
      <c r="AB71" s="3">
        <f t="shared" si="4"/>
        <v>109032.51</v>
      </c>
      <c r="AC71" s="3">
        <f>ROUND(MAX(0,(D71-V71)*'Shift 14'!$B$2),2)</f>
        <v>0</v>
      </c>
      <c r="AD71" s="3">
        <f t="shared" si="3"/>
        <v>66446.850000000006</v>
      </c>
      <c r="AE71" s="3">
        <f t="shared" si="5"/>
        <v>0</v>
      </c>
      <c r="AF71" s="214">
        <v>204</v>
      </c>
      <c r="AG71" s="214">
        <v>1</v>
      </c>
      <c r="AH71" s="3">
        <v>0</v>
      </c>
      <c r="AI71" s="3">
        <v>0</v>
      </c>
      <c r="AJ71" s="3">
        <v>0</v>
      </c>
      <c r="AK71" s="3">
        <v>6514.41</v>
      </c>
      <c r="AL71" s="3">
        <v>24124.25</v>
      </c>
      <c r="AM71" s="3">
        <v>0</v>
      </c>
      <c r="AN71" s="3">
        <v>0</v>
      </c>
      <c r="AO71" s="3">
        <v>0</v>
      </c>
      <c r="AP71" s="3">
        <v>0</v>
      </c>
      <c r="AQ71" s="3">
        <v>15565.83</v>
      </c>
      <c r="AR71" s="3">
        <v>0</v>
      </c>
      <c r="AS71" s="3">
        <v>-6301.87</v>
      </c>
      <c r="AT71" s="3">
        <v>0</v>
      </c>
      <c r="AU71" s="3">
        <f t="shared" si="6"/>
        <v>0</v>
      </c>
      <c r="AV71" s="17">
        <v>204</v>
      </c>
      <c r="AW71" s="17">
        <v>204</v>
      </c>
      <c r="AX71" s="17">
        <v>1</v>
      </c>
      <c r="AY71" s="3" t="s">
        <v>67</v>
      </c>
      <c r="AZ71" s="3">
        <v>0</v>
      </c>
      <c r="BA71" s="19">
        <v>66446.850000000006</v>
      </c>
    </row>
    <row r="72" spans="1:53" x14ac:dyDescent="0.2">
      <c r="A72" s="17">
        <v>206</v>
      </c>
      <c r="B72" s="17">
        <v>1</v>
      </c>
      <c r="C72" s="3" t="s">
        <v>68</v>
      </c>
      <c r="D72" s="3">
        <f>Levy!F73</f>
        <v>749884.11</v>
      </c>
      <c r="E72" s="3">
        <f>Levy!G73</f>
        <v>1738198.78</v>
      </c>
      <c r="F72" s="3">
        <f>Levy!H73</f>
        <v>0</v>
      </c>
      <c r="G72" s="3">
        <f>Levy!I73</f>
        <v>1490476.08</v>
      </c>
      <c r="H72" s="217">
        <f>Levy!J73</f>
        <v>461081.47</v>
      </c>
      <c r="I72" s="219">
        <v>0</v>
      </c>
      <c r="J72" s="219">
        <v>17718.75</v>
      </c>
      <c r="K72" s="219">
        <v>116187.86</v>
      </c>
      <c r="L72" s="219">
        <v>0</v>
      </c>
      <c r="M72" s="219">
        <v>0</v>
      </c>
      <c r="N72" s="19">
        <v>0</v>
      </c>
      <c r="O72" s="19">
        <v>0</v>
      </c>
      <c r="P72" s="219">
        <v>-5675.03</v>
      </c>
      <c r="Q72" s="219">
        <v>0</v>
      </c>
      <c r="R72" s="219">
        <v>-18684.080000000002</v>
      </c>
      <c r="S72" s="219">
        <v>0</v>
      </c>
      <c r="T72" s="19">
        <v>0</v>
      </c>
      <c r="U72" s="19">
        <v>0</v>
      </c>
      <c r="V72" s="19">
        <v>0</v>
      </c>
      <c r="W72" s="19">
        <v>0</v>
      </c>
      <c r="X72" s="19">
        <v>0</v>
      </c>
      <c r="Y72" s="217">
        <v>365570.81</v>
      </c>
      <c r="Z72" s="3">
        <f t="shared" ref="Z72:Z133" si="7">SUM(I72:T72)</f>
        <v>109547.49999999999</v>
      </c>
      <c r="AA72" s="3">
        <f t="shared" ref="AA72:AA133" si="8">ROUND(MAX(E72+F72+G72-W72-X72-Z72,0),2)</f>
        <v>3119127.36</v>
      </c>
      <c r="AB72" s="3">
        <f t="shared" si="4"/>
        <v>461081.47</v>
      </c>
      <c r="AC72" s="3">
        <f>ROUND(MAX(0,(D72-V72)*'Shift 14'!$B$2),2)</f>
        <v>0</v>
      </c>
      <c r="AD72" s="3">
        <f t="shared" ref="AD72:AD133" si="9">MAX(AC72,Y72)</f>
        <v>365570.81</v>
      </c>
      <c r="AE72" s="3">
        <f t="shared" si="5"/>
        <v>0</v>
      </c>
      <c r="AF72" s="214">
        <v>206</v>
      </c>
      <c r="AG72" s="214">
        <v>1</v>
      </c>
      <c r="AH72" s="3">
        <v>0</v>
      </c>
      <c r="AI72" s="3">
        <v>0</v>
      </c>
      <c r="AJ72" s="3">
        <v>0</v>
      </c>
      <c r="AK72" s="3">
        <v>17718.75</v>
      </c>
      <c r="AL72" s="3">
        <v>116187.86</v>
      </c>
      <c r="AM72" s="3">
        <v>0</v>
      </c>
      <c r="AN72" s="3">
        <v>0</v>
      </c>
      <c r="AO72" s="3">
        <v>0</v>
      </c>
      <c r="AP72" s="3">
        <v>0</v>
      </c>
      <c r="AQ72" s="3">
        <v>-5675.03</v>
      </c>
      <c r="AR72" s="3">
        <v>0</v>
      </c>
      <c r="AS72" s="3">
        <v>-18684.080000000002</v>
      </c>
      <c r="AT72" s="3">
        <v>0</v>
      </c>
      <c r="AU72" s="3">
        <f t="shared" si="6"/>
        <v>0</v>
      </c>
      <c r="AV72" s="17">
        <v>206</v>
      </c>
      <c r="AW72" s="17">
        <v>206</v>
      </c>
      <c r="AX72" s="17">
        <v>1</v>
      </c>
      <c r="AY72" s="3" t="s">
        <v>68</v>
      </c>
      <c r="AZ72" s="3">
        <v>0</v>
      </c>
      <c r="BA72" s="19">
        <v>365570.81</v>
      </c>
    </row>
    <row r="73" spans="1:53" x14ac:dyDescent="0.2">
      <c r="A73" s="17">
        <v>213</v>
      </c>
      <c r="B73" s="17">
        <v>1</v>
      </c>
      <c r="C73" s="3" t="s">
        <v>71</v>
      </c>
      <c r="D73" s="3">
        <f>Levy!F74</f>
        <v>5879.52</v>
      </c>
      <c r="E73" s="3">
        <f>Levy!G74</f>
        <v>164912.91</v>
      </c>
      <c r="F73" s="3">
        <f>Levy!H74</f>
        <v>0</v>
      </c>
      <c r="G73" s="3">
        <f>Levy!I74</f>
        <v>168345.66</v>
      </c>
      <c r="H73" s="217">
        <f>Levy!J74</f>
        <v>48756.7</v>
      </c>
      <c r="I73" s="219">
        <v>0</v>
      </c>
      <c r="J73" s="219">
        <v>5000</v>
      </c>
      <c r="K73" s="219">
        <v>10365.16</v>
      </c>
      <c r="L73" s="219">
        <v>0</v>
      </c>
      <c r="M73" s="219">
        <v>0</v>
      </c>
      <c r="N73" s="19">
        <v>0</v>
      </c>
      <c r="O73" s="19">
        <v>0</v>
      </c>
      <c r="P73" s="219">
        <v>-8162.32</v>
      </c>
      <c r="Q73" s="219">
        <v>0</v>
      </c>
      <c r="R73" s="219">
        <v>-6770.65</v>
      </c>
      <c r="S73" s="219">
        <v>0</v>
      </c>
      <c r="T73" s="19">
        <v>0</v>
      </c>
      <c r="U73" s="19">
        <v>0</v>
      </c>
      <c r="V73" s="19">
        <v>0</v>
      </c>
      <c r="W73" s="19">
        <v>0</v>
      </c>
      <c r="X73" s="19">
        <v>0</v>
      </c>
      <c r="Y73" s="217">
        <v>28915.37</v>
      </c>
      <c r="Z73" s="3">
        <f t="shared" si="7"/>
        <v>432.19000000000051</v>
      </c>
      <c r="AA73" s="3">
        <f t="shared" si="8"/>
        <v>332826.38</v>
      </c>
      <c r="AB73" s="3">
        <f t="shared" ref="AB73:AB134" si="10">ROUND(MAX(H73-U73,0),2)</f>
        <v>48756.7</v>
      </c>
      <c r="AC73" s="3">
        <f>ROUND(MAX(0,(D73-V73)*'Shift 14'!$B$2),2)</f>
        <v>0</v>
      </c>
      <c r="AD73" s="3">
        <f t="shared" si="9"/>
        <v>28915.37</v>
      </c>
      <c r="AE73" s="3">
        <f t="shared" ref="AE73:AE136" si="11">AF73-A73</f>
        <v>0</v>
      </c>
      <c r="AF73" s="214">
        <v>213</v>
      </c>
      <c r="AG73" s="214">
        <v>1</v>
      </c>
      <c r="AH73" s="3">
        <v>0</v>
      </c>
      <c r="AI73" s="3">
        <v>0</v>
      </c>
      <c r="AJ73" s="3">
        <v>17764.39</v>
      </c>
      <c r="AK73" s="3">
        <v>5000</v>
      </c>
      <c r="AL73" s="3">
        <v>10365.16</v>
      </c>
      <c r="AM73" s="3">
        <v>0</v>
      </c>
      <c r="AN73" s="3">
        <v>0</v>
      </c>
      <c r="AO73" s="3">
        <v>0</v>
      </c>
      <c r="AP73" s="3">
        <v>-520.64</v>
      </c>
      <c r="AQ73" s="3">
        <v>-8162.32</v>
      </c>
      <c r="AR73" s="3">
        <v>0</v>
      </c>
      <c r="AS73" s="3">
        <v>-6770.65</v>
      </c>
      <c r="AT73" s="3">
        <v>0</v>
      </c>
      <c r="AU73" s="3">
        <f t="shared" ref="AU73:AU136" si="12">AV73-A73</f>
        <v>0</v>
      </c>
      <c r="AV73" s="17">
        <v>213</v>
      </c>
      <c r="AW73" s="17">
        <v>213</v>
      </c>
      <c r="AX73" s="17">
        <v>1</v>
      </c>
      <c r="AY73" s="3" t="s">
        <v>71</v>
      </c>
      <c r="AZ73" s="3">
        <v>0</v>
      </c>
      <c r="BA73" s="19">
        <v>28915.37</v>
      </c>
    </row>
    <row r="74" spans="1:53" x14ac:dyDescent="0.2">
      <c r="A74" s="17">
        <v>227</v>
      </c>
      <c r="B74" s="17">
        <v>1</v>
      </c>
      <c r="C74" s="3" t="s">
        <v>72</v>
      </c>
      <c r="D74" s="3">
        <f>Levy!F75</f>
        <v>342124</v>
      </c>
      <c r="E74" s="3">
        <f>Levy!G75</f>
        <v>66021</v>
      </c>
      <c r="F74" s="3">
        <f>Levy!H75</f>
        <v>0</v>
      </c>
      <c r="G74" s="3">
        <f>Levy!I75</f>
        <v>219077</v>
      </c>
      <c r="H74" s="217">
        <f>Levy!J75</f>
        <v>74421</v>
      </c>
      <c r="I74" s="219">
        <v>0</v>
      </c>
      <c r="J74" s="219">
        <v>2000</v>
      </c>
      <c r="K74" s="219">
        <v>18514.13</v>
      </c>
      <c r="L74" s="219">
        <v>0</v>
      </c>
      <c r="M74" s="219">
        <v>0</v>
      </c>
      <c r="N74" s="19">
        <v>0</v>
      </c>
      <c r="O74" s="19">
        <v>0</v>
      </c>
      <c r="P74" s="219">
        <v>-8134.45</v>
      </c>
      <c r="Q74" s="219">
        <v>0</v>
      </c>
      <c r="R74" s="219">
        <v>-3279.23</v>
      </c>
      <c r="S74" s="219">
        <v>0</v>
      </c>
      <c r="T74" s="19">
        <v>0</v>
      </c>
      <c r="U74" s="19">
        <v>0</v>
      </c>
      <c r="V74" s="19">
        <v>0</v>
      </c>
      <c r="W74" s="19">
        <v>0</v>
      </c>
      <c r="X74" s="19">
        <v>0</v>
      </c>
      <c r="Y74" s="217">
        <v>44731.14</v>
      </c>
      <c r="Z74" s="3">
        <f t="shared" si="7"/>
        <v>9100.4500000000007</v>
      </c>
      <c r="AA74" s="3">
        <f t="shared" si="8"/>
        <v>275997.55</v>
      </c>
      <c r="AB74" s="3">
        <f t="shared" si="10"/>
        <v>74421</v>
      </c>
      <c r="AC74" s="3">
        <f>ROUND(MAX(0,(D74-V74)*'Shift 14'!$B$2),2)</f>
        <v>0</v>
      </c>
      <c r="AD74" s="3">
        <f t="shared" si="9"/>
        <v>44731.14</v>
      </c>
      <c r="AE74" s="3">
        <f t="shared" si="11"/>
        <v>0</v>
      </c>
      <c r="AF74" s="214">
        <v>227</v>
      </c>
      <c r="AG74" s="214">
        <v>1</v>
      </c>
      <c r="AH74" s="3">
        <v>0</v>
      </c>
      <c r="AI74" s="3">
        <v>0</v>
      </c>
      <c r="AJ74" s="3">
        <v>0</v>
      </c>
      <c r="AK74" s="3">
        <v>2000</v>
      </c>
      <c r="AL74" s="3">
        <v>18514.13</v>
      </c>
      <c r="AM74" s="3">
        <v>0</v>
      </c>
      <c r="AN74" s="3">
        <v>0</v>
      </c>
      <c r="AO74" s="3">
        <v>0</v>
      </c>
      <c r="AP74" s="3">
        <v>-0.1</v>
      </c>
      <c r="AQ74" s="3">
        <v>-8134.45</v>
      </c>
      <c r="AR74" s="3">
        <v>0</v>
      </c>
      <c r="AS74" s="3">
        <v>-3279.23</v>
      </c>
      <c r="AT74" s="3">
        <v>0</v>
      </c>
      <c r="AU74" s="3">
        <f t="shared" si="12"/>
        <v>0</v>
      </c>
      <c r="AV74" s="17">
        <v>227</v>
      </c>
      <c r="AW74" s="17">
        <v>227</v>
      </c>
      <c r="AX74" s="17">
        <v>1</v>
      </c>
      <c r="AY74" s="3" t="s">
        <v>72</v>
      </c>
      <c r="AZ74" s="3">
        <v>0</v>
      </c>
      <c r="BA74" s="19">
        <v>44731.14</v>
      </c>
    </row>
    <row r="75" spans="1:53" x14ac:dyDescent="0.2">
      <c r="A75" s="17">
        <v>229</v>
      </c>
      <c r="B75" s="17">
        <v>1</v>
      </c>
      <c r="C75" s="3" t="s">
        <v>73</v>
      </c>
      <c r="D75" s="3">
        <f>Levy!F76</f>
        <v>0</v>
      </c>
      <c r="E75" s="3">
        <f>Levy!G76</f>
        <v>61960</v>
      </c>
      <c r="F75" s="3">
        <f>Levy!H76</f>
        <v>0</v>
      </c>
      <c r="G75" s="3">
        <f>Levy!I76</f>
        <v>191460</v>
      </c>
      <c r="H75" s="217">
        <f>Levy!J76</f>
        <v>21888</v>
      </c>
      <c r="I75" s="219">
        <v>0</v>
      </c>
      <c r="J75" s="219">
        <v>520</v>
      </c>
      <c r="K75" s="219">
        <v>29626.94</v>
      </c>
      <c r="L75" s="219">
        <v>0</v>
      </c>
      <c r="M75" s="219">
        <v>0</v>
      </c>
      <c r="N75" s="19">
        <v>0</v>
      </c>
      <c r="O75" s="19">
        <v>0</v>
      </c>
      <c r="P75" s="219">
        <v>-3916.62</v>
      </c>
      <c r="Q75" s="219">
        <v>0</v>
      </c>
      <c r="R75" s="219">
        <v>-4097.21</v>
      </c>
      <c r="S75" s="219">
        <v>0</v>
      </c>
      <c r="T75" s="19">
        <v>0</v>
      </c>
      <c r="U75" s="19">
        <v>0</v>
      </c>
      <c r="V75" s="19">
        <v>0</v>
      </c>
      <c r="W75" s="19">
        <v>0</v>
      </c>
      <c r="X75" s="19">
        <v>0</v>
      </c>
      <c r="Y75" s="217">
        <v>15542.06</v>
      </c>
      <c r="Z75" s="3">
        <f t="shared" si="7"/>
        <v>22133.11</v>
      </c>
      <c r="AA75" s="3">
        <f t="shared" si="8"/>
        <v>231286.89</v>
      </c>
      <c r="AB75" s="3">
        <f t="shared" si="10"/>
        <v>21888</v>
      </c>
      <c r="AC75" s="3">
        <f>ROUND(MAX(0,(D75-V75)*'Shift 14'!$B$2),2)</f>
        <v>0</v>
      </c>
      <c r="AD75" s="3">
        <f t="shared" si="9"/>
        <v>15542.06</v>
      </c>
      <c r="AE75" s="3">
        <f t="shared" si="11"/>
        <v>0</v>
      </c>
      <c r="AF75" s="214">
        <v>229</v>
      </c>
      <c r="AG75" s="214">
        <v>1</v>
      </c>
      <c r="AH75" s="3">
        <v>0</v>
      </c>
      <c r="AI75" s="3">
        <v>0</v>
      </c>
      <c r="AJ75" s="3">
        <v>0</v>
      </c>
      <c r="AK75" s="3">
        <v>520</v>
      </c>
      <c r="AL75" s="3">
        <v>29626.94</v>
      </c>
      <c r="AM75" s="3">
        <v>0</v>
      </c>
      <c r="AN75" s="3">
        <v>0</v>
      </c>
      <c r="AO75" s="3">
        <v>0</v>
      </c>
      <c r="AP75" s="3">
        <v>0</v>
      </c>
      <c r="AQ75" s="3">
        <v>-3916.62</v>
      </c>
      <c r="AR75" s="3">
        <v>0</v>
      </c>
      <c r="AS75" s="3">
        <v>-4097.21</v>
      </c>
      <c r="AT75" s="3">
        <v>0</v>
      </c>
      <c r="AU75" s="3">
        <f t="shared" si="12"/>
        <v>0</v>
      </c>
      <c r="AV75" s="17">
        <v>229</v>
      </c>
      <c r="AW75" s="17">
        <v>229</v>
      </c>
      <c r="AX75" s="17">
        <v>1</v>
      </c>
      <c r="AY75" s="3" t="s">
        <v>73</v>
      </c>
      <c r="AZ75" s="3">
        <v>0</v>
      </c>
      <c r="BA75" s="19">
        <v>15542.06</v>
      </c>
    </row>
    <row r="76" spans="1:53" x14ac:dyDescent="0.2">
      <c r="A76" s="17">
        <v>238</v>
      </c>
      <c r="B76" s="17">
        <v>1</v>
      </c>
      <c r="C76" s="3" t="s">
        <v>74</v>
      </c>
      <c r="D76" s="3">
        <f>Levy!F77</f>
        <v>295043</v>
      </c>
      <c r="E76" s="3">
        <f>Levy!G77</f>
        <v>13248</v>
      </c>
      <c r="F76" s="3">
        <f>Levy!H77</f>
        <v>0</v>
      </c>
      <c r="G76" s="3">
        <f>Levy!I77</f>
        <v>129514</v>
      </c>
      <c r="H76" s="217">
        <f>Levy!J77</f>
        <v>10806</v>
      </c>
      <c r="I76" s="219">
        <v>0</v>
      </c>
      <c r="J76" s="219">
        <v>5000</v>
      </c>
      <c r="K76" s="219">
        <v>16402.86</v>
      </c>
      <c r="L76" s="219">
        <v>0</v>
      </c>
      <c r="M76" s="219">
        <v>0</v>
      </c>
      <c r="N76" s="19">
        <v>0</v>
      </c>
      <c r="O76" s="19">
        <v>0</v>
      </c>
      <c r="P76" s="219">
        <v>-9921.82</v>
      </c>
      <c r="Q76" s="219">
        <v>0</v>
      </c>
      <c r="R76" s="219">
        <v>-2037</v>
      </c>
      <c r="S76" s="219">
        <v>0</v>
      </c>
      <c r="T76" s="19">
        <v>0</v>
      </c>
      <c r="U76" s="19">
        <v>0</v>
      </c>
      <c r="V76" s="19">
        <v>0</v>
      </c>
      <c r="W76" s="19">
        <v>0</v>
      </c>
      <c r="X76" s="19">
        <v>0</v>
      </c>
      <c r="Y76" s="217">
        <v>54421.05</v>
      </c>
      <c r="Z76" s="3">
        <f t="shared" si="7"/>
        <v>9444.0400000000009</v>
      </c>
      <c r="AA76" s="3">
        <f t="shared" si="8"/>
        <v>133317.96</v>
      </c>
      <c r="AB76" s="3">
        <f t="shared" si="10"/>
        <v>10806</v>
      </c>
      <c r="AC76" s="3">
        <f>ROUND(MAX(0,(D76-V76)*'Shift 14'!$B$2),2)</f>
        <v>0</v>
      </c>
      <c r="AD76" s="3">
        <f t="shared" si="9"/>
        <v>54421.05</v>
      </c>
      <c r="AE76" s="3">
        <f t="shared" si="11"/>
        <v>0</v>
      </c>
      <c r="AF76" s="214">
        <v>238</v>
      </c>
      <c r="AG76" s="214">
        <v>1</v>
      </c>
      <c r="AH76" s="3">
        <v>0</v>
      </c>
      <c r="AI76" s="3">
        <v>0</v>
      </c>
      <c r="AJ76" s="3">
        <v>0</v>
      </c>
      <c r="AK76" s="3">
        <v>5000</v>
      </c>
      <c r="AL76" s="3">
        <v>16402.86</v>
      </c>
      <c r="AM76" s="3">
        <v>0</v>
      </c>
      <c r="AN76" s="3">
        <v>0</v>
      </c>
      <c r="AO76" s="3">
        <v>0</v>
      </c>
      <c r="AP76" s="3">
        <v>0</v>
      </c>
      <c r="AQ76" s="3">
        <v>-9921.82</v>
      </c>
      <c r="AR76" s="3">
        <v>0</v>
      </c>
      <c r="AS76" s="3">
        <v>-2037</v>
      </c>
      <c r="AT76" s="3">
        <v>0</v>
      </c>
      <c r="AU76" s="3">
        <f t="shared" si="12"/>
        <v>0</v>
      </c>
      <c r="AV76" s="17">
        <v>238</v>
      </c>
      <c r="AW76" s="17">
        <v>238</v>
      </c>
      <c r="AX76" s="17">
        <v>1</v>
      </c>
      <c r="AY76" s="3" t="s">
        <v>74</v>
      </c>
      <c r="AZ76" s="3">
        <v>0</v>
      </c>
      <c r="BA76" s="19">
        <v>54421.05</v>
      </c>
    </row>
    <row r="77" spans="1:53" x14ac:dyDescent="0.2">
      <c r="A77" s="17">
        <v>239</v>
      </c>
      <c r="B77" s="17">
        <v>1</v>
      </c>
      <c r="C77" s="3" t="s">
        <v>1174</v>
      </c>
      <c r="D77" s="3">
        <f>Levy!F78</f>
        <v>506046</v>
      </c>
      <c r="E77" s="3">
        <f>Levy!G78</f>
        <v>58101</v>
      </c>
      <c r="F77" s="3">
        <f>Levy!H78</f>
        <v>0</v>
      </c>
      <c r="G77" s="3">
        <f>Levy!I78</f>
        <v>304941</v>
      </c>
      <c r="H77" s="217">
        <f>Levy!J78</f>
        <v>48725</v>
      </c>
      <c r="I77" s="219">
        <v>0</v>
      </c>
      <c r="J77" s="219">
        <v>5000</v>
      </c>
      <c r="K77" s="219">
        <v>17653.330000000002</v>
      </c>
      <c r="L77" s="219">
        <v>0</v>
      </c>
      <c r="M77" s="219">
        <v>0</v>
      </c>
      <c r="N77" s="19">
        <v>0</v>
      </c>
      <c r="O77" s="19">
        <v>0</v>
      </c>
      <c r="P77" s="219">
        <v>-9444.2800000000007</v>
      </c>
      <c r="Q77" s="219">
        <v>0</v>
      </c>
      <c r="R77" s="219">
        <v>-5305.8</v>
      </c>
      <c r="S77" s="219">
        <v>0</v>
      </c>
      <c r="T77" s="19">
        <v>0</v>
      </c>
      <c r="U77" s="19">
        <v>0</v>
      </c>
      <c r="V77" s="19">
        <v>0</v>
      </c>
      <c r="W77" s="19">
        <v>0</v>
      </c>
      <c r="X77" s="19">
        <v>0</v>
      </c>
      <c r="Y77" s="217">
        <v>35288.620000000003</v>
      </c>
      <c r="Z77" s="3">
        <f t="shared" si="7"/>
        <v>7903.2500000000009</v>
      </c>
      <c r="AA77" s="3">
        <f t="shared" si="8"/>
        <v>355138.75</v>
      </c>
      <c r="AB77" s="3">
        <f t="shared" si="10"/>
        <v>48725</v>
      </c>
      <c r="AC77" s="3">
        <f>ROUND(MAX(0,(D77-V77)*'Shift 14'!$B$2),2)</f>
        <v>0</v>
      </c>
      <c r="AD77" s="3">
        <f t="shared" si="9"/>
        <v>35288.620000000003</v>
      </c>
      <c r="AE77" s="3">
        <f t="shared" si="11"/>
        <v>0</v>
      </c>
      <c r="AF77" s="214">
        <v>239</v>
      </c>
      <c r="AG77" s="214">
        <v>1</v>
      </c>
      <c r="AH77" s="3">
        <v>0</v>
      </c>
      <c r="AI77" s="3">
        <v>0</v>
      </c>
      <c r="AJ77" s="3">
        <v>0</v>
      </c>
      <c r="AK77" s="3">
        <v>5000</v>
      </c>
      <c r="AL77" s="3">
        <v>17653.330000000002</v>
      </c>
      <c r="AM77" s="3">
        <v>0</v>
      </c>
      <c r="AN77" s="3">
        <v>0</v>
      </c>
      <c r="AO77" s="3">
        <v>0</v>
      </c>
      <c r="AP77" s="3">
        <v>0</v>
      </c>
      <c r="AQ77" s="3">
        <v>-9444.2800000000007</v>
      </c>
      <c r="AR77" s="3">
        <v>0</v>
      </c>
      <c r="AS77" s="3">
        <v>-5305.8</v>
      </c>
      <c r="AT77" s="3">
        <v>0</v>
      </c>
      <c r="AU77" s="3">
        <f t="shared" si="12"/>
        <v>0</v>
      </c>
      <c r="AV77" s="17">
        <v>239</v>
      </c>
      <c r="AW77" s="17">
        <v>239</v>
      </c>
      <c r="AX77" s="17">
        <v>1</v>
      </c>
      <c r="AY77" s="3" t="s">
        <v>75</v>
      </c>
      <c r="AZ77" s="3">
        <v>0</v>
      </c>
      <c r="BA77" s="19">
        <v>35288.620000000003</v>
      </c>
    </row>
    <row r="78" spans="1:53" x14ac:dyDescent="0.2">
      <c r="A78" s="17">
        <v>241</v>
      </c>
      <c r="B78" s="17">
        <v>1</v>
      </c>
      <c r="C78" s="3" t="s">
        <v>76</v>
      </c>
      <c r="D78" s="3">
        <f>Levy!F79</f>
        <v>2156809</v>
      </c>
      <c r="E78" s="3">
        <f>Levy!G79</f>
        <v>832464</v>
      </c>
      <c r="F78" s="3">
        <f>Levy!H79</f>
        <v>0</v>
      </c>
      <c r="G78" s="3">
        <f>Levy!I79</f>
        <v>1347123</v>
      </c>
      <c r="H78" s="217">
        <f>Levy!J79</f>
        <v>239072</v>
      </c>
      <c r="I78" s="219">
        <v>0</v>
      </c>
      <c r="J78" s="219">
        <v>49000</v>
      </c>
      <c r="K78" s="219">
        <v>63424.4</v>
      </c>
      <c r="L78" s="219">
        <v>0</v>
      </c>
      <c r="M78" s="219">
        <v>0</v>
      </c>
      <c r="N78" s="19">
        <v>0</v>
      </c>
      <c r="O78" s="19">
        <v>0</v>
      </c>
      <c r="P78" s="219">
        <v>17130.759999999998</v>
      </c>
      <c r="Q78" s="219">
        <v>0</v>
      </c>
      <c r="R78" s="219">
        <v>-12271.5</v>
      </c>
      <c r="S78" s="219">
        <v>0</v>
      </c>
      <c r="T78" s="19">
        <v>0</v>
      </c>
      <c r="U78" s="19">
        <v>0</v>
      </c>
      <c r="V78" s="19">
        <v>0</v>
      </c>
      <c r="W78" s="19">
        <v>0</v>
      </c>
      <c r="X78" s="19">
        <v>60901.47</v>
      </c>
      <c r="Y78" s="217">
        <v>174209.52</v>
      </c>
      <c r="Z78" s="3">
        <f t="shared" si="7"/>
        <v>117283.65999999999</v>
      </c>
      <c r="AA78" s="3">
        <f t="shared" si="8"/>
        <v>2001401.87</v>
      </c>
      <c r="AB78" s="3">
        <f t="shared" si="10"/>
        <v>239072</v>
      </c>
      <c r="AC78" s="3">
        <f>ROUND(MAX(0,(D78-V78)*'Shift 14'!$B$2),2)</f>
        <v>0</v>
      </c>
      <c r="AD78" s="3">
        <f t="shared" si="9"/>
        <v>174209.52</v>
      </c>
      <c r="AE78" s="3">
        <f t="shared" si="11"/>
        <v>0</v>
      </c>
      <c r="AF78" s="214">
        <v>241</v>
      </c>
      <c r="AG78" s="214">
        <v>1</v>
      </c>
      <c r="AH78" s="3">
        <v>0</v>
      </c>
      <c r="AI78" s="3">
        <v>0</v>
      </c>
      <c r="AJ78" s="3">
        <v>91709.73</v>
      </c>
      <c r="AK78" s="3">
        <v>49000</v>
      </c>
      <c r="AL78" s="3">
        <v>63424.4</v>
      </c>
      <c r="AM78" s="3">
        <v>0</v>
      </c>
      <c r="AN78" s="3">
        <v>0</v>
      </c>
      <c r="AO78" s="3">
        <v>0</v>
      </c>
      <c r="AP78" s="3">
        <v>-34163.629999999997</v>
      </c>
      <c r="AQ78" s="3">
        <v>17130.759999999998</v>
      </c>
      <c r="AR78" s="3">
        <v>0</v>
      </c>
      <c r="AS78" s="3">
        <v>-12271.5</v>
      </c>
      <c r="AT78" s="3">
        <v>0</v>
      </c>
      <c r="AU78" s="3">
        <f t="shared" si="12"/>
        <v>0</v>
      </c>
      <c r="AV78" s="17">
        <v>241</v>
      </c>
      <c r="AW78" s="17">
        <v>241</v>
      </c>
      <c r="AX78" s="17">
        <v>1</v>
      </c>
      <c r="AY78" s="3" t="s">
        <v>76</v>
      </c>
      <c r="AZ78" s="3">
        <v>60901.47</v>
      </c>
      <c r="BA78" s="19">
        <v>174209.52</v>
      </c>
    </row>
    <row r="79" spans="1:53" x14ac:dyDescent="0.2">
      <c r="A79" s="17">
        <v>242</v>
      </c>
      <c r="B79" s="17">
        <v>1</v>
      </c>
      <c r="C79" s="3" t="s">
        <v>1175</v>
      </c>
      <c r="D79" s="3">
        <f>Levy!F80</f>
        <v>222900</v>
      </c>
      <c r="E79" s="3">
        <f>Levy!G80</f>
        <v>30065</v>
      </c>
      <c r="F79" s="3">
        <f>Levy!H80</f>
        <v>0</v>
      </c>
      <c r="G79" s="3">
        <f>Levy!I80</f>
        <v>111560</v>
      </c>
      <c r="H79" s="217">
        <f>Levy!J80</f>
        <v>20903</v>
      </c>
      <c r="I79" s="219">
        <v>0</v>
      </c>
      <c r="J79" s="219">
        <v>10000</v>
      </c>
      <c r="K79" s="219">
        <v>8403.81</v>
      </c>
      <c r="L79" s="219">
        <v>0</v>
      </c>
      <c r="M79" s="219">
        <v>0</v>
      </c>
      <c r="N79" s="19">
        <v>0</v>
      </c>
      <c r="O79" s="19">
        <v>0</v>
      </c>
      <c r="P79" s="219">
        <v>220.64</v>
      </c>
      <c r="Q79" s="219">
        <v>0</v>
      </c>
      <c r="R79" s="219">
        <v>-1665.08</v>
      </c>
      <c r="S79" s="219">
        <v>0</v>
      </c>
      <c r="T79" s="19">
        <v>0</v>
      </c>
      <c r="U79" s="19">
        <v>0</v>
      </c>
      <c r="V79" s="19">
        <v>0</v>
      </c>
      <c r="W79" s="19">
        <v>0</v>
      </c>
      <c r="X79" s="19">
        <v>4788.6099999999997</v>
      </c>
      <c r="Y79" s="217">
        <v>29849.06</v>
      </c>
      <c r="Z79" s="3">
        <f t="shared" si="7"/>
        <v>16959.369999999995</v>
      </c>
      <c r="AA79" s="3">
        <f t="shared" si="8"/>
        <v>119877.02</v>
      </c>
      <c r="AB79" s="3">
        <f t="shared" si="10"/>
        <v>20903</v>
      </c>
      <c r="AC79" s="3">
        <f>ROUND(MAX(0,(D79-V79)*'Shift 14'!$B$2),2)</f>
        <v>0</v>
      </c>
      <c r="AD79" s="3">
        <f t="shared" si="9"/>
        <v>29849.06</v>
      </c>
      <c r="AE79" s="3">
        <f t="shared" si="11"/>
        <v>0</v>
      </c>
      <c r="AF79" s="214">
        <v>242</v>
      </c>
      <c r="AG79" s="214">
        <v>1</v>
      </c>
      <c r="AH79" s="3">
        <v>0</v>
      </c>
      <c r="AI79" s="3">
        <v>0</v>
      </c>
      <c r="AJ79" s="3">
        <v>0</v>
      </c>
      <c r="AK79" s="3">
        <v>10000</v>
      </c>
      <c r="AL79" s="3">
        <v>8403.81</v>
      </c>
      <c r="AM79" s="3">
        <v>0</v>
      </c>
      <c r="AN79" s="3">
        <v>0</v>
      </c>
      <c r="AO79" s="3">
        <v>0</v>
      </c>
      <c r="AP79" s="3">
        <v>0</v>
      </c>
      <c r="AQ79" s="3">
        <v>220.64</v>
      </c>
      <c r="AR79" s="3">
        <v>0</v>
      </c>
      <c r="AS79" s="3">
        <v>-1665.08</v>
      </c>
      <c r="AT79" s="3">
        <v>0</v>
      </c>
      <c r="AU79" s="3">
        <f t="shared" si="12"/>
        <v>0</v>
      </c>
      <c r="AV79" s="17">
        <v>242</v>
      </c>
      <c r="AW79" s="17">
        <v>242</v>
      </c>
      <c r="AX79" s="17">
        <v>1</v>
      </c>
      <c r="AY79" s="3" t="s">
        <v>77</v>
      </c>
      <c r="AZ79" s="3">
        <v>4788.6099999999997</v>
      </c>
      <c r="BA79" s="19">
        <v>29849.06</v>
      </c>
    </row>
    <row r="80" spans="1:53" x14ac:dyDescent="0.2">
      <c r="A80" s="17">
        <v>252</v>
      </c>
      <c r="B80" s="17">
        <v>1</v>
      </c>
      <c r="C80" s="3" t="s">
        <v>78</v>
      </c>
      <c r="D80" s="3">
        <f>Levy!F81</f>
        <v>42930</v>
      </c>
      <c r="E80" s="3">
        <f>Levy!G81</f>
        <v>929559</v>
      </c>
      <c r="F80" s="3">
        <f>Levy!H81</f>
        <v>0</v>
      </c>
      <c r="G80" s="3">
        <f>Levy!I81</f>
        <v>334210</v>
      </c>
      <c r="H80" s="217">
        <f>Levy!J81</f>
        <v>153080</v>
      </c>
      <c r="I80" s="219">
        <v>0</v>
      </c>
      <c r="J80" s="219">
        <v>0</v>
      </c>
      <c r="K80" s="219">
        <v>33403.82</v>
      </c>
      <c r="L80" s="219">
        <v>0</v>
      </c>
      <c r="M80" s="219">
        <v>0</v>
      </c>
      <c r="N80" s="19">
        <v>0</v>
      </c>
      <c r="O80" s="19">
        <v>0</v>
      </c>
      <c r="P80" s="219">
        <v>10629.82</v>
      </c>
      <c r="Q80" s="219">
        <v>0</v>
      </c>
      <c r="R80" s="219">
        <v>-4282.74</v>
      </c>
      <c r="S80" s="219">
        <v>0</v>
      </c>
      <c r="T80" s="19">
        <v>0</v>
      </c>
      <c r="U80" s="19">
        <v>0</v>
      </c>
      <c r="V80" s="19">
        <v>0</v>
      </c>
      <c r="W80" s="19">
        <v>0</v>
      </c>
      <c r="X80" s="19">
        <v>0</v>
      </c>
      <c r="Y80" s="217">
        <v>104497.76</v>
      </c>
      <c r="Z80" s="3">
        <f t="shared" si="7"/>
        <v>39750.9</v>
      </c>
      <c r="AA80" s="3">
        <f t="shared" si="8"/>
        <v>1224018.1000000001</v>
      </c>
      <c r="AB80" s="3">
        <f t="shared" si="10"/>
        <v>153080</v>
      </c>
      <c r="AC80" s="3">
        <f>ROUND(MAX(0,(D80-V80)*'Shift 14'!$B$2),2)</f>
        <v>0</v>
      </c>
      <c r="AD80" s="3">
        <f t="shared" si="9"/>
        <v>104497.76</v>
      </c>
      <c r="AE80" s="3">
        <f t="shared" si="11"/>
        <v>0</v>
      </c>
      <c r="AF80" s="214">
        <v>252</v>
      </c>
      <c r="AG80" s="214">
        <v>1</v>
      </c>
      <c r="AH80" s="3">
        <v>0</v>
      </c>
      <c r="AI80" s="3">
        <v>0</v>
      </c>
      <c r="AJ80" s="3">
        <v>0</v>
      </c>
      <c r="AK80" s="3">
        <v>0</v>
      </c>
      <c r="AL80" s="3">
        <v>33403.82</v>
      </c>
      <c r="AM80" s="3">
        <v>0</v>
      </c>
      <c r="AN80" s="3">
        <v>0</v>
      </c>
      <c r="AO80" s="3">
        <v>0</v>
      </c>
      <c r="AP80" s="3">
        <v>0</v>
      </c>
      <c r="AQ80" s="3">
        <v>10629.82</v>
      </c>
      <c r="AR80" s="3">
        <v>0</v>
      </c>
      <c r="AS80" s="3">
        <v>-4282.74</v>
      </c>
      <c r="AT80" s="3">
        <v>0</v>
      </c>
      <c r="AU80" s="3">
        <f t="shared" si="12"/>
        <v>0</v>
      </c>
      <c r="AV80" s="17">
        <v>252</v>
      </c>
      <c r="AW80" s="17">
        <v>252</v>
      </c>
      <c r="AX80" s="17">
        <v>1</v>
      </c>
      <c r="AY80" s="3" t="s">
        <v>78</v>
      </c>
      <c r="AZ80" s="3">
        <v>0</v>
      </c>
      <c r="BA80" s="19">
        <v>104497.76</v>
      </c>
    </row>
    <row r="81" spans="1:53" x14ac:dyDescent="0.2">
      <c r="A81" s="17">
        <v>253</v>
      </c>
      <c r="B81" s="17">
        <v>1</v>
      </c>
      <c r="C81" s="3" t="s">
        <v>79</v>
      </c>
      <c r="D81" s="3">
        <f>Levy!F82</f>
        <v>152596</v>
      </c>
      <c r="E81" s="3">
        <f>Levy!G82</f>
        <v>50168</v>
      </c>
      <c r="F81" s="3">
        <f>Levy!H82</f>
        <v>0</v>
      </c>
      <c r="G81" s="3">
        <f>Levy!I82</f>
        <v>205902</v>
      </c>
      <c r="H81" s="217">
        <f>Levy!J82</f>
        <v>34362</v>
      </c>
      <c r="I81" s="219">
        <v>0</v>
      </c>
      <c r="J81" s="219">
        <v>2500</v>
      </c>
      <c r="K81" s="219">
        <v>12923.49</v>
      </c>
      <c r="L81" s="219">
        <v>0</v>
      </c>
      <c r="M81" s="219">
        <v>0</v>
      </c>
      <c r="N81" s="19">
        <v>0</v>
      </c>
      <c r="O81" s="19">
        <v>0</v>
      </c>
      <c r="P81" s="219">
        <v>-5129.9399999999996</v>
      </c>
      <c r="Q81" s="219">
        <v>0</v>
      </c>
      <c r="R81" s="219">
        <v>-2064.67</v>
      </c>
      <c r="S81" s="219">
        <v>0</v>
      </c>
      <c r="T81" s="19">
        <v>0</v>
      </c>
      <c r="U81" s="19">
        <v>0</v>
      </c>
      <c r="V81" s="19">
        <v>0</v>
      </c>
      <c r="W81" s="19">
        <v>0</v>
      </c>
      <c r="X81" s="19">
        <v>2374.9299999999998</v>
      </c>
      <c r="Y81" s="217">
        <v>32550.880000000001</v>
      </c>
      <c r="Z81" s="3">
        <f t="shared" si="7"/>
        <v>8228.8799999999992</v>
      </c>
      <c r="AA81" s="3">
        <f t="shared" si="8"/>
        <v>245466.19</v>
      </c>
      <c r="AB81" s="3">
        <f t="shared" si="10"/>
        <v>34362</v>
      </c>
      <c r="AC81" s="3">
        <f>ROUND(MAX(0,(D81-V81)*'Shift 14'!$B$2),2)</f>
        <v>0</v>
      </c>
      <c r="AD81" s="3">
        <f t="shared" si="9"/>
        <v>32550.880000000001</v>
      </c>
      <c r="AE81" s="3">
        <f t="shared" si="11"/>
        <v>0</v>
      </c>
      <c r="AF81" s="214">
        <v>253</v>
      </c>
      <c r="AG81" s="214">
        <v>1</v>
      </c>
      <c r="AH81" s="3">
        <v>0</v>
      </c>
      <c r="AI81" s="3">
        <v>0</v>
      </c>
      <c r="AJ81" s="3">
        <v>0</v>
      </c>
      <c r="AK81" s="3">
        <v>2500</v>
      </c>
      <c r="AL81" s="3">
        <v>12923.49</v>
      </c>
      <c r="AM81" s="3">
        <v>0</v>
      </c>
      <c r="AN81" s="3">
        <v>0</v>
      </c>
      <c r="AO81" s="3">
        <v>0</v>
      </c>
      <c r="AP81" s="3">
        <v>0</v>
      </c>
      <c r="AQ81" s="3">
        <v>-5129.9399999999996</v>
      </c>
      <c r="AR81" s="3">
        <v>0</v>
      </c>
      <c r="AS81" s="3">
        <v>-2064.67</v>
      </c>
      <c r="AT81" s="3">
        <v>0</v>
      </c>
      <c r="AU81" s="3">
        <f t="shared" si="12"/>
        <v>0</v>
      </c>
      <c r="AV81" s="17">
        <v>253</v>
      </c>
      <c r="AW81" s="17">
        <v>253</v>
      </c>
      <c r="AX81" s="17">
        <v>1</v>
      </c>
      <c r="AY81" s="3" t="s">
        <v>79</v>
      </c>
      <c r="AZ81" s="3">
        <v>2374.9299999999998</v>
      </c>
      <c r="BA81" s="19">
        <v>32550.880000000001</v>
      </c>
    </row>
    <row r="82" spans="1:53" x14ac:dyDescent="0.2">
      <c r="A82" s="17">
        <v>255</v>
      </c>
      <c r="B82" s="17">
        <v>1</v>
      </c>
      <c r="C82" s="3" t="s">
        <v>80</v>
      </c>
      <c r="D82" s="3">
        <f>Levy!F83</f>
        <v>545095</v>
      </c>
      <c r="E82" s="3">
        <f>Levy!G83</f>
        <v>104686</v>
      </c>
      <c r="F82" s="3">
        <f>Levy!H83</f>
        <v>0</v>
      </c>
      <c r="G82" s="3">
        <f>Levy!I83</f>
        <v>434236</v>
      </c>
      <c r="H82" s="217">
        <f>Levy!J83</f>
        <v>168996</v>
      </c>
      <c r="I82" s="219">
        <v>0</v>
      </c>
      <c r="J82" s="219">
        <v>2000</v>
      </c>
      <c r="K82" s="219">
        <v>27365.18</v>
      </c>
      <c r="L82" s="219">
        <v>0</v>
      </c>
      <c r="M82" s="219">
        <v>0</v>
      </c>
      <c r="N82" s="19">
        <v>0</v>
      </c>
      <c r="O82" s="19">
        <v>0</v>
      </c>
      <c r="P82" s="219">
        <v>-19517.52</v>
      </c>
      <c r="Q82" s="219">
        <v>0</v>
      </c>
      <c r="R82" s="219">
        <v>-5625.1</v>
      </c>
      <c r="S82" s="219">
        <v>0</v>
      </c>
      <c r="T82" s="19">
        <v>0</v>
      </c>
      <c r="U82" s="19">
        <v>0</v>
      </c>
      <c r="V82" s="19">
        <v>0</v>
      </c>
      <c r="W82" s="19">
        <v>0</v>
      </c>
      <c r="X82" s="19">
        <v>0</v>
      </c>
      <c r="Y82" s="217">
        <v>52187.99</v>
      </c>
      <c r="Z82" s="3">
        <f t="shared" si="7"/>
        <v>4222.5599999999995</v>
      </c>
      <c r="AA82" s="3">
        <f t="shared" si="8"/>
        <v>534699.43999999994</v>
      </c>
      <c r="AB82" s="3">
        <f t="shared" si="10"/>
        <v>168996</v>
      </c>
      <c r="AC82" s="3">
        <f>ROUND(MAX(0,(D82-V82)*'Shift 14'!$B$2),2)</f>
        <v>0</v>
      </c>
      <c r="AD82" s="3">
        <f t="shared" si="9"/>
        <v>52187.99</v>
      </c>
      <c r="AE82" s="3">
        <f t="shared" si="11"/>
        <v>0</v>
      </c>
      <c r="AF82" s="214">
        <v>255</v>
      </c>
      <c r="AG82" s="214">
        <v>1</v>
      </c>
      <c r="AH82" s="3">
        <v>0</v>
      </c>
      <c r="AI82" s="3">
        <v>0</v>
      </c>
      <c r="AJ82" s="3">
        <v>10924.93</v>
      </c>
      <c r="AK82" s="3">
        <v>2000</v>
      </c>
      <c r="AL82" s="3">
        <v>27365.18</v>
      </c>
      <c r="AM82" s="3">
        <v>0</v>
      </c>
      <c r="AN82" s="3">
        <v>0</v>
      </c>
      <c r="AO82" s="3">
        <v>0</v>
      </c>
      <c r="AP82" s="3">
        <v>0</v>
      </c>
      <c r="AQ82" s="3">
        <v>-19517.52</v>
      </c>
      <c r="AR82" s="3">
        <v>0</v>
      </c>
      <c r="AS82" s="3">
        <v>-5625.1</v>
      </c>
      <c r="AT82" s="3">
        <v>0</v>
      </c>
      <c r="AU82" s="3">
        <f t="shared" si="12"/>
        <v>0</v>
      </c>
      <c r="AV82" s="17">
        <v>255</v>
      </c>
      <c r="AW82" s="17">
        <v>255</v>
      </c>
      <c r="AX82" s="17">
        <v>1</v>
      </c>
      <c r="AY82" s="3" t="s">
        <v>80</v>
      </c>
      <c r="AZ82" s="3">
        <v>0</v>
      </c>
      <c r="BA82" s="19">
        <v>52187.99</v>
      </c>
    </row>
    <row r="83" spans="1:53" x14ac:dyDescent="0.2">
      <c r="A83" s="17">
        <v>256</v>
      </c>
      <c r="B83" s="17">
        <v>1</v>
      </c>
      <c r="C83" s="3" t="s">
        <v>81</v>
      </c>
      <c r="D83" s="3">
        <f>Levy!F84</f>
        <v>2839718</v>
      </c>
      <c r="E83" s="3">
        <f>Levy!G84</f>
        <v>949620</v>
      </c>
      <c r="F83" s="3">
        <f>Levy!H84</f>
        <v>0</v>
      </c>
      <c r="G83" s="3">
        <f>Levy!I84</f>
        <v>1646927</v>
      </c>
      <c r="H83" s="217">
        <f>Levy!J84</f>
        <v>322471</v>
      </c>
      <c r="I83" s="219">
        <v>0</v>
      </c>
      <c r="J83" s="219">
        <v>15000</v>
      </c>
      <c r="K83" s="219">
        <v>84373.75</v>
      </c>
      <c r="L83" s="219">
        <v>0</v>
      </c>
      <c r="M83" s="219">
        <v>0</v>
      </c>
      <c r="N83" s="19">
        <v>0</v>
      </c>
      <c r="O83" s="19">
        <v>0</v>
      </c>
      <c r="P83" s="219">
        <v>-2029.94</v>
      </c>
      <c r="Q83" s="219">
        <v>0</v>
      </c>
      <c r="R83" s="219">
        <v>-10478.02</v>
      </c>
      <c r="S83" s="219">
        <v>0</v>
      </c>
      <c r="T83" s="19">
        <v>0</v>
      </c>
      <c r="U83" s="19">
        <v>0</v>
      </c>
      <c r="V83" s="19">
        <v>0</v>
      </c>
      <c r="W83" s="19">
        <v>0</v>
      </c>
      <c r="X83" s="19">
        <v>7931.62</v>
      </c>
      <c r="Y83" s="217">
        <v>431418.24</v>
      </c>
      <c r="Z83" s="3">
        <f t="shared" si="7"/>
        <v>86865.79</v>
      </c>
      <c r="AA83" s="3">
        <f t="shared" si="8"/>
        <v>2501749.59</v>
      </c>
      <c r="AB83" s="3">
        <f t="shared" si="10"/>
        <v>322471</v>
      </c>
      <c r="AC83" s="3">
        <f>ROUND(MAX(0,(D83-V83)*'Shift 14'!$B$2),2)</f>
        <v>0</v>
      </c>
      <c r="AD83" s="3">
        <f t="shared" si="9"/>
        <v>431418.24</v>
      </c>
      <c r="AE83" s="3">
        <f t="shared" si="11"/>
        <v>0</v>
      </c>
      <c r="AF83" s="214">
        <v>256</v>
      </c>
      <c r="AG83" s="214">
        <v>1</v>
      </c>
      <c r="AH83" s="3">
        <v>0</v>
      </c>
      <c r="AI83" s="3">
        <v>0</v>
      </c>
      <c r="AJ83" s="3">
        <v>0</v>
      </c>
      <c r="AK83" s="3">
        <v>15000</v>
      </c>
      <c r="AL83" s="3">
        <v>84373.75</v>
      </c>
      <c r="AM83" s="3">
        <v>0</v>
      </c>
      <c r="AN83" s="3">
        <v>0</v>
      </c>
      <c r="AO83" s="3">
        <v>0</v>
      </c>
      <c r="AP83" s="3">
        <v>0</v>
      </c>
      <c r="AQ83" s="3">
        <v>-2029.94</v>
      </c>
      <c r="AR83" s="3">
        <v>0</v>
      </c>
      <c r="AS83" s="3">
        <v>-10478.02</v>
      </c>
      <c r="AT83" s="3">
        <v>0</v>
      </c>
      <c r="AU83" s="3">
        <f t="shared" si="12"/>
        <v>0</v>
      </c>
      <c r="AV83" s="17">
        <v>256</v>
      </c>
      <c r="AW83" s="17">
        <v>256</v>
      </c>
      <c r="AX83" s="17">
        <v>1</v>
      </c>
      <c r="AY83" s="3" t="s">
        <v>81</v>
      </c>
      <c r="AZ83" s="3">
        <v>7931.62</v>
      </c>
      <c r="BA83" s="19">
        <v>431418.24</v>
      </c>
    </row>
    <row r="84" spans="1:53" x14ac:dyDescent="0.2">
      <c r="A84" s="17">
        <v>261</v>
      </c>
      <c r="B84" s="17">
        <v>1</v>
      </c>
      <c r="C84" s="3" t="s">
        <v>82</v>
      </c>
      <c r="D84" s="3">
        <f>Levy!F85</f>
        <v>265000</v>
      </c>
      <c r="E84" s="3">
        <f>Levy!G85</f>
        <v>16232.62</v>
      </c>
      <c r="F84" s="3">
        <f>Levy!H85</f>
        <v>0</v>
      </c>
      <c r="G84" s="3">
        <f>Levy!I85</f>
        <v>115223.87</v>
      </c>
      <c r="H84" s="217">
        <f>Levy!J85</f>
        <v>18069.23</v>
      </c>
      <c r="I84" s="219">
        <v>0</v>
      </c>
      <c r="J84" s="219">
        <v>7500</v>
      </c>
      <c r="K84" s="219">
        <v>11704.22</v>
      </c>
      <c r="L84" s="219">
        <v>0</v>
      </c>
      <c r="M84" s="219">
        <v>0</v>
      </c>
      <c r="N84" s="19">
        <v>0</v>
      </c>
      <c r="O84" s="19">
        <v>0</v>
      </c>
      <c r="P84" s="219">
        <v>1662.6</v>
      </c>
      <c r="Q84" s="219">
        <v>0</v>
      </c>
      <c r="R84" s="219">
        <v>-1665.08</v>
      </c>
      <c r="S84" s="219">
        <v>0</v>
      </c>
      <c r="T84" s="19">
        <v>0</v>
      </c>
      <c r="U84" s="19">
        <v>0</v>
      </c>
      <c r="V84" s="19">
        <v>0</v>
      </c>
      <c r="W84" s="19">
        <v>0</v>
      </c>
      <c r="X84" s="19">
        <v>0</v>
      </c>
      <c r="Y84" s="217">
        <v>0</v>
      </c>
      <c r="Z84" s="3">
        <f t="shared" si="7"/>
        <v>19201.739999999998</v>
      </c>
      <c r="AA84" s="3">
        <f t="shared" si="8"/>
        <v>112254.75</v>
      </c>
      <c r="AB84" s="3">
        <f t="shared" si="10"/>
        <v>18069.23</v>
      </c>
      <c r="AC84" s="3">
        <f>ROUND(MAX(0,(D84-V84)*'Shift 14'!$B$2),2)</f>
        <v>0</v>
      </c>
      <c r="AD84" s="3">
        <f t="shared" si="9"/>
        <v>0</v>
      </c>
      <c r="AE84" s="3">
        <f t="shared" si="11"/>
        <v>0</v>
      </c>
      <c r="AF84" s="214">
        <v>261</v>
      </c>
      <c r="AG84" s="214">
        <v>1</v>
      </c>
      <c r="AH84" s="3">
        <v>0</v>
      </c>
      <c r="AI84" s="3">
        <v>0</v>
      </c>
      <c r="AJ84" s="3">
        <v>0</v>
      </c>
      <c r="AK84" s="3">
        <v>7500</v>
      </c>
      <c r="AL84" s="3">
        <v>11704.22</v>
      </c>
      <c r="AM84" s="3">
        <v>0</v>
      </c>
      <c r="AN84" s="3">
        <v>0</v>
      </c>
      <c r="AO84" s="3">
        <v>0</v>
      </c>
      <c r="AP84" s="3">
        <v>0</v>
      </c>
      <c r="AQ84" s="3">
        <v>1662.6</v>
      </c>
      <c r="AR84" s="3">
        <v>0</v>
      </c>
      <c r="AS84" s="3">
        <v>-1665.08</v>
      </c>
      <c r="AT84" s="3">
        <v>0</v>
      </c>
      <c r="AU84" s="3">
        <f t="shared" si="12"/>
        <v>0</v>
      </c>
      <c r="AV84" s="17">
        <v>261</v>
      </c>
      <c r="AW84" s="17">
        <v>261</v>
      </c>
      <c r="AX84" s="17">
        <v>1</v>
      </c>
      <c r="AY84" s="3" t="s">
        <v>82</v>
      </c>
      <c r="AZ84" s="3">
        <v>0</v>
      </c>
      <c r="BA84" s="19">
        <v>0</v>
      </c>
    </row>
    <row r="85" spans="1:53" x14ac:dyDescent="0.2">
      <c r="A85" s="17">
        <v>264</v>
      </c>
      <c r="B85" s="17">
        <v>1</v>
      </c>
      <c r="C85" s="3" t="s">
        <v>83</v>
      </c>
      <c r="D85" s="3">
        <f>Levy!F86</f>
        <v>124596.79</v>
      </c>
      <c r="E85" s="3">
        <f>Levy!G86</f>
        <v>5655.75</v>
      </c>
      <c r="F85" s="3">
        <f>Levy!H86</f>
        <v>0</v>
      </c>
      <c r="G85" s="3">
        <f>Levy!I86</f>
        <v>72830.36</v>
      </c>
      <c r="H85" s="217">
        <f>Levy!J86</f>
        <v>25300.7</v>
      </c>
      <c r="I85" s="219">
        <v>0</v>
      </c>
      <c r="J85" s="219">
        <v>725</v>
      </c>
      <c r="K85" s="219">
        <v>2359.8000000000002</v>
      </c>
      <c r="L85" s="219">
        <v>0</v>
      </c>
      <c r="M85" s="219">
        <v>0</v>
      </c>
      <c r="N85" s="19">
        <v>0</v>
      </c>
      <c r="O85" s="19">
        <v>0</v>
      </c>
      <c r="P85" s="219">
        <v>-5770.48</v>
      </c>
      <c r="Q85" s="219">
        <v>0</v>
      </c>
      <c r="R85" s="219">
        <v>10000</v>
      </c>
      <c r="S85" s="219">
        <v>0</v>
      </c>
      <c r="T85" s="19">
        <v>0</v>
      </c>
      <c r="U85" s="19">
        <v>0</v>
      </c>
      <c r="V85" s="19">
        <v>0</v>
      </c>
      <c r="W85" s="19">
        <v>0</v>
      </c>
      <c r="X85" s="19">
        <v>0</v>
      </c>
      <c r="Y85" s="217">
        <v>122971.08</v>
      </c>
      <c r="Z85" s="3">
        <f t="shared" si="7"/>
        <v>7314.3200000000006</v>
      </c>
      <c r="AA85" s="3">
        <f t="shared" si="8"/>
        <v>71171.789999999994</v>
      </c>
      <c r="AB85" s="3">
        <f t="shared" si="10"/>
        <v>25300.7</v>
      </c>
      <c r="AC85" s="3">
        <f>ROUND(MAX(0,(D85-V85)*'Shift 14'!$B$2),2)</f>
        <v>0</v>
      </c>
      <c r="AD85" s="3">
        <f t="shared" si="9"/>
        <v>122971.08</v>
      </c>
      <c r="AE85" s="3">
        <f t="shared" si="11"/>
        <v>0</v>
      </c>
      <c r="AF85" s="214">
        <v>264</v>
      </c>
      <c r="AG85" s="214">
        <v>1</v>
      </c>
      <c r="AH85" s="3">
        <v>0</v>
      </c>
      <c r="AI85" s="3">
        <v>0</v>
      </c>
      <c r="AJ85" s="3">
        <v>992.25</v>
      </c>
      <c r="AK85" s="3">
        <v>725</v>
      </c>
      <c r="AL85" s="3">
        <v>2359.8000000000002</v>
      </c>
      <c r="AM85" s="3">
        <v>0</v>
      </c>
      <c r="AN85" s="3">
        <v>0</v>
      </c>
      <c r="AO85" s="3">
        <v>0</v>
      </c>
      <c r="AP85" s="3">
        <v>0</v>
      </c>
      <c r="AQ85" s="3">
        <v>-5770.48</v>
      </c>
      <c r="AR85" s="3">
        <v>0</v>
      </c>
      <c r="AS85" s="3">
        <v>10000</v>
      </c>
      <c r="AT85" s="3">
        <v>0</v>
      </c>
      <c r="AU85" s="3">
        <f t="shared" si="12"/>
        <v>0</v>
      </c>
      <c r="AV85" s="17">
        <v>264</v>
      </c>
      <c r="AW85" s="17">
        <v>264</v>
      </c>
      <c r="AX85" s="17">
        <v>1</v>
      </c>
      <c r="AY85" s="3" t="s">
        <v>83</v>
      </c>
      <c r="AZ85" s="3">
        <v>0</v>
      </c>
      <c r="BA85" s="19">
        <v>122971.08</v>
      </c>
    </row>
    <row r="86" spans="1:53" x14ac:dyDescent="0.2">
      <c r="A86" s="17">
        <v>270</v>
      </c>
      <c r="B86" s="17">
        <v>1</v>
      </c>
      <c r="C86" s="3" t="s">
        <v>84</v>
      </c>
      <c r="D86" s="3">
        <f>Levy!F87</f>
        <v>14518779.050000001</v>
      </c>
      <c r="E86" s="3">
        <f>Levy!G87</f>
        <v>3540780.22</v>
      </c>
      <c r="F86" s="3">
        <f>Levy!H87</f>
        <v>7697000</v>
      </c>
      <c r="G86" s="3">
        <f>Levy!I87</f>
        <v>6124043.5700000003</v>
      </c>
      <c r="H86" s="217">
        <f>Levy!J87</f>
        <v>1635003.06</v>
      </c>
      <c r="I86" s="219">
        <v>0</v>
      </c>
      <c r="J86" s="219">
        <v>75000</v>
      </c>
      <c r="K86" s="219">
        <v>208325.08</v>
      </c>
      <c r="L86" s="219">
        <v>0</v>
      </c>
      <c r="M86" s="219">
        <v>0</v>
      </c>
      <c r="N86" s="19">
        <v>0</v>
      </c>
      <c r="O86" s="19">
        <v>0</v>
      </c>
      <c r="P86" s="219">
        <v>16645.990000000002</v>
      </c>
      <c r="Q86" s="219">
        <v>0</v>
      </c>
      <c r="R86" s="219">
        <v>-34840.620000000003</v>
      </c>
      <c r="S86" s="219">
        <v>0</v>
      </c>
      <c r="T86" s="19">
        <v>0</v>
      </c>
      <c r="U86" s="19">
        <v>0</v>
      </c>
      <c r="V86" s="19">
        <v>0</v>
      </c>
      <c r="W86" s="19">
        <v>0</v>
      </c>
      <c r="X86" s="19">
        <v>0</v>
      </c>
      <c r="Y86" s="217">
        <v>4134654.98</v>
      </c>
      <c r="Z86" s="3">
        <f t="shared" si="7"/>
        <v>265130.44999999995</v>
      </c>
      <c r="AA86" s="3">
        <f t="shared" si="8"/>
        <v>17096693.34</v>
      </c>
      <c r="AB86" s="3">
        <f t="shared" si="10"/>
        <v>1635003.06</v>
      </c>
      <c r="AC86" s="3">
        <f>ROUND(MAX(0,(D86-V86)*'Shift 14'!$B$2),2)</f>
        <v>0</v>
      </c>
      <c r="AD86" s="3">
        <f t="shared" si="9"/>
        <v>4134654.98</v>
      </c>
      <c r="AE86" s="3">
        <f t="shared" si="11"/>
        <v>0</v>
      </c>
      <c r="AF86" s="214">
        <v>270</v>
      </c>
      <c r="AG86" s="214">
        <v>1</v>
      </c>
      <c r="AH86" s="3">
        <v>0</v>
      </c>
      <c r="AI86" s="3">
        <v>0</v>
      </c>
      <c r="AJ86" s="3">
        <v>346633.73</v>
      </c>
      <c r="AK86" s="3">
        <v>75000</v>
      </c>
      <c r="AL86" s="3">
        <v>208325.08</v>
      </c>
      <c r="AM86" s="3">
        <v>0</v>
      </c>
      <c r="AN86" s="3">
        <v>0</v>
      </c>
      <c r="AO86" s="3">
        <v>0</v>
      </c>
      <c r="AP86" s="3">
        <v>0</v>
      </c>
      <c r="AQ86" s="3">
        <v>16645.990000000002</v>
      </c>
      <c r="AR86" s="3">
        <v>0</v>
      </c>
      <c r="AS86" s="3">
        <v>-34840.620000000003</v>
      </c>
      <c r="AT86" s="3">
        <v>0</v>
      </c>
      <c r="AU86" s="3">
        <f t="shared" si="12"/>
        <v>0</v>
      </c>
      <c r="AV86" s="17">
        <v>270</v>
      </c>
      <c r="AW86" s="17">
        <v>270</v>
      </c>
      <c r="AX86" s="17">
        <v>1</v>
      </c>
      <c r="AY86" s="3" t="s">
        <v>84</v>
      </c>
      <c r="AZ86" s="3">
        <v>0</v>
      </c>
      <c r="BA86" s="19">
        <v>4134654.98</v>
      </c>
    </row>
    <row r="87" spans="1:53" x14ac:dyDescent="0.2">
      <c r="A87" s="17">
        <v>271</v>
      </c>
      <c r="B87" s="17">
        <v>1</v>
      </c>
      <c r="C87" s="3" t="s">
        <v>85</v>
      </c>
      <c r="D87" s="3">
        <f>Levy!F88</f>
        <v>12373732.83</v>
      </c>
      <c r="E87" s="3">
        <f>Levy!G88</f>
        <v>8881360.1099999994</v>
      </c>
      <c r="F87" s="3">
        <f>Levy!H88</f>
        <v>6000000</v>
      </c>
      <c r="G87" s="3">
        <f>Levy!I88</f>
        <v>10506630.529999999</v>
      </c>
      <c r="H87" s="217">
        <f>Levy!J88</f>
        <v>1599134.55</v>
      </c>
      <c r="I87" s="219">
        <v>0</v>
      </c>
      <c r="J87" s="219">
        <v>200000</v>
      </c>
      <c r="K87" s="219">
        <v>279697.15999999997</v>
      </c>
      <c r="L87" s="219">
        <v>0</v>
      </c>
      <c r="M87" s="219">
        <v>0</v>
      </c>
      <c r="N87" s="19">
        <v>0</v>
      </c>
      <c r="O87" s="19">
        <v>0</v>
      </c>
      <c r="P87" s="219">
        <v>30127.21</v>
      </c>
      <c r="Q87" s="219">
        <v>0</v>
      </c>
      <c r="R87" s="219">
        <v>-43972.82</v>
      </c>
      <c r="S87" s="219">
        <v>0</v>
      </c>
      <c r="T87" s="19">
        <v>0</v>
      </c>
      <c r="U87" s="19">
        <v>0</v>
      </c>
      <c r="V87" s="19">
        <v>0</v>
      </c>
      <c r="W87" s="19">
        <v>0</v>
      </c>
      <c r="X87" s="19">
        <v>0</v>
      </c>
      <c r="Y87" s="217">
        <v>3892764.24</v>
      </c>
      <c r="Z87" s="3">
        <f t="shared" si="7"/>
        <v>465851.55</v>
      </c>
      <c r="AA87" s="3">
        <f t="shared" si="8"/>
        <v>24922139.09</v>
      </c>
      <c r="AB87" s="3">
        <f t="shared" si="10"/>
        <v>1599134.55</v>
      </c>
      <c r="AC87" s="3">
        <f>ROUND(MAX(0,(D87-V87)*'Shift 14'!$B$2),2)</f>
        <v>0</v>
      </c>
      <c r="AD87" s="3">
        <f t="shared" si="9"/>
        <v>3892764.24</v>
      </c>
      <c r="AE87" s="3">
        <f t="shared" si="11"/>
        <v>0</v>
      </c>
      <c r="AF87" s="214">
        <v>271</v>
      </c>
      <c r="AG87" s="214">
        <v>1</v>
      </c>
      <c r="AH87" s="3">
        <v>0</v>
      </c>
      <c r="AI87" s="3">
        <v>0</v>
      </c>
      <c r="AJ87" s="3">
        <v>558022.87</v>
      </c>
      <c r="AK87" s="3">
        <v>200000</v>
      </c>
      <c r="AL87" s="3">
        <v>279697.15999999997</v>
      </c>
      <c r="AM87" s="3">
        <v>0</v>
      </c>
      <c r="AN87" s="3">
        <v>0</v>
      </c>
      <c r="AO87" s="3">
        <v>0</v>
      </c>
      <c r="AP87" s="3">
        <v>0</v>
      </c>
      <c r="AQ87" s="3">
        <v>30127.21</v>
      </c>
      <c r="AR87" s="3">
        <v>0</v>
      </c>
      <c r="AS87" s="3">
        <v>-43972.82</v>
      </c>
      <c r="AT87" s="3">
        <v>0</v>
      </c>
      <c r="AU87" s="3">
        <f t="shared" si="12"/>
        <v>0</v>
      </c>
      <c r="AV87" s="17">
        <v>271</v>
      </c>
      <c r="AW87" s="17">
        <v>271</v>
      </c>
      <c r="AX87" s="17">
        <v>1</v>
      </c>
      <c r="AY87" s="3" t="s">
        <v>85</v>
      </c>
      <c r="AZ87" s="3">
        <v>0</v>
      </c>
      <c r="BA87" s="19">
        <v>3892764.24</v>
      </c>
    </row>
    <row r="88" spans="1:53" x14ac:dyDescent="0.2">
      <c r="A88" s="17">
        <v>272</v>
      </c>
      <c r="B88" s="17">
        <v>1</v>
      </c>
      <c r="C88" s="3" t="s">
        <v>86</v>
      </c>
      <c r="D88" s="3">
        <f>Levy!F89</f>
        <v>9010603.5999999996</v>
      </c>
      <c r="E88" s="3">
        <f>Levy!G89</f>
        <v>5439843.6100000003</v>
      </c>
      <c r="F88" s="3">
        <f>Levy!H89</f>
        <v>5714475</v>
      </c>
      <c r="G88" s="3">
        <f>Levy!I89</f>
        <v>5364421.74</v>
      </c>
      <c r="H88" s="217">
        <f>Levy!J89</f>
        <v>1175946.28</v>
      </c>
      <c r="I88" s="219">
        <v>0</v>
      </c>
      <c r="J88" s="219">
        <v>114500</v>
      </c>
      <c r="K88" s="219">
        <v>269700.2</v>
      </c>
      <c r="L88" s="219">
        <v>0</v>
      </c>
      <c r="M88" s="219">
        <v>0</v>
      </c>
      <c r="N88" s="19">
        <v>0</v>
      </c>
      <c r="O88" s="19">
        <v>0</v>
      </c>
      <c r="P88" s="219">
        <v>-146581.96</v>
      </c>
      <c r="Q88" s="219">
        <v>0</v>
      </c>
      <c r="R88" s="219">
        <v>-41684.94</v>
      </c>
      <c r="S88" s="219">
        <v>0</v>
      </c>
      <c r="T88" s="19">
        <v>0</v>
      </c>
      <c r="U88" s="19">
        <v>0</v>
      </c>
      <c r="V88" s="19">
        <v>0</v>
      </c>
      <c r="W88" s="19">
        <v>0</v>
      </c>
      <c r="X88" s="19">
        <v>116982.81</v>
      </c>
      <c r="Y88" s="217">
        <v>3383760.71</v>
      </c>
      <c r="Z88" s="3">
        <f t="shared" si="7"/>
        <v>195933.30000000002</v>
      </c>
      <c r="AA88" s="3">
        <f t="shared" si="8"/>
        <v>16205824.24</v>
      </c>
      <c r="AB88" s="3">
        <f t="shared" si="10"/>
        <v>1175946.28</v>
      </c>
      <c r="AC88" s="3">
        <f>ROUND(MAX(0,(D88-V88)*'Shift 14'!$B$2),2)</f>
        <v>0</v>
      </c>
      <c r="AD88" s="3">
        <f t="shared" si="9"/>
        <v>3383760.71</v>
      </c>
      <c r="AE88" s="3">
        <f t="shared" si="11"/>
        <v>0</v>
      </c>
      <c r="AF88" s="214">
        <v>272</v>
      </c>
      <c r="AG88" s="214">
        <v>1</v>
      </c>
      <c r="AH88" s="3">
        <v>0</v>
      </c>
      <c r="AI88" s="3">
        <v>0</v>
      </c>
      <c r="AJ88" s="3">
        <v>353272.28</v>
      </c>
      <c r="AK88" s="3">
        <v>114500</v>
      </c>
      <c r="AL88" s="3">
        <v>269700.2</v>
      </c>
      <c r="AM88" s="3">
        <v>0</v>
      </c>
      <c r="AN88" s="3">
        <v>0</v>
      </c>
      <c r="AO88" s="3">
        <v>0</v>
      </c>
      <c r="AP88" s="3">
        <v>-2536.71</v>
      </c>
      <c r="AQ88" s="3">
        <v>-146581.96</v>
      </c>
      <c r="AR88" s="3">
        <v>0</v>
      </c>
      <c r="AS88" s="3">
        <v>-41684.94</v>
      </c>
      <c r="AT88" s="3">
        <v>0</v>
      </c>
      <c r="AU88" s="3">
        <f t="shared" si="12"/>
        <v>0</v>
      </c>
      <c r="AV88" s="17">
        <v>272</v>
      </c>
      <c r="AW88" s="17">
        <v>272</v>
      </c>
      <c r="AX88" s="17">
        <v>1</v>
      </c>
      <c r="AY88" s="3" t="s">
        <v>86</v>
      </c>
      <c r="AZ88" s="3">
        <v>116982.81</v>
      </c>
      <c r="BA88" s="19">
        <v>3383760.71</v>
      </c>
    </row>
    <row r="89" spans="1:53" x14ac:dyDescent="0.2">
      <c r="A89" s="17">
        <v>273</v>
      </c>
      <c r="B89" s="17">
        <v>1</v>
      </c>
      <c r="C89" s="3" t="s">
        <v>87</v>
      </c>
      <c r="D89" s="3">
        <f>Levy!F90</f>
        <v>12646480.02</v>
      </c>
      <c r="E89" s="3">
        <f>Levy!G90</f>
        <v>4592848.32</v>
      </c>
      <c r="F89" s="3">
        <f>Levy!H90</f>
        <v>4558717</v>
      </c>
      <c r="G89" s="3">
        <f>Levy!I90</f>
        <v>9924678.5800000001</v>
      </c>
      <c r="H89" s="217">
        <f>Levy!J90</f>
        <v>1142249.21</v>
      </c>
      <c r="I89" s="219">
        <v>0</v>
      </c>
      <c r="J89" s="219">
        <v>100000</v>
      </c>
      <c r="K89" s="219">
        <v>60020.45</v>
      </c>
      <c r="L89" s="219">
        <v>0</v>
      </c>
      <c r="M89" s="219">
        <v>0</v>
      </c>
      <c r="N89" s="19">
        <v>0</v>
      </c>
      <c r="O89" s="19">
        <v>0</v>
      </c>
      <c r="P89" s="219">
        <v>-66639.960000000006</v>
      </c>
      <c r="Q89" s="219">
        <v>0</v>
      </c>
      <c r="R89" s="219">
        <v>-20721.53</v>
      </c>
      <c r="S89" s="219">
        <v>0</v>
      </c>
      <c r="T89" s="19">
        <v>0</v>
      </c>
      <c r="U89" s="19">
        <v>0</v>
      </c>
      <c r="V89" s="19">
        <v>0</v>
      </c>
      <c r="W89" s="19">
        <v>0</v>
      </c>
      <c r="X89" s="19">
        <v>0</v>
      </c>
      <c r="Y89" s="217">
        <v>3617532.85</v>
      </c>
      <c r="Z89" s="3">
        <f t="shared" si="7"/>
        <v>72658.960000000006</v>
      </c>
      <c r="AA89" s="3">
        <f t="shared" si="8"/>
        <v>19003584.940000001</v>
      </c>
      <c r="AB89" s="3">
        <f t="shared" si="10"/>
        <v>1142249.21</v>
      </c>
      <c r="AC89" s="3">
        <f>ROUND(MAX(0,(D89-V89)*'Shift 14'!$B$2),2)</f>
        <v>0</v>
      </c>
      <c r="AD89" s="3">
        <f t="shared" si="9"/>
        <v>3617532.85</v>
      </c>
      <c r="AE89" s="3">
        <f t="shared" si="11"/>
        <v>0</v>
      </c>
      <c r="AF89" s="214">
        <v>273</v>
      </c>
      <c r="AG89" s="214">
        <v>1</v>
      </c>
      <c r="AH89" s="3">
        <v>0</v>
      </c>
      <c r="AI89" s="3">
        <v>0</v>
      </c>
      <c r="AJ89" s="3">
        <v>247236.04</v>
      </c>
      <c r="AK89" s="3">
        <v>100000</v>
      </c>
      <c r="AL89" s="3">
        <v>60020.45</v>
      </c>
      <c r="AM89" s="3">
        <v>0</v>
      </c>
      <c r="AN89" s="3">
        <v>0</v>
      </c>
      <c r="AO89" s="3">
        <v>0</v>
      </c>
      <c r="AP89" s="3">
        <v>0</v>
      </c>
      <c r="AQ89" s="3">
        <v>-66639.960000000006</v>
      </c>
      <c r="AR89" s="3">
        <v>0</v>
      </c>
      <c r="AS89" s="3">
        <v>-20721.53</v>
      </c>
      <c r="AT89" s="3">
        <v>0</v>
      </c>
      <c r="AU89" s="3">
        <f t="shared" si="12"/>
        <v>0</v>
      </c>
      <c r="AV89" s="17">
        <v>273</v>
      </c>
      <c r="AW89" s="17">
        <v>273</v>
      </c>
      <c r="AX89" s="17">
        <v>1</v>
      </c>
      <c r="AY89" s="3" t="s">
        <v>87</v>
      </c>
      <c r="AZ89" s="3">
        <v>0</v>
      </c>
      <c r="BA89" s="19">
        <v>3617532.85</v>
      </c>
    </row>
    <row r="90" spans="1:53" x14ac:dyDescent="0.2">
      <c r="A90" s="17">
        <v>276</v>
      </c>
      <c r="B90" s="17">
        <v>1</v>
      </c>
      <c r="C90" s="3" t="s">
        <v>88</v>
      </c>
      <c r="D90" s="3">
        <f>Levy!F91</f>
        <v>13408763.52</v>
      </c>
      <c r="E90" s="3">
        <f>Levy!G91</f>
        <v>5537337.6600000001</v>
      </c>
      <c r="F90" s="3">
        <f>Levy!H91</f>
        <v>4861449</v>
      </c>
      <c r="G90" s="3">
        <f>Levy!I91</f>
        <v>5345495.32</v>
      </c>
      <c r="H90" s="217">
        <f>Levy!J91</f>
        <v>1016937.02</v>
      </c>
      <c r="I90" s="219">
        <v>0</v>
      </c>
      <c r="J90" s="219">
        <v>0</v>
      </c>
      <c r="K90" s="219">
        <v>163963.96</v>
      </c>
      <c r="L90" s="219">
        <v>0</v>
      </c>
      <c r="M90" s="219">
        <v>0</v>
      </c>
      <c r="N90" s="19">
        <v>0</v>
      </c>
      <c r="O90" s="19">
        <v>0</v>
      </c>
      <c r="P90" s="219">
        <v>16177.35</v>
      </c>
      <c r="Q90" s="219">
        <v>0</v>
      </c>
      <c r="R90" s="219">
        <v>-21168.15</v>
      </c>
      <c r="S90" s="219">
        <v>925.2</v>
      </c>
      <c r="T90" s="19">
        <v>0</v>
      </c>
      <c r="U90" s="19">
        <v>0</v>
      </c>
      <c r="V90" s="19">
        <v>0</v>
      </c>
      <c r="W90" s="19">
        <v>0</v>
      </c>
      <c r="X90" s="19">
        <v>0</v>
      </c>
      <c r="Y90" s="217">
        <v>3991123.96</v>
      </c>
      <c r="Z90" s="3">
        <f t="shared" si="7"/>
        <v>159898.36000000002</v>
      </c>
      <c r="AA90" s="3">
        <f t="shared" si="8"/>
        <v>15584383.619999999</v>
      </c>
      <c r="AB90" s="3">
        <f t="shared" si="10"/>
        <v>1016937.02</v>
      </c>
      <c r="AC90" s="3">
        <f>ROUND(MAX(0,(D90-V90)*'Shift 14'!$B$2),2)</f>
        <v>0</v>
      </c>
      <c r="AD90" s="3">
        <f t="shared" si="9"/>
        <v>3991123.96</v>
      </c>
      <c r="AE90" s="3">
        <f t="shared" si="11"/>
        <v>0</v>
      </c>
      <c r="AF90" s="214">
        <v>276</v>
      </c>
      <c r="AG90" s="214">
        <v>1</v>
      </c>
      <c r="AH90" s="3">
        <v>0</v>
      </c>
      <c r="AI90" s="3">
        <v>0</v>
      </c>
      <c r="AJ90" s="3">
        <v>140104.73000000001</v>
      </c>
      <c r="AK90" s="3">
        <v>0</v>
      </c>
      <c r="AL90" s="3">
        <v>163963.96</v>
      </c>
      <c r="AM90" s="3">
        <v>0</v>
      </c>
      <c r="AN90" s="3">
        <v>0</v>
      </c>
      <c r="AO90" s="3">
        <v>0</v>
      </c>
      <c r="AP90" s="3">
        <v>-54934.44</v>
      </c>
      <c r="AQ90" s="3">
        <v>16177.35</v>
      </c>
      <c r="AR90" s="3">
        <v>0</v>
      </c>
      <c r="AS90" s="3">
        <v>-21168.15</v>
      </c>
      <c r="AT90" s="3">
        <v>925.2</v>
      </c>
      <c r="AU90" s="3">
        <f t="shared" si="12"/>
        <v>0</v>
      </c>
      <c r="AV90" s="17">
        <v>276</v>
      </c>
      <c r="AW90" s="17">
        <v>276</v>
      </c>
      <c r="AX90" s="17">
        <v>1</v>
      </c>
      <c r="AY90" s="3" t="s">
        <v>88</v>
      </c>
      <c r="AZ90" s="3">
        <v>0</v>
      </c>
      <c r="BA90" s="19">
        <v>3991123.96</v>
      </c>
    </row>
    <row r="91" spans="1:53" x14ac:dyDescent="0.2">
      <c r="A91" s="17">
        <v>277</v>
      </c>
      <c r="B91" s="17">
        <v>1</v>
      </c>
      <c r="C91" s="3" t="s">
        <v>89</v>
      </c>
      <c r="D91" s="3">
        <f>Levy!F92</f>
        <v>3270908.39</v>
      </c>
      <c r="E91" s="3">
        <f>Levy!G92</f>
        <v>1139178.28</v>
      </c>
      <c r="F91" s="3">
        <f>Levy!H92</f>
        <v>750000</v>
      </c>
      <c r="G91" s="3">
        <f>Levy!I92</f>
        <v>1524392.11</v>
      </c>
      <c r="H91" s="217">
        <f>Levy!J92</f>
        <v>503832.17</v>
      </c>
      <c r="I91" s="219">
        <v>0</v>
      </c>
      <c r="J91" s="219">
        <v>5000</v>
      </c>
      <c r="K91" s="219">
        <v>62664.41</v>
      </c>
      <c r="L91" s="219">
        <v>0</v>
      </c>
      <c r="M91" s="219">
        <v>0</v>
      </c>
      <c r="N91" s="19">
        <v>0</v>
      </c>
      <c r="O91" s="19">
        <v>0</v>
      </c>
      <c r="P91" s="219">
        <v>11961.94</v>
      </c>
      <c r="Q91" s="219">
        <v>0</v>
      </c>
      <c r="R91" s="219">
        <v>-30597.71</v>
      </c>
      <c r="S91" s="219">
        <v>0</v>
      </c>
      <c r="T91" s="19">
        <v>0</v>
      </c>
      <c r="U91" s="19">
        <v>0</v>
      </c>
      <c r="V91" s="19">
        <v>0</v>
      </c>
      <c r="W91" s="19">
        <v>0</v>
      </c>
      <c r="X91" s="19">
        <v>0</v>
      </c>
      <c r="Y91" s="217">
        <v>856488.26</v>
      </c>
      <c r="Z91" s="3">
        <f t="shared" si="7"/>
        <v>49028.640000000007</v>
      </c>
      <c r="AA91" s="3">
        <f t="shared" si="8"/>
        <v>3364541.75</v>
      </c>
      <c r="AB91" s="3">
        <f t="shared" si="10"/>
        <v>503832.17</v>
      </c>
      <c r="AC91" s="3">
        <f>ROUND(MAX(0,(D91-V91)*'Shift 14'!$B$2),2)</f>
        <v>0</v>
      </c>
      <c r="AD91" s="3">
        <f t="shared" si="9"/>
        <v>856488.26</v>
      </c>
      <c r="AE91" s="3">
        <f t="shared" si="11"/>
        <v>0</v>
      </c>
      <c r="AF91" s="214">
        <v>277</v>
      </c>
      <c r="AG91" s="214">
        <v>1</v>
      </c>
      <c r="AH91" s="3">
        <v>0</v>
      </c>
      <c r="AI91" s="3">
        <v>0</v>
      </c>
      <c r="AJ91" s="3">
        <v>0</v>
      </c>
      <c r="AK91" s="3">
        <v>5000</v>
      </c>
      <c r="AL91" s="3">
        <v>62664.41</v>
      </c>
      <c r="AM91" s="3">
        <v>0</v>
      </c>
      <c r="AN91" s="3">
        <v>0</v>
      </c>
      <c r="AO91" s="3">
        <v>0</v>
      </c>
      <c r="AP91" s="3">
        <v>0</v>
      </c>
      <c r="AQ91" s="3">
        <v>11961.94</v>
      </c>
      <c r="AR91" s="3">
        <v>0</v>
      </c>
      <c r="AS91" s="3">
        <v>-30597.71</v>
      </c>
      <c r="AT91" s="3">
        <v>0</v>
      </c>
      <c r="AU91" s="3">
        <f t="shared" si="12"/>
        <v>0</v>
      </c>
      <c r="AV91" s="17">
        <v>277</v>
      </c>
      <c r="AW91" s="17">
        <v>277</v>
      </c>
      <c r="AX91" s="17">
        <v>1</v>
      </c>
      <c r="AY91" s="3" t="s">
        <v>89</v>
      </c>
      <c r="AZ91" s="3">
        <v>0</v>
      </c>
      <c r="BA91" s="19">
        <v>856488.26</v>
      </c>
    </row>
    <row r="92" spans="1:53" x14ac:dyDescent="0.2">
      <c r="A92" s="17">
        <v>278</v>
      </c>
      <c r="B92" s="17">
        <v>1</v>
      </c>
      <c r="C92" s="3" t="s">
        <v>90</v>
      </c>
      <c r="D92" s="3">
        <f>Levy!F93</f>
        <v>4076495.52</v>
      </c>
      <c r="E92" s="3">
        <f>Levy!G93</f>
        <v>1456036.11</v>
      </c>
      <c r="F92" s="3">
        <f>Levy!H93</f>
        <v>839939</v>
      </c>
      <c r="G92" s="3">
        <f>Levy!I93</f>
        <v>1794467.8</v>
      </c>
      <c r="H92" s="217">
        <f>Levy!J93</f>
        <v>267402.23999999999</v>
      </c>
      <c r="I92" s="219">
        <v>0</v>
      </c>
      <c r="J92" s="219">
        <v>998</v>
      </c>
      <c r="K92" s="219">
        <v>61439.81</v>
      </c>
      <c r="L92" s="219">
        <v>0</v>
      </c>
      <c r="M92" s="219">
        <v>0</v>
      </c>
      <c r="N92" s="19">
        <v>0</v>
      </c>
      <c r="O92" s="19">
        <v>0</v>
      </c>
      <c r="P92" s="219">
        <v>10579.22</v>
      </c>
      <c r="Q92" s="219">
        <v>0</v>
      </c>
      <c r="R92" s="219">
        <v>-14533.93</v>
      </c>
      <c r="S92" s="219">
        <v>0</v>
      </c>
      <c r="T92" s="19">
        <v>0</v>
      </c>
      <c r="U92" s="19">
        <v>0</v>
      </c>
      <c r="V92" s="19">
        <v>0</v>
      </c>
      <c r="W92" s="19">
        <v>0</v>
      </c>
      <c r="X92" s="19">
        <v>0</v>
      </c>
      <c r="Y92" s="217">
        <v>887487.03</v>
      </c>
      <c r="Z92" s="3">
        <f t="shared" si="7"/>
        <v>58483.1</v>
      </c>
      <c r="AA92" s="3">
        <f t="shared" si="8"/>
        <v>4031959.81</v>
      </c>
      <c r="AB92" s="3">
        <f t="shared" si="10"/>
        <v>267402.23999999999</v>
      </c>
      <c r="AC92" s="3">
        <f>ROUND(MAX(0,(D92-V92)*'Shift 14'!$B$2),2)</f>
        <v>0</v>
      </c>
      <c r="AD92" s="3">
        <f t="shared" si="9"/>
        <v>887487.03</v>
      </c>
      <c r="AE92" s="3">
        <f t="shared" si="11"/>
        <v>0</v>
      </c>
      <c r="AF92" s="214">
        <v>278</v>
      </c>
      <c r="AG92" s="214">
        <v>1</v>
      </c>
      <c r="AH92" s="3">
        <v>0</v>
      </c>
      <c r="AI92" s="3">
        <v>0</v>
      </c>
      <c r="AJ92" s="3">
        <v>0</v>
      </c>
      <c r="AK92" s="3">
        <v>998</v>
      </c>
      <c r="AL92" s="3">
        <v>61439.81</v>
      </c>
      <c r="AM92" s="3">
        <v>0</v>
      </c>
      <c r="AN92" s="3">
        <v>0</v>
      </c>
      <c r="AO92" s="3">
        <v>0</v>
      </c>
      <c r="AP92" s="3">
        <v>0</v>
      </c>
      <c r="AQ92" s="3">
        <v>10579.22</v>
      </c>
      <c r="AR92" s="3">
        <v>0</v>
      </c>
      <c r="AS92" s="3">
        <v>-14533.93</v>
      </c>
      <c r="AT92" s="3">
        <v>0</v>
      </c>
      <c r="AU92" s="3">
        <f t="shared" si="12"/>
        <v>0</v>
      </c>
      <c r="AV92" s="17">
        <v>278</v>
      </c>
      <c r="AW92" s="17">
        <v>278</v>
      </c>
      <c r="AX92" s="17">
        <v>1</v>
      </c>
      <c r="AY92" s="3" t="s">
        <v>90</v>
      </c>
      <c r="AZ92" s="3">
        <v>0</v>
      </c>
      <c r="BA92" s="19">
        <v>887487.03</v>
      </c>
    </row>
    <row r="93" spans="1:53" x14ac:dyDescent="0.2">
      <c r="A93" s="17">
        <v>279</v>
      </c>
      <c r="B93" s="17">
        <v>1</v>
      </c>
      <c r="C93" s="3" t="s">
        <v>91</v>
      </c>
      <c r="D93" s="3">
        <f>Levy!F94</f>
        <v>31521794.760000002</v>
      </c>
      <c r="E93" s="3">
        <f>Levy!G94</f>
        <v>10299600.65</v>
      </c>
      <c r="F93" s="3">
        <f>Levy!H94</f>
        <v>5000000</v>
      </c>
      <c r="G93" s="3">
        <f>Levy!I94</f>
        <v>14801300.560000001</v>
      </c>
      <c r="H93" s="217">
        <f>Levy!J94</f>
        <v>1836866.92</v>
      </c>
      <c r="I93" s="219">
        <v>0</v>
      </c>
      <c r="J93" s="219">
        <v>175044</v>
      </c>
      <c r="K93" s="219">
        <v>469266.43</v>
      </c>
      <c r="L93" s="219">
        <v>0</v>
      </c>
      <c r="M93" s="219">
        <v>0</v>
      </c>
      <c r="N93" s="19">
        <v>0</v>
      </c>
      <c r="O93" s="19">
        <v>0</v>
      </c>
      <c r="P93" s="219">
        <v>-4110.17</v>
      </c>
      <c r="Q93" s="219">
        <v>0</v>
      </c>
      <c r="R93" s="219">
        <v>-77780.479999999996</v>
      </c>
      <c r="S93" s="219">
        <v>0</v>
      </c>
      <c r="T93" s="19">
        <v>0</v>
      </c>
      <c r="U93" s="19">
        <v>0</v>
      </c>
      <c r="V93" s="19">
        <v>0</v>
      </c>
      <c r="W93" s="19">
        <v>0</v>
      </c>
      <c r="X93" s="19">
        <v>0</v>
      </c>
      <c r="Y93" s="217">
        <v>3660705.88</v>
      </c>
      <c r="Z93" s="3">
        <f t="shared" si="7"/>
        <v>562419.77999999991</v>
      </c>
      <c r="AA93" s="3">
        <f t="shared" si="8"/>
        <v>29538481.43</v>
      </c>
      <c r="AB93" s="3">
        <f t="shared" si="10"/>
        <v>1836866.92</v>
      </c>
      <c r="AC93" s="3">
        <f>ROUND(MAX(0,(D93-V93)*'Shift 14'!$B$2),2)</f>
        <v>0</v>
      </c>
      <c r="AD93" s="3">
        <f t="shared" si="9"/>
        <v>3660705.88</v>
      </c>
      <c r="AE93" s="3">
        <f t="shared" si="11"/>
        <v>0</v>
      </c>
      <c r="AF93" s="214">
        <v>279</v>
      </c>
      <c r="AG93" s="214">
        <v>1</v>
      </c>
      <c r="AH93" s="3">
        <v>0</v>
      </c>
      <c r="AI93" s="3">
        <v>0</v>
      </c>
      <c r="AJ93" s="3">
        <v>1231579.6100000001</v>
      </c>
      <c r="AK93" s="3">
        <v>175044</v>
      </c>
      <c r="AL93" s="3">
        <v>469266.43</v>
      </c>
      <c r="AM93" s="3">
        <v>0</v>
      </c>
      <c r="AN93" s="3">
        <v>0</v>
      </c>
      <c r="AO93" s="3">
        <v>0</v>
      </c>
      <c r="AP93" s="3">
        <v>-4469.46</v>
      </c>
      <c r="AQ93" s="3">
        <v>-4110.17</v>
      </c>
      <c r="AR93" s="3">
        <v>0</v>
      </c>
      <c r="AS93" s="3">
        <v>-77780.479999999996</v>
      </c>
      <c r="AT93" s="3">
        <v>0</v>
      </c>
      <c r="AU93" s="3">
        <f t="shared" si="12"/>
        <v>0</v>
      </c>
      <c r="AV93" s="17">
        <v>279</v>
      </c>
      <c r="AW93" s="17">
        <v>279</v>
      </c>
      <c r="AX93" s="17">
        <v>1</v>
      </c>
      <c r="AY93" s="3" t="s">
        <v>91</v>
      </c>
      <c r="AZ93" s="3">
        <v>0</v>
      </c>
      <c r="BA93" s="19">
        <v>3660705.88</v>
      </c>
    </row>
    <row r="94" spans="1:53" x14ac:dyDescent="0.2">
      <c r="A94" s="17">
        <v>280</v>
      </c>
      <c r="B94" s="17">
        <v>1</v>
      </c>
      <c r="C94" s="3" t="s">
        <v>92</v>
      </c>
      <c r="D94" s="3">
        <f>Levy!F95</f>
        <v>3902505.45</v>
      </c>
      <c r="E94" s="3">
        <f>Levy!G95</f>
        <v>2720620.42</v>
      </c>
      <c r="F94" s="3">
        <f>Levy!H95</f>
        <v>2260000</v>
      </c>
      <c r="G94" s="3">
        <f>Levy!I95</f>
        <v>3528485.05</v>
      </c>
      <c r="H94" s="217">
        <f>Levy!J95</f>
        <v>439916.99</v>
      </c>
      <c r="I94" s="219">
        <v>0</v>
      </c>
      <c r="J94" s="219">
        <v>50000</v>
      </c>
      <c r="K94" s="219">
        <v>107083.88</v>
      </c>
      <c r="L94" s="219">
        <v>59106</v>
      </c>
      <c r="M94" s="219">
        <v>0</v>
      </c>
      <c r="N94" s="19">
        <v>0</v>
      </c>
      <c r="O94" s="19">
        <v>0</v>
      </c>
      <c r="P94" s="220">
        <v>-1266.75</v>
      </c>
      <c r="Q94" s="220">
        <v>0</v>
      </c>
      <c r="R94" s="220">
        <v>-16720.12</v>
      </c>
      <c r="S94" s="220">
        <v>30583.64</v>
      </c>
      <c r="T94" s="19">
        <v>0</v>
      </c>
      <c r="U94" s="19">
        <v>0</v>
      </c>
      <c r="V94" s="19">
        <v>0</v>
      </c>
      <c r="W94" s="19">
        <v>0</v>
      </c>
      <c r="X94" s="19">
        <v>0</v>
      </c>
      <c r="Y94" s="217">
        <v>1308442.53</v>
      </c>
      <c r="Z94" s="3">
        <f t="shared" si="7"/>
        <v>228786.65000000002</v>
      </c>
      <c r="AA94" s="3">
        <f t="shared" si="8"/>
        <v>8280318.8200000003</v>
      </c>
      <c r="AB94" s="3">
        <f t="shared" si="10"/>
        <v>439916.99</v>
      </c>
      <c r="AC94" s="3">
        <f>ROUND(MAX(0,(D94-V94)*'Shift 14'!$B$2),2)</f>
        <v>0</v>
      </c>
      <c r="AD94" s="3">
        <f t="shared" si="9"/>
        <v>1308442.53</v>
      </c>
      <c r="AE94" s="3">
        <f t="shared" si="11"/>
        <v>0</v>
      </c>
      <c r="AF94" s="214">
        <v>280</v>
      </c>
      <c r="AG94" s="214">
        <v>1</v>
      </c>
      <c r="AH94" s="3">
        <v>0</v>
      </c>
      <c r="AI94" s="3">
        <v>0</v>
      </c>
      <c r="AJ94" s="3">
        <v>371681.43</v>
      </c>
      <c r="AK94" s="3">
        <v>50000</v>
      </c>
      <c r="AL94" s="3">
        <v>107083.88</v>
      </c>
      <c r="AM94" s="3">
        <v>59106</v>
      </c>
      <c r="AN94" s="3">
        <v>0</v>
      </c>
      <c r="AO94" s="3">
        <v>0</v>
      </c>
      <c r="AP94" s="3">
        <v>0</v>
      </c>
      <c r="AQ94" s="3">
        <v>-1266.75</v>
      </c>
      <c r="AR94" s="3">
        <v>0</v>
      </c>
      <c r="AS94" s="3">
        <v>-16720.12</v>
      </c>
      <c r="AT94" s="3">
        <v>30583.64</v>
      </c>
      <c r="AU94" s="3">
        <f t="shared" si="12"/>
        <v>0</v>
      </c>
      <c r="AV94" s="17">
        <v>280</v>
      </c>
      <c r="AW94" s="17">
        <v>280</v>
      </c>
      <c r="AX94" s="17">
        <v>1</v>
      </c>
      <c r="AY94" s="3" t="s">
        <v>92</v>
      </c>
      <c r="AZ94" s="3">
        <v>0</v>
      </c>
      <c r="BA94" s="19">
        <v>1308442.53</v>
      </c>
    </row>
    <row r="95" spans="1:53" x14ac:dyDescent="0.2">
      <c r="A95" s="17">
        <v>281</v>
      </c>
      <c r="B95" s="17">
        <v>1</v>
      </c>
      <c r="C95" s="3" t="s">
        <v>93</v>
      </c>
      <c r="D95" s="3">
        <f>Levy!F96</f>
        <v>19802040.91</v>
      </c>
      <c r="E95" s="3">
        <f>Levy!G96</f>
        <v>6382430.2400000002</v>
      </c>
      <c r="F95" s="3">
        <f>Levy!H96</f>
        <v>0</v>
      </c>
      <c r="G95" s="3">
        <f>Levy!I96</f>
        <v>8184885.6200000001</v>
      </c>
      <c r="H95" s="217">
        <f>Levy!J96</f>
        <v>1793113.08</v>
      </c>
      <c r="I95" s="219">
        <v>0</v>
      </c>
      <c r="J95" s="219">
        <v>250000</v>
      </c>
      <c r="K95" s="219">
        <v>286112.88</v>
      </c>
      <c r="L95" s="219">
        <v>0</v>
      </c>
      <c r="M95" s="219">
        <v>0</v>
      </c>
      <c r="N95" s="19">
        <v>0</v>
      </c>
      <c r="O95" s="19">
        <v>0</v>
      </c>
      <c r="P95" s="219">
        <v>-273500.31</v>
      </c>
      <c r="Q95" s="219">
        <v>0</v>
      </c>
      <c r="R95" s="219">
        <v>-41074.36</v>
      </c>
      <c r="S95" s="219">
        <v>0</v>
      </c>
      <c r="T95" s="19">
        <v>0</v>
      </c>
      <c r="U95" s="19">
        <v>0</v>
      </c>
      <c r="V95" s="19">
        <v>0</v>
      </c>
      <c r="W95" s="19">
        <v>0</v>
      </c>
      <c r="X95" s="19">
        <v>0</v>
      </c>
      <c r="Y95" s="217">
        <v>3392196.06</v>
      </c>
      <c r="Z95" s="3">
        <f t="shared" si="7"/>
        <v>221538.21000000002</v>
      </c>
      <c r="AA95" s="3">
        <f t="shared" si="8"/>
        <v>14345777.65</v>
      </c>
      <c r="AB95" s="3">
        <f t="shared" si="10"/>
        <v>1793113.08</v>
      </c>
      <c r="AC95" s="3">
        <f>ROUND(MAX(0,(D95-V95)*'Shift 14'!$B$2),2)</f>
        <v>0</v>
      </c>
      <c r="AD95" s="3">
        <f t="shared" si="9"/>
        <v>3392196.06</v>
      </c>
      <c r="AE95" s="3">
        <f t="shared" si="11"/>
        <v>0</v>
      </c>
      <c r="AF95" s="214">
        <v>281</v>
      </c>
      <c r="AG95" s="214">
        <v>1</v>
      </c>
      <c r="AH95" s="3">
        <v>0</v>
      </c>
      <c r="AI95" s="3">
        <v>0</v>
      </c>
      <c r="AJ95" s="3">
        <v>750447.71</v>
      </c>
      <c r="AK95" s="3">
        <v>250000</v>
      </c>
      <c r="AL95" s="3">
        <v>286112.88</v>
      </c>
      <c r="AM95" s="3">
        <v>0</v>
      </c>
      <c r="AN95" s="3">
        <v>0</v>
      </c>
      <c r="AO95" s="3">
        <v>0</v>
      </c>
      <c r="AP95" s="3">
        <v>0</v>
      </c>
      <c r="AQ95" s="3">
        <v>-273500.31</v>
      </c>
      <c r="AR95" s="3">
        <v>0</v>
      </c>
      <c r="AS95" s="3">
        <v>-41074.36</v>
      </c>
      <c r="AT95" s="3">
        <v>0</v>
      </c>
      <c r="AU95" s="3">
        <f t="shared" si="12"/>
        <v>0</v>
      </c>
      <c r="AV95" s="17">
        <v>281</v>
      </c>
      <c r="AW95" s="17">
        <v>281</v>
      </c>
      <c r="AX95" s="17">
        <v>1</v>
      </c>
      <c r="AY95" s="3" t="s">
        <v>93</v>
      </c>
      <c r="AZ95" s="3">
        <v>0</v>
      </c>
      <c r="BA95" s="19">
        <v>3392196.06</v>
      </c>
    </row>
    <row r="96" spans="1:53" x14ac:dyDescent="0.2">
      <c r="A96" s="17">
        <v>282</v>
      </c>
      <c r="B96" s="17">
        <v>1</v>
      </c>
      <c r="C96" s="3" t="s">
        <v>1176</v>
      </c>
      <c r="D96" s="3">
        <f>Levy!F97</f>
        <v>1782164.63</v>
      </c>
      <c r="E96" s="3">
        <f>Levy!G97</f>
        <v>971975.2</v>
      </c>
      <c r="F96" s="3">
        <f>Levy!H97</f>
        <v>0</v>
      </c>
      <c r="G96" s="3">
        <f>Levy!I97</f>
        <v>811861.4</v>
      </c>
      <c r="H96" s="217">
        <f>Levy!J97</f>
        <v>89021.67</v>
      </c>
      <c r="I96" s="219">
        <v>0</v>
      </c>
      <c r="J96" s="219">
        <v>22990</v>
      </c>
      <c r="K96" s="219">
        <v>16549.39</v>
      </c>
      <c r="L96" s="219">
        <v>0</v>
      </c>
      <c r="M96" s="219">
        <v>0</v>
      </c>
      <c r="N96" s="19">
        <v>0</v>
      </c>
      <c r="O96" s="19">
        <v>0</v>
      </c>
      <c r="P96" s="219">
        <v>15028.81</v>
      </c>
      <c r="Q96" s="219">
        <v>0</v>
      </c>
      <c r="R96" s="219">
        <v>-5868.2</v>
      </c>
      <c r="S96" s="219">
        <v>0</v>
      </c>
      <c r="T96" s="19">
        <v>0</v>
      </c>
      <c r="U96" s="19">
        <v>0</v>
      </c>
      <c r="V96" s="19">
        <v>0</v>
      </c>
      <c r="W96" s="19">
        <v>0</v>
      </c>
      <c r="X96" s="19">
        <v>0</v>
      </c>
      <c r="Y96" s="217">
        <v>285410.61</v>
      </c>
      <c r="Z96" s="3">
        <f t="shared" si="7"/>
        <v>48700</v>
      </c>
      <c r="AA96" s="3">
        <f t="shared" si="8"/>
        <v>1735136.6</v>
      </c>
      <c r="AB96" s="3">
        <f t="shared" si="10"/>
        <v>89021.67</v>
      </c>
      <c r="AC96" s="3">
        <f>ROUND(MAX(0,(D96-V96)*'Shift 14'!$B$2),2)</f>
        <v>0</v>
      </c>
      <c r="AD96" s="3">
        <f t="shared" si="9"/>
        <v>285410.61</v>
      </c>
      <c r="AE96" s="3">
        <f t="shared" si="11"/>
        <v>0</v>
      </c>
      <c r="AF96" s="214">
        <v>282</v>
      </c>
      <c r="AG96" s="214">
        <v>1</v>
      </c>
      <c r="AH96" s="3">
        <v>0</v>
      </c>
      <c r="AI96" s="3">
        <v>0</v>
      </c>
      <c r="AJ96" s="3">
        <v>51431.77</v>
      </c>
      <c r="AK96" s="3">
        <v>22990</v>
      </c>
      <c r="AL96" s="3">
        <v>16549.39</v>
      </c>
      <c r="AM96" s="3">
        <v>0</v>
      </c>
      <c r="AN96" s="3">
        <v>0</v>
      </c>
      <c r="AO96" s="3">
        <v>0</v>
      </c>
      <c r="AP96" s="3">
        <v>-5168.9799999999996</v>
      </c>
      <c r="AQ96" s="3">
        <v>15028.81</v>
      </c>
      <c r="AR96" s="3">
        <v>0</v>
      </c>
      <c r="AS96" s="3">
        <v>-5868.2</v>
      </c>
      <c r="AT96" s="3">
        <v>0</v>
      </c>
      <c r="AU96" s="3">
        <f t="shared" si="12"/>
        <v>0</v>
      </c>
      <c r="AV96" s="17">
        <v>282</v>
      </c>
      <c r="AW96" s="17">
        <v>282</v>
      </c>
      <c r="AX96" s="17">
        <v>1</v>
      </c>
      <c r="AY96" s="3" t="s">
        <v>94</v>
      </c>
      <c r="AZ96" s="3">
        <v>0</v>
      </c>
      <c r="BA96" s="19">
        <v>285410.61</v>
      </c>
    </row>
    <row r="97" spans="1:53" x14ac:dyDescent="0.2">
      <c r="A97" s="17">
        <v>283</v>
      </c>
      <c r="B97" s="17">
        <v>1</v>
      </c>
      <c r="C97" s="3" t="s">
        <v>95</v>
      </c>
      <c r="D97" s="3">
        <f>Levy!F98</f>
        <v>9521019.4900000002</v>
      </c>
      <c r="E97" s="3">
        <f>Levy!G98</f>
        <v>2349469.29</v>
      </c>
      <c r="F97" s="3">
        <f>Levy!H98</f>
        <v>1750000</v>
      </c>
      <c r="G97" s="3">
        <f>Levy!I98</f>
        <v>2752754.6</v>
      </c>
      <c r="H97" s="217">
        <f>Levy!J98</f>
        <v>919393.65</v>
      </c>
      <c r="I97" s="219">
        <v>0</v>
      </c>
      <c r="J97" s="219">
        <v>28000</v>
      </c>
      <c r="K97" s="219">
        <v>109523.57</v>
      </c>
      <c r="L97" s="219">
        <v>0</v>
      </c>
      <c r="M97" s="219">
        <v>0</v>
      </c>
      <c r="N97" s="19">
        <v>0</v>
      </c>
      <c r="O97" s="19">
        <v>0</v>
      </c>
      <c r="P97" s="219">
        <v>-12790.2</v>
      </c>
      <c r="Q97" s="219">
        <v>0</v>
      </c>
      <c r="R97" s="219">
        <v>-17554.55</v>
      </c>
      <c r="S97" s="219">
        <v>0</v>
      </c>
      <c r="T97" s="19">
        <v>0</v>
      </c>
      <c r="U97" s="19">
        <v>0</v>
      </c>
      <c r="V97" s="19">
        <v>0</v>
      </c>
      <c r="W97" s="19">
        <v>0</v>
      </c>
      <c r="X97" s="19">
        <v>0</v>
      </c>
      <c r="Y97" s="217">
        <v>2205291.65</v>
      </c>
      <c r="Z97" s="3">
        <f t="shared" si="7"/>
        <v>107178.82</v>
      </c>
      <c r="AA97" s="3">
        <f t="shared" si="8"/>
        <v>6745045.0700000003</v>
      </c>
      <c r="AB97" s="3">
        <f t="shared" si="10"/>
        <v>919393.65</v>
      </c>
      <c r="AC97" s="3">
        <f>ROUND(MAX(0,(D97-V97)*'Shift 14'!$B$2),2)</f>
        <v>0</v>
      </c>
      <c r="AD97" s="3">
        <f t="shared" si="9"/>
        <v>2205291.65</v>
      </c>
      <c r="AE97" s="3">
        <f t="shared" si="11"/>
        <v>0</v>
      </c>
      <c r="AF97" s="214">
        <v>283</v>
      </c>
      <c r="AG97" s="214">
        <v>1</v>
      </c>
      <c r="AH97" s="3">
        <v>0</v>
      </c>
      <c r="AI97" s="3">
        <v>0</v>
      </c>
      <c r="AJ97" s="3">
        <v>216672.76</v>
      </c>
      <c r="AK97" s="3">
        <v>28000</v>
      </c>
      <c r="AL97" s="3">
        <v>109523.57</v>
      </c>
      <c r="AM97" s="3">
        <v>0</v>
      </c>
      <c r="AN97" s="3">
        <v>0</v>
      </c>
      <c r="AO97" s="3">
        <v>0</v>
      </c>
      <c r="AP97" s="3">
        <v>0</v>
      </c>
      <c r="AQ97" s="3">
        <v>-12790.2</v>
      </c>
      <c r="AR97" s="3">
        <v>0</v>
      </c>
      <c r="AS97" s="3">
        <v>-17554.55</v>
      </c>
      <c r="AT97" s="3">
        <v>0</v>
      </c>
      <c r="AU97" s="3">
        <f t="shared" si="12"/>
        <v>0</v>
      </c>
      <c r="AV97" s="17">
        <v>283</v>
      </c>
      <c r="AW97" s="17">
        <v>283</v>
      </c>
      <c r="AX97" s="17">
        <v>1</v>
      </c>
      <c r="AY97" s="3" t="s">
        <v>95</v>
      </c>
      <c r="AZ97" s="3">
        <v>0</v>
      </c>
      <c r="BA97" s="19">
        <v>2205291.65</v>
      </c>
    </row>
    <row r="98" spans="1:53" x14ac:dyDescent="0.2">
      <c r="A98" s="17">
        <v>284</v>
      </c>
      <c r="B98" s="17">
        <v>1</v>
      </c>
      <c r="C98" s="3" t="s">
        <v>96</v>
      </c>
      <c r="D98" s="3">
        <f>Levy!F99</f>
        <v>16574037.289999999</v>
      </c>
      <c r="E98" s="3">
        <f>Levy!G99</f>
        <v>6120899.8099999996</v>
      </c>
      <c r="F98" s="3">
        <f>Levy!H99</f>
        <v>5490968</v>
      </c>
      <c r="G98" s="3">
        <f>Levy!I99</f>
        <v>8710751.2899999991</v>
      </c>
      <c r="H98" s="217">
        <f>Levy!J99</f>
        <v>1546100.59</v>
      </c>
      <c r="I98" s="219">
        <v>0</v>
      </c>
      <c r="J98" s="219">
        <v>57100</v>
      </c>
      <c r="K98" s="219">
        <v>261135.21</v>
      </c>
      <c r="L98" s="219">
        <v>0</v>
      </c>
      <c r="M98" s="219">
        <v>0</v>
      </c>
      <c r="N98" s="19">
        <v>0</v>
      </c>
      <c r="O98" s="19">
        <v>0</v>
      </c>
      <c r="P98" s="220">
        <v>-6565.03</v>
      </c>
      <c r="Q98" s="220">
        <v>0</v>
      </c>
      <c r="R98" s="220">
        <v>-28682.45</v>
      </c>
      <c r="S98" s="220">
        <v>0</v>
      </c>
      <c r="T98" s="19">
        <v>0</v>
      </c>
      <c r="U98" s="19">
        <v>0</v>
      </c>
      <c r="V98" s="19">
        <v>0</v>
      </c>
      <c r="W98" s="19">
        <v>0</v>
      </c>
      <c r="X98" s="19">
        <v>0</v>
      </c>
      <c r="Y98" s="217">
        <v>3560480.14</v>
      </c>
      <c r="Z98" s="3">
        <f t="shared" si="7"/>
        <v>282987.72999999992</v>
      </c>
      <c r="AA98" s="3">
        <f t="shared" si="8"/>
        <v>20039631.370000001</v>
      </c>
      <c r="AB98" s="3">
        <f t="shared" si="10"/>
        <v>1546100.59</v>
      </c>
      <c r="AC98" s="3">
        <f>ROUND(MAX(0,(D98-V98)*'Shift 14'!$B$2),2)</f>
        <v>0</v>
      </c>
      <c r="AD98" s="3">
        <f t="shared" si="9"/>
        <v>3560480.14</v>
      </c>
      <c r="AE98" s="3">
        <f t="shared" si="11"/>
        <v>0</v>
      </c>
      <c r="AF98" s="214">
        <v>284</v>
      </c>
      <c r="AG98" s="214">
        <v>1</v>
      </c>
      <c r="AH98" s="3">
        <v>0</v>
      </c>
      <c r="AI98" s="3">
        <v>0</v>
      </c>
      <c r="AJ98" s="3">
        <v>474296.81</v>
      </c>
      <c r="AK98" s="3">
        <v>57100</v>
      </c>
      <c r="AL98" s="3">
        <v>261135.21</v>
      </c>
      <c r="AM98" s="3">
        <v>0</v>
      </c>
      <c r="AN98" s="3">
        <v>0</v>
      </c>
      <c r="AO98" s="3">
        <v>0</v>
      </c>
      <c r="AP98" s="3">
        <v>0</v>
      </c>
      <c r="AQ98" s="3">
        <v>-6565.03</v>
      </c>
      <c r="AR98" s="3">
        <v>0</v>
      </c>
      <c r="AS98" s="3">
        <v>-28682.45</v>
      </c>
      <c r="AT98" s="3">
        <v>0</v>
      </c>
      <c r="AU98" s="3">
        <f t="shared" si="12"/>
        <v>0</v>
      </c>
      <c r="AV98" s="17">
        <v>284</v>
      </c>
      <c r="AW98" s="17">
        <v>284</v>
      </c>
      <c r="AX98" s="17">
        <v>1</v>
      </c>
      <c r="AY98" s="3" t="s">
        <v>96</v>
      </c>
      <c r="AZ98" s="3">
        <v>0</v>
      </c>
      <c r="BA98" s="19">
        <v>3560480.14</v>
      </c>
    </row>
    <row r="99" spans="1:53" x14ac:dyDescent="0.2">
      <c r="A99" s="17">
        <v>286</v>
      </c>
      <c r="B99" s="17">
        <v>1</v>
      </c>
      <c r="C99" s="3" t="s">
        <v>97</v>
      </c>
      <c r="D99" s="3">
        <f>Levy!F100</f>
        <v>0</v>
      </c>
      <c r="E99" s="3">
        <f>Levy!G100</f>
        <v>1047980.11</v>
      </c>
      <c r="F99" s="3">
        <f>Levy!H100</f>
        <v>0</v>
      </c>
      <c r="G99" s="3">
        <f>Levy!I100</f>
        <v>989699.72</v>
      </c>
      <c r="H99" s="217">
        <f>Levy!J100</f>
        <v>147637.64000000001</v>
      </c>
      <c r="I99" s="219">
        <v>0</v>
      </c>
      <c r="J99" s="219">
        <v>60365.3</v>
      </c>
      <c r="K99" s="219">
        <v>24246.720000000001</v>
      </c>
      <c r="L99" s="219">
        <v>0</v>
      </c>
      <c r="M99" s="219">
        <v>0</v>
      </c>
      <c r="N99" s="19">
        <v>0</v>
      </c>
      <c r="O99" s="19">
        <v>0</v>
      </c>
      <c r="P99" s="219">
        <v>69833.66</v>
      </c>
      <c r="Q99" s="219">
        <v>0</v>
      </c>
      <c r="R99" s="219">
        <v>-19025.89</v>
      </c>
      <c r="S99" s="219">
        <v>0</v>
      </c>
      <c r="T99" s="19">
        <v>0</v>
      </c>
      <c r="U99" s="19">
        <v>0</v>
      </c>
      <c r="V99" s="19">
        <v>0</v>
      </c>
      <c r="W99" s="19">
        <v>0</v>
      </c>
      <c r="X99" s="19">
        <v>53469.46</v>
      </c>
      <c r="Y99" s="217">
        <v>324009.17</v>
      </c>
      <c r="Z99" s="3">
        <f t="shared" si="7"/>
        <v>135419.78999999998</v>
      </c>
      <c r="AA99" s="3">
        <f t="shared" si="8"/>
        <v>1848790.58</v>
      </c>
      <c r="AB99" s="3">
        <f t="shared" si="10"/>
        <v>147637.64000000001</v>
      </c>
      <c r="AC99" s="3">
        <f>ROUND(MAX(0,(D99-V99)*'Shift 14'!$B$2),2)</f>
        <v>0</v>
      </c>
      <c r="AD99" s="3">
        <f t="shared" si="9"/>
        <v>324009.17</v>
      </c>
      <c r="AE99" s="3">
        <f t="shared" si="11"/>
        <v>0</v>
      </c>
      <c r="AF99" s="214">
        <v>286</v>
      </c>
      <c r="AG99" s="214">
        <v>1</v>
      </c>
      <c r="AH99" s="3">
        <v>0</v>
      </c>
      <c r="AI99" s="3">
        <v>0</v>
      </c>
      <c r="AJ99" s="3">
        <v>192219.35</v>
      </c>
      <c r="AK99" s="3">
        <v>60365.3</v>
      </c>
      <c r="AL99" s="3">
        <v>24246.720000000001</v>
      </c>
      <c r="AM99" s="3">
        <v>0</v>
      </c>
      <c r="AN99" s="3">
        <v>0</v>
      </c>
      <c r="AO99" s="3">
        <v>0</v>
      </c>
      <c r="AP99" s="3">
        <v>-5226.8900000000003</v>
      </c>
      <c r="AQ99" s="3">
        <v>69833.66</v>
      </c>
      <c r="AR99" s="3">
        <v>0</v>
      </c>
      <c r="AS99" s="3">
        <v>-19025.89</v>
      </c>
      <c r="AT99" s="3">
        <v>0</v>
      </c>
      <c r="AU99" s="3">
        <f t="shared" si="12"/>
        <v>0</v>
      </c>
      <c r="AV99" s="17">
        <v>286</v>
      </c>
      <c r="AW99" s="17">
        <v>286</v>
      </c>
      <c r="AX99" s="17">
        <v>1</v>
      </c>
      <c r="AY99" s="3" t="s">
        <v>97</v>
      </c>
      <c r="AZ99" s="3">
        <v>53469.46</v>
      </c>
      <c r="BA99" s="19">
        <v>324009.17</v>
      </c>
    </row>
    <row r="100" spans="1:53" x14ac:dyDescent="0.2">
      <c r="A100" s="17">
        <v>294</v>
      </c>
      <c r="B100" s="17">
        <v>1</v>
      </c>
      <c r="C100" s="3" t="s">
        <v>98</v>
      </c>
      <c r="D100" s="3">
        <f>Levy!F101</f>
        <v>70343</v>
      </c>
      <c r="E100" s="3">
        <f>Levy!G101</f>
        <v>718158</v>
      </c>
      <c r="F100" s="3">
        <f>Levy!H101</f>
        <v>0</v>
      </c>
      <c r="G100" s="3">
        <f>Levy!I101</f>
        <v>109613</v>
      </c>
      <c r="H100" s="217">
        <f>Levy!J101</f>
        <v>34559</v>
      </c>
      <c r="I100" s="219">
        <v>0</v>
      </c>
      <c r="J100" s="219">
        <v>0</v>
      </c>
      <c r="K100" s="219">
        <v>1828.81</v>
      </c>
      <c r="L100" s="219">
        <v>0</v>
      </c>
      <c r="M100" s="219">
        <v>0</v>
      </c>
      <c r="N100" s="19">
        <v>0</v>
      </c>
      <c r="O100" s="19">
        <v>0</v>
      </c>
      <c r="P100" s="219">
        <v>0</v>
      </c>
      <c r="Q100" s="219">
        <v>0</v>
      </c>
      <c r="R100" s="219">
        <v>10000</v>
      </c>
      <c r="S100" s="219">
        <v>0</v>
      </c>
      <c r="T100" s="19">
        <v>0</v>
      </c>
      <c r="U100" s="19">
        <v>0</v>
      </c>
      <c r="V100" s="19">
        <v>0</v>
      </c>
      <c r="W100" s="19">
        <v>0</v>
      </c>
      <c r="X100" s="19">
        <v>0</v>
      </c>
      <c r="Y100" s="217">
        <v>100737.93</v>
      </c>
      <c r="Z100" s="3">
        <f t="shared" si="7"/>
        <v>11828.81</v>
      </c>
      <c r="AA100" s="3">
        <f t="shared" si="8"/>
        <v>815942.19</v>
      </c>
      <c r="AB100" s="3">
        <f t="shared" si="10"/>
        <v>34559</v>
      </c>
      <c r="AC100" s="3">
        <f>ROUND(MAX(0,(D100-V100)*'Shift 14'!$B$2),2)</f>
        <v>0</v>
      </c>
      <c r="AD100" s="3">
        <f t="shared" si="9"/>
        <v>100737.93</v>
      </c>
      <c r="AE100" s="3">
        <f t="shared" si="11"/>
        <v>0</v>
      </c>
      <c r="AF100" s="214">
        <v>294</v>
      </c>
      <c r="AG100" s="214">
        <v>1</v>
      </c>
      <c r="AH100" s="3">
        <v>0</v>
      </c>
      <c r="AI100" s="3">
        <v>0</v>
      </c>
      <c r="AJ100" s="3">
        <v>0</v>
      </c>
      <c r="AK100" s="3">
        <v>0</v>
      </c>
      <c r="AL100" s="3">
        <v>1828.81</v>
      </c>
      <c r="AM100" s="3">
        <v>0</v>
      </c>
      <c r="AN100" s="3">
        <v>0</v>
      </c>
      <c r="AO100" s="3">
        <v>0</v>
      </c>
      <c r="AP100" s="3">
        <v>0</v>
      </c>
      <c r="AQ100" s="3">
        <v>0</v>
      </c>
      <c r="AR100" s="3">
        <v>0</v>
      </c>
      <c r="AS100" s="3">
        <v>10000</v>
      </c>
      <c r="AT100" s="3">
        <v>0</v>
      </c>
      <c r="AU100" s="3">
        <f t="shared" si="12"/>
        <v>0</v>
      </c>
      <c r="AV100" s="17">
        <v>294</v>
      </c>
      <c r="AW100" s="17">
        <v>294</v>
      </c>
      <c r="AX100" s="17">
        <v>1</v>
      </c>
      <c r="AY100" s="3" t="s">
        <v>98</v>
      </c>
      <c r="AZ100" s="3">
        <v>0</v>
      </c>
      <c r="BA100" s="19">
        <v>100737.93</v>
      </c>
    </row>
    <row r="101" spans="1:53" x14ac:dyDescent="0.2">
      <c r="A101" s="17">
        <v>297</v>
      </c>
      <c r="B101" s="17">
        <v>1</v>
      </c>
      <c r="C101" s="3" t="s">
        <v>99</v>
      </c>
      <c r="D101" s="3">
        <f>Levy!F102</f>
        <v>383978</v>
      </c>
      <c r="E101" s="3">
        <f>Levy!G102</f>
        <v>17019</v>
      </c>
      <c r="F101" s="3">
        <f>Levy!H102</f>
        <v>0</v>
      </c>
      <c r="G101" s="3">
        <f>Levy!I102</f>
        <v>124585</v>
      </c>
      <c r="H101" s="217">
        <f>Levy!J102</f>
        <v>25569</v>
      </c>
      <c r="I101" s="219">
        <v>0</v>
      </c>
      <c r="J101" s="219">
        <v>0</v>
      </c>
      <c r="K101" s="219">
        <v>8751.5499999999993</v>
      </c>
      <c r="L101" s="219">
        <v>0</v>
      </c>
      <c r="M101" s="219">
        <v>0</v>
      </c>
      <c r="N101" s="19">
        <v>0</v>
      </c>
      <c r="O101" s="19">
        <v>0</v>
      </c>
      <c r="P101" s="219">
        <v>2454.31</v>
      </c>
      <c r="Q101" s="219">
        <v>0</v>
      </c>
      <c r="R101" s="219">
        <v>-1665.08</v>
      </c>
      <c r="S101" s="219">
        <v>0</v>
      </c>
      <c r="T101" s="19">
        <v>0</v>
      </c>
      <c r="U101" s="19">
        <v>0</v>
      </c>
      <c r="V101" s="19">
        <v>0</v>
      </c>
      <c r="W101" s="19">
        <v>0</v>
      </c>
      <c r="X101" s="19">
        <v>2325.33</v>
      </c>
      <c r="Y101" s="217">
        <v>58342.8</v>
      </c>
      <c r="Z101" s="3">
        <f t="shared" si="7"/>
        <v>9540.7799999999988</v>
      </c>
      <c r="AA101" s="3">
        <f t="shared" si="8"/>
        <v>129737.89</v>
      </c>
      <c r="AB101" s="3">
        <f t="shared" si="10"/>
        <v>25569</v>
      </c>
      <c r="AC101" s="3">
        <f>ROUND(MAX(0,(D101-V101)*'Shift 14'!$B$2),2)</f>
        <v>0</v>
      </c>
      <c r="AD101" s="3">
        <f t="shared" si="9"/>
        <v>58342.8</v>
      </c>
      <c r="AE101" s="3">
        <f t="shared" si="11"/>
        <v>0</v>
      </c>
      <c r="AF101" s="214">
        <v>297</v>
      </c>
      <c r="AG101" s="214">
        <v>1</v>
      </c>
      <c r="AH101" s="3">
        <v>0</v>
      </c>
      <c r="AI101" s="3">
        <v>0</v>
      </c>
      <c r="AJ101" s="3">
        <v>0</v>
      </c>
      <c r="AK101" s="3">
        <v>0</v>
      </c>
      <c r="AL101" s="3">
        <v>8751.5499999999993</v>
      </c>
      <c r="AM101" s="3">
        <v>0</v>
      </c>
      <c r="AN101" s="3">
        <v>0</v>
      </c>
      <c r="AO101" s="3">
        <v>0</v>
      </c>
      <c r="AP101" s="3">
        <v>0</v>
      </c>
      <c r="AQ101" s="3">
        <v>2454.31</v>
      </c>
      <c r="AR101" s="3">
        <v>0</v>
      </c>
      <c r="AS101" s="3">
        <v>-1665.08</v>
      </c>
      <c r="AT101" s="3">
        <v>0</v>
      </c>
      <c r="AU101" s="3">
        <f t="shared" si="12"/>
        <v>0</v>
      </c>
      <c r="AV101" s="17">
        <v>297</v>
      </c>
      <c r="AW101" s="17">
        <v>297</v>
      </c>
      <c r="AX101" s="17">
        <v>1</v>
      </c>
      <c r="AY101" s="3" t="s">
        <v>99</v>
      </c>
      <c r="AZ101" s="3">
        <v>2325.33</v>
      </c>
      <c r="BA101" s="19">
        <v>58342.8</v>
      </c>
    </row>
    <row r="102" spans="1:53" x14ac:dyDescent="0.2">
      <c r="A102" s="17">
        <v>299</v>
      </c>
      <c r="B102" s="17">
        <v>1</v>
      </c>
      <c r="C102" s="3" t="s">
        <v>100</v>
      </c>
      <c r="D102" s="3">
        <f>Levy!F103</f>
        <v>407602</v>
      </c>
      <c r="E102" s="3">
        <f>Levy!G103</f>
        <v>71865</v>
      </c>
      <c r="F102" s="3">
        <f>Levy!H103</f>
        <v>0</v>
      </c>
      <c r="G102" s="3">
        <f>Levy!I103</f>
        <v>366922</v>
      </c>
      <c r="H102" s="217">
        <f>Levy!J103</f>
        <v>74860</v>
      </c>
      <c r="I102" s="219">
        <v>0</v>
      </c>
      <c r="J102" s="219">
        <v>20000</v>
      </c>
      <c r="K102" s="219">
        <v>28217.67</v>
      </c>
      <c r="L102" s="219">
        <v>0</v>
      </c>
      <c r="M102" s="219">
        <v>0</v>
      </c>
      <c r="N102" s="19">
        <v>0</v>
      </c>
      <c r="O102" s="19">
        <v>0</v>
      </c>
      <c r="P102" s="219">
        <v>2098.2199999999998</v>
      </c>
      <c r="Q102" s="219">
        <v>0</v>
      </c>
      <c r="R102" s="219">
        <v>-3865</v>
      </c>
      <c r="S102" s="219">
        <v>0</v>
      </c>
      <c r="T102" s="19">
        <v>0</v>
      </c>
      <c r="U102" s="19">
        <v>0</v>
      </c>
      <c r="V102" s="19">
        <v>0</v>
      </c>
      <c r="W102" s="19">
        <v>0</v>
      </c>
      <c r="X102" s="19">
        <v>392.08</v>
      </c>
      <c r="Y102" s="217">
        <v>48805.67</v>
      </c>
      <c r="Z102" s="3">
        <f t="shared" si="7"/>
        <v>46450.89</v>
      </c>
      <c r="AA102" s="3">
        <f t="shared" si="8"/>
        <v>391944.03</v>
      </c>
      <c r="AB102" s="3">
        <f t="shared" si="10"/>
        <v>74860</v>
      </c>
      <c r="AC102" s="3">
        <f>ROUND(MAX(0,(D102-V102)*'Shift 14'!$B$2),2)</f>
        <v>0</v>
      </c>
      <c r="AD102" s="3">
        <f t="shared" si="9"/>
        <v>48805.67</v>
      </c>
      <c r="AE102" s="3">
        <f t="shared" si="11"/>
        <v>0</v>
      </c>
      <c r="AF102" s="214">
        <v>299</v>
      </c>
      <c r="AG102" s="214">
        <v>1</v>
      </c>
      <c r="AH102" s="3">
        <v>0</v>
      </c>
      <c r="AI102" s="3">
        <v>0</v>
      </c>
      <c r="AJ102" s="3">
        <v>0</v>
      </c>
      <c r="AK102" s="3">
        <v>20000</v>
      </c>
      <c r="AL102" s="3">
        <v>28217.67</v>
      </c>
      <c r="AM102" s="3">
        <v>0</v>
      </c>
      <c r="AN102" s="3">
        <v>0</v>
      </c>
      <c r="AO102" s="3">
        <v>0</v>
      </c>
      <c r="AP102" s="3">
        <v>0</v>
      </c>
      <c r="AQ102" s="3">
        <v>2098.2199999999998</v>
      </c>
      <c r="AR102" s="3">
        <v>0</v>
      </c>
      <c r="AS102" s="3">
        <v>-3865</v>
      </c>
      <c r="AT102" s="3">
        <v>0</v>
      </c>
      <c r="AU102" s="3">
        <f t="shared" si="12"/>
        <v>0</v>
      </c>
      <c r="AV102" s="17">
        <v>299</v>
      </c>
      <c r="AW102" s="17">
        <v>299</v>
      </c>
      <c r="AX102" s="17">
        <v>1</v>
      </c>
      <c r="AY102" s="3" t="s">
        <v>100</v>
      </c>
      <c r="AZ102" s="3">
        <v>392.08</v>
      </c>
      <c r="BA102" s="19">
        <v>48805.67</v>
      </c>
    </row>
    <row r="103" spans="1:53" x14ac:dyDescent="0.2">
      <c r="A103" s="17">
        <v>300</v>
      </c>
      <c r="B103" s="17">
        <v>1</v>
      </c>
      <c r="C103" s="3" t="s">
        <v>101</v>
      </c>
      <c r="D103" s="3">
        <f>Levy!F104</f>
        <v>621359</v>
      </c>
      <c r="E103" s="3">
        <f>Levy!G104</f>
        <v>150764</v>
      </c>
      <c r="F103" s="3">
        <f>Levy!H104</f>
        <v>0</v>
      </c>
      <c r="G103" s="3">
        <f>Levy!I104</f>
        <v>429629</v>
      </c>
      <c r="H103" s="217">
        <f>Levy!J104</f>
        <v>149738</v>
      </c>
      <c r="I103" s="219">
        <v>0</v>
      </c>
      <c r="J103" s="219">
        <v>0</v>
      </c>
      <c r="K103" s="219">
        <v>13481.45</v>
      </c>
      <c r="L103" s="219">
        <v>0</v>
      </c>
      <c r="M103" s="219">
        <v>0</v>
      </c>
      <c r="N103" s="19">
        <v>0</v>
      </c>
      <c r="O103" s="19">
        <v>0</v>
      </c>
      <c r="P103" s="219">
        <v>-143.80000000000001</v>
      </c>
      <c r="Q103" s="219">
        <v>0</v>
      </c>
      <c r="R103" s="219">
        <v>-5876.85</v>
      </c>
      <c r="S103" s="219">
        <v>0</v>
      </c>
      <c r="T103" s="19">
        <v>0</v>
      </c>
      <c r="U103" s="19">
        <v>0</v>
      </c>
      <c r="V103" s="19">
        <v>0</v>
      </c>
      <c r="W103" s="19">
        <v>0</v>
      </c>
      <c r="X103" s="19">
        <v>0</v>
      </c>
      <c r="Y103" s="217">
        <v>46368.28</v>
      </c>
      <c r="Z103" s="3">
        <f t="shared" si="7"/>
        <v>7460.8000000000011</v>
      </c>
      <c r="AA103" s="3">
        <f t="shared" si="8"/>
        <v>572932.19999999995</v>
      </c>
      <c r="AB103" s="3">
        <f t="shared" si="10"/>
        <v>149738</v>
      </c>
      <c r="AC103" s="3">
        <f>ROUND(MAX(0,(D103-V103)*'Shift 14'!$B$2),2)</f>
        <v>0</v>
      </c>
      <c r="AD103" s="3">
        <f t="shared" si="9"/>
        <v>46368.28</v>
      </c>
      <c r="AE103" s="3">
        <f t="shared" si="11"/>
        <v>0</v>
      </c>
      <c r="AF103" s="214">
        <v>300</v>
      </c>
      <c r="AG103" s="214">
        <v>1</v>
      </c>
      <c r="AH103" s="3">
        <v>0</v>
      </c>
      <c r="AI103" s="3">
        <v>0</v>
      </c>
      <c r="AJ103" s="3">
        <v>0</v>
      </c>
      <c r="AK103" s="3">
        <v>0</v>
      </c>
      <c r="AL103" s="3">
        <v>13481.45</v>
      </c>
      <c r="AM103" s="3">
        <v>0</v>
      </c>
      <c r="AN103" s="3">
        <v>0</v>
      </c>
      <c r="AO103" s="3">
        <v>0</v>
      </c>
      <c r="AP103" s="3">
        <v>0</v>
      </c>
      <c r="AQ103" s="3">
        <v>-143.80000000000001</v>
      </c>
      <c r="AR103" s="3">
        <v>0</v>
      </c>
      <c r="AS103" s="3">
        <v>-5876.85</v>
      </c>
      <c r="AT103" s="3">
        <v>0</v>
      </c>
      <c r="AU103" s="3">
        <f t="shared" si="12"/>
        <v>0</v>
      </c>
      <c r="AV103" s="17">
        <v>300</v>
      </c>
      <c r="AW103" s="17">
        <v>300</v>
      </c>
      <c r="AX103" s="17">
        <v>1</v>
      </c>
      <c r="AY103" s="3" t="s">
        <v>101</v>
      </c>
      <c r="AZ103" s="3">
        <v>0</v>
      </c>
      <c r="BA103" s="19">
        <v>46368.28</v>
      </c>
    </row>
    <row r="104" spans="1:53" x14ac:dyDescent="0.2">
      <c r="A104" s="17">
        <v>306</v>
      </c>
      <c r="B104" s="17">
        <v>1</v>
      </c>
      <c r="C104" s="3" t="s">
        <v>102</v>
      </c>
      <c r="D104" s="3">
        <f>Levy!F105</f>
        <v>0</v>
      </c>
      <c r="E104" s="3">
        <f>Levy!G105</f>
        <v>102335</v>
      </c>
      <c r="F104" s="3">
        <f>Levy!H105</f>
        <v>0</v>
      </c>
      <c r="G104" s="3">
        <f>Levy!I105</f>
        <v>133775</v>
      </c>
      <c r="H104" s="217">
        <f>Levy!J105</f>
        <v>24653</v>
      </c>
      <c r="I104" s="219">
        <v>0</v>
      </c>
      <c r="J104" s="219">
        <v>2700</v>
      </c>
      <c r="K104" s="219">
        <v>5468.29</v>
      </c>
      <c r="L104" s="219">
        <v>0</v>
      </c>
      <c r="M104" s="219">
        <v>0</v>
      </c>
      <c r="N104" s="19">
        <v>0</v>
      </c>
      <c r="O104" s="19">
        <v>0</v>
      </c>
      <c r="P104" s="219">
        <v>-6211.32</v>
      </c>
      <c r="Q104" s="219">
        <v>0</v>
      </c>
      <c r="R104" s="219">
        <v>-1665.08</v>
      </c>
      <c r="S104" s="219">
        <v>0</v>
      </c>
      <c r="T104" s="19">
        <v>0</v>
      </c>
      <c r="U104" s="19">
        <v>0</v>
      </c>
      <c r="V104" s="19">
        <v>0</v>
      </c>
      <c r="W104" s="19">
        <v>0</v>
      </c>
      <c r="X104" s="19">
        <v>566.32000000000005</v>
      </c>
      <c r="Y104" s="217">
        <v>19117.21</v>
      </c>
      <c r="Z104" s="3">
        <f t="shared" si="7"/>
        <v>291.89000000000033</v>
      </c>
      <c r="AA104" s="3">
        <f t="shared" si="8"/>
        <v>235251.79</v>
      </c>
      <c r="AB104" s="3">
        <f t="shared" si="10"/>
        <v>24653</v>
      </c>
      <c r="AC104" s="3">
        <f>ROUND(MAX(0,(D104-V104)*'Shift 14'!$B$2),2)</f>
        <v>0</v>
      </c>
      <c r="AD104" s="3">
        <f t="shared" si="9"/>
        <v>19117.21</v>
      </c>
      <c r="AE104" s="3">
        <f t="shared" si="11"/>
        <v>0</v>
      </c>
      <c r="AF104" s="214">
        <v>306</v>
      </c>
      <c r="AG104" s="214">
        <v>1</v>
      </c>
      <c r="AH104" s="3">
        <v>0</v>
      </c>
      <c r="AI104" s="3">
        <v>0</v>
      </c>
      <c r="AJ104" s="3">
        <v>0</v>
      </c>
      <c r="AK104" s="3">
        <v>2700</v>
      </c>
      <c r="AL104" s="3">
        <v>5468.29</v>
      </c>
      <c r="AM104" s="3">
        <v>0</v>
      </c>
      <c r="AN104" s="3">
        <v>0</v>
      </c>
      <c r="AO104" s="3">
        <v>0</v>
      </c>
      <c r="AP104" s="3">
        <v>0</v>
      </c>
      <c r="AQ104" s="3">
        <v>-6211.32</v>
      </c>
      <c r="AR104" s="3">
        <v>0</v>
      </c>
      <c r="AS104" s="3">
        <v>-1665.08</v>
      </c>
      <c r="AT104" s="3">
        <v>0</v>
      </c>
      <c r="AU104" s="3">
        <f t="shared" si="12"/>
        <v>0</v>
      </c>
      <c r="AV104" s="17">
        <v>306</v>
      </c>
      <c r="AW104" s="17">
        <v>306</v>
      </c>
      <c r="AX104" s="17">
        <v>1</v>
      </c>
      <c r="AY104" s="3" t="s">
        <v>102</v>
      </c>
      <c r="AZ104" s="3">
        <v>566.32000000000005</v>
      </c>
      <c r="BA104" s="19">
        <v>19117.21</v>
      </c>
    </row>
    <row r="105" spans="1:53" x14ac:dyDescent="0.2">
      <c r="A105" s="17">
        <v>308</v>
      </c>
      <c r="B105" s="17">
        <v>1</v>
      </c>
      <c r="C105" s="3" t="s">
        <v>103</v>
      </c>
      <c r="D105" s="3">
        <f>Levy!F106</f>
        <v>81027</v>
      </c>
      <c r="E105" s="3">
        <f>Levy!G106</f>
        <v>110538</v>
      </c>
      <c r="F105" s="3">
        <f>Levy!H106</f>
        <v>0</v>
      </c>
      <c r="G105" s="3">
        <f>Levy!I106</f>
        <v>292299</v>
      </c>
      <c r="H105" s="217">
        <f>Levy!J106</f>
        <v>35323</v>
      </c>
      <c r="I105" s="219">
        <v>0</v>
      </c>
      <c r="J105" s="219">
        <v>0</v>
      </c>
      <c r="K105" s="219">
        <v>23392.63</v>
      </c>
      <c r="L105" s="219">
        <v>0</v>
      </c>
      <c r="M105" s="219">
        <v>0</v>
      </c>
      <c r="N105" s="19">
        <v>0</v>
      </c>
      <c r="O105" s="19">
        <v>0</v>
      </c>
      <c r="P105" s="219">
        <v>-4853.8100000000004</v>
      </c>
      <c r="Q105" s="219">
        <v>0</v>
      </c>
      <c r="R105" s="219">
        <v>-2905.03</v>
      </c>
      <c r="S105" s="219">
        <v>0</v>
      </c>
      <c r="T105" s="19">
        <v>0</v>
      </c>
      <c r="U105" s="19">
        <v>0</v>
      </c>
      <c r="V105" s="19">
        <v>0</v>
      </c>
      <c r="W105" s="19">
        <v>0</v>
      </c>
      <c r="X105" s="19">
        <v>6860.73</v>
      </c>
      <c r="Y105" s="217">
        <v>39387.699999999997</v>
      </c>
      <c r="Z105" s="3">
        <f t="shared" si="7"/>
        <v>15633.789999999999</v>
      </c>
      <c r="AA105" s="3">
        <f t="shared" si="8"/>
        <v>380342.48</v>
      </c>
      <c r="AB105" s="3">
        <f t="shared" si="10"/>
        <v>35323</v>
      </c>
      <c r="AC105" s="3">
        <f>ROUND(MAX(0,(D105-V105)*'Shift 14'!$B$2),2)</f>
        <v>0</v>
      </c>
      <c r="AD105" s="3">
        <f t="shared" si="9"/>
        <v>39387.699999999997</v>
      </c>
      <c r="AE105" s="3">
        <f t="shared" si="11"/>
        <v>0</v>
      </c>
      <c r="AF105" s="214">
        <v>308</v>
      </c>
      <c r="AG105" s="214">
        <v>1</v>
      </c>
      <c r="AH105" s="3">
        <v>0</v>
      </c>
      <c r="AI105" s="3">
        <v>0</v>
      </c>
      <c r="AJ105" s="3">
        <v>0</v>
      </c>
      <c r="AK105" s="3">
        <v>0</v>
      </c>
      <c r="AL105" s="3">
        <v>23392.63</v>
      </c>
      <c r="AM105" s="3">
        <v>0</v>
      </c>
      <c r="AN105" s="3">
        <v>0</v>
      </c>
      <c r="AO105" s="3">
        <v>0</v>
      </c>
      <c r="AP105" s="3">
        <v>0</v>
      </c>
      <c r="AQ105" s="3">
        <v>-4853.8100000000004</v>
      </c>
      <c r="AR105" s="3">
        <v>0</v>
      </c>
      <c r="AS105" s="3">
        <v>-2905.03</v>
      </c>
      <c r="AT105" s="3">
        <v>0</v>
      </c>
      <c r="AU105" s="3">
        <f t="shared" si="12"/>
        <v>0</v>
      </c>
      <c r="AV105" s="17">
        <v>308</v>
      </c>
      <c r="AW105" s="17">
        <v>308</v>
      </c>
      <c r="AX105" s="17">
        <v>1</v>
      </c>
      <c r="AY105" s="3" t="s">
        <v>103</v>
      </c>
      <c r="AZ105" s="3">
        <v>6860.73</v>
      </c>
      <c r="BA105" s="19">
        <v>39387.699999999997</v>
      </c>
    </row>
    <row r="106" spans="1:53" x14ac:dyDescent="0.2">
      <c r="A106" s="17">
        <v>309</v>
      </c>
      <c r="B106" s="17">
        <v>1</v>
      </c>
      <c r="C106" s="3" t="s">
        <v>104</v>
      </c>
      <c r="D106" s="3">
        <f>Levy!F107</f>
        <v>841289</v>
      </c>
      <c r="E106" s="3">
        <f>Levy!G107</f>
        <v>485766</v>
      </c>
      <c r="F106" s="3">
        <f>Levy!H107</f>
        <v>0</v>
      </c>
      <c r="G106" s="3">
        <f>Levy!I107</f>
        <v>500212</v>
      </c>
      <c r="H106" s="217">
        <f>Levy!J107</f>
        <v>192801</v>
      </c>
      <c r="I106" s="219">
        <v>0</v>
      </c>
      <c r="J106" s="219">
        <v>5436.95</v>
      </c>
      <c r="K106" s="219">
        <v>52717.52</v>
      </c>
      <c r="L106" s="219">
        <v>0</v>
      </c>
      <c r="M106" s="219">
        <v>0</v>
      </c>
      <c r="N106" s="19">
        <v>0</v>
      </c>
      <c r="O106" s="19">
        <v>0</v>
      </c>
      <c r="P106" s="219">
        <v>-18457.68</v>
      </c>
      <c r="Q106" s="219">
        <v>0</v>
      </c>
      <c r="R106" s="219">
        <v>-6546.77</v>
      </c>
      <c r="S106" s="219">
        <v>0</v>
      </c>
      <c r="T106" s="19">
        <v>0</v>
      </c>
      <c r="U106" s="19">
        <v>0</v>
      </c>
      <c r="V106" s="19">
        <v>0</v>
      </c>
      <c r="W106" s="19">
        <v>0</v>
      </c>
      <c r="X106" s="19">
        <v>0</v>
      </c>
      <c r="Y106" s="217">
        <v>90003.03</v>
      </c>
      <c r="Z106" s="3">
        <f t="shared" si="7"/>
        <v>33150.01999999999</v>
      </c>
      <c r="AA106" s="3">
        <f t="shared" si="8"/>
        <v>952827.98</v>
      </c>
      <c r="AB106" s="3">
        <f t="shared" si="10"/>
        <v>192801</v>
      </c>
      <c r="AC106" s="3">
        <f>ROUND(MAX(0,(D106-V106)*'Shift 14'!$B$2),2)</f>
        <v>0</v>
      </c>
      <c r="AD106" s="3">
        <f t="shared" si="9"/>
        <v>90003.03</v>
      </c>
      <c r="AE106" s="3">
        <f t="shared" si="11"/>
        <v>0</v>
      </c>
      <c r="AF106" s="214">
        <v>309</v>
      </c>
      <c r="AG106" s="214">
        <v>1</v>
      </c>
      <c r="AH106" s="3">
        <v>0</v>
      </c>
      <c r="AI106" s="3">
        <v>0</v>
      </c>
      <c r="AJ106" s="3">
        <v>0</v>
      </c>
      <c r="AK106" s="3">
        <v>5436.95</v>
      </c>
      <c r="AL106" s="3">
        <v>52717.52</v>
      </c>
      <c r="AM106" s="3">
        <v>0</v>
      </c>
      <c r="AN106" s="3">
        <v>0</v>
      </c>
      <c r="AO106" s="3">
        <v>0</v>
      </c>
      <c r="AP106" s="3">
        <v>0</v>
      </c>
      <c r="AQ106" s="3">
        <v>-18457.68</v>
      </c>
      <c r="AR106" s="3">
        <v>0</v>
      </c>
      <c r="AS106" s="3">
        <v>-6546.77</v>
      </c>
      <c r="AT106" s="3">
        <v>0</v>
      </c>
      <c r="AU106" s="3">
        <f t="shared" si="12"/>
        <v>0</v>
      </c>
      <c r="AV106" s="17">
        <v>309</v>
      </c>
      <c r="AW106" s="17">
        <v>309</v>
      </c>
      <c r="AX106" s="17">
        <v>1</v>
      </c>
      <c r="AY106" s="3" t="s">
        <v>104</v>
      </c>
      <c r="AZ106" s="3">
        <v>0</v>
      </c>
      <c r="BA106" s="19">
        <v>90003.03</v>
      </c>
    </row>
    <row r="107" spans="1:53" x14ac:dyDescent="0.2">
      <c r="A107" s="17">
        <v>314</v>
      </c>
      <c r="B107" s="17">
        <v>1</v>
      </c>
      <c r="C107" s="3" t="s">
        <v>105</v>
      </c>
      <c r="D107" s="3">
        <f>Levy!F108</f>
        <v>128751.42</v>
      </c>
      <c r="E107" s="3">
        <f>Levy!G108</f>
        <v>123459.73</v>
      </c>
      <c r="F107" s="3">
        <f>Levy!H108</f>
        <v>0</v>
      </c>
      <c r="G107" s="3">
        <f>Levy!I108</f>
        <v>224348.54</v>
      </c>
      <c r="H107" s="217">
        <f>Levy!J108</f>
        <v>41242.339999999997</v>
      </c>
      <c r="I107" s="219">
        <v>0</v>
      </c>
      <c r="J107" s="219">
        <v>12000</v>
      </c>
      <c r="K107" s="219">
        <v>10101.09</v>
      </c>
      <c r="L107" s="219">
        <v>0</v>
      </c>
      <c r="M107" s="219">
        <v>0</v>
      </c>
      <c r="N107" s="19">
        <v>0</v>
      </c>
      <c r="O107" s="19">
        <v>0</v>
      </c>
      <c r="P107" s="219">
        <v>8016.93</v>
      </c>
      <c r="Q107" s="219">
        <v>0</v>
      </c>
      <c r="R107" s="219">
        <v>-767.77</v>
      </c>
      <c r="S107" s="219">
        <v>0</v>
      </c>
      <c r="T107" s="19">
        <v>0</v>
      </c>
      <c r="U107" s="19">
        <v>0</v>
      </c>
      <c r="V107" s="19">
        <v>0</v>
      </c>
      <c r="W107" s="19">
        <v>0</v>
      </c>
      <c r="X107" s="19">
        <v>0</v>
      </c>
      <c r="Y107" s="217">
        <v>43340.39</v>
      </c>
      <c r="Z107" s="3">
        <f t="shared" si="7"/>
        <v>29350.25</v>
      </c>
      <c r="AA107" s="3">
        <f t="shared" si="8"/>
        <v>318458.02</v>
      </c>
      <c r="AB107" s="3">
        <f t="shared" si="10"/>
        <v>41242.339999999997</v>
      </c>
      <c r="AC107" s="3">
        <f>ROUND(MAX(0,(D107-V107)*'Shift 14'!$B$2),2)</f>
        <v>0</v>
      </c>
      <c r="AD107" s="3">
        <f t="shared" si="9"/>
        <v>43340.39</v>
      </c>
      <c r="AE107" s="3">
        <f t="shared" si="11"/>
        <v>0</v>
      </c>
      <c r="AF107" s="214">
        <v>314</v>
      </c>
      <c r="AG107" s="214">
        <v>1</v>
      </c>
      <c r="AH107" s="3">
        <v>0</v>
      </c>
      <c r="AI107" s="3">
        <v>0</v>
      </c>
      <c r="AJ107" s="3">
        <v>0</v>
      </c>
      <c r="AK107" s="3">
        <v>12000</v>
      </c>
      <c r="AL107" s="3">
        <v>10101.09</v>
      </c>
      <c r="AM107" s="3">
        <v>0</v>
      </c>
      <c r="AN107" s="3">
        <v>0</v>
      </c>
      <c r="AO107" s="3">
        <v>0</v>
      </c>
      <c r="AP107" s="3">
        <v>0</v>
      </c>
      <c r="AQ107" s="3">
        <v>8016.93</v>
      </c>
      <c r="AR107" s="3">
        <v>0</v>
      </c>
      <c r="AS107" s="3">
        <v>-767.77</v>
      </c>
      <c r="AT107" s="3">
        <v>0</v>
      </c>
      <c r="AU107" s="3">
        <f t="shared" si="12"/>
        <v>0</v>
      </c>
      <c r="AV107" s="17">
        <v>314</v>
      </c>
      <c r="AW107" s="17">
        <v>314</v>
      </c>
      <c r="AX107" s="17">
        <v>1</v>
      </c>
      <c r="AY107" s="3" t="s">
        <v>105</v>
      </c>
      <c r="AZ107" s="3">
        <v>0</v>
      </c>
      <c r="BA107" s="19">
        <v>43340.39</v>
      </c>
    </row>
    <row r="108" spans="1:53" x14ac:dyDescent="0.2">
      <c r="A108" s="17">
        <v>316</v>
      </c>
      <c r="B108" s="17">
        <v>1</v>
      </c>
      <c r="C108" s="3" t="s">
        <v>106</v>
      </c>
      <c r="D108" s="3">
        <f>Levy!F109</f>
        <v>0</v>
      </c>
      <c r="E108" s="3">
        <f>Levy!G109</f>
        <v>298549.15000000002</v>
      </c>
      <c r="F108" s="3">
        <f>Levy!H109</f>
        <v>0</v>
      </c>
      <c r="G108" s="3">
        <f>Levy!I109</f>
        <v>101353.21</v>
      </c>
      <c r="H108" s="217">
        <f>Levy!J109</f>
        <v>0</v>
      </c>
      <c r="I108" s="219">
        <v>0</v>
      </c>
      <c r="J108" s="219">
        <v>5000</v>
      </c>
      <c r="K108" s="219">
        <v>28006.21</v>
      </c>
      <c r="L108" s="219">
        <v>0</v>
      </c>
      <c r="M108" s="219">
        <v>0</v>
      </c>
      <c r="N108" s="19">
        <v>0</v>
      </c>
      <c r="O108" s="19">
        <v>0</v>
      </c>
      <c r="P108" s="219">
        <v>8743.0499999999993</v>
      </c>
      <c r="Q108" s="219">
        <v>0</v>
      </c>
      <c r="R108" s="219">
        <v>-4741.4399999999996</v>
      </c>
      <c r="S108" s="219">
        <v>0</v>
      </c>
      <c r="T108" s="19">
        <v>0</v>
      </c>
      <c r="U108" s="19">
        <v>0</v>
      </c>
      <c r="V108" s="19">
        <v>0</v>
      </c>
      <c r="W108" s="19">
        <v>0</v>
      </c>
      <c r="X108" s="19">
        <v>27341.23</v>
      </c>
      <c r="Y108" s="217">
        <v>367402.25</v>
      </c>
      <c r="Z108" s="3">
        <f t="shared" si="7"/>
        <v>37007.819999999992</v>
      </c>
      <c r="AA108" s="3">
        <f t="shared" si="8"/>
        <v>335553.31</v>
      </c>
      <c r="AB108" s="3">
        <f t="shared" si="10"/>
        <v>0</v>
      </c>
      <c r="AC108" s="3">
        <f>ROUND(MAX(0,(D108-V108)*'Shift 14'!$B$2),2)</f>
        <v>0</v>
      </c>
      <c r="AD108" s="3">
        <f t="shared" si="9"/>
        <v>367402.25</v>
      </c>
      <c r="AE108" s="3">
        <f t="shared" si="11"/>
        <v>0</v>
      </c>
      <c r="AF108" s="214">
        <v>316</v>
      </c>
      <c r="AG108" s="214">
        <v>1</v>
      </c>
      <c r="AH108" s="3">
        <v>0</v>
      </c>
      <c r="AI108" s="3">
        <v>0</v>
      </c>
      <c r="AJ108" s="3">
        <v>0</v>
      </c>
      <c r="AK108" s="3">
        <v>5000</v>
      </c>
      <c r="AL108" s="3">
        <v>28006.21</v>
      </c>
      <c r="AM108" s="3">
        <v>0</v>
      </c>
      <c r="AN108" s="3">
        <v>0</v>
      </c>
      <c r="AO108" s="3">
        <v>0</v>
      </c>
      <c r="AP108" s="3">
        <v>0</v>
      </c>
      <c r="AQ108" s="3">
        <v>8743.0499999999993</v>
      </c>
      <c r="AR108" s="3">
        <v>0</v>
      </c>
      <c r="AS108" s="3">
        <v>-4741.4399999999996</v>
      </c>
      <c r="AT108" s="3">
        <v>0</v>
      </c>
      <c r="AU108" s="3">
        <f t="shared" si="12"/>
        <v>0</v>
      </c>
      <c r="AV108" s="17">
        <v>316</v>
      </c>
      <c r="AW108" s="17">
        <v>316</v>
      </c>
      <c r="AX108" s="17">
        <v>1</v>
      </c>
      <c r="AY108" s="3" t="s">
        <v>106</v>
      </c>
      <c r="AZ108" s="3">
        <v>27341.23</v>
      </c>
      <c r="BA108" s="19">
        <v>367402.25</v>
      </c>
    </row>
    <row r="109" spans="1:53" x14ac:dyDescent="0.2">
      <c r="A109" s="17">
        <v>317</v>
      </c>
      <c r="B109" s="17">
        <v>1</v>
      </c>
      <c r="C109" s="3" t="s">
        <v>107</v>
      </c>
      <c r="D109" s="3">
        <f>Levy!F110</f>
        <v>0</v>
      </c>
      <c r="E109" s="3">
        <f>Levy!G110</f>
        <v>236956.59</v>
      </c>
      <c r="F109" s="3">
        <f>Levy!H110</f>
        <v>0</v>
      </c>
      <c r="G109" s="3">
        <f>Levy!I110</f>
        <v>0</v>
      </c>
      <c r="H109" s="217">
        <f>Levy!J110</f>
        <v>0</v>
      </c>
      <c r="I109" s="219">
        <v>0</v>
      </c>
      <c r="J109" s="219">
        <v>14000</v>
      </c>
      <c r="K109" s="219">
        <v>24860.47</v>
      </c>
      <c r="L109" s="219">
        <v>0</v>
      </c>
      <c r="M109" s="219">
        <v>0</v>
      </c>
      <c r="N109" s="19">
        <v>0</v>
      </c>
      <c r="O109" s="19">
        <v>0</v>
      </c>
      <c r="P109" s="219">
        <v>3206.51</v>
      </c>
      <c r="Q109" s="219">
        <v>0</v>
      </c>
      <c r="R109" s="219">
        <v>-3661.72</v>
      </c>
      <c r="S109" s="219">
        <v>0</v>
      </c>
      <c r="T109" s="19">
        <v>0</v>
      </c>
      <c r="U109" s="19">
        <v>0</v>
      </c>
      <c r="V109" s="19">
        <v>0</v>
      </c>
      <c r="W109" s="19">
        <v>0</v>
      </c>
      <c r="X109" s="19">
        <v>0</v>
      </c>
      <c r="Y109" s="217">
        <v>51234.74</v>
      </c>
      <c r="Z109" s="3">
        <f t="shared" si="7"/>
        <v>38405.26</v>
      </c>
      <c r="AA109" s="3">
        <f t="shared" si="8"/>
        <v>198551.33</v>
      </c>
      <c r="AB109" s="3">
        <f t="shared" si="10"/>
        <v>0</v>
      </c>
      <c r="AC109" s="3">
        <f>ROUND(MAX(0,(D109-V109)*'Shift 14'!$B$2),2)</f>
        <v>0</v>
      </c>
      <c r="AD109" s="3">
        <f t="shared" si="9"/>
        <v>51234.74</v>
      </c>
      <c r="AE109" s="3">
        <f t="shared" si="11"/>
        <v>0</v>
      </c>
      <c r="AF109" s="214">
        <v>317</v>
      </c>
      <c r="AG109" s="214">
        <v>1</v>
      </c>
      <c r="AH109" s="3">
        <v>0</v>
      </c>
      <c r="AI109" s="3">
        <v>0</v>
      </c>
      <c r="AJ109" s="3">
        <v>0</v>
      </c>
      <c r="AK109" s="3">
        <v>14000</v>
      </c>
      <c r="AL109" s="3">
        <v>24860.47</v>
      </c>
      <c r="AM109" s="3">
        <v>0</v>
      </c>
      <c r="AN109" s="3">
        <v>0</v>
      </c>
      <c r="AO109" s="3">
        <v>0</v>
      </c>
      <c r="AP109" s="3">
        <v>0</v>
      </c>
      <c r="AQ109" s="3">
        <v>3206.51</v>
      </c>
      <c r="AR109" s="3">
        <v>0</v>
      </c>
      <c r="AS109" s="3">
        <v>-3661.72</v>
      </c>
      <c r="AT109" s="3">
        <v>0</v>
      </c>
      <c r="AU109" s="3">
        <f t="shared" si="12"/>
        <v>0</v>
      </c>
      <c r="AV109" s="17">
        <v>317</v>
      </c>
      <c r="AW109" s="17">
        <v>317</v>
      </c>
      <c r="AX109" s="17">
        <v>1</v>
      </c>
      <c r="AY109" s="3" t="s">
        <v>107</v>
      </c>
      <c r="AZ109" s="3">
        <v>0</v>
      </c>
      <c r="BA109" s="19">
        <v>51234.74</v>
      </c>
    </row>
    <row r="110" spans="1:53" x14ac:dyDescent="0.2">
      <c r="A110" s="17">
        <v>318</v>
      </c>
      <c r="B110" s="17">
        <v>1</v>
      </c>
      <c r="C110" s="3" t="s">
        <v>108</v>
      </c>
      <c r="D110" s="3">
        <f>Levy!F111</f>
        <v>0</v>
      </c>
      <c r="E110" s="3">
        <f>Levy!G111</f>
        <v>2500894.46</v>
      </c>
      <c r="F110" s="3">
        <f>Levy!H111</f>
        <v>0</v>
      </c>
      <c r="G110" s="3">
        <f>Levy!I111</f>
        <v>2521956.02</v>
      </c>
      <c r="H110" s="217">
        <f>Levy!J111</f>
        <v>0</v>
      </c>
      <c r="I110" s="219">
        <v>0</v>
      </c>
      <c r="J110" s="219">
        <v>10000</v>
      </c>
      <c r="K110" s="219">
        <v>116839.2</v>
      </c>
      <c r="L110" s="219">
        <v>327168.8</v>
      </c>
      <c r="M110" s="219">
        <v>0</v>
      </c>
      <c r="N110" s="19">
        <v>0</v>
      </c>
      <c r="O110" s="19">
        <v>0</v>
      </c>
      <c r="P110" s="219">
        <v>19700.5</v>
      </c>
      <c r="Q110" s="219">
        <v>0</v>
      </c>
      <c r="R110" s="219">
        <v>-14509.77</v>
      </c>
      <c r="S110" s="219">
        <v>325000</v>
      </c>
      <c r="T110" s="19">
        <v>0</v>
      </c>
      <c r="U110" s="19">
        <v>0</v>
      </c>
      <c r="V110" s="19">
        <v>0</v>
      </c>
      <c r="W110" s="19">
        <v>0</v>
      </c>
      <c r="X110" s="19">
        <v>24400.32</v>
      </c>
      <c r="Y110" s="217">
        <v>181247.22</v>
      </c>
      <c r="Z110" s="3">
        <f t="shared" si="7"/>
        <v>784198.73</v>
      </c>
      <c r="AA110" s="3">
        <f t="shared" si="8"/>
        <v>4214251.43</v>
      </c>
      <c r="AB110" s="3">
        <f t="shared" si="10"/>
        <v>0</v>
      </c>
      <c r="AC110" s="3">
        <f>ROUND(MAX(0,(D110-V110)*'Shift 14'!$B$2),2)</f>
        <v>0</v>
      </c>
      <c r="AD110" s="3">
        <f t="shared" si="9"/>
        <v>181247.22</v>
      </c>
      <c r="AE110" s="3">
        <f t="shared" si="11"/>
        <v>0</v>
      </c>
      <c r="AF110" s="214">
        <v>318</v>
      </c>
      <c r="AG110" s="214">
        <v>1</v>
      </c>
      <c r="AH110" s="3">
        <v>0</v>
      </c>
      <c r="AI110" s="3">
        <v>0</v>
      </c>
      <c r="AJ110" s="3">
        <v>0</v>
      </c>
      <c r="AK110" s="3">
        <v>10000</v>
      </c>
      <c r="AL110" s="3">
        <v>116839.2</v>
      </c>
      <c r="AM110" s="3">
        <v>327168.8</v>
      </c>
      <c r="AN110" s="3">
        <v>0</v>
      </c>
      <c r="AO110" s="3">
        <v>0</v>
      </c>
      <c r="AP110" s="3">
        <v>0</v>
      </c>
      <c r="AQ110" s="3">
        <v>19700.5</v>
      </c>
      <c r="AR110" s="3">
        <v>0</v>
      </c>
      <c r="AS110" s="3">
        <v>-14509.77</v>
      </c>
      <c r="AT110" s="3">
        <v>325000</v>
      </c>
      <c r="AU110" s="3">
        <f t="shared" si="12"/>
        <v>0</v>
      </c>
      <c r="AV110" s="17">
        <v>318</v>
      </c>
      <c r="AW110" s="17">
        <v>318</v>
      </c>
      <c r="AX110" s="17">
        <v>1</v>
      </c>
      <c r="AY110" s="3" t="s">
        <v>108</v>
      </c>
      <c r="AZ110" s="3">
        <v>24400.32</v>
      </c>
      <c r="BA110" s="19">
        <v>181247.22</v>
      </c>
    </row>
    <row r="111" spans="1:53" x14ac:dyDescent="0.2">
      <c r="A111" s="17">
        <v>319</v>
      </c>
      <c r="B111" s="17">
        <v>1</v>
      </c>
      <c r="C111" s="3" t="s">
        <v>1177</v>
      </c>
      <c r="D111" s="3">
        <f>Levy!F112</f>
        <v>246808.52</v>
      </c>
      <c r="E111" s="3">
        <f>Levy!G112</f>
        <v>65552.92</v>
      </c>
      <c r="F111" s="3">
        <f>Levy!H112</f>
        <v>0</v>
      </c>
      <c r="G111" s="3">
        <f>Levy!I112</f>
        <v>101194.41</v>
      </c>
      <c r="H111" s="217">
        <f>Levy!J112</f>
        <v>0</v>
      </c>
      <c r="I111" s="219">
        <v>0</v>
      </c>
      <c r="J111" s="219">
        <v>0</v>
      </c>
      <c r="K111" s="219">
        <v>15296.52</v>
      </c>
      <c r="L111" s="219">
        <v>0</v>
      </c>
      <c r="M111" s="219">
        <v>0</v>
      </c>
      <c r="N111" s="19">
        <v>0</v>
      </c>
      <c r="O111" s="19">
        <v>0</v>
      </c>
      <c r="P111" s="219">
        <v>27919.25</v>
      </c>
      <c r="Q111" s="219">
        <v>0</v>
      </c>
      <c r="R111" s="219">
        <v>-2953.23</v>
      </c>
      <c r="S111" s="219">
        <v>0</v>
      </c>
      <c r="T111" s="19">
        <v>0</v>
      </c>
      <c r="U111" s="19">
        <v>0</v>
      </c>
      <c r="V111" s="19">
        <v>0</v>
      </c>
      <c r="W111" s="19">
        <v>0</v>
      </c>
      <c r="X111" s="19">
        <v>10096.66</v>
      </c>
      <c r="Y111" s="217">
        <v>26397.040000000001</v>
      </c>
      <c r="Z111" s="3">
        <f t="shared" si="7"/>
        <v>40262.54</v>
      </c>
      <c r="AA111" s="3">
        <f t="shared" si="8"/>
        <v>116388.13</v>
      </c>
      <c r="AB111" s="3">
        <f t="shared" si="10"/>
        <v>0</v>
      </c>
      <c r="AC111" s="3">
        <f>ROUND(MAX(0,(D111-V111)*'Shift 14'!$B$2),2)</f>
        <v>0</v>
      </c>
      <c r="AD111" s="3">
        <f t="shared" si="9"/>
        <v>26397.040000000001</v>
      </c>
      <c r="AE111" s="3">
        <f t="shared" si="11"/>
        <v>0</v>
      </c>
      <c r="AF111" s="214">
        <v>319</v>
      </c>
      <c r="AG111" s="214">
        <v>1</v>
      </c>
      <c r="AH111" s="3">
        <v>0</v>
      </c>
      <c r="AI111" s="3">
        <v>0</v>
      </c>
      <c r="AJ111" s="3">
        <v>0</v>
      </c>
      <c r="AK111" s="3">
        <v>0</v>
      </c>
      <c r="AL111" s="3">
        <v>15296.52</v>
      </c>
      <c r="AM111" s="3">
        <v>0</v>
      </c>
      <c r="AN111" s="3">
        <v>0</v>
      </c>
      <c r="AO111" s="3">
        <v>0</v>
      </c>
      <c r="AP111" s="3">
        <v>0</v>
      </c>
      <c r="AQ111" s="3">
        <v>27919.25</v>
      </c>
      <c r="AR111" s="3">
        <v>0</v>
      </c>
      <c r="AS111" s="3">
        <v>-2953.23</v>
      </c>
      <c r="AT111" s="3">
        <v>0</v>
      </c>
      <c r="AU111" s="3">
        <f t="shared" si="12"/>
        <v>0</v>
      </c>
      <c r="AV111" s="17">
        <v>319</v>
      </c>
      <c r="AW111" s="17">
        <v>319</v>
      </c>
      <c r="AX111" s="17">
        <v>1</v>
      </c>
      <c r="AY111" s="3" t="s">
        <v>109</v>
      </c>
      <c r="AZ111" s="3">
        <v>10096.66</v>
      </c>
      <c r="BA111" s="19">
        <v>26397.040000000001</v>
      </c>
    </row>
    <row r="112" spans="1:53" x14ac:dyDescent="0.2">
      <c r="A112" s="17">
        <v>323</v>
      </c>
      <c r="B112" s="17">
        <v>2</v>
      </c>
      <c r="C112" s="3" t="s">
        <v>110</v>
      </c>
      <c r="D112" s="3">
        <f>Levy!F113</f>
        <v>52318.71</v>
      </c>
      <c r="E112" s="3">
        <f>Levy!G113</f>
        <v>1017.49</v>
      </c>
      <c r="F112" s="3">
        <f>Levy!H113</f>
        <v>0</v>
      </c>
      <c r="G112" s="3">
        <f>Levy!I113</f>
        <v>4297.1099999999997</v>
      </c>
      <c r="H112" s="217">
        <f>Levy!J113</f>
        <v>0</v>
      </c>
      <c r="I112" s="219">
        <v>0</v>
      </c>
      <c r="J112" s="219">
        <v>0</v>
      </c>
      <c r="K112" s="219">
        <v>0</v>
      </c>
      <c r="L112" s="219">
        <v>0</v>
      </c>
      <c r="M112" s="219">
        <v>0</v>
      </c>
      <c r="N112" s="19">
        <v>0</v>
      </c>
      <c r="O112" s="19">
        <v>0</v>
      </c>
      <c r="P112" s="219">
        <v>0</v>
      </c>
      <c r="Q112" s="219">
        <v>0</v>
      </c>
      <c r="R112" s="219">
        <v>0</v>
      </c>
      <c r="S112" s="219">
        <v>0</v>
      </c>
      <c r="T112" s="19">
        <v>0</v>
      </c>
      <c r="U112" s="19">
        <v>0</v>
      </c>
      <c r="V112" s="19">
        <v>0</v>
      </c>
      <c r="W112" s="19">
        <v>0</v>
      </c>
      <c r="X112" s="19">
        <v>0</v>
      </c>
      <c r="Y112" s="217">
        <v>7317.68</v>
      </c>
      <c r="Z112" s="3">
        <f t="shared" si="7"/>
        <v>0</v>
      </c>
      <c r="AA112" s="3">
        <f t="shared" si="8"/>
        <v>5314.6</v>
      </c>
      <c r="AB112" s="3">
        <f t="shared" si="10"/>
        <v>0</v>
      </c>
      <c r="AC112" s="3">
        <f>ROUND(MAX(0,(D112-V112)*'Shift 14'!$B$2),2)</f>
        <v>0</v>
      </c>
      <c r="AD112" s="3">
        <f t="shared" si="9"/>
        <v>7317.68</v>
      </c>
      <c r="AE112" s="3">
        <f t="shared" si="11"/>
        <v>0</v>
      </c>
      <c r="AF112" s="214">
        <v>323</v>
      </c>
      <c r="AG112" s="214">
        <v>2</v>
      </c>
      <c r="AH112" s="3">
        <v>0</v>
      </c>
      <c r="AI112" s="3">
        <v>0</v>
      </c>
      <c r="AJ112" s="3">
        <v>0</v>
      </c>
      <c r="AK112" s="3">
        <v>0</v>
      </c>
      <c r="AL112" s="3">
        <v>0</v>
      </c>
      <c r="AM112" s="3">
        <v>0</v>
      </c>
      <c r="AN112" s="3">
        <v>0</v>
      </c>
      <c r="AO112" s="3">
        <v>0</v>
      </c>
      <c r="AP112" s="3">
        <v>0</v>
      </c>
      <c r="AQ112" s="3">
        <v>0</v>
      </c>
      <c r="AR112" s="3">
        <v>0</v>
      </c>
      <c r="AS112" s="3">
        <v>0</v>
      </c>
      <c r="AT112" s="3">
        <v>0</v>
      </c>
      <c r="AU112" s="3">
        <f t="shared" si="12"/>
        <v>0</v>
      </c>
      <c r="AV112" s="17">
        <v>323</v>
      </c>
      <c r="AW112" s="17">
        <v>323</v>
      </c>
      <c r="AX112" s="17">
        <v>2</v>
      </c>
      <c r="AY112" s="3" t="s">
        <v>110</v>
      </c>
      <c r="AZ112" s="3">
        <v>0</v>
      </c>
      <c r="BA112" s="19">
        <v>7317.68</v>
      </c>
    </row>
    <row r="113" spans="1:53" x14ac:dyDescent="0.2">
      <c r="A113" s="17">
        <v>330</v>
      </c>
      <c r="B113" s="17">
        <v>1</v>
      </c>
      <c r="C113" s="3" t="s">
        <v>1178</v>
      </c>
      <c r="D113" s="3">
        <f>Levy!F114</f>
        <v>414883.48</v>
      </c>
      <c r="E113" s="3">
        <f>Levy!G114</f>
        <v>20783.330000000002</v>
      </c>
      <c r="F113" s="3">
        <f>Levy!H114</f>
        <v>0</v>
      </c>
      <c r="G113" s="3">
        <f>Levy!I114</f>
        <v>222196.17</v>
      </c>
      <c r="H113" s="217">
        <f>Levy!J114</f>
        <v>27103.23</v>
      </c>
      <c r="I113" s="219">
        <v>0</v>
      </c>
      <c r="J113" s="219">
        <v>0</v>
      </c>
      <c r="K113" s="219">
        <v>23392.63</v>
      </c>
      <c r="L113" s="219">
        <v>0</v>
      </c>
      <c r="M113" s="219">
        <v>0</v>
      </c>
      <c r="N113" s="19">
        <v>0</v>
      </c>
      <c r="O113" s="19">
        <v>0</v>
      </c>
      <c r="P113" s="219">
        <v>-656.14</v>
      </c>
      <c r="Q113" s="219">
        <v>0</v>
      </c>
      <c r="R113" s="219">
        <v>-2905.03</v>
      </c>
      <c r="S113" s="219">
        <v>0</v>
      </c>
      <c r="T113" s="19">
        <v>0</v>
      </c>
      <c r="U113" s="19">
        <v>0</v>
      </c>
      <c r="V113" s="19">
        <v>0</v>
      </c>
      <c r="W113" s="19">
        <v>0</v>
      </c>
      <c r="X113" s="19">
        <v>18104.77</v>
      </c>
      <c r="Y113" s="217">
        <v>74812.61</v>
      </c>
      <c r="Z113" s="3">
        <f t="shared" si="7"/>
        <v>19831.460000000003</v>
      </c>
      <c r="AA113" s="3">
        <f t="shared" si="8"/>
        <v>205043.27</v>
      </c>
      <c r="AB113" s="3">
        <f t="shared" si="10"/>
        <v>27103.23</v>
      </c>
      <c r="AC113" s="3">
        <f>ROUND(MAX(0,(D113-V113)*'Shift 14'!$B$2),2)</f>
        <v>0</v>
      </c>
      <c r="AD113" s="3">
        <f t="shared" si="9"/>
        <v>74812.61</v>
      </c>
      <c r="AE113" s="3">
        <f t="shared" si="11"/>
        <v>0</v>
      </c>
      <c r="AF113" s="214">
        <v>330</v>
      </c>
      <c r="AG113" s="214">
        <v>1</v>
      </c>
      <c r="AH113" s="3">
        <v>0</v>
      </c>
      <c r="AI113" s="3">
        <v>0</v>
      </c>
      <c r="AJ113" s="3">
        <v>0</v>
      </c>
      <c r="AK113" s="3">
        <v>0</v>
      </c>
      <c r="AL113" s="3">
        <v>23392.63</v>
      </c>
      <c r="AM113" s="3">
        <v>0</v>
      </c>
      <c r="AN113" s="3">
        <v>0</v>
      </c>
      <c r="AO113" s="3">
        <v>0</v>
      </c>
      <c r="AP113" s="3">
        <v>0</v>
      </c>
      <c r="AQ113" s="3">
        <v>-656.14</v>
      </c>
      <c r="AR113" s="3">
        <v>0</v>
      </c>
      <c r="AS113" s="3">
        <v>-2905.03</v>
      </c>
      <c r="AT113" s="3">
        <v>0</v>
      </c>
      <c r="AU113" s="3">
        <f t="shared" si="12"/>
        <v>0</v>
      </c>
      <c r="AV113" s="17">
        <v>330</v>
      </c>
      <c r="AW113" s="17">
        <v>330</v>
      </c>
      <c r="AX113" s="17">
        <v>1</v>
      </c>
      <c r="AY113" s="3" t="s">
        <v>111</v>
      </c>
      <c r="AZ113" s="3">
        <v>18104.77</v>
      </c>
      <c r="BA113" s="19">
        <v>74812.61</v>
      </c>
    </row>
    <row r="114" spans="1:53" x14ac:dyDescent="0.2">
      <c r="A114" s="17">
        <v>332</v>
      </c>
      <c r="B114" s="17">
        <v>1</v>
      </c>
      <c r="C114" s="3" t="s">
        <v>112</v>
      </c>
      <c r="D114" s="3">
        <f>Levy!F115</f>
        <v>0</v>
      </c>
      <c r="E114" s="3">
        <f>Levy!G115</f>
        <v>330780.37</v>
      </c>
      <c r="F114" s="3">
        <f>Levy!H115</f>
        <v>0</v>
      </c>
      <c r="G114" s="3">
        <f>Levy!I115</f>
        <v>456055.61</v>
      </c>
      <c r="H114" s="217">
        <f>Levy!J115</f>
        <v>85291.45</v>
      </c>
      <c r="I114" s="219">
        <v>0</v>
      </c>
      <c r="J114" s="219">
        <v>10000</v>
      </c>
      <c r="K114" s="219">
        <v>23853.119999999999</v>
      </c>
      <c r="L114" s="219">
        <v>0</v>
      </c>
      <c r="M114" s="219">
        <v>0</v>
      </c>
      <c r="N114" s="19">
        <v>0</v>
      </c>
      <c r="O114" s="19">
        <v>0</v>
      </c>
      <c r="P114" s="219">
        <v>-13265.71</v>
      </c>
      <c r="Q114" s="219">
        <v>0</v>
      </c>
      <c r="R114" s="219">
        <v>-6107.91</v>
      </c>
      <c r="S114" s="219">
        <v>0</v>
      </c>
      <c r="T114" s="19">
        <v>0</v>
      </c>
      <c r="U114" s="19">
        <v>0</v>
      </c>
      <c r="V114" s="19">
        <v>0</v>
      </c>
      <c r="W114" s="19">
        <v>0</v>
      </c>
      <c r="X114" s="19">
        <v>0</v>
      </c>
      <c r="Y114" s="217">
        <v>0</v>
      </c>
      <c r="Z114" s="3">
        <f t="shared" si="7"/>
        <v>14479.499999999996</v>
      </c>
      <c r="AA114" s="3">
        <f t="shared" si="8"/>
        <v>772356.48</v>
      </c>
      <c r="AB114" s="3">
        <f t="shared" si="10"/>
        <v>85291.45</v>
      </c>
      <c r="AC114" s="3">
        <f>ROUND(MAX(0,(D114-V114)*'Shift 14'!$B$2),2)</f>
        <v>0</v>
      </c>
      <c r="AD114" s="3">
        <f t="shared" si="9"/>
        <v>0</v>
      </c>
      <c r="AE114" s="3">
        <f t="shared" si="11"/>
        <v>0</v>
      </c>
      <c r="AF114" s="214">
        <v>332</v>
      </c>
      <c r="AG114" s="214">
        <v>1</v>
      </c>
      <c r="AH114" s="3">
        <v>0</v>
      </c>
      <c r="AI114" s="3">
        <v>0</v>
      </c>
      <c r="AJ114" s="3">
        <v>0</v>
      </c>
      <c r="AK114" s="3">
        <v>10000</v>
      </c>
      <c r="AL114" s="3">
        <v>23853.119999999999</v>
      </c>
      <c r="AM114" s="3">
        <v>0</v>
      </c>
      <c r="AN114" s="3">
        <v>0</v>
      </c>
      <c r="AO114" s="3">
        <v>0</v>
      </c>
      <c r="AP114" s="3">
        <v>0</v>
      </c>
      <c r="AQ114" s="3">
        <v>-13265.71</v>
      </c>
      <c r="AR114" s="3">
        <v>0</v>
      </c>
      <c r="AS114" s="3">
        <v>-6107.91</v>
      </c>
      <c r="AT114" s="3">
        <v>0</v>
      </c>
      <c r="AU114" s="3">
        <f t="shared" si="12"/>
        <v>0</v>
      </c>
      <c r="AV114" s="17">
        <v>332</v>
      </c>
      <c r="AW114" s="17">
        <v>332</v>
      </c>
      <c r="AX114" s="17">
        <v>1</v>
      </c>
      <c r="AY114" s="3" t="s">
        <v>112</v>
      </c>
      <c r="AZ114" s="3">
        <v>0</v>
      </c>
      <c r="BA114" s="19">
        <v>0</v>
      </c>
    </row>
    <row r="115" spans="1:53" x14ac:dyDescent="0.2">
      <c r="A115" s="17">
        <v>333</v>
      </c>
      <c r="B115" s="17">
        <v>1</v>
      </c>
      <c r="C115" s="3" t="s">
        <v>113</v>
      </c>
      <c r="D115" s="3">
        <f>Levy!F116</f>
        <v>0</v>
      </c>
      <c r="E115" s="3">
        <f>Levy!G116</f>
        <v>84366.83</v>
      </c>
      <c r="F115" s="3">
        <f>Levy!H116</f>
        <v>0</v>
      </c>
      <c r="G115" s="3">
        <f>Levy!I116</f>
        <v>193580</v>
      </c>
      <c r="H115" s="217">
        <f>Levy!J116</f>
        <v>27828.89</v>
      </c>
      <c r="I115" s="219">
        <v>0</v>
      </c>
      <c r="J115" s="219">
        <v>15000</v>
      </c>
      <c r="K115" s="219">
        <v>7290.42</v>
      </c>
      <c r="L115" s="219">
        <v>0</v>
      </c>
      <c r="M115" s="219">
        <v>0</v>
      </c>
      <c r="N115" s="19">
        <v>0</v>
      </c>
      <c r="O115" s="19">
        <v>0</v>
      </c>
      <c r="P115" s="219">
        <v>10789.69</v>
      </c>
      <c r="Q115" s="219">
        <v>0</v>
      </c>
      <c r="R115" s="219">
        <v>-3749.4</v>
      </c>
      <c r="S115" s="219">
        <v>0</v>
      </c>
      <c r="T115" s="19">
        <v>0</v>
      </c>
      <c r="U115" s="19">
        <v>0</v>
      </c>
      <c r="V115" s="19">
        <v>0</v>
      </c>
      <c r="W115" s="19">
        <v>0</v>
      </c>
      <c r="X115" s="19">
        <v>0</v>
      </c>
      <c r="Y115" s="217">
        <v>23206.16</v>
      </c>
      <c r="Z115" s="3">
        <f t="shared" si="7"/>
        <v>29330.71</v>
      </c>
      <c r="AA115" s="3">
        <f t="shared" si="8"/>
        <v>248616.12</v>
      </c>
      <c r="AB115" s="3">
        <f t="shared" si="10"/>
        <v>27828.89</v>
      </c>
      <c r="AC115" s="3">
        <f>ROUND(MAX(0,(D115-V115)*'Shift 14'!$B$2),2)</f>
        <v>0</v>
      </c>
      <c r="AD115" s="3">
        <f t="shared" si="9"/>
        <v>23206.16</v>
      </c>
      <c r="AE115" s="3">
        <f t="shared" si="11"/>
        <v>0</v>
      </c>
      <c r="AF115" s="214">
        <v>333</v>
      </c>
      <c r="AG115" s="214">
        <v>1</v>
      </c>
      <c r="AH115" s="3">
        <v>0</v>
      </c>
      <c r="AI115" s="3">
        <v>0</v>
      </c>
      <c r="AJ115" s="3">
        <v>0</v>
      </c>
      <c r="AK115" s="3">
        <v>15000</v>
      </c>
      <c r="AL115" s="3">
        <v>7290.42</v>
      </c>
      <c r="AM115" s="3">
        <v>0</v>
      </c>
      <c r="AN115" s="3">
        <v>0</v>
      </c>
      <c r="AO115" s="3">
        <v>0</v>
      </c>
      <c r="AP115" s="3">
        <v>0</v>
      </c>
      <c r="AQ115" s="3">
        <v>10789.69</v>
      </c>
      <c r="AR115" s="3">
        <v>0</v>
      </c>
      <c r="AS115" s="3">
        <v>-3749.4</v>
      </c>
      <c r="AT115" s="3">
        <v>0</v>
      </c>
      <c r="AU115" s="3">
        <f t="shared" si="12"/>
        <v>0</v>
      </c>
      <c r="AV115" s="17">
        <v>333</v>
      </c>
      <c r="AW115" s="17">
        <v>333</v>
      </c>
      <c r="AX115" s="17">
        <v>1</v>
      </c>
      <c r="AY115" s="3" t="s">
        <v>113</v>
      </c>
      <c r="AZ115" s="3">
        <v>0</v>
      </c>
      <c r="BA115" s="19">
        <v>23206.16</v>
      </c>
    </row>
    <row r="116" spans="1:53" x14ac:dyDescent="0.2">
      <c r="A116" s="17">
        <v>345</v>
      </c>
      <c r="B116" s="17">
        <v>1</v>
      </c>
      <c r="C116" s="3" t="s">
        <v>1179</v>
      </c>
      <c r="D116" s="3">
        <f>Levy!F117</f>
        <v>692155.08</v>
      </c>
      <c r="E116" s="3">
        <f>Levy!G117</f>
        <v>172701.69</v>
      </c>
      <c r="F116" s="3">
        <f>Levy!H117</f>
        <v>469368</v>
      </c>
      <c r="G116" s="3">
        <f>Levy!I117</f>
        <v>424879.49</v>
      </c>
      <c r="H116" s="217">
        <f>Levy!J117</f>
        <v>150260.71</v>
      </c>
      <c r="I116" s="219">
        <v>0</v>
      </c>
      <c r="J116" s="219">
        <v>10000</v>
      </c>
      <c r="K116" s="219">
        <v>47304.29</v>
      </c>
      <c r="L116" s="219">
        <v>0</v>
      </c>
      <c r="M116" s="219">
        <v>0</v>
      </c>
      <c r="N116" s="19">
        <v>0</v>
      </c>
      <c r="O116" s="19">
        <v>0</v>
      </c>
      <c r="P116" s="219">
        <v>12853.46</v>
      </c>
      <c r="Q116" s="219">
        <v>0</v>
      </c>
      <c r="R116" s="219">
        <v>-6914.2</v>
      </c>
      <c r="S116" s="219">
        <v>0</v>
      </c>
      <c r="T116" s="19">
        <v>0</v>
      </c>
      <c r="U116" s="19">
        <v>0</v>
      </c>
      <c r="V116" s="19">
        <v>0</v>
      </c>
      <c r="W116" s="19">
        <v>0</v>
      </c>
      <c r="X116" s="19">
        <v>0</v>
      </c>
      <c r="Y116" s="217">
        <v>95479.19</v>
      </c>
      <c r="Z116" s="3">
        <f t="shared" si="7"/>
        <v>63243.55</v>
      </c>
      <c r="AA116" s="3">
        <f t="shared" si="8"/>
        <v>1003705.63</v>
      </c>
      <c r="AB116" s="3">
        <f t="shared" si="10"/>
        <v>150260.71</v>
      </c>
      <c r="AC116" s="3">
        <f>ROUND(MAX(0,(D116-V116)*'Shift 14'!$B$2),2)</f>
        <v>0</v>
      </c>
      <c r="AD116" s="3">
        <f t="shared" si="9"/>
        <v>95479.19</v>
      </c>
      <c r="AE116" s="3">
        <f t="shared" si="11"/>
        <v>0</v>
      </c>
      <c r="AF116" s="214">
        <v>345</v>
      </c>
      <c r="AG116" s="214">
        <v>1</v>
      </c>
      <c r="AH116" s="3">
        <v>0</v>
      </c>
      <c r="AI116" s="3">
        <v>0</v>
      </c>
      <c r="AJ116" s="3">
        <v>37034.06</v>
      </c>
      <c r="AK116" s="3">
        <v>10000</v>
      </c>
      <c r="AL116" s="3">
        <v>47304.29</v>
      </c>
      <c r="AM116" s="3">
        <v>0</v>
      </c>
      <c r="AN116" s="3">
        <v>0</v>
      </c>
      <c r="AO116" s="3">
        <v>0</v>
      </c>
      <c r="AP116" s="3">
        <v>-639.21</v>
      </c>
      <c r="AQ116" s="3">
        <v>12853.46</v>
      </c>
      <c r="AR116" s="3">
        <v>0</v>
      </c>
      <c r="AS116" s="3">
        <v>-6914.2</v>
      </c>
      <c r="AT116" s="3">
        <v>0</v>
      </c>
      <c r="AU116" s="3">
        <f t="shared" si="12"/>
        <v>0</v>
      </c>
      <c r="AV116" s="17">
        <v>345</v>
      </c>
      <c r="AW116" s="17">
        <v>345</v>
      </c>
      <c r="AX116" s="17">
        <v>1</v>
      </c>
      <c r="AY116" s="3" t="s">
        <v>114</v>
      </c>
      <c r="AZ116" s="3">
        <v>0</v>
      </c>
      <c r="BA116" s="19">
        <v>95479.19</v>
      </c>
    </row>
    <row r="117" spans="1:53" x14ac:dyDescent="0.2">
      <c r="A117" s="17">
        <v>347</v>
      </c>
      <c r="B117" s="17">
        <v>1</v>
      </c>
      <c r="C117" s="3" t="s">
        <v>115</v>
      </c>
      <c r="D117" s="3">
        <f>Levy!F118</f>
        <v>1171891.95</v>
      </c>
      <c r="E117" s="3">
        <f>Levy!G118</f>
        <v>1008915.7</v>
      </c>
      <c r="F117" s="3">
        <f>Levy!H118</f>
        <v>0</v>
      </c>
      <c r="G117" s="3">
        <f>Levy!I118</f>
        <v>1476569.5</v>
      </c>
      <c r="H117" s="217">
        <f>Levy!J118</f>
        <v>376896.61</v>
      </c>
      <c r="I117" s="219">
        <v>0</v>
      </c>
      <c r="J117" s="219">
        <v>60000</v>
      </c>
      <c r="K117" s="219">
        <v>67420.2</v>
      </c>
      <c r="L117" s="219">
        <v>0</v>
      </c>
      <c r="M117" s="219">
        <v>0</v>
      </c>
      <c r="N117" s="19">
        <v>0</v>
      </c>
      <c r="O117" s="19">
        <v>0</v>
      </c>
      <c r="P117" s="219">
        <v>-14825.79</v>
      </c>
      <c r="Q117" s="219">
        <v>0</v>
      </c>
      <c r="R117" s="219">
        <v>-14118.19</v>
      </c>
      <c r="S117" s="219">
        <v>0</v>
      </c>
      <c r="T117" s="19">
        <v>0</v>
      </c>
      <c r="U117" s="19">
        <v>0</v>
      </c>
      <c r="V117" s="19">
        <v>0</v>
      </c>
      <c r="W117" s="19">
        <v>0</v>
      </c>
      <c r="X117" s="19">
        <v>0</v>
      </c>
      <c r="Y117" s="217">
        <v>184153.16</v>
      </c>
      <c r="Z117" s="3">
        <f t="shared" si="7"/>
        <v>98476.22</v>
      </c>
      <c r="AA117" s="3">
        <f t="shared" si="8"/>
        <v>2387008.98</v>
      </c>
      <c r="AB117" s="3">
        <f t="shared" si="10"/>
        <v>376896.61</v>
      </c>
      <c r="AC117" s="3">
        <f>ROUND(MAX(0,(D117-V117)*'Shift 14'!$B$2),2)</f>
        <v>0</v>
      </c>
      <c r="AD117" s="3">
        <f t="shared" si="9"/>
        <v>184153.16</v>
      </c>
      <c r="AE117" s="3">
        <f t="shared" si="11"/>
        <v>0</v>
      </c>
      <c r="AF117" s="214">
        <v>347</v>
      </c>
      <c r="AG117" s="214">
        <v>1</v>
      </c>
      <c r="AH117" s="3">
        <v>0</v>
      </c>
      <c r="AI117" s="3">
        <v>0</v>
      </c>
      <c r="AJ117" s="3">
        <v>221063.22</v>
      </c>
      <c r="AK117" s="3">
        <v>60000</v>
      </c>
      <c r="AL117" s="3">
        <v>67420.2</v>
      </c>
      <c r="AM117" s="3">
        <v>0</v>
      </c>
      <c r="AN117" s="3">
        <v>0</v>
      </c>
      <c r="AO117" s="3">
        <v>0</v>
      </c>
      <c r="AP117" s="3">
        <v>1839.59</v>
      </c>
      <c r="AQ117" s="3">
        <v>-14825.79</v>
      </c>
      <c r="AR117" s="3">
        <v>0</v>
      </c>
      <c r="AS117" s="3">
        <v>-14118.19</v>
      </c>
      <c r="AT117" s="3">
        <v>0</v>
      </c>
      <c r="AU117" s="3">
        <f t="shared" si="12"/>
        <v>0</v>
      </c>
      <c r="AV117" s="17">
        <v>347</v>
      </c>
      <c r="AW117" s="17">
        <v>347</v>
      </c>
      <c r="AX117" s="17">
        <v>1</v>
      </c>
      <c r="AY117" s="3" t="s">
        <v>115</v>
      </c>
      <c r="AZ117" s="3">
        <v>0</v>
      </c>
      <c r="BA117" s="19">
        <v>184153.16</v>
      </c>
    </row>
    <row r="118" spans="1:53" x14ac:dyDescent="0.2">
      <c r="A118" s="17">
        <v>356</v>
      </c>
      <c r="B118" s="17">
        <v>1</v>
      </c>
      <c r="C118" s="3" t="s">
        <v>116</v>
      </c>
      <c r="D118" s="3">
        <f>Levy!F119</f>
        <v>252907</v>
      </c>
      <c r="E118" s="3">
        <f>Levy!G119</f>
        <v>2740</v>
      </c>
      <c r="F118" s="3">
        <f>Levy!H119</f>
        <v>0</v>
      </c>
      <c r="G118" s="3">
        <f>Levy!I119</f>
        <v>110257</v>
      </c>
      <c r="H118" s="217">
        <f>Levy!J119</f>
        <v>12151</v>
      </c>
      <c r="I118" s="219">
        <v>0</v>
      </c>
      <c r="J118" s="219">
        <v>500</v>
      </c>
      <c r="K118" s="219">
        <v>11088.38</v>
      </c>
      <c r="L118" s="219">
        <v>0</v>
      </c>
      <c r="M118" s="219">
        <v>0</v>
      </c>
      <c r="N118" s="19">
        <v>0</v>
      </c>
      <c r="O118" s="19">
        <v>0</v>
      </c>
      <c r="P118" s="219">
        <v>-500</v>
      </c>
      <c r="Q118" s="219">
        <v>0</v>
      </c>
      <c r="R118" s="219">
        <v>10000</v>
      </c>
      <c r="S118" s="219">
        <v>0</v>
      </c>
      <c r="T118" s="19">
        <v>0</v>
      </c>
      <c r="U118" s="19">
        <v>0</v>
      </c>
      <c r="V118" s="19">
        <v>0</v>
      </c>
      <c r="W118" s="19">
        <v>0</v>
      </c>
      <c r="X118" s="19">
        <v>0</v>
      </c>
      <c r="Y118" s="217">
        <v>77555.070000000007</v>
      </c>
      <c r="Z118" s="3">
        <f t="shared" si="7"/>
        <v>21088.379999999997</v>
      </c>
      <c r="AA118" s="3">
        <f t="shared" si="8"/>
        <v>91908.62</v>
      </c>
      <c r="AB118" s="3">
        <f t="shared" si="10"/>
        <v>12151</v>
      </c>
      <c r="AC118" s="3">
        <f>ROUND(MAX(0,(D118-V118)*'Shift 14'!$B$2),2)</f>
        <v>0</v>
      </c>
      <c r="AD118" s="3">
        <f t="shared" si="9"/>
        <v>77555.070000000007</v>
      </c>
      <c r="AE118" s="3">
        <f t="shared" si="11"/>
        <v>0</v>
      </c>
      <c r="AF118" s="214">
        <v>356</v>
      </c>
      <c r="AG118" s="214">
        <v>1</v>
      </c>
      <c r="AH118" s="3">
        <v>0</v>
      </c>
      <c r="AI118" s="3">
        <v>0</v>
      </c>
      <c r="AJ118" s="3">
        <v>0</v>
      </c>
      <c r="AK118" s="3">
        <v>500</v>
      </c>
      <c r="AL118" s="3">
        <v>11088.38</v>
      </c>
      <c r="AM118" s="3">
        <v>0</v>
      </c>
      <c r="AN118" s="3">
        <v>0</v>
      </c>
      <c r="AO118" s="3">
        <v>0</v>
      </c>
      <c r="AP118" s="3">
        <v>0</v>
      </c>
      <c r="AQ118" s="3">
        <v>-500</v>
      </c>
      <c r="AR118" s="3">
        <v>0</v>
      </c>
      <c r="AS118" s="3">
        <v>10000</v>
      </c>
      <c r="AT118" s="3">
        <v>0</v>
      </c>
      <c r="AU118" s="3">
        <f t="shared" si="12"/>
        <v>0</v>
      </c>
      <c r="AV118" s="17">
        <v>356</v>
      </c>
      <c r="AW118" s="17">
        <v>356</v>
      </c>
      <c r="AX118" s="17">
        <v>1</v>
      </c>
      <c r="AY118" s="3" t="s">
        <v>116</v>
      </c>
      <c r="AZ118" s="3">
        <v>0</v>
      </c>
      <c r="BA118" s="19">
        <v>77555.070000000007</v>
      </c>
    </row>
    <row r="119" spans="1:53" x14ac:dyDescent="0.2">
      <c r="A119" s="17">
        <v>361</v>
      </c>
      <c r="B119" s="17">
        <v>1</v>
      </c>
      <c r="C119" s="3" t="s">
        <v>1180</v>
      </c>
      <c r="D119" s="3">
        <f>Levy!F120</f>
        <v>541378.41</v>
      </c>
      <c r="E119" s="3">
        <f>Levy!G120</f>
        <v>95866.74</v>
      </c>
      <c r="F119" s="3">
        <f>Levy!H120</f>
        <v>0</v>
      </c>
      <c r="G119" s="3">
        <f>Levy!I120</f>
        <v>1352124.95</v>
      </c>
      <c r="H119" s="217">
        <f>Levy!J120</f>
        <v>129801.89</v>
      </c>
      <c r="I119" s="219">
        <v>0</v>
      </c>
      <c r="J119" s="219">
        <v>21646.74</v>
      </c>
      <c r="K119" s="219">
        <v>11129.96</v>
      </c>
      <c r="L119" s="219">
        <v>0</v>
      </c>
      <c r="M119" s="219">
        <v>0</v>
      </c>
      <c r="N119" s="19">
        <v>0</v>
      </c>
      <c r="O119" s="19">
        <v>0</v>
      </c>
      <c r="P119" s="219">
        <v>-42.54</v>
      </c>
      <c r="Q119" s="219">
        <v>0</v>
      </c>
      <c r="R119" s="219">
        <v>-4720.8599999999997</v>
      </c>
      <c r="S119" s="219">
        <v>0</v>
      </c>
      <c r="T119" s="19">
        <v>0</v>
      </c>
      <c r="U119" s="19">
        <v>0</v>
      </c>
      <c r="V119" s="19">
        <v>0</v>
      </c>
      <c r="W119" s="19">
        <v>0</v>
      </c>
      <c r="X119" s="19">
        <v>0</v>
      </c>
      <c r="Y119" s="217">
        <v>75327.83</v>
      </c>
      <c r="Z119" s="3">
        <f t="shared" si="7"/>
        <v>28013.299999999996</v>
      </c>
      <c r="AA119" s="3">
        <f t="shared" si="8"/>
        <v>1419978.39</v>
      </c>
      <c r="AB119" s="3">
        <f t="shared" si="10"/>
        <v>129801.89</v>
      </c>
      <c r="AC119" s="3">
        <f>ROUND(MAX(0,(D119-V119)*'Shift 14'!$B$2),2)</f>
        <v>0</v>
      </c>
      <c r="AD119" s="3">
        <f t="shared" si="9"/>
        <v>75327.83</v>
      </c>
      <c r="AE119" s="3">
        <f t="shared" si="11"/>
        <v>0</v>
      </c>
      <c r="AF119" s="214">
        <v>361</v>
      </c>
      <c r="AG119" s="214">
        <v>1</v>
      </c>
      <c r="AH119" s="3">
        <v>0</v>
      </c>
      <c r="AI119" s="3">
        <v>0</v>
      </c>
      <c r="AJ119" s="3">
        <v>0</v>
      </c>
      <c r="AK119" s="3">
        <v>21646.74</v>
      </c>
      <c r="AL119" s="3">
        <v>11129.96</v>
      </c>
      <c r="AM119" s="3">
        <v>0</v>
      </c>
      <c r="AN119" s="3">
        <v>0</v>
      </c>
      <c r="AO119" s="3">
        <v>0</v>
      </c>
      <c r="AP119" s="3">
        <v>0</v>
      </c>
      <c r="AQ119" s="3">
        <v>-42.54</v>
      </c>
      <c r="AR119" s="3">
        <v>0</v>
      </c>
      <c r="AS119" s="3">
        <v>-4720.8599999999997</v>
      </c>
      <c r="AT119" s="3">
        <v>0</v>
      </c>
      <c r="AU119" s="3">
        <f t="shared" si="12"/>
        <v>0</v>
      </c>
      <c r="AV119" s="17">
        <v>361</v>
      </c>
      <c r="AW119" s="17">
        <v>361</v>
      </c>
      <c r="AX119" s="17">
        <v>1</v>
      </c>
      <c r="AY119" s="3" t="s">
        <v>117</v>
      </c>
      <c r="AZ119" s="3">
        <v>0</v>
      </c>
      <c r="BA119" s="19">
        <v>75327.83</v>
      </c>
    </row>
    <row r="120" spans="1:53" x14ac:dyDescent="0.2">
      <c r="A120" s="17">
        <v>362</v>
      </c>
      <c r="B120" s="17">
        <v>1</v>
      </c>
      <c r="C120" s="3" t="s">
        <v>1181</v>
      </c>
      <c r="D120" s="3">
        <f>Levy!F121</f>
        <v>0</v>
      </c>
      <c r="E120" s="3">
        <f>Levy!G121</f>
        <v>26916.799999999999</v>
      </c>
      <c r="F120" s="3">
        <f>Levy!H121</f>
        <v>0</v>
      </c>
      <c r="G120" s="3">
        <f>Levy!I121</f>
        <v>147871.99</v>
      </c>
      <c r="H120" s="217">
        <f>Levy!J121</f>
        <v>18237.88</v>
      </c>
      <c r="I120" s="219">
        <v>0</v>
      </c>
      <c r="J120" s="219">
        <v>10000</v>
      </c>
      <c r="K120" s="219">
        <v>1227.33</v>
      </c>
      <c r="L120" s="219">
        <v>0</v>
      </c>
      <c r="M120" s="219">
        <v>0</v>
      </c>
      <c r="N120" s="19">
        <v>0</v>
      </c>
      <c r="O120" s="19">
        <v>0</v>
      </c>
      <c r="P120" s="219">
        <v>452.69</v>
      </c>
      <c r="Q120" s="219">
        <v>0</v>
      </c>
      <c r="R120" s="219">
        <v>0</v>
      </c>
      <c r="S120" s="219">
        <v>0</v>
      </c>
      <c r="T120" s="19">
        <v>0</v>
      </c>
      <c r="U120" s="19">
        <v>0</v>
      </c>
      <c r="V120" s="19">
        <v>0</v>
      </c>
      <c r="W120" s="19">
        <v>0</v>
      </c>
      <c r="X120" s="19">
        <v>0</v>
      </c>
      <c r="Y120" s="217">
        <v>0</v>
      </c>
      <c r="Z120" s="3">
        <f t="shared" si="7"/>
        <v>11680.02</v>
      </c>
      <c r="AA120" s="3">
        <f t="shared" si="8"/>
        <v>163108.76999999999</v>
      </c>
      <c r="AB120" s="3">
        <f t="shared" si="10"/>
        <v>18237.88</v>
      </c>
      <c r="AC120" s="3">
        <f>ROUND(MAX(0,(D120-V120)*'Shift 14'!$B$2),2)</f>
        <v>0</v>
      </c>
      <c r="AD120" s="3">
        <f t="shared" si="9"/>
        <v>0</v>
      </c>
      <c r="AE120" s="3">
        <f t="shared" si="11"/>
        <v>0</v>
      </c>
      <c r="AF120" s="214">
        <v>362</v>
      </c>
      <c r="AG120" s="214">
        <v>1</v>
      </c>
      <c r="AH120" s="3">
        <v>0</v>
      </c>
      <c r="AI120" s="3">
        <v>0</v>
      </c>
      <c r="AJ120" s="3">
        <v>0</v>
      </c>
      <c r="AK120" s="3">
        <v>10000</v>
      </c>
      <c r="AL120" s="3">
        <v>1227.33</v>
      </c>
      <c r="AM120" s="3">
        <v>0</v>
      </c>
      <c r="AN120" s="3">
        <v>0</v>
      </c>
      <c r="AO120" s="3">
        <v>0</v>
      </c>
      <c r="AP120" s="3">
        <v>0</v>
      </c>
      <c r="AQ120" s="3">
        <v>452.69</v>
      </c>
      <c r="AR120" s="3">
        <v>0</v>
      </c>
      <c r="AS120" s="3">
        <v>0</v>
      </c>
      <c r="AT120" s="3">
        <v>0</v>
      </c>
      <c r="AU120" s="3">
        <f t="shared" si="12"/>
        <v>0</v>
      </c>
      <c r="AV120" s="17">
        <v>362</v>
      </c>
      <c r="AW120" s="17">
        <v>362</v>
      </c>
      <c r="AX120" s="17">
        <v>1</v>
      </c>
      <c r="AY120" s="3" t="s">
        <v>118</v>
      </c>
      <c r="AZ120" s="3">
        <v>0</v>
      </c>
      <c r="BA120" s="19">
        <v>0</v>
      </c>
    </row>
    <row r="121" spans="1:53" x14ac:dyDescent="0.2">
      <c r="A121" s="17">
        <v>363</v>
      </c>
      <c r="B121" s="17">
        <v>1</v>
      </c>
      <c r="C121" s="3" t="s">
        <v>1182</v>
      </c>
      <c r="D121" s="3">
        <f>Levy!F122</f>
        <v>0</v>
      </c>
      <c r="E121" s="3">
        <f>Levy!G122</f>
        <v>20651.28</v>
      </c>
      <c r="F121" s="3">
        <f>Levy!H122</f>
        <v>0</v>
      </c>
      <c r="G121" s="3">
        <f>Levy!I122</f>
        <v>133742.81</v>
      </c>
      <c r="H121" s="217">
        <f>Levy!J122</f>
        <v>7222.49</v>
      </c>
      <c r="I121" s="219">
        <v>0</v>
      </c>
      <c r="J121" s="219">
        <v>0</v>
      </c>
      <c r="K121" s="219">
        <v>5070.87</v>
      </c>
      <c r="L121" s="219">
        <v>0</v>
      </c>
      <c r="M121" s="219">
        <v>0</v>
      </c>
      <c r="N121" s="19">
        <v>0</v>
      </c>
      <c r="O121" s="19">
        <v>0</v>
      </c>
      <c r="P121" s="219">
        <v>-332.03</v>
      </c>
      <c r="Q121" s="219">
        <v>0</v>
      </c>
      <c r="R121" s="219">
        <v>0</v>
      </c>
      <c r="S121" s="219">
        <v>0</v>
      </c>
      <c r="T121" s="19">
        <v>0</v>
      </c>
      <c r="U121" s="19">
        <v>0</v>
      </c>
      <c r="V121" s="19">
        <v>0</v>
      </c>
      <c r="W121" s="19">
        <v>0</v>
      </c>
      <c r="X121" s="19">
        <v>0</v>
      </c>
      <c r="Y121" s="217">
        <v>0</v>
      </c>
      <c r="Z121" s="3">
        <f t="shared" si="7"/>
        <v>4738.84</v>
      </c>
      <c r="AA121" s="3">
        <f t="shared" si="8"/>
        <v>149655.25</v>
      </c>
      <c r="AB121" s="3">
        <f t="shared" si="10"/>
        <v>7222.49</v>
      </c>
      <c r="AC121" s="3">
        <f>ROUND(MAX(0,(D121-V121)*'Shift 14'!$B$2),2)</f>
        <v>0</v>
      </c>
      <c r="AD121" s="3">
        <f t="shared" si="9"/>
        <v>0</v>
      </c>
      <c r="AE121" s="3">
        <f t="shared" si="11"/>
        <v>0</v>
      </c>
      <c r="AF121" s="214">
        <v>363</v>
      </c>
      <c r="AG121" s="214">
        <v>1</v>
      </c>
      <c r="AH121" s="3">
        <v>0</v>
      </c>
      <c r="AI121" s="3">
        <v>0</v>
      </c>
      <c r="AJ121" s="3">
        <v>0</v>
      </c>
      <c r="AK121" s="3">
        <v>0</v>
      </c>
      <c r="AL121" s="3">
        <v>5070.87</v>
      </c>
      <c r="AM121" s="3">
        <v>0</v>
      </c>
      <c r="AN121" s="3">
        <v>0</v>
      </c>
      <c r="AO121" s="3">
        <v>0</v>
      </c>
      <c r="AP121" s="3">
        <v>0</v>
      </c>
      <c r="AQ121" s="3">
        <v>-332.03</v>
      </c>
      <c r="AR121" s="3">
        <v>0</v>
      </c>
      <c r="AS121" s="3">
        <v>0</v>
      </c>
      <c r="AT121" s="3">
        <v>0</v>
      </c>
      <c r="AU121" s="3">
        <f t="shared" si="12"/>
        <v>0</v>
      </c>
      <c r="AV121" s="17">
        <v>363</v>
      </c>
      <c r="AW121" s="17">
        <v>363</v>
      </c>
      <c r="AX121" s="17">
        <v>1</v>
      </c>
      <c r="AY121" s="3" t="s">
        <v>119</v>
      </c>
      <c r="AZ121" s="3">
        <v>0</v>
      </c>
      <c r="BA121" s="19">
        <v>0</v>
      </c>
    </row>
    <row r="122" spans="1:53" x14ac:dyDescent="0.2">
      <c r="A122" s="17">
        <v>378</v>
      </c>
      <c r="B122" s="17">
        <v>1</v>
      </c>
      <c r="C122" s="3" t="s">
        <v>120</v>
      </c>
      <c r="D122" s="3">
        <f>Levy!F123</f>
        <v>255292</v>
      </c>
      <c r="E122" s="3">
        <f>Levy!G123</f>
        <v>30946</v>
      </c>
      <c r="F122" s="3">
        <f>Levy!H123</f>
        <v>0</v>
      </c>
      <c r="G122" s="3">
        <f>Levy!I123</f>
        <v>339606.29</v>
      </c>
      <c r="H122" s="217">
        <f>Levy!J123</f>
        <v>70299.23</v>
      </c>
      <c r="I122" s="219">
        <v>0</v>
      </c>
      <c r="J122" s="219">
        <v>200</v>
      </c>
      <c r="K122" s="219">
        <v>15609.58</v>
      </c>
      <c r="L122" s="219">
        <v>0</v>
      </c>
      <c r="M122" s="219">
        <v>0</v>
      </c>
      <c r="N122" s="19">
        <v>0</v>
      </c>
      <c r="O122" s="19">
        <v>0</v>
      </c>
      <c r="P122" s="219">
        <v>-492.29</v>
      </c>
      <c r="Q122" s="219">
        <v>-200</v>
      </c>
      <c r="R122" s="219">
        <v>-1938.49</v>
      </c>
      <c r="S122" s="219">
        <v>0</v>
      </c>
      <c r="T122" s="19">
        <v>0</v>
      </c>
      <c r="U122" s="19">
        <v>0</v>
      </c>
      <c r="V122" s="19">
        <v>0</v>
      </c>
      <c r="W122" s="19">
        <v>0</v>
      </c>
      <c r="X122" s="19">
        <v>4537.68</v>
      </c>
      <c r="Y122" s="217">
        <v>39303.019999999997</v>
      </c>
      <c r="Z122" s="3">
        <f t="shared" si="7"/>
        <v>13178.8</v>
      </c>
      <c r="AA122" s="3">
        <f t="shared" si="8"/>
        <v>352835.81</v>
      </c>
      <c r="AB122" s="3">
        <f t="shared" si="10"/>
        <v>70299.23</v>
      </c>
      <c r="AC122" s="3">
        <f>ROUND(MAX(0,(D122-V122)*'Shift 14'!$B$2),2)</f>
        <v>0</v>
      </c>
      <c r="AD122" s="3">
        <f t="shared" si="9"/>
        <v>39303.019999999997</v>
      </c>
      <c r="AE122" s="3">
        <f t="shared" si="11"/>
        <v>0</v>
      </c>
      <c r="AF122" s="214">
        <v>378</v>
      </c>
      <c r="AG122" s="214">
        <v>1</v>
      </c>
      <c r="AH122" s="3">
        <v>0</v>
      </c>
      <c r="AI122" s="3">
        <v>0</v>
      </c>
      <c r="AJ122" s="3">
        <v>11626.31</v>
      </c>
      <c r="AK122" s="3">
        <v>200</v>
      </c>
      <c r="AL122" s="3">
        <v>15609.58</v>
      </c>
      <c r="AM122" s="3">
        <v>0</v>
      </c>
      <c r="AN122" s="3">
        <v>0</v>
      </c>
      <c r="AO122" s="3">
        <v>0</v>
      </c>
      <c r="AP122" s="3">
        <v>0</v>
      </c>
      <c r="AQ122" s="3">
        <v>-492.29</v>
      </c>
      <c r="AR122" s="3">
        <v>-200</v>
      </c>
      <c r="AS122" s="3">
        <v>-1938.49</v>
      </c>
      <c r="AT122" s="3">
        <v>0</v>
      </c>
      <c r="AU122" s="3">
        <f t="shared" si="12"/>
        <v>0</v>
      </c>
      <c r="AV122" s="17">
        <v>378</v>
      </c>
      <c r="AW122" s="17">
        <v>378</v>
      </c>
      <c r="AX122" s="17">
        <v>1</v>
      </c>
      <c r="AY122" s="3" t="s">
        <v>120</v>
      </c>
      <c r="AZ122" s="3">
        <v>4537.68</v>
      </c>
      <c r="BA122" s="19">
        <v>39303.019999999997</v>
      </c>
    </row>
    <row r="123" spans="1:53" x14ac:dyDescent="0.2">
      <c r="A123" s="17">
        <v>381</v>
      </c>
      <c r="B123" s="17">
        <v>1</v>
      </c>
      <c r="C123" s="3" t="s">
        <v>121</v>
      </c>
      <c r="D123" s="3">
        <f>Levy!F124</f>
        <v>0</v>
      </c>
      <c r="E123" s="3">
        <f>Levy!G124</f>
        <v>546211.81000000006</v>
      </c>
      <c r="F123" s="3">
        <f>Levy!H124</f>
        <v>0</v>
      </c>
      <c r="G123" s="3">
        <f>Levy!I124</f>
        <v>222100.65</v>
      </c>
      <c r="H123" s="217">
        <f>Levy!J124</f>
        <v>0</v>
      </c>
      <c r="I123" s="219">
        <v>0</v>
      </c>
      <c r="J123" s="219">
        <v>12000</v>
      </c>
      <c r="K123" s="219">
        <v>39832.31</v>
      </c>
      <c r="L123" s="219">
        <v>0</v>
      </c>
      <c r="M123" s="219">
        <v>0</v>
      </c>
      <c r="N123" s="19">
        <v>0</v>
      </c>
      <c r="O123" s="19">
        <v>0</v>
      </c>
      <c r="P123" s="219">
        <v>2054.13</v>
      </c>
      <c r="Q123" s="219">
        <v>0</v>
      </c>
      <c r="R123" s="219">
        <v>-10019.56</v>
      </c>
      <c r="S123" s="219">
        <v>0</v>
      </c>
      <c r="T123" s="19">
        <v>0</v>
      </c>
      <c r="U123" s="19">
        <v>0</v>
      </c>
      <c r="V123" s="19">
        <v>0</v>
      </c>
      <c r="W123" s="19">
        <v>0</v>
      </c>
      <c r="X123" s="19">
        <v>76394.2</v>
      </c>
      <c r="Y123" s="217">
        <v>121543.27</v>
      </c>
      <c r="Z123" s="3">
        <f t="shared" si="7"/>
        <v>43866.879999999997</v>
      </c>
      <c r="AA123" s="3">
        <f t="shared" si="8"/>
        <v>648051.38</v>
      </c>
      <c r="AB123" s="3">
        <f t="shared" si="10"/>
        <v>0</v>
      </c>
      <c r="AC123" s="3">
        <f>ROUND(MAX(0,(D123-V123)*'Shift 14'!$B$2),2)</f>
        <v>0</v>
      </c>
      <c r="AD123" s="3">
        <f t="shared" si="9"/>
        <v>121543.27</v>
      </c>
      <c r="AE123" s="3">
        <f t="shared" si="11"/>
        <v>0</v>
      </c>
      <c r="AF123" s="214">
        <v>381</v>
      </c>
      <c r="AG123" s="214">
        <v>1</v>
      </c>
      <c r="AH123" s="3">
        <v>0</v>
      </c>
      <c r="AI123" s="3">
        <v>0</v>
      </c>
      <c r="AJ123" s="3">
        <v>0</v>
      </c>
      <c r="AK123" s="3">
        <v>12000</v>
      </c>
      <c r="AL123" s="3">
        <v>39832.31</v>
      </c>
      <c r="AM123" s="3">
        <v>0</v>
      </c>
      <c r="AN123" s="3">
        <v>0</v>
      </c>
      <c r="AO123" s="3">
        <v>0</v>
      </c>
      <c r="AP123" s="3">
        <v>0</v>
      </c>
      <c r="AQ123" s="3">
        <v>2054.13</v>
      </c>
      <c r="AR123" s="3">
        <v>0</v>
      </c>
      <c r="AS123" s="3">
        <v>-10019.56</v>
      </c>
      <c r="AT123" s="3">
        <v>0</v>
      </c>
      <c r="AU123" s="3">
        <f t="shared" si="12"/>
        <v>0</v>
      </c>
      <c r="AV123" s="17">
        <v>381</v>
      </c>
      <c r="AW123" s="17">
        <v>381</v>
      </c>
      <c r="AX123" s="17">
        <v>1</v>
      </c>
      <c r="AY123" s="3" t="s">
        <v>121</v>
      </c>
      <c r="AZ123" s="3">
        <v>76394.2</v>
      </c>
      <c r="BA123" s="19">
        <v>121543.27</v>
      </c>
    </row>
    <row r="124" spans="1:53" x14ac:dyDescent="0.2">
      <c r="A124" s="17">
        <v>390</v>
      </c>
      <c r="B124" s="17">
        <v>1</v>
      </c>
      <c r="C124" s="3" t="s">
        <v>1183</v>
      </c>
      <c r="D124" s="3">
        <f>Levy!F125</f>
        <v>258261</v>
      </c>
      <c r="E124" s="3">
        <f>Levy!G125</f>
        <v>51264</v>
      </c>
      <c r="F124" s="3">
        <f>Levy!H125</f>
        <v>0</v>
      </c>
      <c r="G124" s="3">
        <f>Levy!I125</f>
        <v>305760</v>
      </c>
      <c r="H124" s="217">
        <f>Levy!J125</f>
        <v>48066</v>
      </c>
      <c r="I124" s="219">
        <v>0</v>
      </c>
      <c r="J124" s="219">
        <v>5500</v>
      </c>
      <c r="K124" s="219">
        <v>16166.76</v>
      </c>
      <c r="L124" s="219">
        <v>0</v>
      </c>
      <c r="M124" s="219">
        <v>0</v>
      </c>
      <c r="N124" s="19">
        <v>0</v>
      </c>
      <c r="O124" s="19">
        <v>0</v>
      </c>
      <c r="P124" s="219">
        <v>-8724.73</v>
      </c>
      <c r="Q124" s="219">
        <v>0</v>
      </c>
      <c r="R124" s="219">
        <v>-4065.28</v>
      </c>
      <c r="S124" s="219">
        <v>0</v>
      </c>
      <c r="T124" s="19">
        <v>0</v>
      </c>
      <c r="U124" s="19">
        <v>0</v>
      </c>
      <c r="V124" s="19">
        <v>0</v>
      </c>
      <c r="W124" s="19">
        <v>0</v>
      </c>
      <c r="X124" s="19">
        <v>0</v>
      </c>
      <c r="Y124" s="217">
        <v>0</v>
      </c>
      <c r="Z124" s="3">
        <f t="shared" si="7"/>
        <v>8876.7500000000018</v>
      </c>
      <c r="AA124" s="3">
        <f t="shared" si="8"/>
        <v>348147.25</v>
      </c>
      <c r="AB124" s="3">
        <f t="shared" si="10"/>
        <v>48066</v>
      </c>
      <c r="AC124" s="3">
        <f>ROUND(MAX(0,(D124-V124)*'Shift 14'!$B$2),2)</f>
        <v>0</v>
      </c>
      <c r="AD124" s="3">
        <f t="shared" si="9"/>
        <v>0</v>
      </c>
      <c r="AE124" s="3">
        <f t="shared" si="11"/>
        <v>0</v>
      </c>
      <c r="AF124" s="214">
        <v>390</v>
      </c>
      <c r="AG124" s="214">
        <v>1</v>
      </c>
      <c r="AH124" s="3">
        <v>0</v>
      </c>
      <c r="AI124" s="3">
        <v>0</v>
      </c>
      <c r="AJ124" s="3">
        <v>0</v>
      </c>
      <c r="AK124" s="3">
        <v>5500</v>
      </c>
      <c r="AL124" s="3">
        <v>16166.76</v>
      </c>
      <c r="AM124" s="3">
        <v>0</v>
      </c>
      <c r="AN124" s="3">
        <v>0</v>
      </c>
      <c r="AO124" s="3">
        <v>0</v>
      </c>
      <c r="AP124" s="3">
        <v>0</v>
      </c>
      <c r="AQ124" s="3">
        <v>-8724.73</v>
      </c>
      <c r="AR124" s="3">
        <v>0</v>
      </c>
      <c r="AS124" s="3">
        <v>-4065.28</v>
      </c>
      <c r="AT124" s="3">
        <v>0</v>
      </c>
      <c r="AU124" s="3">
        <f t="shared" si="12"/>
        <v>0</v>
      </c>
      <c r="AV124" s="17">
        <v>390</v>
      </c>
      <c r="AW124" s="17">
        <v>390</v>
      </c>
      <c r="AX124" s="17">
        <v>1</v>
      </c>
      <c r="AY124" s="3" t="s">
        <v>122</v>
      </c>
      <c r="AZ124" s="3">
        <v>0</v>
      </c>
      <c r="BA124" s="19">
        <v>0</v>
      </c>
    </row>
    <row r="125" spans="1:53" x14ac:dyDescent="0.2">
      <c r="A125" s="17">
        <v>391</v>
      </c>
      <c r="B125" s="17">
        <v>1</v>
      </c>
      <c r="C125" s="3" t="s">
        <v>123</v>
      </c>
      <c r="D125" s="3">
        <f>Levy!F126</f>
        <v>327200.55</v>
      </c>
      <c r="E125" s="3">
        <f>Levy!G126</f>
        <v>58584.07</v>
      </c>
      <c r="F125" s="3">
        <f>Levy!H126</f>
        <v>0</v>
      </c>
      <c r="G125" s="3">
        <f>Levy!I126</f>
        <v>191361.69</v>
      </c>
      <c r="H125" s="217">
        <f>Levy!J126</f>
        <v>38252.43</v>
      </c>
      <c r="I125" s="219">
        <v>0</v>
      </c>
      <c r="J125" s="219">
        <v>20000</v>
      </c>
      <c r="K125" s="219">
        <v>16044.85</v>
      </c>
      <c r="L125" s="219">
        <v>0</v>
      </c>
      <c r="M125" s="219">
        <v>0</v>
      </c>
      <c r="N125" s="19">
        <v>0</v>
      </c>
      <c r="O125" s="19">
        <v>0</v>
      </c>
      <c r="P125" s="219">
        <v>0</v>
      </c>
      <c r="Q125" s="219">
        <v>0</v>
      </c>
      <c r="R125" s="219">
        <v>-3475.22</v>
      </c>
      <c r="S125" s="219">
        <v>0</v>
      </c>
      <c r="T125" s="19">
        <v>0</v>
      </c>
      <c r="U125" s="19">
        <v>0</v>
      </c>
      <c r="V125" s="19">
        <v>0</v>
      </c>
      <c r="W125" s="19">
        <v>0</v>
      </c>
      <c r="X125" s="19">
        <v>0</v>
      </c>
      <c r="Y125" s="217">
        <v>42002.25</v>
      </c>
      <c r="Z125" s="3">
        <f t="shared" si="7"/>
        <v>32569.629999999997</v>
      </c>
      <c r="AA125" s="3">
        <f t="shared" si="8"/>
        <v>217376.13</v>
      </c>
      <c r="AB125" s="3">
        <f t="shared" si="10"/>
        <v>38252.43</v>
      </c>
      <c r="AC125" s="3">
        <f>ROUND(MAX(0,(D125-V125)*'Shift 14'!$B$2),2)</f>
        <v>0</v>
      </c>
      <c r="AD125" s="3">
        <f t="shared" si="9"/>
        <v>42002.25</v>
      </c>
      <c r="AE125" s="3">
        <f t="shared" si="11"/>
        <v>0</v>
      </c>
      <c r="AF125" s="214">
        <v>391</v>
      </c>
      <c r="AG125" s="214">
        <v>1</v>
      </c>
      <c r="AH125" s="3">
        <v>0</v>
      </c>
      <c r="AI125" s="3">
        <v>0</v>
      </c>
      <c r="AJ125" s="3">
        <v>0</v>
      </c>
      <c r="AK125" s="3">
        <v>20000</v>
      </c>
      <c r="AL125" s="3">
        <v>16044.85</v>
      </c>
      <c r="AM125" s="3">
        <v>0</v>
      </c>
      <c r="AN125" s="3">
        <v>0</v>
      </c>
      <c r="AO125" s="3">
        <v>-6900</v>
      </c>
      <c r="AP125" s="3">
        <v>-5708.97</v>
      </c>
      <c r="AQ125" s="3">
        <v>0</v>
      </c>
      <c r="AR125" s="3">
        <v>0</v>
      </c>
      <c r="AS125" s="3">
        <v>-3475.22</v>
      </c>
      <c r="AT125" s="3">
        <v>0</v>
      </c>
      <c r="AU125" s="3">
        <f t="shared" si="12"/>
        <v>0</v>
      </c>
      <c r="AV125" s="17">
        <v>391</v>
      </c>
      <c r="AW125" s="17">
        <v>391</v>
      </c>
      <c r="AX125" s="17">
        <v>1</v>
      </c>
      <c r="AY125" s="3" t="s">
        <v>123</v>
      </c>
      <c r="AZ125" s="3">
        <v>0</v>
      </c>
      <c r="BA125" s="19">
        <v>42002.25</v>
      </c>
    </row>
    <row r="126" spans="1:53" x14ac:dyDescent="0.2">
      <c r="A126" s="17">
        <v>402</v>
      </c>
      <c r="B126" s="17">
        <v>1</v>
      </c>
      <c r="C126" s="3" t="s">
        <v>124</v>
      </c>
      <c r="D126" s="3">
        <f>Levy!F127</f>
        <v>280502.03999999998</v>
      </c>
      <c r="E126" s="3">
        <f>Levy!G127</f>
        <v>2439.42</v>
      </c>
      <c r="F126" s="3">
        <f>Levy!H127</f>
        <v>0</v>
      </c>
      <c r="G126" s="3">
        <f>Levy!I127</f>
        <v>101529.32</v>
      </c>
      <c r="H126" s="217">
        <f>Levy!J127</f>
        <v>35582.68</v>
      </c>
      <c r="I126" s="219">
        <v>0</v>
      </c>
      <c r="J126" s="219">
        <v>9909.2099999999991</v>
      </c>
      <c r="K126" s="219">
        <v>1995.1</v>
      </c>
      <c r="L126" s="219">
        <v>0</v>
      </c>
      <c r="M126" s="219">
        <v>0</v>
      </c>
      <c r="N126" s="19">
        <v>0</v>
      </c>
      <c r="O126" s="19">
        <v>0</v>
      </c>
      <c r="P126" s="219">
        <v>-1720</v>
      </c>
      <c r="Q126" s="219">
        <v>0</v>
      </c>
      <c r="R126" s="219">
        <v>0</v>
      </c>
      <c r="S126" s="219">
        <v>0</v>
      </c>
      <c r="T126" s="19">
        <v>0</v>
      </c>
      <c r="U126" s="19">
        <v>0</v>
      </c>
      <c r="V126" s="19">
        <v>0</v>
      </c>
      <c r="W126" s="19">
        <v>0</v>
      </c>
      <c r="X126" s="19">
        <v>4376.54</v>
      </c>
      <c r="Y126" s="217">
        <v>9929.51</v>
      </c>
      <c r="Z126" s="3">
        <f t="shared" si="7"/>
        <v>10184.31</v>
      </c>
      <c r="AA126" s="3">
        <f t="shared" si="8"/>
        <v>89407.89</v>
      </c>
      <c r="AB126" s="3">
        <f t="shared" si="10"/>
        <v>35582.68</v>
      </c>
      <c r="AC126" s="3">
        <f>ROUND(MAX(0,(D126-V126)*'Shift 14'!$B$2),2)</f>
        <v>0</v>
      </c>
      <c r="AD126" s="3">
        <f t="shared" si="9"/>
        <v>9929.51</v>
      </c>
      <c r="AE126" s="3">
        <f t="shared" si="11"/>
        <v>0</v>
      </c>
      <c r="AF126" s="214">
        <v>402</v>
      </c>
      <c r="AG126" s="214">
        <v>1</v>
      </c>
      <c r="AH126" s="3">
        <v>0</v>
      </c>
      <c r="AI126" s="3">
        <v>0</v>
      </c>
      <c r="AJ126" s="3">
        <v>2347.08</v>
      </c>
      <c r="AK126" s="3">
        <v>9909.2099999999991</v>
      </c>
      <c r="AL126" s="3">
        <v>1995.1</v>
      </c>
      <c r="AM126" s="3">
        <v>0</v>
      </c>
      <c r="AN126" s="3">
        <v>0</v>
      </c>
      <c r="AO126" s="3">
        <v>0</v>
      </c>
      <c r="AP126" s="3">
        <v>-951.49</v>
      </c>
      <c r="AQ126" s="3">
        <v>-1720</v>
      </c>
      <c r="AR126" s="3">
        <v>0</v>
      </c>
      <c r="AS126" s="3">
        <v>0</v>
      </c>
      <c r="AT126" s="3">
        <v>0</v>
      </c>
      <c r="AU126" s="3">
        <f t="shared" si="12"/>
        <v>0</v>
      </c>
      <c r="AV126" s="17">
        <v>402</v>
      </c>
      <c r="AW126" s="17">
        <v>402</v>
      </c>
      <c r="AX126" s="17">
        <v>1</v>
      </c>
      <c r="AY126" s="3" t="s">
        <v>124</v>
      </c>
      <c r="AZ126" s="3">
        <v>4376.54</v>
      </c>
      <c r="BA126" s="19">
        <v>9929.51</v>
      </c>
    </row>
    <row r="127" spans="1:53" x14ac:dyDescent="0.2">
      <c r="A127" s="17">
        <v>403</v>
      </c>
      <c r="B127" s="17">
        <v>1</v>
      </c>
      <c r="C127" s="3" t="s">
        <v>125</v>
      </c>
      <c r="D127" s="3">
        <f>Levy!F128</f>
        <v>240871.4</v>
      </c>
      <c r="E127" s="3">
        <f>Levy!G128</f>
        <v>6343.2</v>
      </c>
      <c r="F127" s="3">
        <f>Levy!H128</f>
        <v>0</v>
      </c>
      <c r="G127" s="3">
        <f>Levy!I128</f>
        <v>122750.66</v>
      </c>
      <c r="H127" s="217">
        <f>Levy!J128</f>
        <v>17568.98</v>
      </c>
      <c r="I127" s="219">
        <v>0</v>
      </c>
      <c r="J127" s="219">
        <v>7500</v>
      </c>
      <c r="K127" s="219">
        <v>13407.94</v>
      </c>
      <c r="L127" s="219">
        <v>0</v>
      </c>
      <c r="M127" s="219">
        <v>0</v>
      </c>
      <c r="N127" s="19">
        <v>0</v>
      </c>
      <c r="O127" s="19">
        <v>0</v>
      </c>
      <c r="P127" s="219">
        <v>-5000</v>
      </c>
      <c r="Q127" s="219">
        <v>0</v>
      </c>
      <c r="R127" s="219">
        <v>-1665.08</v>
      </c>
      <c r="S127" s="219">
        <v>0</v>
      </c>
      <c r="T127" s="19">
        <v>0</v>
      </c>
      <c r="U127" s="19">
        <v>0</v>
      </c>
      <c r="V127" s="19">
        <v>0</v>
      </c>
      <c r="W127" s="19">
        <v>0</v>
      </c>
      <c r="X127" s="19">
        <v>0</v>
      </c>
      <c r="Y127" s="217">
        <v>17191.45</v>
      </c>
      <c r="Z127" s="3">
        <f t="shared" si="7"/>
        <v>14242.860000000002</v>
      </c>
      <c r="AA127" s="3">
        <f t="shared" si="8"/>
        <v>114851</v>
      </c>
      <c r="AB127" s="3">
        <f t="shared" si="10"/>
        <v>17568.98</v>
      </c>
      <c r="AC127" s="3">
        <f>ROUND(MAX(0,(D127-V127)*'Shift 14'!$B$2),2)</f>
        <v>0</v>
      </c>
      <c r="AD127" s="3">
        <f t="shared" si="9"/>
        <v>17191.45</v>
      </c>
      <c r="AE127" s="3">
        <f t="shared" si="11"/>
        <v>0</v>
      </c>
      <c r="AF127" s="214">
        <v>403</v>
      </c>
      <c r="AG127" s="214">
        <v>1</v>
      </c>
      <c r="AH127" s="3">
        <v>0</v>
      </c>
      <c r="AI127" s="3">
        <v>0</v>
      </c>
      <c r="AJ127" s="3">
        <v>3995.73</v>
      </c>
      <c r="AK127" s="3">
        <v>7500</v>
      </c>
      <c r="AL127" s="3">
        <v>13407.94</v>
      </c>
      <c r="AM127" s="3">
        <v>0</v>
      </c>
      <c r="AN127" s="3">
        <v>0</v>
      </c>
      <c r="AO127" s="3">
        <v>0</v>
      </c>
      <c r="AP127" s="3">
        <v>-375.61</v>
      </c>
      <c r="AQ127" s="3">
        <v>-5000</v>
      </c>
      <c r="AR127" s="3">
        <v>0</v>
      </c>
      <c r="AS127" s="3">
        <v>-1665.08</v>
      </c>
      <c r="AT127" s="3">
        <v>0</v>
      </c>
      <c r="AU127" s="3">
        <f t="shared" si="12"/>
        <v>0</v>
      </c>
      <c r="AV127" s="17">
        <v>403</v>
      </c>
      <c r="AW127" s="17">
        <v>403</v>
      </c>
      <c r="AX127" s="17">
        <v>1</v>
      </c>
      <c r="AY127" s="3" t="s">
        <v>125</v>
      </c>
      <c r="AZ127" s="3">
        <v>0</v>
      </c>
      <c r="BA127" s="19">
        <v>17191.45</v>
      </c>
    </row>
    <row r="128" spans="1:53" x14ac:dyDescent="0.2">
      <c r="A128" s="17">
        <v>404</v>
      </c>
      <c r="B128" s="17">
        <v>1</v>
      </c>
      <c r="C128" s="3" t="s">
        <v>126</v>
      </c>
      <c r="D128" s="3">
        <f>Levy!F129</f>
        <v>342740.39</v>
      </c>
      <c r="E128" s="3">
        <f>Levy!G129</f>
        <v>5461.04</v>
      </c>
      <c r="F128" s="3">
        <f>Levy!H129</f>
        <v>0</v>
      </c>
      <c r="G128" s="3">
        <f>Levy!I129</f>
        <v>86569.14</v>
      </c>
      <c r="H128" s="217">
        <f>Levy!J129</f>
        <v>14926.93</v>
      </c>
      <c r="I128" s="219">
        <v>0</v>
      </c>
      <c r="J128" s="219">
        <v>27</v>
      </c>
      <c r="K128" s="219">
        <v>0</v>
      </c>
      <c r="L128" s="219">
        <v>0</v>
      </c>
      <c r="M128" s="219">
        <v>0</v>
      </c>
      <c r="N128" s="19">
        <v>0</v>
      </c>
      <c r="O128" s="19">
        <v>0</v>
      </c>
      <c r="P128" s="219">
        <v>3679.98</v>
      </c>
      <c r="Q128" s="219">
        <v>0</v>
      </c>
      <c r="R128" s="219">
        <v>0</v>
      </c>
      <c r="S128" s="219">
        <v>0</v>
      </c>
      <c r="T128" s="19">
        <v>0</v>
      </c>
      <c r="U128" s="19">
        <v>0</v>
      </c>
      <c r="V128" s="19">
        <v>0</v>
      </c>
      <c r="W128" s="19">
        <v>0</v>
      </c>
      <c r="X128" s="19">
        <v>325.19</v>
      </c>
      <c r="Y128" s="217">
        <v>70889.98</v>
      </c>
      <c r="Z128" s="3">
        <f t="shared" si="7"/>
        <v>3706.98</v>
      </c>
      <c r="AA128" s="3">
        <f t="shared" si="8"/>
        <v>87998.01</v>
      </c>
      <c r="AB128" s="3">
        <f t="shared" si="10"/>
        <v>14926.93</v>
      </c>
      <c r="AC128" s="3">
        <f>ROUND(MAX(0,(D128-V128)*'Shift 14'!$B$2),2)</f>
        <v>0</v>
      </c>
      <c r="AD128" s="3">
        <f t="shared" si="9"/>
        <v>70889.98</v>
      </c>
      <c r="AE128" s="3">
        <f t="shared" si="11"/>
        <v>0</v>
      </c>
      <c r="AF128" s="214">
        <v>404</v>
      </c>
      <c r="AG128" s="214">
        <v>1</v>
      </c>
      <c r="AH128" s="3">
        <v>0</v>
      </c>
      <c r="AI128" s="3">
        <v>0</v>
      </c>
      <c r="AJ128" s="3">
        <v>0</v>
      </c>
      <c r="AK128" s="3">
        <v>27</v>
      </c>
      <c r="AL128" s="3">
        <v>0</v>
      </c>
      <c r="AM128" s="3">
        <v>0</v>
      </c>
      <c r="AN128" s="3">
        <v>0</v>
      </c>
      <c r="AO128" s="3">
        <v>0</v>
      </c>
      <c r="AP128" s="3">
        <v>0</v>
      </c>
      <c r="AQ128" s="3">
        <v>3679.98</v>
      </c>
      <c r="AR128" s="3">
        <v>0</v>
      </c>
      <c r="AS128" s="3">
        <v>0</v>
      </c>
      <c r="AT128" s="3">
        <v>0</v>
      </c>
      <c r="AU128" s="3">
        <f t="shared" si="12"/>
        <v>0</v>
      </c>
      <c r="AV128" s="17">
        <v>404</v>
      </c>
      <c r="AW128" s="17">
        <v>404</v>
      </c>
      <c r="AX128" s="17">
        <v>1</v>
      </c>
      <c r="AY128" s="3" t="s">
        <v>126</v>
      </c>
      <c r="AZ128" s="3">
        <v>325.19</v>
      </c>
      <c r="BA128" s="19">
        <v>70889.98</v>
      </c>
    </row>
    <row r="129" spans="1:53" x14ac:dyDescent="0.2">
      <c r="A129" s="17">
        <v>413</v>
      </c>
      <c r="B129" s="17">
        <v>1</v>
      </c>
      <c r="C129" s="3" t="s">
        <v>127</v>
      </c>
      <c r="D129" s="3">
        <f>Levy!F130</f>
        <v>697615</v>
      </c>
      <c r="E129" s="3">
        <f>Levy!G130</f>
        <v>678973</v>
      </c>
      <c r="F129" s="3">
        <f>Levy!H130</f>
        <v>0</v>
      </c>
      <c r="G129" s="3">
        <f>Levy!I130</f>
        <v>1315289</v>
      </c>
      <c r="H129" s="217">
        <f>Levy!J130</f>
        <v>187118</v>
      </c>
      <c r="I129" s="219">
        <v>0</v>
      </c>
      <c r="J129" s="219">
        <v>10000</v>
      </c>
      <c r="K129" s="219">
        <v>55945.9</v>
      </c>
      <c r="L129" s="219">
        <v>0</v>
      </c>
      <c r="M129" s="219">
        <v>0</v>
      </c>
      <c r="N129" s="19">
        <v>0</v>
      </c>
      <c r="O129" s="19">
        <v>0</v>
      </c>
      <c r="P129" s="219">
        <v>-4847.26</v>
      </c>
      <c r="Q129" s="219">
        <v>0</v>
      </c>
      <c r="R129" s="219">
        <v>-9412.64</v>
      </c>
      <c r="S129" s="219">
        <v>0</v>
      </c>
      <c r="T129" s="19">
        <v>0</v>
      </c>
      <c r="U129" s="19">
        <v>0</v>
      </c>
      <c r="V129" s="19">
        <v>0</v>
      </c>
      <c r="W129" s="19">
        <v>0</v>
      </c>
      <c r="X129" s="19">
        <v>0</v>
      </c>
      <c r="Y129" s="217">
        <v>185634.72</v>
      </c>
      <c r="Z129" s="3">
        <f t="shared" si="7"/>
        <v>51685.999999999993</v>
      </c>
      <c r="AA129" s="3">
        <f t="shared" si="8"/>
        <v>1942576</v>
      </c>
      <c r="AB129" s="3">
        <f t="shared" si="10"/>
        <v>187118</v>
      </c>
      <c r="AC129" s="3">
        <f>ROUND(MAX(0,(D129-V129)*'Shift 14'!$B$2),2)</f>
        <v>0</v>
      </c>
      <c r="AD129" s="3">
        <f t="shared" si="9"/>
        <v>185634.72</v>
      </c>
      <c r="AE129" s="3">
        <f t="shared" si="11"/>
        <v>0</v>
      </c>
      <c r="AF129" s="214">
        <v>413</v>
      </c>
      <c r="AG129" s="214">
        <v>1</v>
      </c>
      <c r="AH129" s="3">
        <v>0</v>
      </c>
      <c r="AI129" s="3">
        <v>0</v>
      </c>
      <c r="AJ129" s="3">
        <v>89581.1</v>
      </c>
      <c r="AK129" s="3">
        <v>10000</v>
      </c>
      <c r="AL129" s="3">
        <v>55945.9</v>
      </c>
      <c r="AM129" s="3">
        <v>0</v>
      </c>
      <c r="AN129" s="3">
        <v>0</v>
      </c>
      <c r="AO129" s="3">
        <v>0</v>
      </c>
      <c r="AP129" s="3">
        <v>-6227.13</v>
      </c>
      <c r="AQ129" s="3">
        <v>-4847.26</v>
      </c>
      <c r="AR129" s="3">
        <v>0</v>
      </c>
      <c r="AS129" s="3">
        <v>-9412.64</v>
      </c>
      <c r="AT129" s="3">
        <v>0</v>
      </c>
      <c r="AU129" s="3">
        <f t="shared" si="12"/>
        <v>0</v>
      </c>
      <c r="AV129" s="17">
        <v>413</v>
      </c>
      <c r="AW129" s="17">
        <v>413</v>
      </c>
      <c r="AX129" s="17">
        <v>1</v>
      </c>
      <c r="AY129" s="3" t="s">
        <v>127</v>
      </c>
      <c r="AZ129" s="3">
        <v>0</v>
      </c>
      <c r="BA129" s="19">
        <v>185634.72</v>
      </c>
    </row>
    <row r="130" spans="1:53" x14ac:dyDescent="0.2">
      <c r="A130" s="17">
        <v>414</v>
      </c>
      <c r="B130" s="17">
        <v>1</v>
      </c>
      <c r="C130" s="3" t="s">
        <v>128</v>
      </c>
      <c r="D130" s="3">
        <f>Levy!F131</f>
        <v>146343</v>
      </c>
      <c r="E130" s="3">
        <f>Levy!G131</f>
        <v>27240</v>
      </c>
      <c r="F130" s="3">
        <f>Levy!H131</f>
        <v>0</v>
      </c>
      <c r="G130" s="3">
        <f>Levy!I131</f>
        <v>314154</v>
      </c>
      <c r="H130" s="217">
        <f>Levy!J131</f>
        <v>39065</v>
      </c>
      <c r="I130" s="219">
        <v>0</v>
      </c>
      <c r="J130" s="219">
        <v>5000</v>
      </c>
      <c r="K130" s="219">
        <v>13927.1</v>
      </c>
      <c r="L130" s="219">
        <v>0</v>
      </c>
      <c r="M130" s="219">
        <v>0</v>
      </c>
      <c r="N130" s="19">
        <v>0</v>
      </c>
      <c r="O130" s="19">
        <v>0</v>
      </c>
      <c r="P130" s="219">
        <v>-7479.4</v>
      </c>
      <c r="Q130" s="219">
        <v>0</v>
      </c>
      <c r="R130" s="219">
        <v>-2116.75</v>
      </c>
      <c r="S130" s="219">
        <v>0</v>
      </c>
      <c r="T130" s="19">
        <v>0</v>
      </c>
      <c r="U130" s="19">
        <v>0</v>
      </c>
      <c r="V130" s="19">
        <v>0</v>
      </c>
      <c r="W130" s="19">
        <v>0</v>
      </c>
      <c r="X130" s="19">
        <v>262.36</v>
      </c>
      <c r="Y130" s="217">
        <v>28651.58</v>
      </c>
      <c r="Z130" s="3">
        <f t="shared" si="7"/>
        <v>9330.9499999999989</v>
      </c>
      <c r="AA130" s="3">
        <f t="shared" si="8"/>
        <v>331800.69</v>
      </c>
      <c r="AB130" s="3">
        <f t="shared" si="10"/>
        <v>39065</v>
      </c>
      <c r="AC130" s="3">
        <f>ROUND(MAX(0,(D130-V130)*'Shift 14'!$B$2),2)</f>
        <v>0</v>
      </c>
      <c r="AD130" s="3">
        <f t="shared" si="9"/>
        <v>28651.58</v>
      </c>
      <c r="AE130" s="3">
        <f t="shared" si="11"/>
        <v>0</v>
      </c>
      <c r="AF130" s="214">
        <v>414</v>
      </c>
      <c r="AG130" s="214">
        <v>1</v>
      </c>
      <c r="AH130" s="3">
        <v>0</v>
      </c>
      <c r="AI130" s="3">
        <v>0</v>
      </c>
      <c r="AJ130" s="3">
        <v>11502.32</v>
      </c>
      <c r="AK130" s="3">
        <v>5000</v>
      </c>
      <c r="AL130" s="3">
        <v>13927.1</v>
      </c>
      <c r="AM130" s="3">
        <v>0</v>
      </c>
      <c r="AN130" s="3">
        <v>0</v>
      </c>
      <c r="AO130" s="3">
        <v>0</v>
      </c>
      <c r="AP130" s="3">
        <v>-105.98</v>
      </c>
      <c r="AQ130" s="3">
        <v>-7479.4</v>
      </c>
      <c r="AR130" s="3">
        <v>0</v>
      </c>
      <c r="AS130" s="3">
        <v>-2116.75</v>
      </c>
      <c r="AT130" s="3">
        <v>0</v>
      </c>
      <c r="AU130" s="3">
        <f t="shared" si="12"/>
        <v>0</v>
      </c>
      <c r="AV130" s="17">
        <v>414</v>
      </c>
      <c r="AW130" s="17">
        <v>414</v>
      </c>
      <c r="AX130" s="17">
        <v>1</v>
      </c>
      <c r="AY130" s="3" t="s">
        <v>128</v>
      </c>
      <c r="AZ130" s="3">
        <v>262.36</v>
      </c>
      <c r="BA130" s="19">
        <v>28651.58</v>
      </c>
    </row>
    <row r="131" spans="1:53" x14ac:dyDescent="0.2">
      <c r="A131" s="17">
        <v>415</v>
      </c>
      <c r="B131" s="17">
        <v>1</v>
      </c>
      <c r="C131" s="3" t="s">
        <v>129</v>
      </c>
      <c r="D131" s="3">
        <f>Levy!F132</f>
        <v>262584</v>
      </c>
      <c r="E131" s="3">
        <f>Levy!G132</f>
        <v>15966</v>
      </c>
      <c r="F131" s="3">
        <f>Levy!H132</f>
        <v>0</v>
      </c>
      <c r="G131" s="3">
        <f>Levy!I132</f>
        <v>104496</v>
      </c>
      <c r="H131" s="217">
        <f>Levy!J132</f>
        <v>48470</v>
      </c>
      <c r="I131" s="219">
        <v>0</v>
      </c>
      <c r="J131" s="219">
        <v>1000</v>
      </c>
      <c r="K131" s="219">
        <v>715.45</v>
      </c>
      <c r="L131" s="219">
        <v>0</v>
      </c>
      <c r="M131" s="219">
        <v>0</v>
      </c>
      <c r="N131" s="19">
        <v>0</v>
      </c>
      <c r="O131" s="19">
        <v>0</v>
      </c>
      <c r="P131" s="219">
        <v>-4925.37</v>
      </c>
      <c r="Q131" s="219">
        <v>0</v>
      </c>
      <c r="R131" s="219">
        <v>0</v>
      </c>
      <c r="S131" s="219">
        <v>0</v>
      </c>
      <c r="T131" s="19">
        <v>0</v>
      </c>
      <c r="U131" s="19">
        <v>0</v>
      </c>
      <c r="V131" s="19">
        <v>0</v>
      </c>
      <c r="W131" s="19">
        <v>0</v>
      </c>
      <c r="X131" s="19">
        <v>4594.3999999999996</v>
      </c>
      <c r="Y131" s="217">
        <v>20886.88</v>
      </c>
      <c r="Z131" s="3">
        <f t="shared" si="7"/>
        <v>-3209.92</v>
      </c>
      <c r="AA131" s="3">
        <f t="shared" si="8"/>
        <v>119077.52</v>
      </c>
      <c r="AB131" s="3">
        <f t="shared" si="10"/>
        <v>48470</v>
      </c>
      <c r="AC131" s="3">
        <f>ROUND(MAX(0,(D131-V131)*'Shift 14'!$B$2),2)</f>
        <v>0</v>
      </c>
      <c r="AD131" s="3">
        <f t="shared" si="9"/>
        <v>20886.88</v>
      </c>
      <c r="AE131" s="3">
        <f t="shared" si="11"/>
        <v>0</v>
      </c>
      <c r="AF131" s="214">
        <v>415</v>
      </c>
      <c r="AG131" s="214">
        <v>1</v>
      </c>
      <c r="AH131" s="3">
        <v>0</v>
      </c>
      <c r="AI131" s="3">
        <v>0</v>
      </c>
      <c r="AJ131" s="3">
        <v>7778.37</v>
      </c>
      <c r="AK131" s="3">
        <v>1000</v>
      </c>
      <c r="AL131" s="3">
        <v>715.45</v>
      </c>
      <c r="AM131" s="3">
        <v>0</v>
      </c>
      <c r="AN131" s="3">
        <v>0</v>
      </c>
      <c r="AO131" s="3">
        <v>0</v>
      </c>
      <c r="AP131" s="3">
        <v>-383.52</v>
      </c>
      <c r="AQ131" s="3">
        <v>-4925.37</v>
      </c>
      <c r="AR131" s="3">
        <v>0</v>
      </c>
      <c r="AS131" s="3">
        <v>0</v>
      </c>
      <c r="AT131" s="3">
        <v>0</v>
      </c>
      <c r="AU131" s="3">
        <f t="shared" si="12"/>
        <v>0</v>
      </c>
      <c r="AV131" s="17">
        <v>415</v>
      </c>
      <c r="AW131" s="17">
        <v>415</v>
      </c>
      <c r="AX131" s="17">
        <v>1</v>
      </c>
      <c r="AY131" s="3" t="s">
        <v>129</v>
      </c>
      <c r="AZ131" s="3">
        <v>4594.3999999999996</v>
      </c>
      <c r="BA131" s="19">
        <v>20886.88</v>
      </c>
    </row>
    <row r="132" spans="1:53" x14ac:dyDescent="0.2">
      <c r="A132" s="17">
        <v>423</v>
      </c>
      <c r="B132" s="17">
        <v>1</v>
      </c>
      <c r="C132" s="3" t="s">
        <v>130</v>
      </c>
      <c r="D132" s="3">
        <f>Levy!F133</f>
        <v>1613245</v>
      </c>
      <c r="E132" s="3">
        <f>Levy!G133</f>
        <v>699838</v>
      </c>
      <c r="F132" s="3">
        <f>Levy!H133</f>
        <v>0</v>
      </c>
      <c r="G132" s="3">
        <f>Levy!I133</f>
        <v>1045574</v>
      </c>
      <c r="H132" s="217">
        <f>Levy!J133</f>
        <v>195804</v>
      </c>
      <c r="I132" s="219">
        <v>0</v>
      </c>
      <c r="J132" s="219">
        <v>25000</v>
      </c>
      <c r="K132" s="219">
        <v>45049.58</v>
      </c>
      <c r="L132" s="219">
        <v>0</v>
      </c>
      <c r="M132" s="219">
        <v>0</v>
      </c>
      <c r="N132" s="19">
        <v>0</v>
      </c>
      <c r="O132" s="19">
        <v>0</v>
      </c>
      <c r="P132" s="219">
        <v>-16772.02</v>
      </c>
      <c r="Q132" s="219">
        <v>0</v>
      </c>
      <c r="R132" s="219">
        <v>-6297.9</v>
      </c>
      <c r="S132" s="219">
        <v>0</v>
      </c>
      <c r="T132" s="19">
        <v>0</v>
      </c>
      <c r="U132" s="19">
        <v>0</v>
      </c>
      <c r="V132" s="19">
        <v>0</v>
      </c>
      <c r="W132" s="19">
        <v>0</v>
      </c>
      <c r="X132" s="19">
        <v>0</v>
      </c>
      <c r="Y132" s="217">
        <v>159248.91</v>
      </c>
      <c r="Z132" s="3">
        <f t="shared" si="7"/>
        <v>46979.659999999996</v>
      </c>
      <c r="AA132" s="3">
        <f t="shared" si="8"/>
        <v>1698432.34</v>
      </c>
      <c r="AB132" s="3">
        <f t="shared" si="10"/>
        <v>195804</v>
      </c>
      <c r="AC132" s="3">
        <f>ROUND(MAX(0,(D132-V132)*'Shift 14'!$B$2),2)</f>
        <v>0</v>
      </c>
      <c r="AD132" s="3">
        <f t="shared" si="9"/>
        <v>159248.91</v>
      </c>
      <c r="AE132" s="3">
        <f t="shared" si="11"/>
        <v>0</v>
      </c>
      <c r="AF132" s="214">
        <v>423</v>
      </c>
      <c r="AG132" s="214">
        <v>1</v>
      </c>
      <c r="AH132" s="3">
        <v>0</v>
      </c>
      <c r="AI132" s="3">
        <v>0</v>
      </c>
      <c r="AJ132" s="3">
        <v>0</v>
      </c>
      <c r="AK132" s="3">
        <v>25000</v>
      </c>
      <c r="AL132" s="3">
        <v>45049.58</v>
      </c>
      <c r="AM132" s="3">
        <v>0</v>
      </c>
      <c r="AN132" s="3">
        <v>0</v>
      </c>
      <c r="AO132" s="3">
        <v>0</v>
      </c>
      <c r="AP132" s="3">
        <v>0</v>
      </c>
      <c r="AQ132" s="3">
        <v>-16772.02</v>
      </c>
      <c r="AR132" s="3">
        <v>0</v>
      </c>
      <c r="AS132" s="3">
        <v>-6297.9</v>
      </c>
      <c r="AT132" s="3">
        <v>0</v>
      </c>
      <c r="AU132" s="3">
        <f t="shared" si="12"/>
        <v>0</v>
      </c>
      <c r="AV132" s="17">
        <v>423</v>
      </c>
      <c r="AW132" s="17">
        <v>423</v>
      </c>
      <c r="AX132" s="17">
        <v>1</v>
      </c>
      <c r="AY132" s="3" t="s">
        <v>130</v>
      </c>
      <c r="AZ132" s="3">
        <v>0</v>
      </c>
      <c r="BA132" s="19">
        <v>159248.91</v>
      </c>
    </row>
    <row r="133" spans="1:53" x14ac:dyDescent="0.2">
      <c r="A133" s="17">
        <v>424</v>
      </c>
      <c r="B133" s="17">
        <v>1</v>
      </c>
      <c r="C133" s="3" t="s">
        <v>131</v>
      </c>
      <c r="D133" s="3">
        <f>Levy!F134</f>
        <v>129445</v>
      </c>
      <c r="E133" s="3">
        <f>Levy!G134</f>
        <v>228423</v>
      </c>
      <c r="F133" s="3">
        <f>Levy!H134</f>
        <v>0</v>
      </c>
      <c r="G133" s="3">
        <f>Levy!I134</f>
        <v>87750</v>
      </c>
      <c r="H133" s="217">
        <f>Levy!J134</f>
        <v>22480</v>
      </c>
      <c r="I133" s="219">
        <v>0</v>
      </c>
      <c r="J133" s="219">
        <v>19000</v>
      </c>
      <c r="K133" s="219">
        <v>8786.73</v>
      </c>
      <c r="L133" s="219">
        <v>0</v>
      </c>
      <c r="M133" s="219">
        <v>0</v>
      </c>
      <c r="N133" s="19">
        <v>0</v>
      </c>
      <c r="O133" s="19">
        <v>0</v>
      </c>
      <c r="P133" s="219">
        <v>241.2</v>
      </c>
      <c r="Q133" s="219">
        <v>0</v>
      </c>
      <c r="R133" s="219">
        <v>-1665.08</v>
      </c>
      <c r="S133" s="219">
        <v>0</v>
      </c>
      <c r="T133" s="19">
        <v>0</v>
      </c>
      <c r="U133" s="19">
        <v>0</v>
      </c>
      <c r="V133" s="19">
        <v>0</v>
      </c>
      <c r="W133" s="19">
        <v>0</v>
      </c>
      <c r="X133" s="19">
        <v>0</v>
      </c>
      <c r="Y133" s="217">
        <v>24228.86</v>
      </c>
      <c r="Z133" s="3">
        <f t="shared" si="7"/>
        <v>26362.85</v>
      </c>
      <c r="AA133" s="3">
        <f t="shared" si="8"/>
        <v>289810.15000000002</v>
      </c>
      <c r="AB133" s="3">
        <f t="shared" si="10"/>
        <v>22480</v>
      </c>
      <c r="AC133" s="3">
        <f>ROUND(MAX(0,(D133-V133)*'Shift 14'!$B$2),2)</f>
        <v>0</v>
      </c>
      <c r="AD133" s="3">
        <f t="shared" si="9"/>
        <v>24228.86</v>
      </c>
      <c r="AE133" s="3">
        <f t="shared" si="11"/>
        <v>0</v>
      </c>
      <c r="AF133" s="214">
        <v>424</v>
      </c>
      <c r="AG133" s="214">
        <v>1</v>
      </c>
      <c r="AH133" s="3">
        <v>0</v>
      </c>
      <c r="AI133" s="3">
        <v>0</v>
      </c>
      <c r="AJ133" s="3">
        <v>0</v>
      </c>
      <c r="AK133" s="3">
        <v>19000</v>
      </c>
      <c r="AL133" s="3">
        <v>8786.73</v>
      </c>
      <c r="AM133" s="3">
        <v>0</v>
      </c>
      <c r="AN133" s="3">
        <v>0</v>
      </c>
      <c r="AO133" s="3">
        <v>0</v>
      </c>
      <c r="AP133" s="3">
        <v>0</v>
      </c>
      <c r="AQ133" s="3">
        <v>241.2</v>
      </c>
      <c r="AR133" s="3">
        <v>0</v>
      </c>
      <c r="AS133" s="3">
        <v>-1665.08</v>
      </c>
      <c r="AT133" s="3">
        <v>0</v>
      </c>
      <c r="AU133" s="3">
        <f t="shared" si="12"/>
        <v>0</v>
      </c>
      <c r="AV133" s="17">
        <v>424</v>
      </c>
      <c r="AW133" s="17">
        <v>424</v>
      </c>
      <c r="AX133" s="17">
        <v>1</v>
      </c>
      <c r="AY133" s="3" t="s">
        <v>131</v>
      </c>
      <c r="AZ133" s="3">
        <v>0</v>
      </c>
      <c r="BA133" s="19">
        <v>24228.86</v>
      </c>
    </row>
    <row r="134" spans="1:53" x14ac:dyDescent="0.2">
      <c r="A134" s="17">
        <v>432</v>
      </c>
      <c r="B134" s="17">
        <v>1</v>
      </c>
      <c r="C134" s="3" t="s">
        <v>132</v>
      </c>
      <c r="D134" s="3">
        <f>Levy!F135</f>
        <v>0</v>
      </c>
      <c r="E134" s="3">
        <f>Levy!G135</f>
        <v>71550.64</v>
      </c>
      <c r="F134" s="3">
        <f>Levy!H135</f>
        <v>0</v>
      </c>
      <c r="G134" s="3">
        <f>Levy!I135</f>
        <v>87953.89</v>
      </c>
      <c r="H134" s="217">
        <f>Levy!J135</f>
        <v>38722.81</v>
      </c>
      <c r="I134" s="219">
        <v>0</v>
      </c>
      <c r="J134" s="219">
        <v>5000</v>
      </c>
      <c r="K134" s="219">
        <v>22052.81</v>
      </c>
      <c r="L134" s="219">
        <v>0</v>
      </c>
      <c r="M134" s="219">
        <v>0</v>
      </c>
      <c r="N134" s="19">
        <v>0</v>
      </c>
      <c r="O134" s="19">
        <v>0</v>
      </c>
      <c r="P134" s="219">
        <v>-10000</v>
      </c>
      <c r="Q134" s="219">
        <v>0</v>
      </c>
      <c r="R134" s="219">
        <v>-5589.55</v>
      </c>
      <c r="S134" s="219">
        <v>0</v>
      </c>
      <c r="T134" s="19">
        <v>0</v>
      </c>
      <c r="U134" s="19">
        <v>0</v>
      </c>
      <c r="V134" s="19">
        <v>0</v>
      </c>
      <c r="W134" s="19">
        <v>0</v>
      </c>
      <c r="X134" s="19">
        <v>0</v>
      </c>
      <c r="Y134" s="217">
        <v>0</v>
      </c>
      <c r="Z134" s="3">
        <f t="shared" ref="Z134:Z197" si="13">SUM(I134:T134)</f>
        <v>11463.260000000002</v>
      </c>
      <c r="AA134" s="3">
        <f t="shared" ref="AA134:AA197" si="14">ROUND(MAX(E134+F134+G134-W134-X134-Z134,0),2)</f>
        <v>148041.26999999999</v>
      </c>
      <c r="AB134" s="3">
        <f t="shared" si="10"/>
        <v>38722.81</v>
      </c>
      <c r="AC134" s="3">
        <f>ROUND(MAX(0,(D134-V134)*'Shift 14'!$B$2),2)</f>
        <v>0</v>
      </c>
      <c r="AD134" s="3">
        <f t="shared" ref="AD134:AD197" si="15">MAX(AC134,Y134)</f>
        <v>0</v>
      </c>
      <c r="AE134" s="3">
        <f t="shared" si="11"/>
        <v>0</v>
      </c>
      <c r="AF134" s="214">
        <v>432</v>
      </c>
      <c r="AG134" s="214">
        <v>1</v>
      </c>
      <c r="AH134" s="3">
        <v>0</v>
      </c>
      <c r="AI134" s="3">
        <v>0</v>
      </c>
      <c r="AJ134" s="3">
        <v>0</v>
      </c>
      <c r="AK134" s="3">
        <v>5000</v>
      </c>
      <c r="AL134" s="3">
        <v>22052.81</v>
      </c>
      <c r="AM134" s="3">
        <v>0</v>
      </c>
      <c r="AN134" s="3">
        <v>0</v>
      </c>
      <c r="AO134" s="3">
        <v>0</v>
      </c>
      <c r="AP134" s="3">
        <v>0</v>
      </c>
      <c r="AQ134" s="3">
        <v>-10000</v>
      </c>
      <c r="AR134" s="3">
        <v>0</v>
      </c>
      <c r="AS134" s="3">
        <v>-5589.55</v>
      </c>
      <c r="AT134" s="3">
        <v>0</v>
      </c>
      <c r="AU134" s="3">
        <f t="shared" si="12"/>
        <v>0</v>
      </c>
      <c r="AV134" s="17">
        <v>432</v>
      </c>
      <c r="AW134" s="17">
        <v>432</v>
      </c>
      <c r="AX134" s="17">
        <v>1</v>
      </c>
      <c r="AY134" s="3" t="s">
        <v>132</v>
      </c>
      <c r="AZ134" s="3">
        <v>0</v>
      </c>
      <c r="BA134" s="19">
        <v>0</v>
      </c>
    </row>
    <row r="135" spans="1:53" x14ac:dyDescent="0.2">
      <c r="A135" s="17">
        <v>435</v>
      </c>
      <c r="B135" s="17">
        <v>1</v>
      </c>
      <c r="C135" s="3" t="s">
        <v>1184</v>
      </c>
      <c r="D135" s="3">
        <f>Levy!F136</f>
        <v>0</v>
      </c>
      <c r="E135" s="3">
        <f>Levy!G136</f>
        <v>111592.53</v>
      </c>
      <c r="F135" s="3">
        <f>Levy!H136</f>
        <v>0</v>
      </c>
      <c r="G135" s="3">
        <f>Levy!I136</f>
        <v>154887.57999999999</v>
      </c>
      <c r="H135" s="217">
        <f>Levy!J136</f>
        <v>35420.25</v>
      </c>
      <c r="I135" s="219">
        <v>0</v>
      </c>
      <c r="J135" s="219">
        <v>2500</v>
      </c>
      <c r="K135" s="219">
        <v>22541.47</v>
      </c>
      <c r="L135" s="219">
        <v>0</v>
      </c>
      <c r="M135" s="219">
        <v>0</v>
      </c>
      <c r="N135" s="19">
        <v>0</v>
      </c>
      <c r="O135" s="19">
        <v>0</v>
      </c>
      <c r="P135" s="219">
        <v>-1185.5899999999999</v>
      </c>
      <c r="Q135" s="219">
        <v>0</v>
      </c>
      <c r="R135" s="219">
        <v>-2905.03</v>
      </c>
      <c r="S135" s="219">
        <v>0</v>
      </c>
      <c r="T135" s="19">
        <v>0</v>
      </c>
      <c r="U135" s="19">
        <v>0</v>
      </c>
      <c r="V135" s="19">
        <v>0</v>
      </c>
      <c r="W135" s="19">
        <v>0</v>
      </c>
      <c r="X135" s="19">
        <v>0</v>
      </c>
      <c r="Y135" s="217">
        <v>0</v>
      </c>
      <c r="Z135" s="3">
        <f t="shared" si="13"/>
        <v>20950.850000000002</v>
      </c>
      <c r="AA135" s="3">
        <f t="shared" si="14"/>
        <v>245529.26</v>
      </c>
      <c r="AB135" s="3">
        <f t="shared" ref="AB135:AB198" si="16">ROUND(MAX(H135-U135,0),2)</f>
        <v>35420.25</v>
      </c>
      <c r="AC135" s="3">
        <f>ROUND(MAX(0,(D135-V135)*'Shift 14'!$B$2),2)</f>
        <v>0</v>
      </c>
      <c r="AD135" s="3">
        <f t="shared" si="15"/>
        <v>0</v>
      </c>
      <c r="AE135" s="3">
        <f t="shared" si="11"/>
        <v>0</v>
      </c>
      <c r="AF135" s="214">
        <v>435</v>
      </c>
      <c r="AG135" s="214">
        <v>1</v>
      </c>
      <c r="AH135" s="3">
        <v>0</v>
      </c>
      <c r="AI135" s="3">
        <v>0</v>
      </c>
      <c r="AJ135" s="3">
        <v>0</v>
      </c>
      <c r="AK135" s="3">
        <v>2500</v>
      </c>
      <c r="AL135" s="3">
        <v>22541.47</v>
      </c>
      <c r="AM135" s="3">
        <v>0</v>
      </c>
      <c r="AN135" s="3">
        <v>0</v>
      </c>
      <c r="AO135" s="3">
        <v>0</v>
      </c>
      <c r="AP135" s="3">
        <v>0</v>
      </c>
      <c r="AQ135" s="3">
        <v>-1185.5899999999999</v>
      </c>
      <c r="AR135" s="3">
        <v>0</v>
      </c>
      <c r="AS135" s="3">
        <v>-2905.03</v>
      </c>
      <c r="AT135" s="3">
        <v>0</v>
      </c>
      <c r="AU135" s="3">
        <f t="shared" si="12"/>
        <v>0</v>
      </c>
      <c r="AV135" s="17">
        <v>435</v>
      </c>
      <c r="AW135" s="17">
        <v>435</v>
      </c>
      <c r="AX135" s="17">
        <v>1</v>
      </c>
      <c r="AY135" s="3" t="s">
        <v>133</v>
      </c>
      <c r="AZ135" s="3">
        <v>0</v>
      </c>
      <c r="BA135" s="19">
        <v>0</v>
      </c>
    </row>
    <row r="136" spans="1:53" x14ac:dyDescent="0.2">
      <c r="A136" s="17">
        <v>441</v>
      </c>
      <c r="B136" s="17">
        <v>1</v>
      </c>
      <c r="C136" s="3" t="s">
        <v>134</v>
      </c>
      <c r="D136" s="3">
        <f>Levy!F137</f>
        <v>518993.23</v>
      </c>
      <c r="E136" s="3">
        <f>Levy!G137</f>
        <v>28646.67</v>
      </c>
      <c r="F136" s="3">
        <f>Levy!H137</f>
        <v>0</v>
      </c>
      <c r="G136" s="3">
        <f>Levy!I137</f>
        <v>248222.43</v>
      </c>
      <c r="H136" s="217">
        <f>Levy!J137</f>
        <v>36217.480000000003</v>
      </c>
      <c r="I136" s="219">
        <v>0</v>
      </c>
      <c r="J136" s="219">
        <v>20000</v>
      </c>
      <c r="K136" s="219">
        <v>13407.94</v>
      </c>
      <c r="L136" s="219">
        <v>0</v>
      </c>
      <c r="M136" s="219">
        <v>0</v>
      </c>
      <c r="N136" s="19">
        <v>0</v>
      </c>
      <c r="O136" s="19">
        <v>0</v>
      </c>
      <c r="P136" s="219">
        <v>5176.17</v>
      </c>
      <c r="Q136" s="219">
        <v>0</v>
      </c>
      <c r="R136" s="219">
        <v>-1665.08</v>
      </c>
      <c r="S136" s="219">
        <v>0</v>
      </c>
      <c r="T136" s="19">
        <v>0</v>
      </c>
      <c r="U136" s="19">
        <v>0</v>
      </c>
      <c r="V136" s="19">
        <v>0</v>
      </c>
      <c r="W136" s="19">
        <v>0</v>
      </c>
      <c r="X136" s="19">
        <v>10876.31</v>
      </c>
      <c r="Y136" s="217">
        <v>24919.51</v>
      </c>
      <c r="Z136" s="3">
        <f t="shared" si="13"/>
        <v>36919.03</v>
      </c>
      <c r="AA136" s="3">
        <f t="shared" si="14"/>
        <v>229073.76</v>
      </c>
      <c r="AB136" s="3">
        <f t="shared" si="16"/>
        <v>36217.480000000003</v>
      </c>
      <c r="AC136" s="3">
        <f>ROUND(MAX(0,(D136-V136)*'Shift 14'!$B$2),2)</f>
        <v>0</v>
      </c>
      <c r="AD136" s="3">
        <f t="shared" si="15"/>
        <v>24919.51</v>
      </c>
      <c r="AE136" s="3">
        <f t="shared" si="11"/>
        <v>0</v>
      </c>
      <c r="AF136" s="214">
        <v>441</v>
      </c>
      <c r="AG136" s="214">
        <v>1</v>
      </c>
      <c r="AH136" s="3">
        <v>0</v>
      </c>
      <c r="AI136" s="3">
        <v>0</v>
      </c>
      <c r="AJ136" s="3">
        <v>0</v>
      </c>
      <c r="AK136" s="3">
        <v>20000</v>
      </c>
      <c r="AL136" s="3">
        <v>13407.94</v>
      </c>
      <c r="AM136" s="3">
        <v>0</v>
      </c>
      <c r="AN136" s="3">
        <v>0</v>
      </c>
      <c r="AO136" s="3">
        <v>0</v>
      </c>
      <c r="AP136" s="3">
        <v>0</v>
      </c>
      <c r="AQ136" s="3">
        <v>5176.17</v>
      </c>
      <c r="AR136" s="3">
        <v>0</v>
      </c>
      <c r="AS136" s="3">
        <v>-1665.08</v>
      </c>
      <c r="AT136" s="3">
        <v>0</v>
      </c>
      <c r="AU136" s="3">
        <f t="shared" si="12"/>
        <v>0</v>
      </c>
      <c r="AV136" s="17">
        <v>441</v>
      </c>
      <c r="AW136" s="17">
        <v>441</v>
      </c>
      <c r="AX136" s="17">
        <v>1</v>
      </c>
      <c r="AY136" s="3" t="s">
        <v>134</v>
      </c>
      <c r="AZ136" s="3">
        <v>10876.31</v>
      </c>
      <c r="BA136" s="19">
        <v>24919.51</v>
      </c>
    </row>
    <row r="137" spans="1:53" x14ac:dyDescent="0.2">
      <c r="A137" s="17">
        <v>447</v>
      </c>
      <c r="B137" s="17">
        <v>1</v>
      </c>
      <c r="C137" s="3" t="s">
        <v>135</v>
      </c>
      <c r="D137" s="3">
        <f>Levy!F138</f>
        <v>67162.95</v>
      </c>
      <c r="E137" s="3">
        <f>Levy!G138</f>
        <v>8225.18</v>
      </c>
      <c r="F137" s="3">
        <f>Levy!H138</f>
        <v>0</v>
      </c>
      <c r="G137" s="3">
        <f>Levy!I138</f>
        <v>55869.41</v>
      </c>
      <c r="H137" s="217">
        <f>Levy!J138</f>
        <v>14076.81</v>
      </c>
      <c r="I137" s="219">
        <v>0</v>
      </c>
      <c r="J137" s="219">
        <v>500</v>
      </c>
      <c r="K137" s="219">
        <v>11558.45</v>
      </c>
      <c r="L137" s="219">
        <v>0</v>
      </c>
      <c r="M137" s="219">
        <v>0</v>
      </c>
      <c r="N137" s="19">
        <v>0</v>
      </c>
      <c r="O137" s="19">
        <v>0</v>
      </c>
      <c r="P137" s="219">
        <v>-4997.95</v>
      </c>
      <c r="Q137" s="219">
        <v>0</v>
      </c>
      <c r="R137" s="219">
        <v>-1665.08</v>
      </c>
      <c r="S137" s="219">
        <v>0</v>
      </c>
      <c r="T137" s="19">
        <v>0</v>
      </c>
      <c r="U137" s="19">
        <v>0</v>
      </c>
      <c r="V137" s="19">
        <v>0</v>
      </c>
      <c r="W137" s="19">
        <v>0</v>
      </c>
      <c r="X137" s="19">
        <v>0</v>
      </c>
      <c r="Y137" s="217">
        <v>4943.41</v>
      </c>
      <c r="Z137" s="3">
        <f t="shared" si="13"/>
        <v>5395.420000000001</v>
      </c>
      <c r="AA137" s="3">
        <f t="shared" si="14"/>
        <v>58699.17</v>
      </c>
      <c r="AB137" s="3">
        <f t="shared" si="16"/>
        <v>14076.81</v>
      </c>
      <c r="AC137" s="3">
        <f>ROUND(MAX(0,(D137-V137)*'Shift 14'!$B$2),2)</f>
        <v>0</v>
      </c>
      <c r="AD137" s="3">
        <f t="shared" si="15"/>
        <v>4943.41</v>
      </c>
      <c r="AE137" s="3">
        <f t="shared" ref="AE137:AE200" si="17">AF137-A137</f>
        <v>0</v>
      </c>
      <c r="AF137" s="214">
        <v>447</v>
      </c>
      <c r="AG137" s="214">
        <v>1</v>
      </c>
      <c r="AH137" s="3">
        <v>0</v>
      </c>
      <c r="AI137" s="3">
        <v>0</v>
      </c>
      <c r="AJ137" s="3">
        <v>0</v>
      </c>
      <c r="AK137" s="3">
        <v>500</v>
      </c>
      <c r="AL137" s="3">
        <v>11558.45</v>
      </c>
      <c r="AM137" s="3">
        <v>0</v>
      </c>
      <c r="AN137" s="3">
        <v>0</v>
      </c>
      <c r="AO137" s="3">
        <v>0</v>
      </c>
      <c r="AP137" s="3">
        <v>0</v>
      </c>
      <c r="AQ137" s="3">
        <v>-4997.95</v>
      </c>
      <c r="AR137" s="3">
        <v>0</v>
      </c>
      <c r="AS137" s="3">
        <v>-1665.08</v>
      </c>
      <c r="AT137" s="3">
        <v>0</v>
      </c>
      <c r="AU137" s="3">
        <f t="shared" ref="AU137:AU200" si="18">AV137-A137</f>
        <v>0</v>
      </c>
      <c r="AV137" s="17">
        <v>447</v>
      </c>
      <c r="AW137" s="17">
        <v>447</v>
      </c>
      <c r="AX137" s="17">
        <v>1</v>
      </c>
      <c r="AY137" s="3" t="s">
        <v>135</v>
      </c>
      <c r="AZ137" s="3">
        <v>0</v>
      </c>
      <c r="BA137" s="19">
        <v>4943.41</v>
      </c>
    </row>
    <row r="138" spans="1:53" x14ac:dyDescent="0.2">
      <c r="A138" s="17">
        <v>458</v>
      </c>
      <c r="B138" s="17">
        <v>1</v>
      </c>
      <c r="C138" s="3" t="s">
        <v>136</v>
      </c>
      <c r="D138" s="3">
        <f>Levy!F139</f>
        <v>299430</v>
      </c>
      <c r="E138" s="3">
        <f>Levy!G139</f>
        <v>9012</v>
      </c>
      <c r="F138" s="3">
        <f>Levy!H139</f>
        <v>125000</v>
      </c>
      <c r="G138" s="3">
        <f>Levy!I139</f>
        <v>207812</v>
      </c>
      <c r="H138" s="217">
        <f>Levy!J139</f>
        <v>37141</v>
      </c>
      <c r="I138" s="219">
        <v>0</v>
      </c>
      <c r="J138" s="219">
        <v>35000</v>
      </c>
      <c r="K138" s="219">
        <v>13407.94</v>
      </c>
      <c r="L138" s="219">
        <v>0</v>
      </c>
      <c r="M138" s="219">
        <v>0</v>
      </c>
      <c r="N138" s="19">
        <v>0</v>
      </c>
      <c r="O138" s="19">
        <v>0</v>
      </c>
      <c r="P138" s="219">
        <v>24754.63</v>
      </c>
      <c r="Q138" s="219">
        <v>0</v>
      </c>
      <c r="R138" s="219">
        <v>-3459.2</v>
      </c>
      <c r="S138" s="219">
        <v>0</v>
      </c>
      <c r="T138" s="19">
        <v>0</v>
      </c>
      <c r="U138" s="19">
        <v>0</v>
      </c>
      <c r="V138" s="19">
        <v>0</v>
      </c>
      <c r="W138" s="19">
        <v>0</v>
      </c>
      <c r="X138" s="19">
        <v>9301.26</v>
      </c>
      <c r="Y138" s="217">
        <v>138045.48000000001</v>
      </c>
      <c r="Z138" s="3">
        <f t="shared" si="13"/>
        <v>69703.37000000001</v>
      </c>
      <c r="AA138" s="3">
        <f t="shared" si="14"/>
        <v>262819.37</v>
      </c>
      <c r="AB138" s="3">
        <f t="shared" si="16"/>
        <v>37141</v>
      </c>
      <c r="AC138" s="3">
        <f>ROUND(MAX(0,(D138-V138)*'Shift 14'!$B$2),2)</f>
        <v>0</v>
      </c>
      <c r="AD138" s="3">
        <f t="shared" si="15"/>
        <v>138045.48000000001</v>
      </c>
      <c r="AE138" s="3">
        <f t="shared" si="17"/>
        <v>0</v>
      </c>
      <c r="AF138" s="214">
        <v>458</v>
      </c>
      <c r="AG138" s="214">
        <v>1</v>
      </c>
      <c r="AH138" s="3">
        <v>0</v>
      </c>
      <c r="AI138" s="3">
        <v>0</v>
      </c>
      <c r="AJ138" s="3">
        <v>6964.18</v>
      </c>
      <c r="AK138" s="3">
        <v>35000</v>
      </c>
      <c r="AL138" s="3">
        <v>13407.94</v>
      </c>
      <c r="AM138" s="3">
        <v>0</v>
      </c>
      <c r="AN138" s="3">
        <v>0</v>
      </c>
      <c r="AO138" s="3">
        <v>0</v>
      </c>
      <c r="AP138" s="3">
        <v>-1916.65</v>
      </c>
      <c r="AQ138" s="3">
        <v>24754.63</v>
      </c>
      <c r="AR138" s="3">
        <v>0</v>
      </c>
      <c r="AS138" s="3">
        <v>-3459.2</v>
      </c>
      <c r="AT138" s="3">
        <v>0</v>
      </c>
      <c r="AU138" s="3">
        <f t="shared" si="18"/>
        <v>0</v>
      </c>
      <c r="AV138" s="17">
        <v>458</v>
      </c>
      <c r="AW138" s="17">
        <v>458</v>
      </c>
      <c r="AX138" s="17">
        <v>1</v>
      </c>
      <c r="AY138" s="3" t="s">
        <v>136</v>
      </c>
      <c r="AZ138" s="3">
        <v>9301.26</v>
      </c>
      <c r="BA138" s="19">
        <v>138045.48000000001</v>
      </c>
    </row>
    <row r="139" spans="1:53" x14ac:dyDescent="0.2">
      <c r="A139" s="17">
        <v>463</v>
      </c>
      <c r="B139" s="17">
        <v>1</v>
      </c>
      <c r="C139" s="3" t="s">
        <v>1185</v>
      </c>
      <c r="D139" s="3">
        <f>Levy!F140</f>
        <v>411763</v>
      </c>
      <c r="E139" s="3">
        <f>Levy!G140</f>
        <v>75605</v>
      </c>
      <c r="F139" s="3">
        <f>Levy!H140</f>
        <v>0</v>
      </c>
      <c r="G139" s="3">
        <f>Levy!I140</f>
        <v>96977</v>
      </c>
      <c r="H139" s="217">
        <f>Levy!J140</f>
        <v>60954</v>
      </c>
      <c r="I139" s="219">
        <v>0</v>
      </c>
      <c r="J139" s="219">
        <v>2000</v>
      </c>
      <c r="K139" s="219">
        <v>8293.4500000000007</v>
      </c>
      <c r="L139" s="219">
        <v>0</v>
      </c>
      <c r="M139" s="219">
        <v>0</v>
      </c>
      <c r="N139" s="19">
        <v>0</v>
      </c>
      <c r="O139" s="19">
        <v>0</v>
      </c>
      <c r="P139" s="219">
        <v>-4035.82</v>
      </c>
      <c r="Q139" s="219">
        <v>0</v>
      </c>
      <c r="R139" s="219">
        <v>10000</v>
      </c>
      <c r="S139" s="219">
        <v>0</v>
      </c>
      <c r="T139" s="19">
        <v>0</v>
      </c>
      <c r="U139" s="19">
        <v>0</v>
      </c>
      <c r="V139" s="19">
        <v>0</v>
      </c>
      <c r="W139" s="19">
        <v>0</v>
      </c>
      <c r="X139" s="19">
        <v>0</v>
      </c>
      <c r="Y139" s="217">
        <v>32117.919999999998</v>
      </c>
      <c r="Z139" s="3">
        <f t="shared" si="13"/>
        <v>16257.630000000001</v>
      </c>
      <c r="AA139" s="3">
        <f t="shared" si="14"/>
        <v>156324.37</v>
      </c>
      <c r="AB139" s="3">
        <f t="shared" si="16"/>
        <v>60954</v>
      </c>
      <c r="AC139" s="3">
        <f>ROUND(MAX(0,(D139-V139)*'Shift 14'!$B$2),2)</f>
        <v>0</v>
      </c>
      <c r="AD139" s="3">
        <f t="shared" si="15"/>
        <v>32117.919999999998</v>
      </c>
      <c r="AE139" s="3">
        <f t="shared" si="17"/>
        <v>0</v>
      </c>
      <c r="AF139" s="214">
        <v>463</v>
      </c>
      <c r="AG139" s="214">
        <v>1</v>
      </c>
      <c r="AH139" s="3">
        <v>0</v>
      </c>
      <c r="AI139" s="3">
        <v>0</v>
      </c>
      <c r="AJ139" s="3">
        <v>0</v>
      </c>
      <c r="AK139" s="3">
        <v>2000</v>
      </c>
      <c r="AL139" s="3">
        <v>8293.4500000000007</v>
      </c>
      <c r="AM139" s="3">
        <v>0</v>
      </c>
      <c r="AN139" s="3">
        <v>0</v>
      </c>
      <c r="AO139" s="3">
        <v>0</v>
      </c>
      <c r="AP139" s="3">
        <v>0</v>
      </c>
      <c r="AQ139" s="3">
        <v>-4035.82</v>
      </c>
      <c r="AR139" s="3">
        <v>0</v>
      </c>
      <c r="AS139" s="3">
        <v>10000</v>
      </c>
      <c r="AT139" s="3">
        <v>0</v>
      </c>
      <c r="AU139" s="3">
        <f t="shared" si="18"/>
        <v>0</v>
      </c>
      <c r="AV139" s="17">
        <v>463</v>
      </c>
      <c r="AW139" s="17">
        <v>463</v>
      </c>
      <c r="AX139" s="17">
        <v>1</v>
      </c>
      <c r="AY139" s="3" t="s">
        <v>137</v>
      </c>
      <c r="AZ139" s="3">
        <v>0</v>
      </c>
      <c r="BA139" s="19">
        <v>32117.919999999998</v>
      </c>
    </row>
    <row r="140" spans="1:53" x14ac:dyDescent="0.2">
      <c r="A140" s="17">
        <v>465</v>
      </c>
      <c r="B140" s="17">
        <v>1</v>
      </c>
      <c r="C140" s="3" t="s">
        <v>138</v>
      </c>
      <c r="D140" s="3">
        <f>Levy!F141</f>
        <v>710040</v>
      </c>
      <c r="E140" s="3">
        <f>Levy!G141</f>
        <v>161044</v>
      </c>
      <c r="F140" s="3">
        <f>Levy!H141</f>
        <v>0</v>
      </c>
      <c r="G140" s="3">
        <f>Levy!I141</f>
        <v>436637</v>
      </c>
      <c r="H140" s="217">
        <f>Levy!J141</f>
        <v>143388</v>
      </c>
      <c r="I140" s="219">
        <v>0</v>
      </c>
      <c r="J140" s="219">
        <v>15000</v>
      </c>
      <c r="K140" s="219">
        <v>37461.9</v>
      </c>
      <c r="L140" s="219">
        <v>0</v>
      </c>
      <c r="M140" s="219">
        <v>0</v>
      </c>
      <c r="N140" s="19">
        <v>0</v>
      </c>
      <c r="O140" s="19">
        <v>0</v>
      </c>
      <c r="P140" s="219">
        <v>-2252.41</v>
      </c>
      <c r="Q140" s="219">
        <v>0</v>
      </c>
      <c r="R140" s="219">
        <v>-5923.61</v>
      </c>
      <c r="S140" s="219">
        <v>0</v>
      </c>
      <c r="T140" s="19">
        <v>0</v>
      </c>
      <c r="U140" s="19">
        <v>0</v>
      </c>
      <c r="V140" s="19">
        <v>0</v>
      </c>
      <c r="W140" s="19">
        <v>0</v>
      </c>
      <c r="X140" s="19">
        <v>0</v>
      </c>
      <c r="Y140" s="217">
        <v>97079.01</v>
      </c>
      <c r="Z140" s="3">
        <f t="shared" si="13"/>
        <v>44285.880000000005</v>
      </c>
      <c r="AA140" s="3">
        <f t="shared" si="14"/>
        <v>553395.12</v>
      </c>
      <c r="AB140" s="3">
        <f t="shared" si="16"/>
        <v>143388</v>
      </c>
      <c r="AC140" s="3">
        <f>ROUND(MAX(0,(D140-V140)*'Shift 14'!$B$2),2)</f>
        <v>0</v>
      </c>
      <c r="AD140" s="3">
        <f t="shared" si="15"/>
        <v>97079.01</v>
      </c>
      <c r="AE140" s="3">
        <f t="shared" si="17"/>
        <v>0</v>
      </c>
      <c r="AF140" s="214">
        <v>465</v>
      </c>
      <c r="AG140" s="214">
        <v>1</v>
      </c>
      <c r="AH140" s="3">
        <v>0</v>
      </c>
      <c r="AI140" s="3">
        <v>0</v>
      </c>
      <c r="AJ140" s="3">
        <v>0</v>
      </c>
      <c r="AK140" s="3">
        <v>15000</v>
      </c>
      <c r="AL140" s="3">
        <v>37461.9</v>
      </c>
      <c r="AM140" s="3">
        <v>0</v>
      </c>
      <c r="AN140" s="3">
        <v>0</v>
      </c>
      <c r="AO140" s="3">
        <v>0</v>
      </c>
      <c r="AP140" s="3">
        <v>0</v>
      </c>
      <c r="AQ140" s="3">
        <v>-2252.41</v>
      </c>
      <c r="AR140" s="3">
        <v>0</v>
      </c>
      <c r="AS140" s="3">
        <v>-5923.61</v>
      </c>
      <c r="AT140" s="3">
        <v>0</v>
      </c>
      <c r="AU140" s="3">
        <f t="shared" si="18"/>
        <v>0</v>
      </c>
      <c r="AV140" s="17">
        <v>465</v>
      </c>
      <c r="AW140" s="17">
        <v>465</v>
      </c>
      <c r="AX140" s="17">
        <v>1</v>
      </c>
      <c r="AY140" s="3" t="s">
        <v>138</v>
      </c>
      <c r="AZ140" s="3">
        <v>0</v>
      </c>
      <c r="BA140" s="19">
        <v>97079.01</v>
      </c>
    </row>
    <row r="141" spans="1:53" x14ac:dyDescent="0.2">
      <c r="A141" s="17">
        <v>466</v>
      </c>
      <c r="B141" s="17">
        <v>1</v>
      </c>
      <c r="C141" s="3" t="s">
        <v>139</v>
      </c>
      <c r="D141" s="3">
        <f>Levy!F142</f>
        <v>202033</v>
      </c>
      <c r="E141" s="3">
        <f>Levy!G142</f>
        <v>474875</v>
      </c>
      <c r="F141" s="3">
        <f>Levy!H142</f>
        <v>0</v>
      </c>
      <c r="G141" s="3">
        <f>Levy!I142</f>
        <v>450210</v>
      </c>
      <c r="H141" s="217">
        <f>Levy!J142</f>
        <v>123184</v>
      </c>
      <c r="I141" s="219">
        <v>0</v>
      </c>
      <c r="J141" s="219">
        <v>10000</v>
      </c>
      <c r="K141" s="219">
        <v>26191.87</v>
      </c>
      <c r="L141" s="219">
        <v>0</v>
      </c>
      <c r="M141" s="219">
        <v>0</v>
      </c>
      <c r="N141" s="19">
        <v>0</v>
      </c>
      <c r="O141" s="19">
        <v>0</v>
      </c>
      <c r="P141" s="219">
        <v>-7443.58</v>
      </c>
      <c r="Q141" s="219">
        <v>0</v>
      </c>
      <c r="R141" s="219">
        <v>-5472.91</v>
      </c>
      <c r="S141" s="219">
        <v>0</v>
      </c>
      <c r="T141" s="19">
        <v>0</v>
      </c>
      <c r="U141" s="19">
        <v>0</v>
      </c>
      <c r="V141" s="19">
        <v>0</v>
      </c>
      <c r="W141" s="19">
        <v>0</v>
      </c>
      <c r="X141" s="19">
        <v>0</v>
      </c>
      <c r="Y141" s="217">
        <v>84376.93</v>
      </c>
      <c r="Z141" s="3">
        <f t="shared" si="13"/>
        <v>23275.379999999994</v>
      </c>
      <c r="AA141" s="3">
        <f t="shared" si="14"/>
        <v>901809.62</v>
      </c>
      <c r="AB141" s="3">
        <f t="shared" si="16"/>
        <v>123184</v>
      </c>
      <c r="AC141" s="3">
        <f>ROUND(MAX(0,(D141-V141)*'Shift 14'!$B$2),2)</f>
        <v>0</v>
      </c>
      <c r="AD141" s="3">
        <f t="shared" si="15"/>
        <v>84376.93</v>
      </c>
      <c r="AE141" s="3">
        <f t="shared" si="17"/>
        <v>0</v>
      </c>
      <c r="AF141" s="214">
        <v>466</v>
      </c>
      <c r="AG141" s="214">
        <v>1</v>
      </c>
      <c r="AH141" s="3">
        <v>0</v>
      </c>
      <c r="AI141" s="3">
        <v>0</v>
      </c>
      <c r="AJ141" s="3">
        <v>0</v>
      </c>
      <c r="AK141" s="3">
        <v>10000</v>
      </c>
      <c r="AL141" s="3">
        <v>26191.87</v>
      </c>
      <c r="AM141" s="3">
        <v>0</v>
      </c>
      <c r="AN141" s="3">
        <v>0</v>
      </c>
      <c r="AO141" s="3">
        <v>0</v>
      </c>
      <c r="AP141" s="3">
        <v>0</v>
      </c>
      <c r="AQ141" s="3">
        <v>-7443.58</v>
      </c>
      <c r="AR141" s="3">
        <v>0</v>
      </c>
      <c r="AS141" s="3">
        <v>-5472.91</v>
      </c>
      <c r="AT141" s="3">
        <v>0</v>
      </c>
      <c r="AU141" s="3">
        <f t="shared" si="18"/>
        <v>0</v>
      </c>
      <c r="AV141" s="17">
        <v>466</v>
      </c>
      <c r="AW141" s="17">
        <v>466</v>
      </c>
      <c r="AX141" s="17">
        <v>1</v>
      </c>
      <c r="AY141" s="3" t="s">
        <v>139</v>
      </c>
      <c r="AZ141" s="3">
        <v>0</v>
      </c>
      <c r="BA141" s="19">
        <v>84376.93</v>
      </c>
    </row>
    <row r="142" spans="1:53" x14ac:dyDescent="0.2">
      <c r="A142" s="17">
        <v>473</v>
      </c>
      <c r="B142" s="17">
        <v>1</v>
      </c>
      <c r="C142" s="3" t="s">
        <v>140</v>
      </c>
      <c r="D142" s="3">
        <f>Levy!F143</f>
        <v>270.51</v>
      </c>
      <c r="E142" s="3">
        <f>Levy!G143</f>
        <v>190917.73</v>
      </c>
      <c r="F142" s="3">
        <f>Levy!H143</f>
        <v>0</v>
      </c>
      <c r="G142" s="3">
        <f>Levy!I143</f>
        <v>181154.03</v>
      </c>
      <c r="H142" s="217">
        <f>Levy!J143</f>
        <v>45244.959999999999</v>
      </c>
      <c r="I142" s="219">
        <v>0</v>
      </c>
      <c r="J142" s="219">
        <v>637.16</v>
      </c>
      <c r="K142" s="219">
        <v>13525.97</v>
      </c>
      <c r="L142" s="219">
        <v>0</v>
      </c>
      <c r="M142" s="219">
        <v>0</v>
      </c>
      <c r="N142" s="19">
        <v>0</v>
      </c>
      <c r="O142" s="19">
        <v>0</v>
      </c>
      <c r="P142" s="219">
        <v>-5660.71</v>
      </c>
      <c r="Q142" s="219">
        <v>0</v>
      </c>
      <c r="R142" s="219">
        <v>-1767.76</v>
      </c>
      <c r="S142" s="219">
        <v>0</v>
      </c>
      <c r="T142" s="19">
        <v>0</v>
      </c>
      <c r="U142" s="19">
        <v>0</v>
      </c>
      <c r="V142" s="19">
        <v>0</v>
      </c>
      <c r="W142" s="19">
        <v>0</v>
      </c>
      <c r="X142" s="19">
        <v>3627.63</v>
      </c>
      <c r="Y142" s="217">
        <v>22384.46</v>
      </c>
      <c r="Z142" s="3">
        <f t="shared" si="13"/>
        <v>6734.659999999998</v>
      </c>
      <c r="AA142" s="3">
        <f t="shared" si="14"/>
        <v>361709.47</v>
      </c>
      <c r="AB142" s="3">
        <f t="shared" si="16"/>
        <v>45244.959999999999</v>
      </c>
      <c r="AC142" s="3">
        <f>ROUND(MAX(0,(D142-V142)*'Shift 14'!$B$2),2)</f>
        <v>0</v>
      </c>
      <c r="AD142" s="3">
        <f t="shared" si="15"/>
        <v>22384.46</v>
      </c>
      <c r="AE142" s="3">
        <f t="shared" si="17"/>
        <v>0</v>
      </c>
      <c r="AF142" s="214">
        <v>473</v>
      </c>
      <c r="AG142" s="214">
        <v>1</v>
      </c>
      <c r="AH142" s="3">
        <v>0</v>
      </c>
      <c r="AI142" s="3">
        <v>0</v>
      </c>
      <c r="AJ142" s="3">
        <v>0</v>
      </c>
      <c r="AK142" s="3">
        <v>637.16</v>
      </c>
      <c r="AL142" s="3">
        <v>13525.97</v>
      </c>
      <c r="AM142" s="3">
        <v>0</v>
      </c>
      <c r="AN142" s="3">
        <v>0</v>
      </c>
      <c r="AO142" s="3">
        <v>0</v>
      </c>
      <c r="AP142" s="3">
        <v>0</v>
      </c>
      <c r="AQ142" s="3">
        <v>-5660.71</v>
      </c>
      <c r="AR142" s="3">
        <v>0</v>
      </c>
      <c r="AS142" s="3">
        <v>-1767.76</v>
      </c>
      <c r="AT142" s="3">
        <v>0</v>
      </c>
      <c r="AU142" s="3">
        <f t="shared" si="18"/>
        <v>0</v>
      </c>
      <c r="AV142" s="17">
        <v>473</v>
      </c>
      <c r="AW142" s="17">
        <v>473</v>
      </c>
      <c r="AX142" s="17">
        <v>1</v>
      </c>
      <c r="AY142" s="3" t="s">
        <v>140</v>
      </c>
      <c r="AZ142" s="3">
        <v>3627.63</v>
      </c>
      <c r="BA142" s="19">
        <v>22384.46</v>
      </c>
    </row>
    <row r="143" spans="1:53" x14ac:dyDescent="0.2">
      <c r="A143" s="17">
        <v>477</v>
      </c>
      <c r="B143" s="17">
        <v>1</v>
      </c>
      <c r="C143" s="3" t="s">
        <v>141</v>
      </c>
      <c r="D143" s="3">
        <f>Levy!F144</f>
        <v>170821.78</v>
      </c>
      <c r="E143" s="3">
        <f>Levy!G144</f>
        <v>883131.09</v>
      </c>
      <c r="F143" s="3">
        <f>Levy!H144</f>
        <v>0</v>
      </c>
      <c r="G143" s="3">
        <f>Levy!I144</f>
        <v>1038417.71</v>
      </c>
      <c r="H143" s="217">
        <f>Levy!J144</f>
        <v>239308.35</v>
      </c>
      <c r="I143" s="219">
        <v>0</v>
      </c>
      <c r="J143" s="219">
        <v>0</v>
      </c>
      <c r="K143" s="219">
        <v>43033.25</v>
      </c>
      <c r="L143" s="219">
        <v>0</v>
      </c>
      <c r="M143" s="219">
        <v>0</v>
      </c>
      <c r="N143" s="19">
        <v>0</v>
      </c>
      <c r="O143" s="19">
        <v>0</v>
      </c>
      <c r="P143" s="219">
        <v>-73149</v>
      </c>
      <c r="Q143" s="219">
        <v>0</v>
      </c>
      <c r="R143" s="219">
        <v>-14973.06</v>
      </c>
      <c r="S143" s="219">
        <v>0</v>
      </c>
      <c r="T143" s="19">
        <v>0</v>
      </c>
      <c r="U143" s="19">
        <v>0</v>
      </c>
      <c r="V143" s="19">
        <v>0</v>
      </c>
      <c r="W143" s="19">
        <v>0</v>
      </c>
      <c r="X143" s="19">
        <v>0</v>
      </c>
      <c r="Y143" s="217">
        <v>117256.13</v>
      </c>
      <c r="Z143" s="3">
        <f t="shared" si="13"/>
        <v>-45088.81</v>
      </c>
      <c r="AA143" s="3">
        <f t="shared" si="14"/>
        <v>1966637.61</v>
      </c>
      <c r="AB143" s="3">
        <f t="shared" si="16"/>
        <v>239308.35</v>
      </c>
      <c r="AC143" s="3">
        <f>ROUND(MAX(0,(D143-V143)*'Shift 14'!$B$2),2)</f>
        <v>0</v>
      </c>
      <c r="AD143" s="3">
        <f t="shared" si="15"/>
        <v>117256.13</v>
      </c>
      <c r="AE143" s="3">
        <f t="shared" si="17"/>
        <v>0</v>
      </c>
      <c r="AF143" s="214">
        <v>477</v>
      </c>
      <c r="AG143" s="214">
        <v>1</v>
      </c>
      <c r="AH143" s="3">
        <v>0</v>
      </c>
      <c r="AI143" s="3">
        <v>0</v>
      </c>
      <c r="AJ143" s="3">
        <v>0</v>
      </c>
      <c r="AK143" s="3">
        <v>0</v>
      </c>
      <c r="AL143" s="3">
        <v>43033.25</v>
      </c>
      <c r="AM143" s="3">
        <v>0</v>
      </c>
      <c r="AN143" s="3">
        <v>0</v>
      </c>
      <c r="AO143" s="3">
        <v>0</v>
      </c>
      <c r="AP143" s="3">
        <v>0</v>
      </c>
      <c r="AQ143" s="3">
        <v>-73149</v>
      </c>
      <c r="AR143" s="3">
        <v>0</v>
      </c>
      <c r="AS143" s="3">
        <v>-14973.06</v>
      </c>
      <c r="AT143" s="3">
        <v>0</v>
      </c>
      <c r="AU143" s="3">
        <f t="shared" si="18"/>
        <v>0</v>
      </c>
      <c r="AV143" s="17">
        <v>477</v>
      </c>
      <c r="AW143" s="17">
        <v>477</v>
      </c>
      <c r="AX143" s="17">
        <v>1</v>
      </c>
      <c r="AY143" s="3" t="s">
        <v>141</v>
      </c>
      <c r="AZ143" s="3">
        <v>0</v>
      </c>
      <c r="BA143" s="19">
        <v>117256.13</v>
      </c>
    </row>
    <row r="144" spans="1:53" x14ac:dyDescent="0.2">
      <c r="A144" s="17">
        <v>480</v>
      </c>
      <c r="B144" s="17">
        <v>1</v>
      </c>
      <c r="C144" s="3" t="s">
        <v>142</v>
      </c>
      <c r="D144" s="3">
        <f>Levy!F145</f>
        <v>334137.34000000003</v>
      </c>
      <c r="E144" s="3">
        <f>Levy!G145</f>
        <v>99492.89</v>
      </c>
      <c r="F144" s="3">
        <f>Levy!H145</f>
        <v>0</v>
      </c>
      <c r="G144" s="3">
        <f>Levy!I145</f>
        <v>286227.48</v>
      </c>
      <c r="H144" s="217">
        <f>Levy!J145</f>
        <v>73339.12</v>
      </c>
      <c r="I144" s="219">
        <v>0</v>
      </c>
      <c r="J144" s="219">
        <v>15332.58</v>
      </c>
      <c r="K144" s="219">
        <v>20760.86</v>
      </c>
      <c r="L144" s="219">
        <v>0</v>
      </c>
      <c r="M144" s="219">
        <v>0</v>
      </c>
      <c r="N144" s="19">
        <v>0</v>
      </c>
      <c r="O144" s="19">
        <v>0</v>
      </c>
      <c r="P144" s="219">
        <v>1933.93</v>
      </c>
      <c r="Q144" s="219">
        <v>0</v>
      </c>
      <c r="R144" s="219">
        <v>-4290.16</v>
      </c>
      <c r="S144" s="219">
        <v>0</v>
      </c>
      <c r="T144" s="19">
        <v>0</v>
      </c>
      <c r="U144" s="19">
        <v>0</v>
      </c>
      <c r="V144" s="19">
        <v>0</v>
      </c>
      <c r="W144" s="19">
        <v>0</v>
      </c>
      <c r="X144" s="19">
        <v>0</v>
      </c>
      <c r="Y144" s="217">
        <v>0</v>
      </c>
      <c r="Z144" s="3">
        <f t="shared" si="13"/>
        <v>33737.210000000006</v>
      </c>
      <c r="AA144" s="3">
        <f t="shared" si="14"/>
        <v>351983.16</v>
      </c>
      <c r="AB144" s="3">
        <f t="shared" si="16"/>
        <v>73339.12</v>
      </c>
      <c r="AC144" s="3">
        <f>ROUND(MAX(0,(D144-V144)*'Shift 14'!$B$2),2)</f>
        <v>0</v>
      </c>
      <c r="AD144" s="3">
        <f t="shared" si="15"/>
        <v>0</v>
      </c>
      <c r="AE144" s="3">
        <f t="shared" si="17"/>
        <v>0</v>
      </c>
      <c r="AF144" s="214">
        <v>480</v>
      </c>
      <c r="AG144" s="214">
        <v>1</v>
      </c>
      <c r="AH144" s="3">
        <v>0</v>
      </c>
      <c r="AI144" s="3">
        <v>0</v>
      </c>
      <c r="AJ144" s="3">
        <v>0</v>
      </c>
      <c r="AK144" s="3">
        <v>15332.58</v>
      </c>
      <c r="AL144" s="3">
        <v>20760.86</v>
      </c>
      <c r="AM144" s="3">
        <v>0</v>
      </c>
      <c r="AN144" s="3">
        <v>0</v>
      </c>
      <c r="AO144" s="3">
        <v>0</v>
      </c>
      <c r="AP144" s="3">
        <v>0</v>
      </c>
      <c r="AQ144" s="3">
        <v>1933.93</v>
      </c>
      <c r="AR144" s="3">
        <v>0</v>
      </c>
      <c r="AS144" s="3">
        <v>-4290.16</v>
      </c>
      <c r="AT144" s="3">
        <v>0</v>
      </c>
      <c r="AU144" s="3">
        <f t="shared" si="18"/>
        <v>0</v>
      </c>
      <c r="AV144" s="17">
        <v>480</v>
      </c>
      <c r="AW144" s="17">
        <v>480</v>
      </c>
      <c r="AX144" s="17">
        <v>1</v>
      </c>
      <c r="AY144" s="3" t="s">
        <v>142</v>
      </c>
      <c r="AZ144" s="3">
        <v>0</v>
      </c>
      <c r="BA144" s="19">
        <v>0</v>
      </c>
    </row>
    <row r="145" spans="1:53" x14ac:dyDescent="0.2">
      <c r="A145" s="17">
        <v>482</v>
      </c>
      <c r="B145" s="17">
        <v>1</v>
      </c>
      <c r="C145" s="3" t="s">
        <v>143</v>
      </c>
      <c r="D145" s="3">
        <f>Levy!F146</f>
        <v>1021084.18</v>
      </c>
      <c r="E145" s="3">
        <f>Levy!G146</f>
        <v>608000.80000000005</v>
      </c>
      <c r="F145" s="3">
        <f>Levy!H146</f>
        <v>0</v>
      </c>
      <c r="G145" s="3">
        <f>Levy!I146</f>
        <v>414774.92</v>
      </c>
      <c r="H145" s="217">
        <f>Levy!J146</f>
        <v>169315.02</v>
      </c>
      <c r="I145" s="219">
        <v>0</v>
      </c>
      <c r="J145" s="219">
        <v>17628</v>
      </c>
      <c r="K145" s="219">
        <v>49467.96</v>
      </c>
      <c r="L145" s="219">
        <v>0</v>
      </c>
      <c r="M145" s="219">
        <v>0</v>
      </c>
      <c r="N145" s="19">
        <v>0</v>
      </c>
      <c r="O145" s="19">
        <v>0</v>
      </c>
      <c r="P145" s="219">
        <v>-2128.96</v>
      </c>
      <c r="Q145" s="219">
        <v>0</v>
      </c>
      <c r="R145" s="219">
        <v>-24276.02</v>
      </c>
      <c r="S145" s="219">
        <v>0</v>
      </c>
      <c r="T145" s="19">
        <v>0</v>
      </c>
      <c r="U145" s="19">
        <v>0</v>
      </c>
      <c r="V145" s="19">
        <v>0</v>
      </c>
      <c r="W145" s="19">
        <v>0</v>
      </c>
      <c r="X145" s="19">
        <v>0</v>
      </c>
      <c r="Y145" s="217">
        <v>98308.58</v>
      </c>
      <c r="Z145" s="3">
        <f t="shared" si="13"/>
        <v>40690.979999999996</v>
      </c>
      <c r="AA145" s="3">
        <f t="shared" si="14"/>
        <v>982084.74</v>
      </c>
      <c r="AB145" s="3">
        <f t="shared" si="16"/>
        <v>169315.02</v>
      </c>
      <c r="AC145" s="3">
        <f>ROUND(MAX(0,(D145-V145)*'Shift 14'!$B$2),2)</f>
        <v>0</v>
      </c>
      <c r="AD145" s="3">
        <f t="shared" si="15"/>
        <v>98308.58</v>
      </c>
      <c r="AE145" s="3">
        <f t="shared" si="17"/>
        <v>0</v>
      </c>
      <c r="AF145" s="214">
        <v>482</v>
      </c>
      <c r="AG145" s="214">
        <v>1</v>
      </c>
      <c r="AH145" s="3">
        <v>0</v>
      </c>
      <c r="AI145" s="3">
        <v>0</v>
      </c>
      <c r="AJ145" s="3">
        <v>0</v>
      </c>
      <c r="AK145" s="3">
        <v>17628</v>
      </c>
      <c r="AL145" s="3">
        <v>49467.96</v>
      </c>
      <c r="AM145" s="3">
        <v>0</v>
      </c>
      <c r="AN145" s="3">
        <v>0</v>
      </c>
      <c r="AO145" s="3">
        <v>0</v>
      </c>
      <c r="AP145" s="3">
        <v>0</v>
      </c>
      <c r="AQ145" s="3">
        <v>-2128.96</v>
      </c>
      <c r="AR145" s="3">
        <v>0</v>
      </c>
      <c r="AS145" s="3">
        <v>-24276.02</v>
      </c>
      <c r="AT145" s="3">
        <v>0</v>
      </c>
      <c r="AU145" s="3">
        <f t="shared" si="18"/>
        <v>0</v>
      </c>
      <c r="AV145" s="17">
        <v>482</v>
      </c>
      <c r="AW145" s="17">
        <v>482</v>
      </c>
      <c r="AX145" s="17">
        <v>1</v>
      </c>
      <c r="AY145" s="3" t="s">
        <v>143</v>
      </c>
      <c r="AZ145" s="3">
        <v>0</v>
      </c>
      <c r="BA145" s="19">
        <v>98308.58</v>
      </c>
    </row>
    <row r="146" spans="1:53" x14ac:dyDescent="0.2">
      <c r="A146" s="17">
        <v>484</v>
      </c>
      <c r="B146" s="17">
        <v>1</v>
      </c>
      <c r="C146" s="3" t="s">
        <v>144</v>
      </c>
      <c r="D146" s="3">
        <f>Levy!F147</f>
        <v>218426.34</v>
      </c>
      <c r="E146" s="3">
        <f>Levy!G147</f>
        <v>76925.789999999994</v>
      </c>
      <c r="F146" s="3">
        <f>Levy!H147</f>
        <v>0</v>
      </c>
      <c r="G146" s="3">
        <f>Levy!I147</f>
        <v>490299.02</v>
      </c>
      <c r="H146" s="217">
        <f>Levy!J147</f>
        <v>58965.72</v>
      </c>
      <c r="I146" s="219">
        <v>0</v>
      </c>
      <c r="J146" s="219">
        <v>5000</v>
      </c>
      <c r="K146" s="219">
        <v>19279.599999999999</v>
      </c>
      <c r="L146" s="219">
        <v>0</v>
      </c>
      <c r="M146" s="219">
        <v>0</v>
      </c>
      <c r="N146" s="19">
        <v>0</v>
      </c>
      <c r="O146" s="19">
        <v>0</v>
      </c>
      <c r="P146" s="219">
        <v>0</v>
      </c>
      <c r="Q146" s="219">
        <v>0</v>
      </c>
      <c r="R146" s="219">
        <v>0</v>
      </c>
      <c r="S146" s="219">
        <v>0</v>
      </c>
      <c r="T146" s="19">
        <v>0</v>
      </c>
      <c r="U146" s="19">
        <v>0</v>
      </c>
      <c r="V146" s="19">
        <v>0</v>
      </c>
      <c r="W146" s="19">
        <v>0</v>
      </c>
      <c r="X146" s="19">
        <v>0</v>
      </c>
      <c r="Y146" s="217">
        <v>31118.21</v>
      </c>
      <c r="Z146" s="3">
        <f t="shared" si="13"/>
        <v>24279.599999999999</v>
      </c>
      <c r="AA146" s="3">
        <f t="shared" si="14"/>
        <v>542945.21</v>
      </c>
      <c r="AB146" s="3">
        <f t="shared" si="16"/>
        <v>58965.72</v>
      </c>
      <c r="AC146" s="3">
        <f>ROUND(MAX(0,(D146-V146)*'Shift 14'!$B$2),2)</f>
        <v>0</v>
      </c>
      <c r="AD146" s="3">
        <f t="shared" si="15"/>
        <v>31118.21</v>
      </c>
      <c r="AE146" s="3">
        <f t="shared" si="17"/>
        <v>0</v>
      </c>
      <c r="AF146" s="214">
        <v>484</v>
      </c>
      <c r="AG146" s="214">
        <v>1</v>
      </c>
      <c r="AH146" s="3">
        <v>0</v>
      </c>
      <c r="AI146" s="3">
        <v>0</v>
      </c>
      <c r="AJ146" s="3">
        <v>0</v>
      </c>
      <c r="AK146" s="3">
        <v>5000</v>
      </c>
      <c r="AL146" s="3">
        <v>19279.599999999999</v>
      </c>
      <c r="AM146" s="3">
        <v>0</v>
      </c>
      <c r="AN146" s="3">
        <v>0</v>
      </c>
      <c r="AO146" s="3">
        <v>0</v>
      </c>
      <c r="AP146" s="3">
        <v>0</v>
      </c>
      <c r="AQ146" s="3">
        <v>0</v>
      </c>
      <c r="AR146" s="3">
        <v>0</v>
      </c>
      <c r="AS146" s="3">
        <v>0</v>
      </c>
      <c r="AT146" s="3">
        <v>0</v>
      </c>
      <c r="AU146" s="3">
        <f t="shared" si="18"/>
        <v>0</v>
      </c>
      <c r="AV146" s="17">
        <v>484</v>
      </c>
      <c r="AW146" s="17">
        <v>484</v>
      </c>
      <c r="AX146" s="17">
        <v>1</v>
      </c>
      <c r="AY146" s="3" t="s">
        <v>144</v>
      </c>
      <c r="AZ146" s="3">
        <v>0</v>
      </c>
      <c r="BA146" s="19">
        <v>31118.21</v>
      </c>
    </row>
    <row r="147" spans="1:53" x14ac:dyDescent="0.2">
      <c r="A147" s="17">
        <v>485</v>
      </c>
      <c r="B147" s="17">
        <v>1</v>
      </c>
      <c r="C147" s="3" t="s">
        <v>145</v>
      </c>
      <c r="D147" s="3">
        <f>Levy!F148</f>
        <v>0</v>
      </c>
      <c r="E147" s="3">
        <f>Levy!G148</f>
        <v>168072.5</v>
      </c>
      <c r="F147" s="3">
        <f>Levy!H148</f>
        <v>0</v>
      </c>
      <c r="G147" s="3">
        <f>Levy!I148</f>
        <v>126040.18</v>
      </c>
      <c r="H147" s="217">
        <f>Levy!J148</f>
        <v>27114.21</v>
      </c>
      <c r="I147" s="219">
        <v>0</v>
      </c>
      <c r="J147" s="219">
        <v>2207.27</v>
      </c>
      <c r="K147" s="219">
        <v>10407.629999999999</v>
      </c>
      <c r="L147" s="219">
        <v>0</v>
      </c>
      <c r="M147" s="219">
        <v>0</v>
      </c>
      <c r="N147" s="19">
        <v>0</v>
      </c>
      <c r="O147" s="19">
        <v>0</v>
      </c>
      <c r="P147" s="219">
        <v>-23445.72</v>
      </c>
      <c r="Q147" s="219">
        <v>0</v>
      </c>
      <c r="R147" s="219">
        <v>-10465.69</v>
      </c>
      <c r="S147" s="219">
        <v>0</v>
      </c>
      <c r="T147" s="19">
        <v>0</v>
      </c>
      <c r="U147" s="19">
        <v>0</v>
      </c>
      <c r="V147" s="19">
        <v>0</v>
      </c>
      <c r="W147" s="19">
        <v>0</v>
      </c>
      <c r="X147" s="19">
        <v>0</v>
      </c>
      <c r="Y147" s="217">
        <v>29270.26</v>
      </c>
      <c r="Z147" s="3">
        <f t="shared" si="13"/>
        <v>-21296.510000000002</v>
      </c>
      <c r="AA147" s="3">
        <f t="shared" si="14"/>
        <v>315409.19</v>
      </c>
      <c r="AB147" s="3">
        <f t="shared" si="16"/>
        <v>27114.21</v>
      </c>
      <c r="AC147" s="3">
        <f>ROUND(MAX(0,(D147-V147)*'Shift 14'!$B$2),2)</f>
        <v>0</v>
      </c>
      <c r="AD147" s="3">
        <f t="shared" si="15"/>
        <v>29270.26</v>
      </c>
      <c r="AE147" s="3">
        <f t="shared" si="17"/>
        <v>0</v>
      </c>
      <c r="AF147" s="214">
        <v>485</v>
      </c>
      <c r="AG147" s="214">
        <v>1</v>
      </c>
      <c r="AH147" s="3">
        <v>0</v>
      </c>
      <c r="AI147" s="3">
        <v>0</v>
      </c>
      <c r="AJ147" s="3">
        <v>0</v>
      </c>
      <c r="AK147" s="3">
        <v>2207.27</v>
      </c>
      <c r="AL147" s="3">
        <v>10407.629999999999</v>
      </c>
      <c r="AM147" s="3">
        <v>0</v>
      </c>
      <c r="AN147" s="3">
        <v>0</v>
      </c>
      <c r="AO147" s="3">
        <v>0</v>
      </c>
      <c r="AP147" s="3">
        <v>0</v>
      </c>
      <c r="AQ147" s="3">
        <v>-23445.72</v>
      </c>
      <c r="AR147" s="3">
        <v>0</v>
      </c>
      <c r="AS147" s="3">
        <v>-10465.69</v>
      </c>
      <c r="AT147" s="3">
        <v>0</v>
      </c>
      <c r="AU147" s="3">
        <f t="shared" si="18"/>
        <v>0</v>
      </c>
      <c r="AV147" s="17">
        <v>485</v>
      </c>
      <c r="AW147" s="17">
        <v>485</v>
      </c>
      <c r="AX147" s="17">
        <v>1</v>
      </c>
      <c r="AY147" s="3" t="s">
        <v>145</v>
      </c>
      <c r="AZ147" s="3">
        <v>0</v>
      </c>
      <c r="BA147" s="19">
        <v>29270.26</v>
      </c>
    </row>
    <row r="148" spans="1:53" x14ac:dyDescent="0.2">
      <c r="A148" s="17">
        <v>486</v>
      </c>
      <c r="B148" s="17">
        <v>1</v>
      </c>
      <c r="C148" s="3" t="s">
        <v>146</v>
      </c>
      <c r="D148" s="3">
        <f>Levy!F149</f>
        <v>166958.06</v>
      </c>
      <c r="E148" s="3">
        <f>Levy!G149</f>
        <v>24814.32</v>
      </c>
      <c r="F148" s="3">
        <f>Levy!H149</f>
        <v>0</v>
      </c>
      <c r="G148" s="3">
        <f>Levy!I149</f>
        <v>82394.600000000006</v>
      </c>
      <c r="H148" s="217">
        <f>Levy!J149</f>
        <v>21799.98</v>
      </c>
      <c r="I148" s="219">
        <v>0</v>
      </c>
      <c r="J148" s="219">
        <v>0</v>
      </c>
      <c r="K148" s="219">
        <v>0</v>
      </c>
      <c r="L148" s="219">
        <v>0</v>
      </c>
      <c r="M148" s="219">
        <v>0</v>
      </c>
      <c r="N148" s="19">
        <v>0</v>
      </c>
      <c r="O148" s="19">
        <v>0</v>
      </c>
      <c r="P148" s="219">
        <v>1546.98</v>
      </c>
      <c r="Q148" s="219">
        <v>0</v>
      </c>
      <c r="R148" s="219">
        <v>0</v>
      </c>
      <c r="S148" s="219">
        <v>0</v>
      </c>
      <c r="T148" s="19">
        <v>0</v>
      </c>
      <c r="U148" s="19">
        <v>0</v>
      </c>
      <c r="V148" s="19">
        <v>0</v>
      </c>
      <c r="W148" s="19">
        <v>0</v>
      </c>
      <c r="X148" s="19">
        <v>0</v>
      </c>
      <c r="Y148" s="217">
        <v>15148.78</v>
      </c>
      <c r="Z148" s="3">
        <f t="shared" si="13"/>
        <v>1546.98</v>
      </c>
      <c r="AA148" s="3">
        <f t="shared" si="14"/>
        <v>105661.94</v>
      </c>
      <c r="AB148" s="3">
        <f t="shared" si="16"/>
        <v>21799.98</v>
      </c>
      <c r="AC148" s="3">
        <f>ROUND(MAX(0,(D148-V148)*'Shift 14'!$B$2),2)</f>
        <v>0</v>
      </c>
      <c r="AD148" s="3">
        <f t="shared" si="15"/>
        <v>15148.78</v>
      </c>
      <c r="AE148" s="3">
        <f t="shared" si="17"/>
        <v>0</v>
      </c>
      <c r="AF148" s="214">
        <v>486</v>
      </c>
      <c r="AG148" s="214">
        <v>1</v>
      </c>
      <c r="AH148" s="3">
        <v>0</v>
      </c>
      <c r="AI148" s="3">
        <v>0</v>
      </c>
      <c r="AJ148" s="3">
        <v>0</v>
      </c>
      <c r="AK148" s="3">
        <v>0</v>
      </c>
      <c r="AL148" s="3">
        <v>0</v>
      </c>
      <c r="AM148" s="3">
        <v>0</v>
      </c>
      <c r="AN148" s="3">
        <v>0</v>
      </c>
      <c r="AO148" s="3">
        <v>0</v>
      </c>
      <c r="AP148" s="3">
        <v>0</v>
      </c>
      <c r="AQ148" s="3">
        <v>1546.98</v>
      </c>
      <c r="AR148" s="3">
        <v>0</v>
      </c>
      <c r="AS148" s="3">
        <v>0</v>
      </c>
      <c r="AT148" s="3">
        <v>0</v>
      </c>
      <c r="AU148" s="3">
        <f t="shared" si="18"/>
        <v>0</v>
      </c>
      <c r="AV148" s="17">
        <v>486</v>
      </c>
      <c r="AW148" s="17">
        <v>486</v>
      </c>
      <c r="AX148" s="17">
        <v>1</v>
      </c>
      <c r="AY148" s="3" t="s">
        <v>146</v>
      </c>
      <c r="AZ148" s="3">
        <v>0</v>
      </c>
      <c r="BA148" s="19">
        <v>15148.78</v>
      </c>
    </row>
    <row r="149" spans="1:53" x14ac:dyDescent="0.2">
      <c r="A149" s="17">
        <v>487</v>
      </c>
      <c r="B149" s="17">
        <v>1</v>
      </c>
      <c r="C149" s="3" t="s">
        <v>147</v>
      </c>
      <c r="D149" s="3">
        <f>Levy!F150</f>
        <v>188910.77</v>
      </c>
      <c r="E149" s="3">
        <f>Levy!G150</f>
        <v>24937.32</v>
      </c>
      <c r="F149" s="3">
        <f>Levy!H150</f>
        <v>0</v>
      </c>
      <c r="G149" s="3">
        <f>Levy!I150</f>
        <v>72098.61</v>
      </c>
      <c r="H149" s="217">
        <f>Levy!J150</f>
        <v>20421.099999999999</v>
      </c>
      <c r="I149" s="219">
        <v>0</v>
      </c>
      <c r="J149" s="219">
        <v>0</v>
      </c>
      <c r="K149" s="219">
        <v>6640</v>
      </c>
      <c r="L149" s="219">
        <v>0</v>
      </c>
      <c r="M149" s="219">
        <v>0</v>
      </c>
      <c r="N149" s="19">
        <v>0</v>
      </c>
      <c r="O149" s="19">
        <v>0</v>
      </c>
      <c r="P149" s="219">
        <v>327.16000000000003</v>
      </c>
      <c r="Q149" s="219">
        <v>0</v>
      </c>
      <c r="R149" s="219">
        <v>-1665.08</v>
      </c>
      <c r="S149" s="219">
        <v>0</v>
      </c>
      <c r="T149" s="19">
        <v>0</v>
      </c>
      <c r="U149" s="19">
        <v>0</v>
      </c>
      <c r="V149" s="19">
        <v>0</v>
      </c>
      <c r="W149" s="19">
        <v>0</v>
      </c>
      <c r="X149" s="19">
        <v>0</v>
      </c>
      <c r="Y149" s="217">
        <v>32084.69</v>
      </c>
      <c r="Z149" s="3">
        <f t="shared" si="13"/>
        <v>5302.08</v>
      </c>
      <c r="AA149" s="3">
        <f t="shared" si="14"/>
        <v>91733.85</v>
      </c>
      <c r="AB149" s="3">
        <f t="shared" si="16"/>
        <v>20421.099999999999</v>
      </c>
      <c r="AC149" s="3">
        <f>ROUND(MAX(0,(D149-V149)*'Shift 14'!$B$2),2)</f>
        <v>0</v>
      </c>
      <c r="AD149" s="3">
        <f t="shared" si="15"/>
        <v>32084.69</v>
      </c>
      <c r="AE149" s="3">
        <f t="shared" si="17"/>
        <v>0</v>
      </c>
      <c r="AF149" s="214">
        <v>487</v>
      </c>
      <c r="AG149" s="214">
        <v>1</v>
      </c>
      <c r="AH149" s="3">
        <v>0</v>
      </c>
      <c r="AI149" s="3">
        <v>0</v>
      </c>
      <c r="AJ149" s="3">
        <v>0</v>
      </c>
      <c r="AK149" s="3">
        <v>0</v>
      </c>
      <c r="AL149" s="3">
        <v>6640</v>
      </c>
      <c r="AM149" s="3">
        <v>0</v>
      </c>
      <c r="AN149" s="3">
        <v>0</v>
      </c>
      <c r="AO149" s="3">
        <v>0</v>
      </c>
      <c r="AP149" s="3">
        <v>0</v>
      </c>
      <c r="AQ149" s="3">
        <v>327.16000000000003</v>
      </c>
      <c r="AR149" s="3">
        <v>0</v>
      </c>
      <c r="AS149" s="3">
        <v>-1665.08</v>
      </c>
      <c r="AT149" s="3">
        <v>0</v>
      </c>
      <c r="AU149" s="3">
        <f t="shared" si="18"/>
        <v>0</v>
      </c>
      <c r="AV149" s="17">
        <v>487</v>
      </c>
      <c r="AW149" s="17">
        <v>487</v>
      </c>
      <c r="AX149" s="17">
        <v>1</v>
      </c>
      <c r="AY149" s="3" t="s">
        <v>147</v>
      </c>
      <c r="AZ149" s="3">
        <v>0</v>
      </c>
      <c r="BA149" s="19">
        <v>32084.69</v>
      </c>
    </row>
    <row r="150" spans="1:53" x14ac:dyDescent="0.2">
      <c r="A150" s="17">
        <v>492</v>
      </c>
      <c r="B150" s="17">
        <v>1</v>
      </c>
      <c r="C150" s="3" t="s">
        <v>148</v>
      </c>
      <c r="D150" s="3">
        <f>Levy!F151</f>
        <v>623250</v>
      </c>
      <c r="E150" s="3">
        <f>Levy!G151</f>
        <v>1343459</v>
      </c>
      <c r="F150" s="3">
        <f>Levy!H151</f>
        <v>0</v>
      </c>
      <c r="G150" s="3">
        <f>Levy!I151</f>
        <v>1643968</v>
      </c>
      <c r="H150" s="217">
        <f>Levy!J151</f>
        <v>262637</v>
      </c>
      <c r="I150" s="219">
        <v>0</v>
      </c>
      <c r="J150" s="219">
        <v>10000</v>
      </c>
      <c r="K150" s="219">
        <v>40297.97</v>
      </c>
      <c r="L150" s="219">
        <v>0</v>
      </c>
      <c r="M150" s="219">
        <v>0</v>
      </c>
      <c r="N150" s="19">
        <v>0</v>
      </c>
      <c r="O150" s="19">
        <v>0</v>
      </c>
      <c r="P150" s="219">
        <v>-44614.58</v>
      </c>
      <c r="Q150" s="219">
        <v>0</v>
      </c>
      <c r="R150" s="219">
        <v>-11014.03</v>
      </c>
      <c r="S150" s="219">
        <v>0</v>
      </c>
      <c r="T150" s="19">
        <v>0</v>
      </c>
      <c r="U150" s="19">
        <v>0</v>
      </c>
      <c r="V150" s="19">
        <v>0</v>
      </c>
      <c r="W150" s="19">
        <v>0</v>
      </c>
      <c r="X150" s="19">
        <v>61476.54</v>
      </c>
      <c r="Y150" s="217">
        <v>295941.48</v>
      </c>
      <c r="Z150" s="3">
        <f t="shared" si="13"/>
        <v>-5330.6400000000012</v>
      </c>
      <c r="AA150" s="3">
        <f t="shared" si="14"/>
        <v>2931281.1</v>
      </c>
      <c r="AB150" s="3">
        <f t="shared" si="16"/>
        <v>262637</v>
      </c>
      <c r="AC150" s="3">
        <f>ROUND(MAX(0,(D150-V150)*'Shift 14'!$B$2),2)</f>
        <v>0</v>
      </c>
      <c r="AD150" s="3">
        <f t="shared" si="15"/>
        <v>295941.48</v>
      </c>
      <c r="AE150" s="3">
        <f t="shared" si="17"/>
        <v>0</v>
      </c>
      <c r="AF150" s="214">
        <v>492</v>
      </c>
      <c r="AG150" s="214">
        <v>1</v>
      </c>
      <c r="AH150" s="3">
        <v>0</v>
      </c>
      <c r="AI150" s="3">
        <v>0</v>
      </c>
      <c r="AJ150" s="3">
        <v>210538.22</v>
      </c>
      <c r="AK150" s="3">
        <v>10000</v>
      </c>
      <c r="AL150" s="3">
        <v>40297.97</v>
      </c>
      <c r="AM150" s="3">
        <v>0</v>
      </c>
      <c r="AN150" s="3">
        <v>0</v>
      </c>
      <c r="AO150" s="3">
        <v>0</v>
      </c>
      <c r="AP150" s="3">
        <v>-39178.199999999997</v>
      </c>
      <c r="AQ150" s="3">
        <v>-44614.58</v>
      </c>
      <c r="AR150" s="3">
        <v>0</v>
      </c>
      <c r="AS150" s="3">
        <v>-11014.03</v>
      </c>
      <c r="AT150" s="3">
        <v>0</v>
      </c>
      <c r="AU150" s="3">
        <f t="shared" si="18"/>
        <v>0</v>
      </c>
      <c r="AV150" s="17">
        <v>492</v>
      </c>
      <c r="AW150" s="17">
        <v>492</v>
      </c>
      <c r="AX150" s="17">
        <v>1</v>
      </c>
      <c r="AY150" s="3" t="s">
        <v>148</v>
      </c>
      <c r="AZ150" s="3">
        <v>61476.54</v>
      </c>
      <c r="BA150" s="19">
        <v>295941.48</v>
      </c>
    </row>
    <row r="151" spans="1:53" x14ac:dyDescent="0.2">
      <c r="A151" s="17">
        <v>495</v>
      </c>
      <c r="B151" s="17">
        <v>1</v>
      </c>
      <c r="C151" s="3" t="s">
        <v>149</v>
      </c>
      <c r="D151" s="3">
        <f>Levy!F152</f>
        <v>347748</v>
      </c>
      <c r="E151" s="3">
        <f>Levy!G152</f>
        <v>17618</v>
      </c>
      <c r="F151" s="3">
        <f>Levy!H152</f>
        <v>0</v>
      </c>
      <c r="G151" s="3">
        <f>Levy!I152</f>
        <v>218319</v>
      </c>
      <c r="H151" s="217">
        <f>Levy!J152</f>
        <v>33347</v>
      </c>
      <c r="I151" s="219">
        <v>0</v>
      </c>
      <c r="J151" s="219">
        <v>6247</v>
      </c>
      <c r="K151" s="219">
        <v>13407.94</v>
      </c>
      <c r="L151" s="219">
        <v>0</v>
      </c>
      <c r="M151" s="219">
        <v>0</v>
      </c>
      <c r="N151" s="19">
        <v>0</v>
      </c>
      <c r="O151" s="19">
        <v>0</v>
      </c>
      <c r="P151" s="219">
        <v>-2947.63</v>
      </c>
      <c r="Q151" s="219">
        <v>0</v>
      </c>
      <c r="R151" s="219">
        <v>-1665.08</v>
      </c>
      <c r="S151" s="219">
        <v>0</v>
      </c>
      <c r="T151" s="19">
        <v>0</v>
      </c>
      <c r="U151" s="19">
        <v>0</v>
      </c>
      <c r="V151" s="19">
        <v>0</v>
      </c>
      <c r="W151" s="19">
        <v>0</v>
      </c>
      <c r="X151" s="19">
        <v>7031.72</v>
      </c>
      <c r="Y151" s="217">
        <v>55032.71</v>
      </c>
      <c r="Z151" s="3">
        <f t="shared" si="13"/>
        <v>15042.230000000001</v>
      </c>
      <c r="AA151" s="3">
        <f t="shared" si="14"/>
        <v>213863.05</v>
      </c>
      <c r="AB151" s="3">
        <f t="shared" si="16"/>
        <v>33347</v>
      </c>
      <c r="AC151" s="3">
        <f>ROUND(MAX(0,(D151-V151)*'Shift 14'!$B$2),2)</f>
        <v>0</v>
      </c>
      <c r="AD151" s="3">
        <f t="shared" si="15"/>
        <v>55032.71</v>
      </c>
      <c r="AE151" s="3">
        <f t="shared" si="17"/>
        <v>0</v>
      </c>
      <c r="AF151" s="214">
        <v>495</v>
      </c>
      <c r="AG151" s="214">
        <v>1</v>
      </c>
      <c r="AH151" s="3">
        <v>0</v>
      </c>
      <c r="AI151" s="3">
        <v>0</v>
      </c>
      <c r="AJ151" s="3">
        <v>0</v>
      </c>
      <c r="AK151" s="3">
        <v>6247</v>
      </c>
      <c r="AL151" s="3">
        <v>13407.94</v>
      </c>
      <c r="AM151" s="3">
        <v>0</v>
      </c>
      <c r="AN151" s="3">
        <v>0</v>
      </c>
      <c r="AO151" s="3">
        <v>0</v>
      </c>
      <c r="AP151" s="3">
        <v>0</v>
      </c>
      <c r="AQ151" s="3">
        <v>-2947.63</v>
      </c>
      <c r="AR151" s="3">
        <v>0</v>
      </c>
      <c r="AS151" s="3">
        <v>-1665.08</v>
      </c>
      <c r="AT151" s="3">
        <v>0</v>
      </c>
      <c r="AU151" s="3">
        <f t="shared" si="18"/>
        <v>0</v>
      </c>
      <c r="AV151" s="17">
        <v>495</v>
      </c>
      <c r="AW151" s="17">
        <v>495</v>
      </c>
      <c r="AX151" s="17">
        <v>1</v>
      </c>
      <c r="AY151" s="3" t="s">
        <v>149</v>
      </c>
      <c r="AZ151" s="3">
        <v>7031.72</v>
      </c>
      <c r="BA151" s="19">
        <v>55032.71</v>
      </c>
    </row>
    <row r="152" spans="1:53" x14ac:dyDescent="0.2">
      <c r="A152" s="17">
        <v>497</v>
      </c>
      <c r="B152" s="17">
        <v>1</v>
      </c>
      <c r="C152" s="3" t="s">
        <v>150</v>
      </c>
      <c r="D152" s="3">
        <f>Levy!F153</f>
        <v>70462</v>
      </c>
      <c r="E152" s="3">
        <f>Levy!G153</f>
        <v>18341</v>
      </c>
      <c r="F152" s="3">
        <f>Levy!H153</f>
        <v>0</v>
      </c>
      <c r="G152" s="3">
        <f>Levy!I153</f>
        <v>73117</v>
      </c>
      <c r="H152" s="217">
        <f>Levy!J153</f>
        <v>12512</v>
      </c>
      <c r="I152" s="219">
        <v>0</v>
      </c>
      <c r="J152" s="219">
        <v>4160</v>
      </c>
      <c r="K152" s="219">
        <v>0</v>
      </c>
      <c r="L152" s="219">
        <v>0</v>
      </c>
      <c r="M152" s="219">
        <v>0</v>
      </c>
      <c r="N152" s="19">
        <v>0</v>
      </c>
      <c r="O152" s="19">
        <v>0</v>
      </c>
      <c r="P152" s="219">
        <v>0</v>
      </c>
      <c r="Q152" s="219">
        <v>0</v>
      </c>
      <c r="R152" s="219">
        <v>0</v>
      </c>
      <c r="S152" s="219">
        <v>0</v>
      </c>
      <c r="T152" s="19">
        <v>0</v>
      </c>
      <c r="U152" s="19">
        <v>0</v>
      </c>
      <c r="V152" s="19">
        <v>0</v>
      </c>
      <c r="W152" s="19">
        <v>0</v>
      </c>
      <c r="X152" s="19">
        <v>3172.07</v>
      </c>
      <c r="Y152" s="217">
        <v>65196.27</v>
      </c>
      <c r="Z152" s="3">
        <f t="shared" si="13"/>
        <v>4160</v>
      </c>
      <c r="AA152" s="3">
        <f t="shared" si="14"/>
        <v>84125.93</v>
      </c>
      <c r="AB152" s="3">
        <f t="shared" si="16"/>
        <v>12512</v>
      </c>
      <c r="AC152" s="3">
        <f>ROUND(MAX(0,(D152-V152)*'Shift 14'!$B$2),2)</f>
        <v>0</v>
      </c>
      <c r="AD152" s="3">
        <f t="shared" si="15"/>
        <v>65196.27</v>
      </c>
      <c r="AE152" s="3">
        <f t="shared" si="17"/>
        <v>0</v>
      </c>
      <c r="AF152" s="214">
        <v>497</v>
      </c>
      <c r="AG152" s="214">
        <v>1</v>
      </c>
      <c r="AH152" s="3">
        <v>0</v>
      </c>
      <c r="AI152" s="3">
        <v>0</v>
      </c>
      <c r="AJ152" s="3">
        <v>5055.13</v>
      </c>
      <c r="AK152" s="3">
        <v>4160</v>
      </c>
      <c r="AL152" s="3">
        <v>0</v>
      </c>
      <c r="AM152" s="3">
        <v>0</v>
      </c>
      <c r="AN152" s="3">
        <v>0</v>
      </c>
      <c r="AO152" s="3">
        <v>0</v>
      </c>
      <c r="AP152" s="3">
        <v>0</v>
      </c>
      <c r="AQ152" s="3">
        <v>0</v>
      </c>
      <c r="AR152" s="3">
        <v>0</v>
      </c>
      <c r="AS152" s="3">
        <v>0</v>
      </c>
      <c r="AT152" s="3">
        <v>0</v>
      </c>
      <c r="AU152" s="3">
        <f t="shared" si="18"/>
        <v>0</v>
      </c>
      <c r="AV152" s="17">
        <v>497</v>
      </c>
      <c r="AW152" s="17">
        <v>497</v>
      </c>
      <c r="AX152" s="17">
        <v>1</v>
      </c>
      <c r="AY152" s="3" t="s">
        <v>150</v>
      </c>
      <c r="AZ152" s="3">
        <v>3172.07</v>
      </c>
      <c r="BA152" s="19">
        <v>65196.27</v>
      </c>
    </row>
    <row r="153" spans="1:53" x14ac:dyDescent="0.2">
      <c r="A153" s="17">
        <v>499</v>
      </c>
      <c r="B153" s="17">
        <v>1</v>
      </c>
      <c r="C153" s="3" t="s">
        <v>1186</v>
      </c>
      <c r="D153" s="3">
        <f>Levy!F154</f>
        <v>358296</v>
      </c>
      <c r="E153" s="3">
        <f>Levy!G154</f>
        <v>15749</v>
      </c>
      <c r="F153" s="3">
        <f>Levy!H154</f>
        <v>0</v>
      </c>
      <c r="G153" s="3">
        <f>Levy!I154</f>
        <v>193635</v>
      </c>
      <c r="H153" s="217">
        <f>Levy!J154</f>
        <v>90473</v>
      </c>
      <c r="I153" s="219">
        <v>0</v>
      </c>
      <c r="J153" s="219">
        <v>5000</v>
      </c>
      <c r="K153" s="219">
        <v>28026.71</v>
      </c>
      <c r="L153" s="219">
        <v>0</v>
      </c>
      <c r="M153" s="219">
        <v>0</v>
      </c>
      <c r="N153" s="19">
        <v>0</v>
      </c>
      <c r="O153" s="19">
        <v>0</v>
      </c>
      <c r="P153" s="219">
        <v>-9433.09</v>
      </c>
      <c r="Q153" s="219">
        <v>0</v>
      </c>
      <c r="R153" s="219">
        <v>-3480.52</v>
      </c>
      <c r="S153" s="219">
        <v>0</v>
      </c>
      <c r="T153" s="19">
        <v>0</v>
      </c>
      <c r="U153" s="19">
        <v>0</v>
      </c>
      <c r="V153" s="19">
        <v>0</v>
      </c>
      <c r="W153" s="19">
        <v>0</v>
      </c>
      <c r="X153" s="19">
        <v>0</v>
      </c>
      <c r="Y153" s="217">
        <v>112134.59</v>
      </c>
      <c r="Z153" s="3">
        <f t="shared" si="13"/>
        <v>20113.099999999999</v>
      </c>
      <c r="AA153" s="3">
        <f t="shared" si="14"/>
        <v>189270.9</v>
      </c>
      <c r="AB153" s="3">
        <f t="shared" si="16"/>
        <v>90473</v>
      </c>
      <c r="AC153" s="3">
        <f>ROUND(MAX(0,(D153-V153)*'Shift 14'!$B$2),2)</f>
        <v>0</v>
      </c>
      <c r="AD153" s="3">
        <f t="shared" si="15"/>
        <v>112134.59</v>
      </c>
      <c r="AE153" s="3">
        <f t="shared" si="17"/>
        <v>0</v>
      </c>
      <c r="AF153" s="214">
        <v>499</v>
      </c>
      <c r="AG153" s="214">
        <v>1</v>
      </c>
      <c r="AH153" s="3">
        <v>0</v>
      </c>
      <c r="AI153" s="3">
        <v>0</v>
      </c>
      <c r="AJ153" s="3">
        <v>0</v>
      </c>
      <c r="AK153" s="3">
        <v>5000</v>
      </c>
      <c r="AL153" s="3">
        <v>28026.71</v>
      </c>
      <c r="AM153" s="3">
        <v>0</v>
      </c>
      <c r="AN153" s="3">
        <v>0</v>
      </c>
      <c r="AO153" s="3">
        <v>0</v>
      </c>
      <c r="AP153" s="3">
        <v>0</v>
      </c>
      <c r="AQ153" s="3">
        <v>-9433.09</v>
      </c>
      <c r="AR153" s="3">
        <v>0</v>
      </c>
      <c r="AS153" s="3">
        <v>-3480.52</v>
      </c>
      <c r="AT153" s="3">
        <v>0</v>
      </c>
      <c r="AU153" s="3">
        <f t="shared" si="18"/>
        <v>0</v>
      </c>
      <c r="AV153" s="17">
        <v>499</v>
      </c>
      <c r="AW153" s="17">
        <v>499</v>
      </c>
      <c r="AX153" s="17">
        <v>1</v>
      </c>
      <c r="AY153" s="3" t="s">
        <v>151</v>
      </c>
      <c r="AZ153" s="3">
        <v>0</v>
      </c>
      <c r="BA153" s="19">
        <v>112134.59</v>
      </c>
    </row>
    <row r="154" spans="1:53" x14ac:dyDescent="0.2">
      <c r="A154" s="17">
        <v>500</v>
      </c>
      <c r="B154" s="17">
        <v>1</v>
      </c>
      <c r="C154" s="3" t="s">
        <v>152</v>
      </c>
      <c r="D154" s="3">
        <f>Levy!F155</f>
        <v>208472.76</v>
      </c>
      <c r="E154" s="3">
        <f>Levy!G155</f>
        <v>42259.28</v>
      </c>
      <c r="F154" s="3">
        <f>Levy!H155</f>
        <v>0</v>
      </c>
      <c r="G154" s="3">
        <f>Levy!I155</f>
        <v>210275.62</v>
      </c>
      <c r="H154" s="217">
        <f>Levy!J155</f>
        <v>47548.95</v>
      </c>
      <c r="I154" s="219">
        <v>0</v>
      </c>
      <c r="J154" s="219">
        <v>2548</v>
      </c>
      <c r="K154" s="219">
        <v>21774.5</v>
      </c>
      <c r="L154" s="219">
        <v>0</v>
      </c>
      <c r="M154" s="219">
        <v>0</v>
      </c>
      <c r="N154" s="19">
        <v>0</v>
      </c>
      <c r="O154" s="19">
        <v>0</v>
      </c>
      <c r="P154" s="219">
        <v>-2708.37</v>
      </c>
      <c r="Q154" s="219">
        <v>0</v>
      </c>
      <c r="R154" s="219">
        <v>-3924.88</v>
      </c>
      <c r="S154" s="219">
        <v>0</v>
      </c>
      <c r="T154" s="19">
        <v>0</v>
      </c>
      <c r="U154" s="19">
        <v>0</v>
      </c>
      <c r="V154" s="19">
        <v>0</v>
      </c>
      <c r="W154" s="19">
        <v>0</v>
      </c>
      <c r="X154" s="19">
        <v>5199.95</v>
      </c>
      <c r="Y154" s="217">
        <v>97648.05</v>
      </c>
      <c r="Z154" s="3">
        <f t="shared" si="13"/>
        <v>17689.25</v>
      </c>
      <c r="AA154" s="3">
        <f t="shared" si="14"/>
        <v>229645.7</v>
      </c>
      <c r="AB154" s="3">
        <f t="shared" si="16"/>
        <v>47548.95</v>
      </c>
      <c r="AC154" s="3">
        <f>ROUND(MAX(0,(D154-V154)*'Shift 14'!$B$2),2)</f>
        <v>0</v>
      </c>
      <c r="AD154" s="3">
        <f t="shared" si="15"/>
        <v>97648.05</v>
      </c>
      <c r="AE154" s="3">
        <f t="shared" si="17"/>
        <v>0</v>
      </c>
      <c r="AF154" s="214">
        <v>500</v>
      </c>
      <c r="AG154" s="214">
        <v>1</v>
      </c>
      <c r="AH154" s="3">
        <v>0</v>
      </c>
      <c r="AI154" s="3">
        <v>0</v>
      </c>
      <c r="AJ154" s="3">
        <v>10460.74</v>
      </c>
      <c r="AK154" s="3">
        <v>2548</v>
      </c>
      <c r="AL154" s="3">
        <v>21774.5</v>
      </c>
      <c r="AM154" s="3">
        <v>0</v>
      </c>
      <c r="AN154" s="3">
        <v>0</v>
      </c>
      <c r="AO154" s="3">
        <v>0</v>
      </c>
      <c r="AP154" s="3">
        <v>-6034.48</v>
      </c>
      <c r="AQ154" s="3">
        <v>-2708.37</v>
      </c>
      <c r="AR154" s="3">
        <v>0</v>
      </c>
      <c r="AS154" s="3">
        <v>-3924.88</v>
      </c>
      <c r="AT154" s="3">
        <v>0</v>
      </c>
      <c r="AU154" s="3">
        <f t="shared" si="18"/>
        <v>0</v>
      </c>
      <c r="AV154" s="17">
        <v>500</v>
      </c>
      <c r="AW154" s="17">
        <v>500</v>
      </c>
      <c r="AX154" s="17">
        <v>1</v>
      </c>
      <c r="AY154" s="3" t="s">
        <v>152</v>
      </c>
      <c r="AZ154" s="3">
        <v>5199.95</v>
      </c>
      <c r="BA154" s="19">
        <v>97648.05</v>
      </c>
    </row>
    <row r="155" spans="1:53" x14ac:dyDescent="0.2">
      <c r="A155" s="17">
        <v>505</v>
      </c>
      <c r="B155" s="17">
        <v>1</v>
      </c>
      <c r="C155" s="3" t="s">
        <v>153</v>
      </c>
      <c r="D155" s="3">
        <f>Levy!F156</f>
        <v>210599.22</v>
      </c>
      <c r="E155" s="3">
        <f>Levy!G156</f>
        <v>17060.91</v>
      </c>
      <c r="F155" s="3">
        <f>Levy!H156</f>
        <v>0</v>
      </c>
      <c r="G155" s="3">
        <f>Levy!I156</f>
        <v>152780.68</v>
      </c>
      <c r="H155" s="217">
        <f>Levy!J156</f>
        <v>39053.49</v>
      </c>
      <c r="I155" s="219">
        <v>0</v>
      </c>
      <c r="J155" s="219">
        <v>0</v>
      </c>
      <c r="K155" s="219">
        <v>23392.63</v>
      </c>
      <c r="L155" s="219">
        <v>0</v>
      </c>
      <c r="M155" s="219">
        <v>0</v>
      </c>
      <c r="N155" s="19">
        <v>0</v>
      </c>
      <c r="O155" s="19">
        <v>0</v>
      </c>
      <c r="P155" s="219">
        <v>5024.78</v>
      </c>
      <c r="Q155" s="219">
        <v>0</v>
      </c>
      <c r="R155" s="219">
        <v>-2905.03</v>
      </c>
      <c r="S155" s="219">
        <v>0</v>
      </c>
      <c r="T155" s="19">
        <v>0</v>
      </c>
      <c r="U155" s="19">
        <v>0</v>
      </c>
      <c r="V155" s="19">
        <v>0</v>
      </c>
      <c r="W155" s="19">
        <v>0</v>
      </c>
      <c r="X155" s="19">
        <v>2413.96</v>
      </c>
      <c r="Y155" s="217">
        <v>77554.06</v>
      </c>
      <c r="Z155" s="3">
        <f t="shared" si="13"/>
        <v>25512.38</v>
      </c>
      <c r="AA155" s="3">
        <f t="shared" si="14"/>
        <v>141915.25</v>
      </c>
      <c r="AB155" s="3">
        <f t="shared" si="16"/>
        <v>39053.49</v>
      </c>
      <c r="AC155" s="3">
        <f>ROUND(MAX(0,(D155-V155)*'Shift 14'!$B$2),2)</f>
        <v>0</v>
      </c>
      <c r="AD155" s="3">
        <f t="shared" si="15"/>
        <v>77554.06</v>
      </c>
      <c r="AE155" s="3">
        <f t="shared" si="17"/>
        <v>0</v>
      </c>
      <c r="AF155" s="214">
        <v>505</v>
      </c>
      <c r="AG155" s="214">
        <v>1</v>
      </c>
      <c r="AH155" s="3">
        <v>0</v>
      </c>
      <c r="AI155" s="3">
        <v>0</v>
      </c>
      <c r="AJ155" s="3">
        <v>0</v>
      </c>
      <c r="AK155" s="3">
        <v>0</v>
      </c>
      <c r="AL155" s="3">
        <v>23392.63</v>
      </c>
      <c r="AM155" s="3">
        <v>0</v>
      </c>
      <c r="AN155" s="3">
        <v>0</v>
      </c>
      <c r="AO155" s="3">
        <v>0</v>
      </c>
      <c r="AP155" s="3">
        <v>142.41999999999999</v>
      </c>
      <c r="AQ155" s="3">
        <v>5024.78</v>
      </c>
      <c r="AR155" s="3">
        <v>0</v>
      </c>
      <c r="AS155" s="3">
        <v>-2905.03</v>
      </c>
      <c r="AT155" s="3">
        <v>0</v>
      </c>
      <c r="AU155" s="3">
        <f t="shared" si="18"/>
        <v>0</v>
      </c>
      <c r="AV155" s="17">
        <v>505</v>
      </c>
      <c r="AW155" s="17">
        <v>505</v>
      </c>
      <c r="AX155" s="17">
        <v>1</v>
      </c>
      <c r="AY155" s="3" t="s">
        <v>153</v>
      </c>
      <c r="AZ155" s="3">
        <v>2413.96</v>
      </c>
      <c r="BA155" s="19">
        <v>77554.06</v>
      </c>
    </row>
    <row r="156" spans="1:53" x14ac:dyDescent="0.2">
      <c r="A156" s="17">
        <v>507</v>
      </c>
      <c r="B156" s="17">
        <v>1</v>
      </c>
      <c r="C156" s="3" t="s">
        <v>154</v>
      </c>
      <c r="D156" s="3">
        <f>Levy!F157</f>
        <v>465639</v>
      </c>
      <c r="E156" s="3">
        <f>Levy!G157</f>
        <v>27805</v>
      </c>
      <c r="F156" s="3">
        <f>Levy!H157</f>
        <v>0</v>
      </c>
      <c r="G156" s="3">
        <f>Levy!I157</f>
        <v>176944</v>
      </c>
      <c r="H156" s="217">
        <f>Levy!J157</f>
        <v>38064</v>
      </c>
      <c r="I156" s="219">
        <v>0</v>
      </c>
      <c r="J156" s="219">
        <v>15000</v>
      </c>
      <c r="K156" s="219">
        <v>5577.7</v>
      </c>
      <c r="L156" s="219">
        <v>0</v>
      </c>
      <c r="M156" s="219">
        <v>0</v>
      </c>
      <c r="N156" s="19">
        <v>0</v>
      </c>
      <c r="O156" s="19">
        <v>0</v>
      </c>
      <c r="P156" s="219">
        <v>-6618.04</v>
      </c>
      <c r="Q156" s="219">
        <v>0</v>
      </c>
      <c r="R156" s="219">
        <v>-1665.08</v>
      </c>
      <c r="S156" s="219">
        <v>0</v>
      </c>
      <c r="T156" s="19">
        <v>0</v>
      </c>
      <c r="U156" s="19">
        <v>0</v>
      </c>
      <c r="V156" s="19">
        <v>0</v>
      </c>
      <c r="W156" s="19">
        <v>0</v>
      </c>
      <c r="X156" s="19">
        <v>0</v>
      </c>
      <c r="Y156" s="217">
        <v>124645.82</v>
      </c>
      <c r="Z156" s="3">
        <f t="shared" si="13"/>
        <v>12294.58</v>
      </c>
      <c r="AA156" s="3">
        <f t="shared" si="14"/>
        <v>192454.42</v>
      </c>
      <c r="AB156" s="3">
        <f t="shared" si="16"/>
        <v>38064</v>
      </c>
      <c r="AC156" s="3">
        <f>ROUND(MAX(0,(D156-V156)*'Shift 14'!$B$2),2)</f>
        <v>0</v>
      </c>
      <c r="AD156" s="3">
        <f t="shared" si="15"/>
        <v>124645.82</v>
      </c>
      <c r="AE156" s="3">
        <f t="shared" si="17"/>
        <v>0</v>
      </c>
      <c r="AF156" s="214">
        <v>507</v>
      </c>
      <c r="AG156" s="214">
        <v>1</v>
      </c>
      <c r="AH156" s="3">
        <v>0</v>
      </c>
      <c r="AI156" s="3">
        <v>0</v>
      </c>
      <c r="AJ156" s="3">
        <v>6955.17</v>
      </c>
      <c r="AK156" s="3">
        <v>15000</v>
      </c>
      <c r="AL156" s="3">
        <v>5577.7</v>
      </c>
      <c r="AM156" s="3">
        <v>0</v>
      </c>
      <c r="AN156" s="3">
        <v>0</v>
      </c>
      <c r="AO156" s="3">
        <v>0</v>
      </c>
      <c r="AP156" s="3">
        <v>-1508.99</v>
      </c>
      <c r="AQ156" s="3">
        <v>-6618.04</v>
      </c>
      <c r="AR156" s="3">
        <v>0</v>
      </c>
      <c r="AS156" s="3">
        <v>-1665.08</v>
      </c>
      <c r="AT156" s="3">
        <v>0</v>
      </c>
      <c r="AU156" s="3">
        <f t="shared" si="18"/>
        <v>0</v>
      </c>
      <c r="AV156" s="17">
        <v>507</v>
      </c>
      <c r="AW156" s="17">
        <v>507</v>
      </c>
      <c r="AX156" s="17">
        <v>1</v>
      </c>
      <c r="AY156" s="3" t="s">
        <v>154</v>
      </c>
      <c r="AZ156" s="3">
        <v>0</v>
      </c>
      <c r="BA156" s="19">
        <v>124645.82</v>
      </c>
    </row>
    <row r="157" spans="1:53" x14ac:dyDescent="0.2">
      <c r="A157" s="17">
        <v>508</v>
      </c>
      <c r="B157" s="17">
        <v>1</v>
      </c>
      <c r="C157" s="3" t="s">
        <v>155</v>
      </c>
      <c r="D157" s="3">
        <f>Levy!F158</f>
        <v>1256572</v>
      </c>
      <c r="E157" s="3">
        <f>Levy!G158</f>
        <v>198917</v>
      </c>
      <c r="F157" s="3">
        <f>Levy!H158</f>
        <v>460950</v>
      </c>
      <c r="G157" s="3">
        <f>Levy!I158</f>
        <v>1028439</v>
      </c>
      <c r="H157" s="217">
        <f>Levy!J158</f>
        <v>144829</v>
      </c>
      <c r="I157" s="219">
        <v>0</v>
      </c>
      <c r="J157" s="219">
        <v>10034</v>
      </c>
      <c r="K157" s="219">
        <v>14382.69</v>
      </c>
      <c r="L157" s="219">
        <v>0</v>
      </c>
      <c r="M157" s="219">
        <v>0</v>
      </c>
      <c r="N157" s="19">
        <v>0</v>
      </c>
      <c r="O157" s="19">
        <v>0</v>
      </c>
      <c r="P157" s="219">
        <v>8458.06</v>
      </c>
      <c r="Q157" s="219">
        <v>0</v>
      </c>
      <c r="R157" s="219">
        <v>-15642.95</v>
      </c>
      <c r="S157" s="219">
        <v>0</v>
      </c>
      <c r="T157" s="19">
        <v>0</v>
      </c>
      <c r="U157" s="19">
        <v>0</v>
      </c>
      <c r="V157" s="19">
        <v>0</v>
      </c>
      <c r="W157" s="19">
        <v>0</v>
      </c>
      <c r="X157" s="19">
        <v>0</v>
      </c>
      <c r="Y157" s="217">
        <v>172318.92</v>
      </c>
      <c r="Z157" s="3">
        <f t="shared" si="13"/>
        <v>17231.8</v>
      </c>
      <c r="AA157" s="3">
        <f t="shared" si="14"/>
        <v>1671074.2</v>
      </c>
      <c r="AB157" s="3">
        <f t="shared" si="16"/>
        <v>144829</v>
      </c>
      <c r="AC157" s="3">
        <f>ROUND(MAX(0,(D157-V157)*'Shift 14'!$B$2),2)</f>
        <v>0</v>
      </c>
      <c r="AD157" s="3">
        <f t="shared" si="15"/>
        <v>172318.92</v>
      </c>
      <c r="AE157" s="3">
        <f t="shared" si="17"/>
        <v>0</v>
      </c>
      <c r="AF157" s="214">
        <v>508</v>
      </c>
      <c r="AG157" s="214">
        <v>1</v>
      </c>
      <c r="AH157" s="3">
        <v>0</v>
      </c>
      <c r="AI157" s="3">
        <v>0</v>
      </c>
      <c r="AJ157" s="3">
        <v>0</v>
      </c>
      <c r="AK157" s="3">
        <v>10034</v>
      </c>
      <c r="AL157" s="3">
        <v>14382.69</v>
      </c>
      <c r="AM157" s="3">
        <v>0</v>
      </c>
      <c r="AN157" s="3">
        <v>0</v>
      </c>
      <c r="AO157" s="3">
        <v>0</v>
      </c>
      <c r="AP157" s="3">
        <v>0</v>
      </c>
      <c r="AQ157" s="3">
        <v>8458.06</v>
      </c>
      <c r="AR157" s="3">
        <v>0</v>
      </c>
      <c r="AS157" s="3">
        <v>-15642.95</v>
      </c>
      <c r="AT157" s="3">
        <v>0</v>
      </c>
      <c r="AU157" s="3">
        <f t="shared" si="18"/>
        <v>0</v>
      </c>
      <c r="AV157" s="17">
        <v>508</v>
      </c>
      <c r="AW157" s="17">
        <v>508</v>
      </c>
      <c r="AX157" s="17">
        <v>1</v>
      </c>
      <c r="AY157" s="3" t="s">
        <v>155</v>
      </c>
      <c r="AZ157" s="3">
        <v>0</v>
      </c>
      <c r="BA157" s="19">
        <v>172318.92</v>
      </c>
    </row>
    <row r="158" spans="1:53" x14ac:dyDescent="0.2">
      <c r="A158" s="17">
        <v>511</v>
      </c>
      <c r="B158" s="17">
        <v>1</v>
      </c>
      <c r="C158" s="3" t="s">
        <v>156</v>
      </c>
      <c r="D158" s="3">
        <f>Levy!F159</f>
        <v>359018.79</v>
      </c>
      <c r="E158" s="3">
        <f>Levy!G159</f>
        <v>25785.25</v>
      </c>
      <c r="F158" s="3">
        <f>Levy!H159</f>
        <v>0</v>
      </c>
      <c r="G158" s="3">
        <f>Levy!I159</f>
        <v>304673.2</v>
      </c>
      <c r="H158" s="217">
        <f>Levy!J159</f>
        <v>25265.14</v>
      </c>
      <c r="I158" s="219">
        <v>0</v>
      </c>
      <c r="J158" s="219">
        <v>0</v>
      </c>
      <c r="K158" s="219">
        <v>18078.13</v>
      </c>
      <c r="L158" s="219">
        <v>0</v>
      </c>
      <c r="M158" s="219">
        <v>0</v>
      </c>
      <c r="N158" s="19">
        <v>0</v>
      </c>
      <c r="O158" s="19">
        <v>0</v>
      </c>
      <c r="P158" s="219">
        <v>4145</v>
      </c>
      <c r="Q158" s="219">
        <v>0</v>
      </c>
      <c r="R158" s="219">
        <v>-5728.2</v>
      </c>
      <c r="S158" s="219">
        <v>0</v>
      </c>
      <c r="T158" s="19">
        <v>0</v>
      </c>
      <c r="U158" s="19">
        <v>0</v>
      </c>
      <c r="V158" s="19">
        <v>0</v>
      </c>
      <c r="W158" s="19">
        <v>0</v>
      </c>
      <c r="X158" s="19">
        <v>0</v>
      </c>
      <c r="Y158" s="217">
        <v>21485.18</v>
      </c>
      <c r="Z158" s="3">
        <f t="shared" si="13"/>
        <v>16494.93</v>
      </c>
      <c r="AA158" s="3">
        <f t="shared" si="14"/>
        <v>313963.52000000002</v>
      </c>
      <c r="AB158" s="3">
        <f t="shared" si="16"/>
        <v>25265.14</v>
      </c>
      <c r="AC158" s="3">
        <f>ROUND(MAX(0,(D158-V158)*'Shift 14'!$B$2),2)</f>
        <v>0</v>
      </c>
      <c r="AD158" s="3">
        <f t="shared" si="15"/>
        <v>21485.18</v>
      </c>
      <c r="AE158" s="3">
        <f t="shared" si="17"/>
        <v>0</v>
      </c>
      <c r="AF158" s="214">
        <v>511</v>
      </c>
      <c r="AG158" s="214">
        <v>1</v>
      </c>
      <c r="AH158" s="3">
        <v>0</v>
      </c>
      <c r="AI158" s="3">
        <v>0</v>
      </c>
      <c r="AJ158" s="3">
        <v>14534.33</v>
      </c>
      <c r="AK158" s="3">
        <v>0</v>
      </c>
      <c r="AL158" s="3">
        <v>18078.13</v>
      </c>
      <c r="AM158" s="3">
        <v>0</v>
      </c>
      <c r="AN158" s="3">
        <v>0</v>
      </c>
      <c r="AO158" s="3">
        <v>0</v>
      </c>
      <c r="AP158" s="3">
        <v>0</v>
      </c>
      <c r="AQ158" s="3">
        <v>4145</v>
      </c>
      <c r="AR158" s="3">
        <v>0</v>
      </c>
      <c r="AS158" s="3">
        <v>-5728.2</v>
      </c>
      <c r="AT158" s="3">
        <v>0</v>
      </c>
      <c r="AU158" s="3">
        <f t="shared" si="18"/>
        <v>0</v>
      </c>
      <c r="AV158" s="17">
        <v>511</v>
      </c>
      <c r="AW158" s="17">
        <v>511</v>
      </c>
      <c r="AX158" s="17">
        <v>1</v>
      </c>
      <c r="AY158" s="3" t="s">
        <v>156</v>
      </c>
      <c r="AZ158" s="3">
        <v>0</v>
      </c>
      <c r="BA158" s="19">
        <v>21485.18</v>
      </c>
    </row>
    <row r="159" spans="1:53" x14ac:dyDescent="0.2">
      <c r="A159" s="17">
        <v>514</v>
      </c>
      <c r="B159" s="17">
        <v>1</v>
      </c>
      <c r="C159" s="3" t="s">
        <v>158</v>
      </c>
      <c r="D159" s="3">
        <f>Levy!F160</f>
        <v>215570.51</v>
      </c>
      <c r="E159" s="3">
        <f>Levy!G160</f>
        <v>2413.87</v>
      </c>
      <c r="F159" s="3">
        <f>Levy!H160</f>
        <v>0</v>
      </c>
      <c r="G159" s="3">
        <f>Levy!I160</f>
        <v>124874.72</v>
      </c>
      <c r="H159" s="217">
        <f>Levy!J160</f>
        <v>3701.12</v>
      </c>
      <c r="I159" s="219">
        <v>0</v>
      </c>
      <c r="J159" s="219">
        <v>143.96</v>
      </c>
      <c r="K159" s="219">
        <v>13407.94</v>
      </c>
      <c r="L159" s="219">
        <v>0</v>
      </c>
      <c r="M159" s="219">
        <v>0</v>
      </c>
      <c r="N159" s="19">
        <v>0</v>
      </c>
      <c r="O159" s="19">
        <v>0</v>
      </c>
      <c r="P159" s="219">
        <v>0</v>
      </c>
      <c r="Q159" s="219">
        <v>0</v>
      </c>
      <c r="R159" s="219">
        <v>-1665.08</v>
      </c>
      <c r="S159" s="219">
        <v>0</v>
      </c>
      <c r="T159" s="19">
        <v>0</v>
      </c>
      <c r="U159" s="19">
        <v>0</v>
      </c>
      <c r="V159" s="19">
        <v>0</v>
      </c>
      <c r="W159" s="19">
        <v>0</v>
      </c>
      <c r="X159" s="19">
        <v>0</v>
      </c>
      <c r="Y159" s="217">
        <v>57410.63</v>
      </c>
      <c r="Z159" s="3">
        <f t="shared" si="13"/>
        <v>11886.82</v>
      </c>
      <c r="AA159" s="3">
        <f t="shared" si="14"/>
        <v>115401.77</v>
      </c>
      <c r="AB159" s="3">
        <f t="shared" si="16"/>
        <v>3701.12</v>
      </c>
      <c r="AC159" s="3">
        <f>ROUND(MAX(0,(D159-V159)*'Shift 14'!$B$2),2)</f>
        <v>0</v>
      </c>
      <c r="AD159" s="3">
        <f t="shared" si="15"/>
        <v>57410.63</v>
      </c>
      <c r="AE159" s="3">
        <f t="shared" si="17"/>
        <v>0</v>
      </c>
      <c r="AF159" s="214">
        <v>514</v>
      </c>
      <c r="AG159" s="214">
        <v>1</v>
      </c>
      <c r="AH159" s="3">
        <v>0</v>
      </c>
      <c r="AI159" s="3">
        <v>0</v>
      </c>
      <c r="AJ159" s="3">
        <v>3555.31</v>
      </c>
      <c r="AK159" s="3">
        <v>143.96</v>
      </c>
      <c r="AL159" s="3">
        <v>13407.94</v>
      </c>
      <c r="AM159" s="3">
        <v>0</v>
      </c>
      <c r="AN159" s="3">
        <v>0</v>
      </c>
      <c r="AO159" s="3">
        <v>0</v>
      </c>
      <c r="AP159" s="3">
        <v>0.02</v>
      </c>
      <c r="AQ159" s="3">
        <v>0</v>
      </c>
      <c r="AR159" s="3">
        <v>0</v>
      </c>
      <c r="AS159" s="3">
        <v>-1665.08</v>
      </c>
      <c r="AT159" s="3">
        <v>0</v>
      </c>
      <c r="AU159" s="3">
        <f t="shared" si="18"/>
        <v>0</v>
      </c>
      <c r="AV159" s="17">
        <v>514</v>
      </c>
      <c r="AW159" s="17">
        <v>514</v>
      </c>
      <c r="AX159" s="17">
        <v>1</v>
      </c>
      <c r="AY159" s="3" t="s">
        <v>158</v>
      </c>
      <c r="AZ159" s="3">
        <v>0</v>
      </c>
      <c r="BA159" s="19">
        <v>57410.63</v>
      </c>
    </row>
    <row r="160" spans="1:53" x14ac:dyDescent="0.2">
      <c r="A160" s="17">
        <v>518</v>
      </c>
      <c r="B160" s="17">
        <v>1</v>
      </c>
      <c r="C160" s="3" t="s">
        <v>160</v>
      </c>
      <c r="D160" s="3">
        <f>Levy!F161</f>
        <v>1141836.92</v>
      </c>
      <c r="E160" s="3">
        <f>Levy!G161</f>
        <v>425418.7</v>
      </c>
      <c r="F160" s="3">
        <f>Levy!H161</f>
        <v>0</v>
      </c>
      <c r="G160" s="3">
        <f>Levy!I161</f>
        <v>807782.58</v>
      </c>
      <c r="H160" s="217">
        <f>Levy!J161</f>
        <v>196603.46</v>
      </c>
      <c r="I160" s="219">
        <v>0</v>
      </c>
      <c r="J160" s="219">
        <v>5506.75</v>
      </c>
      <c r="K160" s="219">
        <v>44623.96</v>
      </c>
      <c r="L160" s="219">
        <v>0</v>
      </c>
      <c r="M160" s="219">
        <v>0</v>
      </c>
      <c r="N160" s="19">
        <v>0</v>
      </c>
      <c r="O160" s="19">
        <v>0</v>
      </c>
      <c r="P160" s="219">
        <v>-21955.38</v>
      </c>
      <c r="Q160" s="219">
        <v>0</v>
      </c>
      <c r="R160" s="219">
        <v>-10265.6</v>
      </c>
      <c r="S160" s="219">
        <v>0</v>
      </c>
      <c r="T160" s="19">
        <v>0</v>
      </c>
      <c r="U160" s="19">
        <v>0</v>
      </c>
      <c r="V160" s="19">
        <v>0</v>
      </c>
      <c r="W160" s="19">
        <v>0</v>
      </c>
      <c r="X160" s="19">
        <v>0</v>
      </c>
      <c r="Y160" s="217">
        <v>75872.61</v>
      </c>
      <c r="Z160" s="3">
        <f t="shared" si="13"/>
        <v>17909.729999999996</v>
      </c>
      <c r="AA160" s="3">
        <f t="shared" si="14"/>
        <v>1215291.55</v>
      </c>
      <c r="AB160" s="3">
        <f t="shared" si="16"/>
        <v>196603.46</v>
      </c>
      <c r="AC160" s="3">
        <f>ROUND(MAX(0,(D160-V160)*'Shift 14'!$B$2),2)</f>
        <v>0</v>
      </c>
      <c r="AD160" s="3">
        <f t="shared" si="15"/>
        <v>75872.61</v>
      </c>
      <c r="AE160" s="3">
        <f t="shared" si="17"/>
        <v>0</v>
      </c>
      <c r="AF160" s="214">
        <v>518</v>
      </c>
      <c r="AG160" s="214">
        <v>1</v>
      </c>
      <c r="AH160" s="3">
        <v>0</v>
      </c>
      <c r="AI160" s="3">
        <v>0</v>
      </c>
      <c r="AJ160" s="3">
        <v>214333.39</v>
      </c>
      <c r="AK160" s="3">
        <v>5506.75</v>
      </c>
      <c r="AL160" s="3">
        <v>44623.96</v>
      </c>
      <c r="AM160" s="3">
        <v>0</v>
      </c>
      <c r="AN160" s="3">
        <v>0</v>
      </c>
      <c r="AO160" s="3">
        <v>0</v>
      </c>
      <c r="AP160" s="3">
        <v>-4331.28</v>
      </c>
      <c r="AQ160" s="3">
        <v>-21955.38</v>
      </c>
      <c r="AR160" s="3">
        <v>0</v>
      </c>
      <c r="AS160" s="3">
        <v>-10265.6</v>
      </c>
      <c r="AT160" s="3">
        <v>0</v>
      </c>
      <c r="AU160" s="3">
        <f t="shared" si="18"/>
        <v>0</v>
      </c>
      <c r="AV160" s="17">
        <v>518</v>
      </c>
      <c r="AW160" s="17">
        <v>518</v>
      </c>
      <c r="AX160" s="17">
        <v>1</v>
      </c>
      <c r="AY160" s="3" t="s">
        <v>160</v>
      </c>
      <c r="AZ160" s="3">
        <v>0</v>
      </c>
      <c r="BA160" s="19">
        <v>75872.61</v>
      </c>
    </row>
    <row r="161" spans="1:53" x14ac:dyDescent="0.2">
      <c r="A161" s="17">
        <v>531</v>
      </c>
      <c r="B161" s="17">
        <v>1</v>
      </c>
      <c r="C161" s="3" t="s">
        <v>161</v>
      </c>
      <c r="D161" s="3">
        <f>Levy!F162</f>
        <v>6225</v>
      </c>
      <c r="E161" s="3">
        <f>Levy!G162</f>
        <v>426616</v>
      </c>
      <c r="F161" s="3">
        <f>Levy!H162</f>
        <v>0</v>
      </c>
      <c r="G161" s="3">
        <f>Levy!I162</f>
        <v>421026</v>
      </c>
      <c r="H161" s="217">
        <f>Levy!J162</f>
        <v>102693</v>
      </c>
      <c r="I161" s="219">
        <v>0</v>
      </c>
      <c r="J161" s="219">
        <v>8000</v>
      </c>
      <c r="K161" s="219">
        <v>20209.23</v>
      </c>
      <c r="L161" s="219">
        <v>0</v>
      </c>
      <c r="M161" s="219">
        <v>0</v>
      </c>
      <c r="N161" s="19">
        <v>0</v>
      </c>
      <c r="O161" s="19">
        <v>0</v>
      </c>
      <c r="P161" s="219">
        <v>15190.85</v>
      </c>
      <c r="Q161" s="219">
        <v>0</v>
      </c>
      <c r="R161" s="219">
        <v>-6300.17</v>
      </c>
      <c r="S161" s="219">
        <v>0</v>
      </c>
      <c r="T161" s="19">
        <v>0</v>
      </c>
      <c r="U161" s="19">
        <v>0</v>
      </c>
      <c r="V161" s="19">
        <v>0</v>
      </c>
      <c r="W161" s="19">
        <v>0</v>
      </c>
      <c r="X161" s="19">
        <v>0</v>
      </c>
      <c r="Y161" s="217">
        <v>45629.11</v>
      </c>
      <c r="Z161" s="3">
        <f t="shared" si="13"/>
        <v>37099.910000000003</v>
      </c>
      <c r="AA161" s="3">
        <f t="shared" si="14"/>
        <v>810542.09</v>
      </c>
      <c r="AB161" s="3">
        <f t="shared" si="16"/>
        <v>102693</v>
      </c>
      <c r="AC161" s="3">
        <f>ROUND(MAX(0,(D161-V161)*'Shift 14'!$B$2),2)</f>
        <v>0</v>
      </c>
      <c r="AD161" s="3">
        <f t="shared" si="15"/>
        <v>45629.11</v>
      </c>
      <c r="AE161" s="3">
        <f t="shared" si="17"/>
        <v>0</v>
      </c>
      <c r="AF161" s="214">
        <v>531</v>
      </c>
      <c r="AG161" s="214">
        <v>1</v>
      </c>
      <c r="AH161" s="3">
        <v>0</v>
      </c>
      <c r="AI161" s="3">
        <v>0</v>
      </c>
      <c r="AJ161" s="3">
        <v>16583.72</v>
      </c>
      <c r="AK161" s="3">
        <v>8000</v>
      </c>
      <c r="AL161" s="3">
        <v>20209.23</v>
      </c>
      <c r="AM161" s="3">
        <v>0</v>
      </c>
      <c r="AN161" s="3">
        <v>0</v>
      </c>
      <c r="AO161" s="3">
        <v>0</v>
      </c>
      <c r="AP161" s="3">
        <v>-2404.3200000000002</v>
      </c>
      <c r="AQ161" s="3">
        <v>15190.85</v>
      </c>
      <c r="AR161" s="3">
        <v>0</v>
      </c>
      <c r="AS161" s="3">
        <v>-6300.17</v>
      </c>
      <c r="AT161" s="3">
        <v>0</v>
      </c>
      <c r="AU161" s="3">
        <f t="shared" si="18"/>
        <v>0</v>
      </c>
      <c r="AV161" s="17">
        <v>531</v>
      </c>
      <c r="AW161" s="17">
        <v>531</v>
      </c>
      <c r="AX161" s="17">
        <v>1</v>
      </c>
      <c r="AY161" s="3" t="s">
        <v>161</v>
      </c>
      <c r="AZ161" s="3">
        <v>0</v>
      </c>
      <c r="BA161" s="19">
        <v>45629.11</v>
      </c>
    </row>
    <row r="162" spans="1:53" x14ac:dyDescent="0.2">
      <c r="A162" s="17">
        <v>533</v>
      </c>
      <c r="B162" s="17">
        <v>1</v>
      </c>
      <c r="C162" s="3" t="s">
        <v>162</v>
      </c>
      <c r="D162" s="3">
        <f>Levy!F163</f>
        <v>0</v>
      </c>
      <c r="E162" s="3">
        <f>Levy!G163</f>
        <v>233497</v>
      </c>
      <c r="F162" s="3">
        <f>Levy!H163</f>
        <v>0</v>
      </c>
      <c r="G162" s="3">
        <f>Levy!I163</f>
        <v>201713</v>
      </c>
      <c r="H162" s="217">
        <f>Levy!J163</f>
        <v>53673</v>
      </c>
      <c r="I162" s="219">
        <v>0</v>
      </c>
      <c r="J162" s="219">
        <v>8500</v>
      </c>
      <c r="K162" s="219">
        <v>10861.5</v>
      </c>
      <c r="L162" s="219">
        <v>0</v>
      </c>
      <c r="M162" s="219">
        <v>0</v>
      </c>
      <c r="N162" s="19">
        <v>0</v>
      </c>
      <c r="O162" s="19">
        <v>0</v>
      </c>
      <c r="P162" s="219">
        <v>-13203.68</v>
      </c>
      <c r="Q162" s="219">
        <v>0</v>
      </c>
      <c r="R162" s="219">
        <v>-1532.84</v>
      </c>
      <c r="S162" s="219">
        <v>0</v>
      </c>
      <c r="T162" s="19">
        <v>0</v>
      </c>
      <c r="U162" s="19">
        <v>0</v>
      </c>
      <c r="V162" s="19">
        <v>0</v>
      </c>
      <c r="W162" s="19">
        <v>0</v>
      </c>
      <c r="X162" s="19">
        <v>0</v>
      </c>
      <c r="Y162" s="217">
        <v>0</v>
      </c>
      <c r="Z162" s="3">
        <f t="shared" si="13"/>
        <v>4624.9799999999996</v>
      </c>
      <c r="AA162" s="3">
        <f t="shared" si="14"/>
        <v>430585.02</v>
      </c>
      <c r="AB162" s="3">
        <f t="shared" si="16"/>
        <v>53673</v>
      </c>
      <c r="AC162" s="3">
        <f>ROUND(MAX(0,(D162-V162)*'Shift 14'!$B$2),2)</f>
        <v>0</v>
      </c>
      <c r="AD162" s="3">
        <f t="shared" si="15"/>
        <v>0</v>
      </c>
      <c r="AE162" s="3">
        <f t="shared" si="17"/>
        <v>0</v>
      </c>
      <c r="AF162" s="214">
        <v>533</v>
      </c>
      <c r="AG162" s="214">
        <v>1</v>
      </c>
      <c r="AH162" s="3">
        <v>0</v>
      </c>
      <c r="AI162" s="3">
        <v>0</v>
      </c>
      <c r="AJ162" s="3">
        <v>15787.08</v>
      </c>
      <c r="AK162" s="3">
        <v>8500</v>
      </c>
      <c r="AL162" s="3">
        <v>10861.5</v>
      </c>
      <c r="AM162" s="3">
        <v>0</v>
      </c>
      <c r="AN162" s="3">
        <v>0</v>
      </c>
      <c r="AO162" s="3">
        <v>0</v>
      </c>
      <c r="AP162" s="3">
        <v>-7753.26</v>
      </c>
      <c r="AQ162" s="3">
        <v>-13203.68</v>
      </c>
      <c r="AR162" s="3">
        <v>0</v>
      </c>
      <c r="AS162" s="3">
        <v>-1532.84</v>
      </c>
      <c r="AT162" s="3">
        <v>0</v>
      </c>
      <c r="AU162" s="3">
        <f t="shared" si="18"/>
        <v>0</v>
      </c>
      <c r="AV162" s="17">
        <v>533</v>
      </c>
      <c r="AW162" s="17">
        <v>533</v>
      </c>
      <c r="AX162" s="17">
        <v>1</v>
      </c>
      <c r="AY162" s="3" t="s">
        <v>162</v>
      </c>
      <c r="AZ162" s="3">
        <v>0</v>
      </c>
      <c r="BA162" s="19">
        <v>0</v>
      </c>
    </row>
    <row r="163" spans="1:53" x14ac:dyDescent="0.2">
      <c r="A163" s="17">
        <v>534</v>
      </c>
      <c r="B163" s="17">
        <v>1</v>
      </c>
      <c r="C163" s="3" t="s">
        <v>163</v>
      </c>
      <c r="D163" s="3">
        <f>Levy!F164</f>
        <v>930405</v>
      </c>
      <c r="E163" s="3">
        <f>Levy!G164</f>
        <v>164422</v>
      </c>
      <c r="F163" s="3">
        <f>Levy!H164</f>
        <v>0</v>
      </c>
      <c r="G163" s="3">
        <f>Levy!I164</f>
        <v>850926</v>
      </c>
      <c r="H163" s="217">
        <f>Levy!J164</f>
        <v>103883</v>
      </c>
      <c r="I163" s="219">
        <v>0</v>
      </c>
      <c r="J163" s="219">
        <v>9500</v>
      </c>
      <c r="K163" s="219">
        <v>24063.65</v>
      </c>
      <c r="L163" s="219">
        <v>0</v>
      </c>
      <c r="M163" s="219">
        <v>0</v>
      </c>
      <c r="N163" s="19">
        <v>0</v>
      </c>
      <c r="O163" s="19">
        <v>0</v>
      </c>
      <c r="P163" s="219">
        <v>-6842.22</v>
      </c>
      <c r="Q163" s="219">
        <v>0</v>
      </c>
      <c r="R163" s="219">
        <v>-7285.91</v>
      </c>
      <c r="S163" s="219">
        <v>0</v>
      </c>
      <c r="T163" s="19">
        <v>0</v>
      </c>
      <c r="U163" s="19">
        <v>0</v>
      </c>
      <c r="V163" s="19">
        <v>0</v>
      </c>
      <c r="W163" s="19">
        <v>0</v>
      </c>
      <c r="X163" s="19">
        <v>13095.74</v>
      </c>
      <c r="Y163" s="217">
        <v>67031.990000000005</v>
      </c>
      <c r="Z163" s="3">
        <f t="shared" si="13"/>
        <v>19435.52</v>
      </c>
      <c r="AA163" s="3">
        <f t="shared" si="14"/>
        <v>982816.74</v>
      </c>
      <c r="AB163" s="3">
        <f t="shared" si="16"/>
        <v>103883</v>
      </c>
      <c r="AC163" s="3">
        <f>ROUND(MAX(0,(D163-V163)*'Shift 14'!$B$2),2)</f>
        <v>0</v>
      </c>
      <c r="AD163" s="3">
        <f t="shared" si="15"/>
        <v>67031.990000000005</v>
      </c>
      <c r="AE163" s="3">
        <f t="shared" si="17"/>
        <v>0</v>
      </c>
      <c r="AF163" s="214">
        <v>534</v>
      </c>
      <c r="AG163" s="214">
        <v>1</v>
      </c>
      <c r="AH163" s="3">
        <v>0</v>
      </c>
      <c r="AI163" s="3">
        <v>0</v>
      </c>
      <c r="AJ163" s="3">
        <v>24753.68</v>
      </c>
      <c r="AK163" s="3">
        <v>9500</v>
      </c>
      <c r="AL163" s="3">
        <v>24063.65</v>
      </c>
      <c r="AM163" s="3">
        <v>0</v>
      </c>
      <c r="AN163" s="3">
        <v>0</v>
      </c>
      <c r="AO163" s="3">
        <v>0</v>
      </c>
      <c r="AP163" s="3">
        <v>-9092.98</v>
      </c>
      <c r="AQ163" s="3">
        <v>-6842.22</v>
      </c>
      <c r="AR163" s="3">
        <v>0</v>
      </c>
      <c r="AS163" s="3">
        <v>-7285.91</v>
      </c>
      <c r="AT163" s="3">
        <v>0</v>
      </c>
      <c r="AU163" s="3">
        <f t="shared" si="18"/>
        <v>0</v>
      </c>
      <c r="AV163" s="17">
        <v>534</v>
      </c>
      <c r="AW163" s="17">
        <v>534</v>
      </c>
      <c r="AX163" s="17">
        <v>1</v>
      </c>
      <c r="AY163" s="3" t="s">
        <v>163</v>
      </c>
      <c r="AZ163" s="3">
        <v>13095.74</v>
      </c>
      <c r="BA163" s="19">
        <v>67031.990000000005</v>
      </c>
    </row>
    <row r="164" spans="1:53" x14ac:dyDescent="0.2">
      <c r="A164" s="17">
        <v>535</v>
      </c>
      <c r="B164" s="17">
        <v>1</v>
      </c>
      <c r="C164" s="3" t="s">
        <v>164</v>
      </c>
      <c r="D164" s="3">
        <f>Levy!F165</f>
        <v>4184983</v>
      </c>
      <c r="E164" s="3">
        <f>Levy!G165</f>
        <v>6577582</v>
      </c>
      <c r="F164" s="3">
        <f>Levy!H165</f>
        <v>0</v>
      </c>
      <c r="G164" s="3">
        <f>Levy!I165</f>
        <v>13779323</v>
      </c>
      <c r="H164" s="217">
        <f>Levy!J165</f>
        <v>1820300</v>
      </c>
      <c r="I164" s="219">
        <v>0</v>
      </c>
      <c r="J164" s="219">
        <v>150220</v>
      </c>
      <c r="K164" s="219">
        <v>337728.43</v>
      </c>
      <c r="L164" s="219">
        <v>0</v>
      </c>
      <c r="M164" s="219">
        <v>0</v>
      </c>
      <c r="N164" s="19">
        <v>0</v>
      </c>
      <c r="O164" s="19">
        <v>0</v>
      </c>
      <c r="P164" s="219">
        <v>-17737.310000000001</v>
      </c>
      <c r="Q164" s="219">
        <v>0</v>
      </c>
      <c r="R164" s="219">
        <v>-47662.49</v>
      </c>
      <c r="S164" s="219">
        <v>0</v>
      </c>
      <c r="T164" s="19">
        <v>0</v>
      </c>
      <c r="U164" s="19">
        <v>0</v>
      </c>
      <c r="V164" s="19">
        <v>0</v>
      </c>
      <c r="W164" s="19">
        <v>0</v>
      </c>
      <c r="X164" s="19">
        <v>317690.53999999998</v>
      </c>
      <c r="Y164" s="217">
        <v>1455888.91</v>
      </c>
      <c r="Z164" s="3">
        <f t="shared" si="13"/>
        <v>422548.63</v>
      </c>
      <c r="AA164" s="3">
        <f t="shared" si="14"/>
        <v>19616665.829999998</v>
      </c>
      <c r="AB164" s="3">
        <f t="shared" si="16"/>
        <v>1820300</v>
      </c>
      <c r="AC164" s="3">
        <f>ROUND(MAX(0,(D164-V164)*'Shift 14'!$B$2),2)</f>
        <v>0</v>
      </c>
      <c r="AD164" s="3">
        <f t="shared" si="15"/>
        <v>1455888.91</v>
      </c>
      <c r="AE164" s="3">
        <f t="shared" si="17"/>
        <v>0</v>
      </c>
      <c r="AF164" s="214">
        <v>535</v>
      </c>
      <c r="AG164" s="214">
        <v>1</v>
      </c>
      <c r="AH164" s="3">
        <v>0</v>
      </c>
      <c r="AI164" s="3">
        <v>0</v>
      </c>
      <c r="AJ164" s="3">
        <v>711693.41</v>
      </c>
      <c r="AK164" s="3">
        <v>150220</v>
      </c>
      <c r="AL164" s="3">
        <v>337728.43</v>
      </c>
      <c r="AM164" s="3">
        <v>0</v>
      </c>
      <c r="AN164" s="3">
        <v>0</v>
      </c>
      <c r="AO164" s="3">
        <v>0</v>
      </c>
      <c r="AP164" s="3">
        <v>-2137.27</v>
      </c>
      <c r="AQ164" s="3">
        <v>-17737.310000000001</v>
      </c>
      <c r="AR164" s="3">
        <v>0</v>
      </c>
      <c r="AS164" s="3">
        <v>-47662.49</v>
      </c>
      <c r="AT164" s="3">
        <v>0</v>
      </c>
      <c r="AU164" s="3">
        <f t="shared" si="18"/>
        <v>0</v>
      </c>
      <c r="AV164" s="17">
        <v>535</v>
      </c>
      <c r="AW164" s="17">
        <v>535</v>
      </c>
      <c r="AX164" s="17">
        <v>1</v>
      </c>
      <c r="AY164" s="3" t="s">
        <v>164</v>
      </c>
      <c r="AZ164" s="3">
        <v>317690.53999999998</v>
      </c>
      <c r="BA164" s="19">
        <v>1455888.91</v>
      </c>
    </row>
    <row r="165" spans="1:53" x14ac:dyDescent="0.2">
      <c r="A165" s="17">
        <v>542</v>
      </c>
      <c r="B165" s="17">
        <v>1</v>
      </c>
      <c r="C165" s="3" t="s">
        <v>165</v>
      </c>
      <c r="D165" s="3">
        <f>Levy!F166</f>
        <v>282391.55</v>
      </c>
      <c r="E165" s="3">
        <f>Levy!G166</f>
        <v>67667.47</v>
      </c>
      <c r="F165" s="3">
        <f>Levy!H166</f>
        <v>275800</v>
      </c>
      <c r="G165" s="3">
        <f>Levy!I166</f>
        <v>281063.84999999998</v>
      </c>
      <c r="H165" s="217">
        <f>Levy!J166</f>
        <v>50101.46</v>
      </c>
      <c r="I165" s="219">
        <v>0</v>
      </c>
      <c r="J165" s="219">
        <v>2000</v>
      </c>
      <c r="K165" s="219">
        <v>20722.150000000001</v>
      </c>
      <c r="L165" s="219">
        <v>0</v>
      </c>
      <c r="M165" s="219">
        <v>0</v>
      </c>
      <c r="N165" s="19">
        <v>0</v>
      </c>
      <c r="O165" s="19">
        <v>0</v>
      </c>
      <c r="P165" s="219">
        <v>-1238.54</v>
      </c>
      <c r="Q165" s="219">
        <v>0</v>
      </c>
      <c r="R165" s="219">
        <v>-2573.4</v>
      </c>
      <c r="S165" s="219">
        <v>0</v>
      </c>
      <c r="T165" s="19">
        <v>0</v>
      </c>
      <c r="U165" s="19">
        <v>0</v>
      </c>
      <c r="V165" s="19">
        <v>0</v>
      </c>
      <c r="W165" s="19">
        <v>0</v>
      </c>
      <c r="X165" s="19">
        <v>0</v>
      </c>
      <c r="Y165" s="217">
        <v>0</v>
      </c>
      <c r="Z165" s="3">
        <f t="shared" si="13"/>
        <v>18910.21</v>
      </c>
      <c r="AA165" s="3">
        <f t="shared" si="14"/>
        <v>605621.11</v>
      </c>
      <c r="AB165" s="3">
        <f t="shared" si="16"/>
        <v>50101.46</v>
      </c>
      <c r="AC165" s="3">
        <f>ROUND(MAX(0,(D165-V165)*'Shift 14'!$B$2),2)</f>
        <v>0</v>
      </c>
      <c r="AD165" s="3">
        <f t="shared" si="15"/>
        <v>0</v>
      </c>
      <c r="AE165" s="3">
        <f t="shared" si="17"/>
        <v>0</v>
      </c>
      <c r="AF165" s="214">
        <v>542</v>
      </c>
      <c r="AG165" s="214">
        <v>1</v>
      </c>
      <c r="AH165" s="3">
        <v>0</v>
      </c>
      <c r="AI165" s="3">
        <v>0</v>
      </c>
      <c r="AJ165" s="3">
        <v>11385.21</v>
      </c>
      <c r="AK165" s="3">
        <v>2000</v>
      </c>
      <c r="AL165" s="3">
        <v>20722.150000000001</v>
      </c>
      <c r="AM165" s="3">
        <v>0</v>
      </c>
      <c r="AN165" s="3">
        <v>0</v>
      </c>
      <c r="AO165" s="3">
        <v>0</v>
      </c>
      <c r="AP165" s="3">
        <v>-530.51</v>
      </c>
      <c r="AQ165" s="3">
        <v>-1238.54</v>
      </c>
      <c r="AR165" s="3">
        <v>0</v>
      </c>
      <c r="AS165" s="3">
        <v>-2573.4</v>
      </c>
      <c r="AT165" s="3">
        <v>0</v>
      </c>
      <c r="AU165" s="3">
        <f t="shared" si="18"/>
        <v>0</v>
      </c>
      <c r="AV165" s="17">
        <v>542</v>
      </c>
      <c r="AW165" s="17">
        <v>542</v>
      </c>
      <c r="AX165" s="17">
        <v>1</v>
      </c>
      <c r="AY165" s="3" t="s">
        <v>165</v>
      </c>
      <c r="AZ165" s="3">
        <v>0</v>
      </c>
      <c r="BA165" s="19">
        <v>0</v>
      </c>
    </row>
    <row r="166" spans="1:53" x14ac:dyDescent="0.2">
      <c r="A166" s="17">
        <v>544</v>
      </c>
      <c r="B166" s="17">
        <v>1</v>
      </c>
      <c r="C166" s="3" t="s">
        <v>166</v>
      </c>
      <c r="D166" s="3">
        <f>Levy!F167</f>
        <v>0</v>
      </c>
      <c r="E166" s="3">
        <f>Levy!G167</f>
        <v>1364240.49</v>
      </c>
      <c r="F166" s="3">
        <f>Levy!H167</f>
        <v>0</v>
      </c>
      <c r="G166" s="3">
        <f>Levy!I167</f>
        <v>938755.69</v>
      </c>
      <c r="H166" s="217">
        <f>Levy!J167</f>
        <v>229733.84</v>
      </c>
      <c r="I166" s="219">
        <v>0</v>
      </c>
      <c r="J166" s="219">
        <v>22000</v>
      </c>
      <c r="K166" s="219">
        <v>67531.77</v>
      </c>
      <c r="L166" s="219">
        <v>0</v>
      </c>
      <c r="M166" s="219">
        <v>0</v>
      </c>
      <c r="N166" s="19">
        <v>0</v>
      </c>
      <c r="O166" s="19">
        <v>0</v>
      </c>
      <c r="P166" s="219">
        <v>-2384.62</v>
      </c>
      <c r="Q166" s="219">
        <v>0</v>
      </c>
      <c r="R166" s="219">
        <v>-13569.66</v>
      </c>
      <c r="S166" s="219">
        <v>0</v>
      </c>
      <c r="T166" s="19">
        <v>0</v>
      </c>
      <c r="U166" s="19">
        <v>0</v>
      </c>
      <c r="V166" s="19">
        <v>0</v>
      </c>
      <c r="W166" s="19">
        <v>0</v>
      </c>
      <c r="X166" s="19">
        <v>0</v>
      </c>
      <c r="Y166" s="217">
        <v>194521.26</v>
      </c>
      <c r="Z166" s="3">
        <f t="shared" si="13"/>
        <v>73577.490000000005</v>
      </c>
      <c r="AA166" s="3">
        <f t="shared" si="14"/>
        <v>2229418.69</v>
      </c>
      <c r="AB166" s="3">
        <f t="shared" si="16"/>
        <v>229733.84</v>
      </c>
      <c r="AC166" s="3">
        <f>ROUND(MAX(0,(D166-V166)*'Shift 14'!$B$2),2)</f>
        <v>0</v>
      </c>
      <c r="AD166" s="3">
        <f t="shared" si="15"/>
        <v>194521.26</v>
      </c>
      <c r="AE166" s="3">
        <f t="shared" si="17"/>
        <v>0</v>
      </c>
      <c r="AF166" s="214">
        <v>544</v>
      </c>
      <c r="AG166" s="214">
        <v>1</v>
      </c>
      <c r="AH166" s="3">
        <v>0</v>
      </c>
      <c r="AI166" s="3">
        <v>0</v>
      </c>
      <c r="AJ166" s="3">
        <v>58906.17</v>
      </c>
      <c r="AK166" s="3">
        <v>22000</v>
      </c>
      <c r="AL166" s="3">
        <v>67531.77</v>
      </c>
      <c r="AM166" s="3">
        <v>0</v>
      </c>
      <c r="AN166" s="3">
        <v>0</v>
      </c>
      <c r="AO166" s="3">
        <v>0</v>
      </c>
      <c r="AP166" s="3">
        <v>-812.89</v>
      </c>
      <c r="AQ166" s="3">
        <v>-2384.62</v>
      </c>
      <c r="AR166" s="3">
        <v>0</v>
      </c>
      <c r="AS166" s="3">
        <v>-13569.66</v>
      </c>
      <c r="AT166" s="3">
        <v>0</v>
      </c>
      <c r="AU166" s="3">
        <f t="shared" si="18"/>
        <v>0</v>
      </c>
      <c r="AV166" s="17">
        <v>544</v>
      </c>
      <c r="AW166" s="17">
        <v>544</v>
      </c>
      <c r="AX166" s="17">
        <v>1</v>
      </c>
      <c r="AY166" s="3" t="s">
        <v>166</v>
      </c>
      <c r="AZ166" s="3">
        <v>0</v>
      </c>
      <c r="BA166" s="19">
        <v>194521.26</v>
      </c>
    </row>
    <row r="167" spans="1:53" x14ac:dyDescent="0.2">
      <c r="A167" s="17">
        <v>545</v>
      </c>
      <c r="B167" s="17">
        <v>1</v>
      </c>
      <c r="C167" s="3" t="s">
        <v>167</v>
      </c>
      <c r="D167" s="3">
        <f>Levy!F168</f>
        <v>415392.92</v>
      </c>
      <c r="E167" s="3">
        <f>Levy!G168</f>
        <v>28060.1</v>
      </c>
      <c r="F167" s="3">
        <f>Levy!H168</f>
        <v>0</v>
      </c>
      <c r="G167" s="3">
        <f>Levy!I168</f>
        <v>203994.81</v>
      </c>
      <c r="H167" s="217">
        <f>Levy!J168</f>
        <v>40782.97</v>
      </c>
      <c r="I167" s="219">
        <v>0</v>
      </c>
      <c r="J167" s="219">
        <v>3000</v>
      </c>
      <c r="K167" s="219">
        <v>13407.94</v>
      </c>
      <c r="L167" s="219">
        <v>0</v>
      </c>
      <c r="M167" s="219">
        <v>0</v>
      </c>
      <c r="N167" s="19">
        <v>0</v>
      </c>
      <c r="O167" s="19">
        <v>0</v>
      </c>
      <c r="P167" s="219">
        <v>-2438.16</v>
      </c>
      <c r="Q167" s="219">
        <v>0</v>
      </c>
      <c r="R167" s="219">
        <v>-4706.05</v>
      </c>
      <c r="S167" s="219">
        <v>0</v>
      </c>
      <c r="T167" s="19">
        <v>0</v>
      </c>
      <c r="U167" s="19">
        <v>0</v>
      </c>
      <c r="V167" s="19">
        <v>0</v>
      </c>
      <c r="W167" s="19">
        <v>0</v>
      </c>
      <c r="X167" s="19">
        <v>0</v>
      </c>
      <c r="Y167" s="217">
        <v>37137.35</v>
      </c>
      <c r="Z167" s="3">
        <f t="shared" si="13"/>
        <v>9263.7300000000032</v>
      </c>
      <c r="AA167" s="3">
        <f t="shared" si="14"/>
        <v>222791.18</v>
      </c>
      <c r="AB167" s="3">
        <f t="shared" si="16"/>
        <v>40782.97</v>
      </c>
      <c r="AC167" s="3">
        <f>ROUND(MAX(0,(D167-V167)*'Shift 14'!$B$2),2)</f>
        <v>0</v>
      </c>
      <c r="AD167" s="3">
        <f t="shared" si="15"/>
        <v>37137.35</v>
      </c>
      <c r="AE167" s="3">
        <f t="shared" si="17"/>
        <v>0</v>
      </c>
      <c r="AF167" s="214">
        <v>545</v>
      </c>
      <c r="AG167" s="214">
        <v>1</v>
      </c>
      <c r="AH167" s="3">
        <v>0</v>
      </c>
      <c r="AI167" s="3">
        <v>0</v>
      </c>
      <c r="AJ167" s="3">
        <v>0</v>
      </c>
      <c r="AK167" s="3">
        <v>3000</v>
      </c>
      <c r="AL167" s="3">
        <v>13407.94</v>
      </c>
      <c r="AM167" s="3">
        <v>0</v>
      </c>
      <c r="AN167" s="3">
        <v>0</v>
      </c>
      <c r="AO167" s="3">
        <v>0</v>
      </c>
      <c r="AP167" s="3">
        <v>0</v>
      </c>
      <c r="AQ167" s="3">
        <v>-2438.16</v>
      </c>
      <c r="AR167" s="3">
        <v>0</v>
      </c>
      <c r="AS167" s="3">
        <v>-4706.05</v>
      </c>
      <c r="AT167" s="3">
        <v>0</v>
      </c>
      <c r="AU167" s="3">
        <f t="shared" si="18"/>
        <v>0</v>
      </c>
      <c r="AV167" s="17">
        <v>545</v>
      </c>
      <c r="AW167" s="17">
        <v>545</v>
      </c>
      <c r="AX167" s="17">
        <v>1</v>
      </c>
      <c r="AY167" s="3" t="s">
        <v>167</v>
      </c>
      <c r="AZ167" s="3">
        <v>0</v>
      </c>
      <c r="BA167" s="19">
        <v>37137.35</v>
      </c>
    </row>
    <row r="168" spans="1:53" x14ac:dyDescent="0.2">
      <c r="A168" s="17">
        <v>547</v>
      </c>
      <c r="B168" s="17">
        <v>1</v>
      </c>
      <c r="C168" s="3" t="s">
        <v>168</v>
      </c>
      <c r="D168" s="3">
        <f>Levy!F169</f>
        <v>441183.81</v>
      </c>
      <c r="E168" s="3">
        <f>Levy!G169</f>
        <v>39230.730000000003</v>
      </c>
      <c r="F168" s="3">
        <f>Levy!H169</f>
        <v>100000</v>
      </c>
      <c r="G168" s="3">
        <f>Levy!I169</f>
        <v>95183.32</v>
      </c>
      <c r="H168" s="217">
        <f>Levy!J169</f>
        <v>39567.61</v>
      </c>
      <c r="I168" s="219">
        <v>0</v>
      </c>
      <c r="J168" s="219">
        <v>12000</v>
      </c>
      <c r="K168" s="219">
        <v>22263.07</v>
      </c>
      <c r="L168" s="219">
        <v>0</v>
      </c>
      <c r="M168" s="219">
        <v>0</v>
      </c>
      <c r="N168" s="19">
        <v>0</v>
      </c>
      <c r="O168" s="19">
        <v>0</v>
      </c>
      <c r="P168" s="219">
        <v>-3000</v>
      </c>
      <c r="Q168" s="219">
        <v>0</v>
      </c>
      <c r="R168" s="219">
        <v>-3012.11</v>
      </c>
      <c r="S168" s="219">
        <v>0</v>
      </c>
      <c r="T168" s="19">
        <v>0</v>
      </c>
      <c r="U168" s="19">
        <v>0</v>
      </c>
      <c r="V168" s="19">
        <v>0</v>
      </c>
      <c r="W168" s="19">
        <v>0</v>
      </c>
      <c r="X168" s="19">
        <v>0</v>
      </c>
      <c r="Y168" s="217">
        <v>24144.3</v>
      </c>
      <c r="Z168" s="3">
        <f t="shared" si="13"/>
        <v>28250.959999999999</v>
      </c>
      <c r="AA168" s="3">
        <f t="shared" si="14"/>
        <v>206163.09</v>
      </c>
      <c r="AB168" s="3">
        <f t="shared" si="16"/>
        <v>39567.61</v>
      </c>
      <c r="AC168" s="3">
        <f>ROUND(MAX(0,(D168-V168)*'Shift 14'!$B$2),2)</f>
        <v>0</v>
      </c>
      <c r="AD168" s="3">
        <f t="shared" si="15"/>
        <v>24144.3</v>
      </c>
      <c r="AE168" s="3">
        <f t="shared" si="17"/>
        <v>0</v>
      </c>
      <c r="AF168" s="214">
        <v>547</v>
      </c>
      <c r="AG168" s="214">
        <v>1</v>
      </c>
      <c r="AH168" s="3">
        <v>0</v>
      </c>
      <c r="AI168" s="3">
        <v>0</v>
      </c>
      <c r="AJ168" s="3">
        <v>0</v>
      </c>
      <c r="AK168" s="3">
        <v>12000</v>
      </c>
      <c r="AL168" s="3">
        <v>22263.07</v>
      </c>
      <c r="AM168" s="3">
        <v>0</v>
      </c>
      <c r="AN168" s="3">
        <v>0</v>
      </c>
      <c r="AO168" s="3">
        <v>0</v>
      </c>
      <c r="AP168" s="3">
        <v>0</v>
      </c>
      <c r="AQ168" s="3">
        <v>-3000</v>
      </c>
      <c r="AR168" s="3">
        <v>0</v>
      </c>
      <c r="AS168" s="3">
        <v>-3012.11</v>
      </c>
      <c r="AT168" s="3">
        <v>0</v>
      </c>
      <c r="AU168" s="3">
        <f t="shared" si="18"/>
        <v>0</v>
      </c>
      <c r="AV168" s="17">
        <v>547</v>
      </c>
      <c r="AW168" s="17">
        <v>547</v>
      </c>
      <c r="AX168" s="17">
        <v>1</v>
      </c>
      <c r="AY168" s="3" t="s">
        <v>168</v>
      </c>
      <c r="AZ168" s="3">
        <v>0</v>
      </c>
      <c r="BA168" s="19">
        <v>24144.3</v>
      </c>
    </row>
    <row r="169" spans="1:53" x14ac:dyDescent="0.2">
      <c r="A169" s="17">
        <v>548</v>
      </c>
      <c r="B169" s="17">
        <v>1</v>
      </c>
      <c r="C169" s="3" t="s">
        <v>169</v>
      </c>
      <c r="D169" s="3">
        <f>Levy!F170</f>
        <v>614596.78</v>
      </c>
      <c r="E169" s="3">
        <f>Levy!G170</f>
        <v>134285.38</v>
      </c>
      <c r="F169" s="3">
        <f>Levy!H170</f>
        <v>0</v>
      </c>
      <c r="G169" s="3">
        <f>Levy!I170</f>
        <v>418693.39</v>
      </c>
      <c r="H169" s="217">
        <f>Levy!J170</f>
        <v>102054.47</v>
      </c>
      <c r="I169" s="219">
        <v>0</v>
      </c>
      <c r="J169" s="219">
        <v>0</v>
      </c>
      <c r="K169" s="219">
        <v>30754.560000000001</v>
      </c>
      <c r="L169" s="219">
        <v>0</v>
      </c>
      <c r="M169" s="219">
        <v>0</v>
      </c>
      <c r="N169" s="19">
        <v>0</v>
      </c>
      <c r="O169" s="19">
        <v>0</v>
      </c>
      <c r="P169" s="219">
        <v>9743</v>
      </c>
      <c r="Q169" s="219">
        <v>0</v>
      </c>
      <c r="R169" s="219">
        <v>-3819.28</v>
      </c>
      <c r="S169" s="219">
        <v>0</v>
      </c>
      <c r="T169" s="19">
        <v>0</v>
      </c>
      <c r="U169" s="19">
        <v>0</v>
      </c>
      <c r="V169" s="19">
        <v>0</v>
      </c>
      <c r="W169" s="19">
        <v>0</v>
      </c>
      <c r="X169" s="19">
        <v>0</v>
      </c>
      <c r="Y169" s="217">
        <v>0</v>
      </c>
      <c r="Z169" s="3">
        <f t="shared" si="13"/>
        <v>36678.28</v>
      </c>
      <c r="AA169" s="3">
        <f t="shared" si="14"/>
        <v>516300.49</v>
      </c>
      <c r="AB169" s="3">
        <f t="shared" si="16"/>
        <v>102054.47</v>
      </c>
      <c r="AC169" s="3">
        <f>ROUND(MAX(0,(D169-V169)*'Shift 14'!$B$2),2)</f>
        <v>0</v>
      </c>
      <c r="AD169" s="3">
        <f t="shared" si="15"/>
        <v>0</v>
      </c>
      <c r="AE169" s="3">
        <f t="shared" si="17"/>
        <v>0</v>
      </c>
      <c r="AF169" s="214">
        <v>548</v>
      </c>
      <c r="AG169" s="214">
        <v>1</v>
      </c>
      <c r="AH169" s="3">
        <v>0</v>
      </c>
      <c r="AI169" s="3">
        <v>0</v>
      </c>
      <c r="AJ169" s="3">
        <v>40401.97</v>
      </c>
      <c r="AK169" s="3">
        <v>0</v>
      </c>
      <c r="AL169" s="3">
        <v>30754.560000000001</v>
      </c>
      <c r="AM169" s="3">
        <v>0</v>
      </c>
      <c r="AN169" s="3">
        <v>0</v>
      </c>
      <c r="AO169" s="3">
        <v>0</v>
      </c>
      <c r="AP169" s="3">
        <v>36.76</v>
      </c>
      <c r="AQ169" s="3">
        <v>9743</v>
      </c>
      <c r="AR169" s="3">
        <v>0</v>
      </c>
      <c r="AS169" s="3">
        <v>-3819.28</v>
      </c>
      <c r="AT169" s="3">
        <v>0</v>
      </c>
      <c r="AU169" s="3">
        <f t="shared" si="18"/>
        <v>0</v>
      </c>
      <c r="AV169" s="17">
        <v>548</v>
      </c>
      <c r="AW169" s="17">
        <v>548</v>
      </c>
      <c r="AX169" s="17">
        <v>1</v>
      </c>
      <c r="AY169" s="3" t="s">
        <v>169</v>
      </c>
      <c r="AZ169" s="3">
        <v>0</v>
      </c>
      <c r="BA169" s="19">
        <v>0</v>
      </c>
    </row>
    <row r="170" spans="1:53" x14ac:dyDescent="0.2">
      <c r="A170" s="17">
        <v>549</v>
      </c>
      <c r="B170" s="17">
        <v>1</v>
      </c>
      <c r="C170" s="3" t="s">
        <v>1187</v>
      </c>
      <c r="D170" s="3">
        <f>Levy!F171</f>
        <v>2552.7199999999998</v>
      </c>
      <c r="E170" s="3">
        <f>Levy!G171</f>
        <v>613282.76</v>
      </c>
      <c r="F170" s="3">
        <f>Levy!H171</f>
        <v>416947</v>
      </c>
      <c r="G170" s="3">
        <f>Levy!I171</f>
        <v>624881.56000000006</v>
      </c>
      <c r="H170" s="217">
        <f>Levy!J171</f>
        <v>136526.75</v>
      </c>
      <c r="I170" s="219">
        <v>0</v>
      </c>
      <c r="J170" s="219">
        <v>206.84</v>
      </c>
      <c r="K170" s="219">
        <v>45279.73</v>
      </c>
      <c r="L170" s="219">
        <v>0</v>
      </c>
      <c r="M170" s="219">
        <v>0</v>
      </c>
      <c r="N170" s="19">
        <v>0</v>
      </c>
      <c r="O170" s="19">
        <v>0</v>
      </c>
      <c r="P170" s="219">
        <v>-40101.910000000003</v>
      </c>
      <c r="Q170" s="219">
        <v>0</v>
      </c>
      <c r="R170" s="219">
        <v>-4405.13</v>
      </c>
      <c r="S170" s="219">
        <v>0</v>
      </c>
      <c r="T170" s="19">
        <v>0</v>
      </c>
      <c r="U170" s="19">
        <v>0</v>
      </c>
      <c r="V170" s="19">
        <v>0</v>
      </c>
      <c r="W170" s="19">
        <v>0</v>
      </c>
      <c r="X170" s="19">
        <v>0</v>
      </c>
      <c r="Y170" s="217">
        <v>134947.70000000001</v>
      </c>
      <c r="Z170" s="3">
        <f t="shared" si="13"/>
        <v>979.52999999999611</v>
      </c>
      <c r="AA170" s="3">
        <f t="shared" si="14"/>
        <v>1654131.79</v>
      </c>
      <c r="AB170" s="3">
        <f t="shared" si="16"/>
        <v>136526.75</v>
      </c>
      <c r="AC170" s="3">
        <f>ROUND(MAX(0,(D170-V170)*'Shift 14'!$B$2),2)</f>
        <v>0</v>
      </c>
      <c r="AD170" s="3">
        <f t="shared" si="15"/>
        <v>134947.70000000001</v>
      </c>
      <c r="AE170" s="3">
        <f t="shared" si="17"/>
        <v>0</v>
      </c>
      <c r="AF170" s="214">
        <v>549</v>
      </c>
      <c r="AG170" s="214">
        <v>1</v>
      </c>
      <c r="AH170" s="3">
        <v>0</v>
      </c>
      <c r="AI170" s="3">
        <v>0</v>
      </c>
      <c r="AJ170" s="3">
        <v>31635.58</v>
      </c>
      <c r="AK170" s="3">
        <v>206.84</v>
      </c>
      <c r="AL170" s="3">
        <v>45279.73</v>
      </c>
      <c r="AM170" s="3">
        <v>0</v>
      </c>
      <c r="AN170" s="3">
        <v>0</v>
      </c>
      <c r="AO170" s="3">
        <v>0</v>
      </c>
      <c r="AP170" s="3">
        <v>-5403.95</v>
      </c>
      <c r="AQ170" s="3">
        <v>-40101.910000000003</v>
      </c>
      <c r="AR170" s="3">
        <v>0</v>
      </c>
      <c r="AS170" s="3">
        <v>-4405.13</v>
      </c>
      <c r="AT170" s="3">
        <v>0</v>
      </c>
      <c r="AU170" s="3">
        <f t="shared" si="18"/>
        <v>0</v>
      </c>
      <c r="AV170" s="17">
        <v>549</v>
      </c>
      <c r="AW170" s="17">
        <v>549</v>
      </c>
      <c r="AX170" s="17">
        <v>1</v>
      </c>
      <c r="AY170" s="3" t="s">
        <v>170</v>
      </c>
      <c r="AZ170" s="3">
        <v>0</v>
      </c>
      <c r="BA170" s="19">
        <v>134947.70000000001</v>
      </c>
    </row>
    <row r="171" spans="1:53" x14ac:dyDescent="0.2">
      <c r="A171" s="17">
        <v>550</v>
      </c>
      <c r="B171" s="17">
        <v>1</v>
      </c>
      <c r="C171" s="3" t="s">
        <v>171</v>
      </c>
      <c r="D171" s="3">
        <f>Levy!F172</f>
        <v>0</v>
      </c>
      <c r="E171" s="3">
        <f>Levy!G172</f>
        <v>73448.11</v>
      </c>
      <c r="F171" s="3">
        <f>Levy!H172</f>
        <v>0</v>
      </c>
      <c r="G171" s="3">
        <f>Levy!I172</f>
        <v>16502.93</v>
      </c>
      <c r="H171" s="217">
        <f>Levy!J172</f>
        <v>31445.86</v>
      </c>
      <c r="I171" s="219">
        <v>0</v>
      </c>
      <c r="J171" s="219">
        <v>0</v>
      </c>
      <c r="K171" s="219">
        <v>9152.51</v>
      </c>
      <c r="L171" s="219">
        <v>0</v>
      </c>
      <c r="M171" s="219">
        <v>0</v>
      </c>
      <c r="N171" s="19">
        <v>0</v>
      </c>
      <c r="O171" s="19">
        <v>0</v>
      </c>
      <c r="P171" s="219">
        <v>5182</v>
      </c>
      <c r="Q171" s="219">
        <v>0</v>
      </c>
      <c r="R171" s="219">
        <v>-2021.56</v>
      </c>
      <c r="S171" s="219">
        <v>0</v>
      </c>
      <c r="T171" s="19">
        <v>0</v>
      </c>
      <c r="U171" s="19">
        <v>0</v>
      </c>
      <c r="V171" s="19">
        <v>0</v>
      </c>
      <c r="W171" s="19">
        <v>0</v>
      </c>
      <c r="X171" s="19">
        <v>0</v>
      </c>
      <c r="Y171" s="217">
        <v>11066.56</v>
      </c>
      <c r="Z171" s="3">
        <f t="shared" si="13"/>
        <v>12312.95</v>
      </c>
      <c r="AA171" s="3">
        <f t="shared" si="14"/>
        <v>77638.09</v>
      </c>
      <c r="AB171" s="3">
        <f t="shared" si="16"/>
        <v>31445.86</v>
      </c>
      <c r="AC171" s="3">
        <f>ROUND(MAX(0,(D171-V171)*'Shift 14'!$B$2),2)</f>
        <v>0</v>
      </c>
      <c r="AD171" s="3">
        <f t="shared" si="15"/>
        <v>11066.56</v>
      </c>
      <c r="AE171" s="3">
        <f t="shared" si="17"/>
        <v>0</v>
      </c>
      <c r="AF171" s="214">
        <v>550</v>
      </c>
      <c r="AG171" s="214">
        <v>1</v>
      </c>
      <c r="AH171" s="3">
        <v>0</v>
      </c>
      <c r="AI171" s="3">
        <v>0</v>
      </c>
      <c r="AJ171" s="3">
        <v>9966.81</v>
      </c>
      <c r="AK171" s="3">
        <v>0</v>
      </c>
      <c r="AL171" s="3">
        <v>9152.51</v>
      </c>
      <c r="AM171" s="3">
        <v>0</v>
      </c>
      <c r="AN171" s="3">
        <v>0</v>
      </c>
      <c r="AO171" s="3">
        <v>0</v>
      </c>
      <c r="AP171" s="3">
        <v>-7573.26</v>
      </c>
      <c r="AQ171" s="3">
        <v>5182</v>
      </c>
      <c r="AR171" s="3">
        <v>0</v>
      </c>
      <c r="AS171" s="3">
        <v>-2021.56</v>
      </c>
      <c r="AT171" s="3">
        <v>0</v>
      </c>
      <c r="AU171" s="3">
        <f t="shared" si="18"/>
        <v>0</v>
      </c>
      <c r="AV171" s="17">
        <v>550</v>
      </c>
      <c r="AW171" s="17">
        <v>550</v>
      </c>
      <c r="AX171" s="17">
        <v>1</v>
      </c>
      <c r="AY171" s="3" t="s">
        <v>171</v>
      </c>
      <c r="AZ171" s="3">
        <v>0</v>
      </c>
      <c r="BA171" s="19">
        <v>11066.56</v>
      </c>
    </row>
    <row r="172" spans="1:53" x14ac:dyDescent="0.2">
      <c r="A172" s="17">
        <v>553</v>
      </c>
      <c r="B172" s="17">
        <v>1</v>
      </c>
      <c r="C172" s="3" t="s">
        <v>172</v>
      </c>
      <c r="D172" s="3">
        <f>Levy!F173</f>
        <v>151091.4</v>
      </c>
      <c r="E172" s="3">
        <f>Levy!G173</f>
        <v>50782.77</v>
      </c>
      <c r="F172" s="3">
        <f>Levy!H173</f>
        <v>0</v>
      </c>
      <c r="G172" s="3">
        <f>Levy!I173</f>
        <v>51752.63</v>
      </c>
      <c r="H172" s="217">
        <f>Levy!J173</f>
        <v>39099.01</v>
      </c>
      <c r="I172" s="219">
        <v>0</v>
      </c>
      <c r="J172" s="219">
        <v>2000</v>
      </c>
      <c r="K172" s="219">
        <v>14973.41</v>
      </c>
      <c r="L172" s="219">
        <v>0</v>
      </c>
      <c r="M172" s="219">
        <v>0</v>
      </c>
      <c r="N172" s="19">
        <v>0</v>
      </c>
      <c r="O172" s="19">
        <v>0</v>
      </c>
      <c r="P172" s="219">
        <v>-2882.28</v>
      </c>
      <c r="Q172" s="219">
        <v>0</v>
      </c>
      <c r="R172" s="219">
        <v>-3854.81</v>
      </c>
      <c r="S172" s="219">
        <v>0</v>
      </c>
      <c r="T172" s="19">
        <v>0</v>
      </c>
      <c r="U172" s="19">
        <v>0</v>
      </c>
      <c r="V172" s="19">
        <v>0</v>
      </c>
      <c r="W172" s="19">
        <v>0</v>
      </c>
      <c r="X172" s="19">
        <v>0</v>
      </c>
      <c r="Y172" s="217">
        <v>19531.990000000002</v>
      </c>
      <c r="Z172" s="3">
        <f t="shared" si="13"/>
        <v>10236.32</v>
      </c>
      <c r="AA172" s="3">
        <f t="shared" si="14"/>
        <v>92299.08</v>
      </c>
      <c r="AB172" s="3">
        <f t="shared" si="16"/>
        <v>39099.01</v>
      </c>
      <c r="AC172" s="3">
        <f>ROUND(MAX(0,(D172-V172)*'Shift 14'!$B$2),2)</f>
        <v>0</v>
      </c>
      <c r="AD172" s="3">
        <f t="shared" si="15"/>
        <v>19531.990000000002</v>
      </c>
      <c r="AE172" s="3">
        <f t="shared" si="17"/>
        <v>0</v>
      </c>
      <c r="AF172" s="214">
        <v>553</v>
      </c>
      <c r="AG172" s="214">
        <v>1</v>
      </c>
      <c r="AH172" s="3">
        <v>0</v>
      </c>
      <c r="AI172" s="3">
        <v>0</v>
      </c>
      <c r="AJ172" s="3">
        <v>0</v>
      </c>
      <c r="AK172" s="3">
        <v>2000</v>
      </c>
      <c r="AL172" s="3">
        <v>14973.41</v>
      </c>
      <c r="AM172" s="3">
        <v>0</v>
      </c>
      <c r="AN172" s="3">
        <v>0</v>
      </c>
      <c r="AO172" s="3">
        <v>0</v>
      </c>
      <c r="AP172" s="3">
        <v>0</v>
      </c>
      <c r="AQ172" s="3">
        <v>-2882.28</v>
      </c>
      <c r="AR172" s="3">
        <v>0</v>
      </c>
      <c r="AS172" s="3">
        <v>-3854.81</v>
      </c>
      <c r="AT172" s="3">
        <v>0</v>
      </c>
      <c r="AU172" s="3">
        <f t="shared" si="18"/>
        <v>0</v>
      </c>
      <c r="AV172" s="17">
        <v>553</v>
      </c>
      <c r="AW172" s="17">
        <v>553</v>
      </c>
      <c r="AX172" s="17">
        <v>1</v>
      </c>
      <c r="AY172" s="3" t="s">
        <v>172</v>
      </c>
      <c r="AZ172" s="3">
        <v>0</v>
      </c>
      <c r="BA172" s="19">
        <v>19531.990000000002</v>
      </c>
    </row>
    <row r="173" spans="1:53" x14ac:dyDescent="0.2">
      <c r="A173" s="17">
        <v>561</v>
      </c>
      <c r="B173" s="17">
        <v>1</v>
      </c>
      <c r="C173" s="3" t="s">
        <v>173</v>
      </c>
      <c r="D173" s="3">
        <f>Levy!F174</f>
        <v>179271.11</v>
      </c>
      <c r="E173" s="3">
        <f>Levy!G174</f>
        <v>3186.66</v>
      </c>
      <c r="F173" s="3">
        <f>Levy!H174</f>
        <v>0</v>
      </c>
      <c r="G173" s="3">
        <f>Levy!I174</f>
        <v>47480.93</v>
      </c>
      <c r="H173" s="217">
        <f>Levy!J174</f>
        <v>13993.91</v>
      </c>
      <c r="I173" s="219">
        <v>0</v>
      </c>
      <c r="J173" s="219">
        <v>500</v>
      </c>
      <c r="K173" s="219">
        <v>2169.08</v>
      </c>
      <c r="L173" s="219">
        <v>0</v>
      </c>
      <c r="M173" s="219">
        <v>0</v>
      </c>
      <c r="N173" s="19">
        <v>0</v>
      </c>
      <c r="O173" s="19">
        <v>0</v>
      </c>
      <c r="P173" s="219">
        <v>2676.78</v>
      </c>
      <c r="Q173" s="219">
        <v>0</v>
      </c>
      <c r="R173" s="219">
        <v>0</v>
      </c>
      <c r="S173" s="219">
        <v>0</v>
      </c>
      <c r="T173" s="19">
        <v>0</v>
      </c>
      <c r="U173" s="19">
        <v>0</v>
      </c>
      <c r="V173" s="19">
        <v>0</v>
      </c>
      <c r="W173" s="19">
        <v>0</v>
      </c>
      <c r="X173" s="19">
        <v>0</v>
      </c>
      <c r="Y173" s="217">
        <v>11548.19</v>
      </c>
      <c r="Z173" s="3">
        <f t="shared" si="13"/>
        <v>5345.8600000000006</v>
      </c>
      <c r="AA173" s="3">
        <f t="shared" si="14"/>
        <v>45321.73</v>
      </c>
      <c r="AB173" s="3">
        <f t="shared" si="16"/>
        <v>13993.91</v>
      </c>
      <c r="AC173" s="3">
        <f>ROUND(MAX(0,(D173-V173)*'Shift 14'!$B$2),2)</f>
        <v>0</v>
      </c>
      <c r="AD173" s="3">
        <f t="shared" si="15"/>
        <v>11548.19</v>
      </c>
      <c r="AE173" s="3">
        <f t="shared" si="17"/>
        <v>0</v>
      </c>
      <c r="AF173" s="214">
        <v>561</v>
      </c>
      <c r="AG173" s="214">
        <v>1</v>
      </c>
      <c r="AH173" s="3">
        <v>0</v>
      </c>
      <c r="AI173" s="3">
        <v>0</v>
      </c>
      <c r="AJ173" s="3">
        <v>0</v>
      </c>
      <c r="AK173" s="3">
        <v>500</v>
      </c>
      <c r="AL173" s="3">
        <v>2169.08</v>
      </c>
      <c r="AM173" s="3">
        <v>0</v>
      </c>
      <c r="AN173" s="3">
        <v>0</v>
      </c>
      <c r="AO173" s="3">
        <v>0</v>
      </c>
      <c r="AP173" s="3">
        <v>0</v>
      </c>
      <c r="AQ173" s="3">
        <v>2676.78</v>
      </c>
      <c r="AR173" s="3">
        <v>0</v>
      </c>
      <c r="AS173" s="3">
        <v>0</v>
      </c>
      <c r="AT173" s="3">
        <v>0</v>
      </c>
      <c r="AU173" s="3">
        <f t="shared" si="18"/>
        <v>0</v>
      </c>
      <c r="AV173" s="17">
        <v>561</v>
      </c>
      <c r="AW173" s="17">
        <v>561</v>
      </c>
      <c r="AX173" s="17">
        <v>1</v>
      </c>
      <c r="AY173" s="3" t="s">
        <v>173</v>
      </c>
      <c r="AZ173" s="3">
        <v>0</v>
      </c>
      <c r="BA173" s="19">
        <v>11548.19</v>
      </c>
    </row>
    <row r="174" spans="1:53" x14ac:dyDescent="0.2">
      <c r="A174" s="17">
        <v>564</v>
      </c>
      <c r="B174" s="17">
        <v>1</v>
      </c>
      <c r="C174" s="3" t="s">
        <v>1188</v>
      </c>
      <c r="D174" s="3">
        <f>Levy!F175</f>
        <v>952512.02</v>
      </c>
      <c r="E174" s="3">
        <f>Levy!G175</f>
        <v>180768.04</v>
      </c>
      <c r="F174" s="3">
        <f>Levy!H175</f>
        <v>0</v>
      </c>
      <c r="G174" s="3">
        <f>Levy!I175</f>
        <v>629018.28</v>
      </c>
      <c r="H174" s="217">
        <f>Levy!J175</f>
        <v>157272.51999999999</v>
      </c>
      <c r="I174" s="219">
        <v>0</v>
      </c>
      <c r="J174" s="219">
        <v>10000</v>
      </c>
      <c r="K174" s="219">
        <v>33362.980000000003</v>
      </c>
      <c r="L174" s="219">
        <v>0</v>
      </c>
      <c r="M174" s="219">
        <v>0</v>
      </c>
      <c r="N174" s="19">
        <v>0</v>
      </c>
      <c r="O174" s="19">
        <v>0</v>
      </c>
      <c r="P174" s="219">
        <v>-15002.9</v>
      </c>
      <c r="Q174" s="219">
        <v>0</v>
      </c>
      <c r="R174" s="219">
        <v>-7208.68</v>
      </c>
      <c r="S174" s="219">
        <v>0</v>
      </c>
      <c r="T174" s="19">
        <v>0</v>
      </c>
      <c r="U174" s="19">
        <v>0</v>
      </c>
      <c r="V174" s="19">
        <v>0</v>
      </c>
      <c r="W174" s="19">
        <v>0</v>
      </c>
      <c r="X174" s="19">
        <v>0</v>
      </c>
      <c r="Y174" s="217">
        <v>76655.520000000004</v>
      </c>
      <c r="Z174" s="3">
        <f t="shared" si="13"/>
        <v>21151.4</v>
      </c>
      <c r="AA174" s="3">
        <f t="shared" si="14"/>
        <v>788634.92</v>
      </c>
      <c r="AB174" s="3">
        <f t="shared" si="16"/>
        <v>157272.51999999999</v>
      </c>
      <c r="AC174" s="3">
        <f>ROUND(MAX(0,(D174-V174)*'Shift 14'!$B$2),2)</f>
        <v>0</v>
      </c>
      <c r="AD174" s="3">
        <f t="shared" si="15"/>
        <v>76655.520000000004</v>
      </c>
      <c r="AE174" s="3">
        <f t="shared" si="17"/>
        <v>0</v>
      </c>
      <c r="AF174" s="214">
        <v>564</v>
      </c>
      <c r="AG174" s="214">
        <v>1</v>
      </c>
      <c r="AH174" s="3">
        <v>0</v>
      </c>
      <c r="AI174" s="3">
        <v>0</v>
      </c>
      <c r="AJ174" s="3">
        <v>0</v>
      </c>
      <c r="AK174" s="3">
        <v>10000</v>
      </c>
      <c r="AL174" s="3">
        <v>33362.980000000003</v>
      </c>
      <c r="AM174" s="3">
        <v>0</v>
      </c>
      <c r="AN174" s="3">
        <v>0</v>
      </c>
      <c r="AO174" s="3">
        <v>0</v>
      </c>
      <c r="AP174" s="3">
        <v>0</v>
      </c>
      <c r="AQ174" s="3">
        <v>-15002.9</v>
      </c>
      <c r="AR174" s="3">
        <v>0</v>
      </c>
      <c r="AS174" s="3">
        <v>-7208.68</v>
      </c>
      <c r="AT174" s="3">
        <v>0</v>
      </c>
      <c r="AU174" s="3">
        <f t="shared" si="18"/>
        <v>0</v>
      </c>
      <c r="AV174" s="17">
        <v>564</v>
      </c>
      <c r="AW174" s="17">
        <v>564</v>
      </c>
      <c r="AX174" s="17">
        <v>1</v>
      </c>
      <c r="AY174" s="3" t="s">
        <v>174</v>
      </c>
      <c r="AZ174" s="3">
        <v>0</v>
      </c>
      <c r="BA174" s="19">
        <v>76655.520000000004</v>
      </c>
    </row>
    <row r="175" spans="1:53" x14ac:dyDescent="0.2">
      <c r="A175" s="17">
        <v>577</v>
      </c>
      <c r="B175" s="17">
        <v>1</v>
      </c>
      <c r="C175" s="3" t="s">
        <v>175</v>
      </c>
      <c r="D175" s="3">
        <f>Levy!F176</f>
        <v>24369.02</v>
      </c>
      <c r="E175" s="3">
        <f>Levy!G176</f>
        <v>79771.95</v>
      </c>
      <c r="F175" s="3">
        <f>Levy!H176</f>
        <v>0</v>
      </c>
      <c r="G175" s="3">
        <f>Levy!I176</f>
        <v>169536.54</v>
      </c>
      <c r="H175" s="217">
        <f>Levy!J176</f>
        <v>41325.01</v>
      </c>
      <c r="I175" s="219">
        <v>0</v>
      </c>
      <c r="J175" s="219">
        <v>15000</v>
      </c>
      <c r="K175" s="219">
        <v>12619.88</v>
      </c>
      <c r="L175" s="219">
        <v>0</v>
      </c>
      <c r="M175" s="219">
        <v>0</v>
      </c>
      <c r="N175" s="19">
        <v>0</v>
      </c>
      <c r="O175" s="19">
        <v>0</v>
      </c>
      <c r="P175" s="219">
        <v>5739.82</v>
      </c>
      <c r="Q175" s="219">
        <v>0</v>
      </c>
      <c r="R175" s="219">
        <v>-1665.08</v>
      </c>
      <c r="S175" s="219">
        <v>0</v>
      </c>
      <c r="T175" s="19">
        <v>0</v>
      </c>
      <c r="U175" s="19">
        <v>0</v>
      </c>
      <c r="V175" s="19">
        <v>0</v>
      </c>
      <c r="W175" s="19">
        <v>0</v>
      </c>
      <c r="X175" s="19">
        <v>0</v>
      </c>
      <c r="Y175" s="217">
        <v>20976.46</v>
      </c>
      <c r="Z175" s="3">
        <f t="shared" si="13"/>
        <v>31694.619999999995</v>
      </c>
      <c r="AA175" s="3">
        <f t="shared" si="14"/>
        <v>217613.87</v>
      </c>
      <c r="AB175" s="3">
        <f t="shared" si="16"/>
        <v>41325.01</v>
      </c>
      <c r="AC175" s="3">
        <f>ROUND(MAX(0,(D175-V175)*'Shift 14'!$B$2),2)</f>
        <v>0</v>
      </c>
      <c r="AD175" s="3">
        <f t="shared" si="15"/>
        <v>20976.46</v>
      </c>
      <c r="AE175" s="3">
        <f t="shared" si="17"/>
        <v>0</v>
      </c>
      <c r="AF175" s="214">
        <v>577</v>
      </c>
      <c r="AG175" s="214">
        <v>1</v>
      </c>
      <c r="AH175" s="3">
        <v>0</v>
      </c>
      <c r="AI175" s="3">
        <v>0</v>
      </c>
      <c r="AJ175" s="3">
        <v>0</v>
      </c>
      <c r="AK175" s="3">
        <v>15000</v>
      </c>
      <c r="AL175" s="3">
        <v>12619.88</v>
      </c>
      <c r="AM175" s="3">
        <v>0</v>
      </c>
      <c r="AN175" s="3">
        <v>0</v>
      </c>
      <c r="AO175" s="3">
        <v>0</v>
      </c>
      <c r="AP175" s="3">
        <v>0</v>
      </c>
      <c r="AQ175" s="3">
        <v>5739.82</v>
      </c>
      <c r="AR175" s="3">
        <v>0</v>
      </c>
      <c r="AS175" s="3">
        <v>-1665.08</v>
      </c>
      <c r="AT175" s="3">
        <v>0</v>
      </c>
      <c r="AU175" s="3">
        <f t="shared" si="18"/>
        <v>0</v>
      </c>
      <c r="AV175" s="17">
        <v>577</v>
      </c>
      <c r="AW175" s="17">
        <v>577</v>
      </c>
      <c r="AX175" s="17">
        <v>1</v>
      </c>
      <c r="AY175" s="3" t="s">
        <v>175</v>
      </c>
      <c r="AZ175" s="3">
        <v>0</v>
      </c>
      <c r="BA175" s="19">
        <v>20976.46</v>
      </c>
    </row>
    <row r="176" spans="1:53" x14ac:dyDescent="0.2">
      <c r="A176" s="17">
        <v>578</v>
      </c>
      <c r="B176" s="17">
        <v>1</v>
      </c>
      <c r="C176" s="3" t="s">
        <v>176</v>
      </c>
      <c r="D176" s="3">
        <f>Levy!F177</f>
        <v>956261.68</v>
      </c>
      <c r="E176" s="3">
        <f>Levy!G177</f>
        <v>126428.62</v>
      </c>
      <c r="F176" s="3">
        <f>Levy!H177</f>
        <v>0</v>
      </c>
      <c r="G176" s="3">
        <f>Levy!I177</f>
        <v>488056.72</v>
      </c>
      <c r="H176" s="217">
        <f>Levy!J177</f>
        <v>107925.45</v>
      </c>
      <c r="I176" s="219">
        <v>0</v>
      </c>
      <c r="J176" s="219">
        <v>0</v>
      </c>
      <c r="K176" s="219">
        <v>25185.33</v>
      </c>
      <c r="L176" s="219">
        <v>0</v>
      </c>
      <c r="M176" s="219">
        <v>0</v>
      </c>
      <c r="N176" s="19">
        <v>0</v>
      </c>
      <c r="O176" s="19">
        <v>0</v>
      </c>
      <c r="P176" s="219">
        <v>19508.060000000001</v>
      </c>
      <c r="Q176" s="219">
        <v>0</v>
      </c>
      <c r="R176" s="219">
        <v>-5429.99</v>
      </c>
      <c r="S176" s="219">
        <v>0</v>
      </c>
      <c r="T176" s="19">
        <v>0</v>
      </c>
      <c r="U176" s="19">
        <v>0</v>
      </c>
      <c r="V176" s="19">
        <v>0</v>
      </c>
      <c r="W176" s="19">
        <v>0</v>
      </c>
      <c r="X176" s="19">
        <v>0</v>
      </c>
      <c r="Y176" s="217">
        <v>95310.14</v>
      </c>
      <c r="Z176" s="3">
        <f t="shared" si="13"/>
        <v>39263.4</v>
      </c>
      <c r="AA176" s="3">
        <f t="shared" si="14"/>
        <v>575221.93999999994</v>
      </c>
      <c r="AB176" s="3">
        <f t="shared" si="16"/>
        <v>107925.45</v>
      </c>
      <c r="AC176" s="3">
        <f>ROUND(MAX(0,(D176-V176)*'Shift 14'!$B$2),2)</f>
        <v>0</v>
      </c>
      <c r="AD176" s="3">
        <f t="shared" si="15"/>
        <v>95310.14</v>
      </c>
      <c r="AE176" s="3">
        <f t="shared" si="17"/>
        <v>0</v>
      </c>
      <c r="AF176" s="214">
        <v>578</v>
      </c>
      <c r="AG176" s="214">
        <v>1</v>
      </c>
      <c r="AH176" s="3">
        <v>0</v>
      </c>
      <c r="AI176" s="3">
        <v>0</v>
      </c>
      <c r="AJ176" s="3">
        <v>0</v>
      </c>
      <c r="AK176" s="3">
        <v>0</v>
      </c>
      <c r="AL176" s="3">
        <v>25185.33</v>
      </c>
      <c r="AM176" s="3">
        <v>0</v>
      </c>
      <c r="AN176" s="3">
        <v>0</v>
      </c>
      <c r="AO176" s="3">
        <v>0</v>
      </c>
      <c r="AP176" s="3">
        <v>0</v>
      </c>
      <c r="AQ176" s="3">
        <v>19508.060000000001</v>
      </c>
      <c r="AR176" s="3">
        <v>0</v>
      </c>
      <c r="AS176" s="3">
        <v>-5429.99</v>
      </c>
      <c r="AT176" s="3">
        <v>0</v>
      </c>
      <c r="AU176" s="3">
        <f t="shared" si="18"/>
        <v>0</v>
      </c>
      <c r="AV176" s="17">
        <v>578</v>
      </c>
      <c r="AW176" s="17">
        <v>578</v>
      </c>
      <c r="AX176" s="17">
        <v>1</v>
      </c>
      <c r="AY176" s="3" t="s">
        <v>176</v>
      </c>
      <c r="AZ176" s="3">
        <v>0</v>
      </c>
      <c r="BA176" s="19">
        <v>95310.14</v>
      </c>
    </row>
    <row r="177" spans="1:53" x14ac:dyDescent="0.2">
      <c r="A177" s="17">
        <v>581</v>
      </c>
      <c r="B177" s="17">
        <v>1</v>
      </c>
      <c r="C177" s="3" t="s">
        <v>177</v>
      </c>
      <c r="D177" s="3">
        <f>Levy!F178</f>
        <v>274201.48</v>
      </c>
      <c r="E177" s="3">
        <f>Levy!G178</f>
        <v>34798.51</v>
      </c>
      <c r="F177" s="3">
        <f>Levy!H178</f>
        <v>0</v>
      </c>
      <c r="G177" s="3">
        <f>Levy!I178</f>
        <v>162243.78</v>
      </c>
      <c r="H177" s="217">
        <f>Levy!J178</f>
        <v>34366.33</v>
      </c>
      <c r="I177" s="219">
        <v>0</v>
      </c>
      <c r="J177" s="219">
        <v>0</v>
      </c>
      <c r="K177" s="219">
        <v>13407.94</v>
      </c>
      <c r="L177" s="219">
        <v>0</v>
      </c>
      <c r="M177" s="219">
        <v>0</v>
      </c>
      <c r="N177" s="19">
        <v>0</v>
      </c>
      <c r="O177" s="19">
        <v>0</v>
      </c>
      <c r="P177" s="219">
        <v>0</v>
      </c>
      <c r="Q177" s="219">
        <v>0</v>
      </c>
      <c r="R177" s="219">
        <v>-1665.08</v>
      </c>
      <c r="S177" s="219">
        <v>0</v>
      </c>
      <c r="T177" s="19">
        <v>0</v>
      </c>
      <c r="U177" s="19">
        <v>0</v>
      </c>
      <c r="V177" s="19">
        <v>0</v>
      </c>
      <c r="W177" s="19">
        <v>0</v>
      </c>
      <c r="X177" s="19">
        <v>2335.4899999999998</v>
      </c>
      <c r="Y177" s="217">
        <v>52073.1</v>
      </c>
      <c r="Z177" s="3">
        <f t="shared" si="13"/>
        <v>11742.86</v>
      </c>
      <c r="AA177" s="3">
        <f t="shared" si="14"/>
        <v>182963.94</v>
      </c>
      <c r="AB177" s="3">
        <f t="shared" si="16"/>
        <v>34366.33</v>
      </c>
      <c r="AC177" s="3">
        <f>ROUND(MAX(0,(D177-V177)*'Shift 14'!$B$2),2)</f>
        <v>0</v>
      </c>
      <c r="AD177" s="3">
        <f t="shared" si="15"/>
        <v>52073.1</v>
      </c>
      <c r="AE177" s="3">
        <f t="shared" si="17"/>
        <v>0</v>
      </c>
      <c r="AF177" s="214">
        <v>581</v>
      </c>
      <c r="AG177" s="214">
        <v>1</v>
      </c>
      <c r="AH177" s="3">
        <v>0</v>
      </c>
      <c r="AI177" s="3">
        <v>0</v>
      </c>
      <c r="AJ177" s="3">
        <v>0</v>
      </c>
      <c r="AK177" s="3">
        <v>0</v>
      </c>
      <c r="AL177" s="3">
        <v>13407.94</v>
      </c>
      <c r="AM177" s="3">
        <v>0</v>
      </c>
      <c r="AN177" s="3">
        <v>0</v>
      </c>
      <c r="AO177" s="3">
        <v>0</v>
      </c>
      <c r="AP177" s="3">
        <v>0</v>
      </c>
      <c r="AQ177" s="3">
        <v>0</v>
      </c>
      <c r="AR177" s="3">
        <v>0</v>
      </c>
      <c r="AS177" s="3">
        <v>-1665.08</v>
      </c>
      <c r="AT177" s="3">
        <v>0</v>
      </c>
      <c r="AU177" s="3">
        <f t="shared" si="18"/>
        <v>0</v>
      </c>
      <c r="AV177" s="17">
        <v>581</v>
      </c>
      <c r="AW177" s="17">
        <v>581</v>
      </c>
      <c r="AX177" s="17">
        <v>1</v>
      </c>
      <c r="AY177" s="3" t="s">
        <v>177</v>
      </c>
      <c r="AZ177" s="3">
        <v>2335.4899999999998</v>
      </c>
      <c r="BA177" s="19">
        <v>52073.1</v>
      </c>
    </row>
    <row r="178" spans="1:53" x14ac:dyDescent="0.2">
      <c r="A178" s="17">
        <v>592</v>
      </c>
      <c r="B178" s="17">
        <v>1</v>
      </c>
      <c r="C178" s="3" t="s">
        <v>1189</v>
      </c>
      <c r="D178" s="3">
        <f>Levy!F179</f>
        <v>143149.78</v>
      </c>
      <c r="E178" s="3">
        <f>Levy!G179</f>
        <v>8534.7900000000009</v>
      </c>
      <c r="F178" s="3">
        <f>Levy!H179</f>
        <v>0</v>
      </c>
      <c r="G178" s="3">
        <f>Levy!I179</f>
        <v>110965.43</v>
      </c>
      <c r="H178" s="217">
        <f>Levy!J179</f>
        <v>12047.07</v>
      </c>
      <c r="I178" s="219">
        <v>0</v>
      </c>
      <c r="J178" s="219">
        <v>0</v>
      </c>
      <c r="K178" s="219">
        <v>13407.94</v>
      </c>
      <c r="L178" s="219">
        <v>0</v>
      </c>
      <c r="M178" s="219">
        <v>0</v>
      </c>
      <c r="N178" s="19">
        <v>0</v>
      </c>
      <c r="O178" s="19">
        <v>0</v>
      </c>
      <c r="P178" s="219">
        <v>8303.44</v>
      </c>
      <c r="Q178" s="219">
        <v>0</v>
      </c>
      <c r="R178" s="219">
        <v>-1665.08</v>
      </c>
      <c r="S178" s="219">
        <v>0</v>
      </c>
      <c r="T178" s="19">
        <v>0</v>
      </c>
      <c r="U178" s="19">
        <v>0</v>
      </c>
      <c r="V178" s="19">
        <v>0</v>
      </c>
      <c r="W178" s="19">
        <v>0</v>
      </c>
      <c r="X178" s="19">
        <v>0</v>
      </c>
      <c r="Y178" s="217">
        <v>59852.66</v>
      </c>
      <c r="Z178" s="3">
        <f t="shared" si="13"/>
        <v>20046.300000000003</v>
      </c>
      <c r="AA178" s="3">
        <f t="shared" si="14"/>
        <v>99453.92</v>
      </c>
      <c r="AB178" s="3">
        <f t="shared" si="16"/>
        <v>12047.07</v>
      </c>
      <c r="AC178" s="3">
        <f>ROUND(MAX(0,(D178-V178)*'Shift 14'!$B$2),2)</f>
        <v>0</v>
      </c>
      <c r="AD178" s="3">
        <f t="shared" si="15"/>
        <v>59852.66</v>
      </c>
      <c r="AE178" s="3">
        <f t="shared" si="17"/>
        <v>0</v>
      </c>
      <c r="AF178" s="214">
        <v>592</v>
      </c>
      <c r="AG178" s="214">
        <v>1</v>
      </c>
      <c r="AH178" s="3">
        <v>0</v>
      </c>
      <c r="AI178" s="3">
        <v>0</v>
      </c>
      <c r="AJ178" s="3">
        <v>0</v>
      </c>
      <c r="AK178" s="3">
        <v>0</v>
      </c>
      <c r="AL178" s="3">
        <v>13407.94</v>
      </c>
      <c r="AM178" s="3">
        <v>0</v>
      </c>
      <c r="AN178" s="3">
        <v>0</v>
      </c>
      <c r="AO178" s="3">
        <v>0</v>
      </c>
      <c r="AP178" s="3">
        <v>0</v>
      </c>
      <c r="AQ178" s="3">
        <v>8303.44</v>
      </c>
      <c r="AR178" s="3">
        <v>0</v>
      </c>
      <c r="AS178" s="3">
        <v>-1665.08</v>
      </c>
      <c r="AT178" s="3">
        <v>0</v>
      </c>
      <c r="AU178" s="3">
        <f t="shared" si="18"/>
        <v>0</v>
      </c>
      <c r="AV178" s="17">
        <v>592</v>
      </c>
      <c r="AW178" s="17">
        <v>592</v>
      </c>
      <c r="AX178" s="17">
        <v>1</v>
      </c>
      <c r="AY178" s="3" t="s">
        <v>178</v>
      </c>
      <c r="AZ178" s="3">
        <v>0</v>
      </c>
      <c r="BA178" s="19">
        <v>59852.66</v>
      </c>
    </row>
    <row r="179" spans="1:53" x14ac:dyDescent="0.2">
      <c r="A179" s="17">
        <v>593</v>
      </c>
      <c r="B179" s="17">
        <v>1</v>
      </c>
      <c r="C179" s="3" t="s">
        <v>179</v>
      </c>
      <c r="D179" s="3">
        <f>Levy!F180</f>
        <v>1316369.8400000001</v>
      </c>
      <c r="E179" s="3">
        <f>Levy!G180</f>
        <v>76959.03</v>
      </c>
      <c r="F179" s="3">
        <f>Levy!H180</f>
        <v>0</v>
      </c>
      <c r="G179" s="3">
        <f>Levy!I180</f>
        <v>770870.29</v>
      </c>
      <c r="H179" s="217">
        <f>Levy!J180</f>
        <v>149311.38</v>
      </c>
      <c r="I179" s="219">
        <v>0</v>
      </c>
      <c r="J179" s="219">
        <v>902.38</v>
      </c>
      <c r="K179" s="219">
        <v>36995.730000000003</v>
      </c>
      <c r="L179" s="219">
        <v>0</v>
      </c>
      <c r="M179" s="219">
        <v>0</v>
      </c>
      <c r="N179" s="19">
        <v>0</v>
      </c>
      <c r="O179" s="19">
        <v>0</v>
      </c>
      <c r="P179" s="219">
        <v>-13107.23</v>
      </c>
      <c r="Q179" s="219">
        <v>0</v>
      </c>
      <c r="R179" s="219">
        <v>-6074.76</v>
      </c>
      <c r="S179" s="219">
        <v>0</v>
      </c>
      <c r="T179" s="19">
        <v>0</v>
      </c>
      <c r="U179" s="19">
        <v>0</v>
      </c>
      <c r="V179" s="19">
        <v>0</v>
      </c>
      <c r="W179" s="19">
        <v>0</v>
      </c>
      <c r="X179" s="19">
        <v>0</v>
      </c>
      <c r="Y179" s="217">
        <v>0</v>
      </c>
      <c r="Z179" s="3">
        <f t="shared" si="13"/>
        <v>18716.120000000003</v>
      </c>
      <c r="AA179" s="3">
        <f t="shared" si="14"/>
        <v>829113.2</v>
      </c>
      <c r="AB179" s="3">
        <f t="shared" si="16"/>
        <v>149311.38</v>
      </c>
      <c r="AC179" s="3">
        <f>ROUND(MAX(0,(D179-V179)*'Shift 14'!$B$2),2)</f>
        <v>0</v>
      </c>
      <c r="AD179" s="3">
        <f t="shared" si="15"/>
        <v>0</v>
      </c>
      <c r="AE179" s="3">
        <f t="shared" si="17"/>
        <v>0</v>
      </c>
      <c r="AF179" s="214">
        <v>593</v>
      </c>
      <c r="AG179" s="214">
        <v>1</v>
      </c>
      <c r="AH179" s="3">
        <v>0</v>
      </c>
      <c r="AI179" s="3">
        <v>0</v>
      </c>
      <c r="AJ179" s="3">
        <v>0</v>
      </c>
      <c r="AK179" s="3">
        <v>902.38</v>
      </c>
      <c r="AL179" s="3">
        <v>36995.730000000003</v>
      </c>
      <c r="AM179" s="3">
        <v>0</v>
      </c>
      <c r="AN179" s="3">
        <v>0</v>
      </c>
      <c r="AO179" s="3">
        <v>0</v>
      </c>
      <c r="AP179" s="3">
        <v>0</v>
      </c>
      <c r="AQ179" s="3">
        <v>-13107.23</v>
      </c>
      <c r="AR179" s="3">
        <v>0</v>
      </c>
      <c r="AS179" s="3">
        <v>-6074.76</v>
      </c>
      <c r="AT179" s="3">
        <v>0</v>
      </c>
      <c r="AU179" s="3">
        <f t="shared" si="18"/>
        <v>0</v>
      </c>
      <c r="AV179" s="17">
        <v>593</v>
      </c>
      <c r="AW179" s="17">
        <v>593</v>
      </c>
      <c r="AX179" s="17">
        <v>1</v>
      </c>
      <c r="AY179" s="3" t="s">
        <v>179</v>
      </c>
      <c r="AZ179" s="3">
        <v>0</v>
      </c>
      <c r="BA179" s="19">
        <v>0</v>
      </c>
    </row>
    <row r="180" spans="1:53" x14ac:dyDescent="0.2">
      <c r="A180" s="17">
        <v>595</v>
      </c>
      <c r="B180" s="17">
        <v>1</v>
      </c>
      <c r="C180" s="3" t="s">
        <v>180</v>
      </c>
      <c r="D180" s="3">
        <f>Levy!F181</f>
        <v>614613.17000000004</v>
      </c>
      <c r="E180" s="3">
        <f>Levy!G181</f>
        <v>113546.61</v>
      </c>
      <c r="F180" s="3">
        <f>Levy!H181</f>
        <v>0</v>
      </c>
      <c r="G180" s="3">
        <f>Levy!I181</f>
        <v>459552.34</v>
      </c>
      <c r="H180" s="217">
        <f>Levy!J181</f>
        <v>110242.11</v>
      </c>
      <c r="I180" s="219">
        <v>0</v>
      </c>
      <c r="J180" s="219">
        <v>12500</v>
      </c>
      <c r="K180" s="219">
        <v>36414.949999999997</v>
      </c>
      <c r="L180" s="219">
        <v>0</v>
      </c>
      <c r="M180" s="219">
        <v>0</v>
      </c>
      <c r="N180" s="19">
        <v>0</v>
      </c>
      <c r="O180" s="19">
        <v>0</v>
      </c>
      <c r="P180" s="219">
        <v>5108.03</v>
      </c>
      <c r="Q180" s="219">
        <v>0</v>
      </c>
      <c r="R180" s="219">
        <v>-7776.08</v>
      </c>
      <c r="S180" s="219">
        <v>0</v>
      </c>
      <c r="T180" s="19">
        <v>0</v>
      </c>
      <c r="U180" s="19">
        <v>0</v>
      </c>
      <c r="V180" s="19">
        <v>0</v>
      </c>
      <c r="W180" s="19">
        <v>0</v>
      </c>
      <c r="X180" s="19">
        <v>0</v>
      </c>
      <c r="Y180" s="217">
        <v>0</v>
      </c>
      <c r="Z180" s="3">
        <f t="shared" si="13"/>
        <v>46246.899999999994</v>
      </c>
      <c r="AA180" s="3">
        <f t="shared" si="14"/>
        <v>526852.05000000005</v>
      </c>
      <c r="AB180" s="3">
        <f t="shared" si="16"/>
        <v>110242.11</v>
      </c>
      <c r="AC180" s="3">
        <f>ROUND(MAX(0,(D180-V180)*'Shift 14'!$B$2),2)</f>
        <v>0</v>
      </c>
      <c r="AD180" s="3">
        <f t="shared" si="15"/>
        <v>0</v>
      </c>
      <c r="AE180" s="3">
        <f t="shared" si="17"/>
        <v>0</v>
      </c>
      <c r="AF180" s="214">
        <v>595</v>
      </c>
      <c r="AG180" s="214">
        <v>1</v>
      </c>
      <c r="AH180" s="3">
        <v>0</v>
      </c>
      <c r="AI180" s="3">
        <v>0</v>
      </c>
      <c r="AJ180" s="3">
        <v>0</v>
      </c>
      <c r="AK180" s="3">
        <v>12500</v>
      </c>
      <c r="AL180" s="3">
        <v>36414.949999999997</v>
      </c>
      <c r="AM180" s="3">
        <v>0</v>
      </c>
      <c r="AN180" s="3">
        <v>0</v>
      </c>
      <c r="AO180" s="3">
        <v>0</v>
      </c>
      <c r="AP180" s="3">
        <v>0</v>
      </c>
      <c r="AQ180" s="3">
        <v>5108.03</v>
      </c>
      <c r="AR180" s="3">
        <v>0</v>
      </c>
      <c r="AS180" s="3">
        <v>-7776.08</v>
      </c>
      <c r="AT180" s="3">
        <v>0</v>
      </c>
      <c r="AU180" s="3">
        <f t="shared" si="18"/>
        <v>0</v>
      </c>
      <c r="AV180" s="17">
        <v>595</v>
      </c>
      <c r="AW180" s="17">
        <v>595</v>
      </c>
      <c r="AX180" s="17">
        <v>1</v>
      </c>
      <c r="AY180" s="3" t="s">
        <v>180</v>
      </c>
      <c r="AZ180" s="3">
        <v>0</v>
      </c>
      <c r="BA180" s="19">
        <v>0</v>
      </c>
    </row>
    <row r="181" spans="1:53" x14ac:dyDescent="0.2">
      <c r="A181" s="17">
        <v>599</v>
      </c>
      <c r="B181" s="17">
        <v>1</v>
      </c>
      <c r="C181" s="3" t="s">
        <v>181</v>
      </c>
      <c r="D181" s="3">
        <f>Levy!F182</f>
        <v>421779.15</v>
      </c>
      <c r="E181" s="3">
        <f>Levy!G182</f>
        <v>31495.91</v>
      </c>
      <c r="F181" s="3">
        <f>Levy!H182</f>
        <v>0</v>
      </c>
      <c r="G181" s="3">
        <f>Levy!I182</f>
        <v>189477.74</v>
      </c>
      <c r="H181" s="217">
        <f>Levy!J182</f>
        <v>41781</v>
      </c>
      <c r="I181" s="219">
        <v>0</v>
      </c>
      <c r="J181" s="219">
        <v>5000</v>
      </c>
      <c r="K181" s="219">
        <v>23392.63</v>
      </c>
      <c r="L181" s="219">
        <v>0</v>
      </c>
      <c r="M181" s="219">
        <v>0</v>
      </c>
      <c r="N181" s="19">
        <v>0</v>
      </c>
      <c r="O181" s="19">
        <v>0</v>
      </c>
      <c r="P181" s="219">
        <v>-245.36</v>
      </c>
      <c r="Q181" s="219">
        <v>0</v>
      </c>
      <c r="R181" s="219">
        <v>-2905.03</v>
      </c>
      <c r="S181" s="219">
        <v>0</v>
      </c>
      <c r="T181" s="19">
        <v>0</v>
      </c>
      <c r="U181" s="19">
        <v>0</v>
      </c>
      <c r="V181" s="19">
        <v>0</v>
      </c>
      <c r="W181" s="19">
        <v>0</v>
      </c>
      <c r="X181" s="19">
        <v>0</v>
      </c>
      <c r="Y181" s="217">
        <v>37537.56</v>
      </c>
      <c r="Z181" s="3">
        <f t="shared" si="13"/>
        <v>25242.240000000002</v>
      </c>
      <c r="AA181" s="3">
        <f t="shared" si="14"/>
        <v>195731.41</v>
      </c>
      <c r="AB181" s="3">
        <f t="shared" si="16"/>
        <v>41781</v>
      </c>
      <c r="AC181" s="3">
        <f>ROUND(MAX(0,(D181-V181)*'Shift 14'!$B$2),2)</f>
        <v>0</v>
      </c>
      <c r="AD181" s="3">
        <f t="shared" si="15"/>
        <v>37537.56</v>
      </c>
      <c r="AE181" s="3">
        <f t="shared" si="17"/>
        <v>0</v>
      </c>
      <c r="AF181" s="214">
        <v>599</v>
      </c>
      <c r="AG181" s="214">
        <v>1</v>
      </c>
      <c r="AH181" s="3">
        <v>0</v>
      </c>
      <c r="AI181" s="3">
        <v>0</v>
      </c>
      <c r="AJ181" s="3">
        <v>0</v>
      </c>
      <c r="AK181" s="3">
        <v>5000</v>
      </c>
      <c r="AL181" s="3">
        <v>23392.63</v>
      </c>
      <c r="AM181" s="3">
        <v>0</v>
      </c>
      <c r="AN181" s="3">
        <v>0</v>
      </c>
      <c r="AO181" s="3">
        <v>0</v>
      </c>
      <c r="AP181" s="3">
        <v>0</v>
      </c>
      <c r="AQ181" s="3">
        <v>-245.36</v>
      </c>
      <c r="AR181" s="3">
        <v>0</v>
      </c>
      <c r="AS181" s="3">
        <v>-2905.03</v>
      </c>
      <c r="AT181" s="3">
        <v>0</v>
      </c>
      <c r="AU181" s="3">
        <f t="shared" si="18"/>
        <v>0</v>
      </c>
      <c r="AV181" s="17">
        <v>599</v>
      </c>
      <c r="AW181" s="17">
        <v>599</v>
      </c>
      <c r="AX181" s="17">
        <v>1</v>
      </c>
      <c r="AY181" s="3" t="s">
        <v>181</v>
      </c>
      <c r="AZ181" s="3">
        <v>0</v>
      </c>
      <c r="BA181" s="19">
        <v>37537.56</v>
      </c>
    </row>
    <row r="182" spans="1:53" x14ac:dyDescent="0.2">
      <c r="A182" s="17">
        <v>600</v>
      </c>
      <c r="B182" s="17">
        <v>1</v>
      </c>
      <c r="C182" s="3" t="s">
        <v>182</v>
      </c>
      <c r="D182" s="3">
        <f>Levy!F183</f>
        <v>90042.31</v>
      </c>
      <c r="E182" s="3">
        <f>Levy!G183</f>
        <v>18112.439999999999</v>
      </c>
      <c r="F182" s="3">
        <f>Levy!H183</f>
        <v>200000</v>
      </c>
      <c r="G182" s="3">
        <f>Levy!I183</f>
        <v>110490.94</v>
      </c>
      <c r="H182" s="217">
        <f>Levy!J183</f>
        <v>23752.59</v>
      </c>
      <c r="I182" s="219">
        <v>0</v>
      </c>
      <c r="J182" s="219">
        <v>0</v>
      </c>
      <c r="K182" s="219">
        <v>13407.94</v>
      </c>
      <c r="L182" s="219">
        <v>0</v>
      </c>
      <c r="M182" s="219">
        <v>0</v>
      </c>
      <c r="N182" s="19">
        <v>0</v>
      </c>
      <c r="O182" s="19">
        <v>0</v>
      </c>
      <c r="P182" s="219">
        <v>-4964.92</v>
      </c>
      <c r="Q182" s="219">
        <v>0</v>
      </c>
      <c r="R182" s="219">
        <v>-1665.08</v>
      </c>
      <c r="S182" s="219">
        <v>0</v>
      </c>
      <c r="T182" s="19">
        <v>0</v>
      </c>
      <c r="U182" s="19">
        <v>0</v>
      </c>
      <c r="V182" s="19">
        <v>0</v>
      </c>
      <c r="W182" s="19">
        <v>0</v>
      </c>
      <c r="X182" s="19">
        <v>0</v>
      </c>
      <c r="Y182" s="217">
        <v>75126.47</v>
      </c>
      <c r="Z182" s="3">
        <f t="shared" si="13"/>
        <v>6777.9400000000005</v>
      </c>
      <c r="AA182" s="3">
        <f t="shared" si="14"/>
        <v>321825.44</v>
      </c>
      <c r="AB182" s="3">
        <f t="shared" si="16"/>
        <v>23752.59</v>
      </c>
      <c r="AC182" s="3">
        <f>ROUND(MAX(0,(D182-V182)*'Shift 14'!$B$2),2)</f>
        <v>0</v>
      </c>
      <c r="AD182" s="3">
        <f t="shared" si="15"/>
        <v>75126.47</v>
      </c>
      <c r="AE182" s="3">
        <f t="shared" si="17"/>
        <v>0</v>
      </c>
      <c r="AF182" s="214">
        <v>600</v>
      </c>
      <c r="AG182" s="214">
        <v>1</v>
      </c>
      <c r="AH182" s="3">
        <v>0</v>
      </c>
      <c r="AI182" s="3">
        <v>0</v>
      </c>
      <c r="AJ182" s="3">
        <v>0</v>
      </c>
      <c r="AK182" s="3">
        <v>0</v>
      </c>
      <c r="AL182" s="3">
        <v>13407.94</v>
      </c>
      <c r="AM182" s="3">
        <v>0</v>
      </c>
      <c r="AN182" s="3">
        <v>0</v>
      </c>
      <c r="AO182" s="3">
        <v>0</v>
      </c>
      <c r="AP182" s="3">
        <v>0</v>
      </c>
      <c r="AQ182" s="3">
        <v>-4964.92</v>
      </c>
      <c r="AR182" s="3">
        <v>0</v>
      </c>
      <c r="AS182" s="3">
        <v>-1665.08</v>
      </c>
      <c r="AT182" s="3">
        <v>0</v>
      </c>
      <c r="AU182" s="3">
        <f t="shared" si="18"/>
        <v>0</v>
      </c>
      <c r="AV182" s="17">
        <v>600</v>
      </c>
      <c r="AW182" s="17">
        <v>600</v>
      </c>
      <c r="AX182" s="17">
        <v>1</v>
      </c>
      <c r="AY182" s="3" t="s">
        <v>182</v>
      </c>
      <c r="AZ182" s="3">
        <v>0</v>
      </c>
      <c r="BA182" s="19">
        <v>75126.47</v>
      </c>
    </row>
    <row r="183" spans="1:53" x14ac:dyDescent="0.2">
      <c r="A183" s="17">
        <v>601</v>
      </c>
      <c r="B183" s="17">
        <v>1</v>
      </c>
      <c r="C183" s="3" t="s">
        <v>183</v>
      </c>
      <c r="D183" s="3">
        <f>Levy!F184</f>
        <v>459801.72</v>
      </c>
      <c r="E183" s="3">
        <f>Levy!G184</f>
        <v>29835.13</v>
      </c>
      <c r="F183" s="3">
        <f>Levy!H184</f>
        <v>0</v>
      </c>
      <c r="G183" s="3">
        <f>Levy!I184</f>
        <v>268304.14</v>
      </c>
      <c r="H183" s="217">
        <f>Levy!J184</f>
        <v>40968.910000000003</v>
      </c>
      <c r="I183" s="219">
        <v>0</v>
      </c>
      <c r="J183" s="219">
        <v>0</v>
      </c>
      <c r="K183" s="219">
        <v>13054.45</v>
      </c>
      <c r="L183" s="219">
        <v>0</v>
      </c>
      <c r="M183" s="219">
        <v>0</v>
      </c>
      <c r="N183" s="19">
        <v>0</v>
      </c>
      <c r="O183" s="19">
        <v>0</v>
      </c>
      <c r="P183" s="219">
        <v>3554.13</v>
      </c>
      <c r="Q183" s="219">
        <v>0</v>
      </c>
      <c r="R183" s="219">
        <v>-2905.03</v>
      </c>
      <c r="S183" s="219">
        <v>0</v>
      </c>
      <c r="T183" s="19">
        <v>0</v>
      </c>
      <c r="U183" s="19">
        <v>0</v>
      </c>
      <c r="V183" s="19">
        <v>0</v>
      </c>
      <c r="W183" s="19">
        <v>0</v>
      </c>
      <c r="X183" s="19">
        <v>5949.94</v>
      </c>
      <c r="Y183" s="217">
        <v>10280.629999999999</v>
      </c>
      <c r="Z183" s="3">
        <f t="shared" si="13"/>
        <v>13703.550000000001</v>
      </c>
      <c r="AA183" s="3">
        <f t="shared" si="14"/>
        <v>278485.78000000003</v>
      </c>
      <c r="AB183" s="3">
        <f t="shared" si="16"/>
        <v>40968.910000000003</v>
      </c>
      <c r="AC183" s="3">
        <f>ROUND(MAX(0,(D183-V183)*'Shift 14'!$B$2),2)</f>
        <v>0</v>
      </c>
      <c r="AD183" s="3">
        <f t="shared" si="15"/>
        <v>10280.629999999999</v>
      </c>
      <c r="AE183" s="3">
        <f t="shared" si="17"/>
        <v>0</v>
      </c>
      <c r="AF183" s="214">
        <v>601</v>
      </c>
      <c r="AG183" s="214">
        <v>1</v>
      </c>
      <c r="AH183" s="3">
        <v>0</v>
      </c>
      <c r="AI183" s="3">
        <v>0</v>
      </c>
      <c r="AJ183" s="3">
        <v>0</v>
      </c>
      <c r="AK183" s="3">
        <v>0</v>
      </c>
      <c r="AL183" s="3">
        <v>13054.45</v>
      </c>
      <c r="AM183" s="3">
        <v>0</v>
      </c>
      <c r="AN183" s="3">
        <v>0</v>
      </c>
      <c r="AO183" s="3">
        <v>0</v>
      </c>
      <c r="AP183" s="3">
        <v>0</v>
      </c>
      <c r="AQ183" s="3">
        <v>3554.13</v>
      </c>
      <c r="AR183" s="3">
        <v>0</v>
      </c>
      <c r="AS183" s="3">
        <v>-2905.03</v>
      </c>
      <c r="AT183" s="3">
        <v>0</v>
      </c>
      <c r="AU183" s="3">
        <f t="shared" si="18"/>
        <v>0</v>
      </c>
      <c r="AV183" s="17">
        <v>601</v>
      </c>
      <c r="AW183" s="17">
        <v>601</v>
      </c>
      <c r="AX183" s="17">
        <v>1</v>
      </c>
      <c r="AY183" s="3" t="s">
        <v>183</v>
      </c>
      <c r="AZ183" s="3">
        <v>5949.94</v>
      </c>
      <c r="BA183" s="19">
        <v>10280.629999999999</v>
      </c>
    </row>
    <row r="184" spans="1:53" x14ac:dyDescent="0.2">
      <c r="A184" s="17">
        <v>621</v>
      </c>
      <c r="B184" s="17">
        <v>1</v>
      </c>
      <c r="C184" s="3" t="s">
        <v>185</v>
      </c>
      <c r="D184" s="3">
        <f>Levy!F185</f>
        <v>12125187</v>
      </c>
      <c r="E184" s="3">
        <f>Levy!G185</f>
        <v>5926641</v>
      </c>
      <c r="F184" s="3">
        <f>Levy!H185</f>
        <v>0</v>
      </c>
      <c r="G184" s="3">
        <f>Levy!I185</f>
        <v>9122219</v>
      </c>
      <c r="H184" s="217">
        <f>Levy!J185</f>
        <v>966550</v>
      </c>
      <c r="I184" s="219">
        <v>0</v>
      </c>
      <c r="J184" s="219">
        <v>120000</v>
      </c>
      <c r="K184" s="219">
        <v>247853.08</v>
      </c>
      <c r="L184" s="219">
        <v>8077.02</v>
      </c>
      <c r="M184" s="219">
        <v>0</v>
      </c>
      <c r="N184" s="19">
        <v>0</v>
      </c>
      <c r="O184" s="19">
        <v>0</v>
      </c>
      <c r="P184" s="219">
        <v>89329.62</v>
      </c>
      <c r="Q184" s="219">
        <v>0</v>
      </c>
      <c r="R184" s="219">
        <v>-39425.629999999997</v>
      </c>
      <c r="S184" s="219">
        <v>486.01</v>
      </c>
      <c r="T184" s="19">
        <v>0</v>
      </c>
      <c r="U184" s="19">
        <v>0</v>
      </c>
      <c r="V184" s="19">
        <v>0</v>
      </c>
      <c r="W184" s="19">
        <v>0</v>
      </c>
      <c r="X184" s="19">
        <v>212864.42</v>
      </c>
      <c r="Y184" s="217">
        <v>2472890.44</v>
      </c>
      <c r="Z184" s="3">
        <f t="shared" si="13"/>
        <v>426320.1</v>
      </c>
      <c r="AA184" s="3">
        <f t="shared" si="14"/>
        <v>14409675.48</v>
      </c>
      <c r="AB184" s="3">
        <f t="shared" si="16"/>
        <v>966550</v>
      </c>
      <c r="AC184" s="3">
        <f>ROUND(MAX(0,(D184-V184)*'Shift 14'!$B$2),2)</f>
        <v>0</v>
      </c>
      <c r="AD184" s="3">
        <f t="shared" si="15"/>
        <v>2472890.44</v>
      </c>
      <c r="AE184" s="3">
        <f t="shared" si="17"/>
        <v>0</v>
      </c>
      <c r="AF184" s="214">
        <v>621</v>
      </c>
      <c r="AG184" s="214">
        <v>1</v>
      </c>
      <c r="AH184" s="3">
        <v>0</v>
      </c>
      <c r="AI184" s="3">
        <v>0</v>
      </c>
      <c r="AJ184" s="3">
        <v>433562.35</v>
      </c>
      <c r="AK184" s="3">
        <v>120000</v>
      </c>
      <c r="AL184" s="3">
        <v>247853.08</v>
      </c>
      <c r="AM184" s="3">
        <v>8077.02</v>
      </c>
      <c r="AN184" s="3">
        <v>0</v>
      </c>
      <c r="AO184" s="3">
        <v>0</v>
      </c>
      <c r="AP184" s="3">
        <v>-49821.49</v>
      </c>
      <c r="AQ184" s="3">
        <v>89329.62</v>
      </c>
      <c r="AR184" s="3">
        <v>0</v>
      </c>
      <c r="AS184" s="3">
        <v>-39425.629999999997</v>
      </c>
      <c r="AT184" s="3">
        <v>486.01</v>
      </c>
      <c r="AU184" s="3">
        <f t="shared" si="18"/>
        <v>0</v>
      </c>
      <c r="AV184" s="17">
        <v>621</v>
      </c>
      <c r="AW184" s="17">
        <v>621</v>
      </c>
      <c r="AX184" s="17">
        <v>1</v>
      </c>
      <c r="AY184" s="3" t="s">
        <v>185</v>
      </c>
      <c r="AZ184" s="3">
        <v>212864.42</v>
      </c>
      <c r="BA184" s="19">
        <v>2472890.44</v>
      </c>
    </row>
    <row r="185" spans="1:53" x14ac:dyDescent="0.2">
      <c r="A185" s="17">
        <v>622</v>
      </c>
      <c r="B185" s="17">
        <v>1</v>
      </c>
      <c r="C185" s="3" t="s">
        <v>1190</v>
      </c>
      <c r="D185" s="3">
        <f>Levy!F186</f>
        <v>2504202</v>
      </c>
      <c r="E185" s="3">
        <f>Levy!G186</f>
        <v>9098932</v>
      </c>
      <c r="F185" s="3">
        <f>Levy!H186</f>
        <v>0</v>
      </c>
      <c r="G185" s="3">
        <f>Levy!I186</f>
        <v>11034976</v>
      </c>
      <c r="H185" s="217">
        <f>Levy!J186</f>
        <v>1739488</v>
      </c>
      <c r="I185" s="219">
        <v>0</v>
      </c>
      <c r="J185" s="219">
        <v>136605</v>
      </c>
      <c r="K185" s="219">
        <v>296242.21999999997</v>
      </c>
      <c r="L185" s="219">
        <v>0</v>
      </c>
      <c r="M185" s="219">
        <v>0</v>
      </c>
      <c r="N185" s="19">
        <v>0</v>
      </c>
      <c r="O185" s="19">
        <v>0</v>
      </c>
      <c r="P185" s="219">
        <v>-36061.82</v>
      </c>
      <c r="Q185" s="219">
        <v>0</v>
      </c>
      <c r="R185" s="219">
        <v>-36733.64</v>
      </c>
      <c r="S185" s="219">
        <v>0</v>
      </c>
      <c r="T185" s="19">
        <v>0</v>
      </c>
      <c r="U185" s="19">
        <v>0</v>
      </c>
      <c r="V185" s="19">
        <v>0</v>
      </c>
      <c r="W185" s="19">
        <v>0</v>
      </c>
      <c r="X185" s="19">
        <v>46112.3</v>
      </c>
      <c r="Y185" s="217">
        <v>2611114.7599999998</v>
      </c>
      <c r="Z185" s="3">
        <f t="shared" si="13"/>
        <v>360051.75999999995</v>
      </c>
      <c r="AA185" s="3">
        <f t="shared" si="14"/>
        <v>19727743.940000001</v>
      </c>
      <c r="AB185" s="3">
        <f t="shared" si="16"/>
        <v>1739488</v>
      </c>
      <c r="AC185" s="3">
        <f>ROUND(MAX(0,(D185-V185)*'Shift 14'!$B$2),2)</f>
        <v>0</v>
      </c>
      <c r="AD185" s="3">
        <f t="shared" si="15"/>
        <v>2611114.7599999998</v>
      </c>
      <c r="AE185" s="3">
        <f t="shared" si="17"/>
        <v>0</v>
      </c>
      <c r="AF185" s="214">
        <v>622</v>
      </c>
      <c r="AG185" s="214">
        <v>1</v>
      </c>
      <c r="AH185" s="3">
        <v>0</v>
      </c>
      <c r="AI185" s="3">
        <v>0</v>
      </c>
      <c r="AJ185" s="3">
        <v>592942.44999999995</v>
      </c>
      <c r="AK185" s="3">
        <v>136605</v>
      </c>
      <c r="AL185" s="3">
        <v>296242.21999999997</v>
      </c>
      <c r="AM185" s="3">
        <v>0</v>
      </c>
      <c r="AN185" s="3">
        <v>0</v>
      </c>
      <c r="AO185" s="3">
        <v>0</v>
      </c>
      <c r="AP185" s="3">
        <v>-52679</v>
      </c>
      <c r="AQ185" s="3">
        <v>-36061.82</v>
      </c>
      <c r="AR185" s="3">
        <v>0</v>
      </c>
      <c r="AS185" s="3">
        <v>-36733.64</v>
      </c>
      <c r="AT185" s="3">
        <v>0</v>
      </c>
      <c r="AU185" s="3">
        <f t="shared" si="18"/>
        <v>0</v>
      </c>
      <c r="AV185" s="17">
        <v>622</v>
      </c>
      <c r="AW185" s="17">
        <v>622</v>
      </c>
      <c r="AX185" s="17">
        <v>1</v>
      </c>
      <c r="AY185" s="3" t="s">
        <v>186</v>
      </c>
      <c r="AZ185" s="3">
        <v>46112.3</v>
      </c>
      <c r="BA185" s="19">
        <v>2611114.7599999998</v>
      </c>
    </row>
    <row r="186" spans="1:53" x14ac:dyDescent="0.2">
      <c r="A186" s="17">
        <v>623</v>
      </c>
      <c r="B186" s="17">
        <v>1</v>
      </c>
      <c r="C186" s="3" t="s">
        <v>187</v>
      </c>
      <c r="D186" s="3">
        <f>Levy!F187</f>
        <v>10202073</v>
      </c>
      <c r="E186" s="3">
        <f>Levy!G187</f>
        <v>4341488</v>
      </c>
      <c r="F186" s="3">
        <f>Levy!H187</f>
        <v>0</v>
      </c>
      <c r="G186" s="3">
        <f>Levy!I187</f>
        <v>3880600</v>
      </c>
      <c r="H186" s="217">
        <f>Levy!J187</f>
        <v>924905</v>
      </c>
      <c r="I186" s="219">
        <v>0</v>
      </c>
      <c r="J186" s="219">
        <v>50000</v>
      </c>
      <c r="K186" s="219">
        <v>181824.68</v>
      </c>
      <c r="L186" s="219">
        <v>0</v>
      </c>
      <c r="M186" s="219">
        <v>0</v>
      </c>
      <c r="N186" s="19">
        <v>0</v>
      </c>
      <c r="O186" s="19">
        <v>0</v>
      </c>
      <c r="P186" s="219">
        <v>-52384.87</v>
      </c>
      <c r="Q186" s="219">
        <v>0</v>
      </c>
      <c r="R186" s="219">
        <v>-27123.23</v>
      </c>
      <c r="S186" s="219">
        <v>0</v>
      </c>
      <c r="T186" s="19">
        <v>0</v>
      </c>
      <c r="U186" s="19">
        <v>0</v>
      </c>
      <c r="V186" s="19">
        <v>0</v>
      </c>
      <c r="W186" s="19">
        <v>0</v>
      </c>
      <c r="X186" s="19">
        <v>0</v>
      </c>
      <c r="Y186" s="217">
        <v>2907226.7</v>
      </c>
      <c r="Z186" s="3">
        <f t="shared" si="13"/>
        <v>152316.57999999999</v>
      </c>
      <c r="AA186" s="3">
        <f t="shared" si="14"/>
        <v>8069771.4199999999</v>
      </c>
      <c r="AB186" s="3">
        <f t="shared" si="16"/>
        <v>924905</v>
      </c>
      <c r="AC186" s="3">
        <f>ROUND(MAX(0,(D186-V186)*'Shift 14'!$B$2),2)</f>
        <v>0</v>
      </c>
      <c r="AD186" s="3">
        <f t="shared" si="15"/>
        <v>2907226.7</v>
      </c>
      <c r="AE186" s="3">
        <f t="shared" si="17"/>
        <v>0</v>
      </c>
      <c r="AF186" s="214">
        <v>623</v>
      </c>
      <c r="AG186" s="214">
        <v>1</v>
      </c>
      <c r="AH186" s="3">
        <v>0</v>
      </c>
      <c r="AI186" s="3">
        <v>0</v>
      </c>
      <c r="AJ186" s="3">
        <v>395486.3</v>
      </c>
      <c r="AK186" s="3">
        <v>50000</v>
      </c>
      <c r="AL186" s="3">
        <v>181824.68</v>
      </c>
      <c r="AM186" s="3">
        <v>0</v>
      </c>
      <c r="AN186" s="3">
        <v>0</v>
      </c>
      <c r="AO186" s="3">
        <v>0</v>
      </c>
      <c r="AP186" s="3">
        <v>-46.09</v>
      </c>
      <c r="AQ186" s="3">
        <v>-52384.87</v>
      </c>
      <c r="AR186" s="3">
        <v>0</v>
      </c>
      <c r="AS186" s="3">
        <v>-27123.23</v>
      </c>
      <c r="AT186" s="3">
        <v>0</v>
      </c>
      <c r="AU186" s="3">
        <f t="shared" si="18"/>
        <v>0</v>
      </c>
      <c r="AV186" s="17">
        <v>623</v>
      </c>
      <c r="AW186" s="17">
        <v>623</v>
      </c>
      <c r="AX186" s="17">
        <v>1</v>
      </c>
      <c r="AY186" s="3" t="s">
        <v>187</v>
      </c>
      <c r="AZ186" s="3">
        <v>0</v>
      </c>
      <c r="BA186" s="19">
        <v>2907226.7</v>
      </c>
    </row>
    <row r="187" spans="1:53" x14ac:dyDescent="0.2">
      <c r="A187" s="17">
        <v>624</v>
      </c>
      <c r="B187" s="17">
        <v>1</v>
      </c>
      <c r="C187" s="3" t="s">
        <v>188</v>
      </c>
      <c r="D187" s="3">
        <f>Levy!F188</f>
        <v>14162215</v>
      </c>
      <c r="E187" s="3">
        <f>Levy!G188</f>
        <v>3907058</v>
      </c>
      <c r="F187" s="3">
        <f>Levy!H188</f>
        <v>1374419</v>
      </c>
      <c r="G187" s="3">
        <f>Levy!I188</f>
        <v>5025540</v>
      </c>
      <c r="H187" s="217">
        <f>Levy!J188</f>
        <v>1089836</v>
      </c>
      <c r="I187" s="219">
        <v>0</v>
      </c>
      <c r="J187" s="219">
        <v>80000</v>
      </c>
      <c r="K187" s="219">
        <v>224807.63</v>
      </c>
      <c r="L187" s="219">
        <v>0</v>
      </c>
      <c r="M187" s="219">
        <v>0</v>
      </c>
      <c r="N187" s="19">
        <v>0</v>
      </c>
      <c r="O187" s="19">
        <v>0</v>
      </c>
      <c r="P187" s="219">
        <v>49111.02</v>
      </c>
      <c r="Q187" s="219">
        <v>0</v>
      </c>
      <c r="R187" s="219">
        <v>-28475.65</v>
      </c>
      <c r="S187" s="219">
        <v>0</v>
      </c>
      <c r="T187" s="19">
        <v>0</v>
      </c>
      <c r="U187" s="19">
        <v>0</v>
      </c>
      <c r="V187" s="19">
        <v>0</v>
      </c>
      <c r="W187" s="19">
        <v>0</v>
      </c>
      <c r="X187" s="19">
        <v>0</v>
      </c>
      <c r="Y187" s="217">
        <v>1582149</v>
      </c>
      <c r="Z187" s="3">
        <f t="shared" si="13"/>
        <v>325443</v>
      </c>
      <c r="AA187" s="3">
        <f t="shared" si="14"/>
        <v>9981574</v>
      </c>
      <c r="AB187" s="3">
        <f t="shared" si="16"/>
        <v>1089836</v>
      </c>
      <c r="AC187" s="3">
        <f>ROUND(MAX(0,(D187-V187)*'Shift 14'!$B$2),2)</f>
        <v>0</v>
      </c>
      <c r="AD187" s="3">
        <f t="shared" si="15"/>
        <v>1582149</v>
      </c>
      <c r="AE187" s="3">
        <f t="shared" si="17"/>
        <v>0</v>
      </c>
      <c r="AF187" s="214">
        <v>624</v>
      </c>
      <c r="AG187" s="214">
        <v>1</v>
      </c>
      <c r="AH187" s="3">
        <v>0</v>
      </c>
      <c r="AI187" s="3">
        <v>0</v>
      </c>
      <c r="AJ187" s="3">
        <v>223274.92</v>
      </c>
      <c r="AK187" s="3">
        <v>80000</v>
      </c>
      <c r="AL187" s="3">
        <v>224807.63</v>
      </c>
      <c r="AM187" s="3">
        <v>0</v>
      </c>
      <c r="AN187" s="3">
        <v>0</v>
      </c>
      <c r="AO187" s="3">
        <v>0</v>
      </c>
      <c r="AP187" s="3">
        <v>-44517.16</v>
      </c>
      <c r="AQ187" s="3">
        <v>49111.02</v>
      </c>
      <c r="AR187" s="3">
        <v>0</v>
      </c>
      <c r="AS187" s="3">
        <v>-28475.65</v>
      </c>
      <c r="AT187" s="3">
        <v>0</v>
      </c>
      <c r="AU187" s="3">
        <f t="shared" si="18"/>
        <v>0</v>
      </c>
      <c r="AV187" s="17">
        <v>624</v>
      </c>
      <c r="AW187" s="17">
        <v>624</v>
      </c>
      <c r="AX187" s="17">
        <v>1</v>
      </c>
      <c r="AY187" s="3" t="s">
        <v>188</v>
      </c>
      <c r="AZ187" s="3">
        <v>0</v>
      </c>
      <c r="BA187" s="19">
        <v>1582149</v>
      </c>
    </row>
    <row r="188" spans="1:53" x14ac:dyDescent="0.2">
      <c r="A188" s="17">
        <v>625</v>
      </c>
      <c r="B188" s="17">
        <v>1</v>
      </c>
      <c r="C188" s="3" t="s">
        <v>189</v>
      </c>
      <c r="D188" s="3">
        <f>Levy!F189</f>
        <v>13246481</v>
      </c>
      <c r="E188" s="3">
        <f>Levy!G189</f>
        <v>21635011</v>
      </c>
      <c r="F188" s="3">
        <f>Levy!H189</f>
        <v>0</v>
      </c>
      <c r="G188" s="3">
        <f>Levy!I189</f>
        <v>56390617</v>
      </c>
      <c r="H188" s="217">
        <f>Levy!J189</f>
        <v>3457227</v>
      </c>
      <c r="I188" s="19">
        <v>5163198.13</v>
      </c>
      <c r="J188" s="219">
        <v>654761.80000000005</v>
      </c>
      <c r="K188" s="219">
        <v>674382.44</v>
      </c>
      <c r="L188" s="219">
        <v>600000</v>
      </c>
      <c r="M188" s="219">
        <v>11810748</v>
      </c>
      <c r="N188" s="19">
        <v>0</v>
      </c>
      <c r="O188" s="19">
        <v>-43690.55</v>
      </c>
      <c r="P188" s="219">
        <v>-395584.35</v>
      </c>
      <c r="Q188" s="219">
        <v>0</v>
      </c>
      <c r="R188" s="219">
        <v>-124546.18</v>
      </c>
      <c r="S188" s="219">
        <v>0</v>
      </c>
      <c r="T188" s="19">
        <v>0</v>
      </c>
      <c r="U188" s="19">
        <v>0</v>
      </c>
      <c r="V188" s="19">
        <v>0</v>
      </c>
      <c r="W188" s="19">
        <v>0</v>
      </c>
      <c r="X188" s="19">
        <v>0</v>
      </c>
      <c r="Y188" s="217">
        <v>2473342.0699999998</v>
      </c>
      <c r="Z188" s="3">
        <f t="shared" si="13"/>
        <v>18339269.289999995</v>
      </c>
      <c r="AA188" s="3">
        <f t="shared" si="14"/>
        <v>59686358.710000001</v>
      </c>
      <c r="AB188" s="3">
        <f t="shared" si="16"/>
        <v>3457227</v>
      </c>
      <c r="AC188" s="3">
        <f>ROUND(MAX(0,(D188-V188)*'Shift 14'!$B$2),2)</f>
        <v>0</v>
      </c>
      <c r="AD188" s="3">
        <f t="shared" si="15"/>
        <v>2473342.0699999998</v>
      </c>
      <c r="AE188" s="3">
        <f t="shared" si="17"/>
        <v>0</v>
      </c>
      <c r="AF188" s="214">
        <v>625</v>
      </c>
      <c r="AG188" s="214">
        <v>1</v>
      </c>
      <c r="AH188" s="3">
        <v>0</v>
      </c>
      <c r="AI188" s="3">
        <v>0</v>
      </c>
      <c r="AJ188" s="3">
        <v>5163198.13</v>
      </c>
      <c r="AK188" s="3">
        <v>654761.80000000005</v>
      </c>
      <c r="AL188" s="3">
        <v>674382.44</v>
      </c>
      <c r="AM188" s="3">
        <v>600000</v>
      </c>
      <c r="AN188" s="3">
        <v>11810748</v>
      </c>
      <c r="AO188" s="3">
        <v>0</v>
      </c>
      <c r="AP188" s="3">
        <v>-43690.55</v>
      </c>
      <c r="AQ188" s="3">
        <v>-395584.35</v>
      </c>
      <c r="AR188" s="3">
        <v>0</v>
      </c>
      <c r="AS188" s="3">
        <v>-124546.18</v>
      </c>
      <c r="AT188" s="3">
        <v>0</v>
      </c>
      <c r="AU188" s="3">
        <f t="shared" si="18"/>
        <v>0</v>
      </c>
      <c r="AV188" s="17">
        <v>625</v>
      </c>
      <c r="AW188" s="17">
        <v>625</v>
      </c>
      <c r="AX188" s="17">
        <v>1</v>
      </c>
      <c r="AY188" s="3" t="s">
        <v>189</v>
      </c>
      <c r="AZ188" s="3">
        <v>0</v>
      </c>
      <c r="BA188" s="19">
        <v>2473342.0699999998</v>
      </c>
    </row>
    <row r="189" spans="1:53" x14ac:dyDescent="0.2">
      <c r="A189" s="17">
        <v>630</v>
      </c>
      <c r="B189" s="17">
        <v>1</v>
      </c>
      <c r="C189" s="3" t="s">
        <v>192</v>
      </c>
      <c r="D189" s="3">
        <f>Levy!F190</f>
        <v>317237</v>
      </c>
      <c r="E189" s="3">
        <f>Levy!G190</f>
        <v>10661</v>
      </c>
      <c r="F189" s="3">
        <f>Levy!H190</f>
        <v>0</v>
      </c>
      <c r="G189" s="3">
        <f>Levy!I190</f>
        <v>134305</v>
      </c>
      <c r="H189" s="217">
        <f>Levy!J190</f>
        <v>20601</v>
      </c>
      <c r="I189" s="219">
        <v>0</v>
      </c>
      <c r="J189" s="219">
        <v>0</v>
      </c>
      <c r="K189" s="219">
        <v>6195.07</v>
      </c>
      <c r="L189" s="219">
        <v>0</v>
      </c>
      <c r="M189" s="219">
        <v>0</v>
      </c>
      <c r="N189" s="19">
        <v>0</v>
      </c>
      <c r="O189" s="19">
        <v>0</v>
      </c>
      <c r="P189" s="219">
        <v>8011.98</v>
      </c>
      <c r="Q189" s="219">
        <v>-8011.98</v>
      </c>
      <c r="R189" s="219">
        <v>-1841.16</v>
      </c>
      <c r="S189" s="219">
        <v>0</v>
      </c>
      <c r="T189" s="19">
        <v>0</v>
      </c>
      <c r="U189" s="19">
        <v>0</v>
      </c>
      <c r="V189" s="19">
        <v>0</v>
      </c>
      <c r="W189" s="19">
        <v>0</v>
      </c>
      <c r="X189" s="19">
        <v>0</v>
      </c>
      <c r="Y189" s="217">
        <v>15914.47</v>
      </c>
      <c r="Z189" s="3">
        <f t="shared" si="13"/>
        <v>4353.91</v>
      </c>
      <c r="AA189" s="3">
        <f t="shared" si="14"/>
        <v>140612.09</v>
      </c>
      <c r="AB189" s="3">
        <f t="shared" si="16"/>
        <v>20601</v>
      </c>
      <c r="AC189" s="3">
        <f>ROUND(MAX(0,(D189-V189)*'Shift 14'!$B$2),2)</f>
        <v>0</v>
      </c>
      <c r="AD189" s="3">
        <f t="shared" si="15"/>
        <v>15914.47</v>
      </c>
      <c r="AE189" s="3">
        <f t="shared" si="17"/>
        <v>0</v>
      </c>
      <c r="AF189" s="214">
        <v>630</v>
      </c>
      <c r="AG189" s="214">
        <v>1</v>
      </c>
      <c r="AH189" s="3">
        <v>0</v>
      </c>
      <c r="AI189" s="3">
        <v>0</v>
      </c>
      <c r="AJ189" s="3">
        <v>3880.49</v>
      </c>
      <c r="AK189" s="3">
        <v>0</v>
      </c>
      <c r="AL189" s="3">
        <v>6195.07</v>
      </c>
      <c r="AM189" s="3">
        <v>0</v>
      </c>
      <c r="AN189" s="3">
        <v>0</v>
      </c>
      <c r="AO189" s="3">
        <v>0</v>
      </c>
      <c r="AP189" s="3">
        <v>0</v>
      </c>
      <c r="AQ189" s="3">
        <v>8011.98</v>
      </c>
      <c r="AR189" s="3">
        <v>-8011.98</v>
      </c>
      <c r="AS189" s="3">
        <v>-1841.16</v>
      </c>
      <c r="AT189" s="3">
        <v>0</v>
      </c>
      <c r="AU189" s="3">
        <f t="shared" si="18"/>
        <v>0</v>
      </c>
      <c r="AV189" s="17">
        <v>630</v>
      </c>
      <c r="AW189" s="17">
        <v>630</v>
      </c>
      <c r="AX189" s="17">
        <v>1</v>
      </c>
      <c r="AY189" s="3" t="s">
        <v>192</v>
      </c>
      <c r="AZ189" s="3">
        <v>0</v>
      </c>
      <c r="BA189" s="19">
        <v>15914.47</v>
      </c>
    </row>
    <row r="190" spans="1:53" x14ac:dyDescent="0.2">
      <c r="A190" s="17">
        <v>635</v>
      </c>
      <c r="B190" s="17">
        <v>1</v>
      </c>
      <c r="C190" s="3" t="s">
        <v>193</v>
      </c>
      <c r="D190" s="3">
        <f>Levy!F191</f>
        <v>145230</v>
      </c>
      <c r="E190" s="3">
        <f>Levy!G191</f>
        <v>465</v>
      </c>
      <c r="F190" s="3">
        <f>Levy!H191</f>
        <v>0</v>
      </c>
      <c r="G190" s="3">
        <f>Levy!I191</f>
        <v>62568</v>
      </c>
      <c r="H190" s="217">
        <f>Levy!J191</f>
        <v>16770</v>
      </c>
      <c r="I190" s="219">
        <v>0</v>
      </c>
      <c r="J190" s="219">
        <v>2000</v>
      </c>
      <c r="K190" s="219">
        <v>0</v>
      </c>
      <c r="L190" s="219">
        <v>0</v>
      </c>
      <c r="M190" s="219">
        <v>0</v>
      </c>
      <c r="N190" s="19">
        <v>0</v>
      </c>
      <c r="O190" s="19">
        <v>0</v>
      </c>
      <c r="P190" s="219">
        <v>-247.52</v>
      </c>
      <c r="Q190" s="219">
        <v>0</v>
      </c>
      <c r="R190" s="219">
        <v>0</v>
      </c>
      <c r="S190" s="219">
        <v>0</v>
      </c>
      <c r="T190" s="19">
        <v>0</v>
      </c>
      <c r="U190" s="19">
        <v>0</v>
      </c>
      <c r="V190" s="19">
        <v>0</v>
      </c>
      <c r="W190" s="19">
        <v>0</v>
      </c>
      <c r="X190" s="19">
        <v>0</v>
      </c>
      <c r="Y190" s="217">
        <v>34554.870000000003</v>
      </c>
      <c r="Z190" s="3">
        <f t="shared" si="13"/>
        <v>1752.48</v>
      </c>
      <c r="AA190" s="3">
        <f t="shared" si="14"/>
        <v>61280.52</v>
      </c>
      <c r="AB190" s="3">
        <f t="shared" si="16"/>
        <v>16770</v>
      </c>
      <c r="AC190" s="3">
        <f>ROUND(MAX(0,(D190-V190)*'Shift 14'!$B$2),2)</f>
        <v>0</v>
      </c>
      <c r="AD190" s="3">
        <f t="shared" si="15"/>
        <v>34554.870000000003</v>
      </c>
      <c r="AE190" s="3">
        <f t="shared" si="17"/>
        <v>0</v>
      </c>
      <c r="AF190" s="214">
        <v>635</v>
      </c>
      <c r="AG190" s="214">
        <v>1</v>
      </c>
      <c r="AH190" s="3">
        <v>0</v>
      </c>
      <c r="AI190" s="3">
        <v>0</v>
      </c>
      <c r="AJ190" s="3">
        <v>0</v>
      </c>
      <c r="AK190" s="3">
        <v>2000</v>
      </c>
      <c r="AL190" s="3">
        <v>0</v>
      </c>
      <c r="AM190" s="3">
        <v>0</v>
      </c>
      <c r="AN190" s="3">
        <v>0</v>
      </c>
      <c r="AO190" s="3">
        <v>0</v>
      </c>
      <c r="AP190" s="3">
        <v>0</v>
      </c>
      <c r="AQ190" s="3">
        <v>-247.52</v>
      </c>
      <c r="AR190" s="3">
        <v>0</v>
      </c>
      <c r="AS190" s="3">
        <v>0</v>
      </c>
      <c r="AT190" s="3">
        <v>0</v>
      </c>
      <c r="AU190" s="3">
        <f t="shared" si="18"/>
        <v>0</v>
      </c>
      <c r="AV190" s="17">
        <v>635</v>
      </c>
      <c r="AW190" s="17">
        <v>635</v>
      </c>
      <c r="AX190" s="17">
        <v>1</v>
      </c>
      <c r="AY190" s="3" t="s">
        <v>193</v>
      </c>
      <c r="AZ190" s="3">
        <v>0</v>
      </c>
      <c r="BA190" s="19">
        <v>34554.870000000003</v>
      </c>
    </row>
    <row r="191" spans="1:53" x14ac:dyDescent="0.2">
      <c r="A191" s="17">
        <v>640</v>
      </c>
      <c r="B191" s="17">
        <v>1</v>
      </c>
      <c r="C191" s="3" t="s">
        <v>194</v>
      </c>
      <c r="D191" s="3">
        <f>Levy!F192</f>
        <v>255259</v>
      </c>
      <c r="E191" s="3">
        <f>Levy!G192</f>
        <v>23814</v>
      </c>
      <c r="F191" s="3">
        <f>Levy!H192</f>
        <v>0</v>
      </c>
      <c r="G191" s="3">
        <f>Levy!I192</f>
        <v>243228</v>
      </c>
      <c r="H191" s="217">
        <f>Levy!J192</f>
        <v>28901</v>
      </c>
      <c r="I191" s="219">
        <v>0</v>
      </c>
      <c r="J191" s="219">
        <v>765</v>
      </c>
      <c r="K191" s="219">
        <v>14031.14</v>
      </c>
      <c r="L191" s="219">
        <v>0</v>
      </c>
      <c r="M191" s="219">
        <v>0</v>
      </c>
      <c r="N191" s="19">
        <v>0</v>
      </c>
      <c r="O191" s="19">
        <v>0</v>
      </c>
      <c r="P191" s="219">
        <v>-1769.05</v>
      </c>
      <c r="Q191" s="219">
        <v>0</v>
      </c>
      <c r="R191" s="219">
        <v>-2207.27</v>
      </c>
      <c r="S191" s="219">
        <v>0</v>
      </c>
      <c r="T191" s="19">
        <v>0</v>
      </c>
      <c r="U191" s="19">
        <v>0</v>
      </c>
      <c r="V191" s="19">
        <v>0</v>
      </c>
      <c r="W191" s="19">
        <v>0</v>
      </c>
      <c r="X191" s="19">
        <v>3893.65</v>
      </c>
      <c r="Y191" s="217">
        <v>21257.8</v>
      </c>
      <c r="Z191" s="3">
        <f t="shared" si="13"/>
        <v>10819.82</v>
      </c>
      <c r="AA191" s="3">
        <f t="shared" si="14"/>
        <v>252328.53</v>
      </c>
      <c r="AB191" s="3">
        <f t="shared" si="16"/>
        <v>28901</v>
      </c>
      <c r="AC191" s="3">
        <f>ROUND(MAX(0,(D191-V191)*'Shift 14'!$B$2),2)</f>
        <v>0</v>
      </c>
      <c r="AD191" s="3">
        <f t="shared" si="15"/>
        <v>21257.8</v>
      </c>
      <c r="AE191" s="3">
        <f t="shared" si="17"/>
        <v>0</v>
      </c>
      <c r="AF191" s="214">
        <v>640</v>
      </c>
      <c r="AG191" s="214">
        <v>1</v>
      </c>
      <c r="AH191" s="3">
        <v>0</v>
      </c>
      <c r="AI191" s="3">
        <v>0</v>
      </c>
      <c r="AJ191" s="3">
        <v>8269.7000000000007</v>
      </c>
      <c r="AK191" s="3">
        <v>765</v>
      </c>
      <c r="AL191" s="3">
        <v>14031.14</v>
      </c>
      <c r="AM191" s="3">
        <v>0</v>
      </c>
      <c r="AN191" s="3">
        <v>0</v>
      </c>
      <c r="AO191" s="3">
        <v>0</v>
      </c>
      <c r="AP191" s="3">
        <v>0</v>
      </c>
      <c r="AQ191" s="3">
        <v>-1769.05</v>
      </c>
      <c r="AR191" s="3">
        <v>0</v>
      </c>
      <c r="AS191" s="3">
        <v>-2207.27</v>
      </c>
      <c r="AT191" s="3">
        <v>0</v>
      </c>
      <c r="AU191" s="3">
        <f t="shared" si="18"/>
        <v>0</v>
      </c>
      <c r="AV191" s="17">
        <v>640</v>
      </c>
      <c r="AW191" s="17">
        <v>640</v>
      </c>
      <c r="AX191" s="17">
        <v>1</v>
      </c>
      <c r="AY191" s="3" t="s">
        <v>194</v>
      </c>
      <c r="AZ191" s="3">
        <v>3893.65</v>
      </c>
      <c r="BA191" s="19">
        <v>21257.8</v>
      </c>
    </row>
    <row r="192" spans="1:53" x14ac:dyDescent="0.2">
      <c r="A192" s="17">
        <v>656</v>
      </c>
      <c r="B192" s="17">
        <v>1</v>
      </c>
      <c r="C192" s="3" t="s">
        <v>195</v>
      </c>
      <c r="D192" s="3">
        <f>Levy!F193</f>
        <v>2505990.41</v>
      </c>
      <c r="E192" s="3">
        <f>Levy!G193</f>
        <v>1051889.6200000001</v>
      </c>
      <c r="F192" s="3">
        <f>Levy!H193</f>
        <v>0</v>
      </c>
      <c r="G192" s="3">
        <f>Levy!I193</f>
        <v>1960313.31</v>
      </c>
      <c r="H192" s="217">
        <f>Levy!J193</f>
        <v>359499.85</v>
      </c>
      <c r="I192" s="219">
        <v>0</v>
      </c>
      <c r="J192" s="219">
        <v>50000</v>
      </c>
      <c r="K192" s="219">
        <v>54882.93</v>
      </c>
      <c r="L192" s="219">
        <v>0</v>
      </c>
      <c r="M192" s="219">
        <v>0</v>
      </c>
      <c r="N192" s="19">
        <v>0</v>
      </c>
      <c r="O192" s="19">
        <v>0</v>
      </c>
      <c r="P192" s="219">
        <v>57337.73</v>
      </c>
      <c r="Q192" s="219">
        <v>0</v>
      </c>
      <c r="R192" s="219">
        <v>-8913.44</v>
      </c>
      <c r="S192" s="219">
        <v>0</v>
      </c>
      <c r="T192" s="19">
        <v>0</v>
      </c>
      <c r="U192" s="19">
        <v>0</v>
      </c>
      <c r="V192" s="19">
        <v>0</v>
      </c>
      <c r="W192" s="19">
        <v>0</v>
      </c>
      <c r="X192" s="19">
        <v>0</v>
      </c>
      <c r="Y192" s="217">
        <v>329972.17</v>
      </c>
      <c r="Z192" s="3">
        <f t="shared" si="13"/>
        <v>153307.22</v>
      </c>
      <c r="AA192" s="3">
        <f t="shared" si="14"/>
        <v>2858895.71</v>
      </c>
      <c r="AB192" s="3">
        <f t="shared" si="16"/>
        <v>359499.85</v>
      </c>
      <c r="AC192" s="3">
        <f>ROUND(MAX(0,(D192-V192)*'Shift 14'!$B$2),2)</f>
        <v>0</v>
      </c>
      <c r="AD192" s="3">
        <f t="shared" si="15"/>
        <v>329972.17</v>
      </c>
      <c r="AE192" s="3">
        <f t="shared" si="17"/>
        <v>0</v>
      </c>
      <c r="AF192" s="214">
        <v>656</v>
      </c>
      <c r="AG192" s="214">
        <v>1</v>
      </c>
      <c r="AH192" s="3">
        <v>0</v>
      </c>
      <c r="AI192" s="3">
        <v>0</v>
      </c>
      <c r="AJ192" s="3">
        <v>161566.63</v>
      </c>
      <c r="AK192" s="3">
        <v>50000</v>
      </c>
      <c r="AL192" s="3">
        <v>54882.93</v>
      </c>
      <c r="AM192" s="3">
        <v>0</v>
      </c>
      <c r="AN192" s="3">
        <v>0</v>
      </c>
      <c r="AO192" s="3">
        <v>0</v>
      </c>
      <c r="AP192" s="3">
        <v>-35018.82</v>
      </c>
      <c r="AQ192" s="3">
        <v>57337.73</v>
      </c>
      <c r="AR192" s="3">
        <v>0</v>
      </c>
      <c r="AS192" s="3">
        <v>-8913.44</v>
      </c>
      <c r="AT192" s="3">
        <v>0</v>
      </c>
      <c r="AU192" s="3">
        <f t="shared" si="18"/>
        <v>0</v>
      </c>
      <c r="AV192" s="17">
        <v>656</v>
      </c>
      <c r="AW192" s="17">
        <v>656</v>
      </c>
      <c r="AX192" s="17">
        <v>1</v>
      </c>
      <c r="AY192" s="3" t="s">
        <v>195</v>
      </c>
      <c r="AZ192" s="3">
        <v>0</v>
      </c>
      <c r="BA192" s="19">
        <v>329972.17</v>
      </c>
    </row>
    <row r="193" spans="1:53" x14ac:dyDescent="0.2">
      <c r="A193" s="17">
        <v>659</v>
      </c>
      <c r="B193" s="17">
        <v>1</v>
      </c>
      <c r="C193" s="3" t="s">
        <v>196</v>
      </c>
      <c r="D193" s="3">
        <f>Levy!F194</f>
        <v>5186009.97</v>
      </c>
      <c r="E193" s="3">
        <f>Levy!G194</f>
        <v>1737222.09</v>
      </c>
      <c r="F193" s="3">
        <f>Levy!H194</f>
        <v>750000</v>
      </c>
      <c r="G193" s="3">
        <f>Levy!I194</f>
        <v>1612624.98</v>
      </c>
      <c r="H193" s="217">
        <f>Levy!J194</f>
        <v>398416.9</v>
      </c>
      <c r="I193" s="219">
        <v>0</v>
      </c>
      <c r="J193" s="219">
        <v>20700</v>
      </c>
      <c r="K193" s="219">
        <v>23421.35</v>
      </c>
      <c r="L193" s="219">
        <v>0</v>
      </c>
      <c r="M193" s="219">
        <v>0</v>
      </c>
      <c r="N193" s="19">
        <v>0</v>
      </c>
      <c r="O193" s="19">
        <v>0</v>
      </c>
      <c r="P193" s="219">
        <v>-10684.8</v>
      </c>
      <c r="Q193" s="219">
        <v>0</v>
      </c>
      <c r="R193" s="219">
        <v>-10159</v>
      </c>
      <c r="S193" s="219">
        <v>0</v>
      </c>
      <c r="T193" s="19">
        <v>0</v>
      </c>
      <c r="U193" s="19">
        <v>0</v>
      </c>
      <c r="V193" s="19">
        <v>0</v>
      </c>
      <c r="W193" s="19">
        <v>0</v>
      </c>
      <c r="X193" s="19">
        <v>0</v>
      </c>
      <c r="Y193" s="217">
        <v>374465.93</v>
      </c>
      <c r="Z193" s="3">
        <f t="shared" si="13"/>
        <v>23277.550000000003</v>
      </c>
      <c r="AA193" s="3">
        <f t="shared" si="14"/>
        <v>4076569.52</v>
      </c>
      <c r="AB193" s="3">
        <f t="shared" si="16"/>
        <v>398416.9</v>
      </c>
      <c r="AC193" s="3">
        <f>ROUND(MAX(0,(D193-V193)*'Shift 14'!$B$2),2)</f>
        <v>0</v>
      </c>
      <c r="AD193" s="3">
        <f t="shared" si="15"/>
        <v>374465.93</v>
      </c>
      <c r="AE193" s="3">
        <f t="shared" si="17"/>
        <v>0</v>
      </c>
      <c r="AF193" s="214">
        <v>659</v>
      </c>
      <c r="AG193" s="214">
        <v>1</v>
      </c>
      <c r="AH193" s="3">
        <v>0</v>
      </c>
      <c r="AI193" s="3">
        <v>0</v>
      </c>
      <c r="AJ193" s="3">
        <v>0</v>
      </c>
      <c r="AK193" s="3">
        <v>20700</v>
      </c>
      <c r="AL193" s="3">
        <v>23421.35</v>
      </c>
      <c r="AM193" s="3">
        <v>0</v>
      </c>
      <c r="AN193" s="3">
        <v>0</v>
      </c>
      <c r="AO193" s="3">
        <v>0</v>
      </c>
      <c r="AP193" s="3">
        <v>0</v>
      </c>
      <c r="AQ193" s="3">
        <v>-10684.8</v>
      </c>
      <c r="AR193" s="3">
        <v>0</v>
      </c>
      <c r="AS193" s="3">
        <v>-10159</v>
      </c>
      <c r="AT193" s="3">
        <v>0</v>
      </c>
      <c r="AU193" s="3">
        <f t="shared" si="18"/>
        <v>0</v>
      </c>
      <c r="AV193" s="17">
        <v>659</v>
      </c>
      <c r="AW193" s="17">
        <v>659</v>
      </c>
      <c r="AX193" s="17">
        <v>1</v>
      </c>
      <c r="AY193" s="3" t="s">
        <v>196</v>
      </c>
      <c r="AZ193" s="3">
        <v>0</v>
      </c>
      <c r="BA193" s="19">
        <v>374465.93</v>
      </c>
    </row>
    <row r="194" spans="1:53" x14ac:dyDescent="0.2">
      <c r="A194" s="17">
        <v>671</v>
      </c>
      <c r="B194" s="17">
        <v>1</v>
      </c>
      <c r="C194" s="3" t="s">
        <v>1191</v>
      </c>
      <c r="D194" s="3">
        <f>Levy!F195</f>
        <v>365947.55</v>
      </c>
      <c r="E194" s="3">
        <f>Levy!G195</f>
        <v>12261.18</v>
      </c>
      <c r="F194" s="3">
        <f>Levy!H195</f>
        <v>0</v>
      </c>
      <c r="G194" s="3">
        <f>Levy!I195</f>
        <v>52810.95</v>
      </c>
      <c r="H194" s="217">
        <f>Levy!J195</f>
        <v>4468.9399999999996</v>
      </c>
      <c r="I194" s="219">
        <v>0</v>
      </c>
      <c r="J194" s="219">
        <v>0</v>
      </c>
      <c r="K194" s="219">
        <v>13605.83</v>
      </c>
      <c r="L194" s="219">
        <v>0</v>
      </c>
      <c r="M194" s="219">
        <v>0</v>
      </c>
      <c r="N194" s="19">
        <v>0</v>
      </c>
      <c r="O194" s="19">
        <v>0</v>
      </c>
      <c r="P194" s="219">
        <v>0</v>
      </c>
      <c r="Q194" s="219">
        <v>0</v>
      </c>
      <c r="R194" s="219">
        <v>-1837.24</v>
      </c>
      <c r="S194" s="219">
        <v>0</v>
      </c>
      <c r="T194" s="19">
        <v>0</v>
      </c>
      <c r="U194" s="19">
        <v>0</v>
      </c>
      <c r="V194" s="19">
        <v>0</v>
      </c>
      <c r="W194" s="19">
        <v>0</v>
      </c>
      <c r="X194" s="19">
        <v>0</v>
      </c>
      <c r="Y194" s="217">
        <v>64894.85</v>
      </c>
      <c r="Z194" s="3">
        <f t="shared" si="13"/>
        <v>11768.59</v>
      </c>
      <c r="AA194" s="3">
        <f t="shared" si="14"/>
        <v>53303.54</v>
      </c>
      <c r="AB194" s="3">
        <f t="shared" si="16"/>
        <v>4468.9399999999996</v>
      </c>
      <c r="AC194" s="3">
        <f>ROUND(MAX(0,(D194-V194)*'Shift 14'!$B$2),2)</f>
        <v>0</v>
      </c>
      <c r="AD194" s="3">
        <f t="shared" si="15"/>
        <v>64894.85</v>
      </c>
      <c r="AE194" s="3">
        <f t="shared" si="17"/>
        <v>0</v>
      </c>
      <c r="AF194" s="214">
        <v>671</v>
      </c>
      <c r="AG194" s="214">
        <v>1</v>
      </c>
      <c r="AH194" s="3">
        <v>0</v>
      </c>
      <c r="AI194" s="3">
        <v>0</v>
      </c>
      <c r="AJ194" s="3">
        <v>0</v>
      </c>
      <c r="AK194" s="3">
        <v>0</v>
      </c>
      <c r="AL194" s="3">
        <v>13605.83</v>
      </c>
      <c r="AM194" s="3">
        <v>0</v>
      </c>
      <c r="AN194" s="3">
        <v>0</v>
      </c>
      <c r="AO194" s="3">
        <v>0</v>
      </c>
      <c r="AP194" s="3">
        <v>0</v>
      </c>
      <c r="AQ194" s="3">
        <v>0</v>
      </c>
      <c r="AR194" s="3">
        <v>0</v>
      </c>
      <c r="AS194" s="3">
        <v>-1837.24</v>
      </c>
      <c r="AT194" s="3">
        <v>0</v>
      </c>
      <c r="AU194" s="3">
        <f t="shared" si="18"/>
        <v>0</v>
      </c>
      <c r="AV194" s="17">
        <v>671</v>
      </c>
      <c r="AW194" s="17">
        <v>671</v>
      </c>
      <c r="AX194" s="17">
        <v>1</v>
      </c>
      <c r="AY194" s="3" t="s">
        <v>197</v>
      </c>
      <c r="AZ194" s="3">
        <v>0</v>
      </c>
      <c r="BA194" s="19">
        <v>64894.85</v>
      </c>
    </row>
    <row r="195" spans="1:53" x14ac:dyDescent="0.2">
      <c r="A195" s="17">
        <v>676</v>
      </c>
      <c r="B195" s="17">
        <v>1</v>
      </c>
      <c r="C195" s="3" t="s">
        <v>198</v>
      </c>
      <c r="D195" s="3">
        <f>Levy!F196</f>
        <v>201580</v>
      </c>
      <c r="E195" s="3">
        <f>Levy!G196</f>
        <v>7045</v>
      </c>
      <c r="F195" s="3">
        <f>Levy!H196</f>
        <v>0</v>
      </c>
      <c r="G195" s="3">
        <f>Levy!I196</f>
        <v>40057</v>
      </c>
      <c r="H195" s="217">
        <f>Levy!J196</f>
        <v>11976</v>
      </c>
      <c r="I195" s="219">
        <v>0</v>
      </c>
      <c r="J195" s="219">
        <v>0</v>
      </c>
      <c r="K195" s="219">
        <v>5684.28</v>
      </c>
      <c r="L195" s="219">
        <v>0</v>
      </c>
      <c r="M195" s="219">
        <v>0</v>
      </c>
      <c r="N195" s="19">
        <v>0</v>
      </c>
      <c r="O195" s="19">
        <v>0</v>
      </c>
      <c r="P195" s="219">
        <v>4.2</v>
      </c>
      <c r="Q195" s="219">
        <v>0</v>
      </c>
      <c r="R195" s="219">
        <v>-1665.08</v>
      </c>
      <c r="S195" s="219">
        <v>0</v>
      </c>
      <c r="T195" s="19">
        <v>0</v>
      </c>
      <c r="U195" s="19">
        <v>0</v>
      </c>
      <c r="V195" s="19">
        <v>0</v>
      </c>
      <c r="W195" s="19">
        <v>0</v>
      </c>
      <c r="X195" s="19">
        <v>0</v>
      </c>
      <c r="Y195" s="217">
        <v>82150</v>
      </c>
      <c r="Z195" s="3">
        <f t="shared" si="13"/>
        <v>4023.3999999999996</v>
      </c>
      <c r="AA195" s="3">
        <f t="shared" si="14"/>
        <v>43078.6</v>
      </c>
      <c r="AB195" s="3">
        <f t="shared" si="16"/>
        <v>11976</v>
      </c>
      <c r="AC195" s="3">
        <f>ROUND(MAX(0,(D195-V195)*'Shift 14'!$B$2),2)</f>
        <v>0</v>
      </c>
      <c r="AD195" s="3">
        <f t="shared" si="15"/>
        <v>82150</v>
      </c>
      <c r="AE195" s="3">
        <f t="shared" si="17"/>
        <v>0</v>
      </c>
      <c r="AF195" s="214">
        <v>676</v>
      </c>
      <c r="AG195" s="214">
        <v>1</v>
      </c>
      <c r="AH195" s="3">
        <v>0</v>
      </c>
      <c r="AI195" s="3">
        <v>0</v>
      </c>
      <c r="AJ195" s="3">
        <v>0</v>
      </c>
      <c r="AK195" s="3">
        <v>0</v>
      </c>
      <c r="AL195" s="3">
        <v>5684.28</v>
      </c>
      <c r="AM195" s="3">
        <v>0</v>
      </c>
      <c r="AN195" s="3">
        <v>0</v>
      </c>
      <c r="AO195" s="3">
        <v>0</v>
      </c>
      <c r="AP195" s="3">
        <v>0</v>
      </c>
      <c r="AQ195" s="3">
        <v>4.2</v>
      </c>
      <c r="AR195" s="3">
        <v>0</v>
      </c>
      <c r="AS195" s="3">
        <v>-1665.08</v>
      </c>
      <c r="AT195" s="3">
        <v>0</v>
      </c>
      <c r="AU195" s="3">
        <f t="shared" si="18"/>
        <v>0</v>
      </c>
      <c r="AV195" s="17">
        <v>676</v>
      </c>
      <c r="AW195" s="17">
        <v>676</v>
      </c>
      <c r="AX195" s="17">
        <v>1</v>
      </c>
      <c r="AY195" s="3" t="s">
        <v>198</v>
      </c>
      <c r="AZ195" s="3">
        <v>0</v>
      </c>
      <c r="BA195" s="19">
        <v>82150</v>
      </c>
    </row>
    <row r="196" spans="1:53" x14ac:dyDescent="0.2">
      <c r="A196" s="17">
        <v>682</v>
      </c>
      <c r="B196" s="17">
        <v>1</v>
      </c>
      <c r="C196" s="3" t="s">
        <v>199</v>
      </c>
      <c r="D196" s="3">
        <f>Levy!F197</f>
        <v>344071</v>
      </c>
      <c r="E196" s="3">
        <f>Levy!G197</f>
        <v>60669</v>
      </c>
      <c r="F196" s="3">
        <f>Levy!H197</f>
        <v>0</v>
      </c>
      <c r="G196" s="3">
        <f>Levy!I197</f>
        <v>378004</v>
      </c>
      <c r="H196" s="217">
        <f>Levy!J197</f>
        <v>74327</v>
      </c>
      <c r="I196" s="219">
        <v>0</v>
      </c>
      <c r="J196" s="219">
        <v>9000</v>
      </c>
      <c r="K196" s="219">
        <v>15126.58</v>
      </c>
      <c r="L196" s="219">
        <v>0</v>
      </c>
      <c r="M196" s="219">
        <v>0</v>
      </c>
      <c r="N196" s="19">
        <v>0</v>
      </c>
      <c r="O196" s="19">
        <v>0</v>
      </c>
      <c r="P196" s="219">
        <v>-13500</v>
      </c>
      <c r="Q196" s="219">
        <v>0</v>
      </c>
      <c r="R196" s="219">
        <v>-5248.77</v>
      </c>
      <c r="S196" s="219">
        <v>0</v>
      </c>
      <c r="T196" s="19">
        <v>0</v>
      </c>
      <c r="U196" s="19">
        <v>0</v>
      </c>
      <c r="V196" s="19">
        <v>0</v>
      </c>
      <c r="W196" s="19">
        <v>0</v>
      </c>
      <c r="X196" s="19">
        <v>17470.36</v>
      </c>
      <c r="Y196" s="217">
        <v>45551.1</v>
      </c>
      <c r="Z196" s="3">
        <f t="shared" si="13"/>
        <v>5377.8100000000013</v>
      </c>
      <c r="AA196" s="3">
        <f t="shared" si="14"/>
        <v>415824.83</v>
      </c>
      <c r="AB196" s="3">
        <f t="shared" si="16"/>
        <v>74327</v>
      </c>
      <c r="AC196" s="3">
        <f>ROUND(MAX(0,(D196-V196)*'Shift 14'!$B$2),2)</f>
        <v>0</v>
      </c>
      <c r="AD196" s="3">
        <f t="shared" si="15"/>
        <v>45551.1</v>
      </c>
      <c r="AE196" s="3">
        <f t="shared" si="17"/>
        <v>0</v>
      </c>
      <c r="AF196" s="214">
        <v>682</v>
      </c>
      <c r="AG196" s="214">
        <v>1</v>
      </c>
      <c r="AH196" s="3">
        <v>0</v>
      </c>
      <c r="AI196" s="3">
        <v>0</v>
      </c>
      <c r="AJ196" s="3">
        <v>0</v>
      </c>
      <c r="AK196" s="3">
        <v>9000</v>
      </c>
      <c r="AL196" s="3">
        <v>15126.58</v>
      </c>
      <c r="AM196" s="3">
        <v>0</v>
      </c>
      <c r="AN196" s="3">
        <v>0</v>
      </c>
      <c r="AO196" s="3">
        <v>0</v>
      </c>
      <c r="AP196" s="3">
        <v>0</v>
      </c>
      <c r="AQ196" s="3">
        <v>-13500</v>
      </c>
      <c r="AR196" s="3">
        <v>0</v>
      </c>
      <c r="AS196" s="3">
        <v>-5248.77</v>
      </c>
      <c r="AT196" s="3">
        <v>0</v>
      </c>
      <c r="AU196" s="3">
        <f t="shared" si="18"/>
        <v>0</v>
      </c>
      <c r="AV196" s="17">
        <v>682</v>
      </c>
      <c r="AW196" s="17">
        <v>682</v>
      </c>
      <c r="AX196" s="17">
        <v>1</v>
      </c>
      <c r="AY196" s="3" t="s">
        <v>199</v>
      </c>
      <c r="AZ196" s="3">
        <v>17470.36</v>
      </c>
      <c r="BA196" s="19">
        <v>45551.1</v>
      </c>
    </row>
    <row r="197" spans="1:53" x14ac:dyDescent="0.2">
      <c r="A197" s="17">
        <v>690</v>
      </c>
      <c r="B197" s="17">
        <v>1</v>
      </c>
      <c r="C197" s="3" t="s">
        <v>200</v>
      </c>
      <c r="D197" s="3">
        <f>Levy!F198</f>
        <v>305216</v>
      </c>
      <c r="E197" s="3">
        <f>Levy!G198</f>
        <v>61568</v>
      </c>
      <c r="F197" s="3">
        <f>Levy!H198</f>
        <v>0</v>
      </c>
      <c r="G197" s="3">
        <f>Levy!I198</f>
        <v>462216</v>
      </c>
      <c r="H197" s="217">
        <f>Levy!J198</f>
        <v>95156</v>
      </c>
      <c r="I197" s="219">
        <v>0</v>
      </c>
      <c r="J197" s="219">
        <v>70000</v>
      </c>
      <c r="K197" s="219">
        <v>15892.09</v>
      </c>
      <c r="L197" s="219">
        <v>0</v>
      </c>
      <c r="M197" s="219">
        <v>0</v>
      </c>
      <c r="N197" s="19">
        <v>0</v>
      </c>
      <c r="O197" s="19">
        <v>0</v>
      </c>
      <c r="P197" s="219">
        <v>9000.16</v>
      </c>
      <c r="Q197" s="219">
        <v>0</v>
      </c>
      <c r="R197" s="219">
        <v>-3991.61</v>
      </c>
      <c r="S197" s="219">
        <v>0</v>
      </c>
      <c r="T197" s="19">
        <v>0</v>
      </c>
      <c r="U197" s="19">
        <v>0</v>
      </c>
      <c r="V197" s="19">
        <v>0</v>
      </c>
      <c r="W197" s="19">
        <v>0</v>
      </c>
      <c r="X197" s="19">
        <v>0</v>
      </c>
      <c r="Y197" s="217">
        <v>36984.730000000003</v>
      </c>
      <c r="Z197" s="3">
        <f t="shared" si="13"/>
        <v>90900.64</v>
      </c>
      <c r="AA197" s="3">
        <f t="shared" si="14"/>
        <v>432883.36</v>
      </c>
      <c r="AB197" s="3">
        <f t="shared" si="16"/>
        <v>95156</v>
      </c>
      <c r="AC197" s="3">
        <f>ROUND(MAX(0,(D197-V197)*'Shift 14'!$B$2),2)</f>
        <v>0</v>
      </c>
      <c r="AD197" s="3">
        <f t="shared" si="15"/>
        <v>36984.730000000003</v>
      </c>
      <c r="AE197" s="3">
        <f t="shared" si="17"/>
        <v>0</v>
      </c>
      <c r="AF197" s="214">
        <v>690</v>
      </c>
      <c r="AG197" s="214">
        <v>1</v>
      </c>
      <c r="AH197" s="3">
        <v>0</v>
      </c>
      <c r="AI197" s="3">
        <v>0</v>
      </c>
      <c r="AJ197" s="3">
        <v>0</v>
      </c>
      <c r="AK197" s="3">
        <v>70000</v>
      </c>
      <c r="AL197" s="3">
        <v>15892.09</v>
      </c>
      <c r="AM197" s="3">
        <v>0</v>
      </c>
      <c r="AN197" s="3">
        <v>0</v>
      </c>
      <c r="AO197" s="3">
        <v>0</v>
      </c>
      <c r="AP197" s="3">
        <v>0</v>
      </c>
      <c r="AQ197" s="3">
        <v>9000.16</v>
      </c>
      <c r="AR197" s="3">
        <v>0</v>
      </c>
      <c r="AS197" s="3">
        <v>-3991.61</v>
      </c>
      <c r="AT197" s="3">
        <v>0</v>
      </c>
      <c r="AU197" s="3">
        <f t="shared" si="18"/>
        <v>0</v>
      </c>
      <c r="AV197" s="17">
        <v>690</v>
      </c>
      <c r="AW197" s="17">
        <v>690</v>
      </c>
      <c r="AX197" s="17">
        <v>1</v>
      </c>
      <c r="AY197" s="3" t="s">
        <v>200</v>
      </c>
      <c r="AZ197" s="3">
        <v>0</v>
      </c>
      <c r="BA197" s="19">
        <v>36984.730000000003</v>
      </c>
    </row>
    <row r="198" spans="1:53" x14ac:dyDescent="0.2">
      <c r="A198" s="17">
        <v>695</v>
      </c>
      <c r="B198" s="17">
        <v>1</v>
      </c>
      <c r="C198" s="3" t="s">
        <v>201</v>
      </c>
      <c r="D198" s="3">
        <f>Levy!F199</f>
        <v>331002.39</v>
      </c>
      <c r="E198" s="3">
        <f>Levy!G199</f>
        <v>33359.050000000003</v>
      </c>
      <c r="F198" s="3">
        <f>Levy!H199</f>
        <v>0</v>
      </c>
      <c r="G198" s="3">
        <f>Levy!I199</f>
        <v>199244.09</v>
      </c>
      <c r="H198" s="217">
        <f>Levy!J199</f>
        <v>0</v>
      </c>
      <c r="I198" s="219">
        <v>0</v>
      </c>
      <c r="J198" s="219">
        <v>1000</v>
      </c>
      <c r="K198" s="219">
        <v>5891.6</v>
      </c>
      <c r="L198" s="219">
        <v>124915.23</v>
      </c>
      <c r="M198" s="219">
        <v>0</v>
      </c>
      <c r="N198" s="19">
        <v>0</v>
      </c>
      <c r="O198" s="19">
        <v>0</v>
      </c>
      <c r="P198" s="219">
        <v>97.36</v>
      </c>
      <c r="Q198" s="219">
        <v>0</v>
      </c>
      <c r="R198" s="219">
        <v>-2409.89</v>
      </c>
      <c r="S198" s="219">
        <v>1277.04</v>
      </c>
      <c r="T198" s="19">
        <v>0</v>
      </c>
      <c r="U198" s="19">
        <v>0</v>
      </c>
      <c r="V198" s="19">
        <v>0</v>
      </c>
      <c r="W198" s="19">
        <v>0</v>
      </c>
      <c r="X198" s="19">
        <v>8880.85</v>
      </c>
      <c r="Y198" s="217">
        <v>27688.080000000002</v>
      </c>
      <c r="Z198" s="3">
        <f t="shared" ref="Z198:Z261" si="19">SUM(I198:T198)</f>
        <v>130771.33999999997</v>
      </c>
      <c r="AA198" s="3">
        <f t="shared" ref="AA198:AA261" si="20">ROUND(MAX(E198+F198+G198-W198-X198-Z198,0),2)</f>
        <v>92950.95</v>
      </c>
      <c r="AB198" s="3">
        <f t="shared" si="16"/>
        <v>0</v>
      </c>
      <c r="AC198" s="3">
        <f>ROUND(MAX(0,(D198-V198)*'Shift 14'!$B$2),2)</f>
        <v>0</v>
      </c>
      <c r="AD198" s="3">
        <f t="shared" ref="AD198:AD261" si="21">MAX(AC198,Y198)</f>
        <v>27688.080000000002</v>
      </c>
      <c r="AE198" s="3">
        <f t="shared" si="17"/>
        <v>0</v>
      </c>
      <c r="AF198" s="214">
        <v>695</v>
      </c>
      <c r="AG198" s="214">
        <v>1</v>
      </c>
      <c r="AH198" s="3">
        <v>0</v>
      </c>
      <c r="AI198" s="3">
        <v>0</v>
      </c>
      <c r="AJ198" s="3">
        <v>0</v>
      </c>
      <c r="AK198" s="3">
        <v>1000</v>
      </c>
      <c r="AL198" s="3">
        <v>5891.6</v>
      </c>
      <c r="AM198" s="3">
        <v>124915.23</v>
      </c>
      <c r="AN198" s="3">
        <v>0</v>
      </c>
      <c r="AO198" s="3">
        <v>0</v>
      </c>
      <c r="AP198" s="3">
        <v>0</v>
      </c>
      <c r="AQ198" s="3">
        <v>97.36</v>
      </c>
      <c r="AR198" s="3">
        <v>0</v>
      </c>
      <c r="AS198" s="3">
        <v>-2409.89</v>
      </c>
      <c r="AT198" s="3">
        <v>1277.04</v>
      </c>
      <c r="AU198" s="3">
        <f t="shared" si="18"/>
        <v>0</v>
      </c>
      <c r="AV198" s="17">
        <v>695</v>
      </c>
      <c r="AW198" s="17">
        <v>695</v>
      </c>
      <c r="AX198" s="17">
        <v>1</v>
      </c>
      <c r="AY198" s="3" t="s">
        <v>201</v>
      </c>
      <c r="AZ198" s="3">
        <v>8880.85</v>
      </c>
      <c r="BA198" s="19">
        <v>27688.080000000002</v>
      </c>
    </row>
    <row r="199" spans="1:53" x14ac:dyDescent="0.2">
      <c r="A199" s="17">
        <v>696</v>
      </c>
      <c r="B199" s="17">
        <v>1</v>
      </c>
      <c r="C199" s="3" t="s">
        <v>202</v>
      </c>
      <c r="D199" s="3">
        <f>Levy!F200</f>
        <v>559229.22</v>
      </c>
      <c r="E199" s="3">
        <f>Levy!G200</f>
        <v>61560.72</v>
      </c>
      <c r="F199" s="3">
        <f>Levy!H200</f>
        <v>0</v>
      </c>
      <c r="G199" s="3">
        <f>Levy!I200</f>
        <v>805123.33</v>
      </c>
      <c r="H199" s="217">
        <f>Levy!J200</f>
        <v>0</v>
      </c>
      <c r="I199" s="219">
        <v>0</v>
      </c>
      <c r="J199" s="219">
        <v>4888.72</v>
      </c>
      <c r="K199" s="219">
        <v>0</v>
      </c>
      <c r="L199" s="219">
        <v>156000</v>
      </c>
      <c r="M199" s="219">
        <v>0</v>
      </c>
      <c r="N199" s="19">
        <v>0</v>
      </c>
      <c r="O199" s="19">
        <v>0</v>
      </c>
      <c r="P199" s="219">
        <v>-10839.54</v>
      </c>
      <c r="Q199" s="219">
        <v>0</v>
      </c>
      <c r="R199" s="219">
        <v>0</v>
      </c>
      <c r="S199" s="219">
        <v>-21885.34</v>
      </c>
      <c r="T199" s="19">
        <v>0</v>
      </c>
      <c r="U199" s="19">
        <v>0</v>
      </c>
      <c r="V199" s="19">
        <v>0</v>
      </c>
      <c r="W199" s="19">
        <v>0</v>
      </c>
      <c r="X199" s="19">
        <v>2504.4899999999998</v>
      </c>
      <c r="Y199" s="217">
        <v>61464.47</v>
      </c>
      <c r="Z199" s="3">
        <f t="shared" si="19"/>
        <v>128163.84</v>
      </c>
      <c r="AA199" s="3">
        <f t="shared" si="20"/>
        <v>736015.72</v>
      </c>
      <c r="AB199" s="3">
        <f t="shared" ref="AB199:AB262" si="22">ROUND(MAX(H199-U199,0),2)</f>
        <v>0</v>
      </c>
      <c r="AC199" s="3">
        <f>ROUND(MAX(0,(D199-V199)*'Shift 14'!$B$2),2)</f>
        <v>0</v>
      </c>
      <c r="AD199" s="3">
        <f t="shared" si="21"/>
        <v>61464.47</v>
      </c>
      <c r="AE199" s="3">
        <f t="shared" si="17"/>
        <v>0</v>
      </c>
      <c r="AF199" s="214">
        <v>696</v>
      </c>
      <c r="AG199" s="214">
        <v>1</v>
      </c>
      <c r="AH199" s="3">
        <v>0</v>
      </c>
      <c r="AI199" s="3">
        <v>0</v>
      </c>
      <c r="AJ199" s="3">
        <v>0</v>
      </c>
      <c r="AK199" s="3">
        <v>4888.72</v>
      </c>
      <c r="AL199" s="3">
        <v>0</v>
      </c>
      <c r="AM199" s="3">
        <v>156000</v>
      </c>
      <c r="AN199" s="3">
        <v>0</v>
      </c>
      <c r="AO199" s="3">
        <v>0</v>
      </c>
      <c r="AP199" s="3">
        <v>0</v>
      </c>
      <c r="AQ199" s="3">
        <v>-10839.54</v>
      </c>
      <c r="AR199" s="3">
        <v>0</v>
      </c>
      <c r="AS199" s="3">
        <v>0</v>
      </c>
      <c r="AT199" s="3">
        <v>-21885.34</v>
      </c>
      <c r="AU199" s="3">
        <f t="shared" si="18"/>
        <v>0</v>
      </c>
      <c r="AV199" s="17">
        <v>696</v>
      </c>
      <c r="AW199" s="17">
        <v>696</v>
      </c>
      <c r="AX199" s="17">
        <v>1</v>
      </c>
      <c r="AY199" s="3" t="s">
        <v>202</v>
      </c>
      <c r="AZ199" s="3">
        <v>2504.4899999999998</v>
      </c>
      <c r="BA199" s="19">
        <v>61464.47</v>
      </c>
    </row>
    <row r="200" spans="1:53" x14ac:dyDescent="0.2">
      <c r="A200" s="17">
        <v>698</v>
      </c>
      <c r="B200" s="17">
        <v>1</v>
      </c>
      <c r="C200" s="3" t="s">
        <v>203</v>
      </c>
      <c r="D200" s="3">
        <f>Levy!F201</f>
        <v>0</v>
      </c>
      <c r="E200" s="3">
        <f>Levy!G201</f>
        <v>57724.03</v>
      </c>
      <c r="F200" s="3">
        <f>Levy!H201</f>
        <v>0</v>
      </c>
      <c r="G200" s="3">
        <f>Levy!I201</f>
        <v>171482.09</v>
      </c>
      <c r="H200" s="217">
        <f>Levy!J201</f>
        <v>24217.200000000001</v>
      </c>
      <c r="I200" s="219">
        <v>0</v>
      </c>
      <c r="J200" s="219">
        <v>10000</v>
      </c>
      <c r="K200" s="219">
        <v>10342.33</v>
      </c>
      <c r="L200" s="219">
        <v>0</v>
      </c>
      <c r="M200" s="219">
        <v>0</v>
      </c>
      <c r="N200" s="19">
        <v>0</v>
      </c>
      <c r="O200" s="19">
        <v>0</v>
      </c>
      <c r="P200" s="219">
        <v>-2560.31</v>
      </c>
      <c r="Q200" s="219">
        <v>0</v>
      </c>
      <c r="R200" s="219">
        <v>-1665.08</v>
      </c>
      <c r="S200" s="219">
        <v>0</v>
      </c>
      <c r="T200" s="19">
        <v>0</v>
      </c>
      <c r="U200" s="19">
        <v>0</v>
      </c>
      <c r="V200" s="19">
        <v>0</v>
      </c>
      <c r="W200" s="19">
        <v>0</v>
      </c>
      <c r="X200" s="19">
        <v>5557.25</v>
      </c>
      <c r="Y200" s="217">
        <v>14891.46</v>
      </c>
      <c r="Z200" s="3">
        <f t="shared" si="19"/>
        <v>16116.94</v>
      </c>
      <c r="AA200" s="3">
        <f t="shared" si="20"/>
        <v>207531.93</v>
      </c>
      <c r="AB200" s="3">
        <f t="shared" si="22"/>
        <v>24217.200000000001</v>
      </c>
      <c r="AC200" s="3">
        <f>ROUND(MAX(0,(D200-V200)*'Shift 14'!$B$2),2)</f>
        <v>0</v>
      </c>
      <c r="AD200" s="3">
        <f t="shared" si="21"/>
        <v>14891.46</v>
      </c>
      <c r="AE200" s="3">
        <f t="shared" si="17"/>
        <v>0</v>
      </c>
      <c r="AF200" s="214">
        <v>698</v>
      </c>
      <c r="AG200" s="214">
        <v>1</v>
      </c>
      <c r="AH200" s="3">
        <v>0</v>
      </c>
      <c r="AI200" s="3">
        <v>0</v>
      </c>
      <c r="AJ200" s="3">
        <v>0</v>
      </c>
      <c r="AK200" s="3">
        <v>10000</v>
      </c>
      <c r="AL200" s="3">
        <v>10342.33</v>
      </c>
      <c r="AM200" s="3">
        <v>0</v>
      </c>
      <c r="AN200" s="3">
        <v>0</v>
      </c>
      <c r="AO200" s="3">
        <v>0</v>
      </c>
      <c r="AP200" s="3">
        <v>0</v>
      </c>
      <c r="AQ200" s="3">
        <v>-2560.31</v>
      </c>
      <c r="AR200" s="3">
        <v>0</v>
      </c>
      <c r="AS200" s="3">
        <v>-1665.08</v>
      </c>
      <c r="AT200" s="3">
        <v>0</v>
      </c>
      <c r="AU200" s="3">
        <f t="shared" si="18"/>
        <v>0</v>
      </c>
      <c r="AV200" s="17">
        <v>698</v>
      </c>
      <c r="AW200" s="17">
        <v>698</v>
      </c>
      <c r="AX200" s="17">
        <v>1</v>
      </c>
      <c r="AY200" s="3" t="s">
        <v>203</v>
      </c>
      <c r="AZ200" s="3">
        <v>5557.25</v>
      </c>
      <c r="BA200" s="19">
        <v>14891.46</v>
      </c>
    </row>
    <row r="201" spans="1:53" x14ac:dyDescent="0.2">
      <c r="A201" s="17">
        <v>700</v>
      </c>
      <c r="B201" s="17">
        <v>1</v>
      </c>
      <c r="C201" s="3" t="s">
        <v>204</v>
      </c>
      <c r="D201" s="3">
        <f>Levy!F202</f>
        <v>1199.8399999999999</v>
      </c>
      <c r="E201" s="3">
        <f>Levy!G202</f>
        <v>394113.05</v>
      </c>
      <c r="F201" s="3">
        <f>Levy!H202</f>
        <v>0</v>
      </c>
      <c r="G201" s="3">
        <f>Levy!I202</f>
        <v>969772.11</v>
      </c>
      <c r="H201" s="217">
        <f>Levy!J202</f>
        <v>167789.9</v>
      </c>
      <c r="I201" s="219">
        <v>0</v>
      </c>
      <c r="J201" s="219">
        <v>15000</v>
      </c>
      <c r="K201" s="219">
        <v>13134.65</v>
      </c>
      <c r="L201" s="219">
        <v>0</v>
      </c>
      <c r="M201" s="219">
        <v>0</v>
      </c>
      <c r="N201" s="19">
        <v>0</v>
      </c>
      <c r="O201" s="19">
        <v>0</v>
      </c>
      <c r="P201" s="219">
        <v>-16054.22</v>
      </c>
      <c r="Q201" s="219">
        <v>0</v>
      </c>
      <c r="R201" s="219">
        <v>-1665.08</v>
      </c>
      <c r="S201" s="219">
        <v>0</v>
      </c>
      <c r="T201" s="19">
        <v>0</v>
      </c>
      <c r="U201" s="19">
        <v>0</v>
      </c>
      <c r="V201" s="19">
        <v>0</v>
      </c>
      <c r="W201" s="19">
        <v>0</v>
      </c>
      <c r="X201" s="19">
        <v>0</v>
      </c>
      <c r="Y201" s="217">
        <v>83202.59</v>
      </c>
      <c r="Z201" s="3">
        <f t="shared" si="19"/>
        <v>10415.350000000002</v>
      </c>
      <c r="AA201" s="3">
        <f t="shared" si="20"/>
        <v>1353469.81</v>
      </c>
      <c r="AB201" s="3">
        <f t="shared" si="22"/>
        <v>167789.9</v>
      </c>
      <c r="AC201" s="3">
        <f>ROUND(MAX(0,(D201-V201)*'Shift 14'!$B$2),2)</f>
        <v>0</v>
      </c>
      <c r="AD201" s="3">
        <f t="shared" si="21"/>
        <v>83202.59</v>
      </c>
      <c r="AE201" s="3">
        <f t="shared" ref="AE201:AE264" si="23">AF201-A201</f>
        <v>0</v>
      </c>
      <c r="AF201" s="214">
        <v>700</v>
      </c>
      <c r="AG201" s="214">
        <v>1</v>
      </c>
      <c r="AH201" s="3">
        <v>0</v>
      </c>
      <c r="AI201" s="3">
        <v>0</v>
      </c>
      <c r="AJ201" s="3">
        <v>0</v>
      </c>
      <c r="AK201" s="3">
        <v>15000</v>
      </c>
      <c r="AL201" s="3">
        <v>13134.65</v>
      </c>
      <c r="AM201" s="3">
        <v>0</v>
      </c>
      <c r="AN201" s="3">
        <v>0</v>
      </c>
      <c r="AO201" s="3">
        <v>0</v>
      </c>
      <c r="AP201" s="3">
        <v>0</v>
      </c>
      <c r="AQ201" s="3">
        <v>-16054.22</v>
      </c>
      <c r="AR201" s="3">
        <v>0</v>
      </c>
      <c r="AS201" s="3">
        <v>-1665.08</v>
      </c>
      <c r="AT201" s="3">
        <v>0</v>
      </c>
      <c r="AU201" s="3">
        <f t="shared" ref="AU201:AU264" si="24">AV201-A201</f>
        <v>0</v>
      </c>
      <c r="AV201" s="17">
        <v>700</v>
      </c>
      <c r="AW201" s="17">
        <v>700</v>
      </c>
      <c r="AX201" s="17">
        <v>1</v>
      </c>
      <c r="AY201" s="3" t="s">
        <v>204</v>
      </c>
      <c r="AZ201" s="3">
        <v>0</v>
      </c>
      <c r="BA201" s="19">
        <v>83202.59</v>
      </c>
    </row>
    <row r="202" spans="1:53" x14ac:dyDescent="0.2">
      <c r="A202" s="17">
        <v>701</v>
      </c>
      <c r="B202" s="17">
        <v>1</v>
      </c>
      <c r="C202" s="3" t="s">
        <v>205</v>
      </c>
      <c r="D202" s="3">
        <f>Levy!F203</f>
        <v>333006.39</v>
      </c>
      <c r="E202" s="3">
        <f>Levy!G203</f>
        <v>851258.55</v>
      </c>
      <c r="F202" s="3">
        <f>Levy!H203</f>
        <v>0</v>
      </c>
      <c r="G202" s="3">
        <f>Levy!I203</f>
        <v>809165.83</v>
      </c>
      <c r="H202" s="217">
        <f>Levy!J203</f>
        <v>0</v>
      </c>
      <c r="I202" s="219">
        <v>0</v>
      </c>
      <c r="J202" s="219">
        <v>10000</v>
      </c>
      <c r="K202" s="219">
        <v>23312.26</v>
      </c>
      <c r="L202" s="219">
        <v>421440</v>
      </c>
      <c r="M202" s="219">
        <v>0</v>
      </c>
      <c r="N202" s="19">
        <v>0</v>
      </c>
      <c r="O202" s="19">
        <v>0</v>
      </c>
      <c r="P202" s="219">
        <v>-7848.66</v>
      </c>
      <c r="Q202" s="219">
        <v>0</v>
      </c>
      <c r="R202" s="219">
        <v>-4444.79</v>
      </c>
      <c r="S202" s="219">
        <v>0</v>
      </c>
      <c r="T202" s="19">
        <v>0</v>
      </c>
      <c r="U202" s="19">
        <v>0</v>
      </c>
      <c r="V202" s="19">
        <v>0</v>
      </c>
      <c r="W202" s="19">
        <v>0</v>
      </c>
      <c r="X202" s="19">
        <v>59276.87</v>
      </c>
      <c r="Y202" s="217">
        <v>109071.21</v>
      </c>
      <c r="Z202" s="3">
        <f t="shared" si="19"/>
        <v>442458.81000000006</v>
      </c>
      <c r="AA202" s="3">
        <f t="shared" si="20"/>
        <v>1158688.7</v>
      </c>
      <c r="AB202" s="3">
        <f t="shared" si="22"/>
        <v>0</v>
      </c>
      <c r="AC202" s="3">
        <f>ROUND(MAX(0,(D202-V202)*'Shift 14'!$B$2),2)</f>
        <v>0</v>
      </c>
      <c r="AD202" s="3">
        <f t="shared" si="21"/>
        <v>109071.21</v>
      </c>
      <c r="AE202" s="3">
        <f t="shared" si="23"/>
        <v>0</v>
      </c>
      <c r="AF202" s="214">
        <v>701</v>
      </c>
      <c r="AG202" s="214">
        <v>1</v>
      </c>
      <c r="AH202" s="3">
        <v>0</v>
      </c>
      <c r="AI202" s="3">
        <v>0</v>
      </c>
      <c r="AJ202" s="3">
        <v>0</v>
      </c>
      <c r="AK202" s="3">
        <v>10000</v>
      </c>
      <c r="AL202" s="3">
        <v>23312.26</v>
      </c>
      <c r="AM202" s="3">
        <v>421440</v>
      </c>
      <c r="AN202" s="3">
        <v>0</v>
      </c>
      <c r="AO202" s="3">
        <v>0</v>
      </c>
      <c r="AP202" s="3">
        <v>0</v>
      </c>
      <c r="AQ202" s="3">
        <v>-7848.66</v>
      </c>
      <c r="AR202" s="3">
        <v>0</v>
      </c>
      <c r="AS202" s="3">
        <v>-4444.79</v>
      </c>
      <c r="AT202" s="3">
        <v>0</v>
      </c>
      <c r="AU202" s="3">
        <f t="shared" si="24"/>
        <v>0</v>
      </c>
      <c r="AV202" s="17">
        <v>701</v>
      </c>
      <c r="AW202" s="17">
        <v>701</v>
      </c>
      <c r="AX202" s="17">
        <v>1</v>
      </c>
      <c r="AY202" s="3" t="s">
        <v>205</v>
      </c>
      <c r="AZ202" s="3">
        <v>59276.87</v>
      </c>
      <c r="BA202" s="19">
        <v>109071.21</v>
      </c>
    </row>
    <row r="203" spans="1:53" x14ac:dyDescent="0.2">
      <c r="A203" s="17">
        <v>704</v>
      </c>
      <c r="B203" s="17">
        <v>1</v>
      </c>
      <c r="C203" s="3" t="s">
        <v>206</v>
      </c>
      <c r="D203" s="3">
        <f>Levy!F204</f>
        <v>1065.56</v>
      </c>
      <c r="E203" s="3">
        <f>Levy!G204</f>
        <v>581898.44999999995</v>
      </c>
      <c r="F203" s="3">
        <f>Levy!H204</f>
        <v>0</v>
      </c>
      <c r="G203" s="3">
        <f>Levy!I204</f>
        <v>737065.2</v>
      </c>
      <c r="H203" s="217">
        <f>Levy!J204</f>
        <v>155120.35</v>
      </c>
      <c r="I203" s="219">
        <v>0</v>
      </c>
      <c r="J203" s="219">
        <v>30000</v>
      </c>
      <c r="K203" s="219">
        <v>21121.1</v>
      </c>
      <c r="L203" s="219">
        <v>0</v>
      </c>
      <c r="M203" s="219">
        <v>0</v>
      </c>
      <c r="N203" s="19">
        <v>0</v>
      </c>
      <c r="O203" s="19">
        <v>0</v>
      </c>
      <c r="P203" s="219">
        <v>-6257.07</v>
      </c>
      <c r="Q203" s="219">
        <v>0</v>
      </c>
      <c r="R203" s="219">
        <v>-3543.9</v>
      </c>
      <c r="S203" s="219">
        <v>0</v>
      </c>
      <c r="T203" s="19">
        <v>0</v>
      </c>
      <c r="U203" s="19">
        <v>0</v>
      </c>
      <c r="V203" s="19">
        <v>0</v>
      </c>
      <c r="W203" s="19">
        <v>0</v>
      </c>
      <c r="X203" s="19">
        <v>0</v>
      </c>
      <c r="Y203" s="217">
        <v>96036.52</v>
      </c>
      <c r="Z203" s="3">
        <f t="shared" si="19"/>
        <v>41320.129999999997</v>
      </c>
      <c r="AA203" s="3">
        <f t="shared" si="20"/>
        <v>1277643.52</v>
      </c>
      <c r="AB203" s="3">
        <f t="shared" si="22"/>
        <v>155120.35</v>
      </c>
      <c r="AC203" s="3">
        <f>ROUND(MAX(0,(D203-V203)*'Shift 14'!$B$2),2)</f>
        <v>0</v>
      </c>
      <c r="AD203" s="3">
        <f t="shared" si="21"/>
        <v>96036.52</v>
      </c>
      <c r="AE203" s="3">
        <f t="shared" si="23"/>
        <v>0</v>
      </c>
      <c r="AF203" s="214">
        <v>704</v>
      </c>
      <c r="AG203" s="214">
        <v>1</v>
      </c>
      <c r="AH203" s="3">
        <v>0</v>
      </c>
      <c r="AI203" s="3">
        <v>0</v>
      </c>
      <c r="AJ203" s="3">
        <v>0</v>
      </c>
      <c r="AK203" s="3">
        <v>30000</v>
      </c>
      <c r="AL203" s="3">
        <v>21121.1</v>
      </c>
      <c r="AM203" s="3">
        <v>0</v>
      </c>
      <c r="AN203" s="3">
        <v>0</v>
      </c>
      <c r="AO203" s="3">
        <v>0</v>
      </c>
      <c r="AP203" s="3">
        <v>-3246.25</v>
      </c>
      <c r="AQ203" s="3">
        <v>-6257.07</v>
      </c>
      <c r="AR203" s="3">
        <v>0</v>
      </c>
      <c r="AS203" s="3">
        <v>-3543.9</v>
      </c>
      <c r="AT203" s="3">
        <v>0</v>
      </c>
      <c r="AU203" s="3">
        <f t="shared" si="24"/>
        <v>0</v>
      </c>
      <c r="AV203" s="17">
        <v>704</v>
      </c>
      <c r="AW203" s="17">
        <v>704</v>
      </c>
      <c r="AX203" s="17">
        <v>1</v>
      </c>
      <c r="AY203" s="3" t="s">
        <v>206</v>
      </c>
      <c r="AZ203" s="3">
        <v>0</v>
      </c>
      <c r="BA203" s="19">
        <v>96036.52</v>
      </c>
    </row>
    <row r="204" spans="1:53" x14ac:dyDescent="0.2">
      <c r="A204" s="17">
        <v>706</v>
      </c>
      <c r="B204" s="17">
        <v>1</v>
      </c>
      <c r="C204" s="3" t="s">
        <v>207</v>
      </c>
      <c r="D204" s="3">
        <f>Levy!F205</f>
        <v>709703.64</v>
      </c>
      <c r="E204" s="3">
        <f>Levy!G205</f>
        <v>150476.51999999999</v>
      </c>
      <c r="F204" s="3">
        <f>Levy!H205</f>
        <v>0</v>
      </c>
      <c r="G204" s="3">
        <f>Levy!I205</f>
        <v>412588.62</v>
      </c>
      <c r="H204" s="217">
        <f>Levy!J205</f>
        <v>0</v>
      </c>
      <c r="I204" s="219">
        <v>0</v>
      </c>
      <c r="J204" s="219">
        <v>5000</v>
      </c>
      <c r="K204" s="219">
        <v>18721.07</v>
      </c>
      <c r="L204" s="219">
        <v>568261</v>
      </c>
      <c r="M204" s="219">
        <v>0</v>
      </c>
      <c r="N204" s="19">
        <v>0</v>
      </c>
      <c r="O204" s="19">
        <v>0</v>
      </c>
      <c r="P204" s="219">
        <v>-1551.27</v>
      </c>
      <c r="Q204" s="219">
        <v>0</v>
      </c>
      <c r="R204" s="219">
        <v>-5818.08</v>
      </c>
      <c r="S204" s="219">
        <v>-43961.7</v>
      </c>
      <c r="T204" s="19">
        <v>0</v>
      </c>
      <c r="U204" s="19">
        <v>0</v>
      </c>
      <c r="V204" s="19">
        <v>0</v>
      </c>
      <c r="W204" s="19">
        <v>0</v>
      </c>
      <c r="X204" s="19">
        <v>46429.98</v>
      </c>
      <c r="Y204" s="217">
        <v>66181.42</v>
      </c>
      <c r="Z204" s="3">
        <f t="shared" si="19"/>
        <v>540651.02</v>
      </c>
      <c r="AA204" s="3">
        <f t="shared" si="20"/>
        <v>0</v>
      </c>
      <c r="AB204" s="3">
        <f t="shared" si="22"/>
        <v>0</v>
      </c>
      <c r="AC204" s="3">
        <f>ROUND(MAX(0,(D204-V204)*'Shift 14'!$B$2),2)</f>
        <v>0</v>
      </c>
      <c r="AD204" s="3">
        <f t="shared" si="21"/>
        <v>66181.42</v>
      </c>
      <c r="AE204" s="3">
        <f t="shared" si="23"/>
        <v>0</v>
      </c>
      <c r="AF204" s="214">
        <v>706</v>
      </c>
      <c r="AG204" s="214">
        <v>1</v>
      </c>
      <c r="AH204" s="3">
        <v>0</v>
      </c>
      <c r="AI204" s="3">
        <v>0</v>
      </c>
      <c r="AJ204" s="3">
        <v>0</v>
      </c>
      <c r="AK204" s="3">
        <v>5000</v>
      </c>
      <c r="AL204" s="3">
        <v>18721.07</v>
      </c>
      <c r="AM204" s="3">
        <v>568261</v>
      </c>
      <c r="AN204" s="3">
        <v>0</v>
      </c>
      <c r="AO204" s="3">
        <v>0</v>
      </c>
      <c r="AP204" s="3">
        <v>0</v>
      </c>
      <c r="AQ204" s="3">
        <v>-1551.27</v>
      </c>
      <c r="AR204" s="3">
        <v>0</v>
      </c>
      <c r="AS204" s="3">
        <v>-5818.08</v>
      </c>
      <c r="AT204" s="3">
        <v>-43961.7</v>
      </c>
      <c r="AU204" s="3">
        <f t="shared" si="24"/>
        <v>0</v>
      </c>
      <c r="AV204" s="17">
        <v>706</v>
      </c>
      <c r="AW204" s="17">
        <v>706</v>
      </c>
      <c r="AX204" s="17">
        <v>1</v>
      </c>
      <c r="AY204" s="3" t="s">
        <v>207</v>
      </c>
      <c r="AZ204" s="3">
        <v>46429.98</v>
      </c>
      <c r="BA204" s="19">
        <v>66181.42</v>
      </c>
    </row>
    <row r="205" spans="1:53" x14ac:dyDescent="0.2">
      <c r="A205" s="17">
        <v>707</v>
      </c>
      <c r="B205" s="17">
        <v>1</v>
      </c>
      <c r="C205" s="3" t="s">
        <v>208</v>
      </c>
      <c r="D205" s="3">
        <f>Levy!F206</f>
        <v>477.47</v>
      </c>
      <c r="E205" s="3">
        <f>Levy!G206</f>
        <v>190.03</v>
      </c>
      <c r="F205" s="3">
        <f>Levy!H206</f>
        <v>0</v>
      </c>
      <c r="G205" s="3">
        <f>Levy!I206</f>
        <v>40097.31</v>
      </c>
      <c r="H205" s="217">
        <f>Levy!J206</f>
        <v>1424.41</v>
      </c>
      <c r="I205" s="219">
        <v>0</v>
      </c>
      <c r="J205" s="219">
        <v>0</v>
      </c>
      <c r="K205" s="219">
        <v>0</v>
      </c>
      <c r="L205" s="219">
        <v>0</v>
      </c>
      <c r="M205" s="219">
        <v>0</v>
      </c>
      <c r="N205" s="19">
        <v>0</v>
      </c>
      <c r="O205" s="19">
        <v>0</v>
      </c>
      <c r="P205" s="219">
        <v>9685.83</v>
      </c>
      <c r="Q205" s="219">
        <v>0</v>
      </c>
      <c r="R205" s="219">
        <v>0</v>
      </c>
      <c r="S205" s="219">
        <v>0</v>
      </c>
      <c r="T205" s="19">
        <v>0</v>
      </c>
      <c r="U205" s="19">
        <v>0</v>
      </c>
      <c r="V205" s="19">
        <v>0</v>
      </c>
      <c r="W205" s="19">
        <v>0</v>
      </c>
      <c r="X205" s="19">
        <v>0</v>
      </c>
      <c r="Y205" s="217">
        <v>38.729999999999997</v>
      </c>
      <c r="Z205" s="3">
        <f t="shared" si="19"/>
        <v>9685.83</v>
      </c>
      <c r="AA205" s="3">
        <f t="shared" si="20"/>
        <v>30601.51</v>
      </c>
      <c r="AB205" s="3">
        <f t="shared" si="22"/>
        <v>1424.41</v>
      </c>
      <c r="AC205" s="3">
        <f>ROUND(MAX(0,(D205-V205)*'Shift 14'!$B$2),2)</f>
        <v>0</v>
      </c>
      <c r="AD205" s="3">
        <f t="shared" si="21"/>
        <v>38.729999999999997</v>
      </c>
      <c r="AE205" s="3">
        <f t="shared" si="23"/>
        <v>0</v>
      </c>
      <c r="AF205" s="214">
        <v>707</v>
      </c>
      <c r="AG205" s="214">
        <v>1</v>
      </c>
      <c r="AH205" s="3">
        <v>0</v>
      </c>
      <c r="AI205" s="3">
        <v>0</v>
      </c>
      <c r="AJ205" s="3">
        <v>0</v>
      </c>
      <c r="AK205" s="3">
        <v>0</v>
      </c>
      <c r="AL205" s="3">
        <v>0</v>
      </c>
      <c r="AM205" s="3">
        <v>0</v>
      </c>
      <c r="AN205" s="3">
        <v>0</v>
      </c>
      <c r="AO205" s="3">
        <v>0</v>
      </c>
      <c r="AP205" s="3">
        <v>0</v>
      </c>
      <c r="AQ205" s="3">
        <v>9685.83</v>
      </c>
      <c r="AR205" s="3">
        <v>0</v>
      </c>
      <c r="AS205" s="3">
        <v>0</v>
      </c>
      <c r="AT205" s="3">
        <v>0</v>
      </c>
      <c r="AU205" s="3">
        <f t="shared" si="24"/>
        <v>0</v>
      </c>
      <c r="AV205" s="17">
        <v>707</v>
      </c>
      <c r="AW205" s="17">
        <v>707</v>
      </c>
      <c r="AX205" s="17">
        <v>1</v>
      </c>
      <c r="AY205" s="3" t="s">
        <v>208</v>
      </c>
      <c r="AZ205" s="3">
        <v>0</v>
      </c>
      <c r="BA205" s="19">
        <v>38.729999999999997</v>
      </c>
    </row>
    <row r="206" spans="1:53" x14ac:dyDescent="0.2">
      <c r="A206" s="17">
        <v>709</v>
      </c>
      <c r="B206" s="17">
        <v>1</v>
      </c>
      <c r="C206" s="3" t="s">
        <v>209</v>
      </c>
      <c r="D206" s="3">
        <f>Levy!F207</f>
        <v>4318011.1500000004</v>
      </c>
      <c r="E206" s="3">
        <f>Levy!G207</f>
        <v>2796994.9</v>
      </c>
      <c r="F206" s="3">
        <f>Levy!H207</f>
        <v>0</v>
      </c>
      <c r="G206" s="3">
        <f>Levy!I207</f>
        <v>3772913.23</v>
      </c>
      <c r="H206" s="217">
        <f>Levy!J207</f>
        <v>1029705.21</v>
      </c>
      <c r="I206" s="19">
        <v>479233.72</v>
      </c>
      <c r="J206" s="219">
        <v>246423.38</v>
      </c>
      <c r="K206" s="219">
        <v>350559.22</v>
      </c>
      <c r="L206" s="219">
        <v>0</v>
      </c>
      <c r="M206" s="219">
        <v>0</v>
      </c>
      <c r="N206" s="19">
        <v>0</v>
      </c>
      <c r="O206" s="19">
        <v>-10558.53</v>
      </c>
      <c r="P206" s="219">
        <v>-495735.27</v>
      </c>
      <c r="Q206" s="219">
        <v>0</v>
      </c>
      <c r="R206" s="219">
        <v>-43655.83</v>
      </c>
      <c r="S206" s="219">
        <v>0</v>
      </c>
      <c r="T206" s="19">
        <v>0</v>
      </c>
      <c r="U206" s="19">
        <v>0</v>
      </c>
      <c r="V206" s="19">
        <v>0</v>
      </c>
      <c r="W206" s="19">
        <v>0</v>
      </c>
      <c r="X206" s="19">
        <v>0</v>
      </c>
      <c r="Y206" s="217">
        <v>563244.99</v>
      </c>
      <c r="Z206" s="3">
        <f t="shared" si="19"/>
        <v>526266.68999999983</v>
      </c>
      <c r="AA206" s="3">
        <f t="shared" si="20"/>
        <v>6043641.4400000004</v>
      </c>
      <c r="AB206" s="3">
        <f t="shared" si="22"/>
        <v>1029705.21</v>
      </c>
      <c r="AC206" s="3">
        <f>ROUND(MAX(0,(D206-V206)*'Shift 14'!$B$2),2)</f>
        <v>0</v>
      </c>
      <c r="AD206" s="3">
        <f t="shared" si="21"/>
        <v>563244.99</v>
      </c>
      <c r="AE206" s="3">
        <f t="shared" si="23"/>
        <v>0</v>
      </c>
      <c r="AF206" s="214">
        <v>709</v>
      </c>
      <c r="AG206" s="214">
        <v>1</v>
      </c>
      <c r="AH206" s="3">
        <v>0</v>
      </c>
      <c r="AI206" s="3">
        <v>0</v>
      </c>
      <c r="AJ206" s="3">
        <v>479233.72</v>
      </c>
      <c r="AK206" s="3">
        <v>246423.38</v>
      </c>
      <c r="AL206" s="3">
        <v>350559.22</v>
      </c>
      <c r="AM206" s="3">
        <v>0</v>
      </c>
      <c r="AN206" s="3">
        <v>0</v>
      </c>
      <c r="AO206" s="3">
        <v>0</v>
      </c>
      <c r="AP206" s="3">
        <v>-10558.53</v>
      </c>
      <c r="AQ206" s="3">
        <v>-495735.27</v>
      </c>
      <c r="AR206" s="3">
        <v>0</v>
      </c>
      <c r="AS206" s="3">
        <v>-43655.83</v>
      </c>
      <c r="AT206" s="3">
        <v>0</v>
      </c>
      <c r="AU206" s="3">
        <f t="shared" si="24"/>
        <v>0</v>
      </c>
      <c r="AV206" s="17">
        <v>709</v>
      </c>
      <c r="AW206" s="17">
        <v>709</v>
      </c>
      <c r="AX206" s="17">
        <v>1</v>
      </c>
      <c r="AY206" s="3" t="s">
        <v>209</v>
      </c>
      <c r="AZ206" s="3">
        <v>0</v>
      </c>
      <c r="BA206" s="19">
        <v>563244.99</v>
      </c>
    </row>
    <row r="207" spans="1:53" x14ac:dyDescent="0.2">
      <c r="A207" s="17">
        <v>712</v>
      </c>
      <c r="B207" s="17">
        <v>1</v>
      </c>
      <c r="C207" s="3" t="s">
        <v>1192</v>
      </c>
      <c r="D207" s="3">
        <f>Levy!F208</f>
        <v>130899.53</v>
      </c>
      <c r="E207" s="3">
        <f>Levy!G208</f>
        <v>0</v>
      </c>
      <c r="F207" s="3">
        <f>Levy!H208</f>
        <v>0</v>
      </c>
      <c r="G207" s="3">
        <f>Levy!I208</f>
        <v>0</v>
      </c>
      <c r="H207" s="217">
        <f>Levy!J208</f>
        <v>0</v>
      </c>
      <c r="I207" s="219">
        <v>0</v>
      </c>
      <c r="J207" s="219">
        <v>10000</v>
      </c>
      <c r="K207" s="219">
        <v>20249.310000000001</v>
      </c>
      <c r="L207" s="219">
        <v>37319</v>
      </c>
      <c r="M207" s="219">
        <v>0</v>
      </c>
      <c r="N207" s="19">
        <v>0</v>
      </c>
      <c r="O207" s="19">
        <v>0</v>
      </c>
      <c r="P207" s="219">
        <v>2308.63</v>
      </c>
      <c r="Q207" s="219">
        <v>0</v>
      </c>
      <c r="R207" s="219">
        <v>-2905.03</v>
      </c>
      <c r="S207" s="219">
        <v>0</v>
      </c>
      <c r="T207" s="19">
        <v>0</v>
      </c>
      <c r="U207" s="19">
        <v>0</v>
      </c>
      <c r="V207" s="19">
        <v>0</v>
      </c>
      <c r="W207" s="19">
        <v>0</v>
      </c>
      <c r="X207" s="19">
        <v>21715.31</v>
      </c>
      <c r="Y207" s="217">
        <v>26674.799999999999</v>
      </c>
      <c r="Z207" s="3">
        <f t="shared" si="19"/>
        <v>66971.91</v>
      </c>
      <c r="AA207" s="3">
        <f t="shared" si="20"/>
        <v>0</v>
      </c>
      <c r="AB207" s="3">
        <f t="shared" si="22"/>
        <v>0</v>
      </c>
      <c r="AC207" s="3">
        <f>ROUND(MAX(0,(D207-V207)*'Shift 14'!$B$2),2)</f>
        <v>0</v>
      </c>
      <c r="AD207" s="3">
        <f t="shared" si="21"/>
        <v>26674.799999999999</v>
      </c>
      <c r="AE207" s="3">
        <f t="shared" si="23"/>
        <v>0</v>
      </c>
      <c r="AF207" s="214">
        <v>712</v>
      </c>
      <c r="AG207" s="214">
        <v>1</v>
      </c>
      <c r="AH207" s="3">
        <v>0</v>
      </c>
      <c r="AI207" s="3">
        <v>0</v>
      </c>
      <c r="AJ207" s="3">
        <v>0</v>
      </c>
      <c r="AK207" s="3">
        <v>10000</v>
      </c>
      <c r="AL207" s="3">
        <v>20249.310000000001</v>
      </c>
      <c r="AM207" s="3">
        <v>37319</v>
      </c>
      <c r="AN207" s="3">
        <v>0</v>
      </c>
      <c r="AO207" s="3">
        <v>0</v>
      </c>
      <c r="AP207" s="3">
        <v>0</v>
      </c>
      <c r="AQ207" s="3">
        <v>2308.63</v>
      </c>
      <c r="AR207" s="3">
        <v>0</v>
      </c>
      <c r="AS207" s="3">
        <v>-2905.03</v>
      </c>
      <c r="AT207" s="3">
        <v>0</v>
      </c>
      <c r="AU207" s="3">
        <f t="shared" si="24"/>
        <v>0</v>
      </c>
      <c r="AV207" s="17">
        <v>712</v>
      </c>
      <c r="AW207" s="17">
        <v>712</v>
      </c>
      <c r="AX207" s="17">
        <v>1</v>
      </c>
      <c r="AY207" s="3" t="s">
        <v>210</v>
      </c>
      <c r="AZ207" s="3">
        <v>21715.31</v>
      </c>
      <c r="BA207" s="19">
        <v>26674.799999999999</v>
      </c>
    </row>
    <row r="208" spans="1:53" x14ac:dyDescent="0.2">
      <c r="A208" s="17">
        <v>716</v>
      </c>
      <c r="B208" s="17">
        <v>1</v>
      </c>
      <c r="C208" s="3" t="s">
        <v>211</v>
      </c>
      <c r="D208" s="3">
        <f>Levy!F209</f>
        <v>1360.02</v>
      </c>
      <c r="E208" s="3">
        <f>Levy!G209</f>
        <v>911678.83</v>
      </c>
      <c r="F208" s="3">
        <f>Levy!H209</f>
        <v>0</v>
      </c>
      <c r="G208" s="3">
        <f>Levy!I209</f>
        <v>355074.83</v>
      </c>
      <c r="H208" s="217">
        <f>Levy!J209</f>
        <v>115684.86</v>
      </c>
      <c r="I208" s="219">
        <v>0</v>
      </c>
      <c r="J208" s="219">
        <v>0</v>
      </c>
      <c r="K208" s="219">
        <v>27683.9</v>
      </c>
      <c r="L208" s="219">
        <v>0</v>
      </c>
      <c r="M208" s="219">
        <v>0</v>
      </c>
      <c r="N208" s="19">
        <v>0</v>
      </c>
      <c r="O208" s="19">
        <v>0</v>
      </c>
      <c r="P208" s="219">
        <v>12442.61</v>
      </c>
      <c r="Q208" s="219">
        <v>0</v>
      </c>
      <c r="R208" s="219">
        <v>-6739.56</v>
      </c>
      <c r="S208" s="219">
        <v>0</v>
      </c>
      <c r="T208" s="19">
        <v>0</v>
      </c>
      <c r="U208" s="19">
        <v>0</v>
      </c>
      <c r="V208" s="19">
        <v>0</v>
      </c>
      <c r="W208" s="19">
        <v>0</v>
      </c>
      <c r="X208" s="19">
        <v>0</v>
      </c>
      <c r="Y208" s="217">
        <v>63260.97</v>
      </c>
      <c r="Z208" s="3">
        <f t="shared" si="19"/>
        <v>33386.950000000004</v>
      </c>
      <c r="AA208" s="3">
        <f t="shared" si="20"/>
        <v>1233366.71</v>
      </c>
      <c r="AB208" s="3">
        <f t="shared" si="22"/>
        <v>115684.86</v>
      </c>
      <c r="AC208" s="3">
        <f>ROUND(MAX(0,(D208-V208)*'Shift 14'!$B$2),2)</f>
        <v>0</v>
      </c>
      <c r="AD208" s="3">
        <f t="shared" si="21"/>
        <v>63260.97</v>
      </c>
      <c r="AE208" s="3">
        <f t="shared" si="23"/>
        <v>0</v>
      </c>
      <c r="AF208" s="214">
        <v>716</v>
      </c>
      <c r="AG208" s="214">
        <v>1</v>
      </c>
      <c r="AH208" s="3">
        <v>0</v>
      </c>
      <c r="AI208" s="3">
        <v>0</v>
      </c>
      <c r="AJ208" s="3">
        <v>13054.13</v>
      </c>
      <c r="AK208" s="3">
        <v>0</v>
      </c>
      <c r="AL208" s="3">
        <v>27683.9</v>
      </c>
      <c r="AM208" s="3">
        <v>0</v>
      </c>
      <c r="AN208" s="3">
        <v>0</v>
      </c>
      <c r="AO208" s="3">
        <v>0</v>
      </c>
      <c r="AP208" s="3">
        <v>-25434.43</v>
      </c>
      <c r="AQ208" s="3">
        <v>12442.61</v>
      </c>
      <c r="AR208" s="3">
        <v>0</v>
      </c>
      <c r="AS208" s="3">
        <v>-6739.56</v>
      </c>
      <c r="AT208" s="3">
        <v>0</v>
      </c>
      <c r="AU208" s="3">
        <f t="shared" si="24"/>
        <v>0</v>
      </c>
      <c r="AV208" s="17">
        <v>716</v>
      </c>
      <c r="AW208" s="17">
        <v>716</v>
      </c>
      <c r="AX208" s="17">
        <v>1</v>
      </c>
      <c r="AY208" s="3" t="s">
        <v>211</v>
      </c>
      <c r="AZ208" s="3">
        <v>0</v>
      </c>
      <c r="BA208" s="19">
        <v>63260.97</v>
      </c>
    </row>
    <row r="209" spans="1:53" x14ac:dyDescent="0.2">
      <c r="A209" s="17">
        <v>717</v>
      </c>
      <c r="B209" s="17">
        <v>1</v>
      </c>
      <c r="C209" s="3" t="s">
        <v>212</v>
      </c>
      <c r="D209" s="3">
        <f>Levy!F210</f>
        <v>0</v>
      </c>
      <c r="E209" s="3">
        <f>Levy!G210</f>
        <v>804260.02</v>
      </c>
      <c r="F209" s="3">
        <f>Levy!H210</f>
        <v>0</v>
      </c>
      <c r="G209" s="3">
        <f>Levy!I210</f>
        <v>647760.93000000005</v>
      </c>
      <c r="H209" s="217">
        <f>Levy!J210</f>
        <v>126304.82</v>
      </c>
      <c r="I209" s="219">
        <v>0</v>
      </c>
      <c r="J209" s="219">
        <v>5000</v>
      </c>
      <c r="K209" s="219">
        <v>29573.41</v>
      </c>
      <c r="L209" s="219">
        <v>0</v>
      </c>
      <c r="M209" s="219">
        <v>0</v>
      </c>
      <c r="N209" s="19">
        <v>0</v>
      </c>
      <c r="O209" s="19">
        <v>0</v>
      </c>
      <c r="P209" s="219">
        <v>-9731.98</v>
      </c>
      <c r="Q209" s="219">
        <v>0</v>
      </c>
      <c r="R209" s="219">
        <v>-7142.86</v>
      </c>
      <c r="S209" s="219">
        <v>0</v>
      </c>
      <c r="T209" s="19">
        <v>0</v>
      </c>
      <c r="U209" s="19">
        <v>0</v>
      </c>
      <c r="V209" s="19">
        <v>0</v>
      </c>
      <c r="W209" s="19">
        <v>0</v>
      </c>
      <c r="X209" s="19">
        <v>14022.14</v>
      </c>
      <c r="Y209" s="217">
        <v>55047.71</v>
      </c>
      <c r="Z209" s="3">
        <f t="shared" si="19"/>
        <v>17698.570000000003</v>
      </c>
      <c r="AA209" s="3">
        <f t="shared" si="20"/>
        <v>1420300.24</v>
      </c>
      <c r="AB209" s="3">
        <f t="shared" si="22"/>
        <v>126304.82</v>
      </c>
      <c r="AC209" s="3">
        <f>ROUND(MAX(0,(D209-V209)*'Shift 14'!$B$2),2)</f>
        <v>0</v>
      </c>
      <c r="AD209" s="3">
        <f t="shared" si="21"/>
        <v>55047.71</v>
      </c>
      <c r="AE209" s="3">
        <f t="shared" si="23"/>
        <v>0</v>
      </c>
      <c r="AF209" s="214">
        <v>717</v>
      </c>
      <c r="AG209" s="214">
        <v>1</v>
      </c>
      <c r="AH209" s="3">
        <v>0</v>
      </c>
      <c r="AI209" s="3">
        <v>0</v>
      </c>
      <c r="AJ209" s="3">
        <v>3600</v>
      </c>
      <c r="AK209" s="3">
        <v>5000</v>
      </c>
      <c r="AL209" s="3">
        <v>29573.41</v>
      </c>
      <c r="AM209" s="3">
        <v>0</v>
      </c>
      <c r="AN209" s="3">
        <v>0</v>
      </c>
      <c r="AO209" s="3">
        <v>0</v>
      </c>
      <c r="AP209" s="3">
        <v>-137.6</v>
      </c>
      <c r="AQ209" s="3">
        <v>-9731.98</v>
      </c>
      <c r="AR209" s="3">
        <v>0</v>
      </c>
      <c r="AS209" s="3">
        <v>-7142.86</v>
      </c>
      <c r="AT209" s="3">
        <v>0</v>
      </c>
      <c r="AU209" s="3">
        <f t="shared" si="24"/>
        <v>0</v>
      </c>
      <c r="AV209" s="17">
        <v>717</v>
      </c>
      <c r="AW209" s="17">
        <v>717</v>
      </c>
      <c r="AX209" s="17">
        <v>1</v>
      </c>
      <c r="AY209" s="3" t="s">
        <v>212</v>
      </c>
      <c r="AZ209" s="3">
        <v>14022.14</v>
      </c>
      <c r="BA209" s="19">
        <v>55047.71</v>
      </c>
    </row>
    <row r="210" spans="1:53" x14ac:dyDescent="0.2">
      <c r="A210" s="17">
        <v>719</v>
      </c>
      <c r="B210" s="17">
        <v>1</v>
      </c>
      <c r="C210" s="3" t="s">
        <v>1193</v>
      </c>
      <c r="D210" s="3">
        <f>Levy!F211</f>
        <v>4759952</v>
      </c>
      <c r="E210" s="3">
        <f>Levy!G211</f>
        <v>4283663</v>
      </c>
      <c r="F210" s="3">
        <f>Levy!H211</f>
        <v>0</v>
      </c>
      <c r="G210" s="3">
        <f>Levy!I211</f>
        <v>4044866</v>
      </c>
      <c r="H210" s="217">
        <f>Levy!J211</f>
        <v>597882</v>
      </c>
      <c r="I210" s="219">
        <v>0</v>
      </c>
      <c r="J210" s="219">
        <v>40000</v>
      </c>
      <c r="K210" s="219">
        <v>117710.5</v>
      </c>
      <c r="L210" s="219">
        <v>0</v>
      </c>
      <c r="M210" s="219">
        <v>0</v>
      </c>
      <c r="N210" s="19">
        <v>0</v>
      </c>
      <c r="O210" s="19">
        <v>0</v>
      </c>
      <c r="P210" s="219">
        <v>96315.54</v>
      </c>
      <c r="Q210" s="219">
        <v>0</v>
      </c>
      <c r="R210" s="219">
        <v>-22656.23</v>
      </c>
      <c r="S210" s="219">
        <v>0</v>
      </c>
      <c r="T210" s="19">
        <v>0</v>
      </c>
      <c r="U210" s="19">
        <v>0</v>
      </c>
      <c r="V210" s="19">
        <v>0</v>
      </c>
      <c r="W210" s="19">
        <v>0</v>
      </c>
      <c r="X210" s="19">
        <v>0</v>
      </c>
      <c r="Y210" s="217">
        <v>893301.55</v>
      </c>
      <c r="Z210" s="3">
        <f t="shared" si="19"/>
        <v>231369.80999999997</v>
      </c>
      <c r="AA210" s="3">
        <f t="shared" si="20"/>
        <v>8097159.1900000004</v>
      </c>
      <c r="AB210" s="3">
        <f t="shared" si="22"/>
        <v>597882</v>
      </c>
      <c r="AC210" s="3">
        <f>ROUND(MAX(0,(D210-V210)*'Shift 14'!$B$2),2)</f>
        <v>0</v>
      </c>
      <c r="AD210" s="3">
        <f t="shared" si="21"/>
        <v>893301.55</v>
      </c>
      <c r="AE210" s="3">
        <f t="shared" si="23"/>
        <v>0</v>
      </c>
      <c r="AF210" s="214">
        <v>719</v>
      </c>
      <c r="AG210" s="214">
        <v>1</v>
      </c>
      <c r="AH210" s="3">
        <v>0</v>
      </c>
      <c r="AI210" s="3">
        <v>0</v>
      </c>
      <c r="AJ210" s="3">
        <v>6018</v>
      </c>
      <c r="AK210" s="3">
        <v>40000</v>
      </c>
      <c r="AL210" s="3">
        <v>117710.5</v>
      </c>
      <c r="AM210" s="3">
        <v>0</v>
      </c>
      <c r="AN210" s="3">
        <v>0</v>
      </c>
      <c r="AO210" s="3">
        <v>0</v>
      </c>
      <c r="AP210" s="3">
        <v>0</v>
      </c>
      <c r="AQ210" s="3">
        <v>96315.54</v>
      </c>
      <c r="AR210" s="3">
        <v>0</v>
      </c>
      <c r="AS210" s="3">
        <v>-22656.23</v>
      </c>
      <c r="AT210" s="3">
        <v>0</v>
      </c>
      <c r="AU210" s="3">
        <f t="shared" si="24"/>
        <v>0</v>
      </c>
      <c r="AV210" s="17">
        <v>719</v>
      </c>
      <c r="AW210" s="17">
        <v>719</v>
      </c>
      <c r="AX210" s="17">
        <v>1</v>
      </c>
      <c r="AY210" s="3" t="s">
        <v>1226</v>
      </c>
      <c r="AZ210" s="3">
        <v>0</v>
      </c>
      <c r="BA210" s="19">
        <v>893301.55</v>
      </c>
    </row>
    <row r="211" spans="1:53" x14ac:dyDescent="0.2">
      <c r="A211" s="17">
        <v>720</v>
      </c>
      <c r="B211" s="17">
        <v>1</v>
      </c>
      <c r="C211" s="3" t="s">
        <v>213</v>
      </c>
      <c r="D211" s="3">
        <f>Levy!F212</f>
        <v>0</v>
      </c>
      <c r="E211" s="3">
        <f>Levy!G212</f>
        <v>5565310</v>
      </c>
      <c r="F211" s="3">
        <f>Levy!H212</f>
        <v>0</v>
      </c>
      <c r="G211" s="3">
        <f>Levy!I212</f>
        <v>3429210</v>
      </c>
      <c r="H211" s="217">
        <f>Levy!J212</f>
        <v>526412</v>
      </c>
      <c r="I211" s="219">
        <v>0</v>
      </c>
      <c r="J211" s="219">
        <v>35000</v>
      </c>
      <c r="K211" s="219">
        <v>115619.19</v>
      </c>
      <c r="L211" s="219">
        <v>0</v>
      </c>
      <c r="M211" s="219">
        <v>0</v>
      </c>
      <c r="N211" s="19">
        <v>0</v>
      </c>
      <c r="O211" s="19">
        <v>0</v>
      </c>
      <c r="P211" s="219">
        <v>7380.14</v>
      </c>
      <c r="Q211" s="219">
        <v>0</v>
      </c>
      <c r="R211" s="219">
        <v>-29372.42</v>
      </c>
      <c r="S211" s="219">
        <v>0</v>
      </c>
      <c r="T211" s="19">
        <v>0</v>
      </c>
      <c r="U211" s="19">
        <v>0</v>
      </c>
      <c r="V211" s="19">
        <v>0</v>
      </c>
      <c r="W211" s="19">
        <v>0</v>
      </c>
      <c r="X211" s="19">
        <v>5134.3100000000004</v>
      </c>
      <c r="Y211" s="217">
        <v>747920.6</v>
      </c>
      <c r="Z211" s="3">
        <f t="shared" si="19"/>
        <v>128626.91000000002</v>
      </c>
      <c r="AA211" s="3">
        <f t="shared" si="20"/>
        <v>8860758.7799999993</v>
      </c>
      <c r="AB211" s="3">
        <f t="shared" si="22"/>
        <v>526412</v>
      </c>
      <c r="AC211" s="3">
        <f>ROUND(MAX(0,(D211-V211)*'Shift 14'!$B$2),2)</f>
        <v>0</v>
      </c>
      <c r="AD211" s="3">
        <f t="shared" si="21"/>
        <v>747920.6</v>
      </c>
      <c r="AE211" s="3">
        <f t="shared" si="23"/>
        <v>0</v>
      </c>
      <c r="AF211" s="214">
        <v>720</v>
      </c>
      <c r="AG211" s="214">
        <v>1</v>
      </c>
      <c r="AH211" s="3">
        <v>0</v>
      </c>
      <c r="AI211" s="3">
        <v>0</v>
      </c>
      <c r="AJ211" s="3">
        <v>13540.5</v>
      </c>
      <c r="AK211" s="3">
        <v>35000</v>
      </c>
      <c r="AL211" s="3">
        <v>115619.19</v>
      </c>
      <c r="AM211" s="3">
        <v>0</v>
      </c>
      <c r="AN211" s="3">
        <v>0</v>
      </c>
      <c r="AO211" s="3">
        <v>0</v>
      </c>
      <c r="AP211" s="3">
        <v>0</v>
      </c>
      <c r="AQ211" s="3">
        <v>7380.14</v>
      </c>
      <c r="AR211" s="3">
        <v>0</v>
      </c>
      <c r="AS211" s="3">
        <v>-29372.42</v>
      </c>
      <c r="AT211" s="3">
        <v>0</v>
      </c>
      <c r="AU211" s="3">
        <f t="shared" si="24"/>
        <v>0</v>
      </c>
      <c r="AV211" s="17">
        <v>720</v>
      </c>
      <c r="AW211" s="17">
        <v>720</v>
      </c>
      <c r="AX211" s="17">
        <v>1</v>
      </c>
      <c r="AY211" s="3" t="s">
        <v>213</v>
      </c>
      <c r="AZ211" s="3">
        <v>5134.3100000000004</v>
      </c>
      <c r="BA211" s="19">
        <v>747920.6</v>
      </c>
    </row>
    <row r="212" spans="1:53" x14ac:dyDescent="0.2">
      <c r="A212" s="17">
        <v>721</v>
      </c>
      <c r="B212" s="17">
        <v>1</v>
      </c>
      <c r="C212" s="3" t="s">
        <v>214</v>
      </c>
      <c r="D212" s="3">
        <f>Levy!F213</f>
        <v>399511</v>
      </c>
      <c r="E212" s="3">
        <f>Levy!G213</f>
        <v>2476384</v>
      </c>
      <c r="F212" s="3">
        <f>Levy!H213</f>
        <v>0</v>
      </c>
      <c r="G212" s="3">
        <f>Levy!I213</f>
        <v>924223</v>
      </c>
      <c r="H212" s="217">
        <f>Levy!J213</f>
        <v>237882</v>
      </c>
      <c r="I212" s="219">
        <v>0</v>
      </c>
      <c r="J212" s="219">
        <v>15000</v>
      </c>
      <c r="K212" s="219">
        <v>51708.24</v>
      </c>
      <c r="L212" s="219">
        <v>0</v>
      </c>
      <c r="M212" s="219">
        <v>0</v>
      </c>
      <c r="N212" s="19">
        <v>0</v>
      </c>
      <c r="O212" s="19">
        <v>0</v>
      </c>
      <c r="P212" s="219">
        <v>-6335.35</v>
      </c>
      <c r="Q212" s="219">
        <v>0</v>
      </c>
      <c r="R212" s="219">
        <v>-21011.279999999999</v>
      </c>
      <c r="S212" s="219">
        <v>0</v>
      </c>
      <c r="T212" s="19">
        <v>0</v>
      </c>
      <c r="U212" s="19">
        <v>0</v>
      </c>
      <c r="V212" s="19">
        <v>0</v>
      </c>
      <c r="W212" s="19">
        <v>0</v>
      </c>
      <c r="X212" s="19">
        <v>0</v>
      </c>
      <c r="Y212" s="217">
        <v>161681.19</v>
      </c>
      <c r="Z212" s="3">
        <f t="shared" si="19"/>
        <v>39361.609999999993</v>
      </c>
      <c r="AA212" s="3">
        <f t="shared" si="20"/>
        <v>3361245.39</v>
      </c>
      <c r="AB212" s="3">
        <f t="shared" si="22"/>
        <v>237882</v>
      </c>
      <c r="AC212" s="3">
        <f>ROUND(MAX(0,(D212-V212)*'Shift 14'!$B$2),2)</f>
        <v>0</v>
      </c>
      <c r="AD212" s="3">
        <f t="shared" si="21"/>
        <v>161681.19</v>
      </c>
      <c r="AE212" s="3">
        <f t="shared" si="23"/>
        <v>0</v>
      </c>
      <c r="AF212" s="214">
        <v>721</v>
      </c>
      <c r="AG212" s="214">
        <v>1</v>
      </c>
      <c r="AH212" s="3">
        <v>0</v>
      </c>
      <c r="AI212" s="3">
        <v>0</v>
      </c>
      <c r="AJ212" s="3">
        <v>0</v>
      </c>
      <c r="AK212" s="3">
        <v>15000</v>
      </c>
      <c r="AL212" s="3">
        <v>51708.24</v>
      </c>
      <c r="AM212" s="3">
        <v>0</v>
      </c>
      <c r="AN212" s="3">
        <v>0</v>
      </c>
      <c r="AO212" s="3">
        <v>0</v>
      </c>
      <c r="AP212" s="3">
        <v>0</v>
      </c>
      <c r="AQ212" s="3">
        <v>-6335.35</v>
      </c>
      <c r="AR212" s="3">
        <v>0</v>
      </c>
      <c r="AS212" s="3">
        <v>-21011.279999999999</v>
      </c>
      <c r="AT212" s="3">
        <v>0</v>
      </c>
      <c r="AU212" s="3">
        <f t="shared" si="24"/>
        <v>0</v>
      </c>
      <c r="AV212" s="17">
        <v>721</v>
      </c>
      <c r="AW212" s="17">
        <v>721</v>
      </c>
      <c r="AX212" s="17">
        <v>1</v>
      </c>
      <c r="AY212" s="3" t="s">
        <v>214</v>
      </c>
      <c r="AZ212" s="3">
        <v>0</v>
      </c>
      <c r="BA212" s="19">
        <v>161681.19</v>
      </c>
    </row>
    <row r="213" spans="1:53" x14ac:dyDescent="0.2">
      <c r="A213" s="17">
        <v>726</v>
      </c>
      <c r="B213" s="17">
        <v>1</v>
      </c>
      <c r="C213" s="3" t="s">
        <v>215</v>
      </c>
      <c r="D213" s="3">
        <f>Levy!F214</f>
        <v>1150316.03</v>
      </c>
      <c r="E213" s="3">
        <f>Levy!G214</f>
        <v>976868.4</v>
      </c>
      <c r="F213" s="3">
        <f>Levy!H214</f>
        <v>409231</v>
      </c>
      <c r="G213" s="3">
        <f>Levy!I214</f>
        <v>960465.13</v>
      </c>
      <c r="H213" s="217">
        <f>Levy!J214</f>
        <v>208739.20000000001</v>
      </c>
      <c r="I213" s="219">
        <v>0</v>
      </c>
      <c r="J213" s="219">
        <v>25000</v>
      </c>
      <c r="K213" s="219">
        <v>34274.870000000003</v>
      </c>
      <c r="L213" s="219">
        <v>0</v>
      </c>
      <c r="M213" s="219">
        <v>0</v>
      </c>
      <c r="N213" s="19">
        <v>0</v>
      </c>
      <c r="O213" s="19">
        <v>0</v>
      </c>
      <c r="P213" s="219">
        <v>4682.2</v>
      </c>
      <c r="Q213" s="219">
        <v>0</v>
      </c>
      <c r="R213" s="219">
        <v>-4803.83</v>
      </c>
      <c r="S213" s="219">
        <v>0</v>
      </c>
      <c r="T213" s="19">
        <v>0</v>
      </c>
      <c r="U213" s="19">
        <v>0</v>
      </c>
      <c r="V213" s="19">
        <v>0</v>
      </c>
      <c r="W213" s="19">
        <v>0</v>
      </c>
      <c r="X213" s="19">
        <v>0</v>
      </c>
      <c r="Y213" s="217">
        <v>783519.3</v>
      </c>
      <c r="Z213" s="3">
        <f t="shared" si="19"/>
        <v>59153.24</v>
      </c>
      <c r="AA213" s="3">
        <f t="shared" si="20"/>
        <v>2287411.29</v>
      </c>
      <c r="AB213" s="3">
        <f t="shared" si="22"/>
        <v>208739.20000000001</v>
      </c>
      <c r="AC213" s="3">
        <f>ROUND(MAX(0,(D213-V213)*'Shift 14'!$B$2),2)</f>
        <v>0</v>
      </c>
      <c r="AD213" s="3">
        <f t="shared" si="21"/>
        <v>783519.3</v>
      </c>
      <c r="AE213" s="3">
        <f t="shared" si="23"/>
        <v>0</v>
      </c>
      <c r="AF213" s="214">
        <v>726</v>
      </c>
      <c r="AG213" s="214">
        <v>1</v>
      </c>
      <c r="AH213" s="3">
        <v>0</v>
      </c>
      <c r="AI213" s="3">
        <v>0</v>
      </c>
      <c r="AJ213" s="3">
        <v>59875.43</v>
      </c>
      <c r="AK213" s="3">
        <v>25000</v>
      </c>
      <c r="AL213" s="3">
        <v>34274.870000000003</v>
      </c>
      <c r="AM213" s="3">
        <v>0</v>
      </c>
      <c r="AN213" s="3">
        <v>0</v>
      </c>
      <c r="AO213" s="3">
        <v>0</v>
      </c>
      <c r="AP213" s="3">
        <v>-2231.2600000000002</v>
      </c>
      <c r="AQ213" s="3">
        <v>4682.2</v>
      </c>
      <c r="AR213" s="3">
        <v>0</v>
      </c>
      <c r="AS213" s="3">
        <v>-4803.83</v>
      </c>
      <c r="AT213" s="3">
        <v>0</v>
      </c>
      <c r="AU213" s="3">
        <f t="shared" si="24"/>
        <v>0</v>
      </c>
      <c r="AV213" s="17">
        <v>726</v>
      </c>
      <c r="AW213" s="17">
        <v>726</v>
      </c>
      <c r="AX213" s="17">
        <v>1</v>
      </c>
      <c r="AY213" s="3" t="s">
        <v>215</v>
      </c>
      <c r="AZ213" s="3">
        <v>0</v>
      </c>
      <c r="BA213" s="19">
        <v>783519.3</v>
      </c>
    </row>
    <row r="214" spans="1:53" x14ac:dyDescent="0.2">
      <c r="A214" s="17">
        <v>727</v>
      </c>
      <c r="B214" s="17">
        <v>1</v>
      </c>
      <c r="C214" s="3" t="s">
        <v>216</v>
      </c>
      <c r="D214" s="3">
        <f>Levy!F215</f>
        <v>462106.6</v>
      </c>
      <c r="E214" s="3">
        <f>Levy!G215</f>
        <v>685505.37</v>
      </c>
      <c r="F214" s="3">
        <f>Levy!H215</f>
        <v>0</v>
      </c>
      <c r="G214" s="3">
        <f>Levy!I215</f>
        <v>943118.95</v>
      </c>
      <c r="H214" s="217">
        <f>Levy!J215</f>
        <v>267401.75</v>
      </c>
      <c r="I214" s="219">
        <v>0</v>
      </c>
      <c r="J214" s="219">
        <v>50000</v>
      </c>
      <c r="K214" s="219">
        <v>23231.17</v>
      </c>
      <c r="L214" s="219">
        <v>0</v>
      </c>
      <c r="M214" s="219">
        <v>0</v>
      </c>
      <c r="N214" s="19">
        <v>0</v>
      </c>
      <c r="O214" s="19">
        <v>0</v>
      </c>
      <c r="P214" s="219">
        <v>-16578.12</v>
      </c>
      <c r="Q214" s="219">
        <v>0</v>
      </c>
      <c r="R214" s="219">
        <v>-5462.08</v>
      </c>
      <c r="S214" s="219">
        <v>0</v>
      </c>
      <c r="T214" s="19">
        <v>0</v>
      </c>
      <c r="U214" s="19">
        <v>0</v>
      </c>
      <c r="V214" s="19">
        <v>0</v>
      </c>
      <c r="W214" s="19">
        <v>0</v>
      </c>
      <c r="X214" s="19">
        <v>0</v>
      </c>
      <c r="Y214" s="217">
        <v>115044.4</v>
      </c>
      <c r="Z214" s="3">
        <f t="shared" si="19"/>
        <v>51190.97</v>
      </c>
      <c r="AA214" s="3">
        <f t="shared" si="20"/>
        <v>1577433.35</v>
      </c>
      <c r="AB214" s="3">
        <f t="shared" si="22"/>
        <v>267401.75</v>
      </c>
      <c r="AC214" s="3">
        <f>ROUND(MAX(0,(D214-V214)*'Shift 14'!$B$2),2)</f>
        <v>0</v>
      </c>
      <c r="AD214" s="3">
        <f t="shared" si="21"/>
        <v>115044.4</v>
      </c>
      <c r="AE214" s="3">
        <f t="shared" si="23"/>
        <v>0</v>
      </c>
      <c r="AF214" s="214">
        <v>727</v>
      </c>
      <c r="AG214" s="214">
        <v>1</v>
      </c>
      <c r="AH214" s="3">
        <v>0</v>
      </c>
      <c r="AI214" s="3">
        <v>0</v>
      </c>
      <c r="AJ214" s="3">
        <v>0</v>
      </c>
      <c r="AK214" s="3">
        <v>50000</v>
      </c>
      <c r="AL214" s="3">
        <v>23231.17</v>
      </c>
      <c r="AM214" s="3">
        <v>0</v>
      </c>
      <c r="AN214" s="3">
        <v>0</v>
      </c>
      <c r="AO214" s="3">
        <v>0</v>
      </c>
      <c r="AP214" s="3">
        <v>0</v>
      </c>
      <c r="AQ214" s="3">
        <v>-16578.12</v>
      </c>
      <c r="AR214" s="3">
        <v>0</v>
      </c>
      <c r="AS214" s="3">
        <v>-5462.08</v>
      </c>
      <c r="AT214" s="3">
        <v>0</v>
      </c>
      <c r="AU214" s="3">
        <f t="shared" si="24"/>
        <v>0</v>
      </c>
      <c r="AV214" s="17">
        <v>727</v>
      </c>
      <c r="AW214" s="17">
        <v>727</v>
      </c>
      <c r="AX214" s="17">
        <v>1</v>
      </c>
      <c r="AY214" s="3" t="s">
        <v>216</v>
      </c>
      <c r="AZ214" s="3">
        <v>0</v>
      </c>
      <c r="BA214" s="19">
        <v>115044.4</v>
      </c>
    </row>
    <row r="215" spans="1:53" x14ac:dyDescent="0.2">
      <c r="A215" s="17">
        <v>728</v>
      </c>
      <c r="B215" s="17">
        <v>1</v>
      </c>
      <c r="C215" s="3" t="s">
        <v>217</v>
      </c>
      <c r="D215" s="3">
        <f>Levy!F216</f>
        <v>2152118.61</v>
      </c>
      <c r="E215" s="3">
        <f>Levy!G216</f>
        <v>5620704.46</v>
      </c>
      <c r="F215" s="3">
        <f>Levy!H216</f>
        <v>0</v>
      </c>
      <c r="G215" s="3">
        <f>Levy!I216</f>
        <v>10585656.380000001</v>
      </c>
      <c r="H215" s="217">
        <f>Levy!J216</f>
        <v>889609.65</v>
      </c>
      <c r="I215" s="219">
        <v>0</v>
      </c>
      <c r="J215" s="219">
        <v>100000</v>
      </c>
      <c r="K215" s="219">
        <v>116447.44</v>
      </c>
      <c r="L215" s="219">
        <v>0</v>
      </c>
      <c r="M215" s="219">
        <v>0</v>
      </c>
      <c r="N215" s="19">
        <v>0</v>
      </c>
      <c r="O215" s="19">
        <v>0</v>
      </c>
      <c r="P215" s="219">
        <v>-11605.04</v>
      </c>
      <c r="Q215" s="219">
        <v>0</v>
      </c>
      <c r="R215" s="219">
        <v>-24940.67</v>
      </c>
      <c r="S215" s="219">
        <v>0</v>
      </c>
      <c r="T215" s="19">
        <v>0</v>
      </c>
      <c r="U215" s="19">
        <v>0</v>
      </c>
      <c r="V215" s="19">
        <v>0</v>
      </c>
      <c r="W215" s="19">
        <v>0</v>
      </c>
      <c r="X215" s="19">
        <v>118407.02</v>
      </c>
      <c r="Y215" s="217">
        <v>1478546.91</v>
      </c>
      <c r="Z215" s="3">
        <f t="shared" si="19"/>
        <v>179901.72999999998</v>
      </c>
      <c r="AA215" s="3">
        <f t="shared" si="20"/>
        <v>15908052.09</v>
      </c>
      <c r="AB215" s="3">
        <f t="shared" si="22"/>
        <v>889609.65</v>
      </c>
      <c r="AC215" s="3">
        <f>ROUND(MAX(0,(D215-V215)*'Shift 14'!$B$2),2)</f>
        <v>0</v>
      </c>
      <c r="AD215" s="3">
        <f t="shared" si="21"/>
        <v>1478546.91</v>
      </c>
      <c r="AE215" s="3">
        <f t="shared" si="23"/>
        <v>0</v>
      </c>
      <c r="AF215" s="214">
        <v>728</v>
      </c>
      <c r="AG215" s="214">
        <v>1</v>
      </c>
      <c r="AH215" s="3">
        <v>0</v>
      </c>
      <c r="AI215" s="3">
        <v>0</v>
      </c>
      <c r="AJ215" s="3">
        <v>347186.84</v>
      </c>
      <c r="AK215" s="3">
        <v>100000</v>
      </c>
      <c r="AL215" s="3">
        <v>116447.44</v>
      </c>
      <c r="AM215" s="3">
        <v>0</v>
      </c>
      <c r="AN215" s="3">
        <v>0</v>
      </c>
      <c r="AO215" s="3">
        <v>0</v>
      </c>
      <c r="AP215" s="3">
        <v>-5144.0200000000004</v>
      </c>
      <c r="AQ215" s="3">
        <v>-11605.04</v>
      </c>
      <c r="AR215" s="3">
        <v>0</v>
      </c>
      <c r="AS215" s="3">
        <v>-24940.67</v>
      </c>
      <c r="AT215" s="3">
        <v>0</v>
      </c>
      <c r="AU215" s="3">
        <f t="shared" si="24"/>
        <v>0</v>
      </c>
      <c r="AV215" s="17">
        <v>728</v>
      </c>
      <c r="AW215" s="17">
        <v>728</v>
      </c>
      <c r="AX215" s="17">
        <v>1</v>
      </c>
      <c r="AY215" s="3" t="s">
        <v>217</v>
      </c>
      <c r="AZ215" s="3">
        <v>118407.02</v>
      </c>
      <c r="BA215" s="19">
        <v>1478546.91</v>
      </c>
    </row>
    <row r="216" spans="1:53" x14ac:dyDescent="0.2">
      <c r="A216" s="17">
        <v>738</v>
      </c>
      <c r="B216" s="17">
        <v>1</v>
      </c>
      <c r="C216" s="3" t="s">
        <v>218</v>
      </c>
      <c r="D216" s="3">
        <f>Levy!F217</f>
        <v>234993</v>
      </c>
      <c r="E216" s="3">
        <f>Levy!G217</f>
        <v>72196</v>
      </c>
      <c r="F216" s="3">
        <f>Levy!H217</f>
        <v>0</v>
      </c>
      <c r="G216" s="3">
        <f>Levy!I217</f>
        <v>169857</v>
      </c>
      <c r="H216" s="217">
        <f>Levy!J217</f>
        <v>49482</v>
      </c>
      <c r="I216" s="219">
        <v>0</v>
      </c>
      <c r="J216" s="219">
        <v>5000</v>
      </c>
      <c r="K216" s="219">
        <v>13229.12</v>
      </c>
      <c r="L216" s="219">
        <v>0</v>
      </c>
      <c r="M216" s="219">
        <v>0</v>
      </c>
      <c r="N216" s="19">
        <v>0</v>
      </c>
      <c r="O216" s="19">
        <v>0</v>
      </c>
      <c r="P216" s="219">
        <v>8492.25</v>
      </c>
      <c r="Q216" s="219">
        <v>0</v>
      </c>
      <c r="R216" s="219">
        <v>-865.65</v>
      </c>
      <c r="S216" s="219">
        <v>0</v>
      </c>
      <c r="T216" s="19">
        <v>0</v>
      </c>
      <c r="U216" s="19">
        <v>0</v>
      </c>
      <c r="V216" s="19">
        <v>0</v>
      </c>
      <c r="W216" s="19">
        <v>0</v>
      </c>
      <c r="X216" s="19">
        <v>0</v>
      </c>
      <c r="Y216" s="217">
        <v>34772.33</v>
      </c>
      <c r="Z216" s="3">
        <f t="shared" si="19"/>
        <v>25855.72</v>
      </c>
      <c r="AA216" s="3">
        <f t="shared" si="20"/>
        <v>216197.28</v>
      </c>
      <c r="AB216" s="3">
        <f t="shared" si="22"/>
        <v>49482</v>
      </c>
      <c r="AC216" s="3">
        <f>ROUND(MAX(0,(D216-V216)*'Shift 14'!$B$2),2)</f>
        <v>0</v>
      </c>
      <c r="AD216" s="3">
        <f t="shared" si="21"/>
        <v>34772.33</v>
      </c>
      <c r="AE216" s="3">
        <f t="shared" si="23"/>
        <v>0</v>
      </c>
      <c r="AF216" s="214">
        <v>738</v>
      </c>
      <c r="AG216" s="214">
        <v>1</v>
      </c>
      <c r="AH216" s="3">
        <v>0</v>
      </c>
      <c r="AI216" s="3">
        <v>0</v>
      </c>
      <c r="AJ216" s="3">
        <v>21966.57</v>
      </c>
      <c r="AK216" s="3">
        <v>5000</v>
      </c>
      <c r="AL216" s="3">
        <v>13229.12</v>
      </c>
      <c r="AM216" s="3">
        <v>0</v>
      </c>
      <c r="AN216" s="3">
        <v>0</v>
      </c>
      <c r="AO216" s="3">
        <v>0</v>
      </c>
      <c r="AP216" s="3">
        <v>0</v>
      </c>
      <c r="AQ216" s="3">
        <v>8492.25</v>
      </c>
      <c r="AR216" s="3">
        <v>0</v>
      </c>
      <c r="AS216" s="3">
        <v>-865.65</v>
      </c>
      <c r="AT216" s="3">
        <v>0</v>
      </c>
      <c r="AU216" s="3">
        <f t="shared" si="24"/>
        <v>0</v>
      </c>
      <c r="AV216" s="17">
        <v>738</v>
      </c>
      <c r="AW216" s="17">
        <v>738</v>
      </c>
      <c r="AX216" s="17">
        <v>1</v>
      </c>
      <c r="AY216" s="3" t="s">
        <v>218</v>
      </c>
      <c r="AZ216" s="3">
        <v>0</v>
      </c>
      <c r="BA216" s="19">
        <v>34772.33</v>
      </c>
    </row>
    <row r="217" spans="1:53" x14ac:dyDescent="0.2">
      <c r="A217" s="17">
        <v>739</v>
      </c>
      <c r="B217" s="17">
        <v>1</v>
      </c>
      <c r="C217" s="3" t="s">
        <v>219</v>
      </c>
      <c r="D217" s="3">
        <f>Levy!F218</f>
        <v>558022</v>
      </c>
      <c r="E217" s="3">
        <f>Levy!G218</f>
        <v>61547</v>
      </c>
      <c r="F217" s="3">
        <f>Levy!H218</f>
        <v>0</v>
      </c>
      <c r="G217" s="3">
        <f>Levy!I218</f>
        <v>279600</v>
      </c>
      <c r="H217" s="217">
        <f>Levy!J218</f>
        <v>68377</v>
      </c>
      <c r="I217" s="219">
        <v>0</v>
      </c>
      <c r="J217" s="219">
        <v>10000</v>
      </c>
      <c r="K217" s="219">
        <v>18361.73</v>
      </c>
      <c r="L217" s="219">
        <v>0</v>
      </c>
      <c r="M217" s="219">
        <v>0</v>
      </c>
      <c r="N217" s="19">
        <v>0</v>
      </c>
      <c r="O217" s="19">
        <v>0</v>
      </c>
      <c r="P217" s="219">
        <v>-1835</v>
      </c>
      <c r="Q217" s="219">
        <v>0</v>
      </c>
      <c r="R217" s="219">
        <v>-2313.8000000000002</v>
      </c>
      <c r="S217" s="219">
        <v>0</v>
      </c>
      <c r="T217" s="19">
        <v>0</v>
      </c>
      <c r="U217" s="19">
        <v>0</v>
      </c>
      <c r="V217" s="19">
        <v>0</v>
      </c>
      <c r="W217" s="19">
        <v>0</v>
      </c>
      <c r="X217" s="19">
        <v>0</v>
      </c>
      <c r="Y217" s="217">
        <v>43638.03</v>
      </c>
      <c r="Z217" s="3">
        <f t="shared" si="19"/>
        <v>24212.93</v>
      </c>
      <c r="AA217" s="3">
        <f t="shared" si="20"/>
        <v>316934.07</v>
      </c>
      <c r="AB217" s="3">
        <f t="shared" si="22"/>
        <v>68377</v>
      </c>
      <c r="AC217" s="3">
        <f>ROUND(MAX(0,(D217-V217)*'Shift 14'!$B$2),2)</f>
        <v>0</v>
      </c>
      <c r="AD217" s="3">
        <f t="shared" si="21"/>
        <v>43638.03</v>
      </c>
      <c r="AE217" s="3">
        <f t="shared" si="23"/>
        <v>0</v>
      </c>
      <c r="AF217" s="214">
        <v>739</v>
      </c>
      <c r="AG217" s="214">
        <v>1</v>
      </c>
      <c r="AH217" s="3">
        <v>0</v>
      </c>
      <c r="AI217" s="3">
        <v>0</v>
      </c>
      <c r="AJ217" s="3">
        <v>12440.6</v>
      </c>
      <c r="AK217" s="3">
        <v>10000</v>
      </c>
      <c r="AL217" s="3">
        <v>18361.73</v>
      </c>
      <c r="AM217" s="3">
        <v>0</v>
      </c>
      <c r="AN217" s="3">
        <v>0</v>
      </c>
      <c r="AO217" s="3">
        <v>0</v>
      </c>
      <c r="AP217" s="3">
        <v>-914.05</v>
      </c>
      <c r="AQ217" s="3">
        <v>-1835</v>
      </c>
      <c r="AR217" s="3">
        <v>0</v>
      </c>
      <c r="AS217" s="3">
        <v>-2313.8000000000002</v>
      </c>
      <c r="AT217" s="3">
        <v>0</v>
      </c>
      <c r="AU217" s="3">
        <f t="shared" si="24"/>
        <v>0</v>
      </c>
      <c r="AV217" s="17">
        <v>739</v>
      </c>
      <c r="AW217" s="17">
        <v>739</v>
      </c>
      <c r="AX217" s="17">
        <v>1</v>
      </c>
      <c r="AY217" s="3" t="s">
        <v>219</v>
      </c>
      <c r="AZ217" s="3">
        <v>0</v>
      </c>
      <c r="BA217" s="19">
        <v>43638.03</v>
      </c>
    </row>
    <row r="218" spans="1:53" x14ac:dyDescent="0.2">
      <c r="A218" s="17">
        <v>740</v>
      </c>
      <c r="B218" s="17">
        <v>1</v>
      </c>
      <c r="C218" s="3" t="s">
        <v>220</v>
      </c>
      <c r="D218" s="3">
        <f>Levy!F219</f>
        <v>581003</v>
      </c>
      <c r="E218" s="3">
        <f>Levy!G219</f>
        <v>104656</v>
      </c>
      <c r="F218" s="3">
        <f>Levy!H219</f>
        <v>0</v>
      </c>
      <c r="G218" s="3">
        <f>Levy!I219</f>
        <v>407634</v>
      </c>
      <c r="H218" s="217">
        <f>Levy!J219</f>
        <v>99955</v>
      </c>
      <c r="I218" s="219">
        <v>0</v>
      </c>
      <c r="J218" s="219">
        <v>675</v>
      </c>
      <c r="K218" s="219">
        <v>26628.41</v>
      </c>
      <c r="L218" s="219">
        <v>0</v>
      </c>
      <c r="M218" s="219">
        <v>0</v>
      </c>
      <c r="N218" s="19">
        <v>0</v>
      </c>
      <c r="O218" s="19">
        <v>0</v>
      </c>
      <c r="P218" s="219">
        <v>5485.24</v>
      </c>
      <c r="Q218" s="219">
        <v>0</v>
      </c>
      <c r="R218" s="219">
        <v>-6056.4</v>
      </c>
      <c r="S218" s="219">
        <v>0</v>
      </c>
      <c r="T218" s="19">
        <v>0</v>
      </c>
      <c r="U218" s="19">
        <v>0</v>
      </c>
      <c r="V218" s="19">
        <v>0</v>
      </c>
      <c r="W218" s="19">
        <v>0</v>
      </c>
      <c r="X218" s="19">
        <v>0</v>
      </c>
      <c r="Y218" s="217">
        <v>52270.81</v>
      </c>
      <c r="Z218" s="3">
        <f t="shared" si="19"/>
        <v>26732.25</v>
      </c>
      <c r="AA218" s="3">
        <f t="shared" si="20"/>
        <v>485557.75</v>
      </c>
      <c r="AB218" s="3">
        <f t="shared" si="22"/>
        <v>99955</v>
      </c>
      <c r="AC218" s="3">
        <f>ROUND(MAX(0,(D218-V218)*'Shift 14'!$B$2),2)</f>
        <v>0</v>
      </c>
      <c r="AD218" s="3">
        <f t="shared" si="21"/>
        <v>52270.81</v>
      </c>
      <c r="AE218" s="3">
        <f t="shared" si="23"/>
        <v>0</v>
      </c>
      <c r="AF218" s="214">
        <v>740</v>
      </c>
      <c r="AG218" s="214">
        <v>1</v>
      </c>
      <c r="AH218" s="3">
        <v>0</v>
      </c>
      <c r="AI218" s="3">
        <v>0</v>
      </c>
      <c r="AJ218" s="3">
        <v>42628.160000000003</v>
      </c>
      <c r="AK218" s="3">
        <v>675</v>
      </c>
      <c r="AL218" s="3">
        <v>26628.41</v>
      </c>
      <c r="AM218" s="3">
        <v>0</v>
      </c>
      <c r="AN218" s="3">
        <v>0</v>
      </c>
      <c r="AO218" s="3">
        <v>0</v>
      </c>
      <c r="AP218" s="3">
        <v>-9584.06</v>
      </c>
      <c r="AQ218" s="3">
        <v>5485.24</v>
      </c>
      <c r="AR218" s="3">
        <v>0</v>
      </c>
      <c r="AS218" s="3">
        <v>-6056.4</v>
      </c>
      <c r="AT218" s="3">
        <v>0</v>
      </c>
      <c r="AU218" s="3">
        <f t="shared" si="24"/>
        <v>0</v>
      </c>
      <c r="AV218" s="17">
        <v>740</v>
      </c>
      <c r="AW218" s="17">
        <v>740</v>
      </c>
      <c r="AX218" s="17">
        <v>1</v>
      </c>
      <c r="AY218" s="3" t="s">
        <v>220</v>
      </c>
      <c r="AZ218" s="3">
        <v>0</v>
      </c>
      <c r="BA218" s="19">
        <v>52270.81</v>
      </c>
    </row>
    <row r="219" spans="1:53" x14ac:dyDescent="0.2">
      <c r="A219" s="17">
        <v>741</v>
      </c>
      <c r="B219" s="17">
        <v>1</v>
      </c>
      <c r="C219" s="3" t="s">
        <v>221</v>
      </c>
      <c r="D219" s="3">
        <f>Levy!F220</f>
        <v>521672</v>
      </c>
      <c r="E219" s="3">
        <f>Levy!G220</f>
        <v>92243</v>
      </c>
      <c r="F219" s="3">
        <f>Levy!H220</f>
        <v>0</v>
      </c>
      <c r="G219" s="3">
        <f>Levy!I220</f>
        <v>299205</v>
      </c>
      <c r="H219" s="217">
        <f>Levy!J220</f>
        <v>76778</v>
      </c>
      <c r="I219" s="219">
        <v>0</v>
      </c>
      <c r="J219" s="219">
        <v>10000</v>
      </c>
      <c r="K219" s="219">
        <v>28435.19</v>
      </c>
      <c r="L219" s="219">
        <v>0</v>
      </c>
      <c r="M219" s="219">
        <v>0</v>
      </c>
      <c r="N219" s="19">
        <v>0</v>
      </c>
      <c r="O219" s="19">
        <v>0</v>
      </c>
      <c r="P219" s="219">
        <v>-6436.53</v>
      </c>
      <c r="Q219" s="219">
        <v>0</v>
      </c>
      <c r="R219" s="219">
        <v>-3981.88</v>
      </c>
      <c r="S219" s="219">
        <v>0</v>
      </c>
      <c r="T219" s="19">
        <v>0</v>
      </c>
      <c r="U219" s="19">
        <v>0</v>
      </c>
      <c r="V219" s="19">
        <v>0</v>
      </c>
      <c r="W219" s="19">
        <v>0</v>
      </c>
      <c r="X219" s="19">
        <v>14724.96</v>
      </c>
      <c r="Y219" s="217">
        <v>50390.3</v>
      </c>
      <c r="Z219" s="3">
        <f t="shared" si="19"/>
        <v>28016.780000000002</v>
      </c>
      <c r="AA219" s="3">
        <f t="shared" si="20"/>
        <v>348706.26</v>
      </c>
      <c r="AB219" s="3">
        <f t="shared" si="22"/>
        <v>76778</v>
      </c>
      <c r="AC219" s="3">
        <f>ROUND(MAX(0,(D219-V219)*'Shift 14'!$B$2),2)</f>
        <v>0</v>
      </c>
      <c r="AD219" s="3">
        <f t="shared" si="21"/>
        <v>50390.3</v>
      </c>
      <c r="AE219" s="3">
        <f t="shared" si="23"/>
        <v>0</v>
      </c>
      <c r="AF219" s="214">
        <v>741</v>
      </c>
      <c r="AG219" s="214">
        <v>1</v>
      </c>
      <c r="AH219" s="3">
        <v>0</v>
      </c>
      <c r="AI219" s="3">
        <v>0</v>
      </c>
      <c r="AJ219" s="3">
        <v>0</v>
      </c>
      <c r="AK219" s="3">
        <v>10000</v>
      </c>
      <c r="AL219" s="3">
        <v>28435.19</v>
      </c>
      <c r="AM219" s="3">
        <v>0</v>
      </c>
      <c r="AN219" s="3">
        <v>0</v>
      </c>
      <c r="AO219" s="3">
        <v>0</v>
      </c>
      <c r="AP219" s="3">
        <v>0</v>
      </c>
      <c r="AQ219" s="3">
        <v>-6436.53</v>
      </c>
      <c r="AR219" s="3">
        <v>0</v>
      </c>
      <c r="AS219" s="3">
        <v>-3981.88</v>
      </c>
      <c r="AT219" s="3">
        <v>0</v>
      </c>
      <c r="AU219" s="3">
        <f t="shared" si="24"/>
        <v>0</v>
      </c>
      <c r="AV219" s="17">
        <v>741</v>
      </c>
      <c r="AW219" s="17">
        <v>741</v>
      </c>
      <c r="AX219" s="17">
        <v>1</v>
      </c>
      <c r="AY219" s="3" t="s">
        <v>221</v>
      </c>
      <c r="AZ219" s="3">
        <v>14724.96</v>
      </c>
      <c r="BA219" s="19">
        <v>50390.3</v>
      </c>
    </row>
    <row r="220" spans="1:53" x14ac:dyDescent="0.2">
      <c r="A220" s="17">
        <v>742</v>
      </c>
      <c r="B220" s="17">
        <v>1</v>
      </c>
      <c r="C220" s="3" t="s">
        <v>222</v>
      </c>
      <c r="D220" s="3">
        <f>Levy!F221</f>
        <v>3246523</v>
      </c>
      <c r="E220" s="3">
        <f>Levy!G221</f>
        <v>5183662</v>
      </c>
      <c r="F220" s="3">
        <f>Levy!H221</f>
        <v>0</v>
      </c>
      <c r="G220" s="3">
        <f>Levy!I221</f>
        <v>10438703</v>
      </c>
      <c r="H220" s="217">
        <f>Levy!J221</f>
        <v>1132374</v>
      </c>
      <c r="I220" s="219">
        <v>0</v>
      </c>
      <c r="J220" s="219">
        <v>75000</v>
      </c>
      <c r="K220" s="219">
        <v>238149.21</v>
      </c>
      <c r="L220" s="219">
        <v>0</v>
      </c>
      <c r="M220" s="219">
        <v>0</v>
      </c>
      <c r="N220" s="19">
        <v>0</v>
      </c>
      <c r="O220" s="19">
        <v>0</v>
      </c>
      <c r="P220" s="219">
        <v>-106155.63</v>
      </c>
      <c r="Q220" s="219">
        <v>0</v>
      </c>
      <c r="R220" s="219">
        <v>-38457.18</v>
      </c>
      <c r="S220" s="219">
        <v>622.20000000000005</v>
      </c>
      <c r="T220" s="19">
        <v>0</v>
      </c>
      <c r="U220" s="19">
        <v>0</v>
      </c>
      <c r="V220" s="19">
        <v>0</v>
      </c>
      <c r="W220" s="19">
        <v>0</v>
      </c>
      <c r="X220" s="19">
        <v>0</v>
      </c>
      <c r="Y220" s="217">
        <v>1164341.68</v>
      </c>
      <c r="Z220" s="3">
        <f t="shared" si="19"/>
        <v>169158.59999999998</v>
      </c>
      <c r="AA220" s="3">
        <f t="shared" si="20"/>
        <v>15453206.4</v>
      </c>
      <c r="AB220" s="3">
        <f t="shared" si="22"/>
        <v>1132374</v>
      </c>
      <c r="AC220" s="3">
        <f>ROUND(MAX(0,(D220-V220)*'Shift 14'!$B$2),2)</f>
        <v>0</v>
      </c>
      <c r="AD220" s="3">
        <f t="shared" si="21"/>
        <v>1164341.68</v>
      </c>
      <c r="AE220" s="3">
        <f t="shared" si="23"/>
        <v>0</v>
      </c>
      <c r="AF220" s="214">
        <v>742</v>
      </c>
      <c r="AG220" s="214">
        <v>1</v>
      </c>
      <c r="AH220" s="3">
        <v>0</v>
      </c>
      <c r="AI220" s="3">
        <v>0</v>
      </c>
      <c r="AJ220" s="3">
        <v>400272.17</v>
      </c>
      <c r="AK220" s="3">
        <v>75000</v>
      </c>
      <c r="AL220" s="3">
        <v>238149.21</v>
      </c>
      <c r="AM220" s="3">
        <v>0</v>
      </c>
      <c r="AN220" s="3">
        <v>0</v>
      </c>
      <c r="AO220" s="3">
        <v>0</v>
      </c>
      <c r="AP220" s="3">
        <v>0</v>
      </c>
      <c r="AQ220" s="3">
        <v>-106155.63</v>
      </c>
      <c r="AR220" s="3">
        <v>0</v>
      </c>
      <c r="AS220" s="3">
        <v>-38457.18</v>
      </c>
      <c r="AT220" s="3">
        <v>622.20000000000005</v>
      </c>
      <c r="AU220" s="3">
        <f t="shared" si="24"/>
        <v>0</v>
      </c>
      <c r="AV220" s="17">
        <v>742</v>
      </c>
      <c r="AW220" s="17">
        <v>742</v>
      </c>
      <c r="AX220" s="17">
        <v>1</v>
      </c>
      <c r="AY220" s="3" t="s">
        <v>222</v>
      </c>
      <c r="AZ220" s="3">
        <v>0</v>
      </c>
      <c r="BA220" s="19">
        <v>1164341.68</v>
      </c>
    </row>
    <row r="221" spans="1:53" x14ac:dyDescent="0.2">
      <c r="A221" s="17">
        <v>743</v>
      </c>
      <c r="B221" s="17">
        <v>1</v>
      </c>
      <c r="C221" s="3" t="s">
        <v>223</v>
      </c>
      <c r="D221" s="3">
        <f>Levy!F222</f>
        <v>1069369</v>
      </c>
      <c r="E221" s="3">
        <f>Levy!G222</f>
        <v>76746</v>
      </c>
      <c r="F221" s="3">
        <f>Levy!H222</f>
        <v>0</v>
      </c>
      <c r="G221" s="3">
        <f>Levy!I222</f>
        <v>82109</v>
      </c>
      <c r="H221" s="217">
        <f>Levy!J222</f>
        <v>93626</v>
      </c>
      <c r="I221" s="219">
        <v>0</v>
      </c>
      <c r="J221" s="219">
        <v>10000</v>
      </c>
      <c r="K221" s="219">
        <v>34687.410000000003</v>
      </c>
      <c r="L221" s="219">
        <v>0</v>
      </c>
      <c r="M221" s="219">
        <v>0</v>
      </c>
      <c r="N221" s="19">
        <v>0</v>
      </c>
      <c r="O221" s="19">
        <v>0</v>
      </c>
      <c r="P221" s="219">
        <v>-3714.23</v>
      </c>
      <c r="Q221" s="219">
        <v>0</v>
      </c>
      <c r="R221" s="219">
        <v>-4734.2700000000004</v>
      </c>
      <c r="S221" s="219">
        <v>0</v>
      </c>
      <c r="T221" s="19">
        <v>0</v>
      </c>
      <c r="U221" s="19">
        <v>0</v>
      </c>
      <c r="V221" s="19">
        <v>0</v>
      </c>
      <c r="W221" s="19">
        <v>0</v>
      </c>
      <c r="X221" s="19">
        <v>0</v>
      </c>
      <c r="Y221" s="217">
        <v>35407.78</v>
      </c>
      <c r="Z221" s="3">
        <f t="shared" si="19"/>
        <v>36238.910000000003</v>
      </c>
      <c r="AA221" s="3">
        <f t="shared" si="20"/>
        <v>122616.09</v>
      </c>
      <c r="AB221" s="3">
        <f t="shared" si="22"/>
        <v>93626</v>
      </c>
      <c r="AC221" s="3">
        <f>ROUND(MAX(0,(D221-V221)*'Shift 14'!$B$2),2)</f>
        <v>0</v>
      </c>
      <c r="AD221" s="3">
        <f t="shared" si="21"/>
        <v>35407.78</v>
      </c>
      <c r="AE221" s="3">
        <f t="shared" si="23"/>
        <v>0</v>
      </c>
      <c r="AF221" s="214">
        <v>743</v>
      </c>
      <c r="AG221" s="214">
        <v>1</v>
      </c>
      <c r="AH221" s="3">
        <v>0</v>
      </c>
      <c r="AI221" s="3">
        <v>0</v>
      </c>
      <c r="AJ221" s="3">
        <v>21890.94</v>
      </c>
      <c r="AK221" s="3">
        <v>10000</v>
      </c>
      <c r="AL221" s="3">
        <v>34687.410000000003</v>
      </c>
      <c r="AM221" s="3">
        <v>0</v>
      </c>
      <c r="AN221" s="3">
        <v>0</v>
      </c>
      <c r="AO221" s="3">
        <v>0</v>
      </c>
      <c r="AP221" s="3">
        <v>-8327.61</v>
      </c>
      <c r="AQ221" s="3">
        <v>-3714.23</v>
      </c>
      <c r="AR221" s="3">
        <v>0</v>
      </c>
      <c r="AS221" s="3">
        <v>-4734.2700000000004</v>
      </c>
      <c r="AT221" s="3">
        <v>0</v>
      </c>
      <c r="AU221" s="3">
        <f t="shared" si="24"/>
        <v>0</v>
      </c>
      <c r="AV221" s="17">
        <v>743</v>
      </c>
      <c r="AW221" s="17">
        <v>743</v>
      </c>
      <c r="AX221" s="17">
        <v>1</v>
      </c>
      <c r="AY221" s="3" t="s">
        <v>223</v>
      </c>
      <c r="AZ221" s="3">
        <v>0</v>
      </c>
      <c r="BA221" s="19">
        <v>35407.78</v>
      </c>
    </row>
    <row r="222" spans="1:53" x14ac:dyDescent="0.2">
      <c r="A222" s="17">
        <v>745</v>
      </c>
      <c r="B222" s="17">
        <v>1</v>
      </c>
      <c r="C222" s="3" t="s">
        <v>224</v>
      </c>
      <c r="D222" s="3">
        <f>Levy!F223</f>
        <v>0</v>
      </c>
      <c r="E222" s="3">
        <f>Levy!G223</f>
        <v>376610</v>
      </c>
      <c r="F222" s="3">
        <f>Levy!H223</f>
        <v>0</v>
      </c>
      <c r="G222" s="3">
        <f>Levy!I223</f>
        <v>609914</v>
      </c>
      <c r="H222" s="217">
        <f>Levy!J223</f>
        <v>112337</v>
      </c>
      <c r="I222" s="219">
        <v>0</v>
      </c>
      <c r="J222" s="219">
        <v>4188.6499999999996</v>
      </c>
      <c r="K222" s="219">
        <v>24956.98</v>
      </c>
      <c r="L222" s="219">
        <v>0</v>
      </c>
      <c r="M222" s="219">
        <v>0</v>
      </c>
      <c r="N222" s="19">
        <v>0</v>
      </c>
      <c r="O222" s="19">
        <v>0</v>
      </c>
      <c r="P222" s="219">
        <v>11839.45</v>
      </c>
      <c r="Q222" s="219">
        <v>0</v>
      </c>
      <c r="R222" s="219">
        <v>-5907.72</v>
      </c>
      <c r="S222" s="219">
        <v>0</v>
      </c>
      <c r="T222" s="19">
        <v>0</v>
      </c>
      <c r="U222" s="19">
        <v>0</v>
      </c>
      <c r="V222" s="19">
        <v>0</v>
      </c>
      <c r="W222" s="19">
        <v>0</v>
      </c>
      <c r="X222" s="19">
        <v>0</v>
      </c>
      <c r="Y222" s="217">
        <v>60324.53</v>
      </c>
      <c r="Z222" s="3">
        <f t="shared" si="19"/>
        <v>35077.360000000001</v>
      </c>
      <c r="AA222" s="3">
        <f t="shared" si="20"/>
        <v>951446.64</v>
      </c>
      <c r="AB222" s="3">
        <f t="shared" si="22"/>
        <v>112337</v>
      </c>
      <c r="AC222" s="3">
        <f>ROUND(MAX(0,(D222-V222)*'Shift 14'!$B$2),2)</f>
        <v>0</v>
      </c>
      <c r="AD222" s="3">
        <f t="shared" si="21"/>
        <v>60324.53</v>
      </c>
      <c r="AE222" s="3">
        <f t="shared" si="23"/>
        <v>0</v>
      </c>
      <c r="AF222" s="214">
        <v>745</v>
      </c>
      <c r="AG222" s="214">
        <v>1</v>
      </c>
      <c r="AH222" s="3">
        <v>0</v>
      </c>
      <c r="AI222" s="3">
        <v>0</v>
      </c>
      <c r="AJ222" s="3">
        <v>0</v>
      </c>
      <c r="AK222" s="3">
        <v>4188.6499999999996</v>
      </c>
      <c r="AL222" s="3">
        <v>24956.98</v>
      </c>
      <c r="AM222" s="3">
        <v>0</v>
      </c>
      <c r="AN222" s="3">
        <v>0</v>
      </c>
      <c r="AO222" s="3">
        <v>0</v>
      </c>
      <c r="AP222" s="3">
        <v>0</v>
      </c>
      <c r="AQ222" s="3">
        <v>11839.45</v>
      </c>
      <c r="AR222" s="3">
        <v>0</v>
      </c>
      <c r="AS222" s="3">
        <v>-5907.72</v>
      </c>
      <c r="AT222" s="3">
        <v>0</v>
      </c>
      <c r="AU222" s="3">
        <f t="shared" si="24"/>
        <v>0</v>
      </c>
      <c r="AV222" s="17">
        <v>745</v>
      </c>
      <c r="AW222" s="17">
        <v>745</v>
      </c>
      <c r="AX222" s="17">
        <v>1</v>
      </c>
      <c r="AY222" s="3" t="s">
        <v>224</v>
      </c>
      <c r="AZ222" s="3">
        <v>0</v>
      </c>
      <c r="BA222" s="19">
        <v>60324.53</v>
      </c>
    </row>
    <row r="223" spans="1:53" x14ac:dyDescent="0.2">
      <c r="A223" s="17">
        <v>748</v>
      </c>
      <c r="B223" s="17">
        <v>1</v>
      </c>
      <c r="C223" s="3" t="s">
        <v>1194</v>
      </c>
      <c r="D223" s="3">
        <f>Levy!F224</f>
        <v>964854</v>
      </c>
      <c r="E223" s="3">
        <f>Levy!G224</f>
        <v>824301</v>
      </c>
      <c r="F223" s="3">
        <f>Levy!H224</f>
        <v>0</v>
      </c>
      <c r="G223" s="3">
        <f>Levy!I224</f>
        <v>841159</v>
      </c>
      <c r="H223" s="217">
        <f>Levy!J224</f>
        <v>183592</v>
      </c>
      <c r="I223" s="219">
        <v>0</v>
      </c>
      <c r="J223" s="219">
        <v>50000</v>
      </c>
      <c r="K223" s="219">
        <v>38643.589999999997</v>
      </c>
      <c r="L223" s="219">
        <v>0</v>
      </c>
      <c r="M223" s="219">
        <v>0</v>
      </c>
      <c r="N223" s="19">
        <v>0</v>
      </c>
      <c r="O223" s="19">
        <v>0</v>
      </c>
      <c r="P223" s="219">
        <v>-3703.45</v>
      </c>
      <c r="Q223" s="219">
        <v>0</v>
      </c>
      <c r="R223" s="219">
        <v>58291.199999999997</v>
      </c>
      <c r="S223" s="219">
        <v>0</v>
      </c>
      <c r="T223" s="19">
        <v>0</v>
      </c>
      <c r="U223" s="19">
        <v>0</v>
      </c>
      <c r="V223" s="19">
        <v>0</v>
      </c>
      <c r="W223" s="19">
        <v>0</v>
      </c>
      <c r="X223" s="19">
        <v>0</v>
      </c>
      <c r="Y223" s="217">
        <v>92655.9</v>
      </c>
      <c r="Z223" s="3">
        <f t="shared" si="19"/>
        <v>143231.34</v>
      </c>
      <c r="AA223" s="3">
        <f t="shared" si="20"/>
        <v>1522228.66</v>
      </c>
      <c r="AB223" s="3">
        <f t="shared" si="22"/>
        <v>183592</v>
      </c>
      <c r="AC223" s="3">
        <f>ROUND(MAX(0,(D223-V223)*'Shift 14'!$B$2),2)</f>
        <v>0</v>
      </c>
      <c r="AD223" s="3">
        <f t="shared" si="21"/>
        <v>92655.9</v>
      </c>
      <c r="AE223" s="3">
        <f t="shared" si="23"/>
        <v>0</v>
      </c>
      <c r="AF223" s="214">
        <v>748</v>
      </c>
      <c r="AG223" s="214">
        <v>1</v>
      </c>
      <c r="AH223" s="3">
        <v>0</v>
      </c>
      <c r="AI223" s="3">
        <v>0</v>
      </c>
      <c r="AJ223" s="3">
        <v>0</v>
      </c>
      <c r="AK223" s="3">
        <v>50000</v>
      </c>
      <c r="AL223" s="3">
        <v>38643.589999999997</v>
      </c>
      <c r="AM223" s="3">
        <v>0</v>
      </c>
      <c r="AN223" s="3">
        <v>0</v>
      </c>
      <c r="AO223" s="3">
        <v>0</v>
      </c>
      <c r="AP223" s="3">
        <v>0</v>
      </c>
      <c r="AQ223" s="3">
        <v>-3703.45</v>
      </c>
      <c r="AR223" s="3">
        <v>0</v>
      </c>
      <c r="AS223" s="3">
        <v>58291.199999999997</v>
      </c>
      <c r="AT223" s="3">
        <v>0</v>
      </c>
      <c r="AU223" s="3">
        <f t="shared" si="24"/>
        <v>0</v>
      </c>
      <c r="AV223" s="17">
        <v>748</v>
      </c>
      <c r="AW223" s="17">
        <v>748</v>
      </c>
      <c r="AX223" s="17">
        <v>1</v>
      </c>
      <c r="AY223" s="3" t="s">
        <v>225</v>
      </c>
      <c r="AZ223" s="3">
        <v>0</v>
      </c>
      <c r="BA223" s="19">
        <v>92655.9</v>
      </c>
    </row>
    <row r="224" spans="1:53" x14ac:dyDescent="0.2">
      <c r="A224" s="17">
        <v>750</v>
      </c>
      <c r="B224" s="17">
        <v>1</v>
      </c>
      <c r="C224" s="3" t="s">
        <v>226</v>
      </c>
      <c r="D224" s="3">
        <f>Levy!F225</f>
        <v>202817</v>
      </c>
      <c r="E224" s="3">
        <f>Levy!G225</f>
        <v>806128</v>
      </c>
      <c r="F224" s="3">
        <f>Levy!H225</f>
        <v>0</v>
      </c>
      <c r="G224" s="3">
        <f>Levy!I225</f>
        <v>851348</v>
      </c>
      <c r="H224" s="217">
        <f>Levy!J225</f>
        <v>151944</v>
      </c>
      <c r="I224" s="219">
        <v>0</v>
      </c>
      <c r="J224" s="219">
        <v>35770.11</v>
      </c>
      <c r="K224" s="219">
        <v>33887.120000000003</v>
      </c>
      <c r="L224" s="219">
        <v>0</v>
      </c>
      <c r="M224" s="219">
        <v>0</v>
      </c>
      <c r="N224" s="19">
        <v>0</v>
      </c>
      <c r="O224" s="19">
        <v>0</v>
      </c>
      <c r="P224" s="219">
        <v>-10178.66</v>
      </c>
      <c r="Q224" s="219">
        <v>0</v>
      </c>
      <c r="R224" s="219">
        <v>-6214.32</v>
      </c>
      <c r="S224" s="219">
        <v>0</v>
      </c>
      <c r="T224" s="19">
        <v>0</v>
      </c>
      <c r="U224" s="19">
        <v>0</v>
      </c>
      <c r="V224" s="19">
        <v>0</v>
      </c>
      <c r="W224" s="19">
        <v>0</v>
      </c>
      <c r="X224" s="19">
        <v>0</v>
      </c>
      <c r="Y224" s="217">
        <v>110156.45</v>
      </c>
      <c r="Z224" s="3">
        <f t="shared" si="19"/>
        <v>53264.250000000007</v>
      </c>
      <c r="AA224" s="3">
        <f t="shared" si="20"/>
        <v>1604211.75</v>
      </c>
      <c r="AB224" s="3">
        <f t="shared" si="22"/>
        <v>151944</v>
      </c>
      <c r="AC224" s="3">
        <f>ROUND(MAX(0,(D224-V224)*'Shift 14'!$B$2),2)</f>
        <v>0</v>
      </c>
      <c r="AD224" s="3">
        <f t="shared" si="21"/>
        <v>110156.45</v>
      </c>
      <c r="AE224" s="3">
        <f t="shared" si="23"/>
        <v>0</v>
      </c>
      <c r="AF224" s="214">
        <v>750</v>
      </c>
      <c r="AG224" s="214">
        <v>1</v>
      </c>
      <c r="AH224" s="3">
        <v>0</v>
      </c>
      <c r="AI224" s="3">
        <v>0</v>
      </c>
      <c r="AJ224" s="3">
        <v>25501.63</v>
      </c>
      <c r="AK224" s="3">
        <v>35770.11</v>
      </c>
      <c r="AL224" s="3">
        <v>33887.120000000003</v>
      </c>
      <c r="AM224" s="3">
        <v>0</v>
      </c>
      <c r="AN224" s="3">
        <v>0</v>
      </c>
      <c r="AO224" s="3">
        <v>0</v>
      </c>
      <c r="AP224" s="3">
        <v>0</v>
      </c>
      <c r="AQ224" s="3">
        <v>-10178.66</v>
      </c>
      <c r="AR224" s="3">
        <v>0</v>
      </c>
      <c r="AS224" s="3">
        <v>-6214.32</v>
      </c>
      <c r="AT224" s="3">
        <v>0</v>
      </c>
      <c r="AU224" s="3">
        <f t="shared" si="24"/>
        <v>0</v>
      </c>
      <c r="AV224" s="17">
        <v>750</v>
      </c>
      <c r="AW224" s="17">
        <v>750</v>
      </c>
      <c r="AX224" s="17">
        <v>1</v>
      </c>
      <c r="AY224" s="3" t="s">
        <v>226</v>
      </c>
      <c r="AZ224" s="3">
        <v>0</v>
      </c>
      <c r="BA224" s="19">
        <v>110156.45</v>
      </c>
    </row>
    <row r="225" spans="1:53" x14ac:dyDescent="0.2">
      <c r="A225" s="17">
        <v>756</v>
      </c>
      <c r="B225" s="17">
        <v>1</v>
      </c>
      <c r="C225" s="3" t="s">
        <v>227</v>
      </c>
      <c r="D225" s="3">
        <f>Levy!F226</f>
        <v>285293.15999999997</v>
      </c>
      <c r="E225" s="3">
        <f>Levy!G226</f>
        <v>41810.480000000003</v>
      </c>
      <c r="F225" s="3">
        <f>Levy!H226</f>
        <v>0</v>
      </c>
      <c r="G225" s="3">
        <f>Levy!I226</f>
        <v>618492.09</v>
      </c>
      <c r="H225" s="217">
        <f>Levy!J226</f>
        <v>48883.86</v>
      </c>
      <c r="I225" s="219">
        <v>0</v>
      </c>
      <c r="J225" s="219">
        <v>20000</v>
      </c>
      <c r="K225" s="219">
        <v>20545.52</v>
      </c>
      <c r="L225" s="219">
        <v>0</v>
      </c>
      <c r="M225" s="219">
        <v>0</v>
      </c>
      <c r="N225" s="19">
        <v>0</v>
      </c>
      <c r="O225" s="19">
        <v>0</v>
      </c>
      <c r="P225" s="219">
        <v>-5587.25</v>
      </c>
      <c r="Q225" s="219">
        <v>0</v>
      </c>
      <c r="R225" s="219">
        <v>-2551.46</v>
      </c>
      <c r="S225" s="219">
        <v>0</v>
      </c>
      <c r="T225" s="19">
        <v>0</v>
      </c>
      <c r="U225" s="19">
        <v>0</v>
      </c>
      <c r="V225" s="19">
        <v>0</v>
      </c>
      <c r="W225" s="19">
        <v>0</v>
      </c>
      <c r="X225" s="19">
        <v>0</v>
      </c>
      <c r="Y225" s="217">
        <v>49372.4</v>
      </c>
      <c r="Z225" s="3">
        <f t="shared" si="19"/>
        <v>32406.810000000005</v>
      </c>
      <c r="AA225" s="3">
        <f t="shared" si="20"/>
        <v>627895.76</v>
      </c>
      <c r="AB225" s="3">
        <f t="shared" si="22"/>
        <v>48883.86</v>
      </c>
      <c r="AC225" s="3">
        <f>ROUND(MAX(0,(D225-V225)*'Shift 14'!$B$2),2)</f>
        <v>0</v>
      </c>
      <c r="AD225" s="3">
        <f t="shared" si="21"/>
        <v>49372.4</v>
      </c>
      <c r="AE225" s="3">
        <f t="shared" si="23"/>
        <v>0</v>
      </c>
      <c r="AF225" s="214">
        <v>756</v>
      </c>
      <c r="AG225" s="214">
        <v>1</v>
      </c>
      <c r="AH225" s="3">
        <v>0</v>
      </c>
      <c r="AI225" s="3">
        <v>0</v>
      </c>
      <c r="AJ225" s="3">
        <v>0</v>
      </c>
      <c r="AK225" s="3">
        <v>20000</v>
      </c>
      <c r="AL225" s="3">
        <v>20545.52</v>
      </c>
      <c r="AM225" s="3">
        <v>0</v>
      </c>
      <c r="AN225" s="3">
        <v>0</v>
      </c>
      <c r="AO225" s="3">
        <v>0</v>
      </c>
      <c r="AP225" s="3">
        <v>0</v>
      </c>
      <c r="AQ225" s="3">
        <v>-5587.25</v>
      </c>
      <c r="AR225" s="3">
        <v>0</v>
      </c>
      <c r="AS225" s="3">
        <v>-2551.46</v>
      </c>
      <c r="AT225" s="3">
        <v>0</v>
      </c>
      <c r="AU225" s="3">
        <f t="shared" si="24"/>
        <v>0</v>
      </c>
      <c r="AV225" s="17">
        <v>756</v>
      </c>
      <c r="AW225" s="17">
        <v>756</v>
      </c>
      <c r="AX225" s="17">
        <v>1</v>
      </c>
      <c r="AY225" s="3" t="s">
        <v>227</v>
      </c>
      <c r="AZ225" s="3">
        <v>0</v>
      </c>
      <c r="BA225" s="19">
        <v>49372.4</v>
      </c>
    </row>
    <row r="226" spans="1:53" x14ac:dyDescent="0.2">
      <c r="A226" s="17">
        <v>761</v>
      </c>
      <c r="B226" s="17">
        <v>1</v>
      </c>
      <c r="C226" s="3" t="s">
        <v>228</v>
      </c>
      <c r="D226" s="3">
        <f>Levy!F227</f>
        <v>2798200</v>
      </c>
      <c r="E226" s="3">
        <f>Levy!G227</f>
        <v>1250073</v>
      </c>
      <c r="F226" s="3">
        <f>Levy!H227</f>
        <v>0</v>
      </c>
      <c r="G226" s="3">
        <f>Levy!I227</f>
        <v>1970750</v>
      </c>
      <c r="H226" s="217">
        <f>Levy!J227</f>
        <v>319061</v>
      </c>
      <c r="I226" s="219">
        <v>0</v>
      </c>
      <c r="J226" s="219">
        <v>60000</v>
      </c>
      <c r="K226" s="219">
        <v>85139.32</v>
      </c>
      <c r="L226" s="219">
        <v>0</v>
      </c>
      <c r="M226" s="219">
        <v>0</v>
      </c>
      <c r="N226" s="19">
        <v>0</v>
      </c>
      <c r="O226" s="19">
        <v>0</v>
      </c>
      <c r="P226" s="219">
        <v>21525.88</v>
      </c>
      <c r="Q226" s="219">
        <v>0</v>
      </c>
      <c r="R226" s="219">
        <v>-16881.46</v>
      </c>
      <c r="S226" s="219">
        <v>0</v>
      </c>
      <c r="T226" s="19">
        <v>0</v>
      </c>
      <c r="U226" s="19">
        <v>0</v>
      </c>
      <c r="V226" s="19">
        <v>0</v>
      </c>
      <c r="W226" s="19">
        <v>0</v>
      </c>
      <c r="X226" s="19">
        <v>0</v>
      </c>
      <c r="Y226" s="217">
        <v>339315.37</v>
      </c>
      <c r="Z226" s="3">
        <f t="shared" si="19"/>
        <v>149783.74000000002</v>
      </c>
      <c r="AA226" s="3">
        <f t="shared" si="20"/>
        <v>3071039.26</v>
      </c>
      <c r="AB226" s="3">
        <f t="shared" si="22"/>
        <v>319061</v>
      </c>
      <c r="AC226" s="3">
        <f>ROUND(MAX(0,(D226-V226)*'Shift 14'!$B$2),2)</f>
        <v>0</v>
      </c>
      <c r="AD226" s="3">
        <f t="shared" si="21"/>
        <v>339315.37</v>
      </c>
      <c r="AE226" s="3">
        <f t="shared" si="23"/>
        <v>0</v>
      </c>
      <c r="AF226" s="214">
        <v>761</v>
      </c>
      <c r="AG226" s="214">
        <v>1</v>
      </c>
      <c r="AH226" s="3">
        <v>0</v>
      </c>
      <c r="AI226" s="3">
        <v>0</v>
      </c>
      <c r="AJ226" s="3">
        <v>0</v>
      </c>
      <c r="AK226" s="3">
        <v>60000</v>
      </c>
      <c r="AL226" s="3">
        <v>85139.32</v>
      </c>
      <c r="AM226" s="3">
        <v>0</v>
      </c>
      <c r="AN226" s="3">
        <v>0</v>
      </c>
      <c r="AO226" s="3">
        <v>0</v>
      </c>
      <c r="AP226" s="3">
        <v>0</v>
      </c>
      <c r="AQ226" s="3">
        <v>21525.88</v>
      </c>
      <c r="AR226" s="3">
        <v>0</v>
      </c>
      <c r="AS226" s="3">
        <v>-16881.46</v>
      </c>
      <c r="AT226" s="3">
        <v>0</v>
      </c>
      <c r="AU226" s="3">
        <f t="shared" si="24"/>
        <v>0</v>
      </c>
      <c r="AV226" s="17">
        <v>761</v>
      </c>
      <c r="AW226" s="17">
        <v>761</v>
      </c>
      <c r="AX226" s="17">
        <v>1</v>
      </c>
      <c r="AY226" s="3" t="s">
        <v>228</v>
      </c>
      <c r="AZ226" s="3">
        <v>0</v>
      </c>
      <c r="BA226" s="19">
        <v>339315.37</v>
      </c>
    </row>
    <row r="227" spans="1:53" x14ac:dyDescent="0.2">
      <c r="A227" s="17">
        <v>763</v>
      </c>
      <c r="B227" s="17">
        <v>1</v>
      </c>
      <c r="C227" s="3" t="s">
        <v>229</v>
      </c>
      <c r="D227" s="3">
        <f>Levy!F228</f>
        <v>0</v>
      </c>
      <c r="E227" s="3">
        <f>Levy!G228</f>
        <v>171921</v>
      </c>
      <c r="F227" s="3">
        <f>Levy!H228</f>
        <v>0</v>
      </c>
      <c r="G227" s="3">
        <f>Levy!I228</f>
        <v>142566</v>
      </c>
      <c r="H227" s="217">
        <f>Levy!J228</f>
        <v>37094</v>
      </c>
      <c r="I227" s="219">
        <v>0</v>
      </c>
      <c r="J227" s="219">
        <v>4711</v>
      </c>
      <c r="K227" s="219">
        <v>6617.75</v>
      </c>
      <c r="L227" s="219">
        <v>0</v>
      </c>
      <c r="M227" s="219">
        <v>0</v>
      </c>
      <c r="N227" s="19">
        <v>0</v>
      </c>
      <c r="O227" s="19">
        <v>0</v>
      </c>
      <c r="P227" s="219">
        <v>6381.09</v>
      </c>
      <c r="Q227" s="219">
        <v>0</v>
      </c>
      <c r="R227" s="219">
        <v>-1665.08</v>
      </c>
      <c r="S227" s="219">
        <v>0</v>
      </c>
      <c r="T227" s="19">
        <v>0</v>
      </c>
      <c r="U227" s="19">
        <v>0</v>
      </c>
      <c r="V227" s="19">
        <v>0</v>
      </c>
      <c r="W227" s="19">
        <v>0</v>
      </c>
      <c r="X227" s="19">
        <v>2287.08</v>
      </c>
      <c r="Y227" s="217">
        <v>82496.66</v>
      </c>
      <c r="Z227" s="3">
        <f t="shared" si="19"/>
        <v>16044.76</v>
      </c>
      <c r="AA227" s="3">
        <f t="shared" si="20"/>
        <v>296155.15999999997</v>
      </c>
      <c r="AB227" s="3">
        <f t="shared" si="22"/>
        <v>37094</v>
      </c>
      <c r="AC227" s="3">
        <f>ROUND(MAX(0,(D227-V227)*'Shift 14'!$B$2),2)</f>
        <v>0</v>
      </c>
      <c r="AD227" s="3">
        <f t="shared" si="21"/>
        <v>82496.66</v>
      </c>
      <c r="AE227" s="3">
        <f t="shared" si="23"/>
        <v>0</v>
      </c>
      <c r="AF227" s="214">
        <v>763</v>
      </c>
      <c r="AG227" s="214">
        <v>1</v>
      </c>
      <c r="AH227" s="3">
        <v>0</v>
      </c>
      <c r="AI227" s="3">
        <v>0</v>
      </c>
      <c r="AJ227" s="3">
        <v>0</v>
      </c>
      <c r="AK227" s="3">
        <v>4711</v>
      </c>
      <c r="AL227" s="3">
        <v>6617.75</v>
      </c>
      <c r="AM227" s="3">
        <v>0</v>
      </c>
      <c r="AN227" s="3">
        <v>0</v>
      </c>
      <c r="AO227" s="3">
        <v>0</v>
      </c>
      <c r="AP227" s="3">
        <v>0</v>
      </c>
      <c r="AQ227" s="3">
        <v>6381.09</v>
      </c>
      <c r="AR227" s="3">
        <v>0</v>
      </c>
      <c r="AS227" s="3">
        <v>-1665.08</v>
      </c>
      <c r="AT227" s="3">
        <v>0</v>
      </c>
      <c r="AU227" s="3">
        <f t="shared" si="24"/>
        <v>0</v>
      </c>
      <c r="AV227" s="17">
        <v>763</v>
      </c>
      <c r="AW227" s="17">
        <v>763</v>
      </c>
      <c r="AX227" s="17">
        <v>1</v>
      </c>
      <c r="AY227" s="3" t="s">
        <v>229</v>
      </c>
      <c r="AZ227" s="3">
        <v>2287.08</v>
      </c>
      <c r="BA227" s="19">
        <v>82496.66</v>
      </c>
    </row>
    <row r="228" spans="1:53" x14ac:dyDescent="0.2">
      <c r="A228" s="17">
        <v>768</v>
      </c>
      <c r="B228" s="17">
        <v>1</v>
      </c>
      <c r="C228" s="3" t="s">
        <v>230</v>
      </c>
      <c r="D228" s="3">
        <f>Levy!F229</f>
        <v>157129.76999999999</v>
      </c>
      <c r="E228" s="3">
        <f>Levy!G229</f>
        <v>13610.07</v>
      </c>
      <c r="F228" s="3">
        <f>Levy!H229</f>
        <v>0</v>
      </c>
      <c r="G228" s="3">
        <f>Levy!I229</f>
        <v>108883.22</v>
      </c>
      <c r="H228" s="217">
        <f>Levy!J229</f>
        <v>13657.64</v>
      </c>
      <c r="I228" s="219">
        <v>0</v>
      </c>
      <c r="J228" s="219">
        <v>640.03</v>
      </c>
      <c r="K228" s="219">
        <v>10584.06</v>
      </c>
      <c r="L228" s="219">
        <v>0</v>
      </c>
      <c r="M228" s="219">
        <v>0</v>
      </c>
      <c r="N228" s="19">
        <v>0</v>
      </c>
      <c r="O228" s="19">
        <v>0</v>
      </c>
      <c r="P228" s="219">
        <v>179.86</v>
      </c>
      <c r="Q228" s="219">
        <v>0</v>
      </c>
      <c r="R228" s="219">
        <v>-1665.08</v>
      </c>
      <c r="S228" s="219">
        <v>0</v>
      </c>
      <c r="T228" s="19">
        <v>0</v>
      </c>
      <c r="U228" s="19">
        <v>0</v>
      </c>
      <c r="V228" s="19">
        <v>0</v>
      </c>
      <c r="W228" s="19">
        <v>0</v>
      </c>
      <c r="X228" s="19">
        <v>0</v>
      </c>
      <c r="Y228" s="217">
        <v>16918.64</v>
      </c>
      <c r="Z228" s="3">
        <f t="shared" si="19"/>
        <v>9738.8700000000008</v>
      </c>
      <c r="AA228" s="3">
        <f t="shared" si="20"/>
        <v>112754.42</v>
      </c>
      <c r="AB228" s="3">
        <f t="shared" si="22"/>
        <v>13657.64</v>
      </c>
      <c r="AC228" s="3">
        <f>ROUND(MAX(0,(D228-V228)*'Shift 14'!$B$2),2)</f>
        <v>0</v>
      </c>
      <c r="AD228" s="3">
        <f t="shared" si="21"/>
        <v>16918.64</v>
      </c>
      <c r="AE228" s="3">
        <f t="shared" si="23"/>
        <v>0</v>
      </c>
      <c r="AF228" s="214">
        <v>768</v>
      </c>
      <c r="AG228" s="214">
        <v>1</v>
      </c>
      <c r="AH228" s="3">
        <v>0</v>
      </c>
      <c r="AI228" s="3">
        <v>0</v>
      </c>
      <c r="AJ228" s="3">
        <v>0</v>
      </c>
      <c r="AK228" s="3">
        <v>640.03</v>
      </c>
      <c r="AL228" s="3">
        <v>10584.06</v>
      </c>
      <c r="AM228" s="3">
        <v>0</v>
      </c>
      <c r="AN228" s="3">
        <v>0</v>
      </c>
      <c r="AO228" s="3">
        <v>0</v>
      </c>
      <c r="AP228" s="3">
        <v>0</v>
      </c>
      <c r="AQ228" s="3">
        <v>179.86</v>
      </c>
      <c r="AR228" s="3">
        <v>0</v>
      </c>
      <c r="AS228" s="3">
        <v>-1665.08</v>
      </c>
      <c r="AT228" s="3">
        <v>0</v>
      </c>
      <c r="AU228" s="3">
        <f t="shared" si="24"/>
        <v>0</v>
      </c>
      <c r="AV228" s="17">
        <v>768</v>
      </c>
      <c r="AW228" s="17">
        <v>768</v>
      </c>
      <c r="AX228" s="17">
        <v>1</v>
      </c>
      <c r="AY228" s="3" t="s">
        <v>230</v>
      </c>
      <c r="AZ228" s="3">
        <v>0</v>
      </c>
      <c r="BA228" s="19">
        <v>16918.64</v>
      </c>
    </row>
    <row r="229" spans="1:53" x14ac:dyDescent="0.2">
      <c r="A229" s="17">
        <v>771</v>
      </c>
      <c r="B229" s="17">
        <v>1</v>
      </c>
      <c r="C229" s="3" t="s">
        <v>232</v>
      </c>
      <c r="D229" s="3">
        <f>Levy!F230</f>
        <v>497113.26</v>
      </c>
      <c r="E229" s="3">
        <f>Levy!G230</f>
        <v>3459.54</v>
      </c>
      <c r="F229" s="3">
        <f>Levy!H230</f>
        <v>0</v>
      </c>
      <c r="G229" s="3">
        <f>Levy!I230</f>
        <v>102591.05</v>
      </c>
      <c r="H229" s="217">
        <f>Levy!J230</f>
        <v>23100.49</v>
      </c>
      <c r="I229" s="219">
        <v>0</v>
      </c>
      <c r="J229" s="219">
        <v>1000</v>
      </c>
      <c r="K229" s="219">
        <v>13407.94</v>
      </c>
      <c r="L229" s="219">
        <v>0</v>
      </c>
      <c r="M229" s="219">
        <v>0</v>
      </c>
      <c r="N229" s="19">
        <v>0</v>
      </c>
      <c r="O229" s="19">
        <v>0</v>
      </c>
      <c r="P229" s="219">
        <v>-4891.1400000000003</v>
      </c>
      <c r="Q229" s="219">
        <v>0</v>
      </c>
      <c r="R229" s="219">
        <v>-1665.08</v>
      </c>
      <c r="S229" s="219">
        <v>0</v>
      </c>
      <c r="T229" s="19">
        <v>0</v>
      </c>
      <c r="U229" s="19">
        <v>0</v>
      </c>
      <c r="V229" s="19">
        <v>0</v>
      </c>
      <c r="W229" s="19">
        <v>0</v>
      </c>
      <c r="X229" s="19">
        <v>0</v>
      </c>
      <c r="Y229" s="217">
        <v>91489.25</v>
      </c>
      <c r="Z229" s="3">
        <f t="shared" si="19"/>
        <v>7851.7199999999993</v>
      </c>
      <c r="AA229" s="3">
        <f t="shared" si="20"/>
        <v>98198.87</v>
      </c>
      <c r="AB229" s="3">
        <f t="shared" si="22"/>
        <v>23100.49</v>
      </c>
      <c r="AC229" s="3">
        <f>ROUND(MAX(0,(D229-V229)*'Shift 14'!$B$2),2)</f>
        <v>0</v>
      </c>
      <c r="AD229" s="3">
        <f t="shared" si="21"/>
        <v>91489.25</v>
      </c>
      <c r="AE229" s="3">
        <f t="shared" si="23"/>
        <v>0</v>
      </c>
      <c r="AF229" s="214">
        <v>771</v>
      </c>
      <c r="AG229" s="214">
        <v>1</v>
      </c>
      <c r="AH229" s="3">
        <v>0</v>
      </c>
      <c r="AI229" s="3">
        <v>0</v>
      </c>
      <c r="AJ229" s="3">
        <v>0</v>
      </c>
      <c r="AK229" s="3">
        <v>1000</v>
      </c>
      <c r="AL229" s="3">
        <v>13407.94</v>
      </c>
      <c r="AM229" s="3">
        <v>0</v>
      </c>
      <c r="AN229" s="3">
        <v>0</v>
      </c>
      <c r="AO229" s="3">
        <v>0</v>
      </c>
      <c r="AP229" s="3">
        <v>0</v>
      </c>
      <c r="AQ229" s="3">
        <v>-4891.1400000000003</v>
      </c>
      <c r="AR229" s="3">
        <v>0</v>
      </c>
      <c r="AS229" s="3">
        <v>-1665.08</v>
      </c>
      <c r="AT229" s="3">
        <v>0</v>
      </c>
      <c r="AU229" s="3">
        <f t="shared" si="24"/>
        <v>0</v>
      </c>
      <c r="AV229" s="17">
        <v>771</v>
      </c>
      <c r="AW229" s="17">
        <v>771</v>
      </c>
      <c r="AX229" s="17">
        <v>1</v>
      </c>
      <c r="AY229" s="3" t="s">
        <v>232</v>
      </c>
      <c r="AZ229" s="3">
        <v>0</v>
      </c>
      <c r="BA229" s="19">
        <v>91489.25</v>
      </c>
    </row>
    <row r="230" spans="1:53" x14ac:dyDescent="0.2">
      <c r="A230" s="17">
        <v>775</v>
      </c>
      <c r="B230" s="17">
        <v>1</v>
      </c>
      <c r="C230" s="3" t="s">
        <v>1195</v>
      </c>
      <c r="D230" s="3">
        <f>Levy!F231</f>
        <v>79472</v>
      </c>
      <c r="E230" s="3">
        <f>Levy!G231</f>
        <v>44734</v>
      </c>
      <c r="F230" s="3">
        <f>Levy!H231</f>
        <v>0</v>
      </c>
      <c r="G230" s="3">
        <f>Levy!I231</f>
        <v>302176</v>
      </c>
      <c r="H230" s="217">
        <f>Levy!J231</f>
        <v>39420</v>
      </c>
      <c r="I230" s="219">
        <v>0</v>
      </c>
      <c r="J230" s="219">
        <v>2471.86</v>
      </c>
      <c r="K230" s="219">
        <v>16446.72</v>
      </c>
      <c r="L230" s="219">
        <v>0</v>
      </c>
      <c r="M230" s="219">
        <v>0</v>
      </c>
      <c r="N230" s="19">
        <v>0</v>
      </c>
      <c r="O230" s="19">
        <v>0</v>
      </c>
      <c r="P230" s="219">
        <v>-10900.62</v>
      </c>
      <c r="Q230" s="219">
        <v>0</v>
      </c>
      <c r="R230" s="219">
        <v>-1756.05</v>
      </c>
      <c r="S230" s="219">
        <v>14401.35</v>
      </c>
      <c r="T230" s="19">
        <v>0</v>
      </c>
      <c r="U230" s="19">
        <v>0</v>
      </c>
      <c r="V230" s="19">
        <v>0</v>
      </c>
      <c r="W230" s="19">
        <v>0</v>
      </c>
      <c r="X230" s="19">
        <v>2763.8</v>
      </c>
      <c r="Y230" s="217">
        <v>70853.63</v>
      </c>
      <c r="Z230" s="3">
        <f t="shared" si="19"/>
        <v>20663.260000000002</v>
      </c>
      <c r="AA230" s="3">
        <f t="shared" si="20"/>
        <v>323482.94</v>
      </c>
      <c r="AB230" s="3">
        <f t="shared" si="22"/>
        <v>39420</v>
      </c>
      <c r="AC230" s="3">
        <f>ROUND(MAX(0,(D230-V230)*'Shift 14'!$B$2),2)</f>
        <v>0</v>
      </c>
      <c r="AD230" s="3">
        <f t="shared" si="21"/>
        <v>70853.63</v>
      </c>
      <c r="AE230" s="3">
        <f t="shared" si="23"/>
        <v>0</v>
      </c>
      <c r="AF230" s="214">
        <v>775</v>
      </c>
      <c r="AG230" s="214">
        <v>1</v>
      </c>
      <c r="AH230" s="3">
        <v>0</v>
      </c>
      <c r="AI230" s="3">
        <v>0</v>
      </c>
      <c r="AJ230" s="3">
        <v>15072.47</v>
      </c>
      <c r="AK230" s="3">
        <v>2471.86</v>
      </c>
      <c r="AL230" s="3">
        <v>16446.72</v>
      </c>
      <c r="AM230" s="3">
        <v>0</v>
      </c>
      <c r="AN230" s="3">
        <v>0</v>
      </c>
      <c r="AO230" s="3">
        <v>0</v>
      </c>
      <c r="AP230" s="3">
        <v>95.22</v>
      </c>
      <c r="AQ230" s="3">
        <v>-10900.62</v>
      </c>
      <c r="AR230" s="3">
        <v>0</v>
      </c>
      <c r="AS230" s="3">
        <v>-1756.05</v>
      </c>
      <c r="AT230" s="3">
        <v>14401.35</v>
      </c>
      <c r="AU230" s="3">
        <f t="shared" si="24"/>
        <v>0</v>
      </c>
      <c r="AV230" s="17">
        <v>775</v>
      </c>
      <c r="AW230" s="17">
        <v>775</v>
      </c>
      <c r="AX230" s="17">
        <v>1</v>
      </c>
      <c r="AY230" s="3" t="s">
        <v>233</v>
      </c>
      <c r="AZ230" s="3">
        <v>2763.8</v>
      </c>
      <c r="BA230" s="19">
        <v>70853.63</v>
      </c>
    </row>
    <row r="231" spans="1:53" x14ac:dyDescent="0.2">
      <c r="A231" s="17">
        <v>777</v>
      </c>
      <c r="B231" s="17">
        <v>1</v>
      </c>
      <c r="C231" s="3" t="s">
        <v>234</v>
      </c>
      <c r="D231" s="3">
        <f>Levy!F232</f>
        <v>778241</v>
      </c>
      <c r="E231" s="3">
        <f>Levy!G232</f>
        <v>54523</v>
      </c>
      <c r="F231" s="3">
        <f>Levy!H232</f>
        <v>0</v>
      </c>
      <c r="G231" s="3">
        <f>Levy!I232</f>
        <v>396554</v>
      </c>
      <c r="H231" s="217">
        <f>Levy!J232</f>
        <v>71785</v>
      </c>
      <c r="I231" s="219">
        <v>0</v>
      </c>
      <c r="J231" s="219">
        <v>10737.35</v>
      </c>
      <c r="K231" s="219">
        <v>37543.599999999999</v>
      </c>
      <c r="L231" s="219">
        <v>0</v>
      </c>
      <c r="M231" s="219">
        <v>0</v>
      </c>
      <c r="N231" s="19">
        <v>0</v>
      </c>
      <c r="O231" s="19">
        <v>0</v>
      </c>
      <c r="P231" s="219">
        <v>1638.9</v>
      </c>
      <c r="Q231" s="219">
        <v>0</v>
      </c>
      <c r="R231" s="219">
        <v>-4662.38</v>
      </c>
      <c r="S231" s="219">
        <v>0</v>
      </c>
      <c r="T231" s="19">
        <v>0</v>
      </c>
      <c r="U231" s="19">
        <v>0</v>
      </c>
      <c r="V231" s="19">
        <v>0</v>
      </c>
      <c r="W231" s="19">
        <v>0</v>
      </c>
      <c r="X231" s="19">
        <v>0</v>
      </c>
      <c r="Y231" s="217">
        <v>57663.73</v>
      </c>
      <c r="Z231" s="3">
        <f t="shared" si="19"/>
        <v>45257.47</v>
      </c>
      <c r="AA231" s="3">
        <f t="shared" si="20"/>
        <v>405819.53</v>
      </c>
      <c r="AB231" s="3">
        <f t="shared" si="22"/>
        <v>71785</v>
      </c>
      <c r="AC231" s="3">
        <f>ROUND(MAX(0,(D231-V231)*'Shift 14'!$B$2),2)</f>
        <v>0</v>
      </c>
      <c r="AD231" s="3">
        <f t="shared" si="21"/>
        <v>57663.73</v>
      </c>
      <c r="AE231" s="3">
        <f t="shared" si="23"/>
        <v>0</v>
      </c>
      <c r="AF231" s="214">
        <v>777</v>
      </c>
      <c r="AG231" s="214">
        <v>1</v>
      </c>
      <c r="AH231" s="3">
        <v>0</v>
      </c>
      <c r="AI231" s="3">
        <v>0</v>
      </c>
      <c r="AJ231" s="3">
        <v>0</v>
      </c>
      <c r="AK231" s="3">
        <v>10737.35</v>
      </c>
      <c r="AL231" s="3">
        <v>37543.599999999999</v>
      </c>
      <c r="AM231" s="3">
        <v>0</v>
      </c>
      <c r="AN231" s="3">
        <v>0</v>
      </c>
      <c r="AO231" s="3">
        <v>0</v>
      </c>
      <c r="AP231" s="3">
        <v>0</v>
      </c>
      <c r="AQ231" s="3">
        <v>1638.9</v>
      </c>
      <c r="AR231" s="3">
        <v>0</v>
      </c>
      <c r="AS231" s="3">
        <v>-4662.38</v>
      </c>
      <c r="AT231" s="3">
        <v>0</v>
      </c>
      <c r="AU231" s="3">
        <f t="shared" si="24"/>
        <v>0</v>
      </c>
      <c r="AV231" s="17">
        <v>777</v>
      </c>
      <c r="AW231" s="17">
        <v>777</v>
      </c>
      <c r="AX231" s="17">
        <v>1</v>
      </c>
      <c r="AY231" s="3" t="s">
        <v>234</v>
      </c>
      <c r="AZ231" s="3">
        <v>0</v>
      </c>
      <c r="BA231" s="19">
        <v>57663.73</v>
      </c>
    </row>
    <row r="232" spans="1:53" x14ac:dyDescent="0.2">
      <c r="A232" s="17">
        <v>786</v>
      </c>
      <c r="B232" s="17">
        <v>1</v>
      </c>
      <c r="C232" s="3" t="s">
        <v>235</v>
      </c>
      <c r="D232" s="3">
        <f>Levy!F233</f>
        <v>110110</v>
      </c>
      <c r="E232" s="3">
        <f>Levy!G233</f>
        <v>13514</v>
      </c>
      <c r="F232" s="3">
        <f>Levy!H233</f>
        <v>0</v>
      </c>
      <c r="G232" s="3">
        <f>Levy!I233</f>
        <v>96211</v>
      </c>
      <c r="H232" s="217">
        <f>Levy!J233</f>
        <v>49529</v>
      </c>
      <c r="I232" s="219">
        <v>0</v>
      </c>
      <c r="J232" s="219">
        <v>7000</v>
      </c>
      <c r="K232" s="219">
        <v>6015.81</v>
      </c>
      <c r="L232" s="219">
        <v>0</v>
      </c>
      <c r="M232" s="219">
        <v>0</v>
      </c>
      <c r="N232" s="19">
        <v>0</v>
      </c>
      <c r="O232" s="19">
        <v>0</v>
      </c>
      <c r="P232" s="219">
        <v>-10926.65</v>
      </c>
      <c r="Q232" s="219">
        <v>0</v>
      </c>
      <c r="R232" s="219">
        <v>-2826.05</v>
      </c>
      <c r="S232" s="219">
        <v>0</v>
      </c>
      <c r="T232" s="19">
        <v>0</v>
      </c>
      <c r="U232" s="19">
        <v>0</v>
      </c>
      <c r="V232" s="19">
        <v>0</v>
      </c>
      <c r="W232" s="19">
        <v>0</v>
      </c>
      <c r="X232" s="19">
        <v>0</v>
      </c>
      <c r="Y232" s="217">
        <v>9085.75</v>
      </c>
      <c r="Z232" s="3">
        <f t="shared" si="19"/>
        <v>-736.88999999999851</v>
      </c>
      <c r="AA232" s="3">
        <f t="shared" si="20"/>
        <v>110461.89</v>
      </c>
      <c r="AB232" s="3">
        <f t="shared" si="22"/>
        <v>49529</v>
      </c>
      <c r="AC232" s="3">
        <f>ROUND(MAX(0,(D232-V232)*'Shift 14'!$B$2),2)</f>
        <v>0</v>
      </c>
      <c r="AD232" s="3">
        <f t="shared" si="21"/>
        <v>9085.75</v>
      </c>
      <c r="AE232" s="3">
        <f t="shared" si="23"/>
        <v>0</v>
      </c>
      <c r="AF232" s="214">
        <v>786</v>
      </c>
      <c r="AG232" s="214">
        <v>1</v>
      </c>
      <c r="AH232" s="3">
        <v>0</v>
      </c>
      <c r="AI232" s="3">
        <v>0</v>
      </c>
      <c r="AJ232" s="3">
        <v>0</v>
      </c>
      <c r="AK232" s="3">
        <v>7000</v>
      </c>
      <c r="AL232" s="3">
        <v>6015.81</v>
      </c>
      <c r="AM232" s="3">
        <v>0</v>
      </c>
      <c r="AN232" s="3">
        <v>0</v>
      </c>
      <c r="AO232" s="3">
        <v>0</v>
      </c>
      <c r="AP232" s="3">
        <v>0</v>
      </c>
      <c r="AQ232" s="3">
        <v>-10926.65</v>
      </c>
      <c r="AR232" s="3">
        <v>0</v>
      </c>
      <c r="AS232" s="3">
        <v>-2826.05</v>
      </c>
      <c r="AT232" s="3">
        <v>0</v>
      </c>
      <c r="AU232" s="3">
        <f t="shared" si="24"/>
        <v>0</v>
      </c>
      <c r="AV232" s="17">
        <v>786</v>
      </c>
      <c r="AW232" s="17">
        <v>786</v>
      </c>
      <c r="AX232" s="17">
        <v>1</v>
      </c>
      <c r="AY232" s="3" t="s">
        <v>235</v>
      </c>
      <c r="AZ232" s="3">
        <v>0</v>
      </c>
      <c r="BA232" s="19">
        <v>9085.75</v>
      </c>
    </row>
    <row r="233" spans="1:53" x14ac:dyDescent="0.2">
      <c r="A233" s="17">
        <v>787</v>
      </c>
      <c r="B233" s="17">
        <v>1</v>
      </c>
      <c r="C233" s="3" t="s">
        <v>236</v>
      </c>
      <c r="D233" s="3">
        <f>Levy!F234</f>
        <v>0</v>
      </c>
      <c r="E233" s="3">
        <f>Levy!G234</f>
        <v>83134</v>
      </c>
      <c r="F233" s="3">
        <f>Levy!H234</f>
        <v>0</v>
      </c>
      <c r="G233" s="3">
        <f>Levy!I234</f>
        <v>123366</v>
      </c>
      <c r="H233" s="217">
        <f>Levy!J234</f>
        <v>22887</v>
      </c>
      <c r="I233" s="219">
        <v>0</v>
      </c>
      <c r="J233" s="219">
        <v>10000</v>
      </c>
      <c r="K233" s="219">
        <v>14619.9</v>
      </c>
      <c r="L233" s="219">
        <v>0</v>
      </c>
      <c r="M233" s="219">
        <v>0</v>
      </c>
      <c r="N233" s="19">
        <v>0</v>
      </c>
      <c r="O233" s="19">
        <v>0</v>
      </c>
      <c r="P233" s="219">
        <v>0</v>
      </c>
      <c r="Q233" s="219">
        <v>-10000</v>
      </c>
      <c r="R233" s="219">
        <v>-3590.46</v>
      </c>
      <c r="S233" s="219">
        <v>0</v>
      </c>
      <c r="T233" s="19">
        <v>0</v>
      </c>
      <c r="U233" s="19">
        <v>0</v>
      </c>
      <c r="V233" s="19">
        <v>0</v>
      </c>
      <c r="W233" s="19">
        <v>0</v>
      </c>
      <c r="X233" s="19">
        <v>0</v>
      </c>
      <c r="Y233" s="217">
        <v>16243.15</v>
      </c>
      <c r="Z233" s="3">
        <f t="shared" si="19"/>
        <v>11029.440000000002</v>
      </c>
      <c r="AA233" s="3">
        <f t="shared" si="20"/>
        <v>195470.56</v>
      </c>
      <c r="AB233" s="3">
        <f t="shared" si="22"/>
        <v>22887</v>
      </c>
      <c r="AC233" s="3">
        <f>ROUND(MAX(0,(D233-V233)*'Shift 14'!$B$2),2)</f>
        <v>0</v>
      </c>
      <c r="AD233" s="3">
        <f t="shared" si="21"/>
        <v>16243.15</v>
      </c>
      <c r="AE233" s="3">
        <f t="shared" si="23"/>
        <v>0</v>
      </c>
      <c r="AF233" s="214">
        <v>787</v>
      </c>
      <c r="AG233" s="214">
        <v>1</v>
      </c>
      <c r="AH233" s="3">
        <v>0</v>
      </c>
      <c r="AI233" s="3">
        <v>0</v>
      </c>
      <c r="AJ233" s="3">
        <v>0</v>
      </c>
      <c r="AK233" s="3">
        <v>10000</v>
      </c>
      <c r="AL233" s="3">
        <v>14619.9</v>
      </c>
      <c r="AM233" s="3">
        <v>0</v>
      </c>
      <c r="AN233" s="3">
        <v>0</v>
      </c>
      <c r="AO233" s="3">
        <v>0</v>
      </c>
      <c r="AP233" s="3">
        <v>0</v>
      </c>
      <c r="AQ233" s="3">
        <v>0</v>
      </c>
      <c r="AR233" s="3">
        <v>-10000</v>
      </c>
      <c r="AS233" s="3">
        <v>-3590.46</v>
      </c>
      <c r="AT233" s="3">
        <v>0</v>
      </c>
      <c r="AU233" s="3">
        <f t="shared" si="24"/>
        <v>0</v>
      </c>
      <c r="AV233" s="17">
        <v>787</v>
      </c>
      <c r="AW233" s="17">
        <v>787</v>
      </c>
      <c r="AX233" s="17">
        <v>1</v>
      </c>
      <c r="AY233" s="3" t="s">
        <v>236</v>
      </c>
      <c r="AZ233" s="3">
        <v>0</v>
      </c>
      <c r="BA233" s="19">
        <v>16243.15</v>
      </c>
    </row>
    <row r="234" spans="1:53" x14ac:dyDescent="0.2">
      <c r="A234" s="17">
        <v>801</v>
      </c>
      <c r="B234" s="17">
        <v>1</v>
      </c>
      <c r="C234" s="3" t="s">
        <v>237</v>
      </c>
      <c r="D234" s="3">
        <f>Levy!F235</f>
        <v>76828.55</v>
      </c>
      <c r="E234" s="3">
        <f>Levy!G235</f>
        <v>2654.94</v>
      </c>
      <c r="F234" s="3">
        <f>Levy!H235</f>
        <v>0</v>
      </c>
      <c r="G234" s="3">
        <f>Levy!I235</f>
        <v>36982.33</v>
      </c>
      <c r="H234" s="217">
        <f>Levy!J235</f>
        <v>12755.24</v>
      </c>
      <c r="I234" s="219">
        <v>0</v>
      </c>
      <c r="J234" s="219">
        <v>0</v>
      </c>
      <c r="K234" s="219">
        <v>0</v>
      </c>
      <c r="L234" s="219">
        <v>0</v>
      </c>
      <c r="M234" s="219">
        <v>0</v>
      </c>
      <c r="N234" s="19">
        <v>0</v>
      </c>
      <c r="O234" s="19">
        <v>0</v>
      </c>
      <c r="P234" s="219">
        <v>1339</v>
      </c>
      <c r="Q234" s="219">
        <v>-1339</v>
      </c>
      <c r="R234" s="219">
        <v>0</v>
      </c>
      <c r="S234" s="219">
        <v>0</v>
      </c>
      <c r="T234" s="19">
        <v>0</v>
      </c>
      <c r="U234" s="19">
        <v>0</v>
      </c>
      <c r="V234" s="19">
        <v>0</v>
      </c>
      <c r="W234" s="19">
        <v>0</v>
      </c>
      <c r="X234" s="19">
        <v>1041.8699999999999</v>
      </c>
      <c r="Y234" s="217">
        <v>38455.82</v>
      </c>
      <c r="Z234" s="3">
        <f t="shared" si="19"/>
        <v>0</v>
      </c>
      <c r="AA234" s="3">
        <f t="shared" si="20"/>
        <v>38595.4</v>
      </c>
      <c r="AB234" s="3">
        <f t="shared" si="22"/>
        <v>12755.24</v>
      </c>
      <c r="AC234" s="3">
        <f>ROUND(MAX(0,(D234-V234)*'Shift 14'!$B$2),2)</f>
        <v>0</v>
      </c>
      <c r="AD234" s="3">
        <f t="shared" si="21"/>
        <v>38455.82</v>
      </c>
      <c r="AE234" s="3">
        <f t="shared" si="23"/>
        <v>0</v>
      </c>
      <c r="AF234" s="214">
        <v>801</v>
      </c>
      <c r="AG234" s="214">
        <v>1</v>
      </c>
      <c r="AH234" s="3">
        <v>0</v>
      </c>
      <c r="AI234" s="3">
        <v>0</v>
      </c>
      <c r="AJ234" s="3">
        <v>0</v>
      </c>
      <c r="AK234" s="3">
        <v>0</v>
      </c>
      <c r="AL234" s="3">
        <v>0</v>
      </c>
      <c r="AM234" s="3">
        <v>0</v>
      </c>
      <c r="AN234" s="3">
        <v>0</v>
      </c>
      <c r="AO234" s="3">
        <v>0</v>
      </c>
      <c r="AP234" s="3">
        <v>0</v>
      </c>
      <c r="AQ234" s="3">
        <v>1339</v>
      </c>
      <c r="AR234" s="3">
        <v>-1339</v>
      </c>
      <c r="AS234" s="3">
        <v>0</v>
      </c>
      <c r="AT234" s="3">
        <v>0</v>
      </c>
      <c r="AU234" s="3">
        <f t="shared" si="24"/>
        <v>0</v>
      </c>
      <c r="AV234" s="17">
        <v>801</v>
      </c>
      <c r="AW234" s="17">
        <v>801</v>
      </c>
      <c r="AX234" s="17">
        <v>1</v>
      </c>
      <c r="AY234" s="3" t="s">
        <v>237</v>
      </c>
      <c r="AZ234" s="3">
        <v>1041.8699999999999</v>
      </c>
      <c r="BA234" s="19">
        <v>38455.82</v>
      </c>
    </row>
    <row r="235" spans="1:53" x14ac:dyDescent="0.2">
      <c r="A235" s="17">
        <v>803</v>
      </c>
      <c r="B235" s="17">
        <v>1</v>
      </c>
      <c r="C235" s="3" t="s">
        <v>238</v>
      </c>
      <c r="D235" s="3">
        <f>Levy!F236</f>
        <v>399124.74</v>
      </c>
      <c r="E235" s="3">
        <f>Levy!G236</f>
        <v>15599.39</v>
      </c>
      <c r="F235" s="3">
        <f>Levy!H236</f>
        <v>0</v>
      </c>
      <c r="G235" s="3">
        <f>Levy!I236</f>
        <v>143590.84</v>
      </c>
      <c r="H235" s="217">
        <f>Levy!J236</f>
        <v>29949.7</v>
      </c>
      <c r="I235" s="219">
        <v>0</v>
      </c>
      <c r="J235" s="219">
        <v>5000</v>
      </c>
      <c r="K235" s="219">
        <v>13407.94</v>
      </c>
      <c r="L235" s="219">
        <v>0</v>
      </c>
      <c r="M235" s="219">
        <v>0</v>
      </c>
      <c r="N235" s="19">
        <v>0</v>
      </c>
      <c r="O235" s="19">
        <v>0</v>
      </c>
      <c r="P235" s="219">
        <v>-3000</v>
      </c>
      <c r="Q235" s="219">
        <v>0</v>
      </c>
      <c r="R235" s="219">
        <v>-1665.08</v>
      </c>
      <c r="S235" s="219">
        <v>0</v>
      </c>
      <c r="T235" s="19">
        <v>0</v>
      </c>
      <c r="U235" s="19">
        <v>0</v>
      </c>
      <c r="V235" s="19">
        <v>0</v>
      </c>
      <c r="W235" s="19">
        <v>0</v>
      </c>
      <c r="X235" s="19">
        <v>0</v>
      </c>
      <c r="Y235" s="217">
        <v>87665.33</v>
      </c>
      <c r="Z235" s="3">
        <f t="shared" si="19"/>
        <v>13742.860000000002</v>
      </c>
      <c r="AA235" s="3">
        <f t="shared" si="20"/>
        <v>145447.37</v>
      </c>
      <c r="AB235" s="3">
        <f t="shared" si="22"/>
        <v>29949.7</v>
      </c>
      <c r="AC235" s="3">
        <f>ROUND(MAX(0,(D235-V235)*'Shift 14'!$B$2),2)</f>
        <v>0</v>
      </c>
      <c r="AD235" s="3">
        <f t="shared" si="21"/>
        <v>87665.33</v>
      </c>
      <c r="AE235" s="3">
        <f t="shared" si="23"/>
        <v>0</v>
      </c>
      <c r="AF235" s="214">
        <v>803</v>
      </c>
      <c r="AG235" s="214">
        <v>1</v>
      </c>
      <c r="AH235" s="3">
        <v>0</v>
      </c>
      <c r="AI235" s="3">
        <v>0</v>
      </c>
      <c r="AJ235" s="3">
        <v>0</v>
      </c>
      <c r="AK235" s="3">
        <v>5000</v>
      </c>
      <c r="AL235" s="3">
        <v>13407.94</v>
      </c>
      <c r="AM235" s="3">
        <v>0</v>
      </c>
      <c r="AN235" s="3">
        <v>0</v>
      </c>
      <c r="AO235" s="3">
        <v>0</v>
      </c>
      <c r="AP235" s="3">
        <v>0</v>
      </c>
      <c r="AQ235" s="3">
        <v>-3000</v>
      </c>
      <c r="AR235" s="3">
        <v>0</v>
      </c>
      <c r="AS235" s="3">
        <v>-1665.08</v>
      </c>
      <c r="AT235" s="3">
        <v>0</v>
      </c>
      <c r="AU235" s="3">
        <f t="shared" si="24"/>
        <v>0</v>
      </c>
      <c r="AV235" s="17">
        <v>803</v>
      </c>
      <c r="AW235" s="17">
        <v>803</v>
      </c>
      <c r="AX235" s="17">
        <v>1</v>
      </c>
      <c r="AY235" s="3" t="s">
        <v>238</v>
      </c>
      <c r="AZ235" s="3">
        <v>0</v>
      </c>
      <c r="BA235" s="19">
        <v>87665.33</v>
      </c>
    </row>
    <row r="236" spans="1:53" x14ac:dyDescent="0.2">
      <c r="A236" s="17">
        <v>811</v>
      </c>
      <c r="B236" s="17">
        <v>1</v>
      </c>
      <c r="C236" s="3" t="s">
        <v>239</v>
      </c>
      <c r="D236" s="3">
        <f>Levy!F237</f>
        <v>680704</v>
      </c>
      <c r="E236" s="3">
        <f>Levy!G237</f>
        <v>60662</v>
      </c>
      <c r="F236" s="3">
        <f>Levy!H237</f>
        <v>0</v>
      </c>
      <c r="G236" s="3">
        <f>Levy!I237</f>
        <v>137678</v>
      </c>
      <c r="H236" s="217">
        <f>Levy!J237</f>
        <v>72698</v>
      </c>
      <c r="I236" s="219">
        <v>0</v>
      </c>
      <c r="J236" s="219">
        <v>11440.35</v>
      </c>
      <c r="K236" s="219">
        <v>22694.09</v>
      </c>
      <c r="L236" s="219">
        <v>0</v>
      </c>
      <c r="M236" s="219">
        <v>0</v>
      </c>
      <c r="N236" s="19">
        <v>0</v>
      </c>
      <c r="O236" s="19">
        <v>0</v>
      </c>
      <c r="P236" s="219">
        <v>-3281.44</v>
      </c>
      <c r="Q236" s="219">
        <v>0</v>
      </c>
      <c r="R236" s="219">
        <v>-2818.28</v>
      </c>
      <c r="S236" s="219">
        <v>0</v>
      </c>
      <c r="T236" s="19">
        <v>0</v>
      </c>
      <c r="U236" s="19">
        <v>0</v>
      </c>
      <c r="V236" s="19">
        <v>0</v>
      </c>
      <c r="W236" s="19">
        <v>0</v>
      </c>
      <c r="X236" s="19">
        <v>0</v>
      </c>
      <c r="Y236" s="217">
        <v>59013.4</v>
      </c>
      <c r="Z236" s="3">
        <f t="shared" si="19"/>
        <v>28034.720000000005</v>
      </c>
      <c r="AA236" s="3">
        <f t="shared" si="20"/>
        <v>170305.28</v>
      </c>
      <c r="AB236" s="3">
        <f t="shared" si="22"/>
        <v>72698</v>
      </c>
      <c r="AC236" s="3">
        <f>ROUND(MAX(0,(D236-V236)*'Shift 14'!$B$2),2)</f>
        <v>0</v>
      </c>
      <c r="AD236" s="3">
        <f t="shared" si="21"/>
        <v>59013.4</v>
      </c>
      <c r="AE236" s="3">
        <f t="shared" si="23"/>
        <v>0</v>
      </c>
      <c r="AF236" s="214">
        <v>811</v>
      </c>
      <c r="AG236" s="214">
        <v>1</v>
      </c>
      <c r="AH236" s="3">
        <v>0</v>
      </c>
      <c r="AI236" s="3">
        <v>0</v>
      </c>
      <c r="AJ236" s="3">
        <v>0</v>
      </c>
      <c r="AK236" s="3">
        <v>11440.35</v>
      </c>
      <c r="AL236" s="3">
        <v>22694.09</v>
      </c>
      <c r="AM236" s="3">
        <v>0</v>
      </c>
      <c r="AN236" s="3">
        <v>0</v>
      </c>
      <c r="AO236" s="3">
        <v>0</v>
      </c>
      <c r="AP236" s="3">
        <v>0</v>
      </c>
      <c r="AQ236" s="3">
        <v>-3281.44</v>
      </c>
      <c r="AR236" s="3">
        <v>0</v>
      </c>
      <c r="AS236" s="3">
        <v>-2818.28</v>
      </c>
      <c r="AT236" s="3">
        <v>0</v>
      </c>
      <c r="AU236" s="3">
        <f t="shared" si="24"/>
        <v>0</v>
      </c>
      <c r="AV236" s="17">
        <v>811</v>
      </c>
      <c r="AW236" s="17">
        <v>811</v>
      </c>
      <c r="AX236" s="17">
        <v>1</v>
      </c>
      <c r="AY236" s="3" t="s">
        <v>239</v>
      </c>
      <c r="AZ236" s="3">
        <v>0</v>
      </c>
      <c r="BA236" s="19">
        <v>59013.4</v>
      </c>
    </row>
    <row r="237" spans="1:53" x14ac:dyDescent="0.2">
      <c r="A237" s="17">
        <v>813</v>
      </c>
      <c r="B237" s="17">
        <v>1</v>
      </c>
      <c r="C237" s="3" t="s">
        <v>240</v>
      </c>
      <c r="D237" s="3">
        <f>Levy!F238</f>
        <v>1200493</v>
      </c>
      <c r="E237" s="3">
        <f>Levy!G238</f>
        <v>137945</v>
      </c>
      <c r="F237" s="3">
        <f>Levy!H238</f>
        <v>0</v>
      </c>
      <c r="G237" s="3">
        <f>Levy!I238</f>
        <v>205430</v>
      </c>
      <c r="H237" s="217">
        <f>Levy!J238</f>
        <v>113866</v>
      </c>
      <c r="I237" s="219">
        <v>0</v>
      </c>
      <c r="J237" s="219">
        <v>2000</v>
      </c>
      <c r="K237" s="219">
        <v>34766.67</v>
      </c>
      <c r="L237" s="219">
        <v>0</v>
      </c>
      <c r="M237" s="219">
        <v>0</v>
      </c>
      <c r="N237" s="19">
        <v>0</v>
      </c>
      <c r="O237" s="19">
        <v>0</v>
      </c>
      <c r="P237" s="219">
        <v>-14358.4</v>
      </c>
      <c r="Q237" s="219">
        <v>0</v>
      </c>
      <c r="R237" s="219">
        <v>-4317.53</v>
      </c>
      <c r="S237" s="219">
        <v>0</v>
      </c>
      <c r="T237" s="19">
        <v>0</v>
      </c>
      <c r="U237" s="19">
        <v>0</v>
      </c>
      <c r="V237" s="19">
        <v>0</v>
      </c>
      <c r="W237" s="19">
        <v>0</v>
      </c>
      <c r="X237" s="19">
        <v>0</v>
      </c>
      <c r="Y237" s="217">
        <v>0</v>
      </c>
      <c r="Z237" s="3">
        <f t="shared" si="19"/>
        <v>18090.739999999998</v>
      </c>
      <c r="AA237" s="3">
        <f t="shared" si="20"/>
        <v>325284.26</v>
      </c>
      <c r="AB237" s="3">
        <f t="shared" si="22"/>
        <v>113866</v>
      </c>
      <c r="AC237" s="3">
        <f>ROUND(MAX(0,(D237-V237)*'Shift 14'!$B$2),2)</f>
        <v>0</v>
      </c>
      <c r="AD237" s="3">
        <f t="shared" si="21"/>
        <v>0</v>
      </c>
      <c r="AE237" s="3">
        <f t="shared" si="23"/>
        <v>0</v>
      </c>
      <c r="AF237" s="214">
        <v>813</v>
      </c>
      <c r="AG237" s="214">
        <v>1</v>
      </c>
      <c r="AH237" s="3">
        <v>0</v>
      </c>
      <c r="AI237" s="3">
        <v>0</v>
      </c>
      <c r="AJ237" s="3">
        <v>0</v>
      </c>
      <c r="AK237" s="3">
        <v>2000</v>
      </c>
      <c r="AL237" s="3">
        <v>34766.67</v>
      </c>
      <c r="AM237" s="3">
        <v>0</v>
      </c>
      <c r="AN237" s="3">
        <v>0</v>
      </c>
      <c r="AO237" s="3">
        <v>0</v>
      </c>
      <c r="AP237" s="3">
        <v>0</v>
      </c>
      <c r="AQ237" s="3">
        <v>-14358.4</v>
      </c>
      <c r="AR237" s="3">
        <v>0</v>
      </c>
      <c r="AS237" s="3">
        <v>-4317.53</v>
      </c>
      <c r="AT237" s="3">
        <v>0</v>
      </c>
      <c r="AU237" s="3">
        <f t="shared" si="24"/>
        <v>0</v>
      </c>
      <c r="AV237" s="17">
        <v>813</v>
      </c>
      <c r="AW237" s="17">
        <v>813</v>
      </c>
      <c r="AX237" s="17">
        <v>1</v>
      </c>
      <c r="AY237" s="3" t="s">
        <v>240</v>
      </c>
      <c r="AZ237" s="3">
        <v>0</v>
      </c>
      <c r="BA237" s="19">
        <v>0</v>
      </c>
    </row>
    <row r="238" spans="1:53" x14ac:dyDescent="0.2">
      <c r="A238" s="17">
        <v>815</v>
      </c>
      <c r="B238" s="17">
        <v>2</v>
      </c>
      <c r="C238" s="3" t="s">
        <v>241</v>
      </c>
      <c r="D238" s="3">
        <f>Levy!F239</f>
        <v>16617.62</v>
      </c>
      <c r="E238" s="3">
        <f>Levy!G239</f>
        <v>27.56</v>
      </c>
      <c r="F238" s="3">
        <f>Levy!H239</f>
        <v>45500</v>
      </c>
      <c r="G238" s="3">
        <f>Levy!I239</f>
        <v>301.02</v>
      </c>
      <c r="H238" s="217">
        <f>Levy!J239</f>
        <v>7235.7</v>
      </c>
      <c r="I238" s="219">
        <v>0</v>
      </c>
      <c r="J238" s="219">
        <v>0</v>
      </c>
      <c r="K238" s="219">
        <v>0</v>
      </c>
      <c r="L238" s="219">
        <v>0</v>
      </c>
      <c r="M238" s="219">
        <v>0</v>
      </c>
      <c r="N238" s="19">
        <v>0</v>
      </c>
      <c r="O238" s="19">
        <v>0</v>
      </c>
      <c r="P238" s="219">
        <v>0</v>
      </c>
      <c r="Q238" s="219">
        <v>0</v>
      </c>
      <c r="R238" s="219">
        <v>0</v>
      </c>
      <c r="S238" s="219">
        <v>0</v>
      </c>
      <c r="T238" s="19">
        <v>0</v>
      </c>
      <c r="U238" s="19">
        <v>0</v>
      </c>
      <c r="V238" s="19">
        <v>19500</v>
      </c>
      <c r="W238" s="19">
        <v>45500</v>
      </c>
      <c r="X238" s="19">
        <v>0</v>
      </c>
      <c r="Y238" s="217">
        <v>0</v>
      </c>
      <c r="Z238" s="3">
        <f t="shared" si="19"/>
        <v>0</v>
      </c>
      <c r="AA238" s="3">
        <f t="shared" si="20"/>
        <v>328.58</v>
      </c>
      <c r="AB238" s="3">
        <f t="shared" si="22"/>
        <v>7235.7</v>
      </c>
      <c r="AC238" s="3">
        <f>ROUND(MAX(0,(D238-V238)*'Shift 14'!$B$2),2)</f>
        <v>0</v>
      </c>
      <c r="AD238" s="3">
        <f t="shared" si="21"/>
        <v>0</v>
      </c>
      <c r="AE238" s="3">
        <f t="shared" si="23"/>
        <v>0</v>
      </c>
      <c r="AF238" s="214">
        <v>815</v>
      </c>
      <c r="AG238" s="214">
        <v>2</v>
      </c>
      <c r="AH238" s="3">
        <v>19500</v>
      </c>
      <c r="AI238" s="3">
        <v>45500</v>
      </c>
      <c r="AJ238" s="3">
        <v>0</v>
      </c>
      <c r="AK238" s="3">
        <v>0</v>
      </c>
      <c r="AL238" s="3">
        <v>0</v>
      </c>
      <c r="AM238" s="3">
        <v>0</v>
      </c>
      <c r="AN238" s="3">
        <v>0</v>
      </c>
      <c r="AO238" s="3">
        <v>0</v>
      </c>
      <c r="AP238" s="3">
        <v>0</v>
      </c>
      <c r="AQ238" s="3">
        <v>0</v>
      </c>
      <c r="AR238" s="3">
        <v>0</v>
      </c>
      <c r="AS238" s="3">
        <v>0</v>
      </c>
      <c r="AT238" s="3">
        <v>0</v>
      </c>
      <c r="AU238" s="3">
        <f t="shared" si="24"/>
        <v>0</v>
      </c>
      <c r="AV238" s="17">
        <v>815</v>
      </c>
      <c r="AW238" s="17">
        <v>815</v>
      </c>
      <c r="AX238" s="17">
        <v>2</v>
      </c>
      <c r="AY238" s="3" t="s">
        <v>241</v>
      </c>
      <c r="AZ238" s="3">
        <v>0</v>
      </c>
      <c r="BA238" s="19">
        <v>0</v>
      </c>
    </row>
    <row r="239" spans="1:53" x14ac:dyDescent="0.2">
      <c r="A239" s="17">
        <v>818</v>
      </c>
      <c r="B239" s="17">
        <v>1</v>
      </c>
      <c r="C239" s="3" t="s">
        <v>242</v>
      </c>
      <c r="D239" s="3">
        <f>Levy!F240</f>
        <v>0</v>
      </c>
      <c r="E239" s="3">
        <f>Levy!G240</f>
        <v>49611</v>
      </c>
      <c r="F239" s="3">
        <f>Levy!H240</f>
        <v>0</v>
      </c>
      <c r="G239" s="3">
        <f>Levy!I240</f>
        <v>0</v>
      </c>
      <c r="H239" s="217">
        <f>Levy!J240</f>
        <v>18468</v>
      </c>
      <c r="I239" s="219">
        <v>0</v>
      </c>
      <c r="J239" s="219">
        <v>2500</v>
      </c>
      <c r="K239" s="219">
        <v>4160.1400000000003</v>
      </c>
      <c r="L239" s="219">
        <v>0</v>
      </c>
      <c r="M239" s="219">
        <v>0</v>
      </c>
      <c r="N239" s="19">
        <v>0</v>
      </c>
      <c r="O239" s="19">
        <v>0</v>
      </c>
      <c r="P239" s="219">
        <v>2557.61</v>
      </c>
      <c r="Q239" s="219">
        <v>0</v>
      </c>
      <c r="R239" s="219">
        <v>-1665.08</v>
      </c>
      <c r="S239" s="219">
        <v>0</v>
      </c>
      <c r="T239" s="19">
        <v>0</v>
      </c>
      <c r="U239" s="19">
        <v>0</v>
      </c>
      <c r="V239" s="19">
        <v>0</v>
      </c>
      <c r="W239" s="19">
        <v>0</v>
      </c>
      <c r="X239" s="19">
        <v>0</v>
      </c>
      <c r="Y239" s="217">
        <v>10032.65</v>
      </c>
      <c r="Z239" s="3">
        <f t="shared" si="19"/>
        <v>7552.67</v>
      </c>
      <c r="AA239" s="3">
        <f t="shared" si="20"/>
        <v>42058.33</v>
      </c>
      <c r="AB239" s="3">
        <f t="shared" si="22"/>
        <v>18468</v>
      </c>
      <c r="AC239" s="3">
        <f>ROUND(MAX(0,(D239-V239)*'Shift 14'!$B$2),2)</f>
        <v>0</v>
      </c>
      <c r="AD239" s="3">
        <f t="shared" si="21"/>
        <v>10032.65</v>
      </c>
      <c r="AE239" s="3">
        <f t="shared" si="23"/>
        <v>0</v>
      </c>
      <c r="AF239" s="214">
        <v>818</v>
      </c>
      <c r="AG239" s="214">
        <v>1</v>
      </c>
      <c r="AH239" s="3">
        <v>0</v>
      </c>
      <c r="AI239" s="3">
        <v>0</v>
      </c>
      <c r="AJ239" s="3">
        <v>0</v>
      </c>
      <c r="AK239" s="3">
        <v>2500</v>
      </c>
      <c r="AL239" s="3">
        <v>4160.1400000000003</v>
      </c>
      <c r="AM239" s="3">
        <v>0</v>
      </c>
      <c r="AN239" s="3">
        <v>0</v>
      </c>
      <c r="AO239" s="3">
        <v>0</v>
      </c>
      <c r="AP239" s="3">
        <v>0</v>
      </c>
      <c r="AQ239" s="3">
        <v>2557.61</v>
      </c>
      <c r="AR239" s="3">
        <v>0</v>
      </c>
      <c r="AS239" s="3">
        <v>-1665.08</v>
      </c>
      <c r="AT239" s="3">
        <v>0</v>
      </c>
      <c r="AU239" s="3">
        <f t="shared" si="24"/>
        <v>0</v>
      </c>
      <c r="AV239" s="17">
        <v>818</v>
      </c>
      <c r="AW239" s="17">
        <v>818</v>
      </c>
      <c r="AX239" s="17">
        <v>1</v>
      </c>
      <c r="AY239" s="3" t="s">
        <v>242</v>
      </c>
      <c r="AZ239" s="3">
        <v>0</v>
      </c>
      <c r="BA239" s="19">
        <v>10032.65</v>
      </c>
    </row>
    <row r="240" spans="1:53" x14ac:dyDescent="0.2">
      <c r="A240" s="17">
        <v>820</v>
      </c>
      <c r="B240" s="17">
        <v>1</v>
      </c>
      <c r="C240" s="3" t="s">
        <v>243</v>
      </c>
      <c r="D240" s="3">
        <f>Levy!F241</f>
        <v>172161</v>
      </c>
      <c r="E240" s="3">
        <f>Levy!G241</f>
        <v>24472</v>
      </c>
      <c r="F240" s="3">
        <f>Levy!H241</f>
        <v>0</v>
      </c>
      <c r="G240" s="3">
        <f>Levy!I241</f>
        <v>147264</v>
      </c>
      <c r="H240" s="217">
        <f>Levy!J241</f>
        <v>30093</v>
      </c>
      <c r="I240" s="219">
        <v>0</v>
      </c>
      <c r="J240" s="221">
        <v>12777</v>
      </c>
      <c r="K240" s="221">
        <v>17912.490000000002</v>
      </c>
      <c r="L240" s="221">
        <v>0</v>
      </c>
      <c r="M240" s="221">
        <v>0</v>
      </c>
      <c r="N240" s="19">
        <v>0</v>
      </c>
      <c r="O240" s="19">
        <v>0</v>
      </c>
      <c r="P240" s="221">
        <v>-11160</v>
      </c>
      <c r="Q240" s="221">
        <v>-7429.12</v>
      </c>
      <c r="R240" s="221">
        <v>-3495.14</v>
      </c>
      <c r="S240" s="221">
        <v>0</v>
      </c>
      <c r="T240" s="19">
        <v>0</v>
      </c>
      <c r="U240" s="19">
        <v>0</v>
      </c>
      <c r="V240" s="19">
        <v>0</v>
      </c>
      <c r="W240" s="19">
        <v>0</v>
      </c>
      <c r="X240" s="19">
        <v>0</v>
      </c>
      <c r="Y240" s="217">
        <v>16184.54</v>
      </c>
      <c r="Z240" s="3">
        <f t="shared" si="19"/>
        <v>8605.2300000000032</v>
      </c>
      <c r="AA240" s="3">
        <f t="shared" si="20"/>
        <v>163130.76999999999</v>
      </c>
      <c r="AB240" s="3">
        <f t="shared" si="22"/>
        <v>30093</v>
      </c>
      <c r="AC240" s="3">
        <f>ROUND(MAX(0,(D240-V240)*'Shift 14'!$B$2),2)</f>
        <v>0</v>
      </c>
      <c r="AD240" s="3">
        <f t="shared" si="21"/>
        <v>16184.54</v>
      </c>
      <c r="AE240" s="3">
        <f t="shared" si="23"/>
        <v>0</v>
      </c>
      <c r="AF240" s="214">
        <v>820</v>
      </c>
      <c r="AG240" s="214">
        <v>1</v>
      </c>
      <c r="AH240" s="3">
        <v>0</v>
      </c>
      <c r="AI240" s="3">
        <v>0</v>
      </c>
      <c r="AJ240" s="3">
        <v>0</v>
      </c>
      <c r="AK240" s="3">
        <v>12777</v>
      </c>
      <c r="AL240" s="3">
        <v>17912.490000000002</v>
      </c>
      <c r="AM240" s="3">
        <v>0</v>
      </c>
      <c r="AN240" s="3">
        <v>0</v>
      </c>
      <c r="AO240" s="3">
        <v>0</v>
      </c>
      <c r="AP240" s="3">
        <v>0</v>
      </c>
      <c r="AQ240" s="3">
        <v>-11160</v>
      </c>
      <c r="AR240" s="3">
        <v>-7429.12</v>
      </c>
      <c r="AS240" s="3">
        <v>-3495.14</v>
      </c>
      <c r="AT240" s="3">
        <v>0</v>
      </c>
      <c r="AU240" s="3">
        <f t="shared" si="24"/>
        <v>0</v>
      </c>
      <c r="AV240" s="17">
        <v>820</v>
      </c>
      <c r="AW240" s="17">
        <v>820</v>
      </c>
      <c r="AX240" s="17">
        <v>1</v>
      </c>
      <c r="AY240" s="3" t="s">
        <v>243</v>
      </c>
      <c r="AZ240" s="3">
        <v>0</v>
      </c>
      <c r="BA240" s="19">
        <v>16184.54</v>
      </c>
    </row>
    <row r="241" spans="1:53" x14ac:dyDescent="0.2">
      <c r="A241" s="17">
        <v>821</v>
      </c>
      <c r="B241" s="17">
        <v>1</v>
      </c>
      <c r="C241" s="3" t="s">
        <v>244</v>
      </c>
      <c r="D241" s="3">
        <f>Levy!F242</f>
        <v>0</v>
      </c>
      <c r="E241" s="3">
        <f>Levy!G242</f>
        <v>128941</v>
      </c>
      <c r="F241" s="3">
        <f>Levy!H242</f>
        <v>0</v>
      </c>
      <c r="G241" s="3">
        <f>Levy!I242</f>
        <v>311467</v>
      </c>
      <c r="H241" s="217">
        <f>Levy!J242</f>
        <v>38749</v>
      </c>
      <c r="I241" s="219">
        <v>0</v>
      </c>
      <c r="J241" s="219">
        <v>4000</v>
      </c>
      <c r="K241" s="219">
        <v>8000.89</v>
      </c>
      <c r="L241" s="219">
        <v>0</v>
      </c>
      <c r="M241" s="219">
        <v>0</v>
      </c>
      <c r="N241" s="19">
        <v>0</v>
      </c>
      <c r="O241" s="19">
        <v>0</v>
      </c>
      <c r="P241" s="219">
        <v>-4279.16</v>
      </c>
      <c r="Q241" s="219">
        <v>0</v>
      </c>
      <c r="R241" s="219">
        <v>-2390.86</v>
      </c>
      <c r="S241" s="219">
        <v>0</v>
      </c>
      <c r="T241" s="19">
        <v>0</v>
      </c>
      <c r="U241" s="19">
        <v>0</v>
      </c>
      <c r="V241" s="19">
        <v>0</v>
      </c>
      <c r="W241" s="19">
        <v>0</v>
      </c>
      <c r="X241" s="19">
        <v>0</v>
      </c>
      <c r="Y241" s="217">
        <v>0</v>
      </c>
      <c r="Z241" s="3">
        <f t="shared" si="19"/>
        <v>5330.869999999999</v>
      </c>
      <c r="AA241" s="3">
        <f t="shared" si="20"/>
        <v>435077.13</v>
      </c>
      <c r="AB241" s="3">
        <f t="shared" si="22"/>
        <v>38749</v>
      </c>
      <c r="AC241" s="3">
        <f>ROUND(MAX(0,(D241-V241)*'Shift 14'!$B$2),2)</f>
        <v>0</v>
      </c>
      <c r="AD241" s="3">
        <f t="shared" si="21"/>
        <v>0</v>
      </c>
      <c r="AE241" s="3">
        <f t="shared" si="23"/>
        <v>0</v>
      </c>
      <c r="AF241" s="214">
        <v>821</v>
      </c>
      <c r="AG241" s="214">
        <v>1</v>
      </c>
      <c r="AH241" s="3">
        <v>0</v>
      </c>
      <c r="AI241" s="3">
        <v>0</v>
      </c>
      <c r="AJ241" s="3">
        <v>0</v>
      </c>
      <c r="AK241" s="3">
        <v>4000</v>
      </c>
      <c r="AL241" s="3">
        <v>8000.89</v>
      </c>
      <c r="AM241" s="3">
        <v>0</v>
      </c>
      <c r="AN241" s="3">
        <v>0</v>
      </c>
      <c r="AO241" s="3">
        <v>0</v>
      </c>
      <c r="AP241" s="3">
        <v>0</v>
      </c>
      <c r="AQ241" s="3">
        <v>-4279.16</v>
      </c>
      <c r="AR241" s="3">
        <v>0</v>
      </c>
      <c r="AS241" s="3">
        <v>-2390.86</v>
      </c>
      <c r="AT241" s="3">
        <v>0</v>
      </c>
      <c r="AU241" s="3">
        <f t="shared" si="24"/>
        <v>0</v>
      </c>
      <c r="AV241" s="17">
        <v>821</v>
      </c>
      <c r="AW241" s="17">
        <v>821</v>
      </c>
      <c r="AX241" s="17">
        <v>1</v>
      </c>
      <c r="AY241" s="3" t="s">
        <v>244</v>
      </c>
      <c r="AZ241" s="3">
        <v>0</v>
      </c>
      <c r="BA241" s="19">
        <v>0</v>
      </c>
    </row>
    <row r="242" spans="1:53" x14ac:dyDescent="0.2">
      <c r="A242" s="17">
        <v>829</v>
      </c>
      <c r="B242" s="17">
        <v>1</v>
      </c>
      <c r="C242" s="3" t="s">
        <v>245</v>
      </c>
      <c r="D242" s="3">
        <f>Levy!F243</f>
        <v>812660</v>
      </c>
      <c r="E242" s="3">
        <f>Levy!G243</f>
        <v>154049</v>
      </c>
      <c r="F242" s="3">
        <f>Levy!H243</f>
        <v>0</v>
      </c>
      <c r="G242" s="3">
        <f>Levy!I243</f>
        <v>390750</v>
      </c>
      <c r="H242" s="217">
        <f>Levy!J243</f>
        <v>175288</v>
      </c>
      <c r="I242" s="219">
        <v>0</v>
      </c>
      <c r="J242" s="219">
        <v>10000</v>
      </c>
      <c r="K242" s="219">
        <v>34605.71</v>
      </c>
      <c r="L242" s="219">
        <v>0</v>
      </c>
      <c r="M242" s="219">
        <v>0</v>
      </c>
      <c r="N242" s="19">
        <v>0</v>
      </c>
      <c r="O242" s="19">
        <v>0</v>
      </c>
      <c r="P242" s="219">
        <v>-1752.64</v>
      </c>
      <c r="Q242" s="219">
        <v>0</v>
      </c>
      <c r="R242" s="219">
        <v>-6860.31</v>
      </c>
      <c r="S242" s="219">
        <v>0</v>
      </c>
      <c r="T242" s="19">
        <v>0</v>
      </c>
      <c r="U242" s="19">
        <v>0</v>
      </c>
      <c r="V242" s="19">
        <v>0</v>
      </c>
      <c r="W242" s="19">
        <v>0</v>
      </c>
      <c r="X242" s="19">
        <v>0</v>
      </c>
      <c r="Y242" s="217">
        <v>96765.35</v>
      </c>
      <c r="Z242" s="3">
        <f t="shared" si="19"/>
        <v>35992.76</v>
      </c>
      <c r="AA242" s="3">
        <f t="shared" si="20"/>
        <v>508806.24</v>
      </c>
      <c r="AB242" s="3">
        <f t="shared" si="22"/>
        <v>175288</v>
      </c>
      <c r="AC242" s="3">
        <f>ROUND(MAX(0,(D242-V242)*'Shift 14'!$B$2),2)</f>
        <v>0</v>
      </c>
      <c r="AD242" s="3">
        <f t="shared" si="21"/>
        <v>96765.35</v>
      </c>
      <c r="AE242" s="3">
        <f t="shared" si="23"/>
        <v>0</v>
      </c>
      <c r="AF242" s="214">
        <v>829</v>
      </c>
      <c r="AG242" s="214">
        <v>1</v>
      </c>
      <c r="AH242" s="3">
        <v>-547.33000000000004</v>
      </c>
      <c r="AI242" s="3">
        <v>0</v>
      </c>
      <c r="AJ242" s="3">
        <v>0</v>
      </c>
      <c r="AK242" s="3">
        <v>10000</v>
      </c>
      <c r="AL242" s="3">
        <v>34605.71</v>
      </c>
      <c r="AM242" s="3">
        <v>0</v>
      </c>
      <c r="AN242" s="3">
        <v>0</v>
      </c>
      <c r="AO242" s="3">
        <v>0</v>
      </c>
      <c r="AP242" s="3">
        <v>0</v>
      </c>
      <c r="AQ242" s="3">
        <v>-1752.64</v>
      </c>
      <c r="AR242" s="3">
        <v>0</v>
      </c>
      <c r="AS242" s="3">
        <v>-6860.31</v>
      </c>
      <c r="AT242" s="3">
        <v>0</v>
      </c>
      <c r="AU242" s="3">
        <f t="shared" si="24"/>
        <v>0</v>
      </c>
      <c r="AV242" s="17">
        <v>829</v>
      </c>
      <c r="AW242" s="17">
        <v>829</v>
      </c>
      <c r="AX242" s="17">
        <v>1</v>
      </c>
      <c r="AY242" s="3" t="s">
        <v>245</v>
      </c>
      <c r="AZ242" s="3">
        <v>0</v>
      </c>
      <c r="BA242" s="19">
        <v>96765.35</v>
      </c>
    </row>
    <row r="243" spans="1:53" x14ac:dyDescent="0.2">
      <c r="A243" s="17">
        <v>831</v>
      </c>
      <c r="B243" s="17">
        <v>1</v>
      </c>
      <c r="C243" s="3" t="s">
        <v>246</v>
      </c>
      <c r="D243" s="3">
        <f>Levy!F244</f>
        <v>2441206</v>
      </c>
      <c r="E243" s="3">
        <f>Levy!G244</f>
        <v>4128424</v>
      </c>
      <c r="F243" s="3">
        <f>Levy!H244</f>
        <v>0</v>
      </c>
      <c r="G243" s="3">
        <f>Levy!I244</f>
        <v>5010753</v>
      </c>
      <c r="H243" s="217">
        <f>Levy!J244</f>
        <v>927694</v>
      </c>
      <c r="I243" s="219">
        <v>0</v>
      </c>
      <c r="J243" s="219">
        <v>80000</v>
      </c>
      <c r="K243" s="219">
        <v>160126.70000000001</v>
      </c>
      <c r="L243" s="219">
        <v>0</v>
      </c>
      <c r="M243" s="219">
        <v>0</v>
      </c>
      <c r="N243" s="19">
        <v>0</v>
      </c>
      <c r="O243" s="19">
        <v>0</v>
      </c>
      <c r="P243" s="219">
        <v>-33628.03</v>
      </c>
      <c r="Q243" s="219">
        <v>0</v>
      </c>
      <c r="R243" s="219">
        <v>-53988.2</v>
      </c>
      <c r="S243" s="219">
        <v>0</v>
      </c>
      <c r="T243" s="19">
        <v>0</v>
      </c>
      <c r="U243" s="19">
        <v>0</v>
      </c>
      <c r="V243" s="19">
        <v>0</v>
      </c>
      <c r="W243" s="19">
        <v>0</v>
      </c>
      <c r="X243" s="19">
        <v>0</v>
      </c>
      <c r="Y243" s="217">
        <v>393408.33</v>
      </c>
      <c r="Z243" s="3">
        <f t="shared" si="19"/>
        <v>152510.47000000003</v>
      </c>
      <c r="AA243" s="3">
        <f t="shared" si="20"/>
        <v>8986666.5299999993</v>
      </c>
      <c r="AB243" s="3">
        <f t="shared" si="22"/>
        <v>927694</v>
      </c>
      <c r="AC243" s="3">
        <f>ROUND(MAX(0,(D243-V243)*'Shift 14'!$B$2),2)</f>
        <v>0</v>
      </c>
      <c r="AD243" s="3">
        <f t="shared" si="21"/>
        <v>393408.33</v>
      </c>
      <c r="AE243" s="3">
        <f t="shared" si="23"/>
        <v>0</v>
      </c>
      <c r="AF243" s="214">
        <v>831</v>
      </c>
      <c r="AG243" s="214">
        <v>1</v>
      </c>
      <c r="AH243" s="3">
        <v>0</v>
      </c>
      <c r="AI243" s="3">
        <v>0</v>
      </c>
      <c r="AJ243" s="3">
        <v>154112.25</v>
      </c>
      <c r="AK243" s="3">
        <v>80000</v>
      </c>
      <c r="AL243" s="3">
        <v>160126.70000000001</v>
      </c>
      <c r="AM243" s="3">
        <v>0</v>
      </c>
      <c r="AN243" s="3">
        <v>0</v>
      </c>
      <c r="AO243" s="3">
        <v>0</v>
      </c>
      <c r="AP243" s="3">
        <v>-6232.36</v>
      </c>
      <c r="AQ243" s="3">
        <v>-33628.03</v>
      </c>
      <c r="AR243" s="3">
        <v>0</v>
      </c>
      <c r="AS243" s="3">
        <v>-53988.2</v>
      </c>
      <c r="AT243" s="3">
        <v>0</v>
      </c>
      <c r="AU243" s="3">
        <f t="shared" si="24"/>
        <v>0</v>
      </c>
      <c r="AV243" s="17">
        <v>831</v>
      </c>
      <c r="AW243" s="17">
        <v>831</v>
      </c>
      <c r="AX243" s="17">
        <v>1</v>
      </c>
      <c r="AY243" s="3" t="s">
        <v>246</v>
      </c>
      <c r="AZ243" s="3">
        <v>0</v>
      </c>
      <c r="BA243" s="19">
        <v>393408.33</v>
      </c>
    </row>
    <row r="244" spans="1:53" x14ac:dyDescent="0.2">
      <c r="A244" s="17">
        <v>832</v>
      </c>
      <c r="B244" s="17">
        <v>1</v>
      </c>
      <c r="C244" s="3" t="s">
        <v>247</v>
      </c>
      <c r="D244" s="3">
        <f>Levy!F245</f>
        <v>448456</v>
      </c>
      <c r="E244" s="3">
        <f>Levy!G245</f>
        <v>2779140</v>
      </c>
      <c r="F244" s="3">
        <f>Levy!H245</f>
        <v>537868</v>
      </c>
      <c r="G244" s="3">
        <f>Levy!I245</f>
        <v>1593502</v>
      </c>
      <c r="H244" s="217">
        <f>Levy!J245</f>
        <v>286893</v>
      </c>
      <c r="I244" s="219">
        <v>0</v>
      </c>
      <c r="J244" s="219">
        <v>15000</v>
      </c>
      <c r="K244" s="219">
        <v>64059.94</v>
      </c>
      <c r="L244" s="219">
        <v>0</v>
      </c>
      <c r="M244" s="219">
        <v>0</v>
      </c>
      <c r="N244" s="19">
        <v>0</v>
      </c>
      <c r="O244" s="19">
        <v>0</v>
      </c>
      <c r="P244" s="219">
        <v>-54884.97</v>
      </c>
      <c r="Q244" s="219">
        <v>0</v>
      </c>
      <c r="R244" s="219">
        <v>-16556.419999999998</v>
      </c>
      <c r="S244" s="219">
        <v>0</v>
      </c>
      <c r="T244" s="19">
        <v>0</v>
      </c>
      <c r="U244" s="19">
        <v>0</v>
      </c>
      <c r="V244" s="19">
        <v>0</v>
      </c>
      <c r="W244" s="19">
        <v>0</v>
      </c>
      <c r="X244" s="19">
        <v>20881.96</v>
      </c>
      <c r="Y244" s="217">
        <v>632970.1</v>
      </c>
      <c r="Z244" s="3">
        <f t="shared" si="19"/>
        <v>7618.5500000000029</v>
      </c>
      <c r="AA244" s="3">
        <f t="shared" si="20"/>
        <v>4882009.49</v>
      </c>
      <c r="AB244" s="3">
        <f t="shared" si="22"/>
        <v>286893</v>
      </c>
      <c r="AC244" s="3">
        <f>ROUND(MAX(0,(D244-V244)*'Shift 14'!$B$2),2)</f>
        <v>0</v>
      </c>
      <c r="AD244" s="3">
        <f t="shared" si="21"/>
        <v>632970.1</v>
      </c>
      <c r="AE244" s="3">
        <f t="shared" si="23"/>
        <v>0</v>
      </c>
      <c r="AF244" s="214">
        <v>832</v>
      </c>
      <c r="AG244" s="214">
        <v>1</v>
      </c>
      <c r="AH244" s="3">
        <v>0</v>
      </c>
      <c r="AI244" s="3">
        <v>0</v>
      </c>
      <c r="AJ244" s="3">
        <v>89111.7</v>
      </c>
      <c r="AK244" s="3">
        <v>15000</v>
      </c>
      <c r="AL244" s="3">
        <v>64059.94</v>
      </c>
      <c r="AM244" s="3">
        <v>0</v>
      </c>
      <c r="AN244" s="3">
        <v>0</v>
      </c>
      <c r="AO244" s="3">
        <v>0</v>
      </c>
      <c r="AP244" s="3">
        <v>-8795.8799999999992</v>
      </c>
      <c r="AQ244" s="3">
        <v>-54884.97</v>
      </c>
      <c r="AR244" s="3">
        <v>0</v>
      </c>
      <c r="AS244" s="3">
        <v>-16556.419999999998</v>
      </c>
      <c r="AT244" s="3">
        <v>0</v>
      </c>
      <c r="AU244" s="3">
        <f t="shared" si="24"/>
        <v>0</v>
      </c>
      <c r="AV244" s="17">
        <v>832</v>
      </c>
      <c r="AW244" s="17">
        <v>832</v>
      </c>
      <c r="AX244" s="17">
        <v>1</v>
      </c>
      <c r="AY244" s="3" t="s">
        <v>247</v>
      </c>
      <c r="AZ244" s="3">
        <v>20881.96</v>
      </c>
      <c r="BA244" s="19">
        <v>632970.1</v>
      </c>
    </row>
    <row r="245" spans="1:53" x14ac:dyDescent="0.2">
      <c r="A245" s="17">
        <v>833</v>
      </c>
      <c r="B245" s="17">
        <v>1</v>
      </c>
      <c r="C245" s="3" t="s">
        <v>248</v>
      </c>
      <c r="D245" s="3">
        <f>Levy!F246</f>
        <v>12427543</v>
      </c>
      <c r="E245" s="3">
        <f>Levy!G246</f>
        <v>7955173</v>
      </c>
      <c r="F245" s="3">
        <f>Levy!H246</f>
        <v>1002026</v>
      </c>
      <c r="G245" s="3">
        <f>Levy!I246</f>
        <v>7174589</v>
      </c>
      <c r="H245" s="217">
        <f>Levy!J246</f>
        <v>1347189</v>
      </c>
      <c r="I245" s="219">
        <v>0</v>
      </c>
      <c r="J245" s="219">
        <v>85000</v>
      </c>
      <c r="K245" s="219">
        <v>272992.49</v>
      </c>
      <c r="L245" s="219">
        <v>0</v>
      </c>
      <c r="M245" s="219">
        <v>0</v>
      </c>
      <c r="N245" s="19">
        <v>0</v>
      </c>
      <c r="O245" s="19">
        <v>0</v>
      </c>
      <c r="P245" s="219">
        <v>71128.52</v>
      </c>
      <c r="Q245" s="219">
        <v>0</v>
      </c>
      <c r="R245" s="219">
        <v>-59836.58</v>
      </c>
      <c r="S245" s="219">
        <v>0</v>
      </c>
      <c r="T245" s="19">
        <v>0</v>
      </c>
      <c r="U245" s="19">
        <v>0</v>
      </c>
      <c r="V245" s="19">
        <v>0</v>
      </c>
      <c r="W245" s="19">
        <v>0</v>
      </c>
      <c r="X245" s="19">
        <v>55969.13</v>
      </c>
      <c r="Y245" s="217">
        <v>2822207.2</v>
      </c>
      <c r="Z245" s="3">
        <f t="shared" si="19"/>
        <v>369284.43</v>
      </c>
      <c r="AA245" s="3">
        <f t="shared" si="20"/>
        <v>15706534.439999999</v>
      </c>
      <c r="AB245" s="3">
        <f t="shared" si="22"/>
        <v>1347189</v>
      </c>
      <c r="AC245" s="3">
        <f>ROUND(MAX(0,(D245-V245)*'Shift 14'!$B$2),2)</f>
        <v>0</v>
      </c>
      <c r="AD245" s="3">
        <f t="shared" si="21"/>
        <v>2822207.2</v>
      </c>
      <c r="AE245" s="3">
        <f t="shared" si="23"/>
        <v>0</v>
      </c>
      <c r="AF245" s="214">
        <v>833</v>
      </c>
      <c r="AG245" s="214">
        <v>1</v>
      </c>
      <c r="AH245" s="3">
        <v>0</v>
      </c>
      <c r="AI245" s="3">
        <v>0</v>
      </c>
      <c r="AJ245" s="3">
        <v>731187.14</v>
      </c>
      <c r="AK245" s="3">
        <v>85000</v>
      </c>
      <c r="AL245" s="3">
        <v>272992.49</v>
      </c>
      <c r="AM245" s="3">
        <v>0</v>
      </c>
      <c r="AN245" s="3">
        <v>0</v>
      </c>
      <c r="AO245" s="3">
        <v>0</v>
      </c>
      <c r="AP245" s="3">
        <v>-30417.45</v>
      </c>
      <c r="AQ245" s="3">
        <v>71128.52</v>
      </c>
      <c r="AR245" s="3">
        <v>0</v>
      </c>
      <c r="AS245" s="3">
        <v>-59836.58</v>
      </c>
      <c r="AT245" s="3">
        <v>0</v>
      </c>
      <c r="AU245" s="3">
        <f t="shared" si="24"/>
        <v>0</v>
      </c>
      <c r="AV245" s="17">
        <v>833</v>
      </c>
      <c r="AW245" s="17">
        <v>833</v>
      </c>
      <c r="AX245" s="17">
        <v>1</v>
      </c>
      <c r="AY245" s="3" t="s">
        <v>248</v>
      </c>
      <c r="AZ245" s="3">
        <v>55969.13</v>
      </c>
      <c r="BA245" s="19">
        <v>2822207.2</v>
      </c>
    </row>
    <row r="246" spans="1:53" x14ac:dyDescent="0.2">
      <c r="A246" s="17">
        <v>834</v>
      </c>
      <c r="B246" s="17">
        <v>1</v>
      </c>
      <c r="C246" s="3" t="s">
        <v>249</v>
      </c>
      <c r="D246" s="3">
        <f>Levy!F247</f>
        <v>14446217</v>
      </c>
      <c r="E246" s="3">
        <f>Levy!G247</f>
        <v>2616128</v>
      </c>
      <c r="F246" s="3">
        <f>Levy!H247</f>
        <v>0</v>
      </c>
      <c r="G246" s="3">
        <f>Levy!I247</f>
        <v>7665791</v>
      </c>
      <c r="H246" s="217">
        <f>Levy!J247</f>
        <v>899771</v>
      </c>
      <c r="I246" s="219">
        <v>0</v>
      </c>
      <c r="J246" s="219">
        <v>88307.82</v>
      </c>
      <c r="K246" s="219">
        <v>207521.69</v>
      </c>
      <c r="L246" s="219">
        <v>0</v>
      </c>
      <c r="M246" s="219">
        <v>0</v>
      </c>
      <c r="N246" s="19">
        <v>0</v>
      </c>
      <c r="O246" s="19">
        <v>0</v>
      </c>
      <c r="P246" s="219">
        <v>19810.810000000001</v>
      </c>
      <c r="Q246" s="219">
        <v>0</v>
      </c>
      <c r="R246" s="219">
        <v>-25771.25</v>
      </c>
      <c r="S246" s="219">
        <v>0</v>
      </c>
      <c r="T246" s="19">
        <v>0</v>
      </c>
      <c r="U246" s="19">
        <v>0</v>
      </c>
      <c r="V246" s="19">
        <v>0</v>
      </c>
      <c r="W246" s="19">
        <v>0</v>
      </c>
      <c r="X246" s="19">
        <v>207626.7</v>
      </c>
      <c r="Y246" s="217">
        <v>1639817.77</v>
      </c>
      <c r="Z246" s="3">
        <f t="shared" si="19"/>
        <v>289869.07</v>
      </c>
      <c r="AA246" s="3">
        <f t="shared" si="20"/>
        <v>9784423.2300000004</v>
      </c>
      <c r="AB246" s="3">
        <f t="shared" si="22"/>
        <v>899771</v>
      </c>
      <c r="AC246" s="3">
        <f>ROUND(MAX(0,(D246-V246)*'Shift 14'!$B$2),2)</f>
        <v>0</v>
      </c>
      <c r="AD246" s="3">
        <f t="shared" si="21"/>
        <v>1639817.77</v>
      </c>
      <c r="AE246" s="3">
        <f t="shared" si="23"/>
        <v>0</v>
      </c>
      <c r="AF246" s="214">
        <v>834</v>
      </c>
      <c r="AG246" s="214">
        <v>1</v>
      </c>
      <c r="AH246" s="3">
        <v>0</v>
      </c>
      <c r="AI246" s="3">
        <v>0</v>
      </c>
      <c r="AJ246" s="3">
        <v>238388.99</v>
      </c>
      <c r="AK246" s="3">
        <v>88307.82</v>
      </c>
      <c r="AL246" s="3">
        <v>207521.69</v>
      </c>
      <c r="AM246" s="3">
        <v>0</v>
      </c>
      <c r="AN246" s="3">
        <v>0</v>
      </c>
      <c r="AO246" s="3">
        <v>0</v>
      </c>
      <c r="AP246" s="3">
        <v>-165.6</v>
      </c>
      <c r="AQ246" s="3">
        <v>19810.810000000001</v>
      </c>
      <c r="AR246" s="3">
        <v>0</v>
      </c>
      <c r="AS246" s="3">
        <v>-25771.25</v>
      </c>
      <c r="AT246" s="3">
        <v>0</v>
      </c>
      <c r="AU246" s="3">
        <f t="shared" si="24"/>
        <v>0</v>
      </c>
      <c r="AV246" s="17">
        <v>834</v>
      </c>
      <c r="AW246" s="17">
        <v>834</v>
      </c>
      <c r="AX246" s="17">
        <v>1</v>
      </c>
      <c r="AY246" s="3" t="s">
        <v>249</v>
      </c>
      <c r="AZ246" s="3">
        <v>207626.7</v>
      </c>
      <c r="BA246" s="19">
        <v>1639817.77</v>
      </c>
    </row>
    <row r="247" spans="1:53" x14ac:dyDescent="0.2">
      <c r="A247" s="17">
        <v>836</v>
      </c>
      <c r="B247" s="17">
        <v>1</v>
      </c>
      <c r="C247" s="3" t="s">
        <v>250</v>
      </c>
      <c r="D247" s="3">
        <f>Levy!F248</f>
        <v>226725</v>
      </c>
      <c r="E247" s="3">
        <f>Levy!G248</f>
        <v>4787</v>
      </c>
      <c r="F247" s="3">
        <f>Levy!H248</f>
        <v>0</v>
      </c>
      <c r="G247" s="3">
        <f>Levy!I248</f>
        <v>175743</v>
      </c>
      <c r="H247" s="217">
        <f>Levy!J248</f>
        <v>32745</v>
      </c>
      <c r="I247" s="219">
        <v>0</v>
      </c>
      <c r="J247" s="219">
        <v>2500</v>
      </c>
      <c r="K247" s="219">
        <v>10000</v>
      </c>
      <c r="L247" s="219">
        <v>0</v>
      </c>
      <c r="M247" s="219">
        <v>0</v>
      </c>
      <c r="N247" s="19">
        <v>0</v>
      </c>
      <c r="O247" s="19">
        <v>0</v>
      </c>
      <c r="P247" s="219">
        <v>-1079.83</v>
      </c>
      <c r="Q247" s="219">
        <v>0</v>
      </c>
      <c r="R247" s="219">
        <v>-11665.08</v>
      </c>
      <c r="S247" s="219">
        <v>0</v>
      </c>
      <c r="T247" s="19">
        <v>0</v>
      </c>
      <c r="U247" s="19">
        <v>0</v>
      </c>
      <c r="V247" s="19">
        <v>0</v>
      </c>
      <c r="W247" s="19">
        <v>0</v>
      </c>
      <c r="X247" s="19">
        <v>0</v>
      </c>
      <c r="Y247" s="217">
        <v>69875.679999999993</v>
      </c>
      <c r="Z247" s="3">
        <f t="shared" si="19"/>
        <v>-244.90999999999985</v>
      </c>
      <c r="AA247" s="3">
        <f t="shared" si="20"/>
        <v>180774.91</v>
      </c>
      <c r="AB247" s="3">
        <f t="shared" si="22"/>
        <v>32745</v>
      </c>
      <c r="AC247" s="3">
        <f>ROUND(MAX(0,(D247-V247)*'Shift 14'!$B$2),2)</f>
        <v>0</v>
      </c>
      <c r="AD247" s="3">
        <f t="shared" si="21"/>
        <v>69875.679999999993</v>
      </c>
      <c r="AE247" s="3">
        <f t="shared" si="23"/>
        <v>0</v>
      </c>
      <c r="AF247" s="214">
        <v>836</v>
      </c>
      <c r="AG247" s="214">
        <v>1</v>
      </c>
      <c r="AH247" s="3">
        <v>0</v>
      </c>
      <c r="AI247" s="3">
        <v>0</v>
      </c>
      <c r="AJ247" s="3">
        <v>9450.5</v>
      </c>
      <c r="AK247" s="3">
        <v>2500</v>
      </c>
      <c r="AL247" s="3">
        <v>10000</v>
      </c>
      <c r="AM247" s="3">
        <v>0</v>
      </c>
      <c r="AN247" s="3">
        <v>0</v>
      </c>
      <c r="AO247" s="3">
        <v>0</v>
      </c>
      <c r="AP247" s="3">
        <v>0</v>
      </c>
      <c r="AQ247" s="3">
        <v>-1079.83</v>
      </c>
      <c r="AR247" s="3">
        <v>0</v>
      </c>
      <c r="AS247" s="3">
        <v>-11665.08</v>
      </c>
      <c r="AT247" s="3">
        <v>0</v>
      </c>
      <c r="AU247" s="3">
        <f t="shared" si="24"/>
        <v>0</v>
      </c>
      <c r="AV247" s="17">
        <v>836</v>
      </c>
      <c r="AW247" s="17">
        <v>836</v>
      </c>
      <c r="AX247" s="17">
        <v>1</v>
      </c>
      <c r="AY247" s="3" t="s">
        <v>250</v>
      </c>
      <c r="AZ247" s="3">
        <v>0</v>
      </c>
      <c r="BA247" s="19">
        <v>69875.679999999993</v>
      </c>
    </row>
    <row r="248" spans="1:53" x14ac:dyDescent="0.2">
      <c r="A248" s="17">
        <v>837</v>
      </c>
      <c r="B248" s="17">
        <v>1</v>
      </c>
      <c r="C248" s="3" t="s">
        <v>251</v>
      </c>
      <c r="D248" s="3">
        <f>Levy!F249</f>
        <v>463731</v>
      </c>
      <c r="E248" s="3">
        <f>Levy!G249</f>
        <v>37048</v>
      </c>
      <c r="F248" s="3">
        <f>Levy!H249</f>
        <v>0</v>
      </c>
      <c r="G248" s="3">
        <f>Levy!I249</f>
        <v>241400</v>
      </c>
      <c r="H248" s="217">
        <f>Levy!J249</f>
        <v>52123</v>
      </c>
      <c r="I248" s="219">
        <v>0</v>
      </c>
      <c r="J248" s="219">
        <v>15000</v>
      </c>
      <c r="K248" s="219">
        <v>17746.349999999999</v>
      </c>
      <c r="L248" s="219">
        <v>0</v>
      </c>
      <c r="M248" s="219">
        <v>0</v>
      </c>
      <c r="N248" s="19">
        <v>0</v>
      </c>
      <c r="O248" s="19">
        <v>0</v>
      </c>
      <c r="P248" s="219">
        <v>9117.7099999999991</v>
      </c>
      <c r="Q248" s="219">
        <v>0</v>
      </c>
      <c r="R248" s="219">
        <v>-2203.84</v>
      </c>
      <c r="S248" s="219">
        <v>0</v>
      </c>
      <c r="T248" s="19">
        <v>0</v>
      </c>
      <c r="U248" s="19">
        <v>0</v>
      </c>
      <c r="V248" s="19">
        <v>0</v>
      </c>
      <c r="W248" s="19">
        <v>0</v>
      </c>
      <c r="X248" s="19">
        <v>8589.65</v>
      </c>
      <c r="Y248" s="217">
        <v>78714.820000000007</v>
      </c>
      <c r="Z248" s="3">
        <f t="shared" si="19"/>
        <v>39660.22</v>
      </c>
      <c r="AA248" s="3">
        <f t="shared" si="20"/>
        <v>230198.13</v>
      </c>
      <c r="AB248" s="3">
        <f t="shared" si="22"/>
        <v>52123</v>
      </c>
      <c r="AC248" s="3">
        <f>ROUND(MAX(0,(D248-V248)*'Shift 14'!$B$2),2)</f>
        <v>0</v>
      </c>
      <c r="AD248" s="3">
        <f t="shared" si="21"/>
        <v>78714.820000000007</v>
      </c>
      <c r="AE248" s="3">
        <f t="shared" si="23"/>
        <v>0</v>
      </c>
      <c r="AF248" s="214">
        <v>837</v>
      </c>
      <c r="AG248" s="214">
        <v>1</v>
      </c>
      <c r="AH248" s="3">
        <v>0</v>
      </c>
      <c r="AI248" s="3">
        <v>0</v>
      </c>
      <c r="AJ248" s="3">
        <v>0</v>
      </c>
      <c r="AK248" s="3">
        <v>15000</v>
      </c>
      <c r="AL248" s="3">
        <v>17746.349999999999</v>
      </c>
      <c r="AM248" s="3">
        <v>0</v>
      </c>
      <c r="AN248" s="3">
        <v>0</v>
      </c>
      <c r="AO248" s="3">
        <v>0</v>
      </c>
      <c r="AP248" s="3">
        <v>497.4</v>
      </c>
      <c r="AQ248" s="3">
        <v>9117.7099999999991</v>
      </c>
      <c r="AR248" s="3">
        <v>0</v>
      </c>
      <c r="AS248" s="3">
        <v>-2203.84</v>
      </c>
      <c r="AT248" s="3">
        <v>0</v>
      </c>
      <c r="AU248" s="3">
        <f t="shared" si="24"/>
        <v>0</v>
      </c>
      <c r="AV248" s="17">
        <v>837</v>
      </c>
      <c r="AW248" s="17">
        <v>837</v>
      </c>
      <c r="AX248" s="17">
        <v>1</v>
      </c>
      <c r="AY248" s="3" t="s">
        <v>251</v>
      </c>
      <c r="AZ248" s="3">
        <v>8589.65</v>
      </c>
      <c r="BA248" s="19">
        <v>78714.820000000007</v>
      </c>
    </row>
    <row r="249" spans="1:53" x14ac:dyDescent="0.2">
      <c r="A249" s="17">
        <v>840</v>
      </c>
      <c r="B249" s="17">
        <v>1</v>
      </c>
      <c r="C249" s="3" t="s">
        <v>252</v>
      </c>
      <c r="D249" s="3">
        <f>Levy!F250</f>
        <v>473098</v>
      </c>
      <c r="E249" s="3">
        <f>Levy!G250</f>
        <v>47976</v>
      </c>
      <c r="F249" s="3">
        <f>Levy!H250</f>
        <v>0</v>
      </c>
      <c r="G249" s="3">
        <f>Levy!I250</f>
        <v>681167</v>
      </c>
      <c r="H249" s="217">
        <f>Levy!J250</f>
        <v>124377</v>
      </c>
      <c r="I249" s="219">
        <v>0</v>
      </c>
      <c r="J249" s="219">
        <v>903.35</v>
      </c>
      <c r="K249" s="219">
        <v>23123.43</v>
      </c>
      <c r="L249" s="219">
        <v>0</v>
      </c>
      <c r="M249" s="219">
        <v>0</v>
      </c>
      <c r="N249" s="19">
        <v>0</v>
      </c>
      <c r="O249" s="19">
        <v>0</v>
      </c>
      <c r="P249" s="219">
        <v>7762.5</v>
      </c>
      <c r="Q249" s="219">
        <v>0</v>
      </c>
      <c r="R249" s="219">
        <v>22626.35</v>
      </c>
      <c r="S249" s="219">
        <v>0</v>
      </c>
      <c r="T249" s="19">
        <v>0</v>
      </c>
      <c r="U249" s="19">
        <v>0</v>
      </c>
      <c r="V249" s="19">
        <v>0</v>
      </c>
      <c r="W249" s="19">
        <v>0</v>
      </c>
      <c r="X249" s="19">
        <v>0</v>
      </c>
      <c r="Y249" s="217">
        <v>66890.06</v>
      </c>
      <c r="Z249" s="3">
        <f t="shared" si="19"/>
        <v>54415.63</v>
      </c>
      <c r="AA249" s="3">
        <f t="shared" si="20"/>
        <v>674727.37</v>
      </c>
      <c r="AB249" s="3">
        <f t="shared" si="22"/>
        <v>124377</v>
      </c>
      <c r="AC249" s="3">
        <f>ROUND(MAX(0,(D249-V249)*'Shift 14'!$B$2),2)</f>
        <v>0</v>
      </c>
      <c r="AD249" s="3">
        <f t="shared" si="21"/>
        <v>66890.06</v>
      </c>
      <c r="AE249" s="3">
        <f t="shared" si="23"/>
        <v>0</v>
      </c>
      <c r="AF249" s="214">
        <v>840</v>
      </c>
      <c r="AG249" s="214">
        <v>1</v>
      </c>
      <c r="AH249" s="3">
        <v>0</v>
      </c>
      <c r="AI249" s="3">
        <v>0</v>
      </c>
      <c r="AJ249" s="3">
        <v>0</v>
      </c>
      <c r="AK249" s="3">
        <v>903.35</v>
      </c>
      <c r="AL249" s="3">
        <v>23123.43</v>
      </c>
      <c r="AM249" s="3">
        <v>0</v>
      </c>
      <c r="AN249" s="3">
        <v>0</v>
      </c>
      <c r="AO249" s="3">
        <v>0</v>
      </c>
      <c r="AP249" s="3">
        <v>0</v>
      </c>
      <c r="AQ249" s="3">
        <v>7762.5</v>
      </c>
      <c r="AR249" s="3">
        <v>0</v>
      </c>
      <c r="AS249" s="3">
        <v>22626.35</v>
      </c>
      <c r="AT249" s="3">
        <v>0</v>
      </c>
      <c r="AU249" s="3">
        <f t="shared" si="24"/>
        <v>0</v>
      </c>
      <c r="AV249" s="17">
        <v>840</v>
      </c>
      <c r="AW249" s="17">
        <v>840</v>
      </c>
      <c r="AX249" s="17">
        <v>1</v>
      </c>
      <c r="AY249" s="3" t="s">
        <v>252</v>
      </c>
      <c r="AZ249" s="3">
        <v>0</v>
      </c>
      <c r="BA249" s="19">
        <v>66890.06</v>
      </c>
    </row>
    <row r="250" spans="1:53" x14ac:dyDescent="0.2">
      <c r="A250" s="17">
        <v>846</v>
      </c>
      <c r="B250" s="17">
        <v>1</v>
      </c>
      <c r="C250" s="3" t="s">
        <v>253</v>
      </c>
      <c r="D250" s="3">
        <f>Levy!F251</f>
        <v>585137.37</v>
      </c>
      <c r="E250" s="3">
        <f>Levy!G251</f>
        <v>35857.42</v>
      </c>
      <c r="F250" s="3">
        <f>Levy!H251</f>
        <v>0</v>
      </c>
      <c r="G250" s="3">
        <f>Levy!I251</f>
        <v>373493.4</v>
      </c>
      <c r="H250" s="217">
        <f>Levy!J251</f>
        <v>84021.63</v>
      </c>
      <c r="I250" s="219">
        <v>0</v>
      </c>
      <c r="J250" s="219">
        <v>5000</v>
      </c>
      <c r="K250" s="219">
        <v>23279.54</v>
      </c>
      <c r="L250" s="219">
        <v>0</v>
      </c>
      <c r="M250" s="219">
        <v>0</v>
      </c>
      <c r="N250" s="19">
        <v>0</v>
      </c>
      <c r="O250" s="19">
        <v>0</v>
      </c>
      <c r="P250" s="219">
        <v>195.17</v>
      </c>
      <c r="Q250" s="219">
        <v>0</v>
      </c>
      <c r="R250" s="219">
        <v>-3003.89</v>
      </c>
      <c r="S250" s="219">
        <v>0</v>
      </c>
      <c r="T250" s="19">
        <v>0</v>
      </c>
      <c r="U250" s="19">
        <v>0</v>
      </c>
      <c r="V250" s="19">
        <v>0</v>
      </c>
      <c r="W250" s="19">
        <v>0</v>
      </c>
      <c r="X250" s="19">
        <v>0</v>
      </c>
      <c r="Y250" s="217">
        <v>18639.04</v>
      </c>
      <c r="Z250" s="3">
        <f t="shared" si="19"/>
        <v>25470.82</v>
      </c>
      <c r="AA250" s="3">
        <f t="shared" si="20"/>
        <v>383880</v>
      </c>
      <c r="AB250" s="3">
        <f t="shared" si="22"/>
        <v>84021.63</v>
      </c>
      <c r="AC250" s="3">
        <f>ROUND(MAX(0,(D250-V250)*'Shift 14'!$B$2),2)</f>
        <v>0</v>
      </c>
      <c r="AD250" s="3">
        <f t="shared" si="21"/>
        <v>18639.04</v>
      </c>
      <c r="AE250" s="3">
        <f t="shared" si="23"/>
        <v>0</v>
      </c>
      <c r="AF250" s="214">
        <v>846</v>
      </c>
      <c r="AG250" s="214">
        <v>1</v>
      </c>
      <c r="AH250" s="3">
        <v>0</v>
      </c>
      <c r="AI250" s="3">
        <v>0</v>
      </c>
      <c r="AJ250" s="3">
        <v>0</v>
      </c>
      <c r="AK250" s="3">
        <v>5000</v>
      </c>
      <c r="AL250" s="3">
        <v>23279.54</v>
      </c>
      <c r="AM250" s="3">
        <v>0</v>
      </c>
      <c r="AN250" s="3">
        <v>0</v>
      </c>
      <c r="AO250" s="3">
        <v>0</v>
      </c>
      <c r="AP250" s="3">
        <v>0</v>
      </c>
      <c r="AQ250" s="3">
        <v>195.17</v>
      </c>
      <c r="AR250" s="3">
        <v>0</v>
      </c>
      <c r="AS250" s="3">
        <v>-3003.89</v>
      </c>
      <c r="AT250" s="3">
        <v>0</v>
      </c>
      <c r="AU250" s="3">
        <f t="shared" si="24"/>
        <v>0</v>
      </c>
      <c r="AV250" s="17">
        <v>846</v>
      </c>
      <c r="AW250" s="17">
        <v>846</v>
      </c>
      <c r="AX250" s="17">
        <v>1</v>
      </c>
      <c r="AY250" s="3" t="s">
        <v>253</v>
      </c>
      <c r="AZ250" s="3">
        <v>0</v>
      </c>
      <c r="BA250" s="19">
        <v>18639.04</v>
      </c>
    </row>
    <row r="251" spans="1:53" x14ac:dyDescent="0.2">
      <c r="A251" s="17">
        <v>850</v>
      </c>
      <c r="B251" s="17">
        <v>1</v>
      </c>
      <c r="C251" s="3" t="s">
        <v>254</v>
      </c>
      <c r="D251" s="3">
        <f>Levy!F252</f>
        <v>63432.01</v>
      </c>
      <c r="E251" s="3">
        <f>Levy!G252</f>
        <v>10003.81</v>
      </c>
      <c r="F251" s="3">
        <f>Levy!H252</f>
        <v>0</v>
      </c>
      <c r="G251" s="3">
        <f>Levy!I252</f>
        <v>205069.61</v>
      </c>
      <c r="H251" s="217">
        <f>Levy!J252</f>
        <v>22090.93</v>
      </c>
      <c r="I251" s="219">
        <v>0</v>
      </c>
      <c r="J251" s="219">
        <v>10000</v>
      </c>
      <c r="K251" s="219">
        <v>13407.94</v>
      </c>
      <c r="L251" s="219">
        <v>0</v>
      </c>
      <c r="M251" s="219">
        <v>0</v>
      </c>
      <c r="N251" s="19">
        <v>0</v>
      </c>
      <c r="O251" s="19">
        <v>0</v>
      </c>
      <c r="P251" s="219">
        <v>0</v>
      </c>
      <c r="Q251" s="219">
        <v>0</v>
      </c>
      <c r="R251" s="219">
        <v>-1665.08</v>
      </c>
      <c r="S251" s="219">
        <v>0</v>
      </c>
      <c r="T251" s="19">
        <v>0</v>
      </c>
      <c r="U251" s="19">
        <v>0</v>
      </c>
      <c r="V251" s="19">
        <v>0</v>
      </c>
      <c r="W251" s="19">
        <v>0</v>
      </c>
      <c r="X251" s="19">
        <v>0</v>
      </c>
      <c r="Y251" s="217">
        <v>70534.77</v>
      </c>
      <c r="Z251" s="3">
        <f t="shared" si="19"/>
        <v>21742.86</v>
      </c>
      <c r="AA251" s="3">
        <f t="shared" si="20"/>
        <v>193330.56</v>
      </c>
      <c r="AB251" s="3">
        <f t="shared" si="22"/>
        <v>22090.93</v>
      </c>
      <c r="AC251" s="3">
        <f>ROUND(MAX(0,(D251-V251)*'Shift 14'!$B$2),2)</f>
        <v>0</v>
      </c>
      <c r="AD251" s="3">
        <f t="shared" si="21"/>
        <v>70534.77</v>
      </c>
      <c r="AE251" s="3">
        <f t="shared" si="23"/>
        <v>0</v>
      </c>
      <c r="AF251" s="214">
        <v>850</v>
      </c>
      <c r="AG251" s="214">
        <v>1</v>
      </c>
      <c r="AH251" s="3">
        <v>0</v>
      </c>
      <c r="AI251" s="3">
        <v>0</v>
      </c>
      <c r="AJ251" s="3">
        <v>0</v>
      </c>
      <c r="AK251" s="3">
        <v>10000</v>
      </c>
      <c r="AL251" s="3">
        <v>13407.94</v>
      </c>
      <c r="AM251" s="3">
        <v>0</v>
      </c>
      <c r="AN251" s="3">
        <v>0</v>
      </c>
      <c r="AO251" s="3">
        <v>0</v>
      </c>
      <c r="AP251" s="3">
        <v>0</v>
      </c>
      <c r="AQ251" s="3">
        <v>0</v>
      </c>
      <c r="AR251" s="3">
        <v>0</v>
      </c>
      <c r="AS251" s="3">
        <v>-1665.08</v>
      </c>
      <c r="AT251" s="3">
        <v>0</v>
      </c>
      <c r="AU251" s="3">
        <f t="shared" si="24"/>
        <v>0</v>
      </c>
      <c r="AV251" s="17">
        <v>850</v>
      </c>
      <c r="AW251" s="17">
        <v>850</v>
      </c>
      <c r="AX251" s="17">
        <v>1</v>
      </c>
      <c r="AY251" s="3" t="s">
        <v>254</v>
      </c>
      <c r="AZ251" s="3">
        <v>0</v>
      </c>
      <c r="BA251" s="19">
        <v>70534.77</v>
      </c>
    </row>
    <row r="252" spans="1:53" x14ac:dyDescent="0.2">
      <c r="A252" s="17">
        <v>852</v>
      </c>
      <c r="B252" s="17">
        <v>1</v>
      </c>
      <c r="C252" s="3" t="s">
        <v>255</v>
      </c>
      <c r="D252" s="3">
        <f>Levy!F253</f>
        <v>239501.02</v>
      </c>
      <c r="E252" s="3">
        <f>Levy!G253</f>
        <v>3565.06</v>
      </c>
      <c r="F252" s="3">
        <f>Levy!H253</f>
        <v>0</v>
      </c>
      <c r="G252" s="3">
        <f>Levy!I253</f>
        <v>97620</v>
      </c>
      <c r="H252" s="217">
        <f>Levy!J253</f>
        <v>21753.42</v>
      </c>
      <c r="I252" s="219">
        <v>0</v>
      </c>
      <c r="J252" s="219">
        <v>10000</v>
      </c>
      <c r="K252" s="219">
        <v>13407.94</v>
      </c>
      <c r="L252" s="219">
        <v>0</v>
      </c>
      <c r="M252" s="219">
        <v>0</v>
      </c>
      <c r="N252" s="19">
        <v>0</v>
      </c>
      <c r="O252" s="19">
        <v>0</v>
      </c>
      <c r="P252" s="219">
        <v>-10000</v>
      </c>
      <c r="Q252" s="219">
        <v>0</v>
      </c>
      <c r="R252" s="219">
        <v>-1665.08</v>
      </c>
      <c r="S252" s="219">
        <v>0</v>
      </c>
      <c r="T252" s="19">
        <v>0</v>
      </c>
      <c r="U252" s="19">
        <v>0</v>
      </c>
      <c r="V252" s="19">
        <v>0</v>
      </c>
      <c r="W252" s="19">
        <v>0</v>
      </c>
      <c r="X252" s="19">
        <v>0</v>
      </c>
      <c r="Y252" s="217">
        <v>97310.3</v>
      </c>
      <c r="Z252" s="3">
        <f t="shared" si="19"/>
        <v>11742.860000000002</v>
      </c>
      <c r="AA252" s="3">
        <f t="shared" si="20"/>
        <v>89442.2</v>
      </c>
      <c r="AB252" s="3">
        <f t="shared" si="22"/>
        <v>21753.42</v>
      </c>
      <c r="AC252" s="3">
        <f>ROUND(MAX(0,(D252-V252)*'Shift 14'!$B$2),2)</f>
        <v>0</v>
      </c>
      <c r="AD252" s="3">
        <f t="shared" si="21"/>
        <v>97310.3</v>
      </c>
      <c r="AE252" s="3">
        <f t="shared" si="23"/>
        <v>0</v>
      </c>
      <c r="AF252" s="214">
        <v>852</v>
      </c>
      <c r="AG252" s="214">
        <v>1</v>
      </c>
      <c r="AH252" s="3">
        <v>0</v>
      </c>
      <c r="AI252" s="3">
        <v>0</v>
      </c>
      <c r="AJ252" s="3">
        <v>0</v>
      </c>
      <c r="AK252" s="3">
        <v>10000</v>
      </c>
      <c r="AL252" s="3">
        <v>13407.94</v>
      </c>
      <c r="AM252" s="3">
        <v>0</v>
      </c>
      <c r="AN252" s="3">
        <v>0</v>
      </c>
      <c r="AO252" s="3">
        <v>0</v>
      </c>
      <c r="AP252" s="3">
        <v>0</v>
      </c>
      <c r="AQ252" s="3">
        <v>-10000</v>
      </c>
      <c r="AR252" s="3">
        <v>0</v>
      </c>
      <c r="AS252" s="3">
        <v>-1665.08</v>
      </c>
      <c r="AT252" s="3">
        <v>0</v>
      </c>
      <c r="AU252" s="3">
        <f t="shared" si="24"/>
        <v>0</v>
      </c>
      <c r="AV252" s="17">
        <v>852</v>
      </c>
      <c r="AW252" s="17">
        <v>852</v>
      </c>
      <c r="AX252" s="17">
        <v>1</v>
      </c>
      <c r="AY252" s="3" t="s">
        <v>255</v>
      </c>
      <c r="AZ252" s="3">
        <v>0</v>
      </c>
      <c r="BA252" s="19">
        <v>97310.3</v>
      </c>
    </row>
    <row r="253" spans="1:53" x14ac:dyDescent="0.2">
      <c r="A253" s="17">
        <v>857</v>
      </c>
      <c r="B253" s="17">
        <v>1</v>
      </c>
      <c r="C253" s="3" t="s">
        <v>256</v>
      </c>
      <c r="D253" s="3">
        <f>Levy!F254</f>
        <v>358863</v>
      </c>
      <c r="E253" s="3">
        <f>Levy!G254</f>
        <v>48208</v>
      </c>
      <c r="F253" s="3">
        <f>Levy!H254</f>
        <v>0</v>
      </c>
      <c r="G253" s="3">
        <f>Levy!I254</f>
        <v>39194</v>
      </c>
      <c r="H253" s="217">
        <f>Levy!J254</f>
        <v>64333</v>
      </c>
      <c r="I253" s="219">
        <v>0</v>
      </c>
      <c r="J253" s="219">
        <v>4794.18</v>
      </c>
      <c r="K253" s="219">
        <v>14258.79</v>
      </c>
      <c r="L253" s="219">
        <v>0</v>
      </c>
      <c r="M253" s="219">
        <v>0</v>
      </c>
      <c r="N253" s="19">
        <v>0</v>
      </c>
      <c r="O253" s="19">
        <v>0</v>
      </c>
      <c r="P253" s="219">
        <v>-9520.65</v>
      </c>
      <c r="Q253" s="219">
        <v>0</v>
      </c>
      <c r="R253" s="219">
        <v>-4227.88</v>
      </c>
      <c r="S253" s="219">
        <v>0</v>
      </c>
      <c r="T253" s="19">
        <v>0</v>
      </c>
      <c r="U253" s="19">
        <v>0</v>
      </c>
      <c r="V253" s="19">
        <v>0</v>
      </c>
      <c r="W253" s="19">
        <v>0</v>
      </c>
      <c r="X253" s="19">
        <v>0</v>
      </c>
      <c r="Y253" s="217">
        <v>0</v>
      </c>
      <c r="Z253" s="3">
        <f t="shared" si="19"/>
        <v>5304.4400000000014</v>
      </c>
      <c r="AA253" s="3">
        <f t="shared" si="20"/>
        <v>82097.56</v>
      </c>
      <c r="AB253" s="3">
        <f t="shared" si="22"/>
        <v>64333</v>
      </c>
      <c r="AC253" s="3">
        <f>ROUND(MAX(0,(D253-V253)*'Shift 14'!$B$2),2)</f>
        <v>0</v>
      </c>
      <c r="AD253" s="3">
        <f t="shared" si="21"/>
        <v>0</v>
      </c>
      <c r="AE253" s="3">
        <f t="shared" si="23"/>
        <v>0</v>
      </c>
      <c r="AF253" s="214">
        <v>857</v>
      </c>
      <c r="AG253" s="214">
        <v>1</v>
      </c>
      <c r="AH253" s="3">
        <v>0</v>
      </c>
      <c r="AI253" s="3">
        <v>0</v>
      </c>
      <c r="AJ253" s="3">
        <v>0</v>
      </c>
      <c r="AK253" s="3">
        <v>4794.18</v>
      </c>
      <c r="AL253" s="3">
        <v>14258.79</v>
      </c>
      <c r="AM253" s="3">
        <v>0</v>
      </c>
      <c r="AN253" s="3">
        <v>0</v>
      </c>
      <c r="AO253" s="3">
        <v>0</v>
      </c>
      <c r="AP253" s="3">
        <v>0</v>
      </c>
      <c r="AQ253" s="3">
        <v>-9520.65</v>
      </c>
      <c r="AR253" s="3">
        <v>0</v>
      </c>
      <c r="AS253" s="3">
        <v>-4227.88</v>
      </c>
      <c r="AT253" s="3">
        <v>0</v>
      </c>
      <c r="AU253" s="3">
        <f t="shared" si="24"/>
        <v>0</v>
      </c>
      <c r="AV253" s="17">
        <v>857</v>
      </c>
      <c r="AW253" s="17">
        <v>857</v>
      </c>
      <c r="AX253" s="17">
        <v>1</v>
      </c>
      <c r="AY253" s="3" t="s">
        <v>256</v>
      </c>
      <c r="AZ253" s="3">
        <v>0</v>
      </c>
      <c r="BA253" s="19">
        <v>0</v>
      </c>
    </row>
    <row r="254" spans="1:53" x14ac:dyDescent="0.2">
      <c r="A254" s="17">
        <v>858</v>
      </c>
      <c r="B254" s="17">
        <v>1</v>
      </c>
      <c r="C254" s="3" t="s">
        <v>257</v>
      </c>
      <c r="D254" s="3">
        <f>Levy!F255</f>
        <v>126790</v>
      </c>
      <c r="E254" s="3">
        <f>Levy!G255</f>
        <v>85587</v>
      </c>
      <c r="F254" s="3">
        <f>Levy!H255</f>
        <v>0</v>
      </c>
      <c r="G254" s="3">
        <f>Levy!I255</f>
        <v>229262</v>
      </c>
      <c r="H254" s="217">
        <f>Levy!J255</f>
        <v>66727</v>
      </c>
      <c r="I254" s="219">
        <v>0</v>
      </c>
      <c r="J254" s="219">
        <v>5000</v>
      </c>
      <c r="K254" s="219">
        <v>14012.3</v>
      </c>
      <c r="L254" s="219">
        <v>0</v>
      </c>
      <c r="M254" s="219">
        <v>0</v>
      </c>
      <c r="N254" s="19">
        <v>0</v>
      </c>
      <c r="O254" s="19">
        <v>0</v>
      </c>
      <c r="P254" s="219">
        <v>4217.1000000000004</v>
      </c>
      <c r="Q254" s="219">
        <v>0</v>
      </c>
      <c r="R254" s="219">
        <v>-1663.68</v>
      </c>
      <c r="S254" s="219">
        <v>0</v>
      </c>
      <c r="T254" s="19">
        <v>0</v>
      </c>
      <c r="U254" s="19">
        <v>0</v>
      </c>
      <c r="V254" s="19">
        <v>0</v>
      </c>
      <c r="W254" s="19">
        <v>0</v>
      </c>
      <c r="X254" s="19">
        <v>0</v>
      </c>
      <c r="Y254" s="217">
        <v>0</v>
      </c>
      <c r="Z254" s="3">
        <f t="shared" si="19"/>
        <v>21565.72</v>
      </c>
      <c r="AA254" s="3">
        <f t="shared" si="20"/>
        <v>293283.28000000003</v>
      </c>
      <c r="AB254" s="3">
        <f t="shared" si="22"/>
        <v>66727</v>
      </c>
      <c r="AC254" s="3">
        <f>ROUND(MAX(0,(D254-V254)*'Shift 14'!$B$2),2)</f>
        <v>0</v>
      </c>
      <c r="AD254" s="3">
        <f t="shared" si="21"/>
        <v>0</v>
      </c>
      <c r="AE254" s="3">
        <f t="shared" si="23"/>
        <v>0</v>
      </c>
      <c r="AF254" s="214">
        <v>858</v>
      </c>
      <c r="AG254" s="214">
        <v>1</v>
      </c>
      <c r="AH254" s="3">
        <v>0</v>
      </c>
      <c r="AI254" s="3">
        <v>0</v>
      </c>
      <c r="AJ254" s="3">
        <v>0</v>
      </c>
      <c r="AK254" s="3">
        <v>5000</v>
      </c>
      <c r="AL254" s="3">
        <v>14012.3</v>
      </c>
      <c r="AM254" s="3">
        <v>0</v>
      </c>
      <c r="AN254" s="3">
        <v>0</v>
      </c>
      <c r="AO254" s="3">
        <v>0</v>
      </c>
      <c r="AP254" s="3">
        <v>0</v>
      </c>
      <c r="AQ254" s="3">
        <v>4217.1000000000004</v>
      </c>
      <c r="AR254" s="3">
        <v>0</v>
      </c>
      <c r="AS254" s="3">
        <v>-1663.68</v>
      </c>
      <c r="AT254" s="3">
        <v>0</v>
      </c>
      <c r="AU254" s="3">
        <f t="shared" si="24"/>
        <v>0</v>
      </c>
      <c r="AV254" s="17">
        <v>858</v>
      </c>
      <c r="AW254" s="17">
        <v>858</v>
      </c>
      <c r="AX254" s="17">
        <v>1</v>
      </c>
      <c r="AY254" s="3" t="s">
        <v>257</v>
      </c>
      <c r="AZ254" s="3">
        <v>0</v>
      </c>
      <c r="BA254" s="19">
        <v>0</v>
      </c>
    </row>
    <row r="255" spans="1:53" x14ac:dyDescent="0.2">
      <c r="A255" s="17">
        <v>861</v>
      </c>
      <c r="B255" s="17">
        <v>1</v>
      </c>
      <c r="C255" s="3" t="s">
        <v>1196</v>
      </c>
      <c r="D255" s="3">
        <f>Levy!F256</f>
        <v>6049234</v>
      </c>
      <c r="E255" s="3">
        <f>Levy!G256</f>
        <v>1050376</v>
      </c>
      <c r="F255" s="3">
        <f>Levy!H256</f>
        <v>0</v>
      </c>
      <c r="G255" s="3">
        <f>Levy!I256</f>
        <v>1264792</v>
      </c>
      <c r="H255" s="217">
        <f>Levy!J256</f>
        <v>361492</v>
      </c>
      <c r="I255" s="219">
        <v>0</v>
      </c>
      <c r="J255" s="219">
        <v>40471</v>
      </c>
      <c r="K255" s="219">
        <v>111893.02</v>
      </c>
      <c r="L255" s="219">
        <v>0</v>
      </c>
      <c r="M255" s="219">
        <v>0</v>
      </c>
      <c r="N255" s="19">
        <v>0</v>
      </c>
      <c r="O255" s="19">
        <v>0</v>
      </c>
      <c r="P255" s="219">
        <v>-4837.97</v>
      </c>
      <c r="Q255" s="219">
        <v>0</v>
      </c>
      <c r="R255" s="219">
        <v>-63193.81</v>
      </c>
      <c r="S255" s="219">
        <v>0</v>
      </c>
      <c r="T255" s="19">
        <v>0</v>
      </c>
      <c r="U255" s="19">
        <v>0</v>
      </c>
      <c r="V255" s="19">
        <v>0</v>
      </c>
      <c r="W255" s="19">
        <v>0</v>
      </c>
      <c r="X255" s="19">
        <v>0</v>
      </c>
      <c r="Y255" s="217">
        <v>163275.60999999999</v>
      </c>
      <c r="Z255" s="3">
        <f t="shared" si="19"/>
        <v>84332.24000000002</v>
      </c>
      <c r="AA255" s="3">
        <f t="shared" si="20"/>
        <v>2230835.7599999998</v>
      </c>
      <c r="AB255" s="3">
        <f t="shared" si="22"/>
        <v>361492</v>
      </c>
      <c r="AC255" s="3">
        <f>ROUND(MAX(0,(D255-V255)*'Shift 14'!$B$2),2)</f>
        <v>0</v>
      </c>
      <c r="AD255" s="3">
        <f t="shared" si="21"/>
        <v>163275.60999999999</v>
      </c>
      <c r="AE255" s="3">
        <f t="shared" si="23"/>
        <v>0</v>
      </c>
      <c r="AF255" s="214">
        <v>861</v>
      </c>
      <c r="AG255" s="214">
        <v>1</v>
      </c>
      <c r="AH255" s="3">
        <v>0</v>
      </c>
      <c r="AI255" s="3">
        <v>0</v>
      </c>
      <c r="AJ255" s="3">
        <v>0</v>
      </c>
      <c r="AK255" s="3">
        <v>40471</v>
      </c>
      <c r="AL255" s="3">
        <v>111893.02</v>
      </c>
      <c r="AM255" s="3">
        <v>0</v>
      </c>
      <c r="AN255" s="3">
        <v>0</v>
      </c>
      <c r="AO255" s="3">
        <v>0</v>
      </c>
      <c r="AP255" s="3">
        <v>0</v>
      </c>
      <c r="AQ255" s="3">
        <v>-4837.97</v>
      </c>
      <c r="AR255" s="3">
        <v>0</v>
      </c>
      <c r="AS255" s="3">
        <v>-63193.81</v>
      </c>
      <c r="AT255" s="3">
        <v>0</v>
      </c>
      <c r="AU255" s="3">
        <f t="shared" si="24"/>
        <v>0</v>
      </c>
      <c r="AV255" s="17">
        <v>861</v>
      </c>
      <c r="AW255" s="17">
        <v>861</v>
      </c>
      <c r="AX255" s="17">
        <v>1</v>
      </c>
      <c r="AY255" s="3" t="s">
        <v>258</v>
      </c>
      <c r="AZ255" s="3">
        <v>0</v>
      </c>
      <c r="BA255" s="19">
        <v>163275.60999999999</v>
      </c>
    </row>
    <row r="256" spans="1:53" x14ac:dyDescent="0.2">
      <c r="A256" s="17">
        <v>876</v>
      </c>
      <c r="B256" s="17">
        <v>1</v>
      </c>
      <c r="C256" s="3" t="s">
        <v>259</v>
      </c>
      <c r="D256" s="3">
        <f>Levy!F257</f>
        <v>1061712.8700000001</v>
      </c>
      <c r="E256" s="3">
        <f>Levy!G257</f>
        <v>220678.2</v>
      </c>
      <c r="F256" s="3">
        <f>Levy!H257</f>
        <v>0</v>
      </c>
      <c r="G256" s="3">
        <f>Levy!I257</f>
        <v>775645.67</v>
      </c>
      <c r="H256" s="217">
        <f>Levy!J257</f>
        <v>153758.47</v>
      </c>
      <c r="I256" s="219">
        <v>0</v>
      </c>
      <c r="J256" s="219">
        <v>8000</v>
      </c>
      <c r="K256" s="219">
        <v>50967.34</v>
      </c>
      <c r="L256" s="219">
        <v>0</v>
      </c>
      <c r="M256" s="219">
        <v>0</v>
      </c>
      <c r="N256" s="19">
        <v>0</v>
      </c>
      <c r="O256" s="19">
        <v>0</v>
      </c>
      <c r="P256" s="219">
        <v>5229.16</v>
      </c>
      <c r="Q256" s="219">
        <v>0</v>
      </c>
      <c r="R256" s="219">
        <v>-7861.42</v>
      </c>
      <c r="S256" s="219">
        <v>0</v>
      </c>
      <c r="T256" s="19">
        <v>0</v>
      </c>
      <c r="U256" s="19">
        <v>0</v>
      </c>
      <c r="V256" s="19">
        <v>0</v>
      </c>
      <c r="W256" s="19">
        <v>0</v>
      </c>
      <c r="X256" s="19">
        <v>63681.05</v>
      </c>
      <c r="Y256" s="217">
        <v>207538.92</v>
      </c>
      <c r="Z256" s="3">
        <f t="shared" si="19"/>
        <v>56335.08</v>
      </c>
      <c r="AA256" s="3">
        <f t="shared" si="20"/>
        <v>876307.74</v>
      </c>
      <c r="AB256" s="3">
        <f t="shared" si="22"/>
        <v>153758.47</v>
      </c>
      <c r="AC256" s="3">
        <f>ROUND(MAX(0,(D256-V256)*'Shift 14'!$B$2),2)</f>
        <v>0</v>
      </c>
      <c r="AD256" s="3">
        <f t="shared" si="21"/>
        <v>207538.92</v>
      </c>
      <c r="AE256" s="3">
        <f t="shared" si="23"/>
        <v>0</v>
      </c>
      <c r="AF256" s="214">
        <v>876</v>
      </c>
      <c r="AG256" s="214">
        <v>1</v>
      </c>
      <c r="AH256" s="3">
        <v>0</v>
      </c>
      <c r="AI256" s="3">
        <v>0</v>
      </c>
      <c r="AJ256" s="3">
        <v>39332.49</v>
      </c>
      <c r="AK256" s="3">
        <v>8000</v>
      </c>
      <c r="AL256" s="3">
        <v>50967.34</v>
      </c>
      <c r="AM256" s="3">
        <v>0</v>
      </c>
      <c r="AN256" s="3">
        <v>0</v>
      </c>
      <c r="AO256" s="3">
        <v>0</v>
      </c>
      <c r="AP256" s="3">
        <v>-11684.76</v>
      </c>
      <c r="AQ256" s="3">
        <v>5229.16</v>
      </c>
      <c r="AR256" s="3">
        <v>0</v>
      </c>
      <c r="AS256" s="3">
        <v>-7861.42</v>
      </c>
      <c r="AT256" s="3">
        <v>0</v>
      </c>
      <c r="AU256" s="3">
        <f t="shared" si="24"/>
        <v>0</v>
      </c>
      <c r="AV256" s="17">
        <v>876</v>
      </c>
      <c r="AW256" s="17">
        <v>876</v>
      </c>
      <c r="AX256" s="17">
        <v>1</v>
      </c>
      <c r="AY256" s="3" t="s">
        <v>259</v>
      </c>
      <c r="AZ256" s="3">
        <v>63681.05</v>
      </c>
      <c r="BA256" s="19">
        <v>207538.92</v>
      </c>
    </row>
    <row r="257" spans="1:53" x14ac:dyDescent="0.2">
      <c r="A257" s="17">
        <v>877</v>
      </c>
      <c r="B257" s="17">
        <v>1</v>
      </c>
      <c r="C257" s="3" t="s">
        <v>1005</v>
      </c>
      <c r="D257" s="3">
        <f>Levy!F258</f>
        <v>277276.26</v>
      </c>
      <c r="E257" s="3">
        <f>Levy!G258</f>
        <v>2929317.2</v>
      </c>
      <c r="F257" s="3">
        <f>Levy!H258</f>
        <v>0</v>
      </c>
      <c r="G257" s="3">
        <f>Levy!I258</f>
        <v>1834058.44</v>
      </c>
      <c r="H257" s="217">
        <f>Levy!J258</f>
        <v>479555.11</v>
      </c>
      <c r="I257" s="219">
        <v>0</v>
      </c>
      <c r="J257" s="219">
        <v>40000</v>
      </c>
      <c r="K257" s="219">
        <v>82036.87</v>
      </c>
      <c r="L257" s="219">
        <v>0</v>
      </c>
      <c r="M257" s="219">
        <v>0</v>
      </c>
      <c r="N257" s="19">
        <v>0</v>
      </c>
      <c r="O257" s="19">
        <v>0</v>
      </c>
      <c r="P257" s="219">
        <v>-24930.83</v>
      </c>
      <c r="Q257" s="219">
        <v>0</v>
      </c>
      <c r="R257" s="219">
        <v>-21432.07</v>
      </c>
      <c r="S257" s="219">
        <v>0</v>
      </c>
      <c r="T257" s="19">
        <v>0</v>
      </c>
      <c r="U257" s="19">
        <v>0</v>
      </c>
      <c r="V257" s="19">
        <v>0</v>
      </c>
      <c r="W257" s="19">
        <v>0</v>
      </c>
      <c r="X257" s="19">
        <v>0</v>
      </c>
      <c r="Y257" s="217">
        <v>442510.09</v>
      </c>
      <c r="Z257" s="3">
        <f t="shared" si="19"/>
        <v>75673.97</v>
      </c>
      <c r="AA257" s="3">
        <f t="shared" si="20"/>
        <v>4687701.67</v>
      </c>
      <c r="AB257" s="3">
        <f t="shared" si="22"/>
        <v>479555.11</v>
      </c>
      <c r="AC257" s="3">
        <f>ROUND(MAX(0,(D257-V257)*'Shift 14'!$B$2),2)</f>
        <v>0</v>
      </c>
      <c r="AD257" s="3">
        <f t="shared" si="21"/>
        <v>442510.09</v>
      </c>
      <c r="AE257" s="3">
        <f t="shared" si="23"/>
        <v>0</v>
      </c>
      <c r="AF257" s="214">
        <v>877</v>
      </c>
      <c r="AG257" s="214">
        <v>1</v>
      </c>
      <c r="AH257" s="3">
        <v>0</v>
      </c>
      <c r="AI257" s="3">
        <v>0</v>
      </c>
      <c r="AJ257" s="3">
        <v>155231.23000000001</v>
      </c>
      <c r="AK257" s="3">
        <v>40000</v>
      </c>
      <c r="AL257" s="3">
        <v>82036.87</v>
      </c>
      <c r="AM257" s="3">
        <v>0</v>
      </c>
      <c r="AN257" s="3">
        <v>0</v>
      </c>
      <c r="AO257" s="3">
        <v>0</v>
      </c>
      <c r="AP257" s="3">
        <v>-1279.82</v>
      </c>
      <c r="AQ257" s="3">
        <v>-24930.83</v>
      </c>
      <c r="AR257" s="3">
        <v>0</v>
      </c>
      <c r="AS257" s="3">
        <v>-21432.07</v>
      </c>
      <c r="AT257" s="3">
        <v>0</v>
      </c>
      <c r="AU257" s="3">
        <f t="shared" si="24"/>
        <v>0</v>
      </c>
      <c r="AV257" s="17">
        <v>877</v>
      </c>
      <c r="AW257" s="17">
        <v>877</v>
      </c>
      <c r="AX257" s="17">
        <v>1</v>
      </c>
      <c r="AY257" s="3" t="s">
        <v>260</v>
      </c>
      <c r="AZ257" s="3">
        <v>0</v>
      </c>
      <c r="BA257" s="19">
        <v>442510.09</v>
      </c>
    </row>
    <row r="258" spans="1:53" x14ac:dyDescent="0.2">
      <c r="A258" s="17">
        <v>879</v>
      </c>
      <c r="B258" s="17">
        <v>1</v>
      </c>
      <c r="C258" s="3" t="s">
        <v>261</v>
      </c>
      <c r="D258" s="3">
        <f>Levy!F259</f>
        <v>457119.38</v>
      </c>
      <c r="E258" s="3">
        <f>Levy!G259</f>
        <v>1228067.22</v>
      </c>
      <c r="F258" s="3">
        <f>Levy!H259</f>
        <v>0</v>
      </c>
      <c r="G258" s="3">
        <f>Levy!I259</f>
        <v>746997.78</v>
      </c>
      <c r="H258" s="217">
        <f>Levy!J259</f>
        <v>151534.94</v>
      </c>
      <c r="I258" s="219">
        <v>0</v>
      </c>
      <c r="J258" s="219">
        <v>21000</v>
      </c>
      <c r="K258" s="219">
        <v>40590.17</v>
      </c>
      <c r="L258" s="219">
        <v>0</v>
      </c>
      <c r="M258" s="219">
        <v>0</v>
      </c>
      <c r="N258" s="19">
        <v>0</v>
      </c>
      <c r="O258" s="19">
        <v>0</v>
      </c>
      <c r="P258" s="219">
        <v>6737.87</v>
      </c>
      <c r="Q258" s="219">
        <v>0</v>
      </c>
      <c r="R258" s="219">
        <v>-7282.71</v>
      </c>
      <c r="S258" s="219">
        <v>0</v>
      </c>
      <c r="T258" s="19">
        <v>0</v>
      </c>
      <c r="U258" s="19">
        <v>0</v>
      </c>
      <c r="V258" s="19">
        <v>0</v>
      </c>
      <c r="W258" s="19">
        <v>0</v>
      </c>
      <c r="X258" s="19">
        <v>0</v>
      </c>
      <c r="Y258" s="217">
        <v>117957.42</v>
      </c>
      <c r="Z258" s="3">
        <f t="shared" si="19"/>
        <v>61045.329999999994</v>
      </c>
      <c r="AA258" s="3">
        <f t="shared" si="20"/>
        <v>1914019.67</v>
      </c>
      <c r="AB258" s="3">
        <f t="shared" si="22"/>
        <v>151534.94</v>
      </c>
      <c r="AC258" s="3">
        <f>ROUND(MAX(0,(D258-V258)*'Shift 14'!$B$2),2)</f>
        <v>0</v>
      </c>
      <c r="AD258" s="3">
        <f t="shared" si="21"/>
        <v>117957.42</v>
      </c>
      <c r="AE258" s="3">
        <f t="shared" si="23"/>
        <v>0</v>
      </c>
      <c r="AF258" s="214">
        <v>879</v>
      </c>
      <c r="AG258" s="214">
        <v>1</v>
      </c>
      <c r="AH258" s="3">
        <v>0</v>
      </c>
      <c r="AI258" s="3">
        <v>0</v>
      </c>
      <c r="AJ258" s="3">
        <v>0</v>
      </c>
      <c r="AK258" s="3">
        <v>21000</v>
      </c>
      <c r="AL258" s="3">
        <v>40590.17</v>
      </c>
      <c r="AM258" s="3">
        <v>0</v>
      </c>
      <c r="AN258" s="3">
        <v>0</v>
      </c>
      <c r="AO258" s="3">
        <v>0</v>
      </c>
      <c r="AP258" s="3">
        <v>0</v>
      </c>
      <c r="AQ258" s="3">
        <v>6737.87</v>
      </c>
      <c r="AR258" s="3">
        <v>0</v>
      </c>
      <c r="AS258" s="3">
        <v>-7282.71</v>
      </c>
      <c r="AT258" s="3">
        <v>0</v>
      </c>
      <c r="AU258" s="3">
        <f t="shared" si="24"/>
        <v>0</v>
      </c>
      <c r="AV258" s="17">
        <v>879</v>
      </c>
      <c r="AW258" s="17">
        <v>879</v>
      </c>
      <c r="AX258" s="17">
        <v>1</v>
      </c>
      <c r="AY258" s="3" t="s">
        <v>261</v>
      </c>
      <c r="AZ258" s="3">
        <v>0</v>
      </c>
      <c r="BA258" s="19">
        <v>117957.42</v>
      </c>
    </row>
    <row r="259" spans="1:53" x14ac:dyDescent="0.2">
      <c r="A259" s="17">
        <v>881</v>
      </c>
      <c r="B259" s="17">
        <v>1</v>
      </c>
      <c r="C259" s="3" t="s">
        <v>262</v>
      </c>
      <c r="D259" s="3">
        <f>Levy!F260</f>
        <v>445558.11</v>
      </c>
      <c r="E259" s="3">
        <f>Levy!G260</f>
        <v>85131.7</v>
      </c>
      <c r="F259" s="3">
        <f>Levy!H260</f>
        <v>0</v>
      </c>
      <c r="G259" s="3">
        <f>Levy!I260</f>
        <v>299105.42</v>
      </c>
      <c r="H259" s="217">
        <f>Levy!J260</f>
        <v>66970.259999999995</v>
      </c>
      <c r="I259" s="219">
        <v>0</v>
      </c>
      <c r="J259" s="219">
        <v>5000</v>
      </c>
      <c r="K259" s="219">
        <v>15963.2</v>
      </c>
      <c r="L259" s="219">
        <v>0</v>
      </c>
      <c r="M259" s="219">
        <v>0</v>
      </c>
      <c r="N259" s="19">
        <v>0</v>
      </c>
      <c r="O259" s="19">
        <v>0</v>
      </c>
      <c r="P259" s="219">
        <v>-2588.33</v>
      </c>
      <c r="Q259" s="219">
        <v>0</v>
      </c>
      <c r="R259" s="219">
        <v>-2937.88</v>
      </c>
      <c r="S259" s="219">
        <v>0</v>
      </c>
      <c r="T259" s="19">
        <v>0</v>
      </c>
      <c r="U259" s="19">
        <v>0</v>
      </c>
      <c r="V259" s="19">
        <v>0</v>
      </c>
      <c r="W259" s="19">
        <v>0</v>
      </c>
      <c r="X259" s="19">
        <v>19558.900000000001</v>
      </c>
      <c r="Y259" s="217">
        <v>117442.28</v>
      </c>
      <c r="Z259" s="3">
        <f t="shared" si="19"/>
        <v>15436.990000000002</v>
      </c>
      <c r="AA259" s="3">
        <f t="shared" si="20"/>
        <v>349241.23</v>
      </c>
      <c r="AB259" s="3">
        <f t="shared" si="22"/>
        <v>66970.259999999995</v>
      </c>
      <c r="AC259" s="3">
        <f>ROUND(MAX(0,(D259-V259)*'Shift 14'!$B$2),2)</f>
        <v>0</v>
      </c>
      <c r="AD259" s="3">
        <f t="shared" si="21"/>
        <v>117442.28</v>
      </c>
      <c r="AE259" s="3">
        <f t="shared" si="23"/>
        <v>0</v>
      </c>
      <c r="AF259" s="214">
        <v>881</v>
      </c>
      <c r="AG259" s="214">
        <v>1</v>
      </c>
      <c r="AH259" s="3">
        <v>0</v>
      </c>
      <c r="AI259" s="3">
        <v>0</v>
      </c>
      <c r="AJ259" s="3">
        <v>0</v>
      </c>
      <c r="AK259" s="3">
        <v>5000</v>
      </c>
      <c r="AL259" s="3">
        <v>15963.2</v>
      </c>
      <c r="AM259" s="3">
        <v>0</v>
      </c>
      <c r="AN259" s="3">
        <v>0</v>
      </c>
      <c r="AO259" s="3">
        <v>0</v>
      </c>
      <c r="AP259" s="3">
        <v>0</v>
      </c>
      <c r="AQ259" s="3">
        <v>-2588.33</v>
      </c>
      <c r="AR259" s="3">
        <v>0</v>
      </c>
      <c r="AS259" s="3">
        <v>-2937.88</v>
      </c>
      <c r="AT259" s="3">
        <v>0</v>
      </c>
      <c r="AU259" s="3">
        <f t="shared" si="24"/>
        <v>0</v>
      </c>
      <c r="AV259" s="17">
        <v>881</v>
      </c>
      <c r="AW259" s="17">
        <v>881</v>
      </c>
      <c r="AX259" s="17">
        <v>1</v>
      </c>
      <c r="AY259" s="3" t="s">
        <v>262</v>
      </c>
      <c r="AZ259" s="3">
        <v>19558.900000000001</v>
      </c>
      <c r="BA259" s="19">
        <v>117442.28</v>
      </c>
    </row>
    <row r="260" spans="1:53" x14ac:dyDescent="0.2">
      <c r="A260" s="17">
        <v>882</v>
      </c>
      <c r="B260" s="17">
        <v>1</v>
      </c>
      <c r="C260" s="3" t="s">
        <v>263</v>
      </c>
      <c r="D260" s="3">
        <f>Levy!F261</f>
        <v>2363734.25</v>
      </c>
      <c r="E260" s="3">
        <f>Levy!G261</f>
        <v>1214893.3999999999</v>
      </c>
      <c r="F260" s="3">
        <f>Levy!H261</f>
        <v>0</v>
      </c>
      <c r="G260" s="3">
        <f>Levy!I261</f>
        <v>1815597.17</v>
      </c>
      <c r="H260" s="217">
        <f>Levy!J261</f>
        <v>273726.53999999998</v>
      </c>
      <c r="I260" s="219">
        <v>0</v>
      </c>
      <c r="J260" s="219">
        <v>40000</v>
      </c>
      <c r="K260" s="219">
        <v>43217.29</v>
      </c>
      <c r="L260" s="219">
        <v>0</v>
      </c>
      <c r="M260" s="219">
        <v>0</v>
      </c>
      <c r="N260" s="19">
        <v>0</v>
      </c>
      <c r="O260" s="19">
        <v>0</v>
      </c>
      <c r="P260" s="219">
        <v>-15622.87</v>
      </c>
      <c r="Q260" s="219">
        <v>0</v>
      </c>
      <c r="R260" s="219">
        <v>-7645.38</v>
      </c>
      <c r="S260" s="219">
        <v>0</v>
      </c>
      <c r="T260" s="19">
        <v>0</v>
      </c>
      <c r="U260" s="19">
        <v>0</v>
      </c>
      <c r="V260" s="19">
        <v>0</v>
      </c>
      <c r="W260" s="19">
        <v>0</v>
      </c>
      <c r="X260" s="19">
        <v>155849.28</v>
      </c>
      <c r="Y260" s="217">
        <v>480525.55</v>
      </c>
      <c r="Z260" s="3">
        <f t="shared" si="19"/>
        <v>59949.040000000015</v>
      </c>
      <c r="AA260" s="3">
        <f t="shared" si="20"/>
        <v>2814692.25</v>
      </c>
      <c r="AB260" s="3">
        <f t="shared" si="22"/>
        <v>273726.53999999998</v>
      </c>
      <c r="AC260" s="3">
        <f>ROUND(MAX(0,(D260-V260)*'Shift 14'!$B$2),2)</f>
        <v>0</v>
      </c>
      <c r="AD260" s="3">
        <f t="shared" si="21"/>
        <v>480525.55</v>
      </c>
      <c r="AE260" s="3">
        <f t="shared" si="23"/>
        <v>0</v>
      </c>
      <c r="AF260" s="214">
        <v>882</v>
      </c>
      <c r="AG260" s="214">
        <v>1</v>
      </c>
      <c r="AH260" s="3">
        <v>0</v>
      </c>
      <c r="AI260" s="3">
        <v>0</v>
      </c>
      <c r="AJ260" s="3">
        <v>0</v>
      </c>
      <c r="AK260" s="3">
        <v>40000</v>
      </c>
      <c r="AL260" s="3">
        <v>43217.29</v>
      </c>
      <c r="AM260" s="3">
        <v>0</v>
      </c>
      <c r="AN260" s="3">
        <v>0</v>
      </c>
      <c r="AO260" s="3">
        <v>0</v>
      </c>
      <c r="AP260" s="3">
        <v>0</v>
      </c>
      <c r="AQ260" s="3">
        <v>-15622.87</v>
      </c>
      <c r="AR260" s="3">
        <v>0</v>
      </c>
      <c r="AS260" s="3">
        <v>-7645.38</v>
      </c>
      <c r="AT260" s="3">
        <v>0</v>
      </c>
      <c r="AU260" s="3">
        <f t="shared" si="24"/>
        <v>0</v>
      </c>
      <c r="AV260" s="17">
        <v>882</v>
      </c>
      <c r="AW260" s="17">
        <v>882</v>
      </c>
      <c r="AX260" s="17">
        <v>1</v>
      </c>
      <c r="AY260" s="3" t="s">
        <v>263</v>
      </c>
      <c r="AZ260" s="3">
        <v>155849.28</v>
      </c>
      <c r="BA260" s="19">
        <v>480525.55</v>
      </c>
    </row>
    <row r="261" spans="1:53" x14ac:dyDescent="0.2">
      <c r="A261" s="17">
        <v>883</v>
      </c>
      <c r="B261" s="17">
        <v>1</v>
      </c>
      <c r="C261" s="3" t="s">
        <v>264</v>
      </c>
      <c r="D261" s="3">
        <f>Levy!F262</f>
        <v>0</v>
      </c>
      <c r="E261" s="3">
        <f>Levy!G262</f>
        <v>1169032.82</v>
      </c>
      <c r="F261" s="3">
        <f>Levy!H262</f>
        <v>0</v>
      </c>
      <c r="G261" s="3">
        <f>Levy!I262</f>
        <v>346577.59</v>
      </c>
      <c r="H261" s="217">
        <f>Levy!J262</f>
        <v>117252.85</v>
      </c>
      <c r="I261" s="219">
        <v>0</v>
      </c>
      <c r="J261" s="219">
        <v>0</v>
      </c>
      <c r="K261" s="219">
        <v>2827.66</v>
      </c>
      <c r="L261" s="219">
        <v>0</v>
      </c>
      <c r="M261" s="219">
        <v>0</v>
      </c>
      <c r="N261" s="19">
        <v>0</v>
      </c>
      <c r="O261" s="19">
        <v>0</v>
      </c>
      <c r="P261" s="219">
        <v>-2968.05</v>
      </c>
      <c r="Q261" s="219">
        <v>0</v>
      </c>
      <c r="R261" s="219">
        <v>0</v>
      </c>
      <c r="S261" s="219">
        <v>0</v>
      </c>
      <c r="T261" s="19">
        <v>0</v>
      </c>
      <c r="U261" s="19">
        <v>0</v>
      </c>
      <c r="V261" s="19">
        <v>0</v>
      </c>
      <c r="W261" s="19">
        <v>0</v>
      </c>
      <c r="X261" s="19">
        <v>0</v>
      </c>
      <c r="Y261" s="217">
        <v>108595.68</v>
      </c>
      <c r="Z261" s="3">
        <f t="shared" si="19"/>
        <v>-140.39000000000033</v>
      </c>
      <c r="AA261" s="3">
        <f t="shared" si="20"/>
        <v>1515750.8</v>
      </c>
      <c r="AB261" s="3">
        <f t="shared" si="22"/>
        <v>117252.85</v>
      </c>
      <c r="AC261" s="3">
        <f>ROUND(MAX(0,(D261-V261)*'Shift 14'!$B$2),2)</f>
        <v>0</v>
      </c>
      <c r="AD261" s="3">
        <f t="shared" si="21"/>
        <v>108595.68</v>
      </c>
      <c r="AE261" s="3">
        <f t="shared" si="23"/>
        <v>0</v>
      </c>
      <c r="AF261" s="214">
        <v>883</v>
      </c>
      <c r="AG261" s="214">
        <v>1</v>
      </c>
      <c r="AH261" s="3">
        <v>0</v>
      </c>
      <c r="AI261" s="3">
        <v>0</v>
      </c>
      <c r="AJ261" s="3">
        <v>39445.72</v>
      </c>
      <c r="AK261" s="3">
        <v>0</v>
      </c>
      <c r="AL261" s="3">
        <v>2827.66</v>
      </c>
      <c r="AM261" s="3">
        <v>0</v>
      </c>
      <c r="AN261" s="3">
        <v>0</v>
      </c>
      <c r="AO261" s="3">
        <v>0</v>
      </c>
      <c r="AP261" s="3">
        <v>0</v>
      </c>
      <c r="AQ261" s="3">
        <v>-2968.05</v>
      </c>
      <c r="AR261" s="3">
        <v>0</v>
      </c>
      <c r="AS261" s="3">
        <v>0</v>
      </c>
      <c r="AT261" s="3">
        <v>0</v>
      </c>
      <c r="AU261" s="3">
        <f t="shared" si="24"/>
        <v>0</v>
      </c>
      <c r="AV261" s="17">
        <v>883</v>
      </c>
      <c r="AW261" s="17">
        <v>883</v>
      </c>
      <c r="AX261" s="17">
        <v>1</v>
      </c>
      <c r="AY261" s="3" t="s">
        <v>264</v>
      </c>
      <c r="AZ261" s="3">
        <v>0</v>
      </c>
      <c r="BA261" s="19">
        <v>108595.68</v>
      </c>
    </row>
    <row r="262" spans="1:53" x14ac:dyDescent="0.2">
      <c r="A262" s="17">
        <v>885</v>
      </c>
      <c r="B262" s="17">
        <v>1</v>
      </c>
      <c r="C262" s="3" t="s">
        <v>1197</v>
      </c>
      <c r="D262" s="3">
        <f>Levy!F263</f>
        <v>1142231.21</v>
      </c>
      <c r="E262" s="3">
        <f>Levy!G263</f>
        <v>1053992.8899999999</v>
      </c>
      <c r="F262" s="3">
        <f>Levy!H263</f>
        <v>0</v>
      </c>
      <c r="G262" s="3">
        <f>Levy!I263</f>
        <v>1065641.31</v>
      </c>
      <c r="H262" s="217">
        <f>Levy!J263</f>
        <v>249888.42</v>
      </c>
      <c r="I262" s="219">
        <v>0</v>
      </c>
      <c r="J262" s="219">
        <v>15000</v>
      </c>
      <c r="K262" s="219">
        <v>45122.44</v>
      </c>
      <c r="L262" s="219">
        <v>0</v>
      </c>
      <c r="M262" s="219">
        <v>0</v>
      </c>
      <c r="N262" s="19">
        <v>0</v>
      </c>
      <c r="O262" s="19">
        <v>0</v>
      </c>
      <c r="P262" s="219">
        <v>16079.23</v>
      </c>
      <c r="Q262" s="219">
        <v>0</v>
      </c>
      <c r="R262" s="219">
        <v>-19503.490000000002</v>
      </c>
      <c r="S262" s="219">
        <v>0</v>
      </c>
      <c r="T262" s="19">
        <v>0</v>
      </c>
      <c r="U262" s="19">
        <v>0</v>
      </c>
      <c r="V262" s="19">
        <v>0</v>
      </c>
      <c r="W262" s="19">
        <v>0</v>
      </c>
      <c r="X262" s="19">
        <v>0</v>
      </c>
      <c r="Y262" s="217">
        <v>131136.53</v>
      </c>
      <c r="Z262" s="3">
        <f t="shared" ref="Z262:Z325" si="25">SUM(I262:T262)</f>
        <v>56698.179999999993</v>
      </c>
      <c r="AA262" s="3">
        <f t="shared" ref="AA262:AA325" si="26">ROUND(MAX(E262+F262+G262-W262-X262-Z262,0),2)</f>
        <v>2062936.02</v>
      </c>
      <c r="AB262" s="3">
        <f t="shared" si="22"/>
        <v>249888.42</v>
      </c>
      <c r="AC262" s="3">
        <f>ROUND(MAX(0,(D262-V262)*'Shift 14'!$B$2),2)</f>
        <v>0</v>
      </c>
      <c r="AD262" s="3">
        <f t="shared" ref="AD262:AD325" si="27">MAX(AC262,Y262)</f>
        <v>131136.53</v>
      </c>
      <c r="AE262" s="3">
        <f t="shared" si="23"/>
        <v>0</v>
      </c>
      <c r="AF262" s="214">
        <v>885</v>
      </c>
      <c r="AG262" s="214">
        <v>1</v>
      </c>
      <c r="AH262" s="3">
        <v>0</v>
      </c>
      <c r="AI262" s="3">
        <v>0</v>
      </c>
      <c r="AJ262" s="3">
        <v>0</v>
      </c>
      <c r="AK262" s="3">
        <v>15000</v>
      </c>
      <c r="AL262" s="3">
        <v>45122.44</v>
      </c>
      <c r="AM262" s="3">
        <v>0</v>
      </c>
      <c r="AN262" s="3">
        <v>0</v>
      </c>
      <c r="AO262" s="3">
        <v>0</v>
      </c>
      <c r="AP262" s="3">
        <v>0</v>
      </c>
      <c r="AQ262" s="3">
        <v>16079.23</v>
      </c>
      <c r="AR262" s="3">
        <v>0</v>
      </c>
      <c r="AS262" s="3">
        <v>-19503.490000000002</v>
      </c>
      <c r="AT262" s="3">
        <v>0</v>
      </c>
      <c r="AU262" s="3">
        <f t="shared" si="24"/>
        <v>0</v>
      </c>
      <c r="AV262" s="17">
        <v>885</v>
      </c>
      <c r="AW262" s="17">
        <v>885</v>
      </c>
      <c r="AX262" s="17">
        <v>1</v>
      </c>
      <c r="AY262" s="3" t="s">
        <v>265</v>
      </c>
      <c r="AZ262" s="3">
        <v>0</v>
      </c>
      <c r="BA262" s="19">
        <v>131136.53</v>
      </c>
    </row>
    <row r="263" spans="1:53" x14ac:dyDescent="0.2">
      <c r="A263" s="17">
        <v>891</v>
      </c>
      <c r="B263" s="17">
        <v>1</v>
      </c>
      <c r="C263" s="3" t="s">
        <v>266</v>
      </c>
      <c r="D263" s="3">
        <f>Levy!F264</f>
        <v>123820</v>
      </c>
      <c r="E263" s="3">
        <f>Levy!G264</f>
        <v>79708</v>
      </c>
      <c r="F263" s="3">
        <f>Levy!H264</f>
        <v>0</v>
      </c>
      <c r="G263" s="3">
        <f>Levy!I264</f>
        <v>320492</v>
      </c>
      <c r="H263" s="217">
        <f>Levy!J264</f>
        <v>31040</v>
      </c>
      <c r="I263" s="219">
        <v>0</v>
      </c>
      <c r="J263" s="219">
        <v>2774</v>
      </c>
      <c r="K263" s="219">
        <v>17529.009999999998</v>
      </c>
      <c r="L263" s="219">
        <v>0</v>
      </c>
      <c r="M263" s="219">
        <v>0</v>
      </c>
      <c r="N263" s="19">
        <v>0</v>
      </c>
      <c r="O263" s="19">
        <v>0</v>
      </c>
      <c r="P263" s="219">
        <v>1774.96</v>
      </c>
      <c r="Q263" s="219">
        <v>0</v>
      </c>
      <c r="R263" s="219">
        <v>-1752.85</v>
      </c>
      <c r="S263" s="219">
        <v>0</v>
      </c>
      <c r="T263" s="19">
        <v>0</v>
      </c>
      <c r="U263" s="19">
        <v>0</v>
      </c>
      <c r="V263" s="19">
        <v>0</v>
      </c>
      <c r="W263" s="19">
        <v>0</v>
      </c>
      <c r="X263" s="19">
        <v>18617.810000000001</v>
      </c>
      <c r="Y263" s="217">
        <v>32209.42</v>
      </c>
      <c r="Z263" s="3">
        <f t="shared" si="25"/>
        <v>20325.12</v>
      </c>
      <c r="AA263" s="3">
        <f t="shared" si="26"/>
        <v>361257.07</v>
      </c>
      <c r="AB263" s="3">
        <f t="shared" ref="AB263:AB326" si="28">ROUND(MAX(H263-U263,0),2)</f>
        <v>31040</v>
      </c>
      <c r="AC263" s="3">
        <f>ROUND(MAX(0,(D263-V263)*'Shift 14'!$B$2),2)</f>
        <v>0</v>
      </c>
      <c r="AD263" s="3">
        <f t="shared" si="27"/>
        <v>32209.42</v>
      </c>
      <c r="AE263" s="3">
        <f t="shared" si="23"/>
        <v>0</v>
      </c>
      <c r="AF263" s="214">
        <v>891</v>
      </c>
      <c r="AG263" s="214">
        <v>1</v>
      </c>
      <c r="AH263" s="3">
        <v>0</v>
      </c>
      <c r="AI263" s="3">
        <v>0</v>
      </c>
      <c r="AJ263" s="3">
        <v>12944.91</v>
      </c>
      <c r="AK263" s="3">
        <v>2774</v>
      </c>
      <c r="AL263" s="3">
        <v>17529.009999999998</v>
      </c>
      <c r="AM263" s="3">
        <v>0</v>
      </c>
      <c r="AN263" s="3">
        <v>0</v>
      </c>
      <c r="AO263" s="3">
        <v>0</v>
      </c>
      <c r="AP263" s="3">
        <v>28.43</v>
      </c>
      <c r="AQ263" s="3">
        <v>1774.96</v>
      </c>
      <c r="AR263" s="3">
        <v>0</v>
      </c>
      <c r="AS263" s="3">
        <v>-1752.85</v>
      </c>
      <c r="AT263" s="3">
        <v>0</v>
      </c>
      <c r="AU263" s="3">
        <f t="shared" si="24"/>
        <v>0</v>
      </c>
      <c r="AV263" s="17">
        <v>891</v>
      </c>
      <c r="AW263" s="17">
        <v>891</v>
      </c>
      <c r="AX263" s="17">
        <v>1</v>
      </c>
      <c r="AY263" s="3" t="s">
        <v>266</v>
      </c>
      <c r="AZ263" s="3">
        <v>18617.810000000001</v>
      </c>
      <c r="BA263" s="19">
        <v>32209.42</v>
      </c>
    </row>
    <row r="264" spans="1:53" x14ac:dyDescent="0.2">
      <c r="A264" s="17">
        <v>911</v>
      </c>
      <c r="B264" s="17">
        <v>1</v>
      </c>
      <c r="C264" s="3" t="s">
        <v>267</v>
      </c>
      <c r="D264" s="3">
        <f>Levy!F265</f>
        <v>0</v>
      </c>
      <c r="E264" s="3">
        <f>Levy!G265</f>
        <v>1768878.95</v>
      </c>
      <c r="F264" s="3">
        <f>Levy!H265</f>
        <v>0</v>
      </c>
      <c r="G264" s="3">
        <f>Levy!I265</f>
        <v>1304716.19</v>
      </c>
      <c r="H264" s="217">
        <f>Levy!J265</f>
        <v>317098.03000000003</v>
      </c>
      <c r="I264" s="219">
        <v>0</v>
      </c>
      <c r="J264" s="219">
        <v>75000</v>
      </c>
      <c r="K264" s="219">
        <v>62389.17</v>
      </c>
      <c r="L264" s="219">
        <v>0</v>
      </c>
      <c r="M264" s="219">
        <v>0</v>
      </c>
      <c r="N264" s="19">
        <v>0</v>
      </c>
      <c r="O264" s="19">
        <v>0</v>
      </c>
      <c r="P264" s="219">
        <v>-50052.43</v>
      </c>
      <c r="Q264" s="219">
        <v>0</v>
      </c>
      <c r="R264" s="219">
        <v>-16251.66</v>
      </c>
      <c r="S264" s="219">
        <v>0</v>
      </c>
      <c r="T264" s="19">
        <v>0</v>
      </c>
      <c r="U264" s="19">
        <v>0</v>
      </c>
      <c r="V264" s="19">
        <v>0</v>
      </c>
      <c r="W264" s="19">
        <v>0</v>
      </c>
      <c r="X264" s="19">
        <v>0</v>
      </c>
      <c r="Y264" s="217">
        <v>217668.75</v>
      </c>
      <c r="Z264" s="3">
        <f t="shared" si="25"/>
        <v>71085.079999999987</v>
      </c>
      <c r="AA264" s="3">
        <f t="shared" si="26"/>
        <v>3002510.06</v>
      </c>
      <c r="AB264" s="3">
        <f t="shared" si="28"/>
        <v>317098.03000000003</v>
      </c>
      <c r="AC264" s="3">
        <f>ROUND(MAX(0,(D264-V264)*'Shift 14'!$B$2),2)</f>
        <v>0</v>
      </c>
      <c r="AD264" s="3">
        <f t="shared" si="27"/>
        <v>217668.75</v>
      </c>
      <c r="AE264" s="3">
        <f t="shared" si="23"/>
        <v>0</v>
      </c>
      <c r="AF264" s="214">
        <v>911</v>
      </c>
      <c r="AG264" s="214">
        <v>1</v>
      </c>
      <c r="AH264" s="3">
        <v>0</v>
      </c>
      <c r="AI264" s="3">
        <v>0</v>
      </c>
      <c r="AJ264" s="3">
        <v>0</v>
      </c>
      <c r="AK264" s="3">
        <v>75000</v>
      </c>
      <c r="AL264" s="3">
        <v>62389.17</v>
      </c>
      <c r="AM264" s="3">
        <v>0</v>
      </c>
      <c r="AN264" s="3">
        <v>0</v>
      </c>
      <c r="AO264" s="3">
        <v>0</v>
      </c>
      <c r="AP264" s="3">
        <v>0</v>
      </c>
      <c r="AQ264" s="3">
        <v>-50052.43</v>
      </c>
      <c r="AR264" s="3">
        <v>0</v>
      </c>
      <c r="AS264" s="3">
        <v>-16251.66</v>
      </c>
      <c r="AT264" s="3">
        <v>0</v>
      </c>
      <c r="AU264" s="3">
        <f t="shared" si="24"/>
        <v>0</v>
      </c>
      <c r="AV264" s="17">
        <v>911</v>
      </c>
      <c r="AW264" s="17">
        <v>911</v>
      </c>
      <c r="AX264" s="17">
        <v>1</v>
      </c>
      <c r="AY264" s="3" t="s">
        <v>267</v>
      </c>
      <c r="AZ264" s="3">
        <v>0</v>
      </c>
      <c r="BA264" s="19">
        <v>217668.75</v>
      </c>
    </row>
    <row r="265" spans="1:53" x14ac:dyDescent="0.2">
      <c r="A265" s="17">
        <v>912</v>
      </c>
      <c r="B265" s="17">
        <v>1</v>
      </c>
      <c r="C265" s="3" t="s">
        <v>268</v>
      </c>
      <c r="D265" s="3">
        <f>Levy!F266</f>
        <v>0</v>
      </c>
      <c r="E265" s="3">
        <f>Levy!G266</f>
        <v>280547.28000000003</v>
      </c>
      <c r="F265" s="3">
        <f>Levy!H266</f>
        <v>0</v>
      </c>
      <c r="G265" s="3">
        <f>Levy!I266</f>
        <v>201066.96</v>
      </c>
      <c r="H265" s="217">
        <f>Levy!J266</f>
        <v>98338.07</v>
      </c>
      <c r="I265" s="219">
        <v>0</v>
      </c>
      <c r="J265" s="219">
        <v>6681</v>
      </c>
      <c r="K265" s="219">
        <v>21741.119999999999</v>
      </c>
      <c r="L265" s="219">
        <v>0</v>
      </c>
      <c r="M265" s="219">
        <v>0</v>
      </c>
      <c r="N265" s="19">
        <v>0</v>
      </c>
      <c r="O265" s="19">
        <v>0</v>
      </c>
      <c r="P265" s="219">
        <v>8779.86</v>
      </c>
      <c r="Q265" s="219">
        <v>0</v>
      </c>
      <c r="R265" s="219">
        <v>-6285.68</v>
      </c>
      <c r="S265" s="219">
        <v>0</v>
      </c>
      <c r="T265" s="19">
        <v>0</v>
      </c>
      <c r="U265" s="19">
        <v>0</v>
      </c>
      <c r="V265" s="19">
        <v>0</v>
      </c>
      <c r="W265" s="19">
        <v>0</v>
      </c>
      <c r="X265" s="19">
        <v>0</v>
      </c>
      <c r="Y265" s="217">
        <v>54092.15</v>
      </c>
      <c r="Z265" s="3">
        <f t="shared" si="25"/>
        <v>30916.299999999996</v>
      </c>
      <c r="AA265" s="3">
        <f t="shared" si="26"/>
        <v>450697.94</v>
      </c>
      <c r="AB265" s="3">
        <f t="shared" si="28"/>
        <v>98338.07</v>
      </c>
      <c r="AC265" s="3">
        <f>ROUND(MAX(0,(D265-V265)*'Shift 14'!$B$2),2)</f>
        <v>0</v>
      </c>
      <c r="AD265" s="3">
        <f t="shared" si="27"/>
        <v>54092.15</v>
      </c>
      <c r="AE265" s="3">
        <f t="shared" ref="AE265:AE328" si="29">AF265-A265</f>
        <v>0</v>
      </c>
      <c r="AF265" s="214">
        <v>912</v>
      </c>
      <c r="AG265" s="214">
        <v>1</v>
      </c>
      <c r="AH265" s="3">
        <v>0</v>
      </c>
      <c r="AI265" s="3">
        <v>0</v>
      </c>
      <c r="AJ265" s="3">
        <v>0</v>
      </c>
      <c r="AK265" s="3">
        <v>6681</v>
      </c>
      <c r="AL265" s="3">
        <v>21741.119999999999</v>
      </c>
      <c r="AM265" s="3">
        <v>0</v>
      </c>
      <c r="AN265" s="3">
        <v>0</v>
      </c>
      <c r="AO265" s="3">
        <v>0</v>
      </c>
      <c r="AP265" s="3">
        <v>0</v>
      </c>
      <c r="AQ265" s="3">
        <v>8779.86</v>
      </c>
      <c r="AR265" s="3">
        <v>0</v>
      </c>
      <c r="AS265" s="3">
        <v>-6285.68</v>
      </c>
      <c r="AT265" s="3">
        <v>0</v>
      </c>
      <c r="AU265" s="3">
        <f t="shared" ref="AU265:AU328" si="30">AV265-A265</f>
        <v>0</v>
      </c>
      <c r="AV265" s="17">
        <v>912</v>
      </c>
      <c r="AW265" s="17">
        <v>912</v>
      </c>
      <c r="AX265" s="17">
        <v>1</v>
      </c>
      <c r="AY265" s="3" t="s">
        <v>268</v>
      </c>
      <c r="AZ265" s="3">
        <v>0</v>
      </c>
      <c r="BA265" s="19">
        <v>54092.15</v>
      </c>
    </row>
    <row r="266" spans="1:53" x14ac:dyDescent="0.2">
      <c r="A266" s="17">
        <v>914</v>
      </c>
      <c r="B266" s="17">
        <v>1</v>
      </c>
      <c r="C266" s="3" t="s">
        <v>269</v>
      </c>
      <c r="D266" s="3">
        <f>Levy!F267</f>
        <v>381227.66</v>
      </c>
      <c r="E266" s="3">
        <f>Levy!G267</f>
        <v>6994.4</v>
      </c>
      <c r="F266" s="3">
        <f>Levy!H267</f>
        <v>0</v>
      </c>
      <c r="G266" s="3">
        <f>Levy!I267</f>
        <v>108468.55</v>
      </c>
      <c r="H266" s="217">
        <f>Levy!J267</f>
        <v>20518.04</v>
      </c>
      <c r="I266" s="219">
        <v>0</v>
      </c>
      <c r="J266" s="219">
        <v>5000</v>
      </c>
      <c r="K266" s="219">
        <v>13407.94</v>
      </c>
      <c r="L266" s="219">
        <v>0</v>
      </c>
      <c r="M266" s="219">
        <v>0</v>
      </c>
      <c r="N266" s="19">
        <v>0</v>
      </c>
      <c r="O266" s="19">
        <v>0</v>
      </c>
      <c r="P266" s="219">
        <v>-2453.2800000000002</v>
      </c>
      <c r="Q266" s="219">
        <v>0</v>
      </c>
      <c r="R266" s="219">
        <v>-1665.08</v>
      </c>
      <c r="S266" s="219">
        <v>0</v>
      </c>
      <c r="T266" s="19">
        <v>0</v>
      </c>
      <c r="U266" s="19">
        <v>0</v>
      </c>
      <c r="V266" s="19">
        <v>0</v>
      </c>
      <c r="W266" s="19">
        <v>0</v>
      </c>
      <c r="X266" s="19">
        <v>527.82000000000005</v>
      </c>
      <c r="Y266" s="217">
        <v>88350</v>
      </c>
      <c r="Z266" s="3">
        <f t="shared" si="25"/>
        <v>14289.580000000002</v>
      </c>
      <c r="AA266" s="3">
        <f t="shared" si="26"/>
        <v>100645.55</v>
      </c>
      <c r="AB266" s="3">
        <f t="shared" si="28"/>
        <v>20518.04</v>
      </c>
      <c r="AC266" s="3">
        <f>ROUND(MAX(0,(D266-V266)*'Shift 14'!$B$2),2)</f>
        <v>0</v>
      </c>
      <c r="AD266" s="3">
        <f t="shared" si="27"/>
        <v>88350</v>
      </c>
      <c r="AE266" s="3">
        <f t="shared" si="29"/>
        <v>0</v>
      </c>
      <c r="AF266" s="214">
        <v>914</v>
      </c>
      <c r="AG266" s="214">
        <v>1</v>
      </c>
      <c r="AH266" s="3">
        <v>0</v>
      </c>
      <c r="AI266" s="3">
        <v>0</v>
      </c>
      <c r="AJ266" s="3">
        <v>0</v>
      </c>
      <c r="AK266" s="3">
        <v>5000</v>
      </c>
      <c r="AL266" s="3">
        <v>13407.94</v>
      </c>
      <c r="AM266" s="3">
        <v>0</v>
      </c>
      <c r="AN266" s="3">
        <v>0</v>
      </c>
      <c r="AO266" s="3">
        <v>0</v>
      </c>
      <c r="AP266" s="3">
        <v>0</v>
      </c>
      <c r="AQ266" s="3">
        <v>-2453.2800000000002</v>
      </c>
      <c r="AR266" s="3">
        <v>0</v>
      </c>
      <c r="AS266" s="3">
        <v>-1665.08</v>
      </c>
      <c r="AT266" s="3">
        <v>0</v>
      </c>
      <c r="AU266" s="3">
        <f t="shared" si="30"/>
        <v>0</v>
      </c>
      <c r="AV266" s="17">
        <v>914</v>
      </c>
      <c r="AW266" s="17">
        <v>914</v>
      </c>
      <c r="AX266" s="17">
        <v>1</v>
      </c>
      <c r="AY266" s="3" t="s">
        <v>269</v>
      </c>
      <c r="AZ266" s="3">
        <v>527.82000000000005</v>
      </c>
      <c r="BA266" s="19">
        <v>88350</v>
      </c>
    </row>
    <row r="267" spans="1:53" x14ac:dyDescent="0.2">
      <c r="A267" s="17">
        <v>2071</v>
      </c>
      <c r="B267" s="17">
        <v>1</v>
      </c>
      <c r="C267" s="3" t="s">
        <v>1166</v>
      </c>
      <c r="D267" s="3">
        <f>Levy!F268</f>
        <v>306852.93</v>
      </c>
      <c r="E267" s="3">
        <f>Levy!G268</f>
        <v>199382.47</v>
      </c>
      <c r="F267" s="3">
        <f>Levy!H268</f>
        <v>175000</v>
      </c>
      <c r="G267" s="3">
        <f>Levy!I268</f>
        <v>485365.91</v>
      </c>
      <c r="H267" s="217">
        <f>Levy!J268</f>
        <v>90977.11</v>
      </c>
      <c r="I267" s="219">
        <v>0</v>
      </c>
      <c r="J267" s="219">
        <v>1702.15</v>
      </c>
      <c r="K267" s="219">
        <v>19680.71</v>
      </c>
      <c r="L267" s="219">
        <v>0</v>
      </c>
      <c r="M267" s="219">
        <v>0</v>
      </c>
      <c r="N267" s="19">
        <v>0</v>
      </c>
      <c r="O267" s="19">
        <v>0</v>
      </c>
      <c r="P267" s="219">
        <v>-1720.99</v>
      </c>
      <c r="Q267" s="219">
        <v>0</v>
      </c>
      <c r="R267" s="219">
        <v>-1468.62</v>
      </c>
      <c r="S267" s="219">
        <v>0</v>
      </c>
      <c r="T267" s="19">
        <v>0</v>
      </c>
      <c r="U267" s="19">
        <v>0</v>
      </c>
      <c r="V267" s="19">
        <v>0</v>
      </c>
      <c r="W267" s="19">
        <v>0</v>
      </c>
      <c r="X267" s="19">
        <v>0</v>
      </c>
      <c r="Y267" s="217">
        <v>216532</v>
      </c>
      <c r="Z267" s="3">
        <f t="shared" si="25"/>
        <v>18193.25</v>
      </c>
      <c r="AA267" s="3">
        <f t="shared" si="26"/>
        <v>841555.13</v>
      </c>
      <c r="AB267" s="3">
        <f t="shared" si="28"/>
        <v>90977.11</v>
      </c>
      <c r="AC267" s="3">
        <f>ROUND(MAX(0,(D267-V267)*'Shift 14'!$B$2),2)</f>
        <v>0</v>
      </c>
      <c r="AD267" s="3">
        <f t="shared" si="27"/>
        <v>216532</v>
      </c>
      <c r="AE267" s="3">
        <f t="shared" si="29"/>
        <v>0</v>
      </c>
      <c r="AF267" s="214">
        <v>2071</v>
      </c>
      <c r="AG267" s="214">
        <v>1</v>
      </c>
      <c r="AH267" s="3">
        <v>0</v>
      </c>
      <c r="AI267" s="3">
        <v>0</v>
      </c>
      <c r="AJ267" s="3">
        <v>15781.58</v>
      </c>
      <c r="AK267" s="3">
        <v>1702.15</v>
      </c>
      <c r="AL267" s="3">
        <v>19680.71</v>
      </c>
      <c r="AM267" s="3">
        <v>0</v>
      </c>
      <c r="AN267" s="3">
        <v>0</v>
      </c>
      <c r="AO267" s="3">
        <v>0</v>
      </c>
      <c r="AP267" s="3">
        <v>-3534.61</v>
      </c>
      <c r="AQ267" s="3">
        <v>-1720.99</v>
      </c>
      <c r="AR267" s="3">
        <v>0</v>
      </c>
      <c r="AS267" s="3">
        <v>-1468.62</v>
      </c>
      <c r="AT267" s="3">
        <v>0</v>
      </c>
      <c r="AU267" s="3">
        <f t="shared" si="30"/>
        <v>0</v>
      </c>
      <c r="AV267" s="17">
        <v>2071</v>
      </c>
      <c r="AW267" s="17">
        <v>2071</v>
      </c>
      <c r="AX267" s="17">
        <v>1</v>
      </c>
      <c r="AY267" s="3" t="s">
        <v>270</v>
      </c>
      <c r="AZ267" s="3">
        <v>0</v>
      </c>
      <c r="BA267" s="19">
        <v>216532</v>
      </c>
    </row>
    <row r="268" spans="1:53" x14ac:dyDescent="0.2">
      <c r="A268" s="17">
        <v>2125</v>
      </c>
      <c r="B268" s="17">
        <v>1</v>
      </c>
      <c r="C268" s="3" t="s">
        <v>271</v>
      </c>
      <c r="D268" s="3">
        <f>Levy!F269</f>
        <v>174973.38</v>
      </c>
      <c r="E268" s="3">
        <f>Levy!G269</f>
        <v>87942.04</v>
      </c>
      <c r="F268" s="3">
        <f>Levy!H269</f>
        <v>0</v>
      </c>
      <c r="G268" s="3">
        <f>Levy!I269</f>
        <v>516598.14</v>
      </c>
      <c r="H268" s="217">
        <f>Levy!J269</f>
        <v>114642.32</v>
      </c>
      <c r="I268" s="219">
        <v>0</v>
      </c>
      <c r="J268" s="219">
        <v>10000</v>
      </c>
      <c r="K268" s="219">
        <v>14694.34</v>
      </c>
      <c r="L268" s="219">
        <v>0</v>
      </c>
      <c r="M268" s="219">
        <v>0</v>
      </c>
      <c r="N268" s="19">
        <v>0</v>
      </c>
      <c r="O268" s="19">
        <v>0</v>
      </c>
      <c r="P268" s="219">
        <v>-20000</v>
      </c>
      <c r="Q268" s="219">
        <v>0</v>
      </c>
      <c r="R268" s="219">
        <v>-2882.33</v>
      </c>
      <c r="S268" s="219">
        <v>0</v>
      </c>
      <c r="T268" s="19">
        <v>0</v>
      </c>
      <c r="U268" s="19">
        <v>0</v>
      </c>
      <c r="V268" s="19">
        <v>0</v>
      </c>
      <c r="W268" s="19">
        <v>0</v>
      </c>
      <c r="X268" s="19">
        <v>0</v>
      </c>
      <c r="Y268" s="217">
        <v>130834.75</v>
      </c>
      <c r="Z268" s="3">
        <f t="shared" si="25"/>
        <v>1812.0100000000002</v>
      </c>
      <c r="AA268" s="3">
        <f t="shared" si="26"/>
        <v>602728.17000000004</v>
      </c>
      <c r="AB268" s="3">
        <f t="shared" si="28"/>
        <v>114642.32</v>
      </c>
      <c r="AC268" s="3">
        <f>ROUND(MAX(0,(D268-V268)*'Shift 14'!$B$2),2)</f>
        <v>0</v>
      </c>
      <c r="AD268" s="3">
        <f t="shared" si="27"/>
        <v>130834.75</v>
      </c>
      <c r="AE268" s="3">
        <f t="shared" si="29"/>
        <v>0</v>
      </c>
      <c r="AF268" s="214">
        <v>2125</v>
      </c>
      <c r="AG268" s="214">
        <v>1</v>
      </c>
      <c r="AH268" s="3">
        <v>0</v>
      </c>
      <c r="AI268" s="3">
        <v>0</v>
      </c>
      <c r="AJ268" s="3">
        <v>0</v>
      </c>
      <c r="AK268" s="3">
        <v>10000</v>
      </c>
      <c r="AL268" s="3">
        <v>14694.34</v>
      </c>
      <c r="AM268" s="3">
        <v>0</v>
      </c>
      <c r="AN268" s="3">
        <v>0</v>
      </c>
      <c r="AO268" s="3">
        <v>0</v>
      </c>
      <c r="AP268" s="3">
        <v>0</v>
      </c>
      <c r="AQ268" s="3">
        <v>-20000</v>
      </c>
      <c r="AR268" s="3">
        <v>0</v>
      </c>
      <c r="AS268" s="3">
        <v>-2882.33</v>
      </c>
      <c r="AT268" s="3">
        <v>0</v>
      </c>
      <c r="AU268" s="3">
        <f t="shared" si="30"/>
        <v>0</v>
      </c>
      <c r="AV268" s="17">
        <v>2125</v>
      </c>
      <c r="AW268" s="17">
        <v>2125</v>
      </c>
      <c r="AX268" s="17">
        <v>1</v>
      </c>
      <c r="AY268" s="3" t="s">
        <v>271</v>
      </c>
      <c r="AZ268" s="3">
        <v>0</v>
      </c>
      <c r="BA268" s="19">
        <v>130834.75</v>
      </c>
    </row>
    <row r="269" spans="1:53" x14ac:dyDescent="0.2">
      <c r="A269" s="17">
        <v>2134</v>
      </c>
      <c r="B269" s="17">
        <v>1</v>
      </c>
      <c r="C269" s="3" t="s">
        <v>1165</v>
      </c>
      <c r="D269" s="3">
        <f>Levy!F270</f>
        <v>866634.39</v>
      </c>
      <c r="E269" s="3">
        <f>Levy!G270</f>
        <v>27084.240000000002</v>
      </c>
      <c r="F269" s="3">
        <f>Levy!H270</f>
        <v>0</v>
      </c>
      <c r="G269" s="3">
        <f>Levy!I270</f>
        <v>256626.27</v>
      </c>
      <c r="H269" s="217">
        <f>Levy!J270</f>
        <v>84119.56</v>
      </c>
      <c r="I269" s="219">
        <v>0</v>
      </c>
      <c r="J269" s="219">
        <v>5000</v>
      </c>
      <c r="K269" s="219">
        <v>27388.67</v>
      </c>
      <c r="L269" s="219">
        <v>0</v>
      </c>
      <c r="M269" s="219">
        <v>0</v>
      </c>
      <c r="N269" s="19">
        <v>0</v>
      </c>
      <c r="O269" s="19">
        <v>0</v>
      </c>
      <c r="P269" s="219">
        <v>-16394.89</v>
      </c>
      <c r="Q269" s="219">
        <v>0</v>
      </c>
      <c r="R269" s="219">
        <v>-4366.88</v>
      </c>
      <c r="S269" s="219">
        <v>0</v>
      </c>
      <c r="T269" s="19">
        <v>0</v>
      </c>
      <c r="U269" s="19">
        <v>0</v>
      </c>
      <c r="V269" s="19">
        <v>0</v>
      </c>
      <c r="W269" s="19">
        <v>0</v>
      </c>
      <c r="X269" s="19">
        <v>10564.1</v>
      </c>
      <c r="Y269" s="217">
        <v>243273.5</v>
      </c>
      <c r="Z269" s="3">
        <f t="shared" si="25"/>
        <v>11626.899999999998</v>
      </c>
      <c r="AA269" s="3">
        <f t="shared" si="26"/>
        <v>261519.51</v>
      </c>
      <c r="AB269" s="3">
        <f t="shared" si="28"/>
        <v>84119.56</v>
      </c>
      <c r="AC269" s="3">
        <f>ROUND(MAX(0,(D269-V269)*'Shift 14'!$B$2),2)</f>
        <v>0</v>
      </c>
      <c r="AD269" s="3">
        <f t="shared" si="27"/>
        <v>243273.5</v>
      </c>
      <c r="AE269" s="3">
        <f t="shared" si="29"/>
        <v>0</v>
      </c>
      <c r="AF269" s="214">
        <v>2134</v>
      </c>
      <c r="AG269" s="214">
        <v>1</v>
      </c>
      <c r="AH269" s="3">
        <v>0</v>
      </c>
      <c r="AI269" s="3">
        <v>0</v>
      </c>
      <c r="AJ269" s="3">
        <v>0</v>
      </c>
      <c r="AK269" s="3">
        <v>5000</v>
      </c>
      <c r="AL269" s="3">
        <v>27388.67</v>
      </c>
      <c r="AM269" s="3">
        <v>0</v>
      </c>
      <c r="AN269" s="3">
        <v>0</v>
      </c>
      <c r="AO269" s="3">
        <v>0</v>
      </c>
      <c r="AP269" s="3">
        <v>0</v>
      </c>
      <c r="AQ269" s="3">
        <v>-16394.89</v>
      </c>
      <c r="AR269" s="3">
        <v>0</v>
      </c>
      <c r="AS269" s="3">
        <v>-4366.88</v>
      </c>
      <c r="AT269" s="3">
        <v>0</v>
      </c>
      <c r="AU269" s="3">
        <f t="shared" si="30"/>
        <v>0</v>
      </c>
      <c r="AV269" s="17">
        <v>2134</v>
      </c>
      <c r="AW269" s="17">
        <v>2134</v>
      </c>
      <c r="AX269" s="17">
        <v>1</v>
      </c>
      <c r="AY269" s="3" t="s">
        <v>272</v>
      </c>
      <c r="AZ269" s="3">
        <v>10564.1</v>
      </c>
      <c r="BA269" s="19">
        <v>243273.5</v>
      </c>
    </row>
    <row r="270" spans="1:53" x14ac:dyDescent="0.2">
      <c r="A270" s="17">
        <v>2135</v>
      </c>
      <c r="B270" s="17">
        <v>1</v>
      </c>
      <c r="C270" s="3" t="s">
        <v>273</v>
      </c>
      <c r="D270" s="3">
        <f>Levy!F271</f>
        <v>556785.54</v>
      </c>
      <c r="E270" s="3">
        <f>Levy!G271</f>
        <v>179314.79</v>
      </c>
      <c r="F270" s="3">
        <f>Levy!H271</f>
        <v>0</v>
      </c>
      <c r="G270" s="3">
        <f>Levy!I271</f>
        <v>529273.99</v>
      </c>
      <c r="H270" s="217">
        <f>Levy!J271</f>
        <v>93129.83</v>
      </c>
      <c r="I270" s="219">
        <v>0</v>
      </c>
      <c r="J270" s="219">
        <v>0</v>
      </c>
      <c r="K270" s="219">
        <v>31859.41</v>
      </c>
      <c r="L270" s="219">
        <v>0</v>
      </c>
      <c r="M270" s="219">
        <v>0</v>
      </c>
      <c r="N270" s="19">
        <v>0</v>
      </c>
      <c r="O270" s="19">
        <v>0</v>
      </c>
      <c r="P270" s="219">
        <v>11520.71</v>
      </c>
      <c r="Q270" s="219">
        <v>0</v>
      </c>
      <c r="R270" s="219">
        <v>-4340.49</v>
      </c>
      <c r="S270" s="219">
        <v>0</v>
      </c>
      <c r="T270" s="19">
        <v>0</v>
      </c>
      <c r="U270" s="19">
        <v>0</v>
      </c>
      <c r="V270" s="19">
        <v>0</v>
      </c>
      <c r="W270" s="19">
        <v>0</v>
      </c>
      <c r="X270" s="19">
        <v>0</v>
      </c>
      <c r="Y270" s="217">
        <v>188722.05</v>
      </c>
      <c r="Z270" s="3">
        <f t="shared" si="25"/>
        <v>39039.629999999997</v>
      </c>
      <c r="AA270" s="3">
        <f t="shared" si="26"/>
        <v>669549.15</v>
      </c>
      <c r="AB270" s="3">
        <f t="shared" si="28"/>
        <v>93129.83</v>
      </c>
      <c r="AC270" s="3">
        <f>ROUND(MAX(0,(D270-V270)*'Shift 14'!$B$2),2)</f>
        <v>0</v>
      </c>
      <c r="AD270" s="3">
        <f t="shared" si="27"/>
        <v>188722.05</v>
      </c>
      <c r="AE270" s="3">
        <f t="shared" si="29"/>
        <v>0</v>
      </c>
      <c r="AF270" s="214">
        <v>2135</v>
      </c>
      <c r="AG270" s="214">
        <v>1</v>
      </c>
      <c r="AH270" s="3">
        <v>0</v>
      </c>
      <c r="AI270" s="3">
        <v>0</v>
      </c>
      <c r="AJ270" s="3">
        <v>23451.16</v>
      </c>
      <c r="AK270" s="3">
        <v>0</v>
      </c>
      <c r="AL270" s="3">
        <v>31859.41</v>
      </c>
      <c r="AM270" s="3">
        <v>0</v>
      </c>
      <c r="AN270" s="3">
        <v>0</v>
      </c>
      <c r="AO270" s="3">
        <v>0</v>
      </c>
      <c r="AP270" s="3">
        <v>-3781.08</v>
      </c>
      <c r="AQ270" s="3">
        <v>11520.71</v>
      </c>
      <c r="AR270" s="3">
        <v>0</v>
      </c>
      <c r="AS270" s="3">
        <v>-4340.49</v>
      </c>
      <c r="AT270" s="3">
        <v>0</v>
      </c>
      <c r="AU270" s="3">
        <f t="shared" si="30"/>
        <v>0</v>
      </c>
      <c r="AV270" s="17">
        <v>2135</v>
      </c>
      <c r="AW270" s="17">
        <v>2135</v>
      </c>
      <c r="AX270" s="17">
        <v>1</v>
      </c>
      <c r="AY270" s="3" t="s">
        <v>273</v>
      </c>
      <c r="AZ270" s="3">
        <v>0</v>
      </c>
      <c r="BA270" s="19">
        <v>188722.05</v>
      </c>
    </row>
    <row r="271" spans="1:53" x14ac:dyDescent="0.2">
      <c r="A271" s="17">
        <v>2137</v>
      </c>
      <c r="B271" s="17">
        <v>1</v>
      </c>
      <c r="C271" s="3" t="s">
        <v>274</v>
      </c>
      <c r="D271" s="3">
        <f>Levy!F272</f>
        <v>361193</v>
      </c>
      <c r="E271" s="3">
        <f>Levy!G272</f>
        <v>50844</v>
      </c>
      <c r="F271" s="3">
        <f>Levy!H272</f>
        <v>0</v>
      </c>
      <c r="G271" s="3">
        <f>Levy!I272</f>
        <v>304337</v>
      </c>
      <c r="H271" s="217">
        <f>Levy!J272</f>
        <v>73213</v>
      </c>
      <c r="I271" s="219">
        <v>0</v>
      </c>
      <c r="J271" s="219">
        <v>5000</v>
      </c>
      <c r="K271" s="219">
        <v>25674.85</v>
      </c>
      <c r="L271" s="219">
        <v>0</v>
      </c>
      <c r="M271" s="219">
        <v>0</v>
      </c>
      <c r="N271" s="19">
        <v>0</v>
      </c>
      <c r="O271" s="19">
        <v>0</v>
      </c>
      <c r="P271" s="219">
        <v>-13640.08</v>
      </c>
      <c r="Q271" s="219">
        <v>0</v>
      </c>
      <c r="R271" s="219">
        <v>-3188.45</v>
      </c>
      <c r="S271" s="219">
        <v>0</v>
      </c>
      <c r="T271" s="19">
        <v>0</v>
      </c>
      <c r="U271" s="19">
        <v>0</v>
      </c>
      <c r="V271" s="19">
        <v>0</v>
      </c>
      <c r="W271" s="19">
        <v>0</v>
      </c>
      <c r="X271" s="19">
        <v>0</v>
      </c>
      <c r="Y271" s="217">
        <v>63102.69</v>
      </c>
      <c r="Z271" s="3">
        <f t="shared" si="25"/>
        <v>13846.319999999996</v>
      </c>
      <c r="AA271" s="3">
        <f t="shared" si="26"/>
        <v>341334.68</v>
      </c>
      <c r="AB271" s="3">
        <f t="shared" si="28"/>
        <v>73213</v>
      </c>
      <c r="AC271" s="3">
        <f>ROUND(MAX(0,(D271-V271)*'Shift 14'!$B$2),2)</f>
        <v>0</v>
      </c>
      <c r="AD271" s="3">
        <f t="shared" si="27"/>
        <v>63102.69</v>
      </c>
      <c r="AE271" s="3">
        <f t="shared" si="29"/>
        <v>0</v>
      </c>
      <c r="AF271" s="214">
        <v>2137</v>
      </c>
      <c r="AG271" s="214">
        <v>1</v>
      </c>
      <c r="AH271" s="3">
        <v>0</v>
      </c>
      <c r="AI271" s="3">
        <v>0</v>
      </c>
      <c r="AJ271" s="3">
        <v>0</v>
      </c>
      <c r="AK271" s="3">
        <v>5000</v>
      </c>
      <c r="AL271" s="3">
        <v>25674.85</v>
      </c>
      <c r="AM271" s="3">
        <v>0</v>
      </c>
      <c r="AN271" s="3">
        <v>0</v>
      </c>
      <c r="AO271" s="3">
        <v>0</v>
      </c>
      <c r="AP271" s="3">
        <v>0</v>
      </c>
      <c r="AQ271" s="3">
        <v>-13640.08</v>
      </c>
      <c r="AR271" s="3">
        <v>0</v>
      </c>
      <c r="AS271" s="3">
        <v>-3188.45</v>
      </c>
      <c r="AT271" s="3">
        <v>0</v>
      </c>
      <c r="AU271" s="3">
        <f t="shared" si="30"/>
        <v>0</v>
      </c>
      <c r="AV271" s="17">
        <v>2137</v>
      </c>
      <c r="AW271" s="17">
        <v>2137</v>
      </c>
      <c r="AX271" s="17">
        <v>1</v>
      </c>
      <c r="AY271" s="3" t="s">
        <v>274</v>
      </c>
      <c r="AZ271" s="3">
        <v>0</v>
      </c>
      <c r="BA271" s="19">
        <v>63102.69</v>
      </c>
    </row>
    <row r="272" spans="1:53" x14ac:dyDescent="0.2">
      <c r="A272" s="17">
        <v>2142</v>
      </c>
      <c r="B272" s="17">
        <v>1</v>
      </c>
      <c r="C272" s="3" t="s">
        <v>275</v>
      </c>
      <c r="D272" s="3">
        <f>Levy!F273</f>
        <v>13652.55</v>
      </c>
      <c r="E272" s="3">
        <f>Levy!G273</f>
        <v>650066.31000000006</v>
      </c>
      <c r="F272" s="3">
        <f>Levy!H273</f>
        <v>0</v>
      </c>
      <c r="G272" s="3">
        <f>Levy!I273</f>
        <v>1642480.44</v>
      </c>
      <c r="H272" s="217">
        <f>Levy!J273</f>
        <v>0</v>
      </c>
      <c r="I272" s="219">
        <v>0</v>
      </c>
      <c r="J272" s="219">
        <v>70000</v>
      </c>
      <c r="K272" s="219">
        <v>29280.639999999999</v>
      </c>
      <c r="L272" s="219">
        <v>63800</v>
      </c>
      <c r="M272" s="219">
        <v>0</v>
      </c>
      <c r="N272" s="19">
        <v>0</v>
      </c>
      <c r="O272" s="19">
        <v>0</v>
      </c>
      <c r="P272" s="219">
        <v>43050.400000000001</v>
      </c>
      <c r="Q272" s="219">
        <v>0</v>
      </c>
      <c r="R272" s="219">
        <v>-3623.14</v>
      </c>
      <c r="S272" s="219">
        <v>177633.36</v>
      </c>
      <c r="T272" s="19">
        <v>0</v>
      </c>
      <c r="U272" s="19">
        <v>0</v>
      </c>
      <c r="V272" s="19">
        <v>0</v>
      </c>
      <c r="W272" s="19">
        <v>0</v>
      </c>
      <c r="X272" s="19">
        <v>21538.33</v>
      </c>
      <c r="Y272" s="217">
        <v>171786.65</v>
      </c>
      <c r="Z272" s="3">
        <f t="shared" si="25"/>
        <v>380141.26</v>
      </c>
      <c r="AA272" s="3">
        <f t="shared" si="26"/>
        <v>1890867.16</v>
      </c>
      <c r="AB272" s="3">
        <f t="shared" si="28"/>
        <v>0</v>
      </c>
      <c r="AC272" s="3">
        <f>ROUND(MAX(0,(D272-V272)*'Shift 14'!$B$2),2)</f>
        <v>0</v>
      </c>
      <c r="AD272" s="3">
        <f t="shared" si="27"/>
        <v>171786.65</v>
      </c>
      <c r="AE272" s="3">
        <f t="shared" si="29"/>
        <v>0</v>
      </c>
      <c r="AF272" s="214">
        <v>2142</v>
      </c>
      <c r="AG272" s="214">
        <v>1</v>
      </c>
      <c r="AH272" s="3">
        <v>0</v>
      </c>
      <c r="AI272" s="3">
        <v>0</v>
      </c>
      <c r="AJ272" s="3">
        <v>0</v>
      </c>
      <c r="AK272" s="3">
        <v>70000</v>
      </c>
      <c r="AL272" s="3">
        <v>29280.639999999999</v>
      </c>
      <c r="AM272" s="3">
        <v>63800</v>
      </c>
      <c r="AN272" s="3">
        <v>0</v>
      </c>
      <c r="AO272" s="3">
        <v>0</v>
      </c>
      <c r="AP272" s="3">
        <v>0</v>
      </c>
      <c r="AQ272" s="3">
        <v>43050.400000000001</v>
      </c>
      <c r="AR272" s="3">
        <v>0</v>
      </c>
      <c r="AS272" s="3">
        <v>-3623.14</v>
      </c>
      <c r="AT272" s="3">
        <v>177633.36</v>
      </c>
      <c r="AU272" s="3">
        <f t="shared" si="30"/>
        <v>0</v>
      </c>
      <c r="AV272" s="17">
        <v>2142</v>
      </c>
      <c r="AW272" s="17">
        <v>2142</v>
      </c>
      <c r="AX272" s="17">
        <v>1</v>
      </c>
      <c r="AY272" s="3" t="s">
        <v>275</v>
      </c>
      <c r="AZ272" s="3">
        <v>21538.33</v>
      </c>
      <c r="BA272" s="19">
        <v>171786.65</v>
      </c>
    </row>
    <row r="273" spans="1:53" x14ac:dyDescent="0.2">
      <c r="A273" s="17">
        <v>2143</v>
      </c>
      <c r="B273" s="17">
        <v>1</v>
      </c>
      <c r="C273" s="3" t="s">
        <v>1164</v>
      </c>
      <c r="D273" s="3">
        <f>Levy!F274</f>
        <v>1224460.74</v>
      </c>
      <c r="E273" s="3">
        <f>Levy!G274</f>
        <v>69723.92</v>
      </c>
      <c r="F273" s="3">
        <f>Levy!H274</f>
        <v>0</v>
      </c>
      <c r="G273" s="3">
        <f>Levy!I274</f>
        <v>299799.27</v>
      </c>
      <c r="H273" s="217">
        <f>Levy!J274</f>
        <v>87489.51</v>
      </c>
      <c r="I273" s="219">
        <v>0</v>
      </c>
      <c r="J273" s="219">
        <v>4000</v>
      </c>
      <c r="K273" s="219">
        <v>24666.82</v>
      </c>
      <c r="L273" s="219">
        <v>0</v>
      </c>
      <c r="M273" s="219">
        <v>0</v>
      </c>
      <c r="N273" s="19">
        <v>0</v>
      </c>
      <c r="O273" s="19">
        <v>0</v>
      </c>
      <c r="P273" s="219">
        <v>-7697.09</v>
      </c>
      <c r="Q273" s="219">
        <v>0</v>
      </c>
      <c r="R273" s="219">
        <v>-3063.27</v>
      </c>
      <c r="S273" s="219">
        <v>0</v>
      </c>
      <c r="T273" s="19">
        <v>0</v>
      </c>
      <c r="U273" s="19">
        <v>0</v>
      </c>
      <c r="V273" s="19">
        <v>0</v>
      </c>
      <c r="W273" s="19">
        <v>0</v>
      </c>
      <c r="X273" s="19">
        <v>0</v>
      </c>
      <c r="Y273" s="217">
        <v>72111.33</v>
      </c>
      <c r="Z273" s="3">
        <f t="shared" si="25"/>
        <v>17906.46</v>
      </c>
      <c r="AA273" s="3">
        <f t="shared" si="26"/>
        <v>351616.73</v>
      </c>
      <c r="AB273" s="3">
        <f t="shared" si="28"/>
        <v>87489.51</v>
      </c>
      <c r="AC273" s="3">
        <f>ROUND(MAX(0,(D273-V273)*'Shift 14'!$B$2),2)</f>
        <v>0</v>
      </c>
      <c r="AD273" s="3">
        <f t="shared" si="27"/>
        <v>72111.33</v>
      </c>
      <c r="AE273" s="3">
        <f t="shared" si="29"/>
        <v>0</v>
      </c>
      <c r="AF273" s="214">
        <v>2143</v>
      </c>
      <c r="AG273" s="214">
        <v>1</v>
      </c>
      <c r="AH273" s="3">
        <v>0</v>
      </c>
      <c r="AI273" s="3">
        <v>0</v>
      </c>
      <c r="AJ273" s="3">
        <v>18773.95</v>
      </c>
      <c r="AK273" s="3">
        <v>4000</v>
      </c>
      <c r="AL273" s="3">
        <v>24666.82</v>
      </c>
      <c r="AM273" s="3">
        <v>0</v>
      </c>
      <c r="AN273" s="3">
        <v>0</v>
      </c>
      <c r="AO273" s="3">
        <v>0</v>
      </c>
      <c r="AP273" s="3">
        <v>-8969.7999999999993</v>
      </c>
      <c r="AQ273" s="3">
        <v>-7697.09</v>
      </c>
      <c r="AR273" s="3">
        <v>0</v>
      </c>
      <c r="AS273" s="3">
        <v>-3063.27</v>
      </c>
      <c r="AT273" s="3">
        <v>0</v>
      </c>
      <c r="AU273" s="3">
        <f t="shared" si="30"/>
        <v>0</v>
      </c>
      <c r="AV273" s="17">
        <v>2143</v>
      </c>
      <c r="AW273" s="17">
        <v>2143</v>
      </c>
      <c r="AX273" s="17">
        <v>1</v>
      </c>
      <c r="AY273" s="3" t="s">
        <v>276</v>
      </c>
      <c r="AZ273" s="3">
        <v>0</v>
      </c>
      <c r="BA273" s="19">
        <v>72111.33</v>
      </c>
    </row>
    <row r="274" spans="1:53" x14ac:dyDescent="0.2">
      <c r="A274" s="17">
        <v>2144</v>
      </c>
      <c r="B274" s="17">
        <v>1</v>
      </c>
      <c r="C274" s="3" t="s">
        <v>277</v>
      </c>
      <c r="D274" s="3">
        <f>Levy!F275</f>
        <v>677175.42</v>
      </c>
      <c r="E274" s="3">
        <f>Levy!G275</f>
        <v>2151819.5499999998</v>
      </c>
      <c r="F274" s="3">
        <f>Levy!H275</f>
        <v>0</v>
      </c>
      <c r="G274" s="3">
        <f>Levy!I275</f>
        <v>1372160.38</v>
      </c>
      <c r="H274" s="217">
        <f>Levy!J275</f>
        <v>280274.28000000003</v>
      </c>
      <c r="I274" s="219">
        <v>0</v>
      </c>
      <c r="J274" s="219">
        <v>15000</v>
      </c>
      <c r="K274" s="219">
        <v>66249.070000000007</v>
      </c>
      <c r="L274" s="219">
        <v>0</v>
      </c>
      <c r="M274" s="219">
        <v>0</v>
      </c>
      <c r="N274" s="19">
        <v>0</v>
      </c>
      <c r="O274" s="19">
        <v>0</v>
      </c>
      <c r="P274" s="219">
        <v>-18139.599999999999</v>
      </c>
      <c r="Q274" s="219">
        <v>0</v>
      </c>
      <c r="R274" s="219">
        <v>-15333.5</v>
      </c>
      <c r="S274" s="219">
        <v>0</v>
      </c>
      <c r="T274" s="19">
        <v>0</v>
      </c>
      <c r="U274" s="19">
        <v>0</v>
      </c>
      <c r="V274" s="19">
        <v>0</v>
      </c>
      <c r="W274" s="19">
        <v>0</v>
      </c>
      <c r="X274" s="19">
        <v>0</v>
      </c>
      <c r="Y274" s="217">
        <v>212914.72</v>
      </c>
      <c r="Z274" s="3">
        <f t="shared" si="25"/>
        <v>47775.970000000008</v>
      </c>
      <c r="AA274" s="3">
        <f t="shared" si="26"/>
        <v>3476203.96</v>
      </c>
      <c r="AB274" s="3">
        <f t="shared" si="28"/>
        <v>280274.28000000003</v>
      </c>
      <c r="AC274" s="3">
        <f>ROUND(MAX(0,(D274-V274)*'Shift 14'!$B$2),2)</f>
        <v>0</v>
      </c>
      <c r="AD274" s="3">
        <f t="shared" si="27"/>
        <v>212914.72</v>
      </c>
      <c r="AE274" s="3">
        <f t="shared" si="29"/>
        <v>0</v>
      </c>
      <c r="AF274" s="214">
        <v>2144</v>
      </c>
      <c r="AG274" s="214">
        <v>1</v>
      </c>
      <c r="AH274" s="3">
        <v>0</v>
      </c>
      <c r="AI274" s="3">
        <v>0</v>
      </c>
      <c r="AJ274" s="3">
        <v>0</v>
      </c>
      <c r="AK274" s="3">
        <v>15000</v>
      </c>
      <c r="AL274" s="3">
        <v>66249.070000000007</v>
      </c>
      <c r="AM274" s="3">
        <v>0</v>
      </c>
      <c r="AN274" s="3">
        <v>0</v>
      </c>
      <c r="AO274" s="3">
        <v>0</v>
      </c>
      <c r="AP274" s="3">
        <v>0</v>
      </c>
      <c r="AQ274" s="3">
        <v>-18139.599999999999</v>
      </c>
      <c r="AR274" s="3">
        <v>0</v>
      </c>
      <c r="AS274" s="3">
        <v>-15333.5</v>
      </c>
      <c r="AT274" s="3">
        <v>0</v>
      </c>
      <c r="AU274" s="3">
        <f t="shared" si="30"/>
        <v>0</v>
      </c>
      <c r="AV274" s="17">
        <v>2144</v>
      </c>
      <c r="AW274" s="17">
        <v>2144</v>
      </c>
      <c r="AX274" s="17">
        <v>1</v>
      </c>
      <c r="AY274" s="3" t="s">
        <v>277</v>
      </c>
      <c r="AZ274" s="3">
        <v>0</v>
      </c>
      <c r="BA274" s="19">
        <v>212914.72</v>
      </c>
    </row>
    <row r="275" spans="1:53" x14ac:dyDescent="0.2">
      <c r="A275" s="17">
        <v>2149</v>
      </c>
      <c r="B275" s="17">
        <v>1</v>
      </c>
      <c r="C275" s="3" t="s">
        <v>278</v>
      </c>
      <c r="D275" s="3">
        <f>Levy!F276</f>
        <v>831740</v>
      </c>
      <c r="E275" s="3">
        <f>Levy!G276</f>
        <v>135060</v>
      </c>
      <c r="F275" s="3">
        <f>Levy!H276</f>
        <v>0</v>
      </c>
      <c r="G275" s="3">
        <f>Levy!I276</f>
        <v>664929</v>
      </c>
      <c r="H275" s="217">
        <f>Levy!J276</f>
        <v>131878</v>
      </c>
      <c r="I275" s="219">
        <v>0</v>
      </c>
      <c r="J275" s="219">
        <v>12234.99</v>
      </c>
      <c r="K275" s="219">
        <v>46049.43</v>
      </c>
      <c r="L275" s="219">
        <v>0</v>
      </c>
      <c r="M275" s="219">
        <v>0</v>
      </c>
      <c r="N275" s="19">
        <v>0</v>
      </c>
      <c r="O275" s="19">
        <v>0</v>
      </c>
      <c r="P275" s="219">
        <v>-17779.54</v>
      </c>
      <c r="Q275" s="219">
        <v>0</v>
      </c>
      <c r="R275" s="219">
        <v>-5718.68</v>
      </c>
      <c r="S275" s="219">
        <v>0</v>
      </c>
      <c r="T275" s="19">
        <v>0</v>
      </c>
      <c r="U275" s="19">
        <v>0</v>
      </c>
      <c r="V275" s="19">
        <v>0</v>
      </c>
      <c r="W275" s="19">
        <v>0</v>
      </c>
      <c r="X275" s="19">
        <v>0</v>
      </c>
      <c r="Y275" s="217">
        <v>105651.52</v>
      </c>
      <c r="Z275" s="3">
        <f t="shared" si="25"/>
        <v>34786.199999999997</v>
      </c>
      <c r="AA275" s="3">
        <f t="shared" si="26"/>
        <v>765202.8</v>
      </c>
      <c r="AB275" s="3">
        <f t="shared" si="28"/>
        <v>131878</v>
      </c>
      <c r="AC275" s="3">
        <f>ROUND(MAX(0,(D275-V275)*'Shift 14'!$B$2),2)</f>
        <v>0</v>
      </c>
      <c r="AD275" s="3">
        <f t="shared" si="27"/>
        <v>105651.52</v>
      </c>
      <c r="AE275" s="3">
        <f t="shared" si="29"/>
        <v>0</v>
      </c>
      <c r="AF275" s="214">
        <v>2149</v>
      </c>
      <c r="AG275" s="214">
        <v>1</v>
      </c>
      <c r="AH275" s="3">
        <v>0</v>
      </c>
      <c r="AI275" s="3">
        <v>0</v>
      </c>
      <c r="AJ275" s="3">
        <v>5638.73</v>
      </c>
      <c r="AK275" s="3">
        <v>12234.99</v>
      </c>
      <c r="AL275" s="3">
        <v>46049.43</v>
      </c>
      <c r="AM275" s="3">
        <v>0</v>
      </c>
      <c r="AN275" s="3">
        <v>0</v>
      </c>
      <c r="AO275" s="3">
        <v>0</v>
      </c>
      <c r="AP275" s="3">
        <v>0</v>
      </c>
      <c r="AQ275" s="3">
        <v>-17779.54</v>
      </c>
      <c r="AR275" s="3">
        <v>0</v>
      </c>
      <c r="AS275" s="3">
        <v>-5718.68</v>
      </c>
      <c r="AT275" s="3">
        <v>0</v>
      </c>
      <c r="AU275" s="3">
        <f t="shared" si="30"/>
        <v>0</v>
      </c>
      <c r="AV275" s="17">
        <v>2149</v>
      </c>
      <c r="AW275" s="17">
        <v>2149</v>
      </c>
      <c r="AX275" s="17">
        <v>1</v>
      </c>
      <c r="AY275" s="3" t="s">
        <v>278</v>
      </c>
      <c r="AZ275" s="3">
        <v>0</v>
      </c>
      <c r="BA275" s="19">
        <v>105651.52</v>
      </c>
    </row>
    <row r="276" spans="1:53" x14ac:dyDescent="0.2">
      <c r="A276" s="17">
        <v>2154</v>
      </c>
      <c r="B276" s="17">
        <v>1</v>
      </c>
      <c r="C276" s="3" t="s">
        <v>279</v>
      </c>
      <c r="D276" s="3">
        <f>Levy!F277</f>
        <v>456638.18</v>
      </c>
      <c r="E276" s="3">
        <f>Levy!G277</f>
        <v>17189.73</v>
      </c>
      <c r="F276" s="3">
        <f>Levy!H277</f>
        <v>0</v>
      </c>
      <c r="G276" s="3">
        <f>Levy!I277</f>
        <v>0</v>
      </c>
      <c r="H276" s="217">
        <f>Levy!J277</f>
        <v>0</v>
      </c>
      <c r="I276" s="219">
        <v>0</v>
      </c>
      <c r="J276" s="219">
        <v>25000</v>
      </c>
      <c r="K276" s="219">
        <v>18940.41</v>
      </c>
      <c r="L276" s="219">
        <v>82986</v>
      </c>
      <c r="M276" s="219">
        <v>0</v>
      </c>
      <c r="N276" s="19">
        <v>0</v>
      </c>
      <c r="O276" s="19">
        <v>0</v>
      </c>
      <c r="P276" s="219">
        <v>-2075.0100000000002</v>
      </c>
      <c r="Q276" s="219">
        <v>0</v>
      </c>
      <c r="R276" s="219">
        <v>-4453.7299999999996</v>
      </c>
      <c r="S276" s="219">
        <v>-4247.8999999999996</v>
      </c>
      <c r="T276" s="19">
        <v>0</v>
      </c>
      <c r="U276" s="19">
        <v>0</v>
      </c>
      <c r="V276" s="19">
        <v>0</v>
      </c>
      <c r="W276" s="19">
        <v>0</v>
      </c>
      <c r="X276" s="19">
        <v>22207.47</v>
      </c>
      <c r="Y276" s="217">
        <v>52276.22</v>
      </c>
      <c r="Z276" s="3">
        <f t="shared" si="25"/>
        <v>116149.77000000002</v>
      </c>
      <c r="AA276" s="3">
        <f t="shared" si="26"/>
        <v>0</v>
      </c>
      <c r="AB276" s="3">
        <f t="shared" si="28"/>
        <v>0</v>
      </c>
      <c r="AC276" s="3">
        <f>ROUND(MAX(0,(D276-V276)*'Shift 14'!$B$2),2)</f>
        <v>0</v>
      </c>
      <c r="AD276" s="3">
        <f t="shared" si="27"/>
        <v>52276.22</v>
      </c>
      <c r="AE276" s="3">
        <f t="shared" si="29"/>
        <v>0</v>
      </c>
      <c r="AF276" s="214">
        <v>2154</v>
      </c>
      <c r="AG276" s="214">
        <v>1</v>
      </c>
      <c r="AH276" s="3">
        <v>0</v>
      </c>
      <c r="AI276" s="3">
        <v>0</v>
      </c>
      <c r="AJ276" s="3">
        <v>0</v>
      </c>
      <c r="AK276" s="3">
        <v>25000</v>
      </c>
      <c r="AL276" s="3">
        <v>18940.41</v>
      </c>
      <c r="AM276" s="3">
        <v>82986</v>
      </c>
      <c r="AN276" s="3">
        <v>0</v>
      </c>
      <c r="AO276" s="3">
        <v>0</v>
      </c>
      <c r="AP276" s="3">
        <v>0</v>
      </c>
      <c r="AQ276" s="3">
        <v>-2075.0100000000002</v>
      </c>
      <c r="AR276" s="3">
        <v>0</v>
      </c>
      <c r="AS276" s="3">
        <v>-4453.7299999999996</v>
      </c>
      <c r="AT276" s="3">
        <v>-4247.8999999999996</v>
      </c>
      <c r="AU276" s="3">
        <f t="shared" si="30"/>
        <v>0</v>
      </c>
      <c r="AV276" s="17">
        <v>2154</v>
      </c>
      <c r="AW276" s="17">
        <v>2154</v>
      </c>
      <c r="AX276" s="17">
        <v>1</v>
      </c>
      <c r="AY276" s="3" t="s">
        <v>279</v>
      </c>
      <c r="AZ276" s="3">
        <v>22207.47</v>
      </c>
      <c r="BA276" s="19">
        <v>52276.22</v>
      </c>
    </row>
    <row r="277" spans="1:53" x14ac:dyDescent="0.2">
      <c r="A277" s="17">
        <v>2155</v>
      </c>
      <c r="B277" s="17">
        <v>1</v>
      </c>
      <c r="C277" s="3" t="s">
        <v>1163</v>
      </c>
      <c r="D277" s="3">
        <f>Levy!F278</f>
        <v>477732</v>
      </c>
      <c r="E277" s="3">
        <f>Levy!G278</f>
        <v>60624</v>
      </c>
      <c r="F277" s="3">
        <f>Levy!H278</f>
        <v>0</v>
      </c>
      <c r="G277" s="3">
        <f>Levy!I278</f>
        <v>209507</v>
      </c>
      <c r="H277" s="217">
        <f>Levy!J278</f>
        <v>27514</v>
      </c>
      <c r="I277" s="219">
        <v>0</v>
      </c>
      <c r="J277" s="219">
        <v>20000</v>
      </c>
      <c r="K277" s="219">
        <v>19025.84</v>
      </c>
      <c r="L277" s="219">
        <v>0</v>
      </c>
      <c r="M277" s="219">
        <v>0</v>
      </c>
      <c r="N277" s="19">
        <v>0</v>
      </c>
      <c r="O277" s="19">
        <v>0</v>
      </c>
      <c r="P277" s="219">
        <v>-8144.25</v>
      </c>
      <c r="Q277" s="219">
        <v>0</v>
      </c>
      <c r="R277" s="219">
        <v>-4965.1400000000003</v>
      </c>
      <c r="S277" s="219">
        <v>0</v>
      </c>
      <c r="T277" s="19">
        <v>0</v>
      </c>
      <c r="U277" s="19">
        <v>0</v>
      </c>
      <c r="V277" s="19">
        <v>0</v>
      </c>
      <c r="W277" s="19">
        <v>0</v>
      </c>
      <c r="X277" s="19">
        <v>0</v>
      </c>
      <c r="Y277" s="217">
        <v>38157.32</v>
      </c>
      <c r="Z277" s="3">
        <f t="shared" si="25"/>
        <v>25916.449999999997</v>
      </c>
      <c r="AA277" s="3">
        <f t="shared" si="26"/>
        <v>244214.55</v>
      </c>
      <c r="AB277" s="3">
        <f t="shared" si="28"/>
        <v>27514</v>
      </c>
      <c r="AC277" s="3">
        <f>ROUND(MAX(0,(D277-V277)*'Shift 14'!$B$2),2)</f>
        <v>0</v>
      </c>
      <c r="AD277" s="3">
        <f t="shared" si="27"/>
        <v>38157.32</v>
      </c>
      <c r="AE277" s="3">
        <f t="shared" si="29"/>
        <v>0</v>
      </c>
      <c r="AF277" s="214">
        <v>2155</v>
      </c>
      <c r="AG277" s="214">
        <v>1</v>
      </c>
      <c r="AH277" s="3">
        <v>0</v>
      </c>
      <c r="AI277" s="3">
        <v>0</v>
      </c>
      <c r="AJ277" s="3">
        <v>0</v>
      </c>
      <c r="AK277" s="3">
        <v>20000</v>
      </c>
      <c r="AL277" s="3">
        <v>19025.84</v>
      </c>
      <c r="AM277" s="3">
        <v>0</v>
      </c>
      <c r="AN277" s="3">
        <v>0</v>
      </c>
      <c r="AO277" s="3">
        <v>0</v>
      </c>
      <c r="AP277" s="3">
        <v>0</v>
      </c>
      <c r="AQ277" s="3">
        <v>-8144.25</v>
      </c>
      <c r="AR277" s="3">
        <v>0</v>
      </c>
      <c r="AS277" s="3">
        <v>-4965.1400000000003</v>
      </c>
      <c r="AT277" s="3">
        <v>0</v>
      </c>
      <c r="AU277" s="3">
        <f t="shared" si="30"/>
        <v>0</v>
      </c>
      <c r="AV277" s="17">
        <v>2155</v>
      </c>
      <c r="AW277" s="17">
        <v>2155</v>
      </c>
      <c r="AX277" s="17">
        <v>1</v>
      </c>
      <c r="AY277" s="3" t="s">
        <v>280</v>
      </c>
      <c r="AZ277" s="3">
        <v>0</v>
      </c>
      <c r="BA277" s="19">
        <v>38157.32</v>
      </c>
    </row>
    <row r="278" spans="1:53" x14ac:dyDescent="0.2">
      <c r="A278" s="17">
        <v>2159</v>
      </c>
      <c r="B278" s="17">
        <v>1</v>
      </c>
      <c r="C278" s="3" t="s">
        <v>1162</v>
      </c>
      <c r="D278" s="3">
        <f>Levy!F279</f>
        <v>504424.15</v>
      </c>
      <c r="E278" s="3">
        <f>Levy!G279</f>
        <v>40192.76</v>
      </c>
      <c r="F278" s="3">
        <f>Levy!H279</f>
        <v>0</v>
      </c>
      <c r="G278" s="3">
        <f>Levy!I279</f>
        <v>357771.47</v>
      </c>
      <c r="H278" s="217">
        <f>Levy!J279</f>
        <v>41811.47</v>
      </c>
      <c r="I278" s="219">
        <v>0</v>
      </c>
      <c r="J278" s="219">
        <v>5000</v>
      </c>
      <c r="K278" s="219">
        <v>15982.27</v>
      </c>
      <c r="L278" s="219">
        <v>0</v>
      </c>
      <c r="M278" s="219">
        <v>0</v>
      </c>
      <c r="N278" s="19">
        <v>0</v>
      </c>
      <c r="O278" s="19">
        <v>0</v>
      </c>
      <c r="P278" s="219">
        <v>-6339.02</v>
      </c>
      <c r="Q278" s="219">
        <v>0</v>
      </c>
      <c r="R278" s="219">
        <v>-2091.9699999999998</v>
      </c>
      <c r="S278" s="219">
        <v>0</v>
      </c>
      <c r="T278" s="19">
        <v>0</v>
      </c>
      <c r="U278" s="19">
        <v>0</v>
      </c>
      <c r="V278" s="19">
        <v>0</v>
      </c>
      <c r="W278" s="19">
        <v>0</v>
      </c>
      <c r="X278" s="19">
        <v>23853.190000000002</v>
      </c>
      <c r="Y278" s="217">
        <v>102520.67</v>
      </c>
      <c r="Z278" s="3">
        <f t="shared" si="25"/>
        <v>12551.28</v>
      </c>
      <c r="AA278" s="3">
        <f t="shared" si="26"/>
        <v>361559.76</v>
      </c>
      <c r="AB278" s="3">
        <f t="shared" si="28"/>
        <v>41811.47</v>
      </c>
      <c r="AC278" s="3">
        <f>ROUND(MAX(0,(D278-V278)*'Shift 14'!$B$2),2)</f>
        <v>0</v>
      </c>
      <c r="AD278" s="3">
        <f t="shared" si="27"/>
        <v>102520.67</v>
      </c>
      <c r="AE278" s="3">
        <f t="shared" si="29"/>
        <v>0</v>
      </c>
      <c r="AF278" s="214">
        <v>2159</v>
      </c>
      <c r="AG278" s="214">
        <v>1</v>
      </c>
      <c r="AH278" s="3">
        <v>0</v>
      </c>
      <c r="AI278" s="3">
        <v>0</v>
      </c>
      <c r="AJ278" s="3">
        <v>0</v>
      </c>
      <c r="AK278" s="3">
        <v>5000</v>
      </c>
      <c r="AL278" s="3">
        <v>15982.27</v>
      </c>
      <c r="AM278" s="3">
        <v>0</v>
      </c>
      <c r="AN278" s="3">
        <v>0</v>
      </c>
      <c r="AO278" s="3">
        <v>0</v>
      </c>
      <c r="AP278" s="3">
        <v>0</v>
      </c>
      <c r="AQ278" s="3">
        <v>-6339.02</v>
      </c>
      <c r="AR278" s="3">
        <v>0</v>
      </c>
      <c r="AS278" s="3">
        <v>-2091.9699999999998</v>
      </c>
      <c r="AT278" s="3">
        <v>0</v>
      </c>
      <c r="AU278" s="3">
        <f t="shared" si="30"/>
        <v>0</v>
      </c>
      <c r="AV278" s="17">
        <v>2159</v>
      </c>
      <c r="AW278" s="17">
        <v>2159</v>
      </c>
      <c r="AX278" s="17">
        <v>1</v>
      </c>
      <c r="AY278" s="3" t="s">
        <v>281</v>
      </c>
      <c r="AZ278" s="3">
        <v>23853.190000000002</v>
      </c>
      <c r="BA278" s="19">
        <v>102520.67</v>
      </c>
    </row>
    <row r="279" spans="1:53" x14ac:dyDescent="0.2">
      <c r="A279" s="17">
        <v>2164</v>
      </c>
      <c r="B279" s="17">
        <v>1</v>
      </c>
      <c r="C279" s="3" t="s">
        <v>1161</v>
      </c>
      <c r="D279" s="3">
        <f>Levy!F280</f>
        <v>377065</v>
      </c>
      <c r="E279" s="3">
        <f>Levy!G280</f>
        <v>115791</v>
      </c>
      <c r="F279" s="3">
        <f>Levy!H280</f>
        <v>0</v>
      </c>
      <c r="G279" s="3">
        <f>Levy!I280</f>
        <v>303023.90999999997</v>
      </c>
      <c r="H279" s="217">
        <f>Levy!J280</f>
        <v>80525.36</v>
      </c>
      <c r="I279" s="219">
        <v>0</v>
      </c>
      <c r="J279" s="219">
        <v>5000</v>
      </c>
      <c r="K279" s="219">
        <v>15652.29</v>
      </c>
      <c r="L279" s="219">
        <v>0</v>
      </c>
      <c r="M279" s="219">
        <v>0</v>
      </c>
      <c r="N279" s="19">
        <v>0</v>
      </c>
      <c r="O279" s="19">
        <v>0</v>
      </c>
      <c r="P279" s="219">
        <v>10894</v>
      </c>
      <c r="Q279" s="219">
        <v>0</v>
      </c>
      <c r="R279" s="219">
        <v>-1962.11</v>
      </c>
      <c r="S279" s="219">
        <v>0</v>
      </c>
      <c r="T279" s="19">
        <v>0</v>
      </c>
      <c r="U279" s="19">
        <v>0</v>
      </c>
      <c r="V279" s="19">
        <v>0</v>
      </c>
      <c r="W279" s="19">
        <v>0</v>
      </c>
      <c r="X279" s="19">
        <v>0</v>
      </c>
      <c r="Y279" s="217">
        <v>55510.33</v>
      </c>
      <c r="Z279" s="3">
        <f t="shared" si="25"/>
        <v>29584.18</v>
      </c>
      <c r="AA279" s="3">
        <f t="shared" si="26"/>
        <v>389230.73</v>
      </c>
      <c r="AB279" s="3">
        <f t="shared" si="28"/>
        <v>80525.36</v>
      </c>
      <c r="AC279" s="3">
        <f>ROUND(MAX(0,(D279-V279)*'Shift 14'!$B$2),2)</f>
        <v>0</v>
      </c>
      <c r="AD279" s="3">
        <f t="shared" si="27"/>
        <v>55510.33</v>
      </c>
      <c r="AE279" s="3">
        <f t="shared" si="29"/>
        <v>0</v>
      </c>
      <c r="AF279" s="214">
        <v>2164</v>
      </c>
      <c r="AG279" s="214">
        <v>1</v>
      </c>
      <c r="AH279" s="3">
        <v>0</v>
      </c>
      <c r="AI279" s="3">
        <v>0</v>
      </c>
      <c r="AJ279" s="3">
        <v>0</v>
      </c>
      <c r="AK279" s="3">
        <v>5000</v>
      </c>
      <c r="AL279" s="3">
        <v>15652.29</v>
      </c>
      <c r="AM279" s="3">
        <v>0</v>
      </c>
      <c r="AN279" s="3">
        <v>0</v>
      </c>
      <c r="AO279" s="3">
        <v>0</v>
      </c>
      <c r="AP279" s="3">
        <v>0</v>
      </c>
      <c r="AQ279" s="3">
        <v>10894</v>
      </c>
      <c r="AR279" s="3">
        <v>0</v>
      </c>
      <c r="AS279" s="3">
        <v>-1962.11</v>
      </c>
      <c r="AT279" s="3">
        <v>0</v>
      </c>
      <c r="AU279" s="3">
        <f t="shared" si="30"/>
        <v>0</v>
      </c>
      <c r="AV279" s="17">
        <v>2164</v>
      </c>
      <c r="AW279" s="17">
        <v>2164</v>
      </c>
      <c r="AX279" s="17">
        <v>1</v>
      </c>
      <c r="AY279" s="3" t="s">
        <v>282</v>
      </c>
      <c r="AZ279" s="3">
        <v>0</v>
      </c>
      <c r="BA279" s="19">
        <v>55510.33</v>
      </c>
    </row>
    <row r="280" spans="1:53" x14ac:dyDescent="0.2">
      <c r="A280" s="17">
        <v>2165</v>
      </c>
      <c r="B280" s="17">
        <v>1</v>
      </c>
      <c r="C280" s="3" t="s">
        <v>1160</v>
      </c>
      <c r="D280" s="3">
        <f>Levy!F281</f>
        <v>146718.39000000001</v>
      </c>
      <c r="E280" s="3">
        <f>Levy!G281</f>
        <v>89488.31</v>
      </c>
      <c r="F280" s="3">
        <f>Levy!H281</f>
        <v>0</v>
      </c>
      <c r="G280" s="3">
        <f>Levy!I281</f>
        <v>288512.3</v>
      </c>
      <c r="H280" s="217">
        <f>Levy!J281</f>
        <v>83276.070000000007</v>
      </c>
      <c r="I280" s="219">
        <v>0</v>
      </c>
      <c r="J280" s="219">
        <v>0</v>
      </c>
      <c r="K280" s="219">
        <v>11479.9</v>
      </c>
      <c r="L280" s="219">
        <v>0</v>
      </c>
      <c r="M280" s="219">
        <v>0</v>
      </c>
      <c r="N280" s="19">
        <v>0</v>
      </c>
      <c r="O280" s="19">
        <v>0</v>
      </c>
      <c r="P280" s="219">
        <v>12979.05</v>
      </c>
      <c r="Q280" s="219">
        <v>0</v>
      </c>
      <c r="R280" s="219">
        <v>10000</v>
      </c>
      <c r="S280" s="219">
        <v>0</v>
      </c>
      <c r="T280" s="19">
        <v>0</v>
      </c>
      <c r="U280" s="19">
        <v>0</v>
      </c>
      <c r="V280" s="19">
        <v>0</v>
      </c>
      <c r="W280" s="19">
        <v>0</v>
      </c>
      <c r="X280" s="19">
        <v>0</v>
      </c>
      <c r="Y280" s="217">
        <v>51707.97</v>
      </c>
      <c r="Z280" s="3">
        <f t="shared" si="25"/>
        <v>34458.949999999997</v>
      </c>
      <c r="AA280" s="3">
        <f t="shared" si="26"/>
        <v>343541.66</v>
      </c>
      <c r="AB280" s="3">
        <f t="shared" si="28"/>
        <v>83276.070000000007</v>
      </c>
      <c r="AC280" s="3">
        <f>ROUND(MAX(0,(D280-V280)*'Shift 14'!$B$2),2)</f>
        <v>0</v>
      </c>
      <c r="AD280" s="3">
        <f t="shared" si="27"/>
        <v>51707.97</v>
      </c>
      <c r="AE280" s="3">
        <f t="shared" si="29"/>
        <v>0</v>
      </c>
      <c r="AF280" s="214">
        <v>2165</v>
      </c>
      <c r="AG280" s="214">
        <v>1</v>
      </c>
      <c r="AH280" s="3">
        <v>0</v>
      </c>
      <c r="AI280" s="3">
        <v>0</v>
      </c>
      <c r="AJ280" s="3">
        <v>28694.01</v>
      </c>
      <c r="AK280" s="3">
        <v>0</v>
      </c>
      <c r="AL280" s="3">
        <v>11479.9</v>
      </c>
      <c r="AM280" s="3">
        <v>0</v>
      </c>
      <c r="AN280" s="3">
        <v>0</v>
      </c>
      <c r="AO280" s="3">
        <v>0</v>
      </c>
      <c r="AP280" s="3">
        <v>0</v>
      </c>
      <c r="AQ280" s="3">
        <v>12979.05</v>
      </c>
      <c r="AR280" s="3">
        <v>0</v>
      </c>
      <c r="AS280" s="3">
        <v>10000</v>
      </c>
      <c r="AT280" s="3">
        <v>0</v>
      </c>
      <c r="AU280" s="3">
        <f t="shared" si="30"/>
        <v>0</v>
      </c>
      <c r="AV280" s="17">
        <v>2165</v>
      </c>
      <c r="AW280" s="17">
        <v>2165</v>
      </c>
      <c r="AX280" s="17">
        <v>1</v>
      </c>
      <c r="AY280" s="3" t="s">
        <v>283</v>
      </c>
      <c r="AZ280" s="3">
        <v>0</v>
      </c>
      <c r="BA280" s="19">
        <v>51707.97</v>
      </c>
    </row>
    <row r="281" spans="1:53" x14ac:dyDescent="0.2">
      <c r="A281" s="17">
        <v>2167</v>
      </c>
      <c r="B281" s="17">
        <v>1</v>
      </c>
      <c r="C281" s="3" t="s">
        <v>284</v>
      </c>
      <c r="D281" s="3">
        <f>Levy!F282</f>
        <v>214386</v>
      </c>
      <c r="E281" s="3">
        <f>Levy!G282</f>
        <v>36594</v>
      </c>
      <c r="F281" s="3">
        <f>Levy!H282</f>
        <v>0</v>
      </c>
      <c r="G281" s="3">
        <f>Levy!I282</f>
        <v>279047</v>
      </c>
      <c r="H281" s="217">
        <f>Levy!J282</f>
        <v>46931</v>
      </c>
      <c r="I281" s="219">
        <v>0</v>
      </c>
      <c r="J281" s="219">
        <v>0</v>
      </c>
      <c r="K281" s="219">
        <v>15911.87</v>
      </c>
      <c r="L281" s="219">
        <v>0</v>
      </c>
      <c r="M281" s="219">
        <v>0</v>
      </c>
      <c r="N281" s="19">
        <v>0</v>
      </c>
      <c r="O281" s="19">
        <v>0</v>
      </c>
      <c r="P281" s="219">
        <v>286.37</v>
      </c>
      <c r="Q281" s="219">
        <v>0</v>
      </c>
      <c r="R281" s="219">
        <v>-1774.27</v>
      </c>
      <c r="S281" s="219">
        <v>0</v>
      </c>
      <c r="T281" s="19">
        <v>0</v>
      </c>
      <c r="U281" s="19">
        <v>0</v>
      </c>
      <c r="V281" s="19">
        <v>0</v>
      </c>
      <c r="W281" s="19">
        <v>0</v>
      </c>
      <c r="X281" s="19">
        <v>5689.16</v>
      </c>
      <c r="Y281" s="217">
        <v>31840.2</v>
      </c>
      <c r="Z281" s="3">
        <f t="shared" si="25"/>
        <v>14423.970000000001</v>
      </c>
      <c r="AA281" s="3">
        <f t="shared" si="26"/>
        <v>295527.87</v>
      </c>
      <c r="AB281" s="3">
        <f t="shared" si="28"/>
        <v>46931</v>
      </c>
      <c r="AC281" s="3">
        <f>ROUND(MAX(0,(D281-V281)*'Shift 14'!$B$2),2)</f>
        <v>0</v>
      </c>
      <c r="AD281" s="3">
        <f t="shared" si="27"/>
        <v>31840.2</v>
      </c>
      <c r="AE281" s="3">
        <f t="shared" si="29"/>
        <v>0</v>
      </c>
      <c r="AF281" s="214">
        <v>2167</v>
      </c>
      <c r="AG281" s="214">
        <v>1</v>
      </c>
      <c r="AH281" s="3">
        <v>0</v>
      </c>
      <c r="AI281" s="3">
        <v>0</v>
      </c>
      <c r="AJ281" s="3">
        <v>13951.58</v>
      </c>
      <c r="AK281" s="3">
        <v>0</v>
      </c>
      <c r="AL281" s="3">
        <v>15911.87</v>
      </c>
      <c r="AM281" s="3">
        <v>0</v>
      </c>
      <c r="AN281" s="3">
        <v>0</v>
      </c>
      <c r="AO281" s="3">
        <v>0</v>
      </c>
      <c r="AP281" s="3">
        <v>-2032.67</v>
      </c>
      <c r="AQ281" s="3">
        <v>286.37</v>
      </c>
      <c r="AR281" s="3">
        <v>0</v>
      </c>
      <c r="AS281" s="3">
        <v>-1774.27</v>
      </c>
      <c r="AT281" s="3">
        <v>0</v>
      </c>
      <c r="AU281" s="3">
        <f t="shared" si="30"/>
        <v>0</v>
      </c>
      <c r="AV281" s="17">
        <v>2167</v>
      </c>
      <c r="AW281" s="17">
        <v>2167</v>
      </c>
      <c r="AX281" s="17">
        <v>1</v>
      </c>
      <c r="AY281" s="3" t="s">
        <v>284</v>
      </c>
      <c r="AZ281" s="3">
        <v>5689.16</v>
      </c>
      <c r="BA281" s="19">
        <v>31840.2</v>
      </c>
    </row>
    <row r="282" spans="1:53" x14ac:dyDescent="0.2">
      <c r="A282" s="17">
        <v>2168</v>
      </c>
      <c r="B282" s="17">
        <v>1</v>
      </c>
      <c r="C282" s="3" t="s">
        <v>285</v>
      </c>
      <c r="D282" s="3">
        <f>Levy!F283</f>
        <v>209738</v>
      </c>
      <c r="E282" s="3">
        <f>Levy!G283</f>
        <v>83390</v>
      </c>
      <c r="F282" s="3">
        <f>Levy!H283</f>
        <v>0</v>
      </c>
      <c r="G282" s="3">
        <f>Levy!I283</f>
        <v>435540</v>
      </c>
      <c r="H282" s="217">
        <f>Levy!J283</f>
        <v>61221</v>
      </c>
      <c r="I282" s="219">
        <v>0</v>
      </c>
      <c r="J282" s="219">
        <v>5935</v>
      </c>
      <c r="K282" s="219">
        <v>27715.82</v>
      </c>
      <c r="L282" s="219">
        <v>0</v>
      </c>
      <c r="M282" s="219">
        <v>0</v>
      </c>
      <c r="N282" s="19">
        <v>0</v>
      </c>
      <c r="O282" s="19">
        <v>0</v>
      </c>
      <c r="P282" s="219">
        <v>-15539.67</v>
      </c>
      <c r="Q282" s="219">
        <v>0</v>
      </c>
      <c r="R282" s="219">
        <v>-5281.11</v>
      </c>
      <c r="S282" s="219">
        <v>0</v>
      </c>
      <c r="T282" s="19">
        <v>0</v>
      </c>
      <c r="U282" s="19">
        <v>0</v>
      </c>
      <c r="V282" s="19">
        <v>0</v>
      </c>
      <c r="W282" s="19">
        <v>0</v>
      </c>
      <c r="X282" s="19">
        <v>11668.37</v>
      </c>
      <c r="Y282" s="217">
        <v>77590.100000000006</v>
      </c>
      <c r="Z282" s="3">
        <f t="shared" si="25"/>
        <v>12830.04</v>
      </c>
      <c r="AA282" s="3">
        <f t="shared" si="26"/>
        <v>494431.59</v>
      </c>
      <c r="AB282" s="3">
        <f t="shared" si="28"/>
        <v>61221</v>
      </c>
      <c r="AC282" s="3">
        <f>ROUND(MAX(0,(D282-V282)*'Shift 14'!$B$2),2)</f>
        <v>0</v>
      </c>
      <c r="AD282" s="3">
        <f t="shared" si="27"/>
        <v>77590.100000000006</v>
      </c>
      <c r="AE282" s="3">
        <f t="shared" si="29"/>
        <v>0</v>
      </c>
      <c r="AF282" s="214">
        <v>2168</v>
      </c>
      <c r="AG282" s="214">
        <v>1</v>
      </c>
      <c r="AH282" s="3">
        <v>33.21</v>
      </c>
      <c r="AI282" s="3">
        <v>0</v>
      </c>
      <c r="AJ282" s="3">
        <v>0</v>
      </c>
      <c r="AK282" s="3">
        <v>5935</v>
      </c>
      <c r="AL282" s="3">
        <v>27715.82</v>
      </c>
      <c r="AM282" s="3">
        <v>0</v>
      </c>
      <c r="AN282" s="3">
        <v>0</v>
      </c>
      <c r="AO282" s="3">
        <v>0</v>
      </c>
      <c r="AP282" s="3">
        <v>0</v>
      </c>
      <c r="AQ282" s="3">
        <v>-15539.67</v>
      </c>
      <c r="AR282" s="3">
        <v>0</v>
      </c>
      <c r="AS282" s="3">
        <v>-5281.11</v>
      </c>
      <c r="AT282" s="3">
        <v>0</v>
      </c>
      <c r="AU282" s="3">
        <f t="shared" si="30"/>
        <v>0</v>
      </c>
      <c r="AV282" s="17">
        <v>2168</v>
      </c>
      <c r="AW282" s="17">
        <v>2168</v>
      </c>
      <c r="AX282" s="17">
        <v>1</v>
      </c>
      <c r="AY282" s="3" t="s">
        <v>285</v>
      </c>
      <c r="AZ282" s="3">
        <v>11668.37</v>
      </c>
      <c r="BA282" s="19">
        <v>77590.100000000006</v>
      </c>
    </row>
    <row r="283" spans="1:53" x14ac:dyDescent="0.2">
      <c r="A283" s="17">
        <v>2169</v>
      </c>
      <c r="B283" s="17">
        <v>1</v>
      </c>
      <c r="C283" s="3" t="s">
        <v>1159</v>
      </c>
      <c r="D283" s="3">
        <f>Levy!F284</f>
        <v>766485.84</v>
      </c>
      <c r="E283" s="3">
        <f>Levy!G284</f>
        <v>41862.28</v>
      </c>
      <c r="F283" s="3">
        <f>Levy!H284</f>
        <v>0</v>
      </c>
      <c r="G283" s="3">
        <f>Levy!I284</f>
        <v>353246.51</v>
      </c>
      <c r="H283" s="217">
        <f>Levy!J284</f>
        <v>78566.61</v>
      </c>
      <c r="I283" s="219">
        <v>0</v>
      </c>
      <c r="J283" s="219">
        <v>6000</v>
      </c>
      <c r="K283" s="219">
        <v>20058.490000000002</v>
      </c>
      <c r="L283" s="219">
        <v>0</v>
      </c>
      <c r="M283" s="219">
        <v>0</v>
      </c>
      <c r="N283" s="19">
        <v>0</v>
      </c>
      <c r="O283" s="19">
        <v>0</v>
      </c>
      <c r="P283" s="219">
        <v>-2625.67</v>
      </c>
      <c r="Q283" s="219">
        <v>0</v>
      </c>
      <c r="R283" s="219">
        <v>-2490.98</v>
      </c>
      <c r="S283" s="219">
        <v>0</v>
      </c>
      <c r="T283" s="19">
        <v>0</v>
      </c>
      <c r="U283" s="19">
        <v>0</v>
      </c>
      <c r="V283" s="19">
        <v>0</v>
      </c>
      <c r="W283" s="19">
        <v>0</v>
      </c>
      <c r="X283" s="19">
        <v>5478.96</v>
      </c>
      <c r="Y283" s="217">
        <v>61280.65</v>
      </c>
      <c r="Z283" s="3">
        <f t="shared" si="25"/>
        <v>20941.84</v>
      </c>
      <c r="AA283" s="3">
        <f t="shared" si="26"/>
        <v>368687.99</v>
      </c>
      <c r="AB283" s="3">
        <f t="shared" si="28"/>
        <v>78566.61</v>
      </c>
      <c r="AC283" s="3">
        <f>ROUND(MAX(0,(D283-V283)*'Shift 14'!$B$2),2)</f>
        <v>0</v>
      </c>
      <c r="AD283" s="3">
        <f t="shared" si="27"/>
        <v>61280.65</v>
      </c>
      <c r="AE283" s="3">
        <f t="shared" si="29"/>
        <v>0</v>
      </c>
      <c r="AF283" s="214">
        <v>2169</v>
      </c>
      <c r="AG283" s="214">
        <v>1</v>
      </c>
      <c r="AH283" s="3">
        <v>0</v>
      </c>
      <c r="AI283" s="3">
        <v>0</v>
      </c>
      <c r="AJ283" s="3">
        <v>17710.939999999999</v>
      </c>
      <c r="AK283" s="3">
        <v>6000</v>
      </c>
      <c r="AL283" s="3">
        <v>20058.490000000002</v>
      </c>
      <c r="AM283" s="3">
        <v>0</v>
      </c>
      <c r="AN283" s="3">
        <v>0</v>
      </c>
      <c r="AO283" s="3">
        <v>0</v>
      </c>
      <c r="AP283" s="3">
        <v>-2141.9299999999998</v>
      </c>
      <c r="AQ283" s="3">
        <v>-2625.67</v>
      </c>
      <c r="AR283" s="3">
        <v>0</v>
      </c>
      <c r="AS283" s="3">
        <v>-2490.98</v>
      </c>
      <c r="AT283" s="3">
        <v>0</v>
      </c>
      <c r="AU283" s="3">
        <f t="shared" si="30"/>
        <v>0</v>
      </c>
      <c r="AV283" s="17">
        <v>2169</v>
      </c>
      <c r="AW283" s="17">
        <v>2169</v>
      </c>
      <c r="AX283" s="17">
        <v>1</v>
      </c>
      <c r="AY283" s="3" t="s">
        <v>286</v>
      </c>
      <c r="AZ283" s="3">
        <v>5478.96</v>
      </c>
      <c r="BA283" s="19">
        <v>61280.65</v>
      </c>
    </row>
    <row r="284" spans="1:53" x14ac:dyDescent="0.2">
      <c r="A284" s="17">
        <v>2170</v>
      </c>
      <c r="B284" s="17">
        <v>1</v>
      </c>
      <c r="C284" s="3" t="s">
        <v>287</v>
      </c>
      <c r="D284" s="3">
        <f>Levy!F285</f>
        <v>502524</v>
      </c>
      <c r="E284" s="3">
        <f>Levy!G285</f>
        <v>138425</v>
      </c>
      <c r="F284" s="3">
        <f>Levy!H285</f>
        <v>0</v>
      </c>
      <c r="G284" s="3">
        <f>Levy!I285</f>
        <v>414091</v>
      </c>
      <c r="H284" s="217">
        <f>Levy!J285</f>
        <v>120939</v>
      </c>
      <c r="I284" s="219">
        <v>0</v>
      </c>
      <c r="J284" s="219">
        <v>22000</v>
      </c>
      <c r="K284" s="219">
        <v>73730.69</v>
      </c>
      <c r="L284" s="219">
        <v>0</v>
      </c>
      <c r="M284" s="219">
        <v>0</v>
      </c>
      <c r="N284" s="19">
        <v>0</v>
      </c>
      <c r="O284" s="19">
        <v>0</v>
      </c>
      <c r="P284" s="219">
        <v>-5835.84</v>
      </c>
      <c r="Q284" s="219">
        <v>0</v>
      </c>
      <c r="R284" s="219">
        <v>-10129.59</v>
      </c>
      <c r="S284" s="219">
        <v>0</v>
      </c>
      <c r="T284" s="19">
        <v>0</v>
      </c>
      <c r="U284" s="19">
        <v>0</v>
      </c>
      <c r="V284" s="19">
        <v>0</v>
      </c>
      <c r="W284" s="19">
        <v>0</v>
      </c>
      <c r="X284" s="19">
        <v>0</v>
      </c>
      <c r="Y284" s="217">
        <v>78553.36</v>
      </c>
      <c r="Z284" s="3">
        <f t="shared" si="25"/>
        <v>79765.260000000009</v>
      </c>
      <c r="AA284" s="3">
        <f t="shared" si="26"/>
        <v>472750.74</v>
      </c>
      <c r="AB284" s="3">
        <f t="shared" si="28"/>
        <v>120939</v>
      </c>
      <c r="AC284" s="3">
        <f>ROUND(MAX(0,(D284-V284)*'Shift 14'!$B$2),2)</f>
        <v>0</v>
      </c>
      <c r="AD284" s="3">
        <f t="shared" si="27"/>
        <v>78553.36</v>
      </c>
      <c r="AE284" s="3">
        <f t="shared" si="29"/>
        <v>0</v>
      </c>
      <c r="AF284" s="214">
        <v>2170</v>
      </c>
      <c r="AG284" s="214">
        <v>1</v>
      </c>
      <c r="AH284" s="3">
        <v>0</v>
      </c>
      <c r="AI284" s="3">
        <v>0</v>
      </c>
      <c r="AJ284" s="3">
        <v>0</v>
      </c>
      <c r="AK284" s="3">
        <v>22000</v>
      </c>
      <c r="AL284" s="3">
        <v>73730.69</v>
      </c>
      <c r="AM284" s="3">
        <v>0</v>
      </c>
      <c r="AN284" s="3">
        <v>0</v>
      </c>
      <c r="AO284" s="3">
        <v>0</v>
      </c>
      <c r="AP284" s="3">
        <v>0</v>
      </c>
      <c r="AQ284" s="3">
        <v>-5835.84</v>
      </c>
      <c r="AR284" s="3">
        <v>0</v>
      </c>
      <c r="AS284" s="3">
        <v>-10129.59</v>
      </c>
      <c r="AT284" s="3">
        <v>0</v>
      </c>
      <c r="AU284" s="3">
        <f t="shared" si="30"/>
        <v>0</v>
      </c>
      <c r="AV284" s="17">
        <v>2170</v>
      </c>
      <c r="AW284" s="17">
        <v>2170</v>
      </c>
      <c r="AX284" s="17">
        <v>1</v>
      </c>
      <c r="AY284" s="3" t="s">
        <v>287</v>
      </c>
      <c r="AZ284" s="3">
        <v>0</v>
      </c>
      <c r="BA284" s="19">
        <v>78553.36</v>
      </c>
    </row>
    <row r="285" spans="1:53" x14ac:dyDescent="0.2">
      <c r="A285" s="17">
        <v>2171</v>
      </c>
      <c r="B285" s="17">
        <v>1</v>
      </c>
      <c r="C285" s="3" t="s">
        <v>288</v>
      </c>
      <c r="D285" s="3">
        <f>Levy!F286</f>
        <v>380559</v>
      </c>
      <c r="E285" s="3">
        <f>Levy!G286</f>
        <v>14929</v>
      </c>
      <c r="F285" s="3">
        <f>Levy!H286</f>
        <v>0</v>
      </c>
      <c r="G285" s="3">
        <f>Levy!I286</f>
        <v>208116</v>
      </c>
      <c r="H285" s="217">
        <f>Levy!J286</f>
        <v>29111</v>
      </c>
      <c r="I285" s="219">
        <v>0</v>
      </c>
      <c r="J285" s="219">
        <v>0</v>
      </c>
      <c r="K285" s="219">
        <v>13407.94</v>
      </c>
      <c r="L285" s="219">
        <v>0</v>
      </c>
      <c r="M285" s="219">
        <v>0</v>
      </c>
      <c r="N285" s="19">
        <v>0</v>
      </c>
      <c r="O285" s="19">
        <v>0</v>
      </c>
      <c r="P285" s="219">
        <v>0</v>
      </c>
      <c r="Q285" s="219">
        <v>0</v>
      </c>
      <c r="R285" s="219">
        <v>-1665.08</v>
      </c>
      <c r="S285" s="219">
        <v>0</v>
      </c>
      <c r="T285" s="19">
        <v>0</v>
      </c>
      <c r="U285" s="19">
        <v>0</v>
      </c>
      <c r="V285" s="19">
        <v>0</v>
      </c>
      <c r="W285" s="19">
        <v>0</v>
      </c>
      <c r="X285" s="19">
        <v>0</v>
      </c>
      <c r="Y285" s="217">
        <v>312434.59999999998</v>
      </c>
      <c r="Z285" s="3">
        <f t="shared" si="25"/>
        <v>11742.86</v>
      </c>
      <c r="AA285" s="3">
        <f t="shared" si="26"/>
        <v>211302.14</v>
      </c>
      <c r="AB285" s="3">
        <f t="shared" si="28"/>
        <v>29111</v>
      </c>
      <c r="AC285" s="3">
        <f>ROUND(MAX(0,(D285-V285)*'Shift 14'!$B$2),2)</f>
        <v>0</v>
      </c>
      <c r="AD285" s="3">
        <f t="shared" si="27"/>
        <v>312434.59999999998</v>
      </c>
      <c r="AE285" s="3">
        <f t="shared" si="29"/>
        <v>0</v>
      </c>
      <c r="AF285" s="214">
        <v>2171</v>
      </c>
      <c r="AG285" s="214">
        <v>1</v>
      </c>
      <c r="AH285" s="3">
        <v>0</v>
      </c>
      <c r="AI285" s="3">
        <v>0</v>
      </c>
      <c r="AJ285" s="3">
        <v>0</v>
      </c>
      <c r="AK285" s="3">
        <v>0</v>
      </c>
      <c r="AL285" s="3">
        <v>13407.94</v>
      </c>
      <c r="AM285" s="3">
        <v>0</v>
      </c>
      <c r="AN285" s="3">
        <v>0</v>
      </c>
      <c r="AO285" s="3">
        <v>0</v>
      </c>
      <c r="AP285" s="3">
        <v>0</v>
      </c>
      <c r="AQ285" s="3">
        <v>0</v>
      </c>
      <c r="AR285" s="3">
        <v>0</v>
      </c>
      <c r="AS285" s="3">
        <v>-1665.08</v>
      </c>
      <c r="AT285" s="3">
        <v>0</v>
      </c>
      <c r="AU285" s="3">
        <f t="shared" si="30"/>
        <v>0</v>
      </c>
      <c r="AV285" s="17">
        <v>2171</v>
      </c>
      <c r="AW285" s="17">
        <v>2171</v>
      </c>
      <c r="AX285" s="17">
        <v>1</v>
      </c>
      <c r="AY285" s="3" t="s">
        <v>288</v>
      </c>
      <c r="AZ285" s="3">
        <v>0</v>
      </c>
      <c r="BA285" s="19">
        <v>312434.59999999998</v>
      </c>
    </row>
    <row r="286" spans="1:53" x14ac:dyDescent="0.2">
      <c r="A286" s="17">
        <v>2172</v>
      </c>
      <c r="B286" s="17">
        <v>1</v>
      </c>
      <c r="C286" s="3" t="s">
        <v>289</v>
      </c>
      <c r="D286" s="3">
        <f>Levy!F287</f>
        <v>620502</v>
      </c>
      <c r="E286" s="3">
        <f>Levy!G287</f>
        <v>64853</v>
      </c>
      <c r="F286" s="3">
        <f>Levy!H287</f>
        <v>0</v>
      </c>
      <c r="G286" s="3">
        <f>Levy!I287</f>
        <v>351720</v>
      </c>
      <c r="H286" s="217">
        <f>Levy!J287</f>
        <v>130751</v>
      </c>
      <c r="I286" s="219">
        <v>0</v>
      </c>
      <c r="J286" s="219">
        <v>4800</v>
      </c>
      <c r="K286" s="219">
        <v>23029.1</v>
      </c>
      <c r="L286" s="219">
        <v>0</v>
      </c>
      <c r="M286" s="219">
        <v>0</v>
      </c>
      <c r="N286" s="19">
        <v>0</v>
      </c>
      <c r="O286" s="19">
        <v>0</v>
      </c>
      <c r="P286" s="219">
        <v>-3734.98</v>
      </c>
      <c r="Q286" s="219">
        <v>0</v>
      </c>
      <c r="R286" s="219">
        <v>-2859.89</v>
      </c>
      <c r="S286" s="219">
        <v>4500</v>
      </c>
      <c r="T286" s="19">
        <v>0</v>
      </c>
      <c r="U286" s="19">
        <v>0</v>
      </c>
      <c r="V286" s="19">
        <v>0</v>
      </c>
      <c r="W286" s="19">
        <v>0</v>
      </c>
      <c r="X286" s="19">
        <v>0</v>
      </c>
      <c r="Y286" s="217">
        <v>71959.179999999993</v>
      </c>
      <c r="Z286" s="3">
        <f t="shared" si="25"/>
        <v>25734.23</v>
      </c>
      <c r="AA286" s="3">
        <f t="shared" si="26"/>
        <v>390838.77</v>
      </c>
      <c r="AB286" s="3">
        <f t="shared" si="28"/>
        <v>130751</v>
      </c>
      <c r="AC286" s="3">
        <f>ROUND(MAX(0,(D286-V286)*'Shift 14'!$B$2),2)</f>
        <v>0</v>
      </c>
      <c r="AD286" s="3">
        <f t="shared" si="27"/>
        <v>71959.179999999993</v>
      </c>
      <c r="AE286" s="3">
        <f t="shared" si="29"/>
        <v>0</v>
      </c>
      <c r="AF286" s="214">
        <v>2172</v>
      </c>
      <c r="AG286" s="214">
        <v>1</v>
      </c>
      <c r="AH286" s="3">
        <v>0</v>
      </c>
      <c r="AI286" s="3">
        <v>0</v>
      </c>
      <c r="AJ286" s="3">
        <v>0</v>
      </c>
      <c r="AK286" s="3">
        <v>4800</v>
      </c>
      <c r="AL286" s="3">
        <v>23029.1</v>
      </c>
      <c r="AM286" s="3">
        <v>0</v>
      </c>
      <c r="AN286" s="3">
        <v>0</v>
      </c>
      <c r="AO286" s="3">
        <v>0</v>
      </c>
      <c r="AP286" s="3">
        <v>0</v>
      </c>
      <c r="AQ286" s="3">
        <v>-3734.98</v>
      </c>
      <c r="AR286" s="3">
        <v>0</v>
      </c>
      <c r="AS286" s="3">
        <v>-2859.89</v>
      </c>
      <c r="AT286" s="3">
        <v>4500</v>
      </c>
      <c r="AU286" s="3">
        <f t="shared" si="30"/>
        <v>0</v>
      </c>
      <c r="AV286" s="17">
        <v>2172</v>
      </c>
      <c r="AW286" s="17">
        <v>2172</v>
      </c>
      <c r="AX286" s="17">
        <v>1</v>
      </c>
      <c r="AY286" s="3" t="s">
        <v>289</v>
      </c>
      <c r="AZ286" s="3">
        <v>0</v>
      </c>
      <c r="BA286" s="19">
        <v>71959.179999999993</v>
      </c>
    </row>
    <row r="287" spans="1:53" x14ac:dyDescent="0.2">
      <c r="A287" s="17">
        <v>2174</v>
      </c>
      <c r="B287" s="17">
        <v>1</v>
      </c>
      <c r="C287" s="3" t="s">
        <v>1158</v>
      </c>
      <c r="D287" s="3">
        <f>Levy!F288</f>
        <v>173.62</v>
      </c>
      <c r="E287" s="3">
        <f>Levy!G288</f>
        <v>323519.31</v>
      </c>
      <c r="F287" s="3">
        <f>Levy!H288</f>
        <v>0</v>
      </c>
      <c r="G287" s="3">
        <f>Levy!I288</f>
        <v>326697.28000000003</v>
      </c>
      <c r="H287" s="217">
        <f>Levy!J288</f>
        <v>120771.49</v>
      </c>
      <c r="I287" s="219">
        <v>0</v>
      </c>
      <c r="J287" s="219">
        <v>10000</v>
      </c>
      <c r="K287" s="219">
        <v>26601.360000000001</v>
      </c>
      <c r="L287" s="219">
        <v>0</v>
      </c>
      <c r="M287" s="219">
        <v>0</v>
      </c>
      <c r="N287" s="19">
        <v>0</v>
      </c>
      <c r="O287" s="19">
        <v>0</v>
      </c>
      <c r="P287" s="219">
        <v>8036.34</v>
      </c>
      <c r="Q287" s="219">
        <v>0</v>
      </c>
      <c r="R287" s="219">
        <v>-3871.51</v>
      </c>
      <c r="S287" s="219">
        <v>0</v>
      </c>
      <c r="T287" s="19">
        <v>0</v>
      </c>
      <c r="U287" s="19">
        <v>0</v>
      </c>
      <c r="V287" s="19">
        <v>0</v>
      </c>
      <c r="W287" s="19">
        <v>0</v>
      </c>
      <c r="X287" s="19">
        <v>0</v>
      </c>
      <c r="Y287" s="217">
        <v>0</v>
      </c>
      <c r="Z287" s="3">
        <f t="shared" si="25"/>
        <v>40766.189999999995</v>
      </c>
      <c r="AA287" s="3">
        <f t="shared" si="26"/>
        <v>609450.4</v>
      </c>
      <c r="AB287" s="3">
        <f t="shared" si="28"/>
        <v>120771.49</v>
      </c>
      <c r="AC287" s="3">
        <f>ROUND(MAX(0,(D287-V287)*'Shift 14'!$B$2),2)</f>
        <v>0</v>
      </c>
      <c r="AD287" s="3">
        <f t="shared" si="27"/>
        <v>0</v>
      </c>
      <c r="AE287" s="3">
        <f t="shared" si="29"/>
        <v>0</v>
      </c>
      <c r="AF287" s="214">
        <v>2174</v>
      </c>
      <c r="AG287" s="214">
        <v>1</v>
      </c>
      <c r="AH287" s="3">
        <v>0</v>
      </c>
      <c r="AI287" s="3">
        <v>0</v>
      </c>
      <c r="AJ287" s="3">
        <v>0</v>
      </c>
      <c r="AK287" s="3">
        <v>10000</v>
      </c>
      <c r="AL287" s="3">
        <v>26601.360000000001</v>
      </c>
      <c r="AM287" s="3">
        <v>0</v>
      </c>
      <c r="AN287" s="3">
        <v>0</v>
      </c>
      <c r="AO287" s="3">
        <v>0</v>
      </c>
      <c r="AP287" s="3">
        <v>0</v>
      </c>
      <c r="AQ287" s="3">
        <v>8036.34</v>
      </c>
      <c r="AR287" s="3">
        <v>0</v>
      </c>
      <c r="AS287" s="3">
        <v>-3871.51</v>
      </c>
      <c r="AT287" s="3">
        <v>0</v>
      </c>
      <c r="AU287" s="3">
        <f t="shared" si="30"/>
        <v>0</v>
      </c>
      <c r="AV287" s="17">
        <v>2174</v>
      </c>
      <c r="AW287" s="17">
        <v>2174</v>
      </c>
      <c r="AX287" s="17">
        <v>1</v>
      </c>
      <c r="AY287" s="3" t="s">
        <v>290</v>
      </c>
      <c r="AZ287" s="3">
        <v>0</v>
      </c>
      <c r="BA287" s="19">
        <v>0</v>
      </c>
    </row>
    <row r="288" spans="1:53" x14ac:dyDescent="0.2">
      <c r="A288" s="17">
        <v>2176</v>
      </c>
      <c r="B288" s="17">
        <v>1</v>
      </c>
      <c r="C288" s="3" t="s">
        <v>1157</v>
      </c>
      <c r="D288" s="3">
        <f>Levy!F289</f>
        <v>481645.19</v>
      </c>
      <c r="E288" s="3">
        <f>Levy!G289</f>
        <v>12333.28</v>
      </c>
      <c r="F288" s="3">
        <f>Levy!H289</f>
        <v>0</v>
      </c>
      <c r="G288" s="3">
        <f>Levy!I289</f>
        <v>139990.51</v>
      </c>
      <c r="H288" s="217">
        <f>Levy!J289</f>
        <v>57116.75</v>
      </c>
      <c r="I288" s="219">
        <v>0</v>
      </c>
      <c r="J288" s="219">
        <v>0</v>
      </c>
      <c r="K288" s="219">
        <v>10021.629999999999</v>
      </c>
      <c r="L288" s="219">
        <v>0</v>
      </c>
      <c r="M288" s="219">
        <v>0</v>
      </c>
      <c r="N288" s="19">
        <v>0</v>
      </c>
      <c r="O288" s="19">
        <v>0</v>
      </c>
      <c r="P288" s="219">
        <v>-4111</v>
      </c>
      <c r="Q288" s="219">
        <v>0</v>
      </c>
      <c r="R288" s="219">
        <v>-1665.08</v>
      </c>
      <c r="S288" s="219">
        <v>0</v>
      </c>
      <c r="T288" s="19">
        <v>0</v>
      </c>
      <c r="U288" s="19">
        <v>0</v>
      </c>
      <c r="V288" s="19">
        <v>0</v>
      </c>
      <c r="W288" s="19">
        <v>0</v>
      </c>
      <c r="X288" s="19">
        <v>0</v>
      </c>
      <c r="Y288" s="217">
        <v>228879.6</v>
      </c>
      <c r="Z288" s="3">
        <f t="shared" si="25"/>
        <v>4245.5499999999993</v>
      </c>
      <c r="AA288" s="3">
        <f t="shared" si="26"/>
        <v>148078.24</v>
      </c>
      <c r="AB288" s="3">
        <f t="shared" si="28"/>
        <v>57116.75</v>
      </c>
      <c r="AC288" s="3">
        <f>ROUND(MAX(0,(D288-V288)*'Shift 14'!$B$2),2)</f>
        <v>0</v>
      </c>
      <c r="AD288" s="3">
        <f t="shared" si="27"/>
        <v>228879.6</v>
      </c>
      <c r="AE288" s="3">
        <f t="shared" si="29"/>
        <v>0</v>
      </c>
      <c r="AF288" s="214">
        <v>2176</v>
      </c>
      <c r="AG288" s="214">
        <v>1</v>
      </c>
      <c r="AH288" s="3">
        <v>0</v>
      </c>
      <c r="AI288" s="3">
        <v>0</v>
      </c>
      <c r="AJ288" s="3">
        <v>0</v>
      </c>
      <c r="AK288" s="3">
        <v>0</v>
      </c>
      <c r="AL288" s="3">
        <v>10021.629999999999</v>
      </c>
      <c r="AM288" s="3">
        <v>0</v>
      </c>
      <c r="AN288" s="3">
        <v>0</v>
      </c>
      <c r="AO288" s="3">
        <v>0</v>
      </c>
      <c r="AP288" s="3">
        <v>0</v>
      </c>
      <c r="AQ288" s="3">
        <v>-4111</v>
      </c>
      <c r="AR288" s="3">
        <v>0</v>
      </c>
      <c r="AS288" s="3">
        <v>-1665.08</v>
      </c>
      <c r="AT288" s="3">
        <v>0</v>
      </c>
      <c r="AU288" s="3">
        <f t="shared" si="30"/>
        <v>0</v>
      </c>
      <c r="AV288" s="17">
        <v>2176</v>
      </c>
      <c r="AW288" s="17">
        <v>2176</v>
      </c>
      <c r="AX288" s="17">
        <v>1</v>
      </c>
      <c r="AY288" s="3" t="s">
        <v>291</v>
      </c>
      <c r="AZ288" s="3">
        <v>0</v>
      </c>
      <c r="BA288" s="19">
        <v>228879.6</v>
      </c>
    </row>
    <row r="289" spans="1:53" x14ac:dyDescent="0.2">
      <c r="A289" s="17">
        <v>2180</v>
      </c>
      <c r="B289" s="17">
        <v>1</v>
      </c>
      <c r="C289" s="3" t="s">
        <v>292</v>
      </c>
      <c r="D289" s="3">
        <f>Levy!F290</f>
        <v>1042359.02</v>
      </c>
      <c r="E289" s="3">
        <f>Levy!G290</f>
        <v>23621.57</v>
      </c>
      <c r="F289" s="3">
        <f>Levy!H290</f>
        <v>0</v>
      </c>
      <c r="G289" s="3">
        <f>Levy!I290</f>
        <v>424646.62</v>
      </c>
      <c r="H289" s="217">
        <f>Levy!J290</f>
        <v>41552.51</v>
      </c>
      <c r="I289" s="219">
        <v>0</v>
      </c>
      <c r="J289" s="219">
        <v>0</v>
      </c>
      <c r="K289" s="219">
        <v>13407.94</v>
      </c>
      <c r="L289" s="219">
        <v>0</v>
      </c>
      <c r="M289" s="219">
        <v>0</v>
      </c>
      <c r="N289" s="19">
        <v>0</v>
      </c>
      <c r="O289" s="19">
        <v>0</v>
      </c>
      <c r="P289" s="219">
        <v>-3000</v>
      </c>
      <c r="Q289" s="219">
        <v>0</v>
      </c>
      <c r="R289" s="219">
        <v>-1665.08</v>
      </c>
      <c r="S289" s="219">
        <v>0</v>
      </c>
      <c r="T289" s="19">
        <v>0</v>
      </c>
      <c r="U289" s="19">
        <v>0</v>
      </c>
      <c r="V289" s="19">
        <v>0</v>
      </c>
      <c r="W289" s="19">
        <v>0</v>
      </c>
      <c r="X289" s="19">
        <v>0</v>
      </c>
      <c r="Y289" s="217">
        <v>173617.36</v>
      </c>
      <c r="Z289" s="3">
        <f t="shared" si="25"/>
        <v>8742.86</v>
      </c>
      <c r="AA289" s="3">
        <f t="shared" si="26"/>
        <v>439525.33</v>
      </c>
      <c r="AB289" s="3">
        <f t="shared" si="28"/>
        <v>41552.51</v>
      </c>
      <c r="AC289" s="3">
        <f>ROUND(MAX(0,(D289-V289)*'Shift 14'!$B$2),2)</f>
        <v>0</v>
      </c>
      <c r="AD289" s="3">
        <f t="shared" si="27"/>
        <v>173617.36</v>
      </c>
      <c r="AE289" s="3">
        <f t="shared" si="29"/>
        <v>0</v>
      </c>
      <c r="AF289" s="214">
        <v>2180</v>
      </c>
      <c r="AG289" s="214">
        <v>1</v>
      </c>
      <c r="AH289" s="3">
        <v>0</v>
      </c>
      <c r="AI289" s="3">
        <v>0</v>
      </c>
      <c r="AJ289" s="3">
        <v>18043.650000000001</v>
      </c>
      <c r="AK289" s="3">
        <v>0</v>
      </c>
      <c r="AL289" s="3">
        <v>13407.94</v>
      </c>
      <c r="AM289" s="3">
        <v>0</v>
      </c>
      <c r="AN289" s="3">
        <v>0</v>
      </c>
      <c r="AO289" s="3">
        <v>0</v>
      </c>
      <c r="AP289" s="3">
        <v>-834.6</v>
      </c>
      <c r="AQ289" s="3">
        <v>-3000</v>
      </c>
      <c r="AR289" s="3">
        <v>0</v>
      </c>
      <c r="AS289" s="3">
        <v>-1665.08</v>
      </c>
      <c r="AT289" s="3">
        <v>0</v>
      </c>
      <c r="AU289" s="3">
        <f t="shared" si="30"/>
        <v>0</v>
      </c>
      <c r="AV289" s="17">
        <v>2180</v>
      </c>
      <c r="AW289" s="17">
        <v>2180</v>
      </c>
      <c r="AX289" s="17">
        <v>1</v>
      </c>
      <c r="AY289" s="3" t="s">
        <v>292</v>
      </c>
      <c r="AZ289" s="3">
        <v>0</v>
      </c>
      <c r="BA289" s="19">
        <v>173617.36</v>
      </c>
    </row>
    <row r="290" spans="1:53" x14ac:dyDescent="0.2">
      <c r="A290" s="17">
        <v>2184</v>
      </c>
      <c r="B290" s="17">
        <v>1</v>
      </c>
      <c r="C290" s="3" t="s">
        <v>293</v>
      </c>
      <c r="D290" s="3">
        <f>Levy!F291</f>
        <v>903388.27</v>
      </c>
      <c r="E290" s="3">
        <f>Levy!G291</f>
        <v>59165.54</v>
      </c>
      <c r="F290" s="3">
        <f>Levy!H291</f>
        <v>0</v>
      </c>
      <c r="G290" s="3">
        <f>Levy!I291</f>
        <v>429940.5</v>
      </c>
      <c r="H290" s="217">
        <f>Levy!J291</f>
        <v>97503.75</v>
      </c>
      <c r="I290" s="219">
        <v>0</v>
      </c>
      <c r="J290" s="219">
        <v>0</v>
      </c>
      <c r="K290" s="219">
        <v>30435.54</v>
      </c>
      <c r="L290" s="219">
        <v>0</v>
      </c>
      <c r="M290" s="219">
        <v>0</v>
      </c>
      <c r="N290" s="19">
        <v>0</v>
      </c>
      <c r="O290" s="19">
        <v>0</v>
      </c>
      <c r="P290" s="219">
        <v>-1900.88</v>
      </c>
      <c r="Q290" s="219">
        <v>0</v>
      </c>
      <c r="R290" s="219">
        <v>-3779.66</v>
      </c>
      <c r="S290" s="219">
        <v>0</v>
      </c>
      <c r="T290" s="19">
        <v>0</v>
      </c>
      <c r="U290" s="19">
        <v>0</v>
      </c>
      <c r="V290" s="19">
        <v>0</v>
      </c>
      <c r="W290" s="19">
        <v>0</v>
      </c>
      <c r="X290" s="19">
        <v>2150.0300000000002</v>
      </c>
      <c r="Y290" s="217">
        <v>45058.55</v>
      </c>
      <c r="Z290" s="3">
        <f t="shared" si="25"/>
        <v>24755</v>
      </c>
      <c r="AA290" s="3">
        <f t="shared" si="26"/>
        <v>462201.01</v>
      </c>
      <c r="AB290" s="3">
        <f t="shared" si="28"/>
        <v>97503.75</v>
      </c>
      <c r="AC290" s="3">
        <f>ROUND(MAX(0,(D290-V290)*'Shift 14'!$B$2),2)</f>
        <v>0</v>
      </c>
      <c r="AD290" s="3">
        <f t="shared" si="27"/>
        <v>45058.55</v>
      </c>
      <c r="AE290" s="3">
        <f t="shared" si="29"/>
        <v>0</v>
      </c>
      <c r="AF290" s="214">
        <v>2184</v>
      </c>
      <c r="AG290" s="214">
        <v>1</v>
      </c>
      <c r="AH290" s="3">
        <v>0</v>
      </c>
      <c r="AI290" s="3">
        <v>0</v>
      </c>
      <c r="AJ290" s="3">
        <v>0</v>
      </c>
      <c r="AK290" s="3">
        <v>0</v>
      </c>
      <c r="AL290" s="3">
        <v>30435.54</v>
      </c>
      <c r="AM290" s="3">
        <v>0</v>
      </c>
      <c r="AN290" s="3">
        <v>0</v>
      </c>
      <c r="AO290" s="3">
        <v>0</v>
      </c>
      <c r="AP290" s="3">
        <v>0</v>
      </c>
      <c r="AQ290" s="3">
        <v>-1900.88</v>
      </c>
      <c r="AR290" s="3">
        <v>0</v>
      </c>
      <c r="AS290" s="3">
        <v>-3779.66</v>
      </c>
      <c r="AT290" s="3">
        <v>0</v>
      </c>
      <c r="AU290" s="3">
        <f t="shared" si="30"/>
        <v>0</v>
      </c>
      <c r="AV290" s="17">
        <v>2184</v>
      </c>
      <c r="AW290" s="17">
        <v>2184</v>
      </c>
      <c r="AX290" s="17">
        <v>1</v>
      </c>
      <c r="AY290" s="3" t="s">
        <v>293</v>
      </c>
      <c r="AZ290" s="3">
        <v>2150.0300000000002</v>
      </c>
      <c r="BA290" s="19">
        <v>45058.55</v>
      </c>
    </row>
    <row r="291" spans="1:53" x14ac:dyDescent="0.2">
      <c r="A291" s="17">
        <v>2190</v>
      </c>
      <c r="B291" s="17">
        <v>1</v>
      </c>
      <c r="C291" s="3" t="s">
        <v>1156</v>
      </c>
      <c r="D291" s="3">
        <f>Levy!F292</f>
        <v>813876</v>
      </c>
      <c r="E291" s="3">
        <f>Levy!G292</f>
        <v>44973</v>
      </c>
      <c r="F291" s="3">
        <f>Levy!H292</f>
        <v>0</v>
      </c>
      <c r="G291" s="3">
        <f>Levy!I292</f>
        <v>259363</v>
      </c>
      <c r="H291" s="217">
        <f>Levy!J292</f>
        <v>124843</v>
      </c>
      <c r="I291" s="219">
        <v>0</v>
      </c>
      <c r="J291" s="219">
        <v>5000</v>
      </c>
      <c r="K291" s="219">
        <v>36074.879999999997</v>
      </c>
      <c r="L291" s="219">
        <v>0</v>
      </c>
      <c r="M291" s="219">
        <v>0</v>
      </c>
      <c r="N291" s="19">
        <v>0</v>
      </c>
      <c r="O291" s="19">
        <v>0</v>
      </c>
      <c r="P291" s="219">
        <v>-30771.25</v>
      </c>
      <c r="Q291" s="219">
        <v>0</v>
      </c>
      <c r="R291" s="219">
        <v>-4479.99</v>
      </c>
      <c r="S291" s="219">
        <v>0</v>
      </c>
      <c r="T291" s="19">
        <v>0</v>
      </c>
      <c r="U291" s="19">
        <v>0</v>
      </c>
      <c r="V291" s="19">
        <v>0</v>
      </c>
      <c r="W291" s="19">
        <v>0</v>
      </c>
      <c r="X291" s="19">
        <v>3393.38</v>
      </c>
      <c r="Y291" s="217">
        <v>106127.39</v>
      </c>
      <c r="Z291" s="3">
        <f t="shared" si="25"/>
        <v>5823.6399999999976</v>
      </c>
      <c r="AA291" s="3">
        <f t="shared" si="26"/>
        <v>295118.98</v>
      </c>
      <c r="AB291" s="3">
        <f t="shared" si="28"/>
        <v>124843</v>
      </c>
      <c r="AC291" s="3">
        <f>ROUND(MAX(0,(D291-V291)*'Shift 14'!$B$2),2)</f>
        <v>0</v>
      </c>
      <c r="AD291" s="3">
        <f t="shared" si="27"/>
        <v>106127.39</v>
      </c>
      <c r="AE291" s="3">
        <f t="shared" si="29"/>
        <v>0</v>
      </c>
      <c r="AF291" s="214">
        <v>2190</v>
      </c>
      <c r="AG291" s="214">
        <v>1</v>
      </c>
      <c r="AH291" s="3">
        <v>0</v>
      </c>
      <c r="AI291" s="3">
        <v>0</v>
      </c>
      <c r="AJ291" s="3">
        <v>34690.86</v>
      </c>
      <c r="AK291" s="3">
        <v>5000</v>
      </c>
      <c r="AL291" s="3">
        <v>36074.879999999997</v>
      </c>
      <c r="AM291" s="3">
        <v>0</v>
      </c>
      <c r="AN291" s="3">
        <v>0</v>
      </c>
      <c r="AO291" s="3">
        <v>0</v>
      </c>
      <c r="AP291" s="3">
        <v>-463.24</v>
      </c>
      <c r="AQ291" s="3">
        <v>-30771.25</v>
      </c>
      <c r="AR291" s="3">
        <v>0</v>
      </c>
      <c r="AS291" s="3">
        <v>-4479.99</v>
      </c>
      <c r="AT291" s="3">
        <v>0</v>
      </c>
      <c r="AU291" s="3">
        <f t="shared" si="30"/>
        <v>0</v>
      </c>
      <c r="AV291" s="17">
        <v>2190</v>
      </c>
      <c r="AW291" s="17">
        <v>2190</v>
      </c>
      <c r="AX291" s="17">
        <v>1</v>
      </c>
      <c r="AY291" s="3" t="s">
        <v>294</v>
      </c>
      <c r="AZ291" s="3">
        <v>3393.38</v>
      </c>
      <c r="BA291" s="19">
        <v>106127.39</v>
      </c>
    </row>
    <row r="292" spans="1:53" x14ac:dyDescent="0.2">
      <c r="A292" s="17">
        <v>2198</v>
      </c>
      <c r="B292" s="17">
        <v>1</v>
      </c>
      <c r="C292" s="3" t="s">
        <v>295</v>
      </c>
      <c r="D292" s="3">
        <f>Levy!F293</f>
        <v>531647</v>
      </c>
      <c r="E292" s="3">
        <f>Levy!G293</f>
        <v>42242</v>
      </c>
      <c r="F292" s="3">
        <f>Levy!H293</f>
        <v>0</v>
      </c>
      <c r="G292" s="3">
        <f>Levy!I293</f>
        <v>572512</v>
      </c>
      <c r="H292" s="217">
        <f>Levy!J293</f>
        <v>80873</v>
      </c>
      <c r="I292" s="219">
        <v>0</v>
      </c>
      <c r="J292" s="219">
        <v>56900</v>
      </c>
      <c r="K292" s="219">
        <v>23591.53</v>
      </c>
      <c r="L292" s="219">
        <v>0</v>
      </c>
      <c r="M292" s="219">
        <v>0</v>
      </c>
      <c r="N292" s="19">
        <v>0</v>
      </c>
      <c r="O292" s="19">
        <v>0</v>
      </c>
      <c r="P292" s="219">
        <v>-629.02</v>
      </c>
      <c r="Q292" s="219">
        <v>0</v>
      </c>
      <c r="R292" s="219">
        <v>-2929.73</v>
      </c>
      <c r="S292" s="219">
        <v>0</v>
      </c>
      <c r="T292" s="19">
        <v>0</v>
      </c>
      <c r="U292" s="19">
        <v>0</v>
      </c>
      <c r="V292" s="19">
        <v>0</v>
      </c>
      <c r="W292" s="19">
        <v>0</v>
      </c>
      <c r="X292" s="19">
        <v>0</v>
      </c>
      <c r="Y292" s="217">
        <v>54051.81</v>
      </c>
      <c r="Z292" s="3">
        <f t="shared" si="25"/>
        <v>76932.78</v>
      </c>
      <c r="AA292" s="3">
        <f t="shared" si="26"/>
        <v>537821.22</v>
      </c>
      <c r="AB292" s="3">
        <f t="shared" si="28"/>
        <v>80873</v>
      </c>
      <c r="AC292" s="3">
        <f>ROUND(MAX(0,(D292-V292)*'Shift 14'!$B$2),2)</f>
        <v>0</v>
      </c>
      <c r="AD292" s="3">
        <f t="shared" si="27"/>
        <v>54051.81</v>
      </c>
      <c r="AE292" s="3">
        <f t="shared" si="29"/>
        <v>0</v>
      </c>
      <c r="AF292" s="214">
        <v>2198</v>
      </c>
      <c r="AG292" s="214">
        <v>1</v>
      </c>
      <c r="AH292" s="3">
        <v>0</v>
      </c>
      <c r="AI292" s="3">
        <v>0</v>
      </c>
      <c r="AJ292" s="3">
        <v>0</v>
      </c>
      <c r="AK292" s="3">
        <v>56900</v>
      </c>
      <c r="AL292" s="3">
        <v>23591.53</v>
      </c>
      <c r="AM292" s="3">
        <v>0</v>
      </c>
      <c r="AN292" s="3">
        <v>0</v>
      </c>
      <c r="AO292" s="3">
        <v>0</v>
      </c>
      <c r="AP292" s="3">
        <v>0</v>
      </c>
      <c r="AQ292" s="3">
        <v>-629.02</v>
      </c>
      <c r="AR292" s="3">
        <v>0</v>
      </c>
      <c r="AS292" s="3">
        <v>-2929.73</v>
      </c>
      <c r="AT292" s="3">
        <v>0</v>
      </c>
      <c r="AU292" s="3">
        <f t="shared" si="30"/>
        <v>0</v>
      </c>
      <c r="AV292" s="17">
        <v>2198</v>
      </c>
      <c r="AW292" s="17">
        <v>2198</v>
      </c>
      <c r="AX292" s="17">
        <v>1</v>
      </c>
      <c r="AY292" s="3" t="s">
        <v>295</v>
      </c>
      <c r="AZ292" s="3">
        <v>0</v>
      </c>
      <c r="BA292" s="19">
        <v>54051.81</v>
      </c>
    </row>
    <row r="293" spans="1:53" x14ac:dyDescent="0.2">
      <c r="A293" s="17">
        <v>2215</v>
      </c>
      <c r="B293" s="17">
        <v>1</v>
      </c>
      <c r="C293" s="3" t="s">
        <v>1155</v>
      </c>
      <c r="D293" s="3">
        <f>Levy!F294</f>
        <v>271440.15000000002</v>
      </c>
      <c r="E293" s="3">
        <f>Levy!G294</f>
        <v>7462.6</v>
      </c>
      <c r="F293" s="3">
        <f>Levy!H294</f>
        <v>0</v>
      </c>
      <c r="G293" s="3">
        <f>Levy!I294</f>
        <v>160905.42000000001</v>
      </c>
      <c r="H293" s="217">
        <f>Levy!J294</f>
        <v>28508.7</v>
      </c>
      <c r="I293" s="219">
        <v>0</v>
      </c>
      <c r="J293" s="219">
        <v>0</v>
      </c>
      <c r="K293" s="219">
        <v>26797.62</v>
      </c>
      <c r="L293" s="219">
        <v>0</v>
      </c>
      <c r="M293" s="219">
        <v>0</v>
      </c>
      <c r="N293" s="19">
        <v>0</v>
      </c>
      <c r="O293" s="19">
        <v>0</v>
      </c>
      <c r="P293" s="219">
        <v>22876.62</v>
      </c>
      <c r="Q293" s="219">
        <v>0</v>
      </c>
      <c r="R293" s="219">
        <v>-3327.88</v>
      </c>
      <c r="S293" s="219">
        <v>0</v>
      </c>
      <c r="T293" s="19">
        <v>0</v>
      </c>
      <c r="U293" s="19">
        <v>0</v>
      </c>
      <c r="V293" s="19">
        <v>0</v>
      </c>
      <c r="W293" s="19">
        <v>0</v>
      </c>
      <c r="X293" s="19">
        <v>0</v>
      </c>
      <c r="Y293" s="217">
        <v>26598.22</v>
      </c>
      <c r="Z293" s="3">
        <f t="shared" si="25"/>
        <v>46346.36</v>
      </c>
      <c r="AA293" s="3">
        <f t="shared" si="26"/>
        <v>122021.66</v>
      </c>
      <c r="AB293" s="3">
        <f t="shared" si="28"/>
        <v>28508.7</v>
      </c>
      <c r="AC293" s="3">
        <f>ROUND(MAX(0,(D293-V293)*'Shift 14'!$B$2),2)</f>
        <v>0</v>
      </c>
      <c r="AD293" s="3">
        <f t="shared" si="27"/>
        <v>26598.22</v>
      </c>
      <c r="AE293" s="3">
        <f t="shared" si="29"/>
        <v>0</v>
      </c>
      <c r="AF293" s="214">
        <v>2215</v>
      </c>
      <c r="AG293" s="214">
        <v>1</v>
      </c>
      <c r="AH293" s="3">
        <v>0</v>
      </c>
      <c r="AI293" s="3">
        <v>0</v>
      </c>
      <c r="AJ293" s="3">
        <v>0</v>
      </c>
      <c r="AK293" s="3">
        <v>0</v>
      </c>
      <c r="AL293" s="3">
        <v>26797.62</v>
      </c>
      <c r="AM293" s="3">
        <v>0</v>
      </c>
      <c r="AN293" s="3">
        <v>0</v>
      </c>
      <c r="AO293" s="3">
        <v>0</v>
      </c>
      <c r="AP293" s="3">
        <v>0</v>
      </c>
      <c r="AQ293" s="3">
        <v>22876.62</v>
      </c>
      <c r="AR293" s="3">
        <v>0</v>
      </c>
      <c r="AS293" s="3">
        <v>-3327.88</v>
      </c>
      <c r="AT293" s="3">
        <v>0</v>
      </c>
      <c r="AU293" s="3">
        <f t="shared" si="30"/>
        <v>0</v>
      </c>
      <c r="AV293" s="17">
        <v>2215</v>
      </c>
      <c r="AW293" s="17">
        <v>2215</v>
      </c>
      <c r="AX293" s="17">
        <v>1</v>
      </c>
      <c r="AY293" s="3" t="s">
        <v>296</v>
      </c>
      <c r="AZ293" s="3">
        <v>0</v>
      </c>
      <c r="BA293" s="19">
        <v>26598.22</v>
      </c>
    </row>
    <row r="294" spans="1:53" x14ac:dyDescent="0.2">
      <c r="A294" s="17">
        <v>2310</v>
      </c>
      <c r="B294" s="17">
        <v>1</v>
      </c>
      <c r="C294" s="3" t="s">
        <v>297</v>
      </c>
      <c r="D294" s="3">
        <f>Levy!F295</f>
        <v>331174.02</v>
      </c>
      <c r="E294" s="3">
        <f>Levy!G295</f>
        <v>70893.94</v>
      </c>
      <c r="F294" s="3">
        <f>Levy!H295</f>
        <v>0</v>
      </c>
      <c r="G294" s="3">
        <f>Levy!I295</f>
        <v>574552.18000000005</v>
      </c>
      <c r="H294" s="217">
        <f>Levy!J295</f>
        <v>107375</v>
      </c>
      <c r="I294" s="219">
        <v>0</v>
      </c>
      <c r="J294" s="219">
        <v>2000</v>
      </c>
      <c r="K294" s="219">
        <v>30450.86</v>
      </c>
      <c r="L294" s="219">
        <v>0</v>
      </c>
      <c r="M294" s="219">
        <v>0</v>
      </c>
      <c r="N294" s="19">
        <v>0</v>
      </c>
      <c r="O294" s="19">
        <v>0</v>
      </c>
      <c r="P294" s="219">
        <v>-4959.57</v>
      </c>
      <c r="Q294" s="219">
        <v>-2000</v>
      </c>
      <c r="R294" s="219">
        <v>-4193.34</v>
      </c>
      <c r="S294" s="219">
        <v>0</v>
      </c>
      <c r="T294" s="19">
        <v>0</v>
      </c>
      <c r="U294" s="19">
        <v>0</v>
      </c>
      <c r="V294" s="19">
        <v>0</v>
      </c>
      <c r="W294" s="19">
        <v>0</v>
      </c>
      <c r="X294" s="19">
        <v>0</v>
      </c>
      <c r="Y294" s="217">
        <v>69650.559999999998</v>
      </c>
      <c r="Z294" s="3">
        <f t="shared" si="25"/>
        <v>21297.95</v>
      </c>
      <c r="AA294" s="3">
        <f t="shared" si="26"/>
        <v>624148.17000000004</v>
      </c>
      <c r="AB294" s="3">
        <f t="shared" si="28"/>
        <v>107375</v>
      </c>
      <c r="AC294" s="3">
        <f>ROUND(MAX(0,(D294-V294)*'Shift 14'!$B$2),2)</f>
        <v>0</v>
      </c>
      <c r="AD294" s="3">
        <f t="shared" si="27"/>
        <v>69650.559999999998</v>
      </c>
      <c r="AE294" s="3">
        <f t="shared" si="29"/>
        <v>0</v>
      </c>
      <c r="AF294" s="214">
        <v>2310</v>
      </c>
      <c r="AG294" s="214">
        <v>1</v>
      </c>
      <c r="AH294" s="3">
        <v>0</v>
      </c>
      <c r="AI294" s="3">
        <v>0</v>
      </c>
      <c r="AJ294" s="3">
        <v>50605.16</v>
      </c>
      <c r="AK294" s="3">
        <v>2000</v>
      </c>
      <c r="AL294" s="3">
        <v>30450.86</v>
      </c>
      <c r="AM294" s="3">
        <v>0</v>
      </c>
      <c r="AN294" s="3">
        <v>0</v>
      </c>
      <c r="AO294" s="3">
        <v>0</v>
      </c>
      <c r="AP294" s="3">
        <v>-4989.54</v>
      </c>
      <c r="AQ294" s="3">
        <v>-4959.57</v>
      </c>
      <c r="AR294" s="3">
        <v>-2000</v>
      </c>
      <c r="AS294" s="3">
        <v>-4193.34</v>
      </c>
      <c r="AT294" s="3">
        <v>0</v>
      </c>
      <c r="AU294" s="3">
        <f t="shared" si="30"/>
        <v>0</v>
      </c>
      <c r="AV294" s="17">
        <v>2310</v>
      </c>
      <c r="AW294" s="17">
        <v>2310</v>
      </c>
      <c r="AX294" s="17">
        <v>1</v>
      </c>
      <c r="AY294" s="3" t="s">
        <v>297</v>
      </c>
      <c r="AZ294" s="3">
        <v>0</v>
      </c>
      <c r="BA294" s="19">
        <v>69650.559999999998</v>
      </c>
    </row>
    <row r="295" spans="1:53" x14ac:dyDescent="0.2">
      <c r="A295" s="17">
        <v>2311</v>
      </c>
      <c r="B295" s="17">
        <v>1</v>
      </c>
      <c r="C295" s="3" t="s">
        <v>1154</v>
      </c>
      <c r="D295" s="3">
        <f>Levy!F296</f>
        <v>197864</v>
      </c>
      <c r="E295" s="3">
        <f>Levy!G296</f>
        <v>69115</v>
      </c>
      <c r="F295" s="3">
        <f>Levy!H296</f>
        <v>0</v>
      </c>
      <c r="G295" s="3">
        <f>Levy!I296</f>
        <v>125475</v>
      </c>
      <c r="H295" s="217">
        <f>Levy!J296</f>
        <v>48507</v>
      </c>
      <c r="I295" s="219">
        <v>0</v>
      </c>
      <c r="J295" s="219">
        <v>1500</v>
      </c>
      <c r="K295" s="219">
        <v>14050.45</v>
      </c>
      <c r="L295" s="219">
        <v>0</v>
      </c>
      <c r="M295" s="219">
        <v>0</v>
      </c>
      <c r="N295" s="19">
        <v>0</v>
      </c>
      <c r="O295" s="19">
        <v>0</v>
      </c>
      <c r="P295" s="219">
        <v>1272</v>
      </c>
      <c r="Q295" s="219">
        <v>0</v>
      </c>
      <c r="R295" s="219">
        <v>-2224.0700000000002</v>
      </c>
      <c r="S295" s="219">
        <v>0</v>
      </c>
      <c r="T295" s="19">
        <v>0</v>
      </c>
      <c r="U295" s="19">
        <v>0</v>
      </c>
      <c r="V295" s="19">
        <v>0</v>
      </c>
      <c r="W295" s="19">
        <v>0</v>
      </c>
      <c r="X295" s="19">
        <v>8613.4699999999993</v>
      </c>
      <c r="Y295" s="217">
        <v>57346.63</v>
      </c>
      <c r="Z295" s="3">
        <f t="shared" si="25"/>
        <v>14598.380000000001</v>
      </c>
      <c r="AA295" s="3">
        <f t="shared" si="26"/>
        <v>171378.15</v>
      </c>
      <c r="AB295" s="3">
        <f t="shared" si="28"/>
        <v>48507</v>
      </c>
      <c r="AC295" s="3">
        <f>ROUND(MAX(0,(D295-V295)*'Shift 14'!$B$2),2)</f>
        <v>0</v>
      </c>
      <c r="AD295" s="3">
        <f t="shared" si="27"/>
        <v>57346.63</v>
      </c>
      <c r="AE295" s="3">
        <f t="shared" si="29"/>
        <v>0</v>
      </c>
      <c r="AF295" s="214">
        <v>2311</v>
      </c>
      <c r="AG295" s="214">
        <v>1</v>
      </c>
      <c r="AH295" s="3">
        <v>0</v>
      </c>
      <c r="AI295" s="3">
        <v>0</v>
      </c>
      <c r="AJ295" s="3">
        <v>0</v>
      </c>
      <c r="AK295" s="3">
        <v>1500</v>
      </c>
      <c r="AL295" s="3">
        <v>14050.45</v>
      </c>
      <c r="AM295" s="3">
        <v>0</v>
      </c>
      <c r="AN295" s="3">
        <v>0</v>
      </c>
      <c r="AO295" s="3">
        <v>0</v>
      </c>
      <c r="AP295" s="3">
        <v>0</v>
      </c>
      <c r="AQ295" s="3">
        <v>1272</v>
      </c>
      <c r="AR295" s="3">
        <v>0</v>
      </c>
      <c r="AS295" s="3">
        <v>-2224.0700000000002</v>
      </c>
      <c r="AT295" s="3">
        <v>0</v>
      </c>
      <c r="AU295" s="3">
        <f t="shared" si="30"/>
        <v>0</v>
      </c>
      <c r="AV295" s="17">
        <v>2311</v>
      </c>
      <c r="AW295" s="17">
        <v>2311</v>
      </c>
      <c r="AX295" s="17">
        <v>1</v>
      </c>
      <c r="AY295" s="3" t="s">
        <v>298</v>
      </c>
      <c r="AZ295" s="3">
        <v>8613.4699999999993</v>
      </c>
      <c r="BA295" s="19">
        <v>57346.63</v>
      </c>
    </row>
    <row r="296" spans="1:53" x14ac:dyDescent="0.2">
      <c r="A296" s="17">
        <v>2342</v>
      </c>
      <c r="B296" s="17">
        <v>1</v>
      </c>
      <c r="C296" s="3" t="s">
        <v>1153</v>
      </c>
      <c r="D296" s="3">
        <f>Levy!F297</f>
        <v>891658.45</v>
      </c>
      <c r="E296" s="3">
        <f>Levy!G297</f>
        <v>47116.81</v>
      </c>
      <c r="F296" s="3">
        <f>Levy!H297</f>
        <v>0</v>
      </c>
      <c r="G296" s="3">
        <f>Levy!I297</f>
        <v>727862.85</v>
      </c>
      <c r="H296" s="217">
        <f>Levy!J297</f>
        <v>77002.5</v>
      </c>
      <c r="I296" s="219">
        <v>0</v>
      </c>
      <c r="J296" s="219">
        <v>5000</v>
      </c>
      <c r="K296" s="219">
        <v>26565.81</v>
      </c>
      <c r="L296" s="219">
        <v>0</v>
      </c>
      <c r="M296" s="219">
        <v>0</v>
      </c>
      <c r="N296" s="19">
        <v>0</v>
      </c>
      <c r="O296" s="19">
        <v>0</v>
      </c>
      <c r="P296" s="219">
        <v>-9717.1200000000008</v>
      </c>
      <c r="Q296" s="219">
        <v>0</v>
      </c>
      <c r="R296" s="219">
        <v>-3299.1</v>
      </c>
      <c r="S296" s="219">
        <v>0</v>
      </c>
      <c r="T296" s="19">
        <v>0</v>
      </c>
      <c r="U296" s="19">
        <v>0</v>
      </c>
      <c r="V296" s="19">
        <v>0</v>
      </c>
      <c r="W296" s="19">
        <v>0</v>
      </c>
      <c r="X296" s="19">
        <v>0</v>
      </c>
      <c r="Y296" s="217">
        <v>76124.09</v>
      </c>
      <c r="Z296" s="3">
        <f t="shared" si="25"/>
        <v>18549.590000000004</v>
      </c>
      <c r="AA296" s="3">
        <f t="shared" si="26"/>
        <v>756430.07</v>
      </c>
      <c r="AB296" s="3">
        <f t="shared" si="28"/>
        <v>77002.5</v>
      </c>
      <c r="AC296" s="3">
        <f>ROUND(MAX(0,(D296-V296)*'Shift 14'!$B$2),2)</f>
        <v>0</v>
      </c>
      <c r="AD296" s="3">
        <f t="shared" si="27"/>
        <v>76124.09</v>
      </c>
      <c r="AE296" s="3">
        <f t="shared" si="29"/>
        <v>0</v>
      </c>
      <c r="AF296" s="214">
        <v>2342</v>
      </c>
      <c r="AG296" s="214">
        <v>1</v>
      </c>
      <c r="AH296" s="3">
        <v>0</v>
      </c>
      <c r="AI296" s="3">
        <v>0</v>
      </c>
      <c r="AJ296" s="3">
        <v>0</v>
      </c>
      <c r="AK296" s="3">
        <v>5000</v>
      </c>
      <c r="AL296" s="3">
        <v>26565.81</v>
      </c>
      <c r="AM296" s="3">
        <v>0</v>
      </c>
      <c r="AN296" s="3">
        <v>0</v>
      </c>
      <c r="AO296" s="3">
        <v>0</v>
      </c>
      <c r="AP296" s="3">
        <v>0</v>
      </c>
      <c r="AQ296" s="3">
        <v>-9717.1200000000008</v>
      </c>
      <c r="AR296" s="3">
        <v>0</v>
      </c>
      <c r="AS296" s="3">
        <v>-3299.1</v>
      </c>
      <c r="AT296" s="3">
        <v>0</v>
      </c>
      <c r="AU296" s="3">
        <f t="shared" si="30"/>
        <v>0</v>
      </c>
      <c r="AV296" s="17">
        <v>2342</v>
      </c>
      <c r="AW296" s="17">
        <v>2342</v>
      </c>
      <c r="AX296" s="17">
        <v>1</v>
      </c>
      <c r="AY296" s="3" t="s">
        <v>299</v>
      </c>
      <c r="AZ296" s="3">
        <v>0</v>
      </c>
      <c r="BA296" s="19">
        <v>76124.09</v>
      </c>
    </row>
    <row r="297" spans="1:53" x14ac:dyDescent="0.2">
      <c r="A297" s="17">
        <v>2358</v>
      </c>
      <c r="B297" s="17">
        <v>1</v>
      </c>
      <c r="C297" s="3" t="s">
        <v>300</v>
      </c>
      <c r="D297" s="3">
        <f>Levy!F298</f>
        <v>211783</v>
      </c>
      <c r="E297" s="3">
        <f>Levy!G298</f>
        <v>5991</v>
      </c>
      <c r="F297" s="3">
        <f>Levy!H298</f>
        <v>0</v>
      </c>
      <c r="G297" s="3">
        <f>Levy!I298</f>
        <v>80762</v>
      </c>
      <c r="H297" s="217">
        <f>Levy!J298</f>
        <v>21438</v>
      </c>
      <c r="I297" s="219">
        <v>0</v>
      </c>
      <c r="J297" s="219">
        <v>0</v>
      </c>
      <c r="K297" s="219">
        <v>12831.95</v>
      </c>
      <c r="L297" s="219">
        <v>0</v>
      </c>
      <c r="M297" s="219">
        <v>0</v>
      </c>
      <c r="N297" s="19">
        <v>0</v>
      </c>
      <c r="O297" s="19">
        <v>0</v>
      </c>
      <c r="P297" s="219">
        <v>-768.31</v>
      </c>
      <c r="Q297" s="219">
        <v>0</v>
      </c>
      <c r="R297" s="219">
        <v>-1163.96</v>
      </c>
      <c r="S297" s="219">
        <v>0</v>
      </c>
      <c r="T297" s="19">
        <v>0</v>
      </c>
      <c r="U297" s="19">
        <v>0</v>
      </c>
      <c r="V297" s="19">
        <v>0</v>
      </c>
      <c r="W297" s="19">
        <v>0</v>
      </c>
      <c r="X297" s="19">
        <v>2260.84</v>
      </c>
      <c r="Y297" s="217">
        <v>36123.39</v>
      </c>
      <c r="Z297" s="3">
        <f t="shared" si="25"/>
        <v>10899.68</v>
      </c>
      <c r="AA297" s="3">
        <f t="shared" si="26"/>
        <v>73592.479999999996</v>
      </c>
      <c r="AB297" s="3">
        <f t="shared" si="28"/>
        <v>21438</v>
      </c>
      <c r="AC297" s="3">
        <f>ROUND(MAX(0,(D297-V297)*'Shift 14'!$B$2),2)</f>
        <v>0</v>
      </c>
      <c r="AD297" s="3">
        <f t="shared" si="27"/>
        <v>36123.39</v>
      </c>
      <c r="AE297" s="3">
        <f t="shared" si="29"/>
        <v>0</v>
      </c>
      <c r="AF297" s="214">
        <v>2358</v>
      </c>
      <c r="AG297" s="214">
        <v>1</v>
      </c>
      <c r="AH297" s="3">
        <v>0</v>
      </c>
      <c r="AI297" s="3">
        <v>0</v>
      </c>
      <c r="AJ297" s="3">
        <v>0</v>
      </c>
      <c r="AK297" s="3">
        <v>0</v>
      </c>
      <c r="AL297" s="3">
        <v>12831.95</v>
      </c>
      <c r="AM297" s="3">
        <v>0</v>
      </c>
      <c r="AN297" s="3">
        <v>0</v>
      </c>
      <c r="AO297" s="3">
        <v>0</v>
      </c>
      <c r="AP297" s="3">
        <v>0</v>
      </c>
      <c r="AQ297" s="3">
        <v>-768.31</v>
      </c>
      <c r="AR297" s="3">
        <v>0</v>
      </c>
      <c r="AS297" s="3">
        <v>-1163.96</v>
      </c>
      <c r="AT297" s="3">
        <v>0</v>
      </c>
      <c r="AU297" s="3">
        <f t="shared" si="30"/>
        <v>0</v>
      </c>
      <c r="AV297" s="17">
        <v>2358</v>
      </c>
      <c r="AW297" s="17">
        <v>2358</v>
      </c>
      <c r="AX297" s="17">
        <v>1</v>
      </c>
      <c r="AY297" s="3" t="s">
        <v>300</v>
      </c>
      <c r="AZ297" s="3">
        <v>2260.84</v>
      </c>
      <c r="BA297" s="19">
        <v>36123.39</v>
      </c>
    </row>
    <row r="298" spans="1:53" x14ac:dyDescent="0.2">
      <c r="A298" s="17">
        <v>2364</v>
      </c>
      <c r="B298" s="17">
        <v>1</v>
      </c>
      <c r="C298" s="3" t="s">
        <v>1152</v>
      </c>
      <c r="D298" s="3">
        <f>Levy!F299</f>
        <v>373592</v>
      </c>
      <c r="E298" s="3">
        <f>Levy!G299</f>
        <v>62871</v>
      </c>
      <c r="F298" s="3">
        <f>Levy!H299</f>
        <v>0</v>
      </c>
      <c r="G298" s="3">
        <f>Levy!I299</f>
        <v>242845</v>
      </c>
      <c r="H298" s="217">
        <f>Levy!J299</f>
        <v>51878</v>
      </c>
      <c r="I298" s="219">
        <v>0</v>
      </c>
      <c r="J298" s="219">
        <v>1000</v>
      </c>
      <c r="K298" s="219">
        <v>29288.04</v>
      </c>
      <c r="L298" s="219">
        <v>0</v>
      </c>
      <c r="M298" s="219">
        <v>0</v>
      </c>
      <c r="N298" s="19">
        <v>0</v>
      </c>
      <c r="O298" s="19">
        <v>0</v>
      </c>
      <c r="P298" s="219">
        <v>146</v>
      </c>
      <c r="Q298" s="219">
        <v>0</v>
      </c>
      <c r="R298" s="219">
        <v>-3637.16</v>
      </c>
      <c r="S298" s="219">
        <v>0</v>
      </c>
      <c r="T298" s="19">
        <v>0</v>
      </c>
      <c r="U298" s="19">
        <v>0</v>
      </c>
      <c r="V298" s="19">
        <v>0</v>
      </c>
      <c r="W298" s="19">
        <v>0</v>
      </c>
      <c r="X298" s="19">
        <v>11.77</v>
      </c>
      <c r="Y298" s="217">
        <v>33392.53</v>
      </c>
      <c r="Z298" s="3">
        <f t="shared" si="25"/>
        <v>26796.880000000001</v>
      </c>
      <c r="AA298" s="3">
        <f t="shared" si="26"/>
        <v>278907.34999999998</v>
      </c>
      <c r="AB298" s="3">
        <f t="shared" si="28"/>
        <v>51878</v>
      </c>
      <c r="AC298" s="3">
        <f>ROUND(MAX(0,(D298-V298)*'Shift 14'!$B$2),2)</f>
        <v>0</v>
      </c>
      <c r="AD298" s="3">
        <f t="shared" si="27"/>
        <v>33392.53</v>
      </c>
      <c r="AE298" s="3">
        <f t="shared" si="29"/>
        <v>0</v>
      </c>
      <c r="AF298" s="214">
        <v>2364</v>
      </c>
      <c r="AG298" s="214">
        <v>1</v>
      </c>
      <c r="AH298" s="3">
        <v>0</v>
      </c>
      <c r="AI298" s="3">
        <v>0</v>
      </c>
      <c r="AJ298" s="3">
        <v>0</v>
      </c>
      <c r="AK298" s="3">
        <v>1000</v>
      </c>
      <c r="AL298" s="3">
        <v>29288.04</v>
      </c>
      <c r="AM298" s="3">
        <v>0</v>
      </c>
      <c r="AN298" s="3">
        <v>0</v>
      </c>
      <c r="AO298" s="3">
        <v>0</v>
      </c>
      <c r="AP298" s="3">
        <v>0</v>
      </c>
      <c r="AQ298" s="3">
        <v>146</v>
      </c>
      <c r="AR298" s="3">
        <v>0</v>
      </c>
      <c r="AS298" s="3">
        <v>-3637.16</v>
      </c>
      <c r="AT298" s="3">
        <v>0</v>
      </c>
      <c r="AU298" s="3">
        <f t="shared" si="30"/>
        <v>0</v>
      </c>
      <c r="AV298" s="17">
        <v>2364</v>
      </c>
      <c r="AW298" s="17">
        <v>2364</v>
      </c>
      <c r="AX298" s="17">
        <v>1</v>
      </c>
      <c r="AY298" s="3" t="s">
        <v>301</v>
      </c>
      <c r="AZ298" s="3">
        <v>11.77</v>
      </c>
      <c r="BA298" s="19">
        <v>33392.53</v>
      </c>
    </row>
    <row r="299" spans="1:53" x14ac:dyDescent="0.2">
      <c r="A299" s="17">
        <v>2365</v>
      </c>
      <c r="B299" s="17">
        <v>1</v>
      </c>
      <c r="C299" s="3" t="s">
        <v>302</v>
      </c>
      <c r="D299" s="3">
        <f>Levy!F300</f>
        <v>520195.5</v>
      </c>
      <c r="E299" s="3">
        <f>Levy!G300</f>
        <v>68618.009999999995</v>
      </c>
      <c r="F299" s="3">
        <f>Levy!H300</f>
        <v>0</v>
      </c>
      <c r="G299" s="3">
        <f>Levy!I300</f>
        <v>668765.36</v>
      </c>
      <c r="H299" s="217">
        <f>Levy!J300</f>
        <v>71548.47</v>
      </c>
      <c r="I299" s="219">
        <v>0</v>
      </c>
      <c r="J299" s="219">
        <v>7129.86</v>
      </c>
      <c r="K299" s="219">
        <v>29194.560000000001</v>
      </c>
      <c r="L299" s="219">
        <v>0</v>
      </c>
      <c r="M299" s="219">
        <v>0</v>
      </c>
      <c r="N299" s="19">
        <v>0</v>
      </c>
      <c r="O299" s="19">
        <v>0</v>
      </c>
      <c r="P299" s="219">
        <v>9299.66</v>
      </c>
      <c r="Q299" s="219">
        <v>0</v>
      </c>
      <c r="R299" s="219">
        <v>-3625.55</v>
      </c>
      <c r="S299" s="219">
        <v>0</v>
      </c>
      <c r="T299" s="19">
        <v>0</v>
      </c>
      <c r="U299" s="19">
        <v>0</v>
      </c>
      <c r="V299" s="19">
        <v>0</v>
      </c>
      <c r="W299" s="19">
        <v>0</v>
      </c>
      <c r="X299" s="19">
        <v>1584.22</v>
      </c>
      <c r="Y299" s="217">
        <v>150758.15</v>
      </c>
      <c r="Z299" s="3">
        <f t="shared" si="25"/>
        <v>41998.53</v>
      </c>
      <c r="AA299" s="3">
        <f t="shared" si="26"/>
        <v>693800.62</v>
      </c>
      <c r="AB299" s="3">
        <f t="shared" si="28"/>
        <v>71548.47</v>
      </c>
      <c r="AC299" s="3">
        <f>ROUND(MAX(0,(D299-V299)*'Shift 14'!$B$2),2)</f>
        <v>0</v>
      </c>
      <c r="AD299" s="3">
        <f t="shared" si="27"/>
        <v>150758.15</v>
      </c>
      <c r="AE299" s="3">
        <f t="shared" si="29"/>
        <v>0</v>
      </c>
      <c r="AF299" s="214">
        <v>2365</v>
      </c>
      <c r="AG299" s="214">
        <v>1</v>
      </c>
      <c r="AH299" s="3">
        <v>0</v>
      </c>
      <c r="AI299" s="3">
        <v>0</v>
      </c>
      <c r="AJ299" s="3">
        <v>25031.4</v>
      </c>
      <c r="AK299" s="3">
        <v>7129.86</v>
      </c>
      <c r="AL299" s="3">
        <v>29194.560000000001</v>
      </c>
      <c r="AM299" s="3">
        <v>0</v>
      </c>
      <c r="AN299" s="3">
        <v>0</v>
      </c>
      <c r="AO299" s="3">
        <v>0</v>
      </c>
      <c r="AP299" s="3">
        <v>0</v>
      </c>
      <c r="AQ299" s="3">
        <v>9299.66</v>
      </c>
      <c r="AR299" s="3">
        <v>0</v>
      </c>
      <c r="AS299" s="3">
        <v>-3625.55</v>
      </c>
      <c r="AT299" s="3">
        <v>0</v>
      </c>
      <c r="AU299" s="3">
        <f t="shared" si="30"/>
        <v>0</v>
      </c>
      <c r="AV299" s="17">
        <v>2365</v>
      </c>
      <c r="AW299" s="17">
        <v>2365</v>
      </c>
      <c r="AX299" s="17">
        <v>1</v>
      </c>
      <c r="AY299" s="3" t="s">
        <v>302</v>
      </c>
      <c r="AZ299" s="3">
        <v>1584.22</v>
      </c>
      <c r="BA299" s="19">
        <v>150758.15</v>
      </c>
    </row>
    <row r="300" spans="1:53" x14ac:dyDescent="0.2">
      <c r="A300" s="17">
        <v>2396</v>
      </c>
      <c r="B300" s="17">
        <v>1</v>
      </c>
      <c r="C300" s="3" t="s">
        <v>303</v>
      </c>
      <c r="D300" s="3">
        <f>Levy!F301</f>
        <v>638404</v>
      </c>
      <c r="E300" s="3">
        <f>Levy!G301</f>
        <v>162619</v>
      </c>
      <c r="F300" s="3">
        <f>Levy!H301</f>
        <v>0</v>
      </c>
      <c r="G300" s="3">
        <f>Levy!I301</f>
        <v>455671</v>
      </c>
      <c r="H300" s="217">
        <f>Levy!J301</f>
        <v>173166</v>
      </c>
      <c r="I300" s="219">
        <v>0</v>
      </c>
      <c r="J300" s="219">
        <v>10527</v>
      </c>
      <c r="K300" s="219">
        <v>20966.669999999998</v>
      </c>
      <c r="L300" s="219">
        <v>0</v>
      </c>
      <c r="M300" s="219">
        <v>0</v>
      </c>
      <c r="N300" s="19">
        <v>0</v>
      </c>
      <c r="O300" s="19">
        <v>0</v>
      </c>
      <c r="P300" s="219">
        <v>2.0299999999999998</v>
      </c>
      <c r="Q300" s="219">
        <v>0</v>
      </c>
      <c r="R300" s="219">
        <v>-2603.7600000000002</v>
      </c>
      <c r="S300" s="219">
        <v>0</v>
      </c>
      <c r="T300" s="19">
        <v>0</v>
      </c>
      <c r="U300" s="19">
        <v>0</v>
      </c>
      <c r="V300" s="19">
        <v>0</v>
      </c>
      <c r="W300" s="19">
        <v>0</v>
      </c>
      <c r="X300" s="19">
        <v>6520.58</v>
      </c>
      <c r="Y300" s="217">
        <v>102338.72</v>
      </c>
      <c r="Z300" s="3">
        <f t="shared" si="25"/>
        <v>28891.939999999995</v>
      </c>
      <c r="AA300" s="3">
        <f t="shared" si="26"/>
        <v>582877.48</v>
      </c>
      <c r="AB300" s="3">
        <f t="shared" si="28"/>
        <v>173166</v>
      </c>
      <c r="AC300" s="3">
        <f>ROUND(MAX(0,(D300-V300)*'Shift 14'!$B$2),2)</f>
        <v>0</v>
      </c>
      <c r="AD300" s="3">
        <f t="shared" si="27"/>
        <v>102338.72</v>
      </c>
      <c r="AE300" s="3">
        <f t="shared" si="29"/>
        <v>0</v>
      </c>
      <c r="AF300" s="214">
        <v>2396</v>
      </c>
      <c r="AG300" s="214">
        <v>1</v>
      </c>
      <c r="AH300" s="3">
        <v>0</v>
      </c>
      <c r="AI300" s="3">
        <v>0</v>
      </c>
      <c r="AJ300" s="3">
        <v>8664.65</v>
      </c>
      <c r="AK300" s="3">
        <v>10527</v>
      </c>
      <c r="AL300" s="3">
        <v>20966.669999999998</v>
      </c>
      <c r="AM300" s="3">
        <v>0</v>
      </c>
      <c r="AN300" s="3">
        <v>0</v>
      </c>
      <c r="AO300" s="3">
        <v>0</v>
      </c>
      <c r="AP300" s="3">
        <v>-732.51</v>
      </c>
      <c r="AQ300" s="3">
        <v>2.0299999999999998</v>
      </c>
      <c r="AR300" s="3">
        <v>0</v>
      </c>
      <c r="AS300" s="3">
        <v>-2603.7600000000002</v>
      </c>
      <c r="AT300" s="3">
        <v>0</v>
      </c>
      <c r="AU300" s="3">
        <f t="shared" si="30"/>
        <v>0</v>
      </c>
      <c r="AV300" s="17">
        <v>2396</v>
      </c>
      <c r="AW300" s="17">
        <v>2396</v>
      </c>
      <c r="AX300" s="17">
        <v>1</v>
      </c>
      <c r="AY300" s="3" t="s">
        <v>303</v>
      </c>
      <c r="AZ300" s="3">
        <v>6520.58</v>
      </c>
      <c r="BA300" s="19">
        <v>102338.72</v>
      </c>
    </row>
    <row r="301" spans="1:53" x14ac:dyDescent="0.2">
      <c r="A301" s="17">
        <v>2397</v>
      </c>
      <c r="B301" s="17">
        <v>1</v>
      </c>
      <c r="C301" s="3" t="s">
        <v>1151</v>
      </c>
      <c r="D301" s="3">
        <f>Levy!F302</f>
        <v>314151.77</v>
      </c>
      <c r="E301" s="3">
        <f>Levy!G302</f>
        <v>460031.82</v>
      </c>
      <c r="F301" s="3">
        <f>Levy!H302</f>
        <v>0</v>
      </c>
      <c r="G301" s="3">
        <f>Levy!I302</f>
        <v>479517.76</v>
      </c>
      <c r="H301" s="217">
        <f>Levy!J302</f>
        <v>98722.04</v>
      </c>
      <c r="I301" s="219">
        <v>0</v>
      </c>
      <c r="J301" s="219">
        <v>2306</v>
      </c>
      <c r="K301" s="219">
        <v>33867.449999999997</v>
      </c>
      <c r="L301" s="219">
        <v>0</v>
      </c>
      <c r="M301" s="219">
        <v>0</v>
      </c>
      <c r="N301" s="19">
        <v>0</v>
      </c>
      <c r="O301" s="19">
        <v>0</v>
      </c>
      <c r="P301" s="219">
        <v>1880.98</v>
      </c>
      <c r="Q301" s="219">
        <v>0</v>
      </c>
      <c r="R301" s="219">
        <v>-6278.7</v>
      </c>
      <c r="S301" s="219">
        <v>0</v>
      </c>
      <c r="T301" s="19">
        <v>0</v>
      </c>
      <c r="U301" s="19">
        <v>0</v>
      </c>
      <c r="V301" s="19">
        <v>0</v>
      </c>
      <c r="W301" s="19">
        <v>0</v>
      </c>
      <c r="X301" s="19">
        <v>0</v>
      </c>
      <c r="Y301" s="217">
        <v>75648.160000000003</v>
      </c>
      <c r="Z301" s="3">
        <f t="shared" si="25"/>
        <v>31775.73</v>
      </c>
      <c r="AA301" s="3">
        <f t="shared" si="26"/>
        <v>907773.85</v>
      </c>
      <c r="AB301" s="3">
        <f t="shared" si="28"/>
        <v>98722.04</v>
      </c>
      <c r="AC301" s="3">
        <f>ROUND(MAX(0,(D301-V301)*'Shift 14'!$B$2),2)</f>
        <v>0</v>
      </c>
      <c r="AD301" s="3">
        <f t="shared" si="27"/>
        <v>75648.160000000003</v>
      </c>
      <c r="AE301" s="3">
        <f t="shared" si="29"/>
        <v>0</v>
      </c>
      <c r="AF301" s="214">
        <v>2397</v>
      </c>
      <c r="AG301" s="214">
        <v>1</v>
      </c>
      <c r="AH301" s="3">
        <v>0</v>
      </c>
      <c r="AI301" s="3">
        <v>0</v>
      </c>
      <c r="AJ301" s="3">
        <v>0</v>
      </c>
      <c r="AK301" s="3">
        <v>2306</v>
      </c>
      <c r="AL301" s="3">
        <v>33867.449999999997</v>
      </c>
      <c r="AM301" s="3">
        <v>0</v>
      </c>
      <c r="AN301" s="3">
        <v>0</v>
      </c>
      <c r="AO301" s="3">
        <v>0</v>
      </c>
      <c r="AP301" s="3">
        <v>0</v>
      </c>
      <c r="AQ301" s="3">
        <v>1880.98</v>
      </c>
      <c r="AR301" s="3">
        <v>0</v>
      </c>
      <c r="AS301" s="3">
        <v>-6278.7</v>
      </c>
      <c r="AT301" s="3">
        <v>0</v>
      </c>
      <c r="AU301" s="3">
        <f t="shared" si="30"/>
        <v>0</v>
      </c>
      <c r="AV301" s="17">
        <v>2397</v>
      </c>
      <c r="AW301" s="17">
        <v>2397</v>
      </c>
      <c r="AX301" s="17">
        <v>1</v>
      </c>
      <c r="AY301" s="3" t="s">
        <v>304</v>
      </c>
      <c r="AZ301" s="3">
        <v>0</v>
      </c>
      <c r="BA301" s="19">
        <v>75648.160000000003</v>
      </c>
    </row>
    <row r="302" spans="1:53" x14ac:dyDescent="0.2">
      <c r="A302" s="17">
        <v>2448</v>
      </c>
      <c r="B302" s="17">
        <v>1</v>
      </c>
      <c r="C302" s="3" t="s">
        <v>1150</v>
      </c>
      <c r="D302" s="3">
        <f>Levy!F303</f>
        <v>1026753</v>
      </c>
      <c r="E302" s="3">
        <f>Levy!G303</f>
        <v>49973</v>
      </c>
      <c r="F302" s="3">
        <f>Levy!H303</f>
        <v>0</v>
      </c>
      <c r="G302" s="3">
        <f>Levy!I303</f>
        <v>569774</v>
      </c>
      <c r="H302" s="217">
        <f>Levy!J303</f>
        <v>67513</v>
      </c>
      <c r="I302" s="219">
        <v>0</v>
      </c>
      <c r="J302" s="219">
        <v>10000</v>
      </c>
      <c r="K302" s="219">
        <v>30976.68</v>
      </c>
      <c r="L302" s="219">
        <v>0</v>
      </c>
      <c r="M302" s="219">
        <v>0</v>
      </c>
      <c r="N302" s="19">
        <v>0</v>
      </c>
      <c r="O302" s="19">
        <v>0</v>
      </c>
      <c r="P302" s="219">
        <v>-5557.2</v>
      </c>
      <c r="Q302" s="219">
        <v>0</v>
      </c>
      <c r="R302" s="219">
        <v>-3846.86</v>
      </c>
      <c r="S302" s="219">
        <v>0</v>
      </c>
      <c r="T302" s="19">
        <v>0</v>
      </c>
      <c r="U302" s="19">
        <v>0</v>
      </c>
      <c r="V302" s="19">
        <v>0</v>
      </c>
      <c r="W302" s="19">
        <v>0</v>
      </c>
      <c r="X302" s="19">
        <v>0</v>
      </c>
      <c r="Y302" s="217">
        <v>221365</v>
      </c>
      <c r="Z302" s="3">
        <f t="shared" si="25"/>
        <v>31572.620000000003</v>
      </c>
      <c r="AA302" s="3">
        <f t="shared" si="26"/>
        <v>588174.38</v>
      </c>
      <c r="AB302" s="3">
        <f t="shared" si="28"/>
        <v>67513</v>
      </c>
      <c r="AC302" s="3">
        <f>ROUND(MAX(0,(D302-V302)*'Shift 14'!$B$2),2)</f>
        <v>0</v>
      </c>
      <c r="AD302" s="3">
        <f t="shared" si="27"/>
        <v>221365</v>
      </c>
      <c r="AE302" s="3">
        <f t="shared" si="29"/>
        <v>0</v>
      </c>
      <c r="AF302" s="214">
        <v>2448</v>
      </c>
      <c r="AG302" s="214">
        <v>1</v>
      </c>
      <c r="AH302" s="3">
        <v>0</v>
      </c>
      <c r="AI302" s="3">
        <v>0</v>
      </c>
      <c r="AJ302" s="3">
        <v>10960.81</v>
      </c>
      <c r="AK302" s="3">
        <v>10000</v>
      </c>
      <c r="AL302" s="3">
        <v>30976.68</v>
      </c>
      <c r="AM302" s="3">
        <v>0</v>
      </c>
      <c r="AN302" s="3">
        <v>0</v>
      </c>
      <c r="AO302" s="3">
        <v>0</v>
      </c>
      <c r="AP302" s="3">
        <v>-1044.21</v>
      </c>
      <c r="AQ302" s="3">
        <v>-5557.2</v>
      </c>
      <c r="AR302" s="3">
        <v>0</v>
      </c>
      <c r="AS302" s="3">
        <v>-3846.86</v>
      </c>
      <c r="AT302" s="3">
        <v>0</v>
      </c>
      <c r="AU302" s="3">
        <f t="shared" si="30"/>
        <v>0</v>
      </c>
      <c r="AV302" s="17">
        <v>2448</v>
      </c>
      <c r="AW302" s="17">
        <v>2448</v>
      </c>
      <c r="AX302" s="17">
        <v>1</v>
      </c>
      <c r="AY302" s="3" t="s">
        <v>305</v>
      </c>
      <c r="AZ302" s="3">
        <v>0</v>
      </c>
      <c r="BA302" s="19">
        <v>221365</v>
      </c>
    </row>
    <row r="303" spans="1:53" x14ac:dyDescent="0.2">
      <c r="A303" s="17">
        <v>2527</v>
      </c>
      <c r="B303" s="17">
        <v>1</v>
      </c>
      <c r="C303" s="3" t="s">
        <v>1149</v>
      </c>
      <c r="D303" s="3">
        <f>Levy!F304</f>
        <v>240965.02</v>
      </c>
      <c r="E303" s="3">
        <f>Levy!G304</f>
        <v>12063.63</v>
      </c>
      <c r="F303" s="3">
        <f>Levy!H304</f>
        <v>0</v>
      </c>
      <c r="G303" s="3">
        <f>Levy!I304</f>
        <v>225456.49</v>
      </c>
      <c r="H303" s="217">
        <f>Levy!J304</f>
        <v>24458.28</v>
      </c>
      <c r="I303" s="219">
        <v>0</v>
      </c>
      <c r="J303" s="219">
        <v>98.5</v>
      </c>
      <c r="K303" s="219">
        <v>42905.41</v>
      </c>
      <c r="L303" s="219">
        <v>0</v>
      </c>
      <c r="M303" s="219">
        <v>0</v>
      </c>
      <c r="N303" s="19">
        <v>0</v>
      </c>
      <c r="O303" s="19">
        <v>0</v>
      </c>
      <c r="P303" s="219">
        <v>162.68</v>
      </c>
      <c r="Q303" s="219">
        <v>0</v>
      </c>
      <c r="R303" s="219">
        <v>-24000</v>
      </c>
      <c r="S303" s="219">
        <v>0</v>
      </c>
      <c r="T303" s="19">
        <v>0</v>
      </c>
      <c r="U303" s="19">
        <v>0</v>
      </c>
      <c r="V303" s="19">
        <v>0</v>
      </c>
      <c r="W303" s="19">
        <v>0</v>
      </c>
      <c r="X303" s="19">
        <v>0</v>
      </c>
      <c r="Y303" s="217">
        <v>61388.37</v>
      </c>
      <c r="Z303" s="3">
        <f t="shared" si="25"/>
        <v>19166.590000000004</v>
      </c>
      <c r="AA303" s="3">
        <f t="shared" si="26"/>
        <v>218353.53</v>
      </c>
      <c r="AB303" s="3">
        <f t="shared" si="28"/>
        <v>24458.28</v>
      </c>
      <c r="AC303" s="3">
        <f>ROUND(MAX(0,(D303-V303)*'Shift 14'!$B$2),2)</f>
        <v>0</v>
      </c>
      <c r="AD303" s="3">
        <f t="shared" si="27"/>
        <v>61388.37</v>
      </c>
      <c r="AE303" s="3">
        <f t="shared" si="29"/>
        <v>0</v>
      </c>
      <c r="AF303" s="214">
        <v>2527</v>
      </c>
      <c r="AG303" s="214">
        <v>1</v>
      </c>
      <c r="AH303" s="3">
        <v>0</v>
      </c>
      <c r="AI303" s="3">
        <v>0</v>
      </c>
      <c r="AJ303" s="3">
        <v>0</v>
      </c>
      <c r="AK303" s="3">
        <v>98.5</v>
      </c>
      <c r="AL303" s="3">
        <v>42905.41</v>
      </c>
      <c r="AM303" s="3">
        <v>0</v>
      </c>
      <c r="AN303" s="3">
        <v>0</v>
      </c>
      <c r="AO303" s="3">
        <v>0</v>
      </c>
      <c r="AP303" s="3">
        <v>0</v>
      </c>
      <c r="AQ303" s="3">
        <v>162.68</v>
      </c>
      <c r="AR303" s="3">
        <v>0</v>
      </c>
      <c r="AS303" s="3">
        <v>-24000</v>
      </c>
      <c r="AT303" s="3">
        <v>0</v>
      </c>
      <c r="AU303" s="3">
        <f t="shared" si="30"/>
        <v>0</v>
      </c>
      <c r="AV303" s="17">
        <v>2527</v>
      </c>
      <c r="AW303" s="17">
        <v>2527</v>
      </c>
      <c r="AX303" s="17">
        <v>1</v>
      </c>
      <c r="AY303" s="3" t="s">
        <v>306</v>
      </c>
      <c r="AZ303" s="3">
        <v>0</v>
      </c>
      <c r="BA303" s="19">
        <v>61388.37</v>
      </c>
    </row>
    <row r="304" spans="1:53" x14ac:dyDescent="0.2">
      <c r="A304" s="17">
        <v>2534</v>
      </c>
      <c r="B304" s="17">
        <v>1</v>
      </c>
      <c r="C304" s="3" t="s">
        <v>1148</v>
      </c>
      <c r="D304" s="3">
        <f>Levy!F305</f>
        <v>318795.75</v>
      </c>
      <c r="E304" s="3">
        <f>Levy!G305</f>
        <v>63378.69</v>
      </c>
      <c r="F304" s="3">
        <f>Levy!H305</f>
        <v>0</v>
      </c>
      <c r="G304" s="3">
        <f>Levy!I305</f>
        <v>444550.67</v>
      </c>
      <c r="H304" s="217">
        <f>Levy!J305</f>
        <v>71494.39</v>
      </c>
      <c r="I304" s="219">
        <v>0</v>
      </c>
      <c r="J304" s="219">
        <v>5000</v>
      </c>
      <c r="K304" s="219">
        <v>28127.19</v>
      </c>
      <c r="L304" s="219">
        <v>0</v>
      </c>
      <c r="M304" s="219">
        <v>0</v>
      </c>
      <c r="N304" s="19">
        <v>0</v>
      </c>
      <c r="O304" s="19">
        <v>0</v>
      </c>
      <c r="P304" s="219">
        <v>-11541.33</v>
      </c>
      <c r="Q304" s="219">
        <v>0</v>
      </c>
      <c r="R304" s="219">
        <v>-3493</v>
      </c>
      <c r="S304" s="219">
        <v>0</v>
      </c>
      <c r="T304" s="19">
        <v>0</v>
      </c>
      <c r="U304" s="19">
        <v>0</v>
      </c>
      <c r="V304" s="19">
        <v>0</v>
      </c>
      <c r="W304" s="19">
        <v>0</v>
      </c>
      <c r="X304" s="19">
        <v>0</v>
      </c>
      <c r="Y304" s="217">
        <v>96802.28</v>
      </c>
      <c r="Z304" s="3">
        <f t="shared" si="25"/>
        <v>18092.86</v>
      </c>
      <c r="AA304" s="3">
        <f t="shared" si="26"/>
        <v>489836.5</v>
      </c>
      <c r="AB304" s="3">
        <f t="shared" si="28"/>
        <v>71494.39</v>
      </c>
      <c r="AC304" s="3">
        <f>ROUND(MAX(0,(D304-V304)*'Shift 14'!$B$2),2)</f>
        <v>0</v>
      </c>
      <c r="AD304" s="3">
        <f t="shared" si="27"/>
        <v>96802.28</v>
      </c>
      <c r="AE304" s="3">
        <f t="shared" si="29"/>
        <v>0</v>
      </c>
      <c r="AF304" s="214">
        <v>2534</v>
      </c>
      <c r="AG304" s="214">
        <v>1</v>
      </c>
      <c r="AH304" s="3">
        <v>0</v>
      </c>
      <c r="AI304" s="3">
        <v>0</v>
      </c>
      <c r="AJ304" s="3">
        <v>19376.689999999999</v>
      </c>
      <c r="AK304" s="3">
        <v>5000</v>
      </c>
      <c r="AL304" s="3">
        <v>28127.19</v>
      </c>
      <c r="AM304" s="3">
        <v>0</v>
      </c>
      <c r="AN304" s="3">
        <v>0</v>
      </c>
      <c r="AO304" s="3">
        <v>0</v>
      </c>
      <c r="AP304" s="3">
        <v>0</v>
      </c>
      <c r="AQ304" s="3">
        <v>-11541.33</v>
      </c>
      <c r="AR304" s="3">
        <v>0</v>
      </c>
      <c r="AS304" s="3">
        <v>-3493</v>
      </c>
      <c r="AT304" s="3">
        <v>0</v>
      </c>
      <c r="AU304" s="3">
        <f t="shared" si="30"/>
        <v>0</v>
      </c>
      <c r="AV304" s="17">
        <v>2534</v>
      </c>
      <c r="AW304" s="17">
        <v>2534</v>
      </c>
      <c r="AX304" s="17">
        <v>1</v>
      </c>
      <c r="AY304" s="3" t="s">
        <v>307</v>
      </c>
      <c r="AZ304" s="3">
        <v>0</v>
      </c>
      <c r="BA304" s="19">
        <v>96802.28</v>
      </c>
    </row>
    <row r="305" spans="1:53" x14ac:dyDescent="0.2">
      <c r="A305" s="17">
        <v>2536</v>
      </c>
      <c r="B305" s="17">
        <v>1</v>
      </c>
      <c r="C305" s="3" t="s">
        <v>1146</v>
      </c>
      <c r="D305" s="3">
        <f>Levy!F306</f>
        <v>524871</v>
      </c>
      <c r="E305" s="3">
        <f>Levy!G306</f>
        <v>9774</v>
      </c>
      <c r="F305" s="3">
        <f>Levy!H306</f>
        <v>0</v>
      </c>
      <c r="G305" s="3">
        <f>Levy!I306</f>
        <v>161902</v>
      </c>
      <c r="H305" s="217">
        <f>Levy!J306</f>
        <v>36009</v>
      </c>
      <c r="I305" s="219">
        <v>0</v>
      </c>
      <c r="J305" s="219">
        <v>10000</v>
      </c>
      <c r="K305" s="219">
        <v>0</v>
      </c>
      <c r="L305" s="219">
        <v>0</v>
      </c>
      <c r="M305" s="219">
        <v>0</v>
      </c>
      <c r="N305" s="19">
        <v>0</v>
      </c>
      <c r="O305" s="19">
        <v>0</v>
      </c>
      <c r="P305" s="219">
        <v>-10000</v>
      </c>
      <c r="Q305" s="219">
        <v>0</v>
      </c>
      <c r="R305" s="219">
        <v>0</v>
      </c>
      <c r="S305" s="219">
        <v>0</v>
      </c>
      <c r="T305" s="19">
        <v>0</v>
      </c>
      <c r="U305" s="19">
        <v>0</v>
      </c>
      <c r="V305" s="19">
        <v>0</v>
      </c>
      <c r="W305" s="19">
        <v>0</v>
      </c>
      <c r="X305" s="19">
        <v>0</v>
      </c>
      <c r="Y305" s="217">
        <v>112538.9</v>
      </c>
      <c r="Z305" s="3">
        <f t="shared" si="25"/>
        <v>0</v>
      </c>
      <c r="AA305" s="3">
        <f t="shared" si="26"/>
        <v>171676</v>
      </c>
      <c r="AB305" s="3">
        <f t="shared" si="28"/>
        <v>36009</v>
      </c>
      <c r="AC305" s="3">
        <f>ROUND(MAX(0,(D305-V305)*'Shift 14'!$B$2),2)</f>
        <v>0</v>
      </c>
      <c r="AD305" s="3">
        <f t="shared" si="27"/>
        <v>112538.9</v>
      </c>
      <c r="AE305" s="3">
        <f t="shared" si="29"/>
        <v>0</v>
      </c>
      <c r="AF305" s="214">
        <v>2536</v>
      </c>
      <c r="AG305" s="214">
        <v>1</v>
      </c>
      <c r="AH305" s="3">
        <v>0</v>
      </c>
      <c r="AI305" s="3">
        <v>0</v>
      </c>
      <c r="AJ305" s="3">
        <v>0</v>
      </c>
      <c r="AK305" s="3">
        <v>10000</v>
      </c>
      <c r="AL305" s="3">
        <v>0</v>
      </c>
      <c r="AM305" s="3">
        <v>0</v>
      </c>
      <c r="AN305" s="3">
        <v>0</v>
      </c>
      <c r="AO305" s="3">
        <v>0</v>
      </c>
      <c r="AP305" s="3">
        <v>0</v>
      </c>
      <c r="AQ305" s="3">
        <v>-10000</v>
      </c>
      <c r="AR305" s="3">
        <v>0</v>
      </c>
      <c r="AS305" s="3">
        <v>0</v>
      </c>
      <c r="AT305" s="3">
        <v>0</v>
      </c>
      <c r="AU305" s="3">
        <f t="shared" si="30"/>
        <v>0</v>
      </c>
      <c r="AV305" s="17">
        <v>2536</v>
      </c>
      <c r="AW305" s="17">
        <v>2536</v>
      </c>
      <c r="AX305" s="17">
        <v>1</v>
      </c>
      <c r="AY305" s="3" t="s">
        <v>308</v>
      </c>
      <c r="AZ305" s="3">
        <v>0</v>
      </c>
      <c r="BA305" s="19">
        <v>112538.9</v>
      </c>
    </row>
    <row r="306" spans="1:53" x14ac:dyDescent="0.2">
      <c r="A306" s="17">
        <v>2580</v>
      </c>
      <c r="B306" s="17">
        <v>1</v>
      </c>
      <c r="C306" s="3" t="s">
        <v>1147</v>
      </c>
      <c r="D306" s="3">
        <f>Levy!F307</f>
        <v>0</v>
      </c>
      <c r="E306" s="3">
        <f>Levy!G307</f>
        <v>147041.12</v>
      </c>
      <c r="F306" s="3">
        <f>Levy!H307</f>
        <v>0</v>
      </c>
      <c r="G306" s="3">
        <f>Levy!I307</f>
        <v>278858.21999999997</v>
      </c>
      <c r="H306" s="217">
        <f>Levy!J307</f>
        <v>58922.81</v>
      </c>
      <c r="I306" s="219">
        <v>0</v>
      </c>
      <c r="J306" s="219">
        <v>60000</v>
      </c>
      <c r="K306" s="219">
        <v>19161.61</v>
      </c>
      <c r="L306" s="219">
        <v>0</v>
      </c>
      <c r="M306" s="219">
        <v>0</v>
      </c>
      <c r="N306" s="19">
        <v>0</v>
      </c>
      <c r="O306" s="19">
        <v>0</v>
      </c>
      <c r="P306" s="219">
        <v>33379.75</v>
      </c>
      <c r="Q306" s="219">
        <v>0</v>
      </c>
      <c r="R306" s="219">
        <v>-9694.83</v>
      </c>
      <c r="S306" s="219">
        <v>0</v>
      </c>
      <c r="T306" s="19">
        <v>0</v>
      </c>
      <c r="U306" s="19">
        <v>0</v>
      </c>
      <c r="V306" s="19">
        <v>0</v>
      </c>
      <c r="W306" s="19">
        <v>0</v>
      </c>
      <c r="X306" s="19">
        <v>0</v>
      </c>
      <c r="Y306" s="217">
        <v>47527.08</v>
      </c>
      <c r="Z306" s="3">
        <f t="shared" si="25"/>
        <v>102846.53</v>
      </c>
      <c r="AA306" s="3">
        <f t="shared" si="26"/>
        <v>323052.81</v>
      </c>
      <c r="AB306" s="3">
        <f t="shared" si="28"/>
        <v>58922.81</v>
      </c>
      <c r="AC306" s="3">
        <f>ROUND(MAX(0,(D306-V306)*'Shift 14'!$B$2),2)</f>
        <v>0</v>
      </c>
      <c r="AD306" s="3">
        <f t="shared" si="27"/>
        <v>47527.08</v>
      </c>
      <c r="AE306" s="3">
        <f t="shared" si="29"/>
        <v>0</v>
      </c>
      <c r="AF306" s="214">
        <v>2580</v>
      </c>
      <c r="AG306" s="214">
        <v>1</v>
      </c>
      <c r="AH306" s="3">
        <v>0</v>
      </c>
      <c r="AI306" s="3">
        <v>0</v>
      </c>
      <c r="AJ306" s="3">
        <v>15620.27</v>
      </c>
      <c r="AK306" s="3">
        <v>60000</v>
      </c>
      <c r="AL306" s="3">
        <v>19161.61</v>
      </c>
      <c r="AM306" s="3">
        <v>0</v>
      </c>
      <c r="AN306" s="3">
        <v>0</v>
      </c>
      <c r="AO306" s="3">
        <v>0</v>
      </c>
      <c r="AP306" s="3">
        <v>0</v>
      </c>
      <c r="AQ306" s="3">
        <v>33379.75</v>
      </c>
      <c r="AR306" s="3">
        <v>0</v>
      </c>
      <c r="AS306" s="3">
        <v>-9694.83</v>
      </c>
      <c r="AT306" s="3">
        <v>0</v>
      </c>
      <c r="AU306" s="3">
        <f t="shared" si="30"/>
        <v>0</v>
      </c>
      <c r="AV306" s="17">
        <v>2580</v>
      </c>
      <c r="AW306" s="17">
        <v>2580</v>
      </c>
      <c r="AX306" s="17">
        <v>1</v>
      </c>
      <c r="AY306" s="3" t="s">
        <v>309</v>
      </c>
      <c r="AZ306" s="3">
        <v>0</v>
      </c>
      <c r="BA306" s="19">
        <v>47527.08</v>
      </c>
    </row>
    <row r="307" spans="1:53" x14ac:dyDescent="0.2">
      <c r="A307" s="17">
        <v>2609</v>
      </c>
      <c r="B307" s="17">
        <v>1</v>
      </c>
      <c r="C307" s="3" t="s">
        <v>310</v>
      </c>
      <c r="D307" s="3">
        <f>Levy!F308</f>
        <v>334288.49</v>
      </c>
      <c r="E307" s="3">
        <f>Levy!G308</f>
        <v>27208.51</v>
      </c>
      <c r="F307" s="3">
        <f>Levy!H308</f>
        <v>0</v>
      </c>
      <c r="G307" s="3">
        <f>Levy!I308</f>
        <v>155787.76</v>
      </c>
      <c r="H307" s="217">
        <f>Levy!J308</f>
        <v>36079.410000000003</v>
      </c>
      <c r="I307" s="219">
        <v>0</v>
      </c>
      <c r="J307" s="219">
        <v>0</v>
      </c>
      <c r="K307" s="219">
        <v>14763.75</v>
      </c>
      <c r="L307" s="219">
        <v>0</v>
      </c>
      <c r="M307" s="219">
        <v>0</v>
      </c>
      <c r="N307" s="19">
        <v>0</v>
      </c>
      <c r="O307" s="19">
        <v>0</v>
      </c>
      <c r="P307" s="219">
        <v>-853.76</v>
      </c>
      <c r="Q307" s="219">
        <v>0</v>
      </c>
      <c r="R307" s="219">
        <v>-2139.0500000000002</v>
      </c>
      <c r="S307" s="219">
        <v>0</v>
      </c>
      <c r="T307" s="19">
        <v>0</v>
      </c>
      <c r="U307" s="19">
        <v>0</v>
      </c>
      <c r="V307" s="19">
        <v>0</v>
      </c>
      <c r="W307" s="19">
        <v>0</v>
      </c>
      <c r="X307" s="19">
        <v>2194.98</v>
      </c>
      <c r="Y307" s="217">
        <v>16182.82</v>
      </c>
      <c r="Z307" s="3">
        <f t="shared" si="25"/>
        <v>11770.939999999999</v>
      </c>
      <c r="AA307" s="3">
        <f t="shared" si="26"/>
        <v>169030.35</v>
      </c>
      <c r="AB307" s="3">
        <f t="shared" si="28"/>
        <v>36079.410000000003</v>
      </c>
      <c r="AC307" s="3">
        <f>ROUND(MAX(0,(D307-V307)*'Shift 14'!$B$2),2)</f>
        <v>0</v>
      </c>
      <c r="AD307" s="3">
        <f t="shared" si="27"/>
        <v>16182.82</v>
      </c>
      <c r="AE307" s="3">
        <f t="shared" si="29"/>
        <v>0</v>
      </c>
      <c r="AF307" s="214">
        <v>2609</v>
      </c>
      <c r="AG307" s="214">
        <v>1</v>
      </c>
      <c r="AH307" s="3">
        <v>0</v>
      </c>
      <c r="AI307" s="3">
        <v>0</v>
      </c>
      <c r="AJ307" s="3">
        <v>0</v>
      </c>
      <c r="AK307" s="3">
        <v>0</v>
      </c>
      <c r="AL307" s="3">
        <v>14763.75</v>
      </c>
      <c r="AM307" s="3">
        <v>0</v>
      </c>
      <c r="AN307" s="3">
        <v>0</v>
      </c>
      <c r="AO307" s="3">
        <v>0</v>
      </c>
      <c r="AP307" s="3">
        <v>0</v>
      </c>
      <c r="AQ307" s="3">
        <v>-853.76</v>
      </c>
      <c r="AR307" s="3">
        <v>0</v>
      </c>
      <c r="AS307" s="3">
        <v>-2139.0500000000002</v>
      </c>
      <c r="AT307" s="3">
        <v>0</v>
      </c>
      <c r="AU307" s="3">
        <f t="shared" si="30"/>
        <v>0</v>
      </c>
      <c r="AV307" s="17">
        <v>2609</v>
      </c>
      <c r="AW307" s="17">
        <v>2609</v>
      </c>
      <c r="AX307" s="17">
        <v>1</v>
      </c>
      <c r="AY307" s="3" t="s">
        <v>310</v>
      </c>
      <c r="AZ307" s="3">
        <v>2194.98</v>
      </c>
      <c r="BA307" s="19">
        <v>16182.82</v>
      </c>
    </row>
    <row r="308" spans="1:53" x14ac:dyDescent="0.2">
      <c r="A308" s="17">
        <v>2683</v>
      </c>
      <c r="B308" s="17">
        <v>1</v>
      </c>
      <c r="C308" s="3" t="s">
        <v>1145</v>
      </c>
      <c r="D308" s="3">
        <f>Levy!F309</f>
        <v>223939</v>
      </c>
      <c r="E308" s="3">
        <f>Levy!G309</f>
        <v>12871</v>
      </c>
      <c r="F308" s="3">
        <f>Levy!H309</f>
        <v>0</v>
      </c>
      <c r="G308" s="3">
        <f>Levy!I309</f>
        <v>116982</v>
      </c>
      <c r="H308" s="217">
        <f>Levy!J309</f>
        <v>31419</v>
      </c>
      <c r="I308" s="219">
        <v>0</v>
      </c>
      <c r="J308" s="219">
        <v>0</v>
      </c>
      <c r="K308" s="219">
        <v>0</v>
      </c>
      <c r="L308" s="219">
        <v>0</v>
      </c>
      <c r="M308" s="219">
        <v>0</v>
      </c>
      <c r="N308" s="19">
        <v>0</v>
      </c>
      <c r="O308" s="19">
        <v>0</v>
      </c>
      <c r="P308" s="219">
        <v>-16.149999999999999</v>
      </c>
      <c r="Q308" s="219">
        <v>0</v>
      </c>
      <c r="R308" s="219">
        <v>-545.23</v>
      </c>
      <c r="S308" s="219">
        <v>0</v>
      </c>
      <c r="T308" s="19">
        <v>0</v>
      </c>
      <c r="U308" s="19">
        <v>0</v>
      </c>
      <c r="V308" s="19">
        <v>0</v>
      </c>
      <c r="W308" s="19">
        <v>0</v>
      </c>
      <c r="X308" s="19">
        <v>0</v>
      </c>
      <c r="Y308" s="217">
        <v>57512.51</v>
      </c>
      <c r="Z308" s="3">
        <f t="shared" si="25"/>
        <v>-561.38</v>
      </c>
      <c r="AA308" s="3">
        <f t="shared" si="26"/>
        <v>130414.38</v>
      </c>
      <c r="AB308" s="3">
        <f t="shared" si="28"/>
        <v>31419</v>
      </c>
      <c r="AC308" s="3">
        <f>ROUND(MAX(0,(D308-V308)*'Shift 14'!$B$2),2)</f>
        <v>0</v>
      </c>
      <c r="AD308" s="3">
        <f t="shared" si="27"/>
        <v>57512.51</v>
      </c>
      <c r="AE308" s="3">
        <f t="shared" si="29"/>
        <v>0</v>
      </c>
      <c r="AF308" s="214">
        <v>2683</v>
      </c>
      <c r="AG308" s="214">
        <v>1</v>
      </c>
      <c r="AH308" s="3">
        <v>0</v>
      </c>
      <c r="AI308" s="3">
        <v>0</v>
      </c>
      <c r="AJ308" s="3">
        <v>0</v>
      </c>
      <c r="AK308" s="3">
        <v>0</v>
      </c>
      <c r="AL308" s="3">
        <v>0</v>
      </c>
      <c r="AM308" s="3">
        <v>0</v>
      </c>
      <c r="AN308" s="3">
        <v>0</v>
      </c>
      <c r="AO308" s="3">
        <v>0</v>
      </c>
      <c r="AP308" s="3">
        <v>0</v>
      </c>
      <c r="AQ308" s="3">
        <v>-16.149999999999999</v>
      </c>
      <c r="AR308" s="3">
        <v>0</v>
      </c>
      <c r="AS308" s="3">
        <v>-545.23</v>
      </c>
      <c r="AT308" s="3">
        <v>0</v>
      </c>
      <c r="AU308" s="3">
        <f t="shared" si="30"/>
        <v>0</v>
      </c>
      <c r="AV308" s="17">
        <v>2683</v>
      </c>
      <c r="AW308" s="17">
        <v>2683</v>
      </c>
      <c r="AX308" s="17">
        <v>1</v>
      </c>
      <c r="AY308" s="3" t="s">
        <v>311</v>
      </c>
      <c r="AZ308" s="3">
        <v>0</v>
      </c>
      <c r="BA308" s="19">
        <v>57512.51</v>
      </c>
    </row>
    <row r="309" spans="1:53" x14ac:dyDescent="0.2">
      <c r="A309" s="17">
        <v>2687</v>
      </c>
      <c r="B309" s="17">
        <v>1</v>
      </c>
      <c r="C309" s="3" t="s">
        <v>1144</v>
      </c>
      <c r="D309" s="3">
        <f>Levy!F310</f>
        <v>261893.94</v>
      </c>
      <c r="E309" s="3">
        <f>Levy!G310</f>
        <v>511190.28</v>
      </c>
      <c r="F309" s="3">
        <f>Levy!H310</f>
        <v>0</v>
      </c>
      <c r="G309" s="3">
        <f>Levy!I310</f>
        <v>493535.02</v>
      </c>
      <c r="H309" s="217">
        <f>Levy!J310</f>
        <v>116202.03</v>
      </c>
      <c r="I309" s="219">
        <v>0</v>
      </c>
      <c r="J309" s="219">
        <v>8000</v>
      </c>
      <c r="K309" s="219">
        <v>23406.26</v>
      </c>
      <c r="L309" s="219">
        <v>0</v>
      </c>
      <c r="M309" s="219">
        <v>0</v>
      </c>
      <c r="N309" s="19">
        <v>0</v>
      </c>
      <c r="O309" s="19">
        <v>0</v>
      </c>
      <c r="P309" s="219">
        <v>8156.85</v>
      </c>
      <c r="Q309" s="219">
        <v>0</v>
      </c>
      <c r="R309" s="219">
        <v>-3881.82</v>
      </c>
      <c r="S309" s="219">
        <v>0</v>
      </c>
      <c r="T309" s="19">
        <v>0</v>
      </c>
      <c r="U309" s="19">
        <v>0</v>
      </c>
      <c r="V309" s="19">
        <v>0</v>
      </c>
      <c r="W309" s="19">
        <v>0</v>
      </c>
      <c r="X309" s="19">
        <v>0</v>
      </c>
      <c r="Y309" s="217">
        <v>128380.69</v>
      </c>
      <c r="Z309" s="3">
        <f t="shared" si="25"/>
        <v>35681.29</v>
      </c>
      <c r="AA309" s="3">
        <f t="shared" si="26"/>
        <v>969044.01</v>
      </c>
      <c r="AB309" s="3">
        <f t="shared" si="28"/>
        <v>116202.03</v>
      </c>
      <c r="AC309" s="3">
        <f>ROUND(MAX(0,(D309-V309)*'Shift 14'!$B$2),2)</f>
        <v>0</v>
      </c>
      <c r="AD309" s="3">
        <f t="shared" si="27"/>
        <v>128380.69</v>
      </c>
      <c r="AE309" s="3">
        <f t="shared" si="29"/>
        <v>0</v>
      </c>
      <c r="AF309" s="214">
        <v>2687</v>
      </c>
      <c r="AG309" s="214">
        <v>1</v>
      </c>
      <c r="AH309" s="3">
        <v>0</v>
      </c>
      <c r="AI309" s="3">
        <v>0</v>
      </c>
      <c r="AJ309" s="3">
        <v>0</v>
      </c>
      <c r="AK309" s="3">
        <v>8000</v>
      </c>
      <c r="AL309" s="3">
        <v>23406.26</v>
      </c>
      <c r="AM309" s="3">
        <v>0</v>
      </c>
      <c r="AN309" s="3">
        <v>0</v>
      </c>
      <c r="AO309" s="3">
        <v>0</v>
      </c>
      <c r="AP309" s="3">
        <v>0</v>
      </c>
      <c r="AQ309" s="3">
        <v>8156.85</v>
      </c>
      <c r="AR309" s="3">
        <v>0</v>
      </c>
      <c r="AS309" s="3">
        <v>-3881.82</v>
      </c>
      <c r="AT309" s="3">
        <v>0</v>
      </c>
      <c r="AU309" s="3">
        <f t="shared" si="30"/>
        <v>0</v>
      </c>
      <c r="AV309" s="17">
        <v>2687</v>
      </c>
      <c r="AW309" s="17">
        <v>2687</v>
      </c>
      <c r="AX309" s="17">
        <v>1</v>
      </c>
      <c r="AY309" s="3" t="s">
        <v>312</v>
      </c>
      <c r="AZ309" s="3">
        <v>0</v>
      </c>
      <c r="BA309" s="19">
        <v>128380.69</v>
      </c>
    </row>
    <row r="310" spans="1:53" x14ac:dyDescent="0.2">
      <c r="A310" s="17">
        <v>2689</v>
      </c>
      <c r="B310" s="17">
        <v>1</v>
      </c>
      <c r="C310" s="3" t="s">
        <v>1143</v>
      </c>
      <c r="D310" s="3">
        <f>Levy!F311</f>
        <v>716721.92</v>
      </c>
      <c r="E310" s="3">
        <f>Levy!G311</f>
        <v>163231.37</v>
      </c>
      <c r="F310" s="3">
        <f>Levy!H311</f>
        <v>0</v>
      </c>
      <c r="G310" s="3">
        <f>Levy!I311</f>
        <v>467485.77</v>
      </c>
      <c r="H310" s="217">
        <f>Levy!J311</f>
        <v>91753.67</v>
      </c>
      <c r="I310" s="219">
        <v>0</v>
      </c>
      <c r="J310" s="219">
        <v>5000</v>
      </c>
      <c r="K310" s="219">
        <v>26000</v>
      </c>
      <c r="L310" s="219">
        <v>0</v>
      </c>
      <c r="M310" s="219">
        <v>0</v>
      </c>
      <c r="N310" s="19">
        <v>0</v>
      </c>
      <c r="O310" s="19">
        <v>0</v>
      </c>
      <c r="P310" s="219">
        <v>2907.92</v>
      </c>
      <c r="Q310" s="219">
        <v>0</v>
      </c>
      <c r="R310" s="219">
        <v>-17707.82</v>
      </c>
      <c r="S310" s="219">
        <v>0</v>
      </c>
      <c r="T310" s="19">
        <v>0</v>
      </c>
      <c r="U310" s="19">
        <v>0</v>
      </c>
      <c r="V310" s="19">
        <v>0</v>
      </c>
      <c r="W310" s="19">
        <v>0</v>
      </c>
      <c r="X310" s="19">
        <v>0</v>
      </c>
      <c r="Y310" s="217">
        <v>41180.28</v>
      </c>
      <c r="Z310" s="3">
        <f t="shared" si="25"/>
        <v>16200.099999999999</v>
      </c>
      <c r="AA310" s="3">
        <f t="shared" si="26"/>
        <v>614517.04</v>
      </c>
      <c r="AB310" s="3">
        <f t="shared" si="28"/>
        <v>91753.67</v>
      </c>
      <c r="AC310" s="3">
        <f>ROUND(MAX(0,(D310-V310)*'Shift 14'!$B$2),2)</f>
        <v>0</v>
      </c>
      <c r="AD310" s="3">
        <f t="shared" si="27"/>
        <v>41180.28</v>
      </c>
      <c r="AE310" s="3">
        <f t="shared" si="29"/>
        <v>0</v>
      </c>
      <c r="AF310" s="214">
        <v>2689</v>
      </c>
      <c r="AG310" s="214">
        <v>1</v>
      </c>
      <c r="AH310" s="3">
        <v>0</v>
      </c>
      <c r="AI310" s="3">
        <v>0</v>
      </c>
      <c r="AJ310" s="3">
        <v>0</v>
      </c>
      <c r="AK310" s="3">
        <v>5000</v>
      </c>
      <c r="AL310" s="3">
        <v>26000</v>
      </c>
      <c r="AM310" s="3">
        <v>0</v>
      </c>
      <c r="AN310" s="3">
        <v>0</v>
      </c>
      <c r="AO310" s="3">
        <v>0</v>
      </c>
      <c r="AP310" s="3">
        <v>0</v>
      </c>
      <c r="AQ310" s="3">
        <v>2907.92</v>
      </c>
      <c r="AR310" s="3">
        <v>0</v>
      </c>
      <c r="AS310" s="3">
        <v>-17707.82</v>
      </c>
      <c r="AT310" s="3">
        <v>0</v>
      </c>
      <c r="AU310" s="3">
        <f t="shared" si="30"/>
        <v>0</v>
      </c>
      <c r="AV310" s="17">
        <v>2689</v>
      </c>
      <c r="AW310" s="17">
        <v>2689</v>
      </c>
      <c r="AX310" s="17">
        <v>1</v>
      </c>
      <c r="AY310" s="3" t="s">
        <v>313</v>
      </c>
      <c r="AZ310" s="3">
        <v>0</v>
      </c>
      <c r="BA310" s="19">
        <v>41180.28</v>
      </c>
    </row>
    <row r="311" spans="1:53" x14ac:dyDescent="0.2">
      <c r="A311" s="17">
        <v>2711</v>
      </c>
      <c r="B311" s="17">
        <v>1</v>
      </c>
      <c r="C311" s="3" t="s">
        <v>314</v>
      </c>
      <c r="D311" s="3">
        <f>Levy!F312</f>
        <v>0</v>
      </c>
      <c r="E311" s="3">
        <f>Levy!G312</f>
        <v>221760.56</v>
      </c>
      <c r="F311" s="3">
        <f>Levy!H312</f>
        <v>0</v>
      </c>
      <c r="G311" s="3">
        <f>Levy!I312</f>
        <v>0</v>
      </c>
      <c r="H311" s="217">
        <f>Levy!J312</f>
        <v>0</v>
      </c>
      <c r="I311" s="219">
        <v>0</v>
      </c>
      <c r="J311" s="219">
        <v>5000</v>
      </c>
      <c r="K311" s="219">
        <v>21743.07</v>
      </c>
      <c r="L311" s="219">
        <v>206467.3</v>
      </c>
      <c r="M311" s="219">
        <v>0</v>
      </c>
      <c r="N311" s="19">
        <v>0</v>
      </c>
      <c r="O311" s="19">
        <v>0</v>
      </c>
      <c r="P311" s="219">
        <v>14416.92</v>
      </c>
      <c r="Q311" s="219">
        <v>0</v>
      </c>
      <c r="R311" s="219">
        <v>-3109.69</v>
      </c>
      <c r="S311" s="219">
        <v>3555.29</v>
      </c>
      <c r="T311" s="19">
        <v>0</v>
      </c>
      <c r="U311" s="19">
        <v>0</v>
      </c>
      <c r="V311" s="19">
        <v>0</v>
      </c>
      <c r="W311" s="19">
        <v>0</v>
      </c>
      <c r="X311" s="19">
        <v>7178.43</v>
      </c>
      <c r="Y311" s="217">
        <v>76000.399999999994</v>
      </c>
      <c r="Z311" s="3">
        <f t="shared" si="25"/>
        <v>248072.89</v>
      </c>
      <c r="AA311" s="3">
        <f t="shared" si="26"/>
        <v>0</v>
      </c>
      <c r="AB311" s="3">
        <f t="shared" si="28"/>
        <v>0</v>
      </c>
      <c r="AC311" s="3">
        <f>ROUND(MAX(0,(D311-V311)*'Shift 14'!$B$2),2)</f>
        <v>0</v>
      </c>
      <c r="AD311" s="3">
        <f t="shared" si="27"/>
        <v>76000.399999999994</v>
      </c>
      <c r="AE311" s="3">
        <f t="shared" si="29"/>
        <v>0</v>
      </c>
      <c r="AF311" s="214">
        <v>2711</v>
      </c>
      <c r="AG311" s="214">
        <v>1</v>
      </c>
      <c r="AH311" s="3">
        <v>0</v>
      </c>
      <c r="AI311" s="3">
        <v>0</v>
      </c>
      <c r="AJ311" s="3">
        <v>0</v>
      </c>
      <c r="AK311" s="3">
        <v>5000</v>
      </c>
      <c r="AL311" s="3">
        <v>21743.07</v>
      </c>
      <c r="AM311" s="3">
        <v>206467.3</v>
      </c>
      <c r="AN311" s="3">
        <v>0</v>
      </c>
      <c r="AO311" s="3">
        <v>0</v>
      </c>
      <c r="AP311" s="3">
        <v>0</v>
      </c>
      <c r="AQ311" s="3">
        <v>14416.92</v>
      </c>
      <c r="AR311" s="3">
        <v>0</v>
      </c>
      <c r="AS311" s="3">
        <v>-3109.69</v>
      </c>
      <c r="AT311" s="3">
        <v>3555.29</v>
      </c>
      <c r="AU311" s="3">
        <f t="shared" si="30"/>
        <v>0</v>
      </c>
      <c r="AV311" s="17">
        <v>2711</v>
      </c>
      <c r="AW311" s="17">
        <v>2711</v>
      </c>
      <c r="AX311" s="17">
        <v>1</v>
      </c>
      <c r="AY311" s="3" t="s">
        <v>314</v>
      </c>
      <c r="AZ311" s="3">
        <v>7178.43</v>
      </c>
      <c r="BA311" s="19">
        <v>76000.399999999994</v>
      </c>
    </row>
    <row r="312" spans="1:53" x14ac:dyDescent="0.2">
      <c r="A312" s="17">
        <v>2752</v>
      </c>
      <c r="B312" s="17">
        <v>1</v>
      </c>
      <c r="C312" s="3" t="s">
        <v>1142</v>
      </c>
      <c r="D312" s="3">
        <f>Levy!F313</f>
        <v>1329874</v>
      </c>
      <c r="E312" s="3">
        <f>Levy!G313</f>
        <v>208951</v>
      </c>
      <c r="F312" s="3">
        <f>Levy!H313</f>
        <v>0</v>
      </c>
      <c r="G312" s="3">
        <f>Levy!I313</f>
        <v>1209547</v>
      </c>
      <c r="H312" s="217">
        <f>Levy!J313</f>
        <v>156443</v>
      </c>
      <c r="I312" s="219">
        <v>0</v>
      </c>
      <c r="J312" s="219">
        <v>64479.9</v>
      </c>
      <c r="K312" s="219">
        <v>44197.8</v>
      </c>
      <c r="L312" s="219">
        <v>0</v>
      </c>
      <c r="M312" s="219">
        <v>0</v>
      </c>
      <c r="N312" s="19">
        <v>0</v>
      </c>
      <c r="O312" s="19">
        <v>0</v>
      </c>
      <c r="P312" s="219">
        <v>43878.01</v>
      </c>
      <c r="Q312" s="219">
        <v>0</v>
      </c>
      <c r="R312" s="219">
        <v>-6886.81</v>
      </c>
      <c r="S312" s="219">
        <v>0</v>
      </c>
      <c r="T312" s="19">
        <v>0</v>
      </c>
      <c r="U312" s="19">
        <v>0</v>
      </c>
      <c r="V312" s="19">
        <v>0</v>
      </c>
      <c r="W312" s="19">
        <v>0</v>
      </c>
      <c r="X312" s="19">
        <v>0</v>
      </c>
      <c r="Y312" s="217">
        <v>54445.41</v>
      </c>
      <c r="Z312" s="3">
        <f t="shared" si="25"/>
        <v>145668.90000000002</v>
      </c>
      <c r="AA312" s="3">
        <f t="shared" si="26"/>
        <v>1272829.1000000001</v>
      </c>
      <c r="AB312" s="3">
        <f t="shared" si="28"/>
        <v>156443</v>
      </c>
      <c r="AC312" s="3">
        <f>ROUND(MAX(0,(D312-V312)*'Shift 14'!$B$2),2)</f>
        <v>0</v>
      </c>
      <c r="AD312" s="3">
        <f t="shared" si="27"/>
        <v>54445.41</v>
      </c>
      <c r="AE312" s="3">
        <f t="shared" si="29"/>
        <v>0</v>
      </c>
      <c r="AF312" s="214">
        <v>2752</v>
      </c>
      <c r="AG312" s="214">
        <v>1</v>
      </c>
      <c r="AH312" s="3">
        <v>0</v>
      </c>
      <c r="AI312" s="3">
        <v>0</v>
      </c>
      <c r="AJ312" s="3">
        <v>0</v>
      </c>
      <c r="AK312" s="3">
        <v>64479.9</v>
      </c>
      <c r="AL312" s="3">
        <v>44197.8</v>
      </c>
      <c r="AM312" s="3">
        <v>0</v>
      </c>
      <c r="AN312" s="3">
        <v>0</v>
      </c>
      <c r="AO312" s="3">
        <v>0</v>
      </c>
      <c r="AP312" s="3">
        <v>0</v>
      </c>
      <c r="AQ312" s="3">
        <v>43878.01</v>
      </c>
      <c r="AR312" s="3">
        <v>0</v>
      </c>
      <c r="AS312" s="3">
        <v>-6886.81</v>
      </c>
      <c r="AT312" s="3">
        <v>0</v>
      </c>
      <c r="AU312" s="3">
        <f t="shared" si="30"/>
        <v>0</v>
      </c>
      <c r="AV312" s="17">
        <v>2752</v>
      </c>
      <c r="AW312" s="17">
        <v>2752</v>
      </c>
      <c r="AX312" s="17">
        <v>1</v>
      </c>
      <c r="AY312" s="3" t="s">
        <v>315</v>
      </c>
      <c r="AZ312" s="3">
        <v>0</v>
      </c>
      <c r="BA312" s="19">
        <v>54445.41</v>
      </c>
    </row>
    <row r="313" spans="1:53" x14ac:dyDescent="0.2">
      <c r="A313" s="17">
        <v>2753</v>
      </c>
      <c r="B313" s="17">
        <v>1</v>
      </c>
      <c r="C313" s="3" t="s">
        <v>1141</v>
      </c>
      <c r="D313" s="3">
        <f>Levy!F314</f>
        <v>566087</v>
      </c>
      <c r="E313" s="3">
        <f>Levy!G314</f>
        <v>58973</v>
      </c>
      <c r="F313" s="3">
        <f>Levy!H314</f>
        <v>0</v>
      </c>
      <c r="G313" s="3">
        <f>Levy!I314</f>
        <v>471992</v>
      </c>
      <c r="H313" s="217">
        <f>Levy!J314</f>
        <v>96030</v>
      </c>
      <c r="I313" s="219">
        <v>0</v>
      </c>
      <c r="J313" s="219">
        <v>10000</v>
      </c>
      <c r="K313" s="219">
        <v>76337.34</v>
      </c>
      <c r="L313" s="219">
        <v>0</v>
      </c>
      <c r="M313" s="219">
        <v>0</v>
      </c>
      <c r="N313" s="19">
        <v>0</v>
      </c>
      <c r="O313" s="19">
        <v>0</v>
      </c>
      <c r="P313" s="219">
        <v>-21170.98</v>
      </c>
      <c r="Q313" s="219">
        <v>0</v>
      </c>
      <c r="R313" s="219">
        <v>-12334.64</v>
      </c>
      <c r="S313" s="219">
        <v>0</v>
      </c>
      <c r="T313" s="19">
        <v>0</v>
      </c>
      <c r="U313" s="19">
        <v>0</v>
      </c>
      <c r="V313" s="19">
        <v>0</v>
      </c>
      <c r="W313" s="19">
        <v>0</v>
      </c>
      <c r="X313" s="19">
        <v>0</v>
      </c>
      <c r="Y313" s="217">
        <v>61420.61</v>
      </c>
      <c r="Z313" s="3">
        <f t="shared" si="25"/>
        <v>52831.72</v>
      </c>
      <c r="AA313" s="3">
        <f t="shared" si="26"/>
        <v>478133.28</v>
      </c>
      <c r="AB313" s="3">
        <f t="shared" si="28"/>
        <v>96030</v>
      </c>
      <c r="AC313" s="3">
        <f>ROUND(MAX(0,(D313-V313)*'Shift 14'!$B$2),2)</f>
        <v>0</v>
      </c>
      <c r="AD313" s="3">
        <f t="shared" si="27"/>
        <v>61420.61</v>
      </c>
      <c r="AE313" s="3">
        <f t="shared" si="29"/>
        <v>0</v>
      </c>
      <c r="AF313" s="214">
        <v>2753</v>
      </c>
      <c r="AG313" s="214">
        <v>1</v>
      </c>
      <c r="AH313" s="3">
        <v>0</v>
      </c>
      <c r="AI313" s="3">
        <v>0</v>
      </c>
      <c r="AJ313" s="3">
        <v>37373.629999999997</v>
      </c>
      <c r="AK313" s="3">
        <v>10000</v>
      </c>
      <c r="AL313" s="3">
        <v>76337.34</v>
      </c>
      <c r="AM313" s="3">
        <v>0</v>
      </c>
      <c r="AN313" s="3">
        <v>0</v>
      </c>
      <c r="AO313" s="3">
        <v>0</v>
      </c>
      <c r="AP313" s="3">
        <v>-10714.78</v>
      </c>
      <c r="AQ313" s="3">
        <v>-21170.98</v>
      </c>
      <c r="AR313" s="3">
        <v>0</v>
      </c>
      <c r="AS313" s="3">
        <v>-12334.64</v>
      </c>
      <c r="AT313" s="3">
        <v>0</v>
      </c>
      <c r="AU313" s="3">
        <f t="shared" si="30"/>
        <v>0</v>
      </c>
      <c r="AV313" s="17">
        <v>2753</v>
      </c>
      <c r="AW313" s="17">
        <v>2753</v>
      </c>
      <c r="AX313" s="17">
        <v>1</v>
      </c>
      <c r="AY313" s="3" t="s">
        <v>316</v>
      </c>
      <c r="AZ313" s="3">
        <v>0</v>
      </c>
      <c r="BA313" s="19">
        <v>61420.61</v>
      </c>
    </row>
    <row r="314" spans="1:53" x14ac:dyDescent="0.2">
      <c r="A314" s="17">
        <v>2754</v>
      </c>
      <c r="B314" s="17">
        <v>1</v>
      </c>
      <c r="C314" s="3" t="s">
        <v>317</v>
      </c>
      <c r="D314" s="3">
        <f>Levy!F315</f>
        <v>112723</v>
      </c>
      <c r="E314" s="3">
        <f>Levy!G315</f>
        <v>23893</v>
      </c>
      <c r="F314" s="3">
        <f>Levy!H315</f>
        <v>0</v>
      </c>
      <c r="G314" s="3">
        <f>Levy!I315</f>
        <v>304270</v>
      </c>
      <c r="H314" s="217">
        <f>Levy!J315</f>
        <v>37486</v>
      </c>
      <c r="I314" s="219">
        <v>0</v>
      </c>
      <c r="J314" s="219">
        <v>0</v>
      </c>
      <c r="K314" s="219">
        <v>11483.63</v>
      </c>
      <c r="L314" s="219">
        <v>0</v>
      </c>
      <c r="M314" s="219">
        <v>0</v>
      </c>
      <c r="N314" s="19">
        <v>0</v>
      </c>
      <c r="O314" s="19">
        <v>0</v>
      </c>
      <c r="P314" s="219">
        <v>5855.27</v>
      </c>
      <c r="Q314" s="219">
        <v>0</v>
      </c>
      <c r="R314" s="219">
        <v>10000</v>
      </c>
      <c r="S314" s="219">
        <v>0</v>
      </c>
      <c r="T314" s="19">
        <v>0</v>
      </c>
      <c r="U314" s="19">
        <v>0</v>
      </c>
      <c r="V314" s="19">
        <v>0</v>
      </c>
      <c r="W314" s="19">
        <v>0</v>
      </c>
      <c r="X314" s="19">
        <v>8095.57</v>
      </c>
      <c r="Y314" s="217">
        <v>98018.3</v>
      </c>
      <c r="Z314" s="3">
        <f t="shared" si="25"/>
        <v>27338.9</v>
      </c>
      <c r="AA314" s="3">
        <f t="shared" si="26"/>
        <v>292728.53000000003</v>
      </c>
      <c r="AB314" s="3">
        <f t="shared" si="28"/>
        <v>37486</v>
      </c>
      <c r="AC314" s="3">
        <f>ROUND(MAX(0,(D314-V314)*'Shift 14'!$B$2),2)</f>
        <v>0</v>
      </c>
      <c r="AD314" s="3">
        <f t="shared" si="27"/>
        <v>98018.3</v>
      </c>
      <c r="AE314" s="3">
        <f t="shared" si="29"/>
        <v>0</v>
      </c>
      <c r="AF314" s="214">
        <v>2754</v>
      </c>
      <c r="AG314" s="214">
        <v>1</v>
      </c>
      <c r="AH314" s="3">
        <v>0</v>
      </c>
      <c r="AI314" s="3">
        <v>0</v>
      </c>
      <c r="AJ314" s="3">
        <v>12976.02</v>
      </c>
      <c r="AK314" s="3">
        <v>0</v>
      </c>
      <c r="AL314" s="3">
        <v>11483.63</v>
      </c>
      <c r="AM314" s="3">
        <v>0</v>
      </c>
      <c r="AN314" s="3">
        <v>0</v>
      </c>
      <c r="AO314" s="3">
        <v>0</v>
      </c>
      <c r="AP314" s="3">
        <v>0</v>
      </c>
      <c r="AQ314" s="3">
        <v>5855.27</v>
      </c>
      <c r="AR314" s="3">
        <v>0</v>
      </c>
      <c r="AS314" s="3">
        <v>10000</v>
      </c>
      <c r="AT314" s="3">
        <v>0</v>
      </c>
      <c r="AU314" s="3">
        <f t="shared" si="30"/>
        <v>0</v>
      </c>
      <c r="AV314" s="17">
        <v>2754</v>
      </c>
      <c r="AW314" s="17">
        <v>2754</v>
      </c>
      <c r="AX314" s="17">
        <v>1</v>
      </c>
      <c r="AY314" s="3" t="s">
        <v>317</v>
      </c>
      <c r="AZ314" s="3">
        <v>8095.57</v>
      </c>
      <c r="BA314" s="19">
        <v>98018.3</v>
      </c>
    </row>
    <row r="315" spans="1:53" x14ac:dyDescent="0.2">
      <c r="A315" s="17">
        <v>2759</v>
      </c>
      <c r="B315" s="17">
        <v>1</v>
      </c>
      <c r="C315" s="3" t="s">
        <v>1140</v>
      </c>
      <c r="D315" s="3">
        <f>Levy!F316</f>
        <v>150574</v>
      </c>
      <c r="E315" s="3">
        <f>Levy!G316</f>
        <v>14547</v>
      </c>
      <c r="F315" s="3">
        <f>Levy!H316</f>
        <v>0</v>
      </c>
      <c r="G315" s="3">
        <f>Levy!I316</f>
        <v>124797</v>
      </c>
      <c r="H315" s="217">
        <f>Levy!J316</f>
        <v>21800</v>
      </c>
      <c r="I315" s="219">
        <v>0</v>
      </c>
      <c r="J315" s="219">
        <v>4000</v>
      </c>
      <c r="K315" s="219">
        <v>19040.689999999999</v>
      </c>
      <c r="L315" s="219">
        <v>0</v>
      </c>
      <c r="M315" s="219">
        <v>0</v>
      </c>
      <c r="N315" s="19">
        <v>0</v>
      </c>
      <c r="O315" s="19">
        <v>0</v>
      </c>
      <c r="P315" s="219">
        <v>5924.22</v>
      </c>
      <c r="Q315" s="219">
        <v>0</v>
      </c>
      <c r="R315" s="219">
        <v>-15573.1</v>
      </c>
      <c r="S315" s="219">
        <v>0</v>
      </c>
      <c r="T315" s="19">
        <v>0</v>
      </c>
      <c r="U315" s="19">
        <v>0</v>
      </c>
      <c r="V315" s="19">
        <v>0</v>
      </c>
      <c r="W315" s="19">
        <v>0</v>
      </c>
      <c r="X315" s="19">
        <v>0</v>
      </c>
      <c r="Y315" s="217">
        <v>12843.72</v>
      </c>
      <c r="Z315" s="3">
        <f t="shared" si="25"/>
        <v>13391.81</v>
      </c>
      <c r="AA315" s="3">
        <f t="shared" si="26"/>
        <v>125952.19</v>
      </c>
      <c r="AB315" s="3">
        <f t="shared" si="28"/>
        <v>21800</v>
      </c>
      <c r="AC315" s="3">
        <f>ROUND(MAX(0,(D315-V315)*'Shift 14'!$B$2),2)</f>
        <v>0</v>
      </c>
      <c r="AD315" s="3">
        <f t="shared" si="27"/>
        <v>12843.72</v>
      </c>
      <c r="AE315" s="3">
        <f t="shared" si="29"/>
        <v>0</v>
      </c>
      <c r="AF315" s="214">
        <v>2759</v>
      </c>
      <c r="AG315" s="214">
        <v>1</v>
      </c>
      <c r="AH315" s="3">
        <v>0</v>
      </c>
      <c r="AI315" s="3">
        <v>0</v>
      </c>
      <c r="AJ315" s="3">
        <v>5824.85</v>
      </c>
      <c r="AK315" s="3">
        <v>4000</v>
      </c>
      <c r="AL315" s="3">
        <v>19040.689999999999</v>
      </c>
      <c r="AM315" s="3">
        <v>0</v>
      </c>
      <c r="AN315" s="3">
        <v>0</v>
      </c>
      <c r="AO315" s="3">
        <v>0</v>
      </c>
      <c r="AP315" s="3">
        <v>-2854.68</v>
      </c>
      <c r="AQ315" s="3">
        <v>5924.22</v>
      </c>
      <c r="AR315" s="3">
        <v>0</v>
      </c>
      <c r="AS315" s="3">
        <v>-15573.1</v>
      </c>
      <c r="AT315" s="3">
        <v>0</v>
      </c>
      <c r="AU315" s="3">
        <f t="shared" si="30"/>
        <v>0</v>
      </c>
      <c r="AV315" s="17">
        <v>2759</v>
      </c>
      <c r="AW315" s="17">
        <v>2759</v>
      </c>
      <c r="AX315" s="17">
        <v>1</v>
      </c>
      <c r="AY315" s="3" t="s">
        <v>318</v>
      </c>
      <c r="AZ315" s="3">
        <v>0</v>
      </c>
      <c r="BA315" s="19">
        <v>12843.72</v>
      </c>
    </row>
    <row r="316" spans="1:53" x14ac:dyDescent="0.2">
      <c r="A316" s="17">
        <v>2769</v>
      </c>
      <c r="B316" s="17">
        <v>1</v>
      </c>
      <c r="C316" s="3" t="s">
        <v>1167</v>
      </c>
      <c r="D316" s="3">
        <f>Levy!F317</f>
        <v>703989.99</v>
      </c>
      <c r="E316" s="3">
        <f>Levy!G317</f>
        <v>82347.59</v>
      </c>
      <c r="F316" s="3">
        <f>Levy!H317</f>
        <v>0</v>
      </c>
      <c r="G316" s="3">
        <f>Levy!I317</f>
        <v>494106</v>
      </c>
      <c r="H316" s="217">
        <f>Levy!J317</f>
        <v>109108</v>
      </c>
      <c r="I316" s="219">
        <v>0</v>
      </c>
      <c r="J316" s="219">
        <v>2500</v>
      </c>
      <c r="K316" s="219">
        <v>22251.37</v>
      </c>
      <c r="L316" s="219">
        <v>0</v>
      </c>
      <c r="M316" s="219">
        <v>0</v>
      </c>
      <c r="N316" s="19">
        <v>0</v>
      </c>
      <c r="O316" s="19">
        <v>0</v>
      </c>
      <c r="P316" s="219">
        <v>-22078.85</v>
      </c>
      <c r="Q316" s="219">
        <v>0</v>
      </c>
      <c r="R316" s="219">
        <v>0</v>
      </c>
      <c r="S316" s="219">
        <v>0</v>
      </c>
      <c r="T316" s="19">
        <v>0</v>
      </c>
      <c r="U316" s="19">
        <v>0</v>
      </c>
      <c r="V316" s="19">
        <v>0</v>
      </c>
      <c r="W316" s="19">
        <v>0</v>
      </c>
      <c r="X316" s="19">
        <v>0</v>
      </c>
      <c r="Y316" s="217">
        <v>185416.57</v>
      </c>
      <c r="Z316" s="3">
        <f t="shared" si="25"/>
        <v>2672.5200000000004</v>
      </c>
      <c r="AA316" s="3">
        <f t="shared" si="26"/>
        <v>573781.06999999995</v>
      </c>
      <c r="AB316" s="3">
        <f t="shared" si="28"/>
        <v>109108</v>
      </c>
      <c r="AC316" s="3">
        <f>ROUND(MAX(0,(D316-V316)*'Shift 14'!$B$2),2)</f>
        <v>0</v>
      </c>
      <c r="AD316" s="3">
        <f t="shared" si="27"/>
        <v>185416.57</v>
      </c>
      <c r="AE316" s="3">
        <f t="shared" si="29"/>
        <v>0</v>
      </c>
      <c r="AF316" s="214">
        <v>2769</v>
      </c>
      <c r="AG316" s="214">
        <v>1</v>
      </c>
      <c r="AH316" s="3">
        <v>0</v>
      </c>
      <c r="AI316" s="3">
        <v>0</v>
      </c>
      <c r="AJ316" s="3">
        <v>0</v>
      </c>
      <c r="AK316" s="3">
        <v>2500</v>
      </c>
      <c r="AL316" s="3">
        <v>22251.37</v>
      </c>
      <c r="AM316" s="3">
        <v>0</v>
      </c>
      <c r="AN316" s="3">
        <v>0</v>
      </c>
      <c r="AO316" s="3">
        <v>0</v>
      </c>
      <c r="AP316" s="3">
        <v>0</v>
      </c>
      <c r="AQ316" s="3">
        <v>-22078.85</v>
      </c>
      <c r="AR316" s="3">
        <v>0</v>
      </c>
      <c r="AS316" s="3">
        <v>0</v>
      </c>
      <c r="AT316" s="3">
        <v>0</v>
      </c>
      <c r="AU316" s="3">
        <f t="shared" si="30"/>
        <v>0</v>
      </c>
      <c r="AV316" s="17">
        <v>2769</v>
      </c>
      <c r="AZ316" s="3">
        <v>0</v>
      </c>
      <c r="BA316" s="3">
        <v>185416.57</v>
      </c>
    </row>
    <row r="317" spans="1:53" x14ac:dyDescent="0.2">
      <c r="A317" s="17">
        <v>2805</v>
      </c>
      <c r="B317" s="17">
        <v>1</v>
      </c>
      <c r="C317" s="3" t="s">
        <v>319</v>
      </c>
      <c r="D317" s="3">
        <f>Levy!F318</f>
        <v>1363042</v>
      </c>
      <c r="E317" s="3">
        <f>Levy!G318</f>
        <v>77942</v>
      </c>
      <c r="F317" s="3">
        <f>Levy!H318</f>
        <v>0</v>
      </c>
      <c r="G317" s="3">
        <f>Levy!I318</f>
        <v>435534</v>
      </c>
      <c r="H317" s="217">
        <f>Levy!J318</f>
        <v>162012</v>
      </c>
      <c r="I317" s="219">
        <v>0</v>
      </c>
      <c r="J317" s="219">
        <v>1260</v>
      </c>
      <c r="K317" s="219">
        <v>23125.19</v>
      </c>
      <c r="L317" s="219">
        <v>0</v>
      </c>
      <c r="M317" s="219">
        <v>0</v>
      </c>
      <c r="N317" s="19">
        <v>0</v>
      </c>
      <c r="O317" s="19">
        <v>0</v>
      </c>
      <c r="P317" s="219">
        <v>-229.4</v>
      </c>
      <c r="Q317" s="219">
        <v>0</v>
      </c>
      <c r="R317" s="219">
        <v>-3915.03</v>
      </c>
      <c r="S317" s="219">
        <v>0</v>
      </c>
      <c r="T317" s="19">
        <v>0</v>
      </c>
      <c r="U317" s="19">
        <v>0</v>
      </c>
      <c r="V317" s="19">
        <v>0</v>
      </c>
      <c r="W317" s="19">
        <v>0</v>
      </c>
      <c r="X317" s="19">
        <v>0</v>
      </c>
      <c r="Y317" s="217">
        <v>152693.4</v>
      </c>
      <c r="Z317" s="3">
        <f t="shared" si="25"/>
        <v>20240.759999999998</v>
      </c>
      <c r="AA317" s="3">
        <f t="shared" si="26"/>
        <v>493235.24</v>
      </c>
      <c r="AB317" s="3">
        <f t="shared" si="28"/>
        <v>162012</v>
      </c>
      <c r="AC317" s="3">
        <f>ROUND(MAX(0,(D317-V317)*'Shift 14'!$B$2),2)</f>
        <v>0</v>
      </c>
      <c r="AD317" s="3">
        <f t="shared" si="27"/>
        <v>152693.4</v>
      </c>
      <c r="AE317" s="3">
        <f t="shared" si="29"/>
        <v>0</v>
      </c>
      <c r="AF317" s="214">
        <v>2805</v>
      </c>
      <c r="AG317" s="214">
        <v>1</v>
      </c>
      <c r="AH317" s="3">
        <v>0</v>
      </c>
      <c r="AI317" s="3">
        <v>0</v>
      </c>
      <c r="AJ317" s="3">
        <v>5115.3</v>
      </c>
      <c r="AK317" s="3">
        <v>1260</v>
      </c>
      <c r="AL317" s="3">
        <v>23125.19</v>
      </c>
      <c r="AM317" s="3">
        <v>0</v>
      </c>
      <c r="AN317" s="3">
        <v>0</v>
      </c>
      <c r="AO317" s="3">
        <v>0</v>
      </c>
      <c r="AP317" s="3">
        <v>-8873.14</v>
      </c>
      <c r="AQ317" s="3">
        <v>-229.4</v>
      </c>
      <c r="AR317" s="3">
        <v>0</v>
      </c>
      <c r="AS317" s="3">
        <v>-3915.03</v>
      </c>
      <c r="AT317" s="3">
        <v>0</v>
      </c>
      <c r="AU317" s="3">
        <f t="shared" si="30"/>
        <v>0</v>
      </c>
      <c r="AV317" s="17">
        <v>2805</v>
      </c>
      <c r="AW317" s="17">
        <v>2805</v>
      </c>
      <c r="AX317" s="17">
        <v>1</v>
      </c>
      <c r="AY317" s="3" t="s">
        <v>319</v>
      </c>
      <c r="AZ317" s="3">
        <v>0</v>
      </c>
      <c r="BA317" s="19">
        <v>152693.4</v>
      </c>
    </row>
    <row r="318" spans="1:53" x14ac:dyDescent="0.2">
      <c r="A318" s="17">
        <v>2835</v>
      </c>
      <c r="B318" s="17">
        <v>1</v>
      </c>
      <c r="C318" s="3" t="s">
        <v>1139</v>
      </c>
      <c r="D318" s="3">
        <f>Levy!F319</f>
        <v>1137922</v>
      </c>
      <c r="E318" s="3">
        <f>Levy!G319</f>
        <v>26113</v>
      </c>
      <c r="F318" s="3">
        <f>Levy!H319</f>
        <v>0</v>
      </c>
      <c r="G318" s="3">
        <f>Levy!I319</f>
        <v>283378</v>
      </c>
      <c r="H318" s="217">
        <f>Levy!J319</f>
        <v>39108</v>
      </c>
      <c r="I318" s="219">
        <v>0</v>
      </c>
      <c r="J318" s="219">
        <v>0</v>
      </c>
      <c r="K318" s="219">
        <v>25035.79</v>
      </c>
      <c r="L318" s="219">
        <v>0</v>
      </c>
      <c r="M318" s="219">
        <v>0</v>
      </c>
      <c r="N318" s="19">
        <v>0</v>
      </c>
      <c r="O318" s="19">
        <v>0</v>
      </c>
      <c r="P318" s="219">
        <v>4426.32</v>
      </c>
      <c r="Q318" s="219">
        <v>0</v>
      </c>
      <c r="R318" s="219">
        <v>-3109.09</v>
      </c>
      <c r="S318" s="219">
        <v>0</v>
      </c>
      <c r="T318" s="19">
        <v>0</v>
      </c>
      <c r="U318" s="19">
        <v>0</v>
      </c>
      <c r="V318" s="19">
        <v>0</v>
      </c>
      <c r="W318" s="19">
        <v>0</v>
      </c>
      <c r="X318" s="19">
        <v>0</v>
      </c>
      <c r="Y318" s="217">
        <v>161255.4</v>
      </c>
      <c r="Z318" s="3">
        <f t="shared" si="25"/>
        <v>26353.02</v>
      </c>
      <c r="AA318" s="3">
        <f t="shared" si="26"/>
        <v>283137.98</v>
      </c>
      <c r="AB318" s="3">
        <f t="shared" si="28"/>
        <v>39108</v>
      </c>
      <c r="AC318" s="3">
        <f>ROUND(MAX(0,(D318-V318)*'Shift 14'!$B$2),2)</f>
        <v>0</v>
      </c>
      <c r="AD318" s="3">
        <f t="shared" si="27"/>
        <v>161255.4</v>
      </c>
      <c r="AE318" s="3">
        <f t="shared" si="29"/>
        <v>0</v>
      </c>
      <c r="AF318" s="214">
        <v>2835</v>
      </c>
      <c r="AG318" s="214">
        <v>1</v>
      </c>
      <c r="AH318" s="3">
        <v>0</v>
      </c>
      <c r="AI318" s="3">
        <v>0</v>
      </c>
      <c r="AJ318" s="3">
        <v>0</v>
      </c>
      <c r="AK318" s="3">
        <v>0</v>
      </c>
      <c r="AL318" s="3">
        <v>25035.79</v>
      </c>
      <c r="AM318" s="3">
        <v>0</v>
      </c>
      <c r="AN318" s="3">
        <v>0</v>
      </c>
      <c r="AO318" s="3">
        <v>0</v>
      </c>
      <c r="AP318" s="3">
        <v>0</v>
      </c>
      <c r="AQ318" s="3">
        <v>4426.32</v>
      </c>
      <c r="AR318" s="3">
        <v>0</v>
      </c>
      <c r="AS318" s="3">
        <v>-3109.09</v>
      </c>
      <c r="AT318" s="3">
        <v>0</v>
      </c>
      <c r="AU318" s="3">
        <f t="shared" si="30"/>
        <v>0</v>
      </c>
      <c r="AV318" s="17">
        <v>2835</v>
      </c>
      <c r="AW318" s="17">
        <v>2835</v>
      </c>
      <c r="AX318" s="17">
        <v>1</v>
      </c>
      <c r="AY318" s="3" t="s">
        <v>320</v>
      </c>
      <c r="AZ318" s="3">
        <v>0</v>
      </c>
      <c r="BA318" s="19">
        <v>161255.4</v>
      </c>
    </row>
    <row r="319" spans="1:53" x14ac:dyDescent="0.2">
      <c r="A319" s="17">
        <v>2853</v>
      </c>
      <c r="B319" s="17">
        <v>1</v>
      </c>
      <c r="C319" s="3" t="s">
        <v>1138</v>
      </c>
      <c r="D319" s="3">
        <f>Levy!F320</f>
        <v>631998.12</v>
      </c>
      <c r="E319" s="3">
        <f>Levy!G320</f>
        <v>42206.59</v>
      </c>
      <c r="F319" s="3">
        <f>Levy!H320</f>
        <v>0</v>
      </c>
      <c r="G319" s="3">
        <f>Levy!I320</f>
        <v>555056.43000000005</v>
      </c>
      <c r="H319" s="217">
        <f>Levy!J320</f>
        <v>110947.01</v>
      </c>
      <c r="I319" s="219">
        <v>0</v>
      </c>
      <c r="J319" s="219">
        <v>0</v>
      </c>
      <c r="K319" s="219">
        <v>40286.949999999997</v>
      </c>
      <c r="L319" s="219">
        <v>0</v>
      </c>
      <c r="M319" s="219">
        <v>0</v>
      </c>
      <c r="N319" s="19">
        <v>0</v>
      </c>
      <c r="O319" s="19">
        <v>0</v>
      </c>
      <c r="P319" s="219">
        <v>5382.45</v>
      </c>
      <c r="Q319" s="219">
        <v>0</v>
      </c>
      <c r="R319" s="219">
        <v>-5003.07</v>
      </c>
      <c r="S319" s="219">
        <v>0</v>
      </c>
      <c r="T319" s="19">
        <v>0</v>
      </c>
      <c r="U319" s="19">
        <v>0</v>
      </c>
      <c r="V319" s="19">
        <v>0</v>
      </c>
      <c r="W319" s="19">
        <v>0</v>
      </c>
      <c r="X319" s="19">
        <v>642.47</v>
      </c>
      <c r="Y319" s="217">
        <v>88378.21</v>
      </c>
      <c r="Z319" s="3">
        <f t="shared" si="25"/>
        <v>40666.329999999994</v>
      </c>
      <c r="AA319" s="3">
        <f t="shared" si="26"/>
        <v>555954.22</v>
      </c>
      <c r="AB319" s="3">
        <f t="shared" si="28"/>
        <v>110947.01</v>
      </c>
      <c r="AC319" s="3">
        <f>ROUND(MAX(0,(D319-V319)*'Shift 14'!$B$2),2)</f>
        <v>0</v>
      </c>
      <c r="AD319" s="3">
        <f t="shared" si="27"/>
        <v>88378.21</v>
      </c>
      <c r="AE319" s="3">
        <f t="shared" si="29"/>
        <v>0</v>
      </c>
      <c r="AF319" s="214">
        <v>2853</v>
      </c>
      <c r="AG319" s="214">
        <v>1</v>
      </c>
      <c r="AH319" s="3">
        <v>0</v>
      </c>
      <c r="AI319" s="3">
        <v>0</v>
      </c>
      <c r="AJ319" s="3">
        <v>0</v>
      </c>
      <c r="AK319" s="3">
        <v>0</v>
      </c>
      <c r="AL319" s="3">
        <v>40286.949999999997</v>
      </c>
      <c r="AM319" s="3">
        <v>0</v>
      </c>
      <c r="AN319" s="3">
        <v>0</v>
      </c>
      <c r="AO319" s="3">
        <v>0</v>
      </c>
      <c r="AP319" s="3">
        <v>0</v>
      </c>
      <c r="AQ319" s="3">
        <v>5382.45</v>
      </c>
      <c r="AR319" s="3">
        <v>0</v>
      </c>
      <c r="AS319" s="3">
        <v>-5003.07</v>
      </c>
      <c r="AT319" s="3">
        <v>0</v>
      </c>
      <c r="AU319" s="3">
        <f t="shared" si="30"/>
        <v>0</v>
      </c>
      <c r="AV319" s="17">
        <v>2853</v>
      </c>
      <c r="AW319" s="17">
        <v>2853</v>
      </c>
      <c r="AX319" s="17">
        <v>1</v>
      </c>
      <c r="AY319" s="3" t="s">
        <v>321</v>
      </c>
      <c r="AZ319" s="3">
        <v>642.47</v>
      </c>
      <c r="BA319" s="19">
        <v>88378.21</v>
      </c>
    </row>
    <row r="320" spans="1:53" x14ac:dyDescent="0.2">
      <c r="A320" s="17">
        <v>2854</v>
      </c>
      <c r="B320" s="17">
        <v>1</v>
      </c>
      <c r="C320" s="3" t="s">
        <v>322</v>
      </c>
      <c r="D320" s="3">
        <f>Levy!F321</f>
        <v>160837.45000000001</v>
      </c>
      <c r="E320" s="3">
        <f>Levy!G321</f>
        <v>24169.25</v>
      </c>
      <c r="F320" s="3">
        <f>Levy!H321</f>
        <v>0</v>
      </c>
      <c r="G320" s="3">
        <f>Levy!I321</f>
        <v>271627.65000000002</v>
      </c>
      <c r="H320" s="217">
        <f>Levy!J321</f>
        <v>41483.870000000003</v>
      </c>
      <c r="I320" s="219">
        <v>0</v>
      </c>
      <c r="J320" s="219">
        <v>0</v>
      </c>
      <c r="K320" s="219">
        <v>32245.360000000001</v>
      </c>
      <c r="L320" s="219">
        <v>0</v>
      </c>
      <c r="M320" s="219">
        <v>0</v>
      </c>
      <c r="N320" s="19">
        <v>0</v>
      </c>
      <c r="O320" s="19">
        <v>0</v>
      </c>
      <c r="P320" s="219">
        <v>-1416.41</v>
      </c>
      <c r="Q320" s="219">
        <v>0</v>
      </c>
      <c r="R320" s="219">
        <v>0</v>
      </c>
      <c r="S320" s="219">
        <v>0</v>
      </c>
      <c r="T320" s="19">
        <v>0</v>
      </c>
      <c r="U320" s="19">
        <v>0</v>
      </c>
      <c r="V320" s="19">
        <v>0</v>
      </c>
      <c r="W320" s="19">
        <v>0</v>
      </c>
      <c r="X320" s="19">
        <v>0</v>
      </c>
      <c r="Y320" s="217">
        <v>40913.339999999997</v>
      </c>
      <c r="Z320" s="3">
        <f t="shared" si="25"/>
        <v>30828.95</v>
      </c>
      <c r="AA320" s="3">
        <f t="shared" si="26"/>
        <v>264967.95</v>
      </c>
      <c r="AB320" s="3">
        <f t="shared" si="28"/>
        <v>41483.870000000003</v>
      </c>
      <c r="AC320" s="3">
        <f>ROUND(MAX(0,(D320-V320)*'Shift 14'!$B$2),2)</f>
        <v>0</v>
      </c>
      <c r="AD320" s="3">
        <f t="shared" si="27"/>
        <v>40913.339999999997</v>
      </c>
      <c r="AE320" s="3">
        <f t="shared" si="29"/>
        <v>0</v>
      </c>
      <c r="AF320" s="214">
        <v>2854</v>
      </c>
      <c r="AG320" s="214">
        <v>1</v>
      </c>
      <c r="AH320" s="3">
        <v>0</v>
      </c>
      <c r="AI320" s="3">
        <v>0</v>
      </c>
      <c r="AJ320" s="3">
        <v>0</v>
      </c>
      <c r="AK320" s="3">
        <v>0</v>
      </c>
      <c r="AL320" s="3">
        <v>32245.360000000001</v>
      </c>
      <c r="AM320" s="3">
        <v>0</v>
      </c>
      <c r="AN320" s="3">
        <v>0</v>
      </c>
      <c r="AO320" s="3">
        <v>0</v>
      </c>
      <c r="AP320" s="3">
        <v>0</v>
      </c>
      <c r="AQ320" s="3">
        <v>-1416.41</v>
      </c>
      <c r="AR320" s="3">
        <v>0</v>
      </c>
      <c r="AS320" s="3">
        <v>0</v>
      </c>
      <c r="AT320" s="3">
        <v>0</v>
      </c>
      <c r="AU320" s="3">
        <f t="shared" si="30"/>
        <v>0</v>
      </c>
      <c r="AV320" s="17">
        <v>2854</v>
      </c>
      <c r="AW320" s="17">
        <v>2854</v>
      </c>
      <c r="AX320" s="17">
        <v>1</v>
      </c>
      <c r="AY320" s="3" t="s">
        <v>322</v>
      </c>
      <c r="AZ320" s="3">
        <v>0</v>
      </c>
      <c r="BA320" s="19">
        <v>40913.339999999997</v>
      </c>
    </row>
    <row r="321" spans="1:53" x14ac:dyDescent="0.2">
      <c r="A321" s="17">
        <v>2856</v>
      </c>
      <c r="B321" s="17">
        <v>1</v>
      </c>
      <c r="C321" s="3" t="s">
        <v>1137</v>
      </c>
      <c r="D321" s="3">
        <f>Levy!F322</f>
        <v>424472.78</v>
      </c>
      <c r="E321" s="3">
        <f>Levy!G322</f>
        <v>18886.57</v>
      </c>
      <c r="F321" s="3">
        <f>Levy!H322</f>
        <v>0</v>
      </c>
      <c r="G321" s="3">
        <f>Levy!I322</f>
        <v>111396</v>
      </c>
      <c r="H321" s="217">
        <f>Levy!J322</f>
        <v>54255.98</v>
      </c>
      <c r="I321" s="219">
        <v>0</v>
      </c>
      <c r="J321" s="219">
        <v>10000</v>
      </c>
      <c r="K321" s="219">
        <v>13407.94</v>
      </c>
      <c r="L321" s="219">
        <v>0</v>
      </c>
      <c r="M321" s="219">
        <v>0</v>
      </c>
      <c r="N321" s="19">
        <v>0</v>
      </c>
      <c r="O321" s="19">
        <v>0</v>
      </c>
      <c r="P321" s="219">
        <v>3888.54</v>
      </c>
      <c r="Q321" s="219">
        <v>0</v>
      </c>
      <c r="R321" s="219">
        <v>-1665.08</v>
      </c>
      <c r="S321" s="219">
        <v>0</v>
      </c>
      <c r="T321" s="19">
        <v>0</v>
      </c>
      <c r="U321" s="19">
        <v>0</v>
      </c>
      <c r="V321" s="19">
        <v>0</v>
      </c>
      <c r="W321" s="19">
        <v>0</v>
      </c>
      <c r="X321" s="19">
        <v>2021.24</v>
      </c>
      <c r="Y321" s="217">
        <v>122060.62</v>
      </c>
      <c r="Z321" s="3">
        <f t="shared" si="25"/>
        <v>25631.4</v>
      </c>
      <c r="AA321" s="3">
        <f t="shared" si="26"/>
        <v>102629.93</v>
      </c>
      <c r="AB321" s="3">
        <f t="shared" si="28"/>
        <v>54255.98</v>
      </c>
      <c r="AC321" s="3">
        <f>ROUND(MAX(0,(D321-V321)*'Shift 14'!$B$2),2)</f>
        <v>0</v>
      </c>
      <c r="AD321" s="3">
        <f t="shared" si="27"/>
        <v>122060.62</v>
      </c>
      <c r="AE321" s="3">
        <f t="shared" si="29"/>
        <v>0</v>
      </c>
      <c r="AF321" s="214">
        <v>2856</v>
      </c>
      <c r="AG321" s="214">
        <v>1</v>
      </c>
      <c r="AH321" s="3">
        <v>0</v>
      </c>
      <c r="AI321" s="3">
        <v>0</v>
      </c>
      <c r="AJ321" s="3">
        <v>0</v>
      </c>
      <c r="AK321" s="3">
        <v>10000</v>
      </c>
      <c r="AL321" s="3">
        <v>13407.94</v>
      </c>
      <c r="AM321" s="3">
        <v>0</v>
      </c>
      <c r="AN321" s="3">
        <v>0</v>
      </c>
      <c r="AO321" s="3">
        <v>0</v>
      </c>
      <c r="AP321" s="3">
        <v>0</v>
      </c>
      <c r="AQ321" s="3">
        <v>3888.54</v>
      </c>
      <c r="AR321" s="3">
        <v>0</v>
      </c>
      <c r="AS321" s="3">
        <v>-1665.08</v>
      </c>
      <c r="AT321" s="3">
        <v>0</v>
      </c>
      <c r="AU321" s="3">
        <f t="shared" si="30"/>
        <v>0</v>
      </c>
      <c r="AV321" s="17">
        <v>2856</v>
      </c>
      <c r="AW321" s="17">
        <v>2856</v>
      </c>
      <c r="AX321" s="17">
        <v>1</v>
      </c>
      <c r="AY321" s="3" t="s">
        <v>323</v>
      </c>
      <c r="AZ321" s="3">
        <v>2021.24</v>
      </c>
      <c r="BA321" s="19">
        <v>122060.62</v>
      </c>
    </row>
    <row r="322" spans="1:53" x14ac:dyDescent="0.2">
      <c r="A322" s="17">
        <v>2859</v>
      </c>
      <c r="B322" s="17">
        <v>1</v>
      </c>
      <c r="C322" s="3" t="s">
        <v>1136</v>
      </c>
      <c r="D322" s="3">
        <f>Levy!F323</f>
        <v>373599</v>
      </c>
      <c r="E322" s="3">
        <f>Levy!G323</f>
        <v>712914</v>
      </c>
      <c r="F322" s="3">
        <f>Levy!H323</f>
        <v>0</v>
      </c>
      <c r="G322" s="3">
        <f>Levy!I323</f>
        <v>695676</v>
      </c>
      <c r="H322" s="217">
        <f>Levy!J323</f>
        <v>164774</v>
      </c>
      <c r="I322" s="219">
        <v>0</v>
      </c>
      <c r="J322" s="219">
        <v>20000</v>
      </c>
      <c r="K322" s="219">
        <v>40300.89</v>
      </c>
      <c r="L322" s="219">
        <v>0</v>
      </c>
      <c r="M322" s="219">
        <v>0</v>
      </c>
      <c r="N322" s="19">
        <v>0</v>
      </c>
      <c r="O322" s="19">
        <v>0</v>
      </c>
      <c r="P322" s="219">
        <v>0</v>
      </c>
      <c r="Q322" s="219">
        <v>0</v>
      </c>
      <c r="R322" s="219">
        <v>-10841.44</v>
      </c>
      <c r="S322" s="219">
        <v>0</v>
      </c>
      <c r="T322" s="19">
        <v>0</v>
      </c>
      <c r="U322" s="19">
        <v>0</v>
      </c>
      <c r="V322" s="19">
        <v>0</v>
      </c>
      <c r="W322" s="19">
        <v>0</v>
      </c>
      <c r="X322" s="19">
        <v>3949.77</v>
      </c>
      <c r="Y322" s="217">
        <v>168353.22</v>
      </c>
      <c r="Z322" s="3">
        <f t="shared" si="25"/>
        <v>49459.45</v>
      </c>
      <c r="AA322" s="3">
        <f t="shared" si="26"/>
        <v>1355180.78</v>
      </c>
      <c r="AB322" s="3">
        <f t="shared" si="28"/>
        <v>164774</v>
      </c>
      <c r="AC322" s="3">
        <f>ROUND(MAX(0,(D322-V322)*'Shift 14'!$B$2),2)</f>
        <v>0</v>
      </c>
      <c r="AD322" s="3">
        <f t="shared" si="27"/>
        <v>168353.22</v>
      </c>
      <c r="AE322" s="3">
        <f t="shared" si="29"/>
        <v>0</v>
      </c>
      <c r="AF322" s="214">
        <v>2859</v>
      </c>
      <c r="AG322" s="214">
        <v>1</v>
      </c>
      <c r="AH322" s="3">
        <v>0</v>
      </c>
      <c r="AI322" s="3">
        <v>0</v>
      </c>
      <c r="AJ322" s="3">
        <v>0</v>
      </c>
      <c r="AK322" s="3">
        <v>20000</v>
      </c>
      <c r="AL322" s="3">
        <v>40300.89</v>
      </c>
      <c r="AM322" s="3">
        <v>0</v>
      </c>
      <c r="AN322" s="3">
        <v>0</v>
      </c>
      <c r="AO322" s="3">
        <v>0</v>
      </c>
      <c r="AP322" s="3">
        <v>0</v>
      </c>
      <c r="AQ322" s="3">
        <v>0</v>
      </c>
      <c r="AR322" s="3">
        <v>0</v>
      </c>
      <c r="AS322" s="3">
        <v>-10841.44</v>
      </c>
      <c r="AT322" s="3">
        <v>0</v>
      </c>
      <c r="AU322" s="3">
        <f t="shared" si="30"/>
        <v>0</v>
      </c>
      <c r="AV322" s="17">
        <v>2859</v>
      </c>
      <c r="AW322" s="17">
        <v>2859</v>
      </c>
      <c r="AX322" s="17">
        <v>1</v>
      </c>
      <c r="AY322" s="3" t="s">
        <v>324</v>
      </c>
      <c r="AZ322" s="3">
        <v>3949.77</v>
      </c>
      <c r="BA322" s="19">
        <v>168353.22</v>
      </c>
    </row>
    <row r="323" spans="1:53" x14ac:dyDescent="0.2">
      <c r="A323" s="17">
        <v>2860</v>
      </c>
      <c r="B323" s="17">
        <v>1</v>
      </c>
      <c r="C323" s="3" t="s">
        <v>325</v>
      </c>
      <c r="D323" s="3">
        <f>Levy!F324</f>
        <v>406622.81</v>
      </c>
      <c r="E323" s="3">
        <f>Levy!G324</f>
        <v>79740.649999999994</v>
      </c>
      <c r="F323" s="3">
        <f>Levy!H324</f>
        <v>0</v>
      </c>
      <c r="G323" s="3">
        <f>Levy!I324</f>
        <v>521253.24</v>
      </c>
      <c r="H323" s="217">
        <f>Levy!J324</f>
        <v>137522.94</v>
      </c>
      <c r="I323" s="219">
        <v>0</v>
      </c>
      <c r="J323" s="219">
        <v>0</v>
      </c>
      <c r="K323" s="219">
        <v>0</v>
      </c>
      <c r="L323" s="219">
        <v>0</v>
      </c>
      <c r="M323" s="219">
        <v>0</v>
      </c>
      <c r="N323" s="19">
        <v>0</v>
      </c>
      <c r="O323" s="19">
        <v>0</v>
      </c>
      <c r="P323" s="219">
        <v>9583.94</v>
      </c>
      <c r="Q323" s="219">
        <v>-9583.94</v>
      </c>
      <c r="R323" s="219">
        <v>0</v>
      </c>
      <c r="S323" s="219">
        <v>0</v>
      </c>
      <c r="T323" s="19">
        <v>0</v>
      </c>
      <c r="U323" s="19">
        <v>0</v>
      </c>
      <c r="V323" s="19">
        <v>0</v>
      </c>
      <c r="W323" s="19">
        <v>0</v>
      </c>
      <c r="X323" s="19">
        <v>0</v>
      </c>
      <c r="Y323" s="217">
        <v>161661.34</v>
      </c>
      <c r="Z323" s="3">
        <f t="shared" si="25"/>
        <v>0</v>
      </c>
      <c r="AA323" s="3">
        <f t="shared" si="26"/>
        <v>600993.89</v>
      </c>
      <c r="AB323" s="3">
        <f t="shared" si="28"/>
        <v>137522.94</v>
      </c>
      <c r="AC323" s="3">
        <f>ROUND(MAX(0,(D323-V323)*'Shift 14'!$B$2),2)</f>
        <v>0</v>
      </c>
      <c r="AD323" s="3">
        <f t="shared" si="27"/>
        <v>161661.34</v>
      </c>
      <c r="AE323" s="3">
        <f t="shared" si="29"/>
        <v>0</v>
      </c>
      <c r="AF323" s="214">
        <v>2860</v>
      </c>
      <c r="AG323" s="214">
        <v>1</v>
      </c>
      <c r="AH323" s="3">
        <v>0</v>
      </c>
      <c r="AI323" s="3">
        <v>0</v>
      </c>
      <c r="AJ323" s="3">
        <v>0</v>
      </c>
      <c r="AK323" s="3">
        <v>0</v>
      </c>
      <c r="AL323" s="3">
        <v>0</v>
      </c>
      <c r="AM323" s="3">
        <v>0</v>
      </c>
      <c r="AN323" s="3">
        <v>0</v>
      </c>
      <c r="AO323" s="3">
        <v>0</v>
      </c>
      <c r="AP323" s="3">
        <v>0</v>
      </c>
      <c r="AQ323" s="3">
        <v>9583.94</v>
      </c>
      <c r="AR323" s="3">
        <v>-9583.94</v>
      </c>
      <c r="AS323" s="3">
        <v>0</v>
      </c>
      <c r="AT323" s="3">
        <v>0</v>
      </c>
      <c r="AU323" s="3">
        <f t="shared" si="30"/>
        <v>0</v>
      </c>
      <c r="AV323" s="17">
        <v>2860</v>
      </c>
      <c r="AW323" s="17">
        <v>2860</v>
      </c>
      <c r="AX323" s="17">
        <v>1</v>
      </c>
      <c r="AY323" s="3" t="s">
        <v>325</v>
      </c>
      <c r="AZ323" s="3">
        <v>0</v>
      </c>
      <c r="BA323" s="19">
        <v>161661.34</v>
      </c>
    </row>
    <row r="324" spans="1:53" x14ac:dyDescent="0.2">
      <c r="A324" s="17">
        <v>2884</v>
      </c>
      <c r="B324" s="17">
        <v>1</v>
      </c>
      <c r="C324" s="3" t="s">
        <v>326</v>
      </c>
      <c r="D324" s="3">
        <f>Levy!F325</f>
        <v>527508</v>
      </c>
      <c r="E324" s="3">
        <f>Levy!G325</f>
        <v>15526</v>
      </c>
      <c r="F324" s="3">
        <f>Levy!H325</f>
        <v>0</v>
      </c>
      <c r="G324" s="3">
        <f>Levy!I325</f>
        <v>380816</v>
      </c>
      <c r="H324" s="217">
        <f>Levy!J325</f>
        <v>26007</v>
      </c>
      <c r="I324" s="219">
        <v>0</v>
      </c>
      <c r="J324" s="219">
        <v>0</v>
      </c>
      <c r="K324" s="219">
        <v>10795</v>
      </c>
      <c r="L324" s="219">
        <v>0</v>
      </c>
      <c r="M324" s="219">
        <v>0</v>
      </c>
      <c r="N324" s="19">
        <v>0</v>
      </c>
      <c r="O324" s="19">
        <v>0</v>
      </c>
      <c r="P324" s="219">
        <v>0</v>
      </c>
      <c r="Q324" s="219">
        <v>0</v>
      </c>
      <c r="R324" s="219">
        <v>0</v>
      </c>
      <c r="S324" s="219">
        <v>0</v>
      </c>
      <c r="T324" s="19">
        <v>0</v>
      </c>
      <c r="U324" s="19">
        <v>0</v>
      </c>
      <c r="V324" s="19">
        <v>0</v>
      </c>
      <c r="W324" s="19">
        <v>0</v>
      </c>
      <c r="X324" s="19">
        <v>16313.15</v>
      </c>
      <c r="Y324" s="217">
        <v>56094.94</v>
      </c>
      <c r="Z324" s="3">
        <f t="shared" si="25"/>
        <v>10795</v>
      </c>
      <c r="AA324" s="3">
        <f t="shared" si="26"/>
        <v>369233.85</v>
      </c>
      <c r="AB324" s="3">
        <f t="shared" si="28"/>
        <v>26007</v>
      </c>
      <c r="AC324" s="3">
        <f>ROUND(MAX(0,(D324-V324)*'Shift 14'!$B$2),2)</f>
        <v>0</v>
      </c>
      <c r="AD324" s="3">
        <f t="shared" si="27"/>
        <v>56094.94</v>
      </c>
      <c r="AE324" s="3">
        <f t="shared" si="29"/>
        <v>0</v>
      </c>
      <c r="AF324" s="214">
        <v>2884</v>
      </c>
      <c r="AG324" s="214">
        <v>1</v>
      </c>
      <c r="AH324" s="3">
        <v>0</v>
      </c>
      <c r="AI324" s="3">
        <v>0</v>
      </c>
      <c r="AJ324" s="3">
        <v>1194.3</v>
      </c>
      <c r="AK324" s="3">
        <v>0</v>
      </c>
      <c r="AL324" s="3">
        <v>10795</v>
      </c>
      <c r="AM324" s="3">
        <v>0</v>
      </c>
      <c r="AN324" s="3">
        <v>0</v>
      </c>
      <c r="AO324" s="3">
        <v>0</v>
      </c>
      <c r="AP324" s="3">
        <v>0</v>
      </c>
      <c r="AQ324" s="3">
        <v>0</v>
      </c>
      <c r="AR324" s="3">
        <v>0</v>
      </c>
      <c r="AS324" s="3">
        <v>0</v>
      </c>
      <c r="AT324" s="3">
        <v>0</v>
      </c>
      <c r="AU324" s="3">
        <f t="shared" si="30"/>
        <v>0</v>
      </c>
      <c r="AV324" s="17">
        <v>2884</v>
      </c>
      <c r="AW324" s="17">
        <v>2884</v>
      </c>
      <c r="AX324" s="17">
        <v>1</v>
      </c>
      <c r="AY324" s="3" t="s">
        <v>326</v>
      </c>
      <c r="AZ324" s="3">
        <v>16313.15</v>
      </c>
      <c r="BA324" s="19">
        <v>56094.94</v>
      </c>
    </row>
    <row r="325" spans="1:53" x14ac:dyDescent="0.2">
      <c r="A325" s="17">
        <v>2886</v>
      </c>
      <c r="B325" s="17">
        <v>1</v>
      </c>
      <c r="C325" s="3" t="s">
        <v>327</v>
      </c>
      <c r="D325" s="3">
        <f>Levy!F326</f>
        <v>260034</v>
      </c>
      <c r="E325" s="3">
        <f>Levy!G326</f>
        <v>25303</v>
      </c>
      <c r="F325" s="3">
        <f>Levy!H326</f>
        <v>0</v>
      </c>
      <c r="G325" s="3">
        <f>Levy!I326</f>
        <v>183932</v>
      </c>
      <c r="H325" s="217">
        <f>Levy!J326</f>
        <v>25668</v>
      </c>
      <c r="I325" s="219">
        <v>0</v>
      </c>
      <c r="J325" s="219">
        <v>0</v>
      </c>
      <c r="K325" s="219">
        <v>9955.1299999999992</v>
      </c>
      <c r="L325" s="219">
        <v>0</v>
      </c>
      <c r="M325" s="219">
        <v>0</v>
      </c>
      <c r="N325" s="19">
        <v>0</v>
      </c>
      <c r="O325" s="19">
        <v>0</v>
      </c>
      <c r="P325" s="219">
        <v>-7898.46</v>
      </c>
      <c r="Q325" s="219">
        <v>0</v>
      </c>
      <c r="R325" s="219">
        <v>10000</v>
      </c>
      <c r="S325" s="219">
        <v>0</v>
      </c>
      <c r="T325" s="19">
        <v>0</v>
      </c>
      <c r="U325" s="19">
        <v>0</v>
      </c>
      <c r="V325" s="19">
        <v>0</v>
      </c>
      <c r="W325" s="19">
        <v>0</v>
      </c>
      <c r="X325" s="19">
        <v>519.49</v>
      </c>
      <c r="Y325" s="217">
        <v>122081.61</v>
      </c>
      <c r="Z325" s="3">
        <f t="shared" si="25"/>
        <v>12056.669999999998</v>
      </c>
      <c r="AA325" s="3">
        <f t="shared" si="26"/>
        <v>196658.84</v>
      </c>
      <c r="AB325" s="3">
        <f t="shared" si="28"/>
        <v>25668</v>
      </c>
      <c r="AC325" s="3">
        <f>ROUND(MAX(0,(D325-V325)*'Shift 14'!$B$2),2)</f>
        <v>0</v>
      </c>
      <c r="AD325" s="3">
        <f t="shared" si="27"/>
        <v>122081.61</v>
      </c>
      <c r="AE325" s="3">
        <f t="shared" si="29"/>
        <v>0</v>
      </c>
      <c r="AF325" s="214">
        <v>2886</v>
      </c>
      <c r="AG325" s="214">
        <v>1</v>
      </c>
      <c r="AH325" s="3">
        <v>0</v>
      </c>
      <c r="AI325" s="3">
        <v>0</v>
      </c>
      <c r="AJ325" s="3">
        <v>0</v>
      </c>
      <c r="AK325" s="3">
        <v>0</v>
      </c>
      <c r="AL325" s="3">
        <v>9955.1299999999992</v>
      </c>
      <c r="AM325" s="3">
        <v>0</v>
      </c>
      <c r="AN325" s="3">
        <v>0</v>
      </c>
      <c r="AO325" s="3">
        <v>0</v>
      </c>
      <c r="AP325" s="3">
        <v>0</v>
      </c>
      <c r="AQ325" s="3">
        <v>-7898.46</v>
      </c>
      <c r="AR325" s="3">
        <v>0</v>
      </c>
      <c r="AS325" s="3">
        <v>10000</v>
      </c>
      <c r="AT325" s="3">
        <v>0</v>
      </c>
      <c r="AU325" s="3">
        <f t="shared" si="30"/>
        <v>0</v>
      </c>
      <c r="AV325" s="17">
        <v>2886</v>
      </c>
      <c r="AW325" s="17">
        <v>2886</v>
      </c>
      <c r="AX325" s="17">
        <v>1</v>
      </c>
      <c r="AY325" s="3" t="s">
        <v>327</v>
      </c>
      <c r="AZ325" s="3">
        <v>519.49</v>
      </c>
      <c r="BA325" s="19">
        <v>122081.61</v>
      </c>
    </row>
    <row r="326" spans="1:53" x14ac:dyDescent="0.2">
      <c r="A326" s="17">
        <v>2888</v>
      </c>
      <c r="B326" s="17">
        <v>1</v>
      </c>
      <c r="C326" s="3" t="s">
        <v>1135</v>
      </c>
      <c r="D326" s="3">
        <f>Levy!F327</f>
        <v>194141.15</v>
      </c>
      <c r="E326" s="3">
        <f>Levy!G327</f>
        <v>17615.95</v>
      </c>
      <c r="F326" s="3">
        <f>Levy!H327</f>
        <v>0</v>
      </c>
      <c r="G326" s="3">
        <f>Levy!I327</f>
        <v>133876.13</v>
      </c>
      <c r="H326" s="217">
        <f>Levy!J327</f>
        <v>14027.49</v>
      </c>
      <c r="I326" s="219">
        <v>0</v>
      </c>
      <c r="J326" s="219">
        <v>4332</v>
      </c>
      <c r="K326" s="219">
        <v>13700.89</v>
      </c>
      <c r="L326" s="219">
        <v>0</v>
      </c>
      <c r="M326" s="219">
        <v>0</v>
      </c>
      <c r="N326" s="19">
        <v>0</v>
      </c>
      <c r="O326" s="19">
        <v>0</v>
      </c>
      <c r="P326" s="219">
        <v>-5216.72</v>
      </c>
      <c r="Q326" s="219">
        <v>0</v>
      </c>
      <c r="R326" s="219">
        <v>-1701.46</v>
      </c>
      <c r="S326" s="219">
        <v>0</v>
      </c>
      <c r="T326" s="19">
        <v>0</v>
      </c>
      <c r="U326" s="19">
        <v>0</v>
      </c>
      <c r="V326" s="19">
        <v>0</v>
      </c>
      <c r="W326" s="19">
        <v>0</v>
      </c>
      <c r="X326" s="19">
        <v>5805.07</v>
      </c>
      <c r="Y326" s="217">
        <v>38564.47</v>
      </c>
      <c r="Z326" s="3">
        <f t="shared" ref="Z326:Z339" si="31">SUM(I326:T326)</f>
        <v>11114.71</v>
      </c>
      <c r="AA326" s="3">
        <f t="shared" ref="AA326:AA339" si="32">ROUND(MAX(E326+F326+G326-W326-X326-Z326,0),2)</f>
        <v>134572.29999999999</v>
      </c>
      <c r="AB326" s="3">
        <f t="shared" si="28"/>
        <v>14027.49</v>
      </c>
      <c r="AC326" s="3">
        <f>ROUND(MAX(0,(D326-V326)*'Shift 14'!$B$2),2)</f>
        <v>0</v>
      </c>
      <c r="AD326" s="3">
        <f t="shared" ref="AD326:AD339" si="33">MAX(AC326,Y326)</f>
        <v>38564.47</v>
      </c>
      <c r="AE326" s="3">
        <f t="shared" si="29"/>
        <v>0</v>
      </c>
      <c r="AF326" s="214">
        <v>2888</v>
      </c>
      <c r="AG326" s="214">
        <v>1</v>
      </c>
      <c r="AH326" s="3">
        <v>0</v>
      </c>
      <c r="AI326" s="3">
        <v>0</v>
      </c>
      <c r="AJ326" s="3">
        <v>0</v>
      </c>
      <c r="AK326" s="3">
        <v>4332</v>
      </c>
      <c r="AL326" s="3">
        <v>13700.89</v>
      </c>
      <c r="AM326" s="3">
        <v>0</v>
      </c>
      <c r="AN326" s="3">
        <v>0</v>
      </c>
      <c r="AO326" s="3">
        <v>0</v>
      </c>
      <c r="AP326" s="3">
        <v>0</v>
      </c>
      <c r="AQ326" s="3">
        <v>-5216.72</v>
      </c>
      <c r="AR326" s="3">
        <v>0</v>
      </c>
      <c r="AS326" s="3">
        <v>-1701.46</v>
      </c>
      <c r="AT326" s="3">
        <v>0</v>
      </c>
      <c r="AU326" s="3">
        <f t="shared" si="30"/>
        <v>0</v>
      </c>
      <c r="AV326" s="17">
        <v>2888</v>
      </c>
      <c r="AW326" s="17">
        <v>2888</v>
      </c>
      <c r="AX326" s="17">
        <v>1</v>
      </c>
      <c r="AY326" s="3" t="s">
        <v>328</v>
      </c>
      <c r="AZ326" s="3">
        <v>5805.07</v>
      </c>
      <c r="BA326" s="19">
        <v>38564.47</v>
      </c>
    </row>
    <row r="327" spans="1:53" x14ac:dyDescent="0.2">
      <c r="A327" s="17">
        <v>2889</v>
      </c>
      <c r="B327" s="17">
        <v>1</v>
      </c>
      <c r="C327" s="3" t="s">
        <v>1134</v>
      </c>
      <c r="D327" s="3">
        <f>Levy!F328</f>
        <v>470324.23</v>
      </c>
      <c r="E327" s="3">
        <f>Levy!G328</f>
        <v>217534.32</v>
      </c>
      <c r="F327" s="3">
        <f>Levy!H328</f>
        <v>0</v>
      </c>
      <c r="G327" s="3">
        <f>Levy!I328</f>
        <v>358716.45</v>
      </c>
      <c r="H327" s="217">
        <f>Levy!J328</f>
        <v>73621.100000000006</v>
      </c>
      <c r="I327" s="219">
        <v>0</v>
      </c>
      <c r="J327" s="219">
        <v>5894.96</v>
      </c>
      <c r="K327" s="219">
        <v>18092.84</v>
      </c>
      <c r="L327" s="219">
        <v>0</v>
      </c>
      <c r="M327" s="219">
        <v>0</v>
      </c>
      <c r="N327" s="19">
        <v>0</v>
      </c>
      <c r="O327" s="19">
        <v>0</v>
      </c>
      <c r="P327" s="219">
        <v>-3284.49</v>
      </c>
      <c r="Q327" s="219">
        <v>0</v>
      </c>
      <c r="R327" s="219">
        <v>-2246.87</v>
      </c>
      <c r="S327" s="219">
        <v>0</v>
      </c>
      <c r="T327" s="19">
        <v>0</v>
      </c>
      <c r="U327" s="19">
        <v>0</v>
      </c>
      <c r="V327" s="19">
        <v>0</v>
      </c>
      <c r="W327" s="19">
        <v>0</v>
      </c>
      <c r="X327" s="19">
        <v>11121.56</v>
      </c>
      <c r="Y327" s="217">
        <v>70465.440000000002</v>
      </c>
      <c r="Z327" s="3">
        <f t="shared" si="31"/>
        <v>18456.439999999999</v>
      </c>
      <c r="AA327" s="3">
        <f t="shared" si="32"/>
        <v>546672.77</v>
      </c>
      <c r="AB327" s="3">
        <f t="shared" ref="AB327:AB339" si="34">ROUND(MAX(H327-U327,0),2)</f>
        <v>73621.100000000006</v>
      </c>
      <c r="AC327" s="3">
        <f>ROUND(MAX(0,(D327-V327)*'Shift 14'!$B$2),2)</f>
        <v>0</v>
      </c>
      <c r="AD327" s="3">
        <f t="shared" si="33"/>
        <v>70465.440000000002</v>
      </c>
      <c r="AE327" s="3">
        <f t="shared" si="29"/>
        <v>0</v>
      </c>
      <c r="AF327" s="214">
        <v>2889</v>
      </c>
      <c r="AG327" s="214">
        <v>1</v>
      </c>
      <c r="AH327" s="3">
        <v>0</v>
      </c>
      <c r="AI327" s="3">
        <v>0</v>
      </c>
      <c r="AJ327" s="3">
        <v>0</v>
      </c>
      <c r="AK327" s="3">
        <v>5894.96</v>
      </c>
      <c r="AL327" s="3">
        <v>18092.84</v>
      </c>
      <c r="AM327" s="3">
        <v>0</v>
      </c>
      <c r="AN327" s="3">
        <v>0</v>
      </c>
      <c r="AO327" s="3">
        <v>0</v>
      </c>
      <c r="AP327" s="3">
        <v>-6218.29</v>
      </c>
      <c r="AQ327" s="3">
        <v>-3284.49</v>
      </c>
      <c r="AR327" s="3">
        <v>0</v>
      </c>
      <c r="AS327" s="3">
        <v>-2246.87</v>
      </c>
      <c r="AT327" s="3">
        <v>0</v>
      </c>
      <c r="AU327" s="3">
        <f t="shared" si="30"/>
        <v>0</v>
      </c>
      <c r="AV327" s="17">
        <v>2889</v>
      </c>
      <c r="AW327" s="17">
        <v>2889</v>
      </c>
      <c r="AX327" s="17">
        <v>1</v>
      </c>
      <c r="AY327" s="3" t="s">
        <v>329</v>
      </c>
      <c r="AZ327" s="3">
        <v>11121.56</v>
      </c>
      <c r="BA327" s="19">
        <v>70465.440000000002</v>
      </c>
    </row>
    <row r="328" spans="1:53" x14ac:dyDescent="0.2">
      <c r="A328" s="17">
        <v>2890</v>
      </c>
      <c r="B328" s="17">
        <v>1</v>
      </c>
      <c r="C328" s="3" t="s">
        <v>1133</v>
      </c>
      <c r="D328" s="3">
        <f>Levy!F329</f>
        <v>932288.32</v>
      </c>
      <c r="E328" s="3">
        <f>Levy!G329</f>
        <v>16658.650000000001</v>
      </c>
      <c r="F328" s="3">
        <f>Levy!H329</f>
        <v>0</v>
      </c>
      <c r="G328" s="3">
        <f>Levy!I329</f>
        <v>359599.38</v>
      </c>
      <c r="H328" s="217">
        <f>Levy!J329</f>
        <v>67636.639999999999</v>
      </c>
      <c r="I328" s="219">
        <v>0</v>
      </c>
      <c r="J328" s="219">
        <v>0</v>
      </c>
      <c r="K328" s="219">
        <v>17480.439999999999</v>
      </c>
      <c r="L328" s="219">
        <v>0</v>
      </c>
      <c r="M328" s="219">
        <v>0</v>
      </c>
      <c r="N328" s="19">
        <v>0</v>
      </c>
      <c r="O328" s="19">
        <v>0</v>
      </c>
      <c r="P328" s="219">
        <v>5100.4799999999996</v>
      </c>
      <c r="Q328" s="219">
        <v>0</v>
      </c>
      <c r="R328" s="219">
        <v>-2170.8200000000002</v>
      </c>
      <c r="S328" s="219">
        <v>0</v>
      </c>
      <c r="T328" s="19">
        <v>0</v>
      </c>
      <c r="U328" s="19">
        <v>0</v>
      </c>
      <c r="V328" s="19">
        <v>0</v>
      </c>
      <c r="W328" s="19">
        <v>0</v>
      </c>
      <c r="X328" s="19">
        <v>0</v>
      </c>
      <c r="Y328" s="217">
        <v>202355.05</v>
      </c>
      <c r="Z328" s="3">
        <f t="shared" si="31"/>
        <v>20410.099999999999</v>
      </c>
      <c r="AA328" s="3">
        <f t="shared" si="32"/>
        <v>355847.93</v>
      </c>
      <c r="AB328" s="3">
        <f t="shared" si="34"/>
        <v>67636.639999999999</v>
      </c>
      <c r="AC328" s="3">
        <f>ROUND(MAX(0,(D328-V328)*'Shift 14'!$B$2),2)</f>
        <v>0</v>
      </c>
      <c r="AD328" s="3">
        <f t="shared" si="33"/>
        <v>202355.05</v>
      </c>
      <c r="AE328" s="3">
        <f t="shared" si="29"/>
        <v>0</v>
      </c>
      <c r="AF328" s="214">
        <v>2890</v>
      </c>
      <c r="AG328" s="214">
        <v>1</v>
      </c>
      <c r="AH328" s="3">
        <v>0</v>
      </c>
      <c r="AI328" s="3">
        <v>0</v>
      </c>
      <c r="AJ328" s="3">
        <v>0</v>
      </c>
      <c r="AK328" s="3">
        <v>0</v>
      </c>
      <c r="AL328" s="3">
        <v>17480.439999999999</v>
      </c>
      <c r="AM328" s="3">
        <v>0</v>
      </c>
      <c r="AN328" s="3">
        <v>0</v>
      </c>
      <c r="AO328" s="3">
        <v>0</v>
      </c>
      <c r="AP328" s="3">
        <v>0</v>
      </c>
      <c r="AQ328" s="3">
        <v>5100.4799999999996</v>
      </c>
      <c r="AR328" s="3">
        <v>0</v>
      </c>
      <c r="AS328" s="3">
        <v>-2170.8200000000002</v>
      </c>
      <c r="AT328" s="3">
        <v>0</v>
      </c>
      <c r="AU328" s="3">
        <f t="shared" si="30"/>
        <v>0</v>
      </c>
      <c r="AV328" s="17">
        <v>2890</v>
      </c>
      <c r="AW328" s="17">
        <v>2890</v>
      </c>
      <c r="AX328" s="17">
        <v>1</v>
      </c>
      <c r="AY328" s="3" t="s">
        <v>330</v>
      </c>
      <c r="AZ328" s="3">
        <v>0</v>
      </c>
      <c r="BA328" s="19">
        <v>202355.05</v>
      </c>
    </row>
    <row r="329" spans="1:53" x14ac:dyDescent="0.2">
      <c r="A329" s="17">
        <v>2895</v>
      </c>
      <c r="B329" s="17">
        <v>1</v>
      </c>
      <c r="C329" s="3" t="s">
        <v>1132</v>
      </c>
      <c r="D329" s="3">
        <f>Levy!F330</f>
        <v>858492.17</v>
      </c>
      <c r="E329" s="3">
        <f>Levy!G330</f>
        <v>73576.61</v>
      </c>
      <c r="F329" s="3">
        <f>Levy!H330</f>
        <v>0</v>
      </c>
      <c r="G329" s="3">
        <f>Levy!I330</f>
        <v>719446.14</v>
      </c>
      <c r="H329" s="217">
        <f>Levy!J330</f>
        <v>116457.54</v>
      </c>
      <c r="I329" s="219">
        <v>0</v>
      </c>
      <c r="J329" s="219">
        <v>10000</v>
      </c>
      <c r="K329" s="219">
        <v>30814.67</v>
      </c>
      <c r="L329" s="219">
        <v>0</v>
      </c>
      <c r="M329" s="219">
        <v>0</v>
      </c>
      <c r="N329" s="19">
        <v>0</v>
      </c>
      <c r="O329" s="19">
        <v>0</v>
      </c>
      <c r="P329" s="219">
        <v>-17229.36</v>
      </c>
      <c r="Q329" s="219">
        <v>0</v>
      </c>
      <c r="R329" s="219">
        <v>-5778.09</v>
      </c>
      <c r="S329" s="219">
        <v>0</v>
      </c>
      <c r="T329" s="19">
        <v>0</v>
      </c>
      <c r="U329" s="19">
        <v>0</v>
      </c>
      <c r="V329" s="19">
        <v>0</v>
      </c>
      <c r="W329" s="19">
        <v>0</v>
      </c>
      <c r="X329" s="19">
        <v>13469.21</v>
      </c>
      <c r="Y329" s="217">
        <v>40827.550000000003</v>
      </c>
      <c r="Z329" s="3">
        <f t="shared" si="31"/>
        <v>17807.219999999998</v>
      </c>
      <c r="AA329" s="3">
        <f t="shared" si="32"/>
        <v>761746.32</v>
      </c>
      <c r="AB329" s="3">
        <f t="shared" si="34"/>
        <v>116457.54</v>
      </c>
      <c r="AC329" s="3">
        <f>ROUND(MAX(0,(D329-V329)*'Shift 14'!$B$2),2)</f>
        <v>0</v>
      </c>
      <c r="AD329" s="3">
        <f t="shared" si="33"/>
        <v>40827.550000000003</v>
      </c>
      <c r="AE329" s="3">
        <f t="shared" ref="AE329:AE339" si="35">AF329-A329</f>
        <v>0</v>
      </c>
      <c r="AF329" s="214">
        <v>2895</v>
      </c>
      <c r="AG329" s="214">
        <v>1</v>
      </c>
      <c r="AH329" s="3">
        <v>0</v>
      </c>
      <c r="AI329" s="3">
        <v>0</v>
      </c>
      <c r="AJ329" s="3">
        <v>30830.53</v>
      </c>
      <c r="AK329" s="3">
        <v>10000</v>
      </c>
      <c r="AL329" s="3">
        <v>30814.67</v>
      </c>
      <c r="AM329" s="3">
        <v>0</v>
      </c>
      <c r="AN329" s="3">
        <v>0</v>
      </c>
      <c r="AO329" s="3">
        <v>0</v>
      </c>
      <c r="AP329" s="3">
        <v>-2503.4699999999998</v>
      </c>
      <c r="AQ329" s="3">
        <v>-17229.36</v>
      </c>
      <c r="AR329" s="3">
        <v>0</v>
      </c>
      <c r="AS329" s="3">
        <v>-5778.09</v>
      </c>
      <c r="AT329" s="3">
        <v>0</v>
      </c>
      <c r="AU329" s="3">
        <f t="shared" ref="AU329:AU339" si="36">AV329-A329</f>
        <v>0</v>
      </c>
      <c r="AV329" s="17">
        <v>2895</v>
      </c>
      <c r="AW329" s="17">
        <v>2895</v>
      </c>
      <c r="AX329" s="17">
        <v>1</v>
      </c>
      <c r="AY329" s="3" t="s">
        <v>331</v>
      </c>
      <c r="AZ329" s="3">
        <v>13469.21</v>
      </c>
      <c r="BA329" s="19">
        <v>40827.550000000003</v>
      </c>
    </row>
    <row r="330" spans="1:53" x14ac:dyDescent="0.2">
      <c r="A330" s="17">
        <v>2897</v>
      </c>
      <c r="B330" s="17">
        <v>1</v>
      </c>
      <c r="C330" s="3" t="s">
        <v>1131</v>
      </c>
      <c r="D330" s="3">
        <f>Levy!F331</f>
        <v>672474</v>
      </c>
      <c r="E330" s="3">
        <f>Levy!G331</f>
        <v>78210</v>
      </c>
      <c r="F330" s="3">
        <f>Levy!H331</f>
        <v>0</v>
      </c>
      <c r="G330" s="3">
        <f>Levy!I331</f>
        <v>543771</v>
      </c>
      <c r="H330" s="217">
        <f>Levy!J331</f>
        <v>122565</v>
      </c>
      <c r="I330" s="219">
        <v>0</v>
      </c>
      <c r="J330" s="219">
        <v>10000</v>
      </c>
      <c r="K330" s="219">
        <v>11899.55</v>
      </c>
      <c r="L330" s="219">
        <v>0</v>
      </c>
      <c r="M330" s="219">
        <v>0</v>
      </c>
      <c r="N330" s="19">
        <v>0</v>
      </c>
      <c r="O330" s="19">
        <v>0</v>
      </c>
      <c r="P330" s="219">
        <v>1807.46</v>
      </c>
      <c r="Q330" s="219">
        <v>0</v>
      </c>
      <c r="R330" s="219">
        <v>0</v>
      </c>
      <c r="S330" s="219">
        <v>0</v>
      </c>
      <c r="T330" s="19">
        <v>0</v>
      </c>
      <c r="U330" s="19">
        <v>0</v>
      </c>
      <c r="V330" s="19">
        <v>0</v>
      </c>
      <c r="W330" s="19">
        <v>0</v>
      </c>
      <c r="X330" s="19">
        <v>0</v>
      </c>
      <c r="Y330" s="217">
        <v>0</v>
      </c>
      <c r="Z330" s="3">
        <f t="shared" si="31"/>
        <v>23707.01</v>
      </c>
      <c r="AA330" s="3">
        <f t="shared" si="32"/>
        <v>598273.99</v>
      </c>
      <c r="AB330" s="3">
        <f t="shared" si="34"/>
        <v>122565</v>
      </c>
      <c r="AC330" s="3">
        <f>ROUND(MAX(0,(D330-V330)*'Shift 14'!$B$2),2)</f>
        <v>0</v>
      </c>
      <c r="AD330" s="3">
        <f t="shared" si="33"/>
        <v>0</v>
      </c>
      <c r="AE330" s="3">
        <f t="shared" si="35"/>
        <v>0</v>
      </c>
      <c r="AF330" s="214">
        <v>2897</v>
      </c>
      <c r="AG330" s="214">
        <v>1</v>
      </c>
      <c r="AH330" s="3">
        <v>0</v>
      </c>
      <c r="AI330" s="3">
        <v>0</v>
      </c>
      <c r="AJ330" s="3">
        <v>41827.339999999997</v>
      </c>
      <c r="AK330" s="3">
        <v>10000</v>
      </c>
      <c r="AL330" s="3">
        <v>11899.55</v>
      </c>
      <c r="AM330" s="3">
        <v>0</v>
      </c>
      <c r="AN330" s="3">
        <v>0</v>
      </c>
      <c r="AO330" s="3">
        <v>0</v>
      </c>
      <c r="AP330" s="3">
        <v>-12174.64</v>
      </c>
      <c r="AQ330" s="3">
        <v>1807.46</v>
      </c>
      <c r="AR330" s="3">
        <v>0</v>
      </c>
      <c r="AS330" s="3">
        <v>0</v>
      </c>
      <c r="AT330" s="3">
        <v>0</v>
      </c>
      <c r="AU330" s="3">
        <f t="shared" si="36"/>
        <v>0</v>
      </c>
      <c r="AV330" s="17">
        <v>2897</v>
      </c>
      <c r="AW330" s="17">
        <v>2897</v>
      </c>
      <c r="AX330" s="17">
        <v>1</v>
      </c>
      <c r="AY330" s="3" t="s">
        <v>332</v>
      </c>
      <c r="AZ330" s="3">
        <v>0</v>
      </c>
      <c r="BA330" s="19">
        <v>0</v>
      </c>
    </row>
    <row r="331" spans="1:53" x14ac:dyDescent="0.2">
      <c r="A331" s="17">
        <v>2898</v>
      </c>
      <c r="B331" s="17">
        <v>1</v>
      </c>
      <c r="C331" s="3" t="s">
        <v>1130</v>
      </c>
      <c r="D331" s="3">
        <f>Levy!F332</f>
        <v>122692</v>
      </c>
      <c r="E331" s="3">
        <f>Levy!G332</f>
        <v>37942</v>
      </c>
      <c r="F331" s="3">
        <f>Levy!H332</f>
        <v>0</v>
      </c>
      <c r="G331" s="3">
        <f>Levy!I332</f>
        <v>216089</v>
      </c>
      <c r="H331" s="217">
        <f>Levy!J332</f>
        <v>40705</v>
      </c>
      <c r="I331" s="219">
        <v>0</v>
      </c>
      <c r="J331" s="219">
        <v>0</v>
      </c>
      <c r="K331" s="219">
        <v>11222.98</v>
      </c>
      <c r="L331" s="219">
        <v>0</v>
      </c>
      <c r="M331" s="219">
        <v>0</v>
      </c>
      <c r="N331" s="19">
        <v>0</v>
      </c>
      <c r="O331" s="19">
        <v>0</v>
      </c>
      <c r="P331" s="219">
        <v>12149.61</v>
      </c>
      <c r="Q331" s="219">
        <v>0</v>
      </c>
      <c r="R331" s="219">
        <v>0</v>
      </c>
      <c r="S331" s="219">
        <v>0</v>
      </c>
      <c r="T331" s="19">
        <v>0</v>
      </c>
      <c r="U331" s="19">
        <v>0</v>
      </c>
      <c r="V331" s="19">
        <v>0</v>
      </c>
      <c r="W331" s="19">
        <v>0</v>
      </c>
      <c r="X331" s="19">
        <v>0</v>
      </c>
      <c r="Y331" s="217">
        <v>115844.14</v>
      </c>
      <c r="Z331" s="3">
        <f t="shared" si="31"/>
        <v>23372.59</v>
      </c>
      <c r="AA331" s="3">
        <f t="shared" si="32"/>
        <v>230658.41</v>
      </c>
      <c r="AB331" s="3">
        <f t="shared" si="34"/>
        <v>40705</v>
      </c>
      <c r="AC331" s="3">
        <f>ROUND(MAX(0,(D331-V331)*'Shift 14'!$B$2),2)</f>
        <v>0</v>
      </c>
      <c r="AD331" s="3">
        <f t="shared" si="33"/>
        <v>115844.14</v>
      </c>
      <c r="AE331" s="3">
        <f t="shared" si="35"/>
        <v>0</v>
      </c>
      <c r="AF331" s="214">
        <v>2898</v>
      </c>
      <c r="AG331" s="214">
        <v>1</v>
      </c>
      <c r="AH331" s="3">
        <v>0</v>
      </c>
      <c r="AI331" s="3">
        <v>0</v>
      </c>
      <c r="AJ331" s="3">
        <v>13514.32</v>
      </c>
      <c r="AK331" s="3">
        <v>0</v>
      </c>
      <c r="AL331" s="3">
        <v>11222.98</v>
      </c>
      <c r="AM331" s="3">
        <v>0</v>
      </c>
      <c r="AN331" s="3">
        <v>0</v>
      </c>
      <c r="AO331" s="3">
        <v>0</v>
      </c>
      <c r="AP331" s="3">
        <v>0</v>
      </c>
      <c r="AQ331" s="3">
        <v>12149.61</v>
      </c>
      <c r="AR331" s="3">
        <v>0</v>
      </c>
      <c r="AS331" s="3">
        <v>0</v>
      </c>
      <c r="AT331" s="3">
        <v>0</v>
      </c>
      <c r="AU331" s="3">
        <f t="shared" si="36"/>
        <v>0</v>
      </c>
      <c r="AV331" s="17">
        <v>2898</v>
      </c>
      <c r="AW331" s="17">
        <v>2898</v>
      </c>
      <c r="AX331" s="17">
        <v>1</v>
      </c>
      <c r="AY331" s="3" t="s">
        <v>333</v>
      </c>
      <c r="AZ331" s="3">
        <v>0</v>
      </c>
      <c r="BA331" s="19">
        <v>115844.14</v>
      </c>
    </row>
    <row r="332" spans="1:53" x14ac:dyDescent="0.2">
      <c r="A332" s="17">
        <v>2899</v>
      </c>
      <c r="B332" s="17">
        <v>1</v>
      </c>
      <c r="C332" s="3" t="s">
        <v>1079</v>
      </c>
      <c r="D332" s="3">
        <f>Levy!F333</f>
        <v>180972</v>
      </c>
      <c r="E332" s="3">
        <f>Levy!G333</f>
        <v>138351</v>
      </c>
      <c r="F332" s="3">
        <f>Levy!H333</f>
        <v>0</v>
      </c>
      <c r="G332" s="3">
        <f>Levy!I333</f>
        <v>574002</v>
      </c>
      <c r="H332" s="217">
        <f>Levy!J333</f>
        <v>68578</v>
      </c>
      <c r="I332" s="219">
        <v>0</v>
      </c>
      <c r="J332" s="219">
        <v>5000</v>
      </c>
      <c r="K332" s="219">
        <v>29862.54</v>
      </c>
      <c r="L332" s="219">
        <v>0</v>
      </c>
      <c r="M332" s="219">
        <v>0</v>
      </c>
      <c r="N332" s="19">
        <v>0</v>
      </c>
      <c r="O332" s="19">
        <v>0</v>
      </c>
      <c r="P332" s="219">
        <v>-5380.32</v>
      </c>
      <c r="Q332" s="219">
        <v>0</v>
      </c>
      <c r="R332" s="219">
        <v>-6601.42</v>
      </c>
      <c r="S332" s="219">
        <v>0</v>
      </c>
      <c r="T332" s="19">
        <v>0</v>
      </c>
      <c r="U332" s="19">
        <v>0</v>
      </c>
      <c r="V332" s="19">
        <v>0</v>
      </c>
      <c r="W332" s="19">
        <v>0</v>
      </c>
      <c r="X332" s="19">
        <v>0</v>
      </c>
      <c r="Y332" s="217">
        <v>24224.82</v>
      </c>
      <c r="Z332" s="3">
        <f t="shared" si="31"/>
        <v>22880.800000000003</v>
      </c>
      <c r="AA332" s="3">
        <f t="shared" si="32"/>
        <v>689472.2</v>
      </c>
      <c r="AB332" s="3">
        <f t="shared" si="34"/>
        <v>68578</v>
      </c>
      <c r="AC332" s="3">
        <f>ROUND(MAX(0,(D332-V332)*'Shift 14'!$B$2),2)</f>
        <v>0</v>
      </c>
      <c r="AD332" s="3">
        <f t="shared" si="33"/>
        <v>24224.82</v>
      </c>
      <c r="AE332" s="3">
        <f t="shared" si="35"/>
        <v>0</v>
      </c>
      <c r="AF332" s="214">
        <v>2899</v>
      </c>
      <c r="AG332" s="214">
        <v>1</v>
      </c>
      <c r="AH332" s="3">
        <v>0</v>
      </c>
      <c r="AI332" s="3">
        <v>0</v>
      </c>
      <c r="AJ332" s="3">
        <v>23585.63</v>
      </c>
      <c r="AK332" s="3">
        <v>5000</v>
      </c>
      <c r="AL332" s="3">
        <v>29862.54</v>
      </c>
      <c r="AM332" s="3">
        <v>0</v>
      </c>
      <c r="AN332" s="3">
        <v>0</v>
      </c>
      <c r="AO332" s="3">
        <v>0</v>
      </c>
      <c r="AP332" s="3">
        <v>-6748.52</v>
      </c>
      <c r="AQ332" s="3">
        <v>-5380.32</v>
      </c>
      <c r="AR332" s="3">
        <v>0</v>
      </c>
      <c r="AS332" s="3">
        <v>-6601.42</v>
      </c>
      <c r="AT332" s="3">
        <v>0</v>
      </c>
      <c r="AU332" s="3">
        <f t="shared" si="36"/>
        <v>0</v>
      </c>
      <c r="AV332" s="17">
        <v>2899</v>
      </c>
      <c r="AW332" s="17">
        <v>2899</v>
      </c>
      <c r="AX332" s="17">
        <v>1</v>
      </c>
      <c r="AY332" s="3" t="s">
        <v>494</v>
      </c>
      <c r="AZ332" s="3">
        <v>0</v>
      </c>
      <c r="BA332" s="19">
        <v>24224.82</v>
      </c>
    </row>
    <row r="333" spans="1:53" x14ac:dyDescent="0.2">
      <c r="A333" s="17">
        <v>2902</v>
      </c>
      <c r="B333" s="17">
        <v>1</v>
      </c>
      <c r="C333" s="3" t="s">
        <v>493</v>
      </c>
      <c r="D333" s="3">
        <f>Levy!F334</f>
        <v>202991</v>
      </c>
      <c r="E333" s="3">
        <f>Levy!G334</f>
        <v>38849</v>
      </c>
      <c r="F333" s="3">
        <f>Levy!H334</f>
        <v>0</v>
      </c>
      <c r="G333" s="3">
        <f>Levy!I334</f>
        <v>369538</v>
      </c>
      <c r="H333" s="217">
        <f>Levy!J334</f>
        <v>44110</v>
      </c>
      <c r="I333" s="219">
        <v>0</v>
      </c>
      <c r="J333" s="219">
        <v>1130</v>
      </c>
      <c r="K333" s="219">
        <v>16801.759999999998</v>
      </c>
      <c r="L333" s="219">
        <v>0</v>
      </c>
      <c r="M333" s="219">
        <v>0</v>
      </c>
      <c r="N333" s="19">
        <v>0</v>
      </c>
      <c r="O333" s="19">
        <v>0</v>
      </c>
      <c r="P333" s="219">
        <v>-7053.71</v>
      </c>
      <c r="Q333" s="219">
        <v>0</v>
      </c>
      <c r="R333" s="219">
        <v>-2532.94</v>
      </c>
      <c r="S333" s="219">
        <v>0</v>
      </c>
      <c r="T333" s="19">
        <v>0</v>
      </c>
      <c r="U333" s="19">
        <v>0</v>
      </c>
      <c r="V333" s="19">
        <v>0</v>
      </c>
      <c r="W333" s="19">
        <v>0</v>
      </c>
      <c r="X333" s="19">
        <v>479.17</v>
      </c>
      <c r="Y333" s="217">
        <v>56182.83</v>
      </c>
      <c r="Z333" s="3">
        <f t="shared" si="31"/>
        <v>8345.1099999999988</v>
      </c>
      <c r="AA333" s="3">
        <f t="shared" si="32"/>
        <v>399562.72</v>
      </c>
      <c r="AB333" s="3">
        <f t="shared" si="34"/>
        <v>44110</v>
      </c>
      <c r="AC333" s="3">
        <f>ROUND(MAX(0,(D333-V333)*'Shift 14'!$B$2),2)</f>
        <v>0</v>
      </c>
      <c r="AD333" s="3">
        <f t="shared" si="33"/>
        <v>56182.83</v>
      </c>
      <c r="AE333" s="3">
        <f t="shared" si="35"/>
        <v>0</v>
      </c>
      <c r="AF333" s="214">
        <v>2902</v>
      </c>
      <c r="AG333" s="214">
        <v>1</v>
      </c>
      <c r="AH333" s="3">
        <v>0</v>
      </c>
      <c r="AI333" s="3">
        <v>0</v>
      </c>
      <c r="AJ333" s="3">
        <v>0</v>
      </c>
      <c r="AK333" s="3">
        <v>1130</v>
      </c>
      <c r="AL333" s="3">
        <v>16801.759999999998</v>
      </c>
      <c r="AM333" s="3">
        <v>0</v>
      </c>
      <c r="AN333" s="3">
        <v>0</v>
      </c>
      <c r="AO333" s="3">
        <v>0</v>
      </c>
      <c r="AP333" s="3">
        <v>-893.68</v>
      </c>
      <c r="AQ333" s="3">
        <v>-7053.71</v>
      </c>
      <c r="AR333" s="3">
        <v>0</v>
      </c>
      <c r="AS333" s="3">
        <v>-2532.94</v>
      </c>
      <c r="AT333" s="3">
        <v>0</v>
      </c>
      <c r="AU333" s="3">
        <f t="shared" si="36"/>
        <v>0</v>
      </c>
      <c r="AV333" s="17">
        <v>2902</v>
      </c>
      <c r="AW333" s="17">
        <v>2902</v>
      </c>
      <c r="AX333" s="17">
        <v>1</v>
      </c>
      <c r="AY333" s="3" t="s">
        <v>493</v>
      </c>
      <c r="AZ333" s="3">
        <v>479.17</v>
      </c>
      <c r="BA333" s="19">
        <v>56182.83</v>
      </c>
    </row>
    <row r="334" spans="1:53" x14ac:dyDescent="0.2">
      <c r="A334" s="17">
        <v>2903</v>
      </c>
      <c r="B334" s="17">
        <v>1</v>
      </c>
      <c r="C334" s="3" t="s">
        <v>633</v>
      </c>
      <c r="D334" s="3">
        <f>Levy!F335</f>
        <v>345849.45</v>
      </c>
      <c r="E334" s="3">
        <f>Levy!G335</f>
        <v>24808.6</v>
      </c>
      <c r="F334" s="3">
        <f>Levy!H335</f>
        <v>0</v>
      </c>
      <c r="G334" s="3">
        <f>Levy!I335</f>
        <v>271226.11</v>
      </c>
      <c r="H334" s="217">
        <f>Levy!J335</f>
        <v>47480.53</v>
      </c>
      <c r="I334" s="219">
        <v>0</v>
      </c>
      <c r="J334" s="219">
        <v>0</v>
      </c>
      <c r="K334" s="219">
        <v>23392.63</v>
      </c>
      <c r="L334" s="219">
        <v>0</v>
      </c>
      <c r="M334" s="219">
        <v>0</v>
      </c>
      <c r="N334" s="19">
        <v>0</v>
      </c>
      <c r="O334" s="19">
        <v>0</v>
      </c>
      <c r="P334" s="219">
        <v>100.1</v>
      </c>
      <c r="Q334" s="219">
        <v>-100.1</v>
      </c>
      <c r="R334" s="219">
        <v>-10214.280000000001</v>
      </c>
      <c r="S334" s="219">
        <v>0</v>
      </c>
      <c r="T334" s="19">
        <v>0</v>
      </c>
      <c r="U334" s="19">
        <v>0</v>
      </c>
      <c r="V334" s="19">
        <v>0</v>
      </c>
      <c r="W334" s="19">
        <v>0</v>
      </c>
      <c r="X334" s="19">
        <v>0</v>
      </c>
      <c r="Y334" s="217">
        <v>78903.95</v>
      </c>
      <c r="Z334" s="3">
        <f t="shared" si="31"/>
        <v>13178.35</v>
      </c>
      <c r="AA334" s="3">
        <f t="shared" si="32"/>
        <v>282856.36</v>
      </c>
      <c r="AB334" s="3">
        <f t="shared" si="34"/>
        <v>47480.53</v>
      </c>
      <c r="AC334" s="3">
        <f>ROUND(MAX(0,(D334-V334)*'Shift 14'!$B$2),2)</f>
        <v>0</v>
      </c>
      <c r="AD334" s="3">
        <f t="shared" si="33"/>
        <v>78903.95</v>
      </c>
      <c r="AE334" s="3">
        <f t="shared" si="35"/>
        <v>0</v>
      </c>
      <c r="AF334" s="214">
        <v>2903</v>
      </c>
      <c r="AG334" s="214">
        <v>1</v>
      </c>
      <c r="AH334" s="3">
        <v>0</v>
      </c>
      <c r="AI334" s="3">
        <v>0</v>
      </c>
      <c r="AJ334" s="3">
        <v>0</v>
      </c>
      <c r="AK334" s="3">
        <v>0</v>
      </c>
      <c r="AL334" s="3">
        <v>23392.63</v>
      </c>
      <c r="AM334" s="3">
        <v>0</v>
      </c>
      <c r="AN334" s="3">
        <v>0</v>
      </c>
      <c r="AO334" s="3">
        <v>0</v>
      </c>
      <c r="AP334" s="3">
        <v>0</v>
      </c>
      <c r="AQ334" s="3">
        <v>100.1</v>
      </c>
      <c r="AR334" s="3">
        <v>-100.1</v>
      </c>
      <c r="AS334" s="3">
        <v>-10214.280000000001</v>
      </c>
      <c r="AT334" s="3">
        <v>0</v>
      </c>
      <c r="AU334" s="3">
        <f t="shared" si="36"/>
        <v>0</v>
      </c>
      <c r="AV334" s="17">
        <v>2903</v>
      </c>
      <c r="AW334" s="17">
        <v>2903</v>
      </c>
      <c r="AX334" s="17">
        <v>1</v>
      </c>
      <c r="AY334" s="3" t="s">
        <v>633</v>
      </c>
      <c r="AZ334" s="3">
        <v>0</v>
      </c>
      <c r="BA334" s="19">
        <v>78903.95</v>
      </c>
    </row>
    <row r="335" spans="1:53" x14ac:dyDescent="0.2">
      <c r="A335" s="17">
        <v>2904</v>
      </c>
      <c r="B335" s="17">
        <v>1</v>
      </c>
      <c r="C335" s="3" t="s">
        <v>634</v>
      </c>
      <c r="D335" s="3">
        <f>Levy!F336</f>
        <v>485195</v>
      </c>
      <c r="E335" s="3">
        <f>Levy!G336</f>
        <v>83524</v>
      </c>
      <c r="F335" s="3">
        <f>Levy!H336</f>
        <v>100000</v>
      </c>
      <c r="G335" s="3">
        <f>Levy!I336</f>
        <v>456905</v>
      </c>
      <c r="H335" s="217">
        <f>Levy!J336</f>
        <v>66987</v>
      </c>
      <c r="I335" s="219">
        <v>0</v>
      </c>
      <c r="J335" s="219">
        <v>12000</v>
      </c>
      <c r="K335" s="219">
        <v>24642.17</v>
      </c>
      <c r="L335" s="219">
        <v>0</v>
      </c>
      <c r="M335" s="219">
        <v>0</v>
      </c>
      <c r="N335" s="19">
        <v>0</v>
      </c>
      <c r="O335" s="19">
        <v>0</v>
      </c>
      <c r="P335" s="219">
        <v>-8313.0400000000009</v>
      </c>
      <c r="Q335" s="219">
        <v>0</v>
      </c>
      <c r="R335" s="219">
        <v>-4190.2</v>
      </c>
      <c r="S335" s="219">
        <v>0</v>
      </c>
      <c r="T335" s="19">
        <v>0</v>
      </c>
      <c r="U335" s="19">
        <v>0</v>
      </c>
      <c r="V335" s="19">
        <v>0</v>
      </c>
      <c r="W335" s="19">
        <v>0</v>
      </c>
      <c r="X335" s="19">
        <v>4004.21</v>
      </c>
      <c r="Y335" s="217">
        <v>99195.199999999997</v>
      </c>
      <c r="Z335" s="3">
        <f t="shared" si="31"/>
        <v>24138.929999999997</v>
      </c>
      <c r="AA335" s="3">
        <f t="shared" si="32"/>
        <v>612285.86</v>
      </c>
      <c r="AB335" s="3">
        <f t="shared" si="34"/>
        <v>66987</v>
      </c>
      <c r="AC335" s="3">
        <f>ROUND(MAX(0,(D335-V335)*'Shift 14'!$B$2),2)</f>
        <v>0</v>
      </c>
      <c r="AD335" s="3">
        <f t="shared" si="33"/>
        <v>99195.199999999997</v>
      </c>
      <c r="AE335" s="3">
        <f t="shared" si="35"/>
        <v>0</v>
      </c>
      <c r="AF335" s="214">
        <v>2904</v>
      </c>
      <c r="AG335" s="214">
        <v>1</v>
      </c>
      <c r="AH335" s="3">
        <v>0</v>
      </c>
      <c r="AI335" s="3">
        <v>0</v>
      </c>
      <c r="AJ335" s="3">
        <v>20825.37</v>
      </c>
      <c r="AK335" s="3">
        <v>12000</v>
      </c>
      <c r="AL335" s="3">
        <v>24642.17</v>
      </c>
      <c r="AM335" s="3">
        <v>0</v>
      </c>
      <c r="AN335" s="3">
        <v>0</v>
      </c>
      <c r="AO335" s="3">
        <v>0</v>
      </c>
      <c r="AP335" s="3">
        <v>0</v>
      </c>
      <c r="AQ335" s="3">
        <v>-8313.0400000000009</v>
      </c>
      <c r="AR335" s="3">
        <v>0</v>
      </c>
      <c r="AS335" s="3">
        <v>-4190.2</v>
      </c>
      <c r="AT335" s="3">
        <v>0</v>
      </c>
      <c r="AU335" s="3">
        <f t="shared" si="36"/>
        <v>0</v>
      </c>
      <c r="AV335" s="17">
        <v>2904</v>
      </c>
      <c r="AW335" s="17">
        <v>2904</v>
      </c>
      <c r="AX335" s="17">
        <v>1</v>
      </c>
      <c r="AY335" s="3" t="s">
        <v>634</v>
      </c>
      <c r="AZ335" s="3">
        <v>4004.21</v>
      </c>
      <c r="BA335" s="19">
        <v>99195.199999999997</v>
      </c>
    </row>
    <row r="336" spans="1:53" x14ac:dyDescent="0.2">
      <c r="A336" s="17">
        <v>2905</v>
      </c>
      <c r="B336" s="17">
        <v>1</v>
      </c>
      <c r="C336" s="3" t="s">
        <v>1129</v>
      </c>
      <c r="D336" s="3">
        <f>Levy!F337</f>
        <v>518422.38</v>
      </c>
      <c r="E336" s="3">
        <f>Levy!G337</f>
        <v>155153.60999999999</v>
      </c>
      <c r="F336" s="3">
        <f>Levy!H337</f>
        <v>0</v>
      </c>
      <c r="G336" s="3">
        <f>Levy!I337</f>
        <v>1217581.3500000001</v>
      </c>
      <c r="H336" s="217">
        <f>Levy!J337</f>
        <v>146536.23000000001</v>
      </c>
      <c r="I336" s="219">
        <v>0</v>
      </c>
      <c r="J336" s="219">
        <v>24689</v>
      </c>
      <c r="K336" s="219">
        <v>34984.620000000003</v>
      </c>
      <c r="L336" s="219">
        <v>0</v>
      </c>
      <c r="M336" s="219">
        <v>0</v>
      </c>
      <c r="N336" s="19">
        <v>0</v>
      </c>
      <c r="O336" s="19">
        <v>0</v>
      </c>
      <c r="P336" s="219">
        <v>-10811.15</v>
      </c>
      <c r="Q336" s="219">
        <v>0</v>
      </c>
      <c r="R336" s="219">
        <v>0</v>
      </c>
      <c r="S336" s="219">
        <v>0</v>
      </c>
      <c r="T336" s="19">
        <v>0</v>
      </c>
      <c r="U336" s="19">
        <v>0</v>
      </c>
      <c r="V336" s="19">
        <v>0</v>
      </c>
      <c r="W336" s="19">
        <v>0</v>
      </c>
      <c r="X336" s="19">
        <v>0</v>
      </c>
      <c r="Y336" s="217">
        <v>24770.37</v>
      </c>
      <c r="Z336" s="3">
        <f t="shared" si="31"/>
        <v>48862.47</v>
      </c>
      <c r="AA336" s="3">
        <f t="shared" si="32"/>
        <v>1323872.49</v>
      </c>
      <c r="AB336" s="3">
        <f t="shared" si="34"/>
        <v>146536.23000000001</v>
      </c>
      <c r="AC336" s="3">
        <f>ROUND(MAX(0,(D336-V336)*'Shift 14'!$B$2),2)</f>
        <v>0</v>
      </c>
      <c r="AD336" s="3">
        <f t="shared" si="33"/>
        <v>24770.37</v>
      </c>
      <c r="AE336" s="3">
        <f t="shared" si="35"/>
        <v>0</v>
      </c>
      <c r="AF336" s="214">
        <v>2905</v>
      </c>
      <c r="AG336" s="214">
        <v>1</v>
      </c>
      <c r="AH336" s="3">
        <v>0</v>
      </c>
      <c r="AI336" s="3">
        <v>0</v>
      </c>
      <c r="AJ336" s="3">
        <v>0</v>
      </c>
      <c r="AK336" s="3">
        <v>24689</v>
      </c>
      <c r="AL336" s="3">
        <v>34984.620000000003</v>
      </c>
      <c r="AM336" s="3">
        <v>0</v>
      </c>
      <c r="AN336" s="3">
        <v>0</v>
      </c>
      <c r="AO336" s="3">
        <v>0</v>
      </c>
      <c r="AP336" s="3">
        <v>-4725.42</v>
      </c>
      <c r="AQ336" s="3">
        <v>-10811.15</v>
      </c>
      <c r="AR336" s="3">
        <v>0</v>
      </c>
      <c r="AS336" s="3">
        <v>0</v>
      </c>
      <c r="AT336" s="3">
        <v>0</v>
      </c>
      <c r="AU336" s="3">
        <f t="shared" si="36"/>
        <v>0</v>
      </c>
      <c r="AV336" s="17">
        <v>2905</v>
      </c>
      <c r="AW336" s="17">
        <v>2905</v>
      </c>
      <c r="AX336" s="17">
        <v>1</v>
      </c>
      <c r="AY336" s="162" t="s">
        <v>698</v>
      </c>
      <c r="AZ336" s="3">
        <v>0</v>
      </c>
      <c r="BA336" s="3">
        <v>24770.37</v>
      </c>
    </row>
    <row r="337" spans="1:53" x14ac:dyDescent="0.2">
      <c r="A337" s="17">
        <v>2906</v>
      </c>
      <c r="B337" s="17">
        <v>1</v>
      </c>
      <c r="C337" s="3" t="s">
        <v>1085</v>
      </c>
      <c r="D337" s="3">
        <f>Levy!F338</f>
        <v>328224</v>
      </c>
      <c r="E337" s="3">
        <f>Levy!G338</f>
        <v>33804</v>
      </c>
      <c r="F337" s="3">
        <f>Levy!H338</f>
        <v>0</v>
      </c>
      <c r="G337" s="3">
        <f>Levy!I338</f>
        <v>548175</v>
      </c>
      <c r="H337" s="217">
        <f>Levy!J338</f>
        <v>49057</v>
      </c>
      <c r="I337" s="219">
        <v>0</v>
      </c>
      <c r="J337" s="219">
        <v>0</v>
      </c>
      <c r="K337" s="219">
        <v>16390.79</v>
      </c>
      <c r="L337" s="219">
        <v>0</v>
      </c>
      <c r="M337" s="219">
        <v>0</v>
      </c>
      <c r="N337" s="19">
        <v>0</v>
      </c>
      <c r="O337" s="19">
        <v>0</v>
      </c>
      <c r="P337" s="219">
        <v>-8253.66</v>
      </c>
      <c r="Q337" s="219">
        <v>0</v>
      </c>
      <c r="R337" s="219">
        <v>0</v>
      </c>
      <c r="S337" s="219">
        <v>0</v>
      </c>
      <c r="T337" s="19">
        <v>0</v>
      </c>
      <c r="U337" s="19">
        <v>0</v>
      </c>
      <c r="V337" s="19">
        <v>0</v>
      </c>
      <c r="W337" s="19">
        <v>0</v>
      </c>
      <c r="X337" s="19">
        <v>5099.47</v>
      </c>
      <c r="Y337" s="217">
        <v>99235.76999999999</v>
      </c>
      <c r="Z337" s="3">
        <f t="shared" si="31"/>
        <v>8137.130000000001</v>
      </c>
      <c r="AA337" s="3">
        <f t="shared" si="32"/>
        <v>568742.40000000002</v>
      </c>
      <c r="AB337" s="3">
        <f t="shared" si="34"/>
        <v>49057</v>
      </c>
      <c r="AC337" s="3">
        <f>ROUND(MAX(0,(D337-V337)*'Shift 14'!$B$2),2)</f>
        <v>0</v>
      </c>
      <c r="AD337" s="3">
        <f t="shared" si="33"/>
        <v>99235.76999999999</v>
      </c>
      <c r="AE337" s="3">
        <f t="shared" si="35"/>
        <v>0</v>
      </c>
      <c r="AF337" s="214">
        <v>2906</v>
      </c>
      <c r="AG337" s="214">
        <v>1</v>
      </c>
      <c r="AH337" s="3">
        <v>0</v>
      </c>
      <c r="AI337" s="3">
        <v>0</v>
      </c>
      <c r="AJ337" s="3">
        <v>0</v>
      </c>
      <c r="AK337" s="3">
        <v>0</v>
      </c>
      <c r="AL337" s="3">
        <v>16390.79</v>
      </c>
      <c r="AM337" s="3">
        <v>0</v>
      </c>
      <c r="AN337" s="3">
        <v>0</v>
      </c>
      <c r="AO337" s="3">
        <v>0</v>
      </c>
      <c r="AP337" s="3">
        <v>0</v>
      </c>
      <c r="AQ337" s="3">
        <v>-8253.66</v>
      </c>
      <c r="AR337" s="3">
        <v>0</v>
      </c>
      <c r="AS337" s="3">
        <v>0</v>
      </c>
      <c r="AT337" s="3">
        <v>0</v>
      </c>
      <c r="AU337" s="3">
        <f t="shared" si="36"/>
        <v>0</v>
      </c>
      <c r="AV337" s="17">
        <v>2906</v>
      </c>
      <c r="AZ337" s="3">
        <v>5099.47</v>
      </c>
      <c r="BA337" s="3">
        <v>99235.76999999999</v>
      </c>
    </row>
    <row r="338" spans="1:53" x14ac:dyDescent="0.2">
      <c r="A338" s="17">
        <v>2907</v>
      </c>
      <c r="B338" s="17">
        <v>1</v>
      </c>
      <c r="C338" s="3" t="s">
        <v>1127</v>
      </c>
      <c r="D338" s="3">
        <f>Levy!F339</f>
        <v>337890.42</v>
      </c>
      <c r="E338" s="3">
        <f>Levy!G339</f>
        <v>7075.46</v>
      </c>
      <c r="F338" s="3">
        <f>Levy!H339</f>
        <v>0</v>
      </c>
      <c r="G338" s="3">
        <f>Levy!I339</f>
        <v>351702.55</v>
      </c>
      <c r="H338" s="217">
        <f>Levy!J339</f>
        <v>28193.42</v>
      </c>
      <c r="I338" s="219">
        <v>0</v>
      </c>
      <c r="J338" s="219">
        <v>9990</v>
      </c>
      <c r="K338" s="219">
        <v>0</v>
      </c>
      <c r="L338" s="219">
        <v>0</v>
      </c>
      <c r="M338" s="219">
        <v>0</v>
      </c>
      <c r="N338" s="19">
        <v>0</v>
      </c>
      <c r="O338" s="19">
        <v>0</v>
      </c>
      <c r="P338" s="219">
        <v>-3339.13</v>
      </c>
      <c r="Q338" s="219">
        <v>0</v>
      </c>
      <c r="R338" s="219">
        <v>0</v>
      </c>
      <c r="S338" s="219">
        <v>0</v>
      </c>
      <c r="T338" s="19">
        <v>0</v>
      </c>
      <c r="U338" s="19">
        <v>0</v>
      </c>
      <c r="V338" s="19">
        <v>0</v>
      </c>
      <c r="W338" s="19">
        <v>0</v>
      </c>
      <c r="X338" s="19">
        <v>7070.9400000000005</v>
      </c>
      <c r="Y338" s="217">
        <v>77208.320000000007</v>
      </c>
      <c r="Z338" s="3">
        <f t="shared" si="31"/>
        <v>6650.87</v>
      </c>
      <c r="AA338" s="3">
        <f t="shared" si="32"/>
        <v>345056.2</v>
      </c>
      <c r="AB338" s="3">
        <f t="shared" si="34"/>
        <v>28193.42</v>
      </c>
      <c r="AC338" s="3">
        <f>ROUND(MAX(0,(D338-V338)*'Shift 14'!$B$2),2)</f>
        <v>0</v>
      </c>
      <c r="AD338" s="3">
        <f t="shared" si="33"/>
        <v>77208.320000000007</v>
      </c>
      <c r="AE338" s="3">
        <f t="shared" si="35"/>
        <v>0</v>
      </c>
      <c r="AF338" s="214">
        <v>2907</v>
      </c>
      <c r="AG338" s="214">
        <v>1</v>
      </c>
      <c r="AH338" s="3">
        <v>0</v>
      </c>
      <c r="AI338" s="3">
        <v>0</v>
      </c>
      <c r="AJ338" s="3">
        <v>10211.91</v>
      </c>
      <c r="AK338" s="3">
        <v>9990</v>
      </c>
      <c r="AL338" s="3">
        <v>0</v>
      </c>
      <c r="AM338" s="3">
        <v>0</v>
      </c>
      <c r="AN338" s="3">
        <v>0</v>
      </c>
      <c r="AO338" s="3">
        <v>0</v>
      </c>
      <c r="AP338" s="3">
        <v>33.39</v>
      </c>
      <c r="AQ338" s="3">
        <v>-3339.13</v>
      </c>
      <c r="AR338" s="3">
        <v>0</v>
      </c>
      <c r="AS338" s="3">
        <v>0</v>
      </c>
      <c r="AT338" s="3">
        <v>0</v>
      </c>
      <c r="AU338" s="3">
        <f t="shared" si="36"/>
        <v>0</v>
      </c>
      <c r="AV338" s="17">
        <v>2907</v>
      </c>
      <c r="AZ338" s="3">
        <v>7070.9400000000005</v>
      </c>
      <c r="BA338" s="3">
        <v>77208.320000000007</v>
      </c>
    </row>
    <row r="339" spans="1:53" x14ac:dyDescent="0.2">
      <c r="A339" s="17">
        <v>2908</v>
      </c>
      <c r="B339" s="17">
        <v>1</v>
      </c>
      <c r="C339" s="3" t="s">
        <v>1128</v>
      </c>
      <c r="D339" s="3">
        <f>Levy!F340</f>
        <v>332679.06</v>
      </c>
      <c r="E339" s="3">
        <f>Levy!G340</f>
        <v>47368.78</v>
      </c>
      <c r="F339" s="3">
        <f>Levy!H340</f>
        <v>0</v>
      </c>
      <c r="G339" s="3">
        <f>Levy!I340</f>
        <v>313765.78000000003</v>
      </c>
      <c r="H339" s="217">
        <f>Levy!J340</f>
        <v>41778.39</v>
      </c>
      <c r="I339" s="219">
        <v>0</v>
      </c>
      <c r="J339" s="219">
        <v>15000</v>
      </c>
      <c r="K339" s="219">
        <v>26815.88</v>
      </c>
      <c r="L339" s="219">
        <v>0</v>
      </c>
      <c r="M339" s="219">
        <v>0</v>
      </c>
      <c r="N339" s="19">
        <v>0</v>
      </c>
      <c r="O339" s="19">
        <v>0</v>
      </c>
      <c r="P339" s="219">
        <v>-15493.12</v>
      </c>
      <c r="Q339" s="219">
        <v>-4306.76</v>
      </c>
      <c r="R339" s="219">
        <v>0</v>
      </c>
      <c r="S339" s="219">
        <v>0</v>
      </c>
      <c r="T339" s="19">
        <v>0</v>
      </c>
      <c r="U339" s="19">
        <v>0</v>
      </c>
      <c r="V339" s="19">
        <v>0</v>
      </c>
      <c r="W339" s="19">
        <v>0</v>
      </c>
      <c r="X339" s="19">
        <v>0</v>
      </c>
      <c r="Y339" s="217">
        <v>0</v>
      </c>
      <c r="Z339" s="3">
        <f t="shared" si="31"/>
        <v>22016</v>
      </c>
      <c r="AA339" s="3">
        <f t="shared" si="32"/>
        <v>339118.56</v>
      </c>
      <c r="AB339" s="3">
        <f t="shared" si="34"/>
        <v>41778.39</v>
      </c>
      <c r="AC339" s="3">
        <f>ROUND(MAX(0,(D339-V339)*'Shift 14'!$B$2),2)</f>
        <v>0</v>
      </c>
      <c r="AD339" s="3">
        <f t="shared" si="33"/>
        <v>0</v>
      </c>
      <c r="AE339" s="3">
        <f t="shared" si="35"/>
        <v>0</v>
      </c>
      <c r="AF339" s="214">
        <v>2908</v>
      </c>
      <c r="AG339" s="214">
        <v>1</v>
      </c>
      <c r="AH339" s="3">
        <v>0</v>
      </c>
      <c r="AI339" s="3">
        <v>0</v>
      </c>
      <c r="AJ339" s="3">
        <v>0</v>
      </c>
      <c r="AK339" s="3">
        <v>15000</v>
      </c>
      <c r="AL339" s="3">
        <v>26815.88</v>
      </c>
      <c r="AM339" s="3">
        <v>0</v>
      </c>
      <c r="AN339" s="3">
        <v>0</v>
      </c>
      <c r="AO339" s="3">
        <v>0</v>
      </c>
      <c r="AP339" s="3">
        <v>0</v>
      </c>
      <c r="AQ339" s="3">
        <v>-15493.12</v>
      </c>
      <c r="AR339" s="3">
        <v>-4306.76</v>
      </c>
      <c r="AS339" s="3">
        <v>0</v>
      </c>
      <c r="AT339" s="3">
        <v>0</v>
      </c>
      <c r="AU339" s="3">
        <f t="shared" si="36"/>
        <v>0</v>
      </c>
      <c r="AV339" s="17">
        <v>2908</v>
      </c>
      <c r="AZ339" s="3">
        <v>0</v>
      </c>
      <c r="BA339" s="3">
        <v>0</v>
      </c>
    </row>
    <row r="340" spans="1:53" x14ac:dyDescent="0.2">
      <c r="A340" s="154" t="s">
        <v>1241</v>
      </c>
      <c r="H340" s="19"/>
      <c r="I340" s="19"/>
      <c r="J340" s="19"/>
      <c r="K340" s="19"/>
      <c r="L340" s="19"/>
      <c r="M340" s="19"/>
      <c r="N340" s="19"/>
      <c r="O340" s="19"/>
      <c r="P340" s="19"/>
      <c r="Q340" s="19"/>
      <c r="R340" s="19"/>
      <c r="S340" s="19"/>
      <c r="T340" s="19"/>
      <c r="U340" s="19"/>
      <c r="V340" s="19"/>
      <c r="W340" s="19"/>
      <c r="X340" s="19"/>
      <c r="Y340" s="19"/>
      <c r="AE340" s="3">
        <f>SUM(AE8:AE339)</f>
        <v>0</v>
      </c>
    </row>
    <row r="341" spans="1:53" hidden="1" x14ac:dyDescent="0.2">
      <c r="H341" s="19"/>
      <c r="I341" s="19"/>
      <c r="J341" s="19"/>
      <c r="K341" s="19"/>
      <c r="L341" s="19"/>
      <c r="M341" s="19"/>
      <c r="N341" s="19"/>
      <c r="O341" s="19"/>
      <c r="P341" s="19"/>
      <c r="Q341" s="19"/>
      <c r="R341" s="19"/>
      <c r="S341" s="19"/>
      <c r="T341" s="19"/>
      <c r="U341" s="19"/>
      <c r="V341" s="19"/>
      <c r="W341" s="19"/>
      <c r="X341" s="19"/>
      <c r="Y341" s="19"/>
    </row>
    <row r="342" spans="1:53" hidden="1" x14ac:dyDescent="0.2">
      <c r="H342" s="19"/>
      <c r="I342" s="19"/>
      <c r="J342" s="19"/>
      <c r="K342" s="19"/>
      <c r="L342" s="19"/>
      <c r="M342" s="19"/>
      <c r="N342" s="19"/>
      <c r="O342" s="19"/>
      <c r="P342" s="19"/>
      <c r="Q342" s="19"/>
      <c r="R342" s="19"/>
      <c r="S342" s="19"/>
      <c r="T342" s="19"/>
      <c r="U342" s="19"/>
      <c r="V342" s="19"/>
      <c r="W342" s="19"/>
      <c r="X342" s="19"/>
      <c r="Y342" s="19"/>
    </row>
    <row r="343" spans="1:53" hidden="1" x14ac:dyDescent="0.2">
      <c r="H343" s="19"/>
      <c r="I343" s="19"/>
      <c r="J343" s="19"/>
      <c r="K343" s="19"/>
      <c r="L343" s="19"/>
      <c r="M343" s="19"/>
      <c r="N343" s="19"/>
      <c r="O343" s="19"/>
      <c r="P343" s="19"/>
      <c r="Q343" s="19"/>
      <c r="R343" s="19"/>
      <c r="S343" s="19"/>
      <c r="T343" s="19"/>
      <c r="U343" s="19"/>
      <c r="V343" s="19"/>
      <c r="W343" s="19"/>
      <c r="X343" s="19"/>
      <c r="Y343" s="19"/>
    </row>
    <row r="344" spans="1:53" hidden="1" x14ac:dyDescent="0.2">
      <c r="H344" s="19"/>
      <c r="I344" s="19"/>
      <c r="J344" s="19"/>
      <c r="K344" s="19"/>
      <c r="L344" s="19"/>
      <c r="M344" s="19"/>
      <c r="N344" s="19"/>
      <c r="O344" s="19"/>
      <c r="P344" s="19"/>
      <c r="Q344" s="19"/>
      <c r="R344" s="19"/>
      <c r="S344" s="19"/>
      <c r="T344" s="19"/>
      <c r="U344" s="19"/>
      <c r="V344" s="19"/>
      <c r="W344" s="19"/>
      <c r="X344" s="19"/>
      <c r="Y344" s="19"/>
    </row>
    <row r="345" spans="1:53" hidden="1" x14ac:dyDescent="0.2">
      <c r="H345" s="19"/>
      <c r="I345" s="19"/>
      <c r="J345" s="19"/>
      <c r="K345" s="19"/>
      <c r="L345" s="19"/>
      <c r="M345" s="19"/>
      <c r="N345" s="19"/>
      <c r="O345" s="19"/>
      <c r="P345" s="19"/>
      <c r="Q345" s="19"/>
      <c r="R345" s="19"/>
      <c r="S345" s="19"/>
      <c r="T345" s="19"/>
      <c r="U345" s="19"/>
      <c r="V345" s="19"/>
      <c r="W345" s="19"/>
      <c r="X345" s="19"/>
      <c r="Y345" s="19"/>
      <c r="AV345" s="17">
        <v>2769</v>
      </c>
      <c r="AW345" s="17">
        <v>611</v>
      </c>
      <c r="AX345" s="17">
        <v>1</v>
      </c>
      <c r="AY345" s="3" t="s">
        <v>184</v>
      </c>
      <c r="AZ345" s="3">
        <v>0</v>
      </c>
      <c r="BA345" s="19">
        <v>23770.639999999999</v>
      </c>
    </row>
    <row r="346" spans="1:53" hidden="1" x14ac:dyDescent="0.2">
      <c r="H346" s="19"/>
      <c r="I346" s="19"/>
      <c r="J346" s="19"/>
      <c r="K346" s="19"/>
      <c r="L346" s="19"/>
      <c r="M346" s="19"/>
      <c r="N346" s="19"/>
      <c r="O346" s="19"/>
      <c r="P346" s="19"/>
      <c r="Q346" s="19"/>
      <c r="R346" s="19"/>
      <c r="S346" s="19"/>
      <c r="T346" s="19"/>
      <c r="U346" s="19"/>
      <c r="V346" s="19"/>
      <c r="W346" s="19"/>
      <c r="X346" s="19"/>
      <c r="Y346" s="19"/>
      <c r="AV346" s="17">
        <v>2769</v>
      </c>
      <c r="AW346" s="17">
        <v>769</v>
      </c>
      <c r="AX346" s="17">
        <v>1</v>
      </c>
      <c r="AY346" s="3" t="s">
        <v>231</v>
      </c>
      <c r="AZ346" s="3">
        <v>0</v>
      </c>
      <c r="BA346" s="19">
        <v>161645.93</v>
      </c>
    </row>
    <row r="347" spans="1:53" hidden="1" x14ac:dyDescent="0.2">
      <c r="H347" s="19"/>
      <c r="I347" s="19"/>
      <c r="J347" s="19"/>
      <c r="K347" s="19"/>
      <c r="L347" s="19"/>
      <c r="M347" s="19"/>
      <c r="N347" s="19"/>
      <c r="O347" s="19"/>
      <c r="P347" s="19"/>
      <c r="Q347" s="19"/>
      <c r="R347" s="19"/>
      <c r="S347" s="19"/>
      <c r="T347" s="19"/>
      <c r="U347" s="19"/>
      <c r="V347" s="19"/>
      <c r="W347" s="19"/>
      <c r="X347" s="19"/>
      <c r="Y347" s="19"/>
      <c r="AV347" s="17">
        <v>2769</v>
      </c>
      <c r="AZ347" s="3">
        <f>SUM(AZ345:AZ346)</f>
        <v>0</v>
      </c>
      <c r="BA347" s="3">
        <f>SUM(BA345:BA346)</f>
        <v>185416.57</v>
      </c>
    </row>
    <row r="348" spans="1:53" hidden="1" x14ac:dyDescent="0.2">
      <c r="H348" s="19"/>
      <c r="I348" s="19"/>
      <c r="J348" s="19"/>
      <c r="K348" s="19"/>
      <c r="L348" s="19"/>
      <c r="M348" s="19"/>
      <c r="N348" s="19"/>
      <c r="O348" s="19"/>
      <c r="P348" s="19"/>
      <c r="Q348" s="19"/>
      <c r="R348" s="19"/>
      <c r="S348" s="19"/>
      <c r="T348" s="19"/>
      <c r="U348" s="19"/>
      <c r="V348" s="19"/>
      <c r="W348" s="19"/>
      <c r="X348" s="19"/>
      <c r="Y348" s="19"/>
    </row>
    <row r="349" spans="1:53" hidden="1" x14ac:dyDescent="0.2">
      <c r="H349" s="19"/>
      <c r="I349" s="19"/>
      <c r="J349" s="19"/>
      <c r="K349" s="19"/>
      <c r="L349" s="19"/>
      <c r="M349" s="19"/>
      <c r="N349" s="19"/>
      <c r="O349" s="19"/>
      <c r="P349" s="19"/>
      <c r="Q349" s="19"/>
      <c r="R349" s="19"/>
      <c r="S349" s="19"/>
      <c r="T349" s="19"/>
      <c r="U349" s="19"/>
      <c r="V349" s="19"/>
      <c r="W349" s="19"/>
      <c r="X349" s="19"/>
      <c r="Y349" s="19"/>
      <c r="AV349" s="17">
        <v>2906</v>
      </c>
      <c r="AW349" s="17">
        <v>627</v>
      </c>
      <c r="AX349" s="17">
        <v>1</v>
      </c>
      <c r="AY349" s="3" t="s">
        <v>190</v>
      </c>
      <c r="AZ349" s="3">
        <v>0</v>
      </c>
      <c r="BA349" s="19">
        <v>75830.539999999994</v>
      </c>
    </row>
    <row r="350" spans="1:53" hidden="1" x14ac:dyDescent="0.2">
      <c r="H350" s="19"/>
      <c r="I350" s="19"/>
      <c r="J350" s="19"/>
      <c r="K350" s="19"/>
      <c r="L350" s="19"/>
      <c r="M350" s="19"/>
      <c r="N350" s="19"/>
      <c r="O350" s="19"/>
      <c r="P350" s="19"/>
      <c r="Q350" s="19"/>
      <c r="R350" s="19"/>
      <c r="S350" s="19"/>
      <c r="T350" s="19"/>
      <c r="U350" s="19"/>
      <c r="V350" s="19"/>
      <c r="W350" s="19"/>
      <c r="X350" s="19"/>
      <c r="Y350" s="19"/>
      <c r="AV350" s="17">
        <v>2906</v>
      </c>
      <c r="AW350" s="17">
        <v>628</v>
      </c>
      <c r="AX350" s="17">
        <v>1</v>
      </c>
      <c r="AY350" s="3" t="s">
        <v>191</v>
      </c>
      <c r="AZ350" s="3">
        <v>5099.47</v>
      </c>
      <c r="BA350" s="19">
        <v>23405.23</v>
      </c>
    </row>
    <row r="351" spans="1:53" hidden="1" x14ac:dyDescent="0.2">
      <c r="H351" s="19"/>
      <c r="I351" s="19"/>
      <c r="J351" s="19"/>
      <c r="K351" s="19"/>
      <c r="L351" s="19"/>
      <c r="M351" s="19"/>
      <c r="N351" s="19"/>
      <c r="O351" s="19"/>
      <c r="P351" s="19"/>
      <c r="Q351" s="19"/>
      <c r="R351" s="19"/>
      <c r="S351" s="19"/>
      <c r="T351" s="19"/>
      <c r="U351" s="19"/>
      <c r="V351" s="19"/>
      <c r="W351" s="19"/>
      <c r="X351" s="19"/>
      <c r="Y351" s="19"/>
      <c r="AV351" s="17">
        <v>2906</v>
      </c>
      <c r="AW351" s="17"/>
      <c r="AX351" s="17"/>
      <c r="AZ351" s="3">
        <f>SUM(AZ349:AZ350)</f>
        <v>5099.47</v>
      </c>
      <c r="BA351" s="3">
        <f>SUM(BA349:BA350)</f>
        <v>99235.76999999999</v>
      </c>
    </row>
    <row r="352" spans="1:53" hidden="1" x14ac:dyDescent="0.2">
      <c r="H352" s="19"/>
      <c r="I352" s="19"/>
      <c r="J352" s="19"/>
      <c r="K352" s="19"/>
      <c r="L352" s="19"/>
      <c r="M352" s="19"/>
      <c r="N352" s="19"/>
      <c r="O352" s="19"/>
      <c r="P352" s="19"/>
      <c r="Q352" s="19"/>
      <c r="R352" s="19"/>
      <c r="S352" s="19"/>
      <c r="T352" s="19"/>
      <c r="U352" s="19"/>
      <c r="V352" s="19"/>
      <c r="W352" s="19"/>
      <c r="X352" s="19"/>
      <c r="Y352" s="19"/>
      <c r="AV352" s="17"/>
      <c r="AW352" s="17"/>
      <c r="AX352" s="17"/>
      <c r="BA352" s="19"/>
    </row>
    <row r="353" spans="8:53" hidden="1" x14ac:dyDescent="0.2">
      <c r="H353" s="19"/>
      <c r="I353" s="19"/>
      <c r="J353" s="19"/>
      <c r="K353" s="19"/>
      <c r="L353" s="19"/>
      <c r="M353" s="19"/>
      <c r="N353" s="19"/>
      <c r="O353" s="19"/>
      <c r="P353" s="19"/>
      <c r="Q353" s="19"/>
      <c r="R353" s="19"/>
      <c r="S353" s="19"/>
      <c r="T353" s="19"/>
      <c r="U353" s="19"/>
      <c r="V353" s="19"/>
      <c r="W353" s="19"/>
      <c r="X353" s="19"/>
      <c r="Y353" s="19"/>
      <c r="AV353" s="17">
        <v>2907</v>
      </c>
      <c r="AW353" s="17">
        <v>513</v>
      </c>
      <c r="AX353" s="17">
        <v>1</v>
      </c>
      <c r="AY353" s="3" t="s">
        <v>157</v>
      </c>
      <c r="AZ353" s="3">
        <v>3066.79</v>
      </c>
      <c r="BA353" s="19">
        <v>33457.410000000003</v>
      </c>
    </row>
    <row r="354" spans="8:53" hidden="1" x14ac:dyDescent="0.2">
      <c r="H354" s="19"/>
      <c r="I354" s="19"/>
      <c r="J354" s="19"/>
      <c r="K354" s="19"/>
      <c r="L354" s="19"/>
      <c r="M354" s="19"/>
      <c r="N354" s="19"/>
      <c r="O354" s="19"/>
      <c r="P354" s="19"/>
      <c r="Q354" s="19"/>
      <c r="R354" s="19"/>
      <c r="S354" s="19"/>
      <c r="T354" s="19"/>
      <c r="U354" s="19"/>
      <c r="V354" s="19"/>
      <c r="W354" s="19"/>
      <c r="X354" s="19"/>
      <c r="Y354" s="19"/>
      <c r="AV354" s="17">
        <v>2907</v>
      </c>
      <c r="AW354" s="17">
        <v>516</v>
      </c>
      <c r="AX354" s="17">
        <v>1</v>
      </c>
      <c r="AY354" s="3" t="s">
        <v>159</v>
      </c>
      <c r="AZ354" s="3">
        <v>4004.15</v>
      </c>
      <c r="BA354" s="19">
        <v>43750.91</v>
      </c>
    </row>
    <row r="355" spans="8:53" hidden="1" x14ac:dyDescent="0.2">
      <c r="H355" s="19"/>
      <c r="I355" s="19"/>
      <c r="J355" s="19"/>
      <c r="K355" s="19"/>
      <c r="L355" s="19"/>
      <c r="M355" s="19"/>
      <c r="N355" s="19"/>
      <c r="O355" s="19"/>
      <c r="P355" s="19"/>
      <c r="Q355" s="19"/>
      <c r="R355" s="19"/>
      <c r="S355" s="19"/>
      <c r="T355" s="19"/>
      <c r="U355" s="19"/>
      <c r="V355" s="19"/>
      <c r="W355" s="19"/>
      <c r="X355" s="19"/>
      <c r="Y355" s="19"/>
      <c r="AV355" s="17">
        <v>2907</v>
      </c>
      <c r="AW355" s="17"/>
      <c r="AX355" s="17"/>
      <c r="AZ355" s="3">
        <f>SUM(AZ353:AZ354)</f>
        <v>7070.9400000000005</v>
      </c>
      <c r="BA355" s="3">
        <f>SUM(BA353:BA354)</f>
        <v>77208.320000000007</v>
      </c>
    </row>
    <row r="356" spans="8:53" hidden="1" x14ac:dyDescent="0.2">
      <c r="H356" s="19"/>
      <c r="I356" s="19"/>
      <c r="J356" s="19"/>
      <c r="K356" s="19"/>
      <c r="L356" s="19"/>
      <c r="M356" s="19"/>
      <c r="N356" s="19"/>
      <c r="O356" s="19"/>
      <c r="P356" s="19"/>
      <c r="Q356" s="19"/>
      <c r="R356" s="19"/>
      <c r="S356" s="19"/>
      <c r="T356" s="19"/>
      <c r="U356" s="19"/>
      <c r="V356" s="19"/>
      <c r="W356" s="19"/>
      <c r="X356" s="19"/>
      <c r="Y356" s="19"/>
      <c r="AV356" s="17"/>
      <c r="AW356" s="17"/>
      <c r="AX356" s="17"/>
      <c r="BA356" s="19"/>
    </row>
    <row r="357" spans="8:53" hidden="1" x14ac:dyDescent="0.2">
      <c r="H357" s="19"/>
      <c r="I357" s="19"/>
      <c r="J357" s="19"/>
      <c r="K357" s="19"/>
      <c r="L357" s="19"/>
      <c r="M357" s="19"/>
      <c r="N357" s="19"/>
      <c r="O357" s="19"/>
      <c r="P357" s="19"/>
      <c r="Q357" s="19"/>
      <c r="R357" s="19"/>
      <c r="S357" s="19"/>
      <c r="T357" s="19"/>
      <c r="U357" s="19"/>
      <c r="V357" s="19"/>
      <c r="W357" s="19"/>
      <c r="X357" s="19"/>
      <c r="Y357" s="19"/>
      <c r="AV357" s="17">
        <v>2908</v>
      </c>
      <c r="AW357" s="17">
        <v>207</v>
      </c>
      <c r="AX357" s="17">
        <v>1</v>
      </c>
      <c r="AY357" s="3" t="s">
        <v>69</v>
      </c>
      <c r="AZ357" s="3">
        <v>0</v>
      </c>
      <c r="BA357" s="19">
        <v>0</v>
      </c>
    </row>
    <row r="358" spans="8:53" hidden="1" x14ac:dyDescent="0.2">
      <c r="AV358" s="17">
        <v>2908</v>
      </c>
      <c r="AW358" s="17">
        <v>208</v>
      </c>
      <c r="AX358" s="17">
        <v>1</v>
      </c>
      <c r="AY358" s="3" t="s">
        <v>70</v>
      </c>
      <c r="AZ358" s="3">
        <v>0</v>
      </c>
      <c r="BA358" s="19">
        <v>0</v>
      </c>
    </row>
    <row r="359" spans="8:53" hidden="1" x14ac:dyDescent="0.2">
      <c r="AV359" s="17">
        <v>2908</v>
      </c>
      <c r="AZ359" s="3">
        <f>SUM(AZ357:AZ358)</f>
        <v>0</v>
      </c>
      <c r="BA359" s="3">
        <f>SUM(BA357:BA358)</f>
        <v>0</v>
      </c>
    </row>
  </sheetData>
  <sortState ref="AV8:BA343">
    <sortCondition ref="AV8:AV343"/>
    <sortCondition ref="AW8:AW343"/>
    <sortCondition ref="AX8:AX343"/>
  </sortState>
  <mergeCells count="1">
    <mergeCell ref="I2:Y2"/>
  </mergeCells>
  <phoneticPr fontId="0" type="noConversion"/>
  <pageMargins left="0.5" right="0.5" top="1" bottom="1" header="0.5" footer="0.5"/>
  <pageSetup scale="66" fitToWidth="2" fitToHeight="0" pageOrder="overThenDown" orientation="landscape" horizontalDpi="300" verticalDpi="300" r:id="rId1"/>
  <headerFooter alignWithMargins="0">
    <oddFooter>&amp;C&amp;P of &amp;N</oddFooter>
  </headerFooter>
  <ignoredErrors>
    <ignoredError sqref="Z18:Z127 Z11:Z16 Z128:Z339" formulaRange="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343"/>
  <sheetViews>
    <sheetView workbookViewId="0">
      <pane xSplit="3" ySplit="10" topLeftCell="D11" activePane="bottomRight" state="frozen"/>
      <selection pane="topRight" activeCell="D1" sqref="D1"/>
      <selection pane="bottomLeft" activeCell="A8" sqref="A8"/>
      <selection pane="bottomRight"/>
    </sheetView>
  </sheetViews>
  <sheetFormatPr defaultColWidth="0" defaultRowHeight="11.25" zeroHeight="1" x14ac:dyDescent="0.2"/>
  <cols>
    <col min="1" max="2" width="6.83203125" style="4" customWidth="1"/>
    <col min="3" max="3" width="20.83203125" style="2" customWidth="1"/>
    <col min="4" max="4" width="14.83203125" style="2" customWidth="1"/>
    <col min="5" max="5" width="15.1640625" style="2" bestFit="1" customWidth="1"/>
    <col min="6" max="6" width="17" style="2" bestFit="1" customWidth="1"/>
    <col min="7" max="7" width="17.1640625" style="2" bestFit="1" customWidth="1"/>
    <col min="8" max="8" width="17" style="2" bestFit="1" customWidth="1"/>
    <col min="9" max="9" width="16.6640625" style="2" bestFit="1" customWidth="1"/>
    <col min="10" max="10" width="16.83203125" style="2" bestFit="1" customWidth="1"/>
    <col min="11" max="11" width="17" style="2" bestFit="1" customWidth="1"/>
    <col min="12" max="12" width="17.1640625" style="2" bestFit="1" customWidth="1"/>
    <col min="13" max="13" width="17" style="2" bestFit="1" customWidth="1"/>
    <col min="14" max="14" width="19.1640625" style="2" bestFit="1" customWidth="1"/>
    <col min="15" max="15" width="14.83203125" style="3" customWidth="1"/>
    <col min="16" max="16384" width="9.33203125" style="2" hidden="1"/>
  </cols>
  <sheetData>
    <row r="1" spans="1:15" ht="19.5" x14ac:dyDescent="0.3">
      <c r="A1" s="243" t="str">
        <f>"Actual "&amp;Instructions!P2&amp;" Gross Shift"</f>
        <v>Actual Pay 2013 Gross Shift</v>
      </c>
      <c r="D1" s="193" t="s">
        <v>1089</v>
      </c>
      <c r="E1" s="193"/>
      <c r="F1" s="193"/>
      <c r="G1" s="193"/>
      <c r="H1" s="193"/>
      <c r="I1" s="193"/>
      <c r="J1" s="193"/>
      <c r="K1" s="193"/>
      <c r="L1" s="193"/>
      <c r="M1" s="193"/>
      <c r="N1" s="193"/>
      <c r="O1" s="134">
        <f>Report!I1</f>
        <v>41828</v>
      </c>
    </row>
    <row r="2" spans="1:15" x14ac:dyDescent="0.2">
      <c r="D2" t="s">
        <v>703</v>
      </c>
      <c r="E2" t="s">
        <v>704</v>
      </c>
      <c r="F2" t="s">
        <v>705</v>
      </c>
      <c r="G2" t="s">
        <v>706</v>
      </c>
      <c r="H2" t="s">
        <v>707</v>
      </c>
      <c r="I2" t="s">
        <v>708</v>
      </c>
      <c r="J2" t="s">
        <v>709</v>
      </c>
      <c r="K2" t="s">
        <v>710</v>
      </c>
      <c r="L2" t="s">
        <v>711</v>
      </c>
      <c r="M2" t="s">
        <v>712</v>
      </c>
      <c r="N2" t="s">
        <v>713</v>
      </c>
    </row>
    <row r="3" spans="1:15" x14ac:dyDescent="0.2">
      <c r="A3" s="159" t="s">
        <v>689</v>
      </c>
      <c r="D3" s="164" t="s">
        <v>714</v>
      </c>
      <c r="E3" s="164" t="s">
        <v>715</v>
      </c>
      <c r="F3" s="164" t="s">
        <v>716</v>
      </c>
      <c r="G3" s="164" t="s">
        <v>717</v>
      </c>
      <c r="H3" s="164" t="s">
        <v>718</v>
      </c>
      <c r="I3" s="164" t="s">
        <v>719</v>
      </c>
      <c r="J3" s="164" t="s">
        <v>720</v>
      </c>
      <c r="K3" s="164" t="s">
        <v>721</v>
      </c>
      <c r="L3" s="164" t="s">
        <v>722</v>
      </c>
      <c r="M3" s="164" t="s">
        <v>723</v>
      </c>
      <c r="N3" s="164" t="s">
        <v>724</v>
      </c>
    </row>
    <row r="4" spans="1:15" s="7" customFormat="1" ht="22.5" x14ac:dyDescent="0.2">
      <c r="A4" s="5"/>
      <c r="B4" s="5"/>
      <c r="D4" s="8" t="s">
        <v>354</v>
      </c>
      <c r="E4" s="7" t="s">
        <v>355</v>
      </c>
      <c r="F4" s="7" t="s">
        <v>356</v>
      </c>
      <c r="G4" s="7" t="s">
        <v>353</v>
      </c>
      <c r="H4" s="7" t="s">
        <v>457</v>
      </c>
      <c r="I4" s="140" t="s">
        <v>357</v>
      </c>
      <c r="J4" s="7" t="s">
        <v>358</v>
      </c>
      <c r="K4" s="7" t="s">
        <v>359</v>
      </c>
      <c r="L4" s="7" t="s">
        <v>489</v>
      </c>
      <c r="M4" s="8" t="s">
        <v>351</v>
      </c>
      <c r="N4" s="8" t="s">
        <v>490</v>
      </c>
      <c r="O4" s="8" t="s">
        <v>491</v>
      </c>
    </row>
    <row r="5" spans="1:15" x14ac:dyDescent="0.2"/>
    <row r="6" spans="1:15" x14ac:dyDescent="0.2">
      <c r="C6" s="2" t="s">
        <v>340</v>
      </c>
      <c r="D6" s="3">
        <f t="shared" ref="D6:O6" si="0">SUM(D11:D342)</f>
        <v>249444356.92999998</v>
      </c>
      <c r="E6" s="3">
        <f t="shared" si="0"/>
        <v>265473867.29000011</v>
      </c>
      <c r="F6" s="3">
        <f t="shared" si="0"/>
        <v>114228540.45999995</v>
      </c>
      <c r="G6" s="3">
        <f t="shared" si="0"/>
        <v>4282529.1900000004</v>
      </c>
      <c r="H6" s="3">
        <f t="shared" si="0"/>
        <v>14728249.580000002</v>
      </c>
      <c r="I6" s="3">
        <f t="shared" si="0"/>
        <v>35781240.5</v>
      </c>
      <c r="J6" s="3">
        <f t="shared" si="0"/>
        <v>-110878.95000000001</v>
      </c>
      <c r="K6" s="3">
        <f t="shared" si="0"/>
        <v>11639227.200000009</v>
      </c>
      <c r="L6" s="3">
        <f t="shared" si="0"/>
        <v>0</v>
      </c>
      <c r="M6" s="3">
        <f t="shared" si="0"/>
        <v>36141518.130000018</v>
      </c>
      <c r="N6" s="3">
        <f t="shared" si="0"/>
        <v>0</v>
      </c>
      <c r="O6" s="3">
        <f t="shared" si="0"/>
        <v>731608650.32999933</v>
      </c>
    </row>
    <row r="7" spans="1:15" x14ac:dyDescent="0.2">
      <c r="D7" s="3"/>
      <c r="E7" s="3"/>
      <c r="F7" s="3"/>
      <c r="G7" s="3"/>
      <c r="H7" s="3"/>
      <c r="I7" s="3"/>
      <c r="J7" s="3"/>
      <c r="K7" s="3"/>
      <c r="L7" s="3"/>
      <c r="M7" s="3"/>
      <c r="N7" s="3"/>
    </row>
    <row r="8" spans="1:15" x14ac:dyDescent="0.2">
      <c r="D8" s="3" t="s">
        <v>703</v>
      </c>
      <c r="E8" s="3" t="s">
        <v>704</v>
      </c>
      <c r="F8" s="3" t="s">
        <v>705</v>
      </c>
      <c r="G8" s="3" t="s">
        <v>706</v>
      </c>
      <c r="H8" s="3" t="s">
        <v>707</v>
      </c>
      <c r="I8" s="3" t="s">
        <v>708</v>
      </c>
      <c r="J8" s="3" t="s">
        <v>709</v>
      </c>
      <c r="K8" s="3" t="s">
        <v>710</v>
      </c>
      <c r="L8" s="3" t="s">
        <v>711</v>
      </c>
      <c r="M8" s="3" t="s">
        <v>712</v>
      </c>
      <c r="N8" s="3" t="s">
        <v>713</v>
      </c>
    </row>
    <row r="9" spans="1:15" x14ac:dyDescent="0.2">
      <c r="A9" s="4">
        <v>0</v>
      </c>
      <c r="B9" s="4" t="s">
        <v>755</v>
      </c>
      <c r="D9" s="3" t="s">
        <v>714</v>
      </c>
      <c r="E9" s="3" t="s">
        <v>715</v>
      </c>
      <c r="F9" s="3" t="s">
        <v>716</v>
      </c>
      <c r="G9" s="3" t="s">
        <v>717</v>
      </c>
      <c r="H9" s="3" t="s">
        <v>718</v>
      </c>
      <c r="I9" s="3" t="s">
        <v>719</v>
      </c>
      <c r="J9" s="3" t="s">
        <v>720</v>
      </c>
      <c r="K9" s="3" t="s">
        <v>721</v>
      </c>
      <c r="L9" s="3" t="s">
        <v>722</v>
      </c>
      <c r="M9" s="3" t="s">
        <v>723</v>
      </c>
      <c r="N9" s="3" t="s">
        <v>724</v>
      </c>
    </row>
    <row r="10" spans="1:15" x14ac:dyDescent="0.2">
      <c r="A10" s="4" t="s">
        <v>1088</v>
      </c>
      <c r="D10" s="3"/>
      <c r="E10" s="3"/>
      <c r="F10" s="3"/>
      <c r="G10" s="3"/>
      <c r="H10" s="3"/>
      <c r="I10" s="3"/>
      <c r="J10" s="3"/>
      <c r="K10" s="3"/>
      <c r="L10" s="3"/>
      <c r="M10" s="3"/>
      <c r="N10" s="3"/>
    </row>
    <row r="11" spans="1:15" x14ac:dyDescent="0.2">
      <c r="A11" s="4">
        <v>1</v>
      </c>
      <c r="B11" s="4">
        <v>1</v>
      </c>
      <c r="C11" s="2" t="s">
        <v>5</v>
      </c>
      <c r="D11" s="2">
        <v>348692.74</v>
      </c>
      <c r="E11" s="2">
        <v>0</v>
      </c>
      <c r="F11" s="2">
        <v>141143.88</v>
      </c>
      <c r="G11" s="2">
        <v>0</v>
      </c>
      <c r="H11" s="2">
        <v>25644.59</v>
      </c>
      <c r="I11" s="2">
        <v>0</v>
      </c>
      <c r="J11" s="2">
        <v>0</v>
      </c>
      <c r="K11" s="2">
        <v>8234.6299999999992</v>
      </c>
      <c r="L11" s="2">
        <v>0</v>
      </c>
      <c r="M11" s="2">
        <v>5395.57</v>
      </c>
      <c r="N11">
        <v>0</v>
      </c>
      <c r="O11" s="3">
        <f>SUM(D11:N11)</f>
        <v>529111.41</v>
      </c>
    </row>
    <row r="12" spans="1:15" x14ac:dyDescent="0.2">
      <c r="A12" s="4">
        <v>1.2</v>
      </c>
      <c r="B12" s="4">
        <v>3</v>
      </c>
      <c r="C12" s="2" t="s">
        <v>6</v>
      </c>
      <c r="D12" s="2">
        <v>10520674.92</v>
      </c>
      <c r="E12" s="2">
        <v>21877595.600000001</v>
      </c>
      <c r="F12" s="2">
        <v>10049626.5</v>
      </c>
      <c r="G12" s="2">
        <v>1205612.71</v>
      </c>
      <c r="H12" s="2">
        <v>524739.16</v>
      </c>
      <c r="I12" s="2">
        <v>14946994.720000001</v>
      </c>
      <c r="J12" s="2">
        <v>0</v>
      </c>
      <c r="K12" s="2">
        <v>1083282.17</v>
      </c>
      <c r="L12" s="2">
        <v>0</v>
      </c>
      <c r="M12" s="2">
        <v>2310760.12</v>
      </c>
      <c r="N12">
        <v>0</v>
      </c>
      <c r="O12" s="3">
        <f>SUM(D12:N12)</f>
        <v>62519285.899999999</v>
      </c>
    </row>
    <row r="13" spans="1:15" x14ac:dyDescent="0.2">
      <c r="A13" s="4">
        <v>2</v>
      </c>
      <c r="B13" s="4">
        <v>1</v>
      </c>
      <c r="C13" s="2" t="s">
        <v>7</v>
      </c>
      <c r="D13" s="2">
        <v>52908.37</v>
      </c>
      <c r="E13" s="2">
        <v>0</v>
      </c>
      <c r="F13" s="2">
        <v>0</v>
      </c>
      <c r="G13" s="2">
        <v>0</v>
      </c>
      <c r="H13" s="2">
        <v>0</v>
      </c>
      <c r="I13" s="2">
        <v>0</v>
      </c>
      <c r="J13" s="2">
        <v>0</v>
      </c>
      <c r="K13" s="2">
        <v>17587.04</v>
      </c>
      <c r="L13" s="2">
        <v>0</v>
      </c>
      <c r="M13" s="2">
        <v>9691.81</v>
      </c>
      <c r="N13">
        <v>0</v>
      </c>
      <c r="O13" s="3">
        <f t="shared" ref="O13:O74" si="1">SUM(D13:N13)</f>
        <v>80187.22</v>
      </c>
    </row>
    <row r="14" spans="1:15" x14ac:dyDescent="0.2">
      <c r="A14" s="4">
        <v>4</v>
      </c>
      <c r="B14" s="4">
        <v>1</v>
      </c>
      <c r="C14" s="2" t="s">
        <v>8</v>
      </c>
      <c r="D14" s="2">
        <v>171965.38</v>
      </c>
      <c r="E14" s="2">
        <v>0</v>
      </c>
      <c r="F14" s="2">
        <v>51784.65</v>
      </c>
      <c r="G14" s="2">
        <v>0</v>
      </c>
      <c r="H14" s="2">
        <v>10003.75</v>
      </c>
      <c r="I14" s="2">
        <v>0</v>
      </c>
      <c r="J14" s="2">
        <v>0</v>
      </c>
      <c r="K14" s="2">
        <v>247.02</v>
      </c>
      <c r="L14" s="2">
        <v>0</v>
      </c>
      <c r="M14" s="2">
        <v>25493.62</v>
      </c>
      <c r="N14">
        <v>0</v>
      </c>
      <c r="O14" s="3">
        <f t="shared" si="1"/>
        <v>259494.41999999998</v>
      </c>
    </row>
    <row r="15" spans="1:15" x14ac:dyDescent="0.2">
      <c r="A15" s="4">
        <v>6</v>
      </c>
      <c r="B15" s="4">
        <v>3</v>
      </c>
      <c r="C15" s="2" t="s">
        <v>9</v>
      </c>
      <c r="D15" s="2">
        <v>1373574.87</v>
      </c>
      <c r="E15" s="2">
        <v>1070015.58</v>
      </c>
      <c r="F15" s="2">
        <v>360711.07</v>
      </c>
      <c r="G15" s="2">
        <v>0</v>
      </c>
      <c r="H15" s="2">
        <v>60403.38</v>
      </c>
      <c r="I15" s="2">
        <v>0</v>
      </c>
      <c r="J15" s="2">
        <v>0</v>
      </c>
      <c r="K15" s="2">
        <v>26690.880000000001</v>
      </c>
      <c r="L15" s="2">
        <v>0</v>
      </c>
      <c r="M15" s="2">
        <v>174530.38</v>
      </c>
      <c r="N15">
        <v>0</v>
      </c>
      <c r="O15" s="3">
        <f t="shared" si="1"/>
        <v>3065926.1599999997</v>
      </c>
    </row>
    <row r="16" spans="1:15" x14ac:dyDescent="0.2">
      <c r="A16" s="4">
        <v>11</v>
      </c>
      <c r="B16" s="4">
        <v>1</v>
      </c>
      <c r="C16" s="2" t="s">
        <v>10</v>
      </c>
      <c r="D16" s="2">
        <v>10965625.300000001</v>
      </c>
      <c r="E16" s="2">
        <v>20072769.5</v>
      </c>
      <c r="F16" s="2">
        <v>3515884.7</v>
      </c>
      <c r="G16" s="2">
        <v>197692.1</v>
      </c>
      <c r="H16" s="2">
        <v>804097.39</v>
      </c>
      <c r="I16" s="2">
        <v>0</v>
      </c>
      <c r="J16" s="2">
        <v>0</v>
      </c>
      <c r="K16" s="2">
        <v>466030.14</v>
      </c>
      <c r="L16" s="2">
        <v>0</v>
      </c>
      <c r="M16" s="2">
        <v>1511185.01</v>
      </c>
      <c r="N16">
        <v>0</v>
      </c>
      <c r="O16" s="3">
        <f t="shared" si="1"/>
        <v>37533284.140000001</v>
      </c>
    </row>
    <row r="17" spans="1:15" x14ac:dyDescent="0.2">
      <c r="A17" s="4">
        <v>12</v>
      </c>
      <c r="B17" s="4">
        <v>1</v>
      </c>
      <c r="C17" s="2" t="s">
        <v>11</v>
      </c>
      <c r="D17" s="2">
        <v>1678920.91</v>
      </c>
      <c r="E17" s="2">
        <v>2331680.04</v>
      </c>
      <c r="F17" s="2">
        <v>320094.52</v>
      </c>
      <c r="G17" s="2">
        <v>16533.75</v>
      </c>
      <c r="H17" s="2">
        <v>98718.45</v>
      </c>
      <c r="I17" s="2">
        <v>0</v>
      </c>
      <c r="J17" s="2">
        <v>0</v>
      </c>
      <c r="K17" s="2">
        <v>112774.85</v>
      </c>
      <c r="L17" s="2">
        <v>0</v>
      </c>
      <c r="M17" s="2">
        <v>203136.35</v>
      </c>
      <c r="N17">
        <v>0</v>
      </c>
      <c r="O17" s="3">
        <f t="shared" si="1"/>
        <v>4761858.87</v>
      </c>
    </row>
    <row r="18" spans="1:15" x14ac:dyDescent="0.2">
      <c r="A18" s="4">
        <v>13</v>
      </c>
      <c r="B18" s="4">
        <v>1</v>
      </c>
      <c r="C18" s="2" t="s">
        <v>12</v>
      </c>
      <c r="D18" s="2">
        <v>1067552.72</v>
      </c>
      <c r="E18" s="2">
        <v>780519.38</v>
      </c>
      <c r="F18" s="2">
        <v>848958.71</v>
      </c>
      <c r="G18" s="2">
        <v>0</v>
      </c>
      <c r="H18" s="2">
        <v>55361.66</v>
      </c>
      <c r="I18" s="2">
        <v>0</v>
      </c>
      <c r="J18" s="2">
        <v>0</v>
      </c>
      <c r="K18" s="2">
        <v>67771.039999999994</v>
      </c>
      <c r="L18" s="2">
        <v>0</v>
      </c>
      <c r="M18" s="2">
        <v>171191.46</v>
      </c>
      <c r="N18">
        <v>0</v>
      </c>
      <c r="O18" s="3">
        <f t="shared" si="1"/>
        <v>2991354.97</v>
      </c>
    </row>
    <row r="19" spans="1:15" x14ac:dyDescent="0.2">
      <c r="A19" s="4">
        <v>14</v>
      </c>
      <c r="B19" s="4">
        <v>1</v>
      </c>
      <c r="C19" s="2" t="s">
        <v>13</v>
      </c>
      <c r="D19" s="2">
        <v>1197487.8799999999</v>
      </c>
      <c r="E19" s="2">
        <v>702683.97</v>
      </c>
      <c r="F19" s="2">
        <v>468605.33</v>
      </c>
      <c r="G19" s="2">
        <v>0</v>
      </c>
      <c r="H19" s="2">
        <v>58815.15</v>
      </c>
      <c r="I19" s="2">
        <v>0</v>
      </c>
      <c r="J19" s="2">
        <v>0</v>
      </c>
      <c r="K19" s="2">
        <v>68636.97</v>
      </c>
      <c r="L19" s="2">
        <v>0</v>
      </c>
      <c r="M19" s="2">
        <v>198881.39</v>
      </c>
      <c r="N19">
        <v>0</v>
      </c>
      <c r="O19" s="3">
        <f t="shared" si="1"/>
        <v>2695110.69</v>
      </c>
    </row>
    <row r="20" spans="1:15" x14ac:dyDescent="0.2">
      <c r="A20" s="4">
        <v>15</v>
      </c>
      <c r="B20" s="4">
        <v>1</v>
      </c>
      <c r="C20" s="2" t="s">
        <v>14</v>
      </c>
      <c r="D20" s="2">
        <v>1128147.45</v>
      </c>
      <c r="E20" s="2">
        <v>558074.99</v>
      </c>
      <c r="F20" s="2">
        <v>288492.78999999998</v>
      </c>
      <c r="G20" s="2">
        <v>0</v>
      </c>
      <c r="H20" s="2">
        <v>106419.83</v>
      </c>
      <c r="I20" s="2">
        <v>0</v>
      </c>
      <c r="J20" s="2">
        <v>0</v>
      </c>
      <c r="K20" s="2">
        <v>165109.94</v>
      </c>
      <c r="L20" s="2">
        <v>0</v>
      </c>
      <c r="M20" s="2">
        <v>177575.69</v>
      </c>
      <c r="N20">
        <v>0</v>
      </c>
      <c r="O20" s="3">
        <f t="shared" si="1"/>
        <v>2423820.69</v>
      </c>
    </row>
    <row r="21" spans="1:15" x14ac:dyDescent="0.2">
      <c r="A21" s="4">
        <v>16</v>
      </c>
      <c r="B21" s="4">
        <v>1</v>
      </c>
      <c r="C21" s="2" t="s">
        <v>15</v>
      </c>
      <c r="D21" s="2">
        <v>2285453.77</v>
      </c>
      <c r="E21" s="2">
        <v>1718912.65</v>
      </c>
      <c r="F21" s="2">
        <v>804793.86</v>
      </c>
      <c r="G21" s="2">
        <v>73286.44</v>
      </c>
      <c r="H21" s="2">
        <v>68504.679999999993</v>
      </c>
      <c r="I21" s="2">
        <v>0</v>
      </c>
      <c r="J21" s="2">
        <v>0</v>
      </c>
      <c r="K21" s="2">
        <v>131229.04999999999</v>
      </c>
      <c r="L21" s="2">
        <v>0</v>
      </c>
      <c r="M21" s="2">
        <v>224515.36</v>
      </c>
      <c r="N21">
        <v>0</v>
      </c>
      <c r="O21" s="3">
        <f t="shared" si="1"/>
        <v>5306695.8100000005</v>
      </c>
    </row>
    <row r="22" spans="1:15" x14ac:dyDescent="0.2">
      <c r="A22" s="4">
        <v>22</v>
      </c>
      <c r="B22" s="4">
        <v>1</v>
      </c>
      <c r="C22" s="2" t="s">
        <v>16</v>
      </c>
      <c r="D22" s="2">
        <v>704875.8</v>
      </c>
      <c r="E22" s="2">
        <v>499115.63</v>
      </c>
      <c r="F22" s="2">
        <v>133298.49</v>
      </c>
      <c r="G22" s="2">
        <v>0</v>
      </c>
      <c r="H22" s="2">
        <v>51500.13</v>
      </c>
      <c r="I22" s="2">
        <v>0</v>
      </c>
      <c r="J22" s="2">
        <v>0</v>
      </c>
      <c r="K22" s="2">
        <v>41059.269999999997</v>
      </c>
      <c r="L22" s="2">
        <v>0</v>
      </c>
      <c r="M22" s="2">
        <v>102673.53</v>
      </c>
      <c r="N22">
        <v>0</v>
      </c>
      <c r="O22" s="3">
        <f t="shared" si="1"/>
        <v>1532522.85</v>
      </c>
    </row>
    <row r="23" spans="1:15" x14ac:dyDescent="0.2">
      <c r="A23" s="4">
        <v>23</v>
      </c>
      <c r="B23" s="4">
        <v>1</v>
      </c>
      <c r="C23" s="2" t="s">
        <v>17</v>
      </c>
      <c r="D23" s="2">
        <v>145988.69</v>
      </c>
      <c r="E23" s="2">
        <v>358473.16</v>
      </c>
      <c r="F23" s="2">
        <v>0</v>
      </c>
      <c r="G23" s="2">
        <v>0</v>
      </c>
      <c r="H23" s="2">
        <v>24231.47</v>
      </c>
      <c r="I23" s="2">
        <v>0</v>
      </c>
      <c r="J23" s="2">
        <v>0</v>
      </c>
      <c r="K23" s="2">
        <v>9913.19</v>
      </c>
      <c r="L23" s="2">
        <v>0</v>
      </c>
      <c r="M23" s="2">
        <v>41735.32</v>
      </c>
      <c r="N23">
        <v>0</v>
      </c>
      <c r="O23" s="3">
        <f t="shared" si="1"/>
        <v>580341.82999999984</v>
      </c>
    </row>
    <row r="24" spans="1:15" x14ac:dyDescent="0.2">
      <c r="A24" s="4">
        <v>25</v>
      </c>
      <c r="B24" s="4">
        <v>1</v>
      </c>
      <c r="C24" s="2" t="s">
        <v>341</v>
      </c>
      <c r="D24" s="2">
        <v>0</v>
      </c>
      <c r="E24" s="2">
        <v>0</v>
      </c>
      <c r="F24" s="2">
        <v>0</v>
      </c>
      <c r="G24" s="2">
        <v>0</v>
      </c>
      <c r="H24" s="2">
        <v>0</v>
      </c>
      <c r="I24" s="2">
        <v>0</v>
      </c>
      <c r="J24" s="2">
        <v>0</v>
      </c>
      <c r="K24" s="2">
        <v>0</v>
      </c>
      <c r="L24" s="2">
        <v>0</v>
      </c>
      <c r="M24" s="2">
        <v>0</v>
      </c>
      <c r="N24">
        <v>0</v>
      </c>
      <c r="O24" s="3">
        <f t="shared" si="1"/>
        <v>0</v>
      </c>
    </row>
    <row r="25" spans="1:15" x14ac:dyDescent="0.2">
      <c r="A25" s="4">
        <v>31</v>
      </c>
      <c r="B25" s="4">
        <v>1</v>
      </c>
      <c r="C25" s="2" t="s">
        <v>18</v>
      </c>
      <c r="D25" s="2">
        <v>1019589.12</v>
      </c>
      <c r="E25" s="2">
        <v>940308.28</v>
      </c>
      <c r="F25" s="2">
        <v>195530.98</v>
      </c>
      <c r="G25" s="2">
        <v>0</v>
      </c>
      <c r="H25" s="2">
        <v>95564.58</v>
      </c>
      <c r="I25" s="2">
        <v>0</v>
      </c>
      <c r="J25" s="2">
        <v>0</v>
      </c>
      <c r="K25" s="2">
        <v>15519.37</v>
      </c>
      <c r="L25" s="2">
        <v>0</v>
      </c>
      <c r="M25" s="2">
        <v>190513.2</v>
      </c>
      <c r="N25">
        <v>0</v>
      </c>
      <c r="O25" s="3">
        <f t="shared" si="1"/>
        <v>2457025.5300000003</v>
      </c>
    </row>
    <row r="26" spans="1:15" x14ac:dyDescent="0.2">
      <c r="A26" s="4">
        <v>32</v>
      </c>
      <c r="B26" s="4">
        <v>1</v>
      </c>
      <c r="C26" s="2" t="s">
        <v>19</v>
      </c>
      <c r="D26" s="2">
        <v>139252.56</v>
      </c>
      <c r="E26" s="2">
        <v>0</v>
      </c>
      <c r="F26" s="2">
        <v>0</v>
      </c>
      <c r="G26" s="2">
        <v>0</v>
      </c>
      <c r="H26" s="2">
        <v>18352.41</v>
      </c>
      <c r="I26" s="2">
        <v>0</v>
      </c>
      <c r="J26" s="2">
        <v>0</v>
      </c>
      <c r="K26" s="2">
        <v>8581.6299999999992</v>
      </c>
      <c r="L26" s="2">
        <v>0</v>
      </c>
      <c r="M26" s="2">
        <v>16467.37</v>
      </c>
      <c r="N26">
        <v>0</v>
      </c>
      <c r="O26" s="3">
        <f t="shared" si="1"/>
        <v>182653.97</v>
      </c>
    </row>
    <row r="27" spans="1:15" x14ac:dyDescent="0.2">
      <c r="A27" s="4">
        <v>36</v>
      </c>
      <c r="B27" s="4">
        <v>1</v>
      </c>
      <c r="C27" s="2" t="s">
        <v>20</v>
      </c>
      <c r="D27" s="2">
        <v>28582.38</v>
      </c>
      <c r="E27" s="2">
        <v>0</v>
      </c>
      <c r="F27" s="2">
        <v>0</v>
      </c>
      <c r="G27" s="2">
        <v>0</v>
      </c>
      <c r="H27" s="2">
        <v>0</v>
      </c>
      <c r="I27" s="2">
        <v>0</v>
      </c>
      <c r="J27" s="2">
        <v>0</v>
      </c>
      <c r="K27" s="2">
        <v>0</v>
      </c>
      <c r="L27" s="2">
        <v>0</v>
      </c>
      <c r="M27" s="2">
        <v>5808.43</v>
      </c>
      <c r="N27">
        <v>0</v>
      </c>
      <c r="O27" s="3">
        <f t="shared" si="1"/>
        <v>34390.81</v>
      </c>
    </row>
    <row r="28" spans="1:15" x14ac:dyDescent="0.2">
      <c r="A28" s="4">
        <v>38</v>
      </c>
      <c r="B28" s="4">
        <v>1</v>
      </c>
      <c r="C28" s="2" t="s">
        <v>21</v>
      </c>
      <c r="D28" s="2">
        <v>805.32</v>
      </c>
      <c r="E28" s="2">
        <v>1124.69</v>
      </c>
      <c r="F28" s="2">
        <v>149.12</v>
      </c>
      <c r="G28" s="2">
        <v>0</v>
      </c>
      <c r="H28" s="2">
        <v>0</v>
      </c>
      <c r="I28" s="2">
        <v>0</v>
      </c>
      <c r="J28" s="2">
        <v>0</v>
      </c>
      <c r="K28" s="2">
        <v>0</v>
      </c>
      <c r="L28" s="2">
        <v>0</v>
      </c>
      <c r="M28" s="2">
        <v>72.010000000000005</v>
      </c>
      <c r="N28">
        <v>0</v>
      </c>
      <c r="O28" s="3">
        <f t="shared" si="1"/>
        <v>2151.1400000000003</v>
      </c>
    </row>
    <row r="29" spans="1:15" x14ac:dyDescent="0.2">
      <c r="A29" s="4">
        <v>47</v>
      </c>
      <c r="B29" s="4">
        <v>1</v>
      </c>
      <c r="C29" s="2" t="s">
        <v>22</v>
      </c>
      <c r="D29" s="2">
        <v>657448.77</v>
      </c>
      <c r="E29" s="2">
        <v>416513.39</v>
      </c>
      <c r="F29" s="2">
        <v>133802</v>
      </c>
      <c r="G29" s="2">
        <v>0</v>
      </c>
      <c r="H29" s="2">
        <v>70968.59</v>
      </c>
      <c r="I29" s="2">
        <v>0</v>
      </c>
      <c r="J29" s="2">
        <v>0</v>
      </c>
      <c r="K29" s="2">
        <v>-4030.47</v>
      </c>
      <c r="L29" s="2">
        <v>0</v>
      </c>
      <c r="M29" s="2">
        <v>120255.09</v>
      </c>
      <c r="N29">
        <v>0</v>
      </c>
      <c r="O29" s="3">
        <f t="shared" si="1"/>
        <v>1394957.3700000003</v>
      </c>
    </row>
    <row r="30" spans="1:15" x14ac:dyDescent="0.2">
      <c r="A30" s="4">
        <v>51</v>
      </c>
      <c r="B30" s="4">
        <v>1</v>
      </c>
      <c r="C30" s="2" t="s">
        <v>23</v>
      </c>
      <c r="D30" s="2">
        <v>236661.46</v>
      </c>
      <c r="E30" s="2">
        <v>108700.27</v>
      </c>
      <c r="F30" s="2">
        <v>32144.54</v>
      </c>
      <c r="G30" s="2">
        <v>0</v>
      </c>
      <c r="H30" s="2">
        <v>30355.74</v>
      </c>
      <c r="I30" s="2">
        <v>0</v>
      </c>
      <c r="J30" s="2">
        <v>0</v>
      </c>
      <c r="K30" s="2">
        <v>22598.32</v>
      </c>
      <c r="L30" s="2">
        <v>0</v>
      </c>
      <c r="M30" s="2">
        <v>42799.53</v>
      </c>
      <c r="N30">
        <v>0</v>
      </c>
      <c r="O30" s="3">
        <f t="shared" si="1"/>
        <v>473259.86</v>
      </c>
    </row>
    <row r="31" spans="1:15" x14ac:dyDescent="0.2">
      <c r="A31" s="4">
        <v>75</v>
      </c>
      <c r="B31" s="4">
        <v>1</v>
      </c>
      <c r="C31" s="2" t="s">
        <v>24</v>
      </c>
      <c r="D31" s="2">
        <v>150092.56</v>
      </c>
      <c r="E31" s="2">
        <v>68845.539999999994</v>
      </c>
      <c r="F31" s="2">
        <v>59511.62</v>
      </c>
      <c r="G31" s="2">
        <v>0</v>
      </c>
      <c r="H31" s="2">
        <v>11908.37</v>
      </c>
      <c r="I31" s="2">
        <v>0</v>
      </c>
      <c r="J31" s="2">
        <v>0</v>
      </c>
      <c r="K31" s="2">
        <v>-10324.42</v>
      </c>
      <c r="L31" s="2">
        <v>0</v>
      </c>
      <c r="M31" s="2">
        <v>16203.67</v>
      </c>
      <c r="N31">
        <v>0</v>
      </c>
      <c r="O31" s="3">
        <f t="shared" si="1"/>
        <v>296237.33999999997</v>
      </c>
    </row>
    <row r="32" spans="1:15" x14ac:dyDescent="0.2">
      <c r="A32" s="4">
        <v>77</v>
      </c>
      <c r="B32" s="4">
        <v>1</v>
      </c>
      <c r="C32" s="2" t="s">
        <v>25</v>
      </c>
      <c r="D32" s="2">
        <v>2388174.59</v>
      </c>
      <c r="E32" s="2">
        <v>2185680.7999999998</v>
      </c>
      <c r="F32" s="2">
        <v>751973.08</v>
      </c>
      <c r="G32" s="2">
        <v>0</v>
      </c>
      <c r="H32" s="2">
        <v>131863.29</v>
      </c>
      <c r="I32" s="2">
        <v>0</v>
      </c>
      <c r="J32" s="2">
        <v>0</v>
      </c>
      <c r="K32" s="2">
        <v>82542.740000000005</v>
      </c>
      <c r="L32" s="2">
        <v>0</v>
      </c>
      <c r="M32" s="2">
        <v>380489.58</v>
      </c>
      <c r="N32">
        <v>0</v>
      </c>
      <c r="O32" s="3">
        <f t="shared" si="1"/>
        <v>5920724.0800000001</v>
      </c>
    </row>
    <row r="33" spans="1:15" x14ac:dyDescent="0.2">
      <c r="A33" s="4">
        <v>81</v>
      </c>
      <c r="B33" s="4">
        <v>1</v>
      </c>
      <c r="C33" s="2" t="s">
        <v>26</v>
      </c>
      <c r="D33" s="2">
        <v>77532.479999999996</v>
      </c>
      <c r="E33" s="2">
        <v>19812.14</v>
      </c>
      <c r="F33" s="2">
        <v>65568.179999999993</v>
      </c>
      <c r="G33" s="2">
        <v>0</v>
      </c>
      <c r="H33" s="2">
        <v>10003.75</v>
      </c>
      <c r="I33" s="2">
        <v>0</v>
      </c>
      <c r="J33" s="2">
        <v>0</v>
      </c>
      <c r="K33" s="2">
        <v>4172.8599999999997</v>
      </c>
      <c r="L33" s="2">
        <v>0</v>
      </c>
      <c r="M33" s="2">
        <v>12450.46</v>
      </c>
      <c r="N33">
        <v>0</v>
      </c>
      <c r="O33" s="3">
        <f t="shared" si="1"/>
        <v>189539.86999999997</v>
      </c>
    </row>
    <row r="34" spans="1:15" x14ac:dyDescent="0.2">
      <c r="A34" s="4">
        <v>84</v>
      </c>
      <c r="B34" s="4">
        <v>1</v>
      </c>
      <c r="C34" s="2" t="s">
        <v>27</v>
      </c>
      <c r="D34" s="2">
        <v>165262.74</v>
      </c>
      <c r="E34" s="2">
        <v>0</v>
      </c>
      <c r="F34" s="2">
        <v>64890.080000000002</v>
      </c>
      <c r="G34" s="2">
        <v>0</v>
      </c>
      <c r="H34" s="2">
        <v>15885.62</v>
      </c>
      <c r="I34" s="2">
        <v>0</v>
      </c>
      <c r="J34" s="2">
        <v>0</v>
      </c>
      <c r="K34" s="2">
        <v>-7742.76</v>
      </c>
      <c r="L34" s="2">
        <v>0</v>
      </c>
      <c r="M34" s="2">
        <v>35512.300000000003</v>
      </c>
      <c r="N34">
        <v>0</v>
      </c>
      <c r="O34" s="3">
        <f t="shared" si="1"/>
        <v>273807.98</v>
      </c>
    </row>
    <row r="35" spans="1:15" x14ac:dyDescent="0.2">
      <c r="A35" s="4">
        <v>85</v>
      </c>
      <c r="B35" s="4">
        <v>1</v>
      </c>
      <c r="C35" s="2" t="s">
        <v>28</v>
      </c>
      <c r="D35" s="2">
        <v>118229.88</v>
      </c>
      <c r="E35" s="2">
        <v>76590.960000000006</v>
      </c>
      <c r="F35" s="2">
        <v>0</v>
      </c>
      <c r="G35" s="2">
        <v>0</v>
      </c>
      <c r="H35" s="2">
        <v>20785.669999999998</v>
      </c>
      <c r="I35" s="2">
        <v>0</v>
      </c>
      <c r="J35" s="2">
        <v>0</v>
      </c>
      <c r="K35" s="2">
        <v>-8318.32</v>
      </c>
      <c r="L35" s="2">
        <v>0</v>
      </c>
      <c r="M35" s="2">
        <v>23209.97</v>
      </c>
      <c r="N35">
        <v>0</v>
      </c>
      <c r="O35" s="3">
        <f t="shared" si="1"/>
        <v>230498.16</v>
      </c>
    </row>
    <row r="36" spans="1:15" x14ac:dyDescent="0.2">
      <c r="A36" s="4">
        <v>88</v>
      </c>
      <c r="B36" s="4">
        <v>1</v>
      </c>
      <c r="C36" s="2" t="s">
        <v>29</v>
      </c>
      <c r="D36" s="2">
        <v>504881.2</v>
      </c>
      <c r="E36" s="2">
        <v>1395424.23</v>
      </c>
      <c r="F36" s="2">
        <v>135266</v>
      </c>
      <c r="G36" s="2">
        <v>97377.63</v>
      </c>
      <c r="H36" s="2">
        <v>52335.78</v>
      </c>
      <c r="I36" s="2">
        <v>0</v>
      </c>
      <c r="J36" s="2">
        <v>0</v>
      </c>
      <c r="K36" s="2">
        <v>37133.51</v>
      </c>
      <c r="L36" s="2">
        <v>0</v>
      </c>
      <c r="M36" s="2">
        <v>110045.77</v>
      </c>
      <c r="N36">
        <v>0</v>
      </c>
      <c r="O36" s="3">
        <f t="shared" si="1"/>
        <v>2332464.1199999996</v>
      </c>
    </row>
    <row r="37" spans="1:15" x14ac:dyDescent="0.2">
      <c r="A37" s="4">
        <v>91</v>
      </c>
      <c r="B37" s="4">
        <v>1</v>
      </c>
      <c r="C37" s="2" t="s">
        <v>30</v>
      </c>
      <c r="D37" s="2">
        <v>140793.78</v>
      </c>
      <c r="E37" s="2">
        <v>0</v>
      </c>
      <c r="F37" s="2">
        <v>19807.54</v>
      </c>
      <c r="G37" s="2">
        <v>0</v>
      </c>
      <c r="H37" s="2">
        <v>13633.02</v>
      </c>
      <c r="I37" s="2">
        <v>0</v>
      </c>
      <c r="J37" s="2">
        <v>0</v>
      </c>
      <c r="K37" s="2">
        <v>5667.97</v>
      </c>
      <c r="L37" s="2">
        <v>0</v>
      </c>
      <c r="M37" s="2">
        <v>23133.27</v>
      </c>
      <c r="N37">
        <v>0</v>
      </c>
      <c r="O37" s="3">
        <f t="shared" si="1"/>
        <v>203035.58</v>
      </c>
    </row>
    <row r="38" spans="1:15" x14ac:dyDescent="0.2">
      <c r="A38" s="4">
        <v>93</v>
      </c>
      <c r="B38" s="4">
        <v>1</v>
      </c>
      <c r="C38" s="2" t="s">
        <v>31</v>
      </c>
      <c r="D38" s="2">
        <v>40253.449999999997</v>
      </c>
      <c r="E38" s="2">
        <v>341230.32</v>
      </c>
      <c r="F38" s="2">
        <v>27479.15</v>
      </c>
      <c r="G38" s="2">
        <v>0</v>
      </c>
      <c r="H38" s="2">
        <v>10003.75</v>
      </c>
      <c r="I38" s="2">
        <v>0</v>
      </c>
      <c r="J38" s="2">
        <v>0</v>
      </c>
      <c r="K38" s="2">
        <v>32603.43</v>
      </c>
      <c r="L38" s="2">
        <v>0</v>
      </c>
      <c r="M38" s="2">
        <v>18899.580000000002</v>
      </c>
      <c r="N38">
        <v>0</v>
      </c>
      <c r="O38" s="3">
        <f t="shared" si="1"/>
        <v>470469.68000000005</v>
      </c>
    </row>
    <row r="39" spans="1:15" x14ac:dyDescent="0.2">
      <c r="A39" s="4">
        <v>94</v>
      </c>
      <c r="B39" s="4">
        <v>1</v>
      </c>
      <c r="C39" s="2" t="s">
        <v>32</v>
      </c>
      <c r="D39" s="2">
        <v>305812.26</v>
      </c>
      <c r="E39" s="2">
        <v>0</v>
      </c>
      <c r="F39" s="2">
        <v>91861.41</v>
      </c>
      <c r="G39" s="2">
        <v>0</v>
      </c>
      <c r="H39" s="2">
        <v>34561.22</v>
      </c>
      <c r="I39" s="2">
        <v>7500</v>
      </c>
      <c r="J39" s="2">
        <v>0</v>
      </c>
      <c r="K39" s="2">
        <v>62767.15</v>
      </c>
      <c r="L39" s="2">
        <v>0</v>
      </c>
      <c r="M39" s="2">
        <v>136022.01999999999</v>
      </c>
      <c r="N39">
        <v>0</v>
      </c>
      <c r="O39" s="3">
        <f t="shared" si="1"/>
        <v>638524.06000000006</v>
      </c>
    </row>
    <row r="40" spans="1:15" x14ac:dyDescent="0.2">
      <c r="A40" s="4">
        <v>95</v>
      </c>
      <c r="B40" s="4">
        <v>1</v>
      </c>
      <c r="C40" s="2" t="s">
        <v>33</v>
      </c>
      <c r="D40" s="2">
        <v>59164.76</v>
      </c>
      <c r="E40" s="2">
        <v>0</v>
      </c>
      <c r="F40" s="2">
        <v>0</v>
      </c>
      <c r="G40" s="2">
        <v>0</v>
      </c>
      <c r="H40" s="2">
        <v>10003.75</v>
      </c>
      <c r="I40" s="2">
        <v>0</v>
      </c>
      <c r="J40" s="2">
        <v>0</v>
      </c>
      <c r="K40" s="2">
        <v>4943.66</v>
      </c>
      <c r="L40" s="2">
        <v>0</v>
      </c>
      <c r="M40" s="2">
        <v>11088.35</v>
      </c>
      <c r="N40">
        <v>0</v>
      </c>
      <c r="O40" s="3">
        <f t="shared" si="1"/>
        <v>85200.520000000019</v>
      </c>
    </row>
    <row r="41" spans="1:15" x14ac:dyDescent="0.2">
      <c r="A41" s="4">
        <v>97</v>
      </c>
      <c r="B41" s="4">
        <v>1</v>
      </c>
      <c r="C41" s="2" t="s">
        <v>34</v>
      </c>
      <c r="D41" s="2">
        <v>178746.82</v>
      </c>
      <c r="E41" s="2">
        <v>97496.02</v>
      </c>
      <c r="F41" s="2">
        <v>31851.86</v>
      </c>
      <c r="G41" s="2">
        <v>0</v>
      </c>
      <c r="H41" s="2">
        <v>11677.27</v>
      </c>
      <c r="I41" s="2">
        <v>0</v>
      </c>
      <c r="J41" s="2">
        <v>0</v>
      </c>
      <c r="K41" s="2">
        <v>1316.76</v>
      </c>
      <c r="L41" s="2">
        <v>0</v>
      </c>
      <c r="M41" s="2">
        <v>28846.54</v>
      </c>
      <c r="N41">
        <v>0</v>
      </c>
      <c r="O41" s="3">
        <f t="shared" si="1"/>
        <v>349935.27</v>
      </c>
    </row>
    <row r="42" spans="1:15" x14ac:dyDescent="0.2">
      <c r="A42" s="4">
        <v>99</v>
      </c>
      <c r="B42" s="4">
        <v>1</v>
      </c>
      <c r="C42" s="2" t="s">
        <v>35</v>
      </c>
      <c r="D42" s="2">
        <v>164052.84</v>
      </c>
      <c r="E42" s="2">
        <v>101145.77</v>
      </c>
      <c r="F42" s="2">
        <v>29606.959999999999</v>
      </c>
      <c r="G42" s="2">
        <v>11758.5</v>
      </c>
      <c r="H42" s="2">
        <v>21700.49</v>
      </c>
      <c r="I42" s="2">
        <v>0</v>
      </c>
      <c r="J42" s="2">
        <v>0</v>
      </c>
      <c r="K42" s="2">
        <v>11185.64</v>
      </c>
      <c r="L42" s="2">
        <v>0</v>
      </c>
      <c r="M42" s="2">
        <v>26465.599999999999</v>
      </c>
      <c r="N42">
        <v>0</v>
      </c>
      <c r="O42" s="3">
        <f t="shared" si="1"/>
        <v>365915.8</v>
      </c>
    </row>
    <row r="43" spans="1:15" x14ac:dyDescent="0.2">
      <c r="A43" s="4">
        <v>100</v>
      </c>
      <c r="B43" s="4">
        <v>1</v>
      </c>
      <c r="C43" s="2" t="s">
        <v>36</v>
      </c>
      <c r="D43" s="2">
        <v>76987.69</v>
      </c>
      <c r="E43" s="2">
        <v>56699</v>
      </c>
      <c r="F43" s="2">
        <v>14322.89</v>
      </c>
      <c r="G43" s="2">
        <v>10979.92</v>
      </c>
      <c r="H43" s="2">
        <v>10003.75</v>
      </c>
      <c r="I43" s="2">
        <v>0</v>
      </c>
      <c r="J43" s="2">
        <v>0</v>
      </c>
      <c r="K43" s="2">
        <v>2781.83</v>
      </c>
      <c r="L43" s="2">
        <v>0</v>
      </c>
      <c r="M43" s="2">
        <v>13019.66</v>
      </c>
      <c r="N43">
        <v>0</v>
      </c>
      <c r="O43" s="3">
        <f t="shared" si="1"/>
        <v>184794.74000000002</v>
      </c>
    </row>
    <row r="44" spans="1:15" x14ac:dyDescent="0.2">
      <c r="A44" s="4">
        <v>108</v>
      </c>
      <c r="B44" s="4">
        <v>1</v>
      </c>
      <c r="C44" s="2" t="s">
        <v>1168</v>
      </c>
      <c r="D44" s="2">
        <v>338267.59</v>
      </c>
      <c r="E44" s="2">
        <v>235695.41</v>
      </c>
      <c r="F44" s="2">
        <v>63073.58</v>
      </c>
      <c r="G44" s="2">
        <v>0</v>
      </c>
      <c r="H44" s="2">
        <v>23436.69</v>
      </c>
      <c r="I44" s="2">
        <v>0</v>
      </c>
      <c r="J44" s="2">
        <v>0</v>
      </c>
      <c r="K44" s="2">
        <v>1807.46</v>
      </c>
      <c r="L44" s="2">
        <v>0</v>
      </c>
      <c r="M44" s="2">
        <v>60137.64</v>
      </c>
      <c r="N44">
        <v>0</v>
      </c>
      <c r="O44" s="3">
        <f t="shared" si="1"/>
        <v>722418.36999999988</v>
      </c>
    </row>
    <row r="45" spans="1:15" x14ac:dyDescent="0.2">
      <c r="A45" s="4">
        <v>110</v>
      </c>
      <c r="B45" s="4">
        <v>1</v>
      </c>
      <c r="C45" s="2" t="s">
        <v>38</v>
      </c>
      <c r="D45" s="2">
        <v>948167.57</v>
      </c>
      <c r="E45" s="2">
        <v>921052.55</v>
      </c>
      <c r="F45" s="2">
        <v>263386.8</v>
      </c>
      <c r="G45" s="2">
        <v>47580.01</v>
      </c>
      <c r="H45" s="2">
        <v>61631.59</v>
      </c>
      <c r="I45" s="2">
        <v>0</v>
      </c>
      <c r="J45" s="2">
        <v>0</v>
      </c>
      <c r="K45" s="2">
        <v>42824.32</v>
      </c>
      <c r="L45" s="2">
        <v>0</v>
      </c>
      <c r="M45" s="2">
        <v>145105.01999999999</v>
      </c>
      <c r="N45">
        <v>0</v>
      </c>
      <c r="O45" s="3">
        <f t="shared" si="1"/>
        <v>2429747.8599999994</v>
      </c>
    </row>
    <row r="46" spans="1:15" x14ac:dyDescent="0.2">
      <c r="A46" s="4">
        <v>111</v>
      </c>
      <c r="B46" s="4">
        <v>1</v>
      </c>
      <c r="C46" s="2" t="s">
        <v>39</v>
      </c>
      <c r="D46" s="2">
        <v>207761.7</v>
      </c>
      <c r="E46" s="2">
        <v>341245.88</v>
      </c>
      <c r="F46" s="2">
        <v>53287.46</v>
      </c>
      <c r="G46" s="2">
        <v>14098.14</v>
      </c>
      <c r="H46" s="2">
        <v>30787.99</v>
      </c>
      <c r="I46" s="2">
        <v>0</v>
      </c>
      <c r="J46" s="2">
        <v>0</v>
      </c>
      <c r="K46" s="2">
        <v>-3768.35</v>
      </c>
      <c r="L46" s="2">
        <v>0</v>
      </c>
      <c r="M46" s="2">
        <v>119778.59</v>
      </c>
      <c r="N46">
        <v>0</v>
      </c>
      <c r="O46" s="3">
        <f t="shared" si="1"/>
        <v>763191.41</v>
      </c>
    </row>
    <row r="47" spans="1:15" x14ac:dyDescent="0.2">
      <c r="A47" s="4">
        <v>112</v>
      </c>
      <c r="B47" s="4">
        <v>1</v>
      </c>
      <c r="C47" s="2" t="s">
        <v>1169</v>
      </c>
      <c r="D47" s="2">
        <v>2636180.12</v>
      </c>
      <c r="E47" s="2">
        <v>4356135.16</v>
      </c>
      <c r="F47" s="2">
        <v>1809944.64</v>
      </c>
      <c r="G47" s="2">
        <v>41804.71</v>
      </c>
      <c r="H47" s="2">
        <v>164452.43</v>
      </c>
      <c r="I47" s="2">
        <v>0</v>
      </c>
      <c r="J47" s="2">
        <v>0</v>
      </c>
      <c r="K47" s="2">
        <v>158171.92000000001</v>
      </c>
      <c r="L47" s="2">
        <v>0</v>
      </c>
      <c r="M47" s="2">
        <v>398911.72</v>
      </c>
      <c r="N47">
        <v>0</v>
      </c>
      <c r="O47" s="3">
        <f t="shared" si="1"/>
        <v>9565600.7000000011</v>
      </c>
    </row>
    <row r="48" spans="1:15" x14ac:dyDescent="0.2">
      <c r="A48" s="4">
        <v>113</v>
      </c>
      <c r="B48" s="4">
        <v>1</v>
      </c>
      <c r="C48" s="2" t="s">
        <v>1170</v>
      </c>
      <c r="D48" s="2">
        <v>302796.71000000002</v>
      </c>
      <c r="E48" s="2">
        <v>0</v>
      </c>
      <c r="F48" s="2">
        <v>0</v>
      </c>
      <c r="G48" s="2">
        <v>0</v>
      </c>
      <c r="H48" s="2">
        <v>14692.67</v>
      </c>
      <c r="I48" s="2">
        <v>0</v>
      </c>
      <c r="J48" s="2">
        <v>0</v>
      </c>
      <c r="K48" s="2">
        <v>41334.660000000003</v>
      </c>
      <c r="L48" s="2">
        <v>0</v>
      </c>
      <c r="M48" s="2">
        <v>48929.8</v>
      </c>
      <c r="N48">
        <v>0</v>
      </c>
      <c r="O48" s="3">
        <f t="shared" si="1"/>
        <v>407753.84</v>
      </c>
    </row>
    <row r="49" spans="1:15" x14ac:dyDescent="0.2">
      <c r="A49" s="4">
        <v>115</v>
      </c>
      <c r="B49" s="4">
        <v>1</v>
      </c>
      <c r="C49" s="2" t="s">
        <v>1171</v>
      </c>
      <c r="D49" s="2">
        <v>267581.53999999998</v>
      </c>
      <c r="E49" s="2">
        <v>0</v>
      </c>
      <c r="F49" s="2">
        <v>0</v>
      </c>
      <c r="G49" s="2">
        <v>0</v>
      </c>
      <c r="H49" s="2">
        <v>-13519.45</v>
      </c>
      <c r="I49" s="2">
        <v>0</v>
      </c>
      <c r="J49" s="2">
        <v>0</v>
      </c>
      <c r="K49" s="2">
        <v>-12993.14</v>
      </c>
      <c r="L49" s="2">
        <v>0</v>
      </c>
      <c r="M49" s="2">
        <v>27564.14</v>
      </c>
      <c r="N49">
        <v>0</v>
      </c>
      <c r="O49" s="3">
        <f t="shared" si="1"/>
        <v>268633.08999999997</v>
      </c>
    </row>
    <row r="50" spans="1:15" x14ac:dyDescent="0.2">
      <c r="A50" s="4">
        <v>116</v>
      </c>
      <c r="B50" s="4">
        <v>1</v>
      </c>
      <c r="C50" s="2" t="s">
        <v>43</v>
      </c>
      <c r="D50" s="2">
        <v>308735.62</v>
      </c>
      <c r="E50" s="2">
        <v>0</v>
      </c>
      <c r="F50" s="2">
        <v>0</v>
      </c>
      <c r="G50" s="2">
        <v>0</v>
      </c>
      <c r="H50" s="2">
        <v>15359.24</v>
      </c>
      <c r="I50" s="2">
        <v>0</v>
      </c>
      <c r="J50" s="2">
        <v>0</v>
      </c>
      <c r="K50" s="2">
        <v>-7863.93</v>
      </c>
      <c r="L50" s="2">
        <v>0</v>
      </c>
      <c r="M50" s="2">
        <v>53523.05</v>
      </c>
      <c r="N50">
        <v>0</v>
      </c>
      <c r="O50" s="3">
        <f t="shared" si="1"/>
        <v>369753.98</v>
      </c>
    </row>
    <row r="51" spans="1:15" x14ac:dyDescent="0.2">
      <c r="A51" s="4">
        <v>118</v>
      </c>
      <c r="B51" s="4">
        <v>1</v>
      </c>
      <c r="C51" s="2" t="s">
        <v>44</v>
      </c>
      <c r="D51" s="2">
        <v>57740</v>
      </c>
      <c r="E51" s="2">
        <v>97253.01</v>
      </c>
      <c r="F51" s="2">
        <v>71477.7</v>
      </c>
      <c r="G51" s="2">
        <v>0</v>
      </c>
      <c r="H51" s="2">
        <v>3905.44</v>
      </c>
      <c r="I51" s="2">
        <v>0</v>
      </c>
      <c r="J51" s="2">
        <v>0</v>
      </c>
      <c r="K51" s="2">
        <v>13609.56</v>
      </c>
      <c r="L51" s="2">
        <v>0</v>
      </c>
      <c r="M51" s="2">
        <v>34737.360000000001</v>
      </c>
      <c r="N51">
        <v>0</v>
      </c>
      <c r="O51" s="3">
        <f t="shared" si="1"/>
        <v>278723.07</v>
      </c>
    </row>
    <row r="52" spans="1:15" x14ac:dyDescent="0.2">
      <c r="A52" s="4">
        <v>129</v>
      </c>
      <c r="B52" s="4">
        <v>1</v>
      </c>
      <c r="C52" s="2" t="s">
        <v>45</v>
      </c>
      <c r="D52" s="2">
        <v>181530.32</v>
      </c>
      <c r="E52" s="2">
        <v>281630.56</v>
      </c>
      <c r="F52" s="2">
        <v>76642.47</v>
      </c>
      <c r="G52" s="2">
        <v>0</v>
      </c>
      <c r="H52" s="2">
        <v>80019.199999999997</v>
      </c>
      <c r="I52" s="2">
        <v>0</v>
      </c>
      <c r="J52" s="2">
        <v>0</v>
      </c>
      <c r="K52" s="2">
        <v>35337.449999999997</v>
      </c>
      <c r="L52" s="2">
        <v>0</v>
      </c>
      <c r="M52" s="2">
        <v>50886.65</v>
      </c>
      <c r="N52">
        <v>0</v>
      </c>
      <c r="O52" s="3">
        <f t="shared" si="1"/>
        <v>706046.64999999991</v>
      </c>
    </row>
    <row r="53" spans="1:15" x14ac:dyDescent="0.2">
      <c r="A53" s="4">
        <v>138</v>
      </c>
      <c r="B53" s="4">
        <v>1</v>
      </c>
      <c r="C53" s="2" t="s">
        <v>46</v>
      </c>
      <c r="D53" s="2">
        <v>575611.56999999995</v>
      </c>
      <c r="E53" s="2">
        <v>0</v>
      </c>
      <c r="F53" s="2">
        <v>124195.25</v>
      </c>
      <c r="G53" s="2">
        <v>0</v>
      </c>
      <c r="H53" s="2">
        <v>56052.35</v>
      </c>
      <c r="I53" s="2">
        <v>0</v>
      </c>
      <c r="J53" s="2">
        <v>0</v>
      </c>
      <c r="K53" s="2">
        <v>56610.2</v>
      </c>
      <c r="L53" s="2">
        <v>0</v>
      </c>
      <c r="M53" s="2">
        <v>93805.33</v>
      </c>
      <c r="N53">
        <v>0</v>
      </c>
      <c r="O53" s="3">
        <f t="shared" si="1"/>
        <v>906274.69999999984</v>
      </c>
    </row>
    <row r="54" spans="1:15" x14ac:dyDescent="0.2">
      <c r="A54" s="4">
        <v>139</v>
      </c>
      <c r="B54" s="4">
        <v>1</v>
      </c>
      <c r="C54" s="2" t="s">
        <v>47</v>
      </c>
      <c r="D54" s="2">
        <v>216547.43</v>
      </c>
      <c r="E54" s="2">
        <v>0</v>
      </c>
      <c r="F54" s="2">
        <v>0</v>
      </c>
      <c r="G54" s="2">
        <v>0</v>
      </c>
      <c r="H54" s="2">
        <v>17806.89</v>
      </c>
      <c r="I54" s="2">
        <v>0</v>
      </c>
      <c r="J54" s="2">
        <v>0</v>
      </c>
      <c r="K54" s="2">
        <v>7505.95</v>
      </c>
      <c r="L54" s="2">
        <v>0</v>
      </c>
      <c r="M54" s="2">
        <v>28659.8</v>
      </c>
      <c r="N54">
        <v>0</v>
      </c>
      <c r="O54" s="3">
        <f t="shared" si="1"/>
        <v>270520.07</v>
      </c>
    </row>
    <row r="55" spans="1:15" x14ac:dyDescent="0.2">
      <c r="A55" s="4">
        <v>146</v>
      </c>
      <c r="B55" s="4">
        <v>1</v>
      </c>
      <c r="C55" s="2" t="s">
        <v>48</v>
      </c>
      <c r="D55" s="2">
        <v>194457.31</v>
      </c>
      <c r="E55" s="2">
        <v>227265.2</v>
      </c>
      <c r="F55" s="2">
        <v>47325.63</v>
      </c>
      <c r="G55" s="2">
        <v>0</v>
      </c>
      <c r="H55" s="2">
        <v>13971.66</v>
      </c>
      <c r="I55" s="2">
        <v>0</v>
      </c>
      <c r="J55" s="2">
        <v>0</v>
      </c>
      <c r="K55" s="2">
        <v>-1819.51</v>
      </c>
      <c r="L55" s="2">
        <v>0</v>
      </c>
      <c r="M55" s="2">
        <v>29317.16</v>
      </c>
      <c r="N55">
        <v>0</v>
      </c>
      <c r="O55" s="3">
        <f t="shared" si="1"/>
        <v>510517.44999999995</v>
      </c>
    </row>
    <row r="56" spans="1:15" x14ac:dyDescent="0.2">
      <c r="A56" s="4">
        <v>150</v>
      </c>
      <c r="B56" s="4">
        <v>1</v>
      </c>
      <c r="C56" s="2" t="s">
        <v>49</v>
      </c>
      <c r="D56" s="2">
        <v>113839.31</v>
      </c>
      <c r="E56" s="2">
        <v>90998.28</v>
      </c>
      <c r="F56" s="2">
        <v>27885.64</v>
      </c>
      <c r="G56" s="2">
        <v>0</v>
      </c>
      <c r="H56" s="2">
        <v>17882.84</v>
      </c>
      <c r="I56" s="2">
        <v>0</v>
      </c>
      <c r="J56" s="2">
        <v>0</v>
      </c>
      <c r="K56" s="2">
        <v>-8704.44</v>
      </c>
      <c r="L56" s="2">
        <v>0</v>
      </c>
      <c r="M56" s="2">
        <v>17794.78</v>
      </c>
      <c r="N56">
        <v>0</v>
      </c>
      <c r="O56" s="3">
        <f t="shared" si="1"/>
        <v>259696.40999999997</v>
      </c>
    </row>
    <row r="57" spans="1:15" x14ac:dyDescent="0.2">
      <c r="A57" s="4">
        <v>152</v>
      </c>
      <c r="B57" s="4">
        <v>1</v>
      </c>
      <c r="C57" s="2" t="s">
        <v>50</v>
      </c>
      <c r="D57" s="2">
        <v>1130379.3899999999</v>
      </c>
      <c r="E57" s="2">
        <v>1933152.26</v>
      </c>
      <c r="F57" s="2">
        <v>260799.18</v>
      </c>
      <c r="G57" s="2">
        <v>0</v>
      </c>
      <c r="H57" s="2">
        <v>96655.67</v>
      </c>
      <c r="I57" s="2">
        <v>0</v>
      </c>
      <c r="J57" s="2">
        <v>0</v>
      </c>
      <c r="K57" s="2">
        <v>-8377.6</v>
      </c>
      <c r="L57" s="2">
        <v>0</v>
      </c>
      <c r="M57" s="2">
        <v>242235.41</v>
      </c>
      <c r="N57">
        <v>0</v>
      </c>
      <c r="O57" s="3">
        <f t="shared" si="1"/>
        <v>3654844.31</v>
      </c>
    </row>
    <row r="58" spans="1:15" x14ac:dyDescent="0.2">
      <c r="A58" s="4">
        <v>162</v>
      </c>
      <c r="B58" s="4">
        <v>1</v>
      </c>
      <c r="C58" s="2" t="s">
        <v>51</v>
      </c>
      <c r="D58" s="2">
        <v>209405.42</v>
      </c>
      <c r="E58" s="2">
        <v>0</v>
      </c>
      <c r="F58" s="2">
        <v>0</v>
      </c>
      <c r="G58" s="2">
        <v>0</v>
      </c>
      <c r="H58" s="2">
        <v>21070.2</v>
      </c>
      <c r="I58" s="2">
        <v>0</v>
      </c>
      <c r="J58" s="2">
        <v>0</v>
      </c>
      <c r="K58" s="2">
        <v>32697.439999999999</v>
      </c>
      <c r="L58" s="2">
        <v>0</v>
      </c>
      <c r="M58" s="2">
        <v>28125.79</v>
      </c>
      <c r="N58">
        <v>0</v>
      </c>
      <c r="O58" s="3">
        <f t="shared" si="1"/>
        <v>291298.84999999998</v>
      </c>
    </row>
    <row r="59" spans="1:15" x14ac:dyDescent="0.2">
      <c r="A59" s="4">
        <v>166</v>
      </c>
      <c r="B59" s="4">
        <v>1</v>
      </c>
      <c r="C59" s="2" t="s">
        <v>52</v>
      </c>
      <c r="D59" s="2">
        <v>33552.959999999999</v>
      </c>
      <c r="E59" s="2">
        <v>181899.68</v>
      </c>
      <c r="F59" s="2">
        <v>32084.66</v>
      </c>
      <c r="G59" s="2">
        <v>0</v>
      </c>
      <c r="H59" s="2">
        <v>13343.4</v>
      </c>
      <c r="I59" s="2">
        <v>0</v>
      </c>
      <c r="J59" s="2">
        <v>0</v>
      </c>
      <c r="K59" s="2">
        <v>10856.42</v>
      </c>
      <c r="L59" s="2">
        <v>0</v>
      </c>
      <c r="M59" s="2">
        <v>0</v>
      </c>
      <c r="N59">
        <v>0</v>
      </c>
      <c r="O59" s="3">
        <f t="shared" si="1"/>
        <v>271737.12</v>
      </c>
    </row>
    <row r="60" spans="1:15" x14ac:dyDescent="0.2">
      <c r="A60" s="4">
        <v>173</v>
      </c>
      <c r="B60" s="4">
        <v>1</v>
      </c>
      <c r="C60" s="2" t="s">
        <v>53</v>
      </c>
      <c r="D60" s="2">
        <v>98594.32</v>
      </c>
      <c r="E60" s="2">
        <v>178431.7</v>
      </c>
      <c r="F60" s="2">
        <v>90731.14</v>
      </c>
      <c r="G60" s="2">
        <v>4153.8</v>
      </c>
      <c r="H60" s="2">
        <v>16063.41</v>
      </c>
      <c r="I60" s="2">
        <v>0</v>
      </c>
      <c r="J60" s="2">
        <v>0</v>
      </c>
      <c r="K60" s="2">
        <v>-944.18</v>
      </c>
      <c r="L60" s="2">
        <v>0</v>
      </c>
      <c r="M60" s="2">
        <v>24657.21</v>
      </c>
      <c r="N60">
        <v>0</v>
      </c>
      <c r="O60" s="3">
        <f t="shared" si="1"/>
        <v>411687.4</v>
      </c>
    </row>
    <row r="61" spans="1:15" x14ac:dyDescent="0.2">
      <c r="A61" s="4">
        <v>177</v>
      </c>
      <c r="B61" s="4">
        <v>1</v>
      </c>
      <c r="C61" s="2" t="s">
        <v>54</v>
      </c>
      <c r="D61" s="2">
        <v>198244.09</v>
      </c>
      <c r="E61" s="2">
        <v>450830.96</v>
      </c>
      <c r="F61" s="2">
        <v>79181.69</v>
      </c>
      <c r="G61" s="2">
        <v>7877.23</v>
      </c>
      <c r="H61" s="2">
        <v>16870.669999999998</v>
      </c>
      <c r="I61" s="2">
        <v>0</v>
      </c>
      <c r="J61" s="2">
        <v>-2451.42</v>
      </c>
      <c r="K61" s="2">
        <v>8474.8700000000008</v>
      </c>
      <c r="L61" s="2">
        <v>0</v>
      </c>
      <c r="M61" s="2">
        <v>39371.35</v>
      </c>
      <c r="N61">
        <v>0</v>
      </c>
      <c r="O61" s="3">
        <f t="shared" si="1"/>
        <v>798399.44</v>
      </c>
    </row>
    <row r="62" spans="1:15" x14ac:dyDescent="0.2">
      <c r="A62" s="4">
        <v>181</v>
      </c>
      <c r="B62" s="4">
        <v>1</v>
      </c>
      <c r="C62" s="2" t="s">
        <v>55</v>
      </c>
      <c r="D62" s="2">
        <v>1957942.25</v>
      </c>
      <c r="E62" s="2">
        <v>1009845.42</v>
      </c>
      <c r="F62" s="2">
        <v>381870.54</v>
      </c>
      <c r="G62" s="2">
        <v>0</v>
      </c>
      <c r="H62" s="2">
        <v>244676.86</v>
      </c>
      <c r="I62" s="2">
        <v>0</v>
      </c>
      <c r="J62" s="2">
        <v>0</v>
      </c>
      <c r="K62" s="2">
        <v>33929.25</v>
      </c>
      <c r="L62" s="2">
        <v>0</v>
      </c>
      <c r="M62" s="2">
        <v>285648.81</v>
      </c>
      <c r="N62">
        <v>0</v>
      </c>
      <c r="O62" s="3">
        <f t="shared" si="1"/>
        <v>3913913.13</v>
      </c>
    </row>
    <row r="63" spans="1:15" x14ac:dyDescent="0.2">
      <c r="A63" s="4">
        <v>182</v>
      </c>
      <c r="B63" s="4">
        <v>1</v>
      </c>
      <c r="C63" s="2" t="s">
        <v>56</v>
      </c>
      <c r="D63" s="2">
        <v>316235.14</v>
      </c>
      <c r="E63" s="2">
        <v>276610.55</v>
      </c>
      <c r="F63" s="2">
        <v>41830.449999999997</v>
      </c>
      <c r="G63" s="2">
        <v>0</v>
      </c>
      <c r="H63" s="2">
        <v>27552.47</v>
      </c>
      <c r="I63" s="2">
        <v>0</v>
      </c>
      <c r="J63" s="2">
        <v>0</v>
      </c>
      <c r="K63" s="2">
        <v>29410.52</v>
      </c>
      <c r="L63" s="2">
        <v>0</v>
      </c>
      <c r="M63" s="2">
        <v>3395.81</v>
      </c>
      <c r="N63">
        <v>0</v>
      </c>
      <c r="O63" s="3">
        <f t="shared" si="1"/>
        <v>695034.94</v>
      </c>
    </row>
    <row r="64" spans="1:15" x14ac:dyDescent="0.2">
      <c r="A64" s="4">
        <v>186</v>
      </c>
      <c r="B64" s="4">
        <v>1</v>
      </c>
      <c r="C64" s="2" t="s">
        <v>57</v>
      </c>
      <c r="D64" s="2">
        <v>602900.28</v>
      </c>
      <c r="E64" s="2">
        <v>812.05</v>
      </c>
      <c r="F64" s="2">
        <v>0</v>
      </c>
      <c r="G64" s="2">
        <v>0</v>
      </c>
      <c r="H64" s="2">
        <v>30402.1</v>
      </c>
      <c r="I64" s="2">
        <v>0</v>
      </c>
      <c r="J64" s="2">
        <v>0</v>
      </c>
      <c r="K64" s="2">
        <v>22654.77</v>
      </c>
      <c r="L64" s="2">
        <v>0</v>
      </c>
      <c r="M64" s="2">
        <v>93550.19</v>
      </c>
      <c r="N64">
        <v>0</v>
      </c>
      <c r="O64" s="3">
        <f t="shared" si="1"/>
        <v>750319.39000000013</v>
      </c>
    </row>
    <row r="65" spans="1:15" x14ac:dyDescent="0.2">
      <c r="A65" s="4">
        <v>191</v>
      </c>
      <c r="B65" s="4">
        <v>1</v>
      </c>
      <c r="C65" s="2" t="s">
        <v>58</v>
      </c>
      <c r="D65" s="2">
        <v>2627306.39</v>
      </c>
      <c r="E65" s="2">
        <v>5341889.1399999997</v>
      </c>
      <c r="F65" s="2">
        <v>3269341.23</v>
      </c>
      <c r="G65" s="2">
        <v>0</v>
      </c>
      <c r="H65" s="2">
        <v>207922.51</v>
      </c>
      <c r="I65" s="2">
        <v>0</v>
      </c>
      <c r="J65" s="2">
        <v>0</v>
      </c>
      <c r="K65" s="2">
        <v>516593.26</v>
      </c>
      <c r="L65" s="2">
        <v>0</v>
      </c>
      <c r="M65" s="2">
        <v>471689.73</v>
      </c>
      <c r="N65">
        <v>0</v>
      </c>
      <c r="O65" s="3">
        <f t="shared" si="1"/>
        <v>12434742.26</v>
      </c>
    </row>
    <row r="66" spans="1:15" x14ac:dyDescent="0.2">
      <c r="A66" s="4">
        <v>192</v>
      </c>
      <c r="B66" s="4">
        <v>1</v>
      </c>
      <c r="C66" s="2" t="s">
        <v>59</v>
      </c>
      <c r="D66" s="2">
        <v>1176507.8500000001</v>
      </c>
      <c r="E66" s="2">
        <v>1046744.1</v>
      </c>
      <c r="F66" s="2">
        <v>497003.31</v>
      </c>
      <c r="G66" s="2">
        <v>34108.79</v>
      </c>
      <c r="H66" s="2">
        <v>101715.3</v>
      </c>
      <c r="I66" s="2">
        <v>0</v>
      </c>
      <c r="J66" s="2">
        <v>0</v>
      </c>
      <c r="K66" s="2">
        <v>41725.870000000003</v>
      </c>
      <c r="L66" s="2">
        <v>0</v>
      </c>
      <c r="M66" s="2">
        <v>231027.39</v>
      </c>
      <c r="N66">
        <v>0</v>
      </c>
      <c r="O66" s="3">
        <f t="shared" si="1"/>
        <v>3128832.6100000003</v>
      </c>
    </row>
    <row r="67" spans="1:15" x14ac:dyDescent="0.2">
      <c r="A67" s="4">
        <v>194</v>
      </c>
      <c r="B67" s="4">
        <v>1</v>
      </c>
      <c r="C67" s="2" t="s">
        <v>60</v>
      </c>
      <c r="D67" s="2">
        <v>2369883.48</v>
      </c>
      <c r="E67" s="2">
        <v>2696654.31</v>
      </c>
      <c r="F67" s="2">
        <v>2328572.5699999998</v>
      </c>
      <c r="G67" s="2">
        <v>230506.25</v>
      </c>
      <c r="H67" s="2">
        <v>181531.03</v>
      </c>
      <c r="I67" s="2">
        <v>0</v>
      </c>
      <c r="J67" s="2">
        <v>0</v>
      </c>
      <c r="K67" s="2">
        <v>89390.27</v>
      </c>
      <c r="L67" s="2">
        <v>0</v>
      </c>
      <c r="M67" s="2">
        <v>490569.37</v>
      </c>
      <c r="N67">
        <v>0</v>
      </c>
      <c r="O67" s="3">
        <f t="shared" si="1"/>
        <v>8387107.2799999993</v>
      </c>
    </row>
    <row r="68" spans="1:15" x14ac:dyDescent="0.2">
      <c r="A68" s="4">
        <v>195</v>
      </c>
      <c r="B68" s="4">
        <v>1</v>
      </c>
      <c r="C68" s="2" t="s">
        <v>61</v>
      </c>
      <c r="D68" s="2">
        <v>135202.87</v>
      </c>
      <c r="E68" s="2">
        <v>0</v>
      </c>
      <c r="F68" s="2">
        <v>139518.71</v>
      </c>
      <c r="G68" s="2">
        <v>0</v>
      </c>
      <c r="H68" s="2">
        <v>11074.59</v>
      </c>
      <c r="I68" s="2">
        <v>0</v>
      </c>
      <c r="J68" s="2">
        <v>0</v>
      </c>
      <c r="K68" s="2">
        <v>-4219.79</v>
      </c>
      <c r="L68" s="2">
        <v>0</v>
      </c>
      <c r="M68" s="2">
        <v>17357.98</v>
      </c>
      <c r="N68">
        <v>0</v>
      </c>
      <c r="O68" s="3">
        <f t="shared" si="1"/>
        <v>298934.36</v>
      </c>
    </row>
    <row r="69" spans="1:15" x14ac:dyDescent="0.2">
      <c r="A69" s="4">
        <v>196</v>
      </c>
      <c r="B69" s="4">
        <v>1</v>
      </c>
      <c r="C69" s="2" t="s">
        <v>62</v>
      </c>
      <c r="D69" s="2">
        <v>10813994.24</v>
      </c>
      <c r="E69" s="2">
        <v>11898353.75</v>
      </c>
      <c r="F69" s="2">
        <v>2902781.6</v>
      </c>
      <c r="G69" s="2">
        <v>0</v>
      </c>
      <c r="H69" s="2">
        <v>397710.24</v>
      </c>
      <c r="I69" s="2">
        <v>0</v>
      </c>
      <c r="J69" s="2">
        <v>0</v>
      </c>
      <c r="K69" s="2">
        <v>309626.8</v>
      </c>
      <c r="L69" s="2">
        <v>0</v>
      </c>
      <c r="M69" s="2">
        <v>816744.87</v>
      </c>
      <c r="N69">
        <v>0</v>
      </c>
      <c r="O69" s="3">
        <f t="shared" si="1"/>
        <v>27139211.500000004</v>
      </c>
    </row>
    <row r="70" spans="1:15" x14ac:dyDescent="0.2">
      <c r="A70" s="4">
        <v>197</v>
      </c>
      <c r="B70" s="4">
        <v>1</v>
      </c>
      <c r="C70" s="2" t="s">
        <v>815</v>
      </c>
      <c r="D70" s="2">
        <v>1960251.05</v>
      </c>
      <c r="E70" s="2">
        <v>2742892.8</v>
      </c>
      <c r="F70" s="2">
        <v>1798011.75</v>
      </c>
      <c r="G70" s="2">
        <v>0</v>
      </c>
      <c r="H70" s="2">
        <v>73371.289999999994</v>
      </c>
      <c r="I70" s="2">
        <v>0</v>
      </c>
      <c r="J70" s="2">
        <v>0</v>
      </c>
      <c r="K70" s="2">
        <v>55175.33</v>
      </c>
      <c r="L70" s="2">
        <v>0</v>
      </c>
      <c r="M70" s="2">
        <v>420234.97</v>
      </c>
      <c r="N70">
        <v>0</v>
      </c>
      <c r="O70" s="3">
        <f t="shared" si="1"/>
        <v>7049937.1899999995</v>
      </c>
    </row>
    <row r="71" spans="1:15" x14ac:dyDescent="0.2">
      <c r="A71" s="4">
        <v>199</v>
      </c>
      <c r="B71" s="4">
        <v>1</v>
      </c>
      <c r="C71" s="2" t="s">
        <v>1172</v>
      </c>
      <c r="D71" s="2">
        <v>1191710.47</v>
      </c>
      <c r="E71" s="2">
        <v>1117907.29</v>
      </c>
      <c r="F71" s="2">
        <v>996898.87</v>
      </c>
      <c r="G71" s="2">
        <v>29000.73</v>
      </c>
      <c r="H71" s="2">
        <v>72432.81</v>
      </c>
      <c r="I71" s="2">
        <v>0</v>
      </c>
      <c r="J71" s="2">
        <v>0</v>
      </c>
      <c r="K71" s="2">
        <v>121039.31</v>
      </c>
      <c r="L71" s="2">
        <v>0</v>
      </c>
      <c r="M71" s="2">
        <v>250102.39999999999</v>
      </c>
      <c r="N71">
        <v>0</v>
      </c>
      <c r="O71" s="3">
        <f t="shared" si="1"/>
        <v>3779091.88</v>
      </c>
    </row>
    <row r="72" spans="1:15" x14ac:dyDescent="0.2">
      <c r="A72" s="4">
        <v>200</v>
      </c>
      <c r="B72" s="4">
        <v>1</v>
      </c>
      <c r="C72" s="2" t="s">
        <v>65</v>
      </c>
      <c r="D72" s="2">
        <v>1091090.57</v>
      </c>
      <c r="E72" s="2">
        <v>3279731.42</v>
      </c>
      <c r="F72" s="2">
        <v>552049.56000000006</v>
      </c>
      <c r="G72" s="2">
        <v>43073.06</v>
      </c>
      <c r="H72" s="2">
        <v>43334.05</v>
      </c>
      <c r="I72" s="2">
        <v>0</v>
      </c>
      <c r="J72" s="2">
        <v>0</v>
      </c>
      <c r="K72" s="2">
        <v>50067.57</v>
      </c>
      <c r="L72" s="2">
        <v>0</v>
      </c>
      <c r="M72" s="2">
        <v>221202.9</v>
      </c>
      <c r="N72">
        <v>0</v>
      </c>
      <c r="O72" s="3">
        <f t="shared" si="1"/>
        <v>5280549.1300000008</v>
      </c>
    </row>
    <row r="73" spans="1:15" x14ac:dyDescent="0.2">
      <c r="A73" s="4">
        <v>203</v>
      </c>
      <c r="B73" s="4">
        <v>1</v>
      </c>
      <c r="C73" s="2" t="s">
        <v>66</v>
      </c>
      <c r="D73" s="2">
        <v>187501.32</v>
      </c>
      <c r="E73" s="2">
        <v>290852.74</v>
      </c>
      <c r="F73" s="2">
        <v>0</v>
      </c>
      <c r="G73" s="2">
        <v>0</v>
      </c>
      <c r="H73" s="2">
        <v>16026.74</v>
      </c>
      <c r="I73" s="2">
        <v>0</v>
      </c>
      <c r="J73" s="2">
        <v>0</v>
      </c>
      <c r="K73" s="2">
        <v>26770.9</v>
      </c>
      <c r="L73" s="2">
        <v>0</v>
      </c>
      <c r="M73" s="2">
        <v>34114.410000000003</v>
      </c>
      <c r="N73">
        <v>0</v>
      </c>
      <c r="O73" s="3">
        <f t="shared" si="1"/>
        <v>555266.11</v>
      </c>
    </row>
    <row r="74" spans="1:15" x14ac:dyDescent="0.2">
      <c r="A74" s="4">
        <v>204</v>
      </c>
      <c r="B74" s="4">
        <v>1</v>
      </c>
      <c r="C74" s="2" t="s">
        <v>1173</v>
      </c>
      <c r="D74" s="2">
        <v>157687.91</v>
      </c>
      <c r="E74" s="2">
        <v>152689.47</v>
      </c>
      <c r="F74" s="2">
        <v>66446.850000000006</v>
      </c>
      <c r="G74" s="2">
        <v>0</v>
      </c>
      <c r="H74" s="2">
        <v>37390.53</v>
      </c>
      <c r="I74" s="2">
        <v>0</v>
      </c>
      <c r="J74" s="2">
        <v>0</v>
      </c>
      <c r="K74" s="2">
        <v>2464.12</v>
      </c>
      <c r="L74" s="2">
        <v>0</v>
      </c>
      <c r="M74" s="2">
        <v>50957.22</v>
      </c>
      <c r="N74">
        <v>0</v>
      </c>
      <c r="O74" s="3">
        <f t="shared" si="1"/>
        <v>467636.1</v>
      </c>
    </row>
    <row r="75" spans="1:15" x14ac:dyDescent="0.2">
      <c r="A75" s="4">
        <v>206</v>
      </c>
      <c r="B75" s="4">
        <v>1</v>
      </c>
      <c r="C75" s="2" t="s">
        <v>68</v>
      </c>
      <c r="D75" s="2">
        <v>839163.88</v>
      </c>
      <c r="E75" s="2">
        <v>575415.68000000005</v>
      </c>
      <c r="F75" s="2">
        <v>365570.81</v>
      </c>
      <c r="G75" s="2">
        <v>0</v>
      </c>
      <c r="H75" s="2">
        <v>82433.34</v>
      </c>
      <c r="I75" s="2">
        <v>0</v>
      </c>
      <c r="J75" s="2">
        <v>0</v>
      </c>
      <c r="K75" s="2">
        <v>1276.6600000000001</v>
      </c>
      <c r="L75" s="2">
        <v>0</v>
      </c>
      <c r="M75" s="2">
        <v>221185.98</v>
      </c>
      <c r="N75">
        <v>0</v>
      </c>
      <c r="O75" s="3">
        <f t="shared" ref="O75:O133" si="2">SUM(D75:N75)</f>
        <v>2085046.35</v>
      </c>
    </row>
    <row r="76" spans="1:15" x14ac:dyDescent="0.2">
      <c r="A76" s="4">
        <v>213</v>
      </c>
      <c r="B76" s="4">
        <v>1</v>
      </c>
      <c r="C76" s="2" t="s">
        <v>71</v>
      </c>
      <c r="D76" s="2">
        <v>157175.69</v>
      </c>
      <c r="E76" s="2">
        <v>0</v>
      </c>
      <c r="F76" s="2">
        <v>28915.37</v>
      </c>
      <c r="G76" s="2">
        <v>0</v>
      </c>
      <c r="H76" s="2">
        <v>10005.4</v>
      </c>
      <c r="I76" s="2">
        <v>0</v>
      </c>
      <c r="J76" s="2">
        <v>0</v>
      </c>
      <c r="K76" s="2">
        <v>5397.86</v>
      </c>
      <c r="L76" s="2">
        <v>0</v>
      </c>
      <c r="M76" s="2">
        <v>22067.1</v>
      </c>
      <c r="N76">
        <v>0</v>
      </c>
      <c r="O76" s="3">
        <f t="shared" si="2"/>
        <v>223561.41999999998</v>
      </c>
    </row>
    <row r="77" spans="1:15" x14ac:dyDescent="0.2">
      <c r="A77" s="4">
        <v>227</v>
      </c>
      <c r="B77" s="4">
        <v>1</v>
      </c>
      <c r="C77" s="2" t="s">
        <v>72</v>
      </c>
      <c r="D77" s="2">
        <v>139466.37</v>
      </c>
      <c r="E77" s="2">
        <v>162495.85999999999</v>
      </c>
      <c r="F77" s="2">
        <v>44731.14</v>
      </c>
      <c r="G77" s="2">
        <v>0</v>
      </c>
      <c r="H77" s="2">
        <v>17997.25</v>
      </c>
      <c r="I77" s="2">
        <v>0</v>
      </c>
      <c r="J77" s="2">
        <v>0</v>
      </c>
      <c r="K77" s="2">
        <v>30856.92</v>
      </c>
      <c r="L77" s="2">
        <v>0</v>
      </c>
      <c r="M77" s="2">
        <v>35744.81</v>
      </c>
      <c r="N77">
        <v>0</v>
      </c>
      <c r="O77" s="3">
        <f t="shared" si="2"/>
        <v>431292.35</v>
      </c>
    </row>
    <row r="78" spans="1:15" x14ac:dyDescent="0.2">
      <c r="A78" s="4">
        <v>229</v>
      </c>
      <c r="B78" s="4">
        <v>1</v>
      </c>
      <c r="C78" s="2" t="s">
        <v>73</v>
      </c>
      <c r="D78" s="2">
        <v>68038.399999999994</v>
      </c>
      <c r="E78" s="2">
        <v>0</v>
      </c>
      <c r="F78" s="2">
        <v>15542.06</v>
      </c>
      <c r="G78" s="2">
        <v>0</v>
      </c>
      <c r="H78" s="2">
        <v>24616</v>
      </c>
      <c r="I78" s="2">
        <v>0</v>
      </c>
      <c r="J78" s="2">
        <v>0</v>
      </c>
      <c r="K78" s="2">
        <v>8580.2999999999993</v>
      </c>
      <c r="L78" s="2">
        <v>0</v>
      </c>
      <c r="M78" s="2">
        <v>10172.469999999999</v>
      </c>
      <c r="N78">
        <v>0</v>
      </c>
      <c r="O78" s="3">
        <f t="shared" si="2"/>
        <v>126949.23</v>
      </c>
    </row>
    <row r="79" spans="1:15" x14ac:dyDescent="0.2">
      <c r="A79" s="4">
        <v>238</v>
      </c>
      <c r="B79" s="4">
        <v>1</v>
      </c>
      <c r="C79" s="2" t="s">
        <v>74</v>
      </c>
      <c r="D79" s="2">
        <v>64594.87</v>
      </c>
      <c r="E79" s="2">
        <v>93232.55</v>
      </c>
      <c r="F79" s="2">
        <v>54421.05</v>
      </c>
      <c r="G79" s="2">
        <v>0</v>
      </c>
      <c r="H79" s="2">
        <v>12238.28</v>
      </c>
      <c r="I79" s="2">
        <v>0</v>
      </c>
      <c r="J79" s="2">
        <v>0</v>
      </c>
      <c r="K79" s="2">
        <v>739.46</v>
      </c>
      <c r="L79" s="2">
        <v>0</v>
      </c>
      <c r="M79" s="2">
        <v>9323.91</v>
      </c>
      <c r="N79">
        <v>0</v>
      </c>
      <c r="O79" s="3">
        <f t="shared" si="2"/>
        <v>234550.12000000002</v>
      </c>
    </row>
    <row r="80" spans="1:15" x14ac:dyDescent="0.2">
      <c r="A80" s="4">
        <v>239</v>
      </c>
      <c r="B80" s="4">
        <v>1</v>
      </c>
      <c r="C80" s="2" t="s">
        <v>1174</v>
      </c>
      <c r="D80" s="2">
        <v>190336.64000000001</v>
      </c>
      <c r="E80" s="2">
        <v>240308.37</v>
      </c>
      <c r="F80" s="2">
        <v>35288.620000000003</v>
      </c>
      <c r="G80" s="2">
        <v>0</v>
      </c>
      <c r="H80" s="2">
        <v>14585.65</v>
      </c>
      <c r="I80" s="2">
        <v>0</v>
      </c>
      <c r="J80" s="2">
        <v>0</v>
      </c>
      <c r="K80" s="2">
        <v>9419.17</v>
      </c>
      <c r="L80" s="2">
        <v>0</v>
      </c>
      <c r="M80" s="2">
        <v>21294.58</v>
      </c>
      <c r="N80">
        <v>0</v>
      </c>
      <c r="O80" s="3">
        <f t="shared" si="2"/>
        <v>511233.03</v>
      </c>
    </row>
    <row r="81" spans="1:15" x14ac:dyDescent="0.2">
      <c r="A81" s="4">
        <v>241</v>
      </c>
      <c r="B81" s="4">
        <v>1</v>
      </c>
      <c r="C81" s="2" t="s">
        <v>76</v>
      </c>
      <c r="D81" s="2">
        <v>811992.56</v>
      </c>
      <c r="E81" s="2">
        <v>1391956.1</v>
      </c>
      <c r="F81" s="2">
        <v>174209.52</v>
      </c>
      <c r="G81" s="2">
        <v>60901.47</v>
      </c>
      <c r="H81" s="2">
        <v>73727.009999999995</v>
      </c>
      <c r="I81" s="2">
        <v>0</v>
      </c>
      <c r="J81" s="2">
        <v>0</v>
      </c>
      <c r="K81" s="2">
        <v>45876.94</v>
      </c>
      <c r="L81" s="2">
        <v>0</v>
      </c>
      <c r="M81" s="2">
        <v>112405</v>
      </c>
      <c r="N81">
        <v>0</v>
      </c>
      <c r="O81" s="3">
        <f t="shared" si="2"/>
        <v>2671068.6</v>
      </c>
    </row>
    <row r="82" spans="1:15" x14ac:dyDescent="0.2">
      <c r="A82" s="4">
        <v>242</v>
      </c>
      <c r="B82" s="4">
        <v>1</v>
      </c>
      <c r="C82" s="2" t="s">
        <v>1175</v>
      </c>
      <c r="D82" s="2">
        <v>65740.73</v>
      </c>
      <c r="E82" s="2">
        <v>4013.96</v>
      </c>
      <c r="F82" s="2">
        <v>29849.06</v>
      </c>
      <c r="G82" s="2">
        <v>4788.6099999999997</v>
      </c>
      <c r="H82" s="2">
        <v>10003.75</v>
      </c>
      <c r="I82" s="2">
        <v>0</v>
      </c>
      <c r="J82" s="2">
        <v>0</v>
      </c>
      <c r="K82" s="2">
        <v>4956.6499999999996</v>
      </c>
      <c r="L82" s="2">
        <v>0</v>
      </c>
      <c r="M82" s="2">
        <v>9116.39</v>
      </c>
      <c r="N82">
        <v>0</v>
      </c>
      <c r="O82" s="3">
        <f t="shared" si="2"/>
        <v>128469.15</v>
      </c>
    </row>
    <row r="83" spans="1:15" x14ac:dyDescent="0.2">
      <c r="A83" s="4">
        <v>252</v>
      </c>
      <c r="B83" s="4">
        <v>1</v>
      </c>
      <c r="C83" s="2" t="s">
        <v>78</v>
      </c>
      <c r="D83" s="2">
        <v>252927.51</v>
      </c>
      <c r="E83" s="2">
        <v>244491.06</v>
      </c>
      <c r="F83" s="2">
        <v>104497.76</v>
      </c>
      <c r="G83" s="2">
        <v>0</v>
      </c>
      <c r="H83" s="2">
        <v>26803.73</v>
      </c>
      <c r="I83" s="2">
        <v>0</v>
      </c>
      <c r="J83" s="2">
        <v>0</v>
      </c>
      <c r="K83" s="2">
        <v>18519.3</v>
      </c>
      <c r="L83" s="2">
        <v>0</v>
      </c>
      <c r="M83" s="2">
        <v>76894.92</v>
      </c>
      <c r="N83">
        <v>0</v>
      </c>
      <c r="O83" s="3">
        <f t="shared" si="2"/>
        <v>724134.28</v>
      </c>
    </row>
    <row r="84" spans="1:15" x14ac:dyDescent="0.2">
      <c r="A84" s="4">
        <v>253</v>
      </c>
      <c r="B84" s="4">
        <v>1</v>
      </c>
      <c r="C84" s="2" t="s">
        <v>79</v>
      </c>
      <c r="D84" s="2">
        <v>145980.69</v>
      </c>
      <c r="E84" s="2">
        <v>66254.86</v>
      </c>
      <c r="F84" s="2">
        <v>32550.880000000001</v>
      </c>
      <c r="G84" s="2">
        <v>2374.9299999999998</v>
      </c>
      <c r="H84" s="2">
        <v>13559.43</v>
      </c>
      <c r="I84" s="2">
        <v>0</v>
      </c>
      <c r="J84" s="2">
        <v>0</v>
      </c>
      <c r="K84" s="2">
        <v>5981.85</v>
      </c>
      <c r="L84" s="2">
        <v>0</v>
      </c>
      <c r="M84" s="2">
        <v>17983.939999999999</v>
      </c>
      <c r="N84">
        <v>0</v>
      </c>
      <c r="O84" s="3">
        <f t="shared" si="2"/>
        <v>284686.57999999996</v>
      </c>
    </row>
    <row r="85" spans="1:15" x14ac:dyDescent="0.2">
      <c r="A85" s="4">
        <v>255</v>
      </c>
      <c r="B85" s="4">
        <v>1</v>
      </c>
      <c r="C85" s="2" t="s">
        <v>80</v>
      </c>
      <c r="D85" s="2">
        <v>279564.38</v>
      </c>
      <c r="E85" s="2">
        <v>274021.03999999998</v>
      </c>
      <c r="F85" s="2">
        <v>52187.99</v>
      </c>
      <c r="G85" s="2">
        <v>0</v>
      </c>
      <c r="H85" s="2">
        <v>33795.519999999997</v>
      </c>
      <c r="I85" s="2">
        <v>0</v>
      </c>
      <c r="J85" s="2">
        <v>0</v>
      </c>
      <c r="K85" s="2">
        <v>-6880.86</v>
      </c>
      <c r="L85" s="2">
        <v>0</v>
      </c>
      <c r="M85" s="2">
        <v>69863.47</v>
      </c>
      <c r="N85">
        <v>0</v>
      </c>
      <c r="O85" s="3">
        <f t="shared" si="2"/>
        <v>702551.53999999992</v>
      </c>
    </row>
    <row r="86" spans="1:15" x14ac:dyDescent="0.2">
      <c r="A86" s="4">
        <v>256</v>
      </c>
      <c r="B86" s="4">
        <v>1</v>
      </c>
      <c r="C86" s="2" t="s">
        <v>81</v>
      </c>
      <c r="D86" s="2">
        <v>826940.19</v>
      </c>
      <c r="E86" s="2">
        <v>1413737.62</v>
      </c>
      <c r="F86" s="2">
        <v>431418.24</v>
      </c>
      <c r="G86" s="2">
        <v>7931.62</v>
      </c>
      <c r="H86" s="2">
        <v>62951.82</v>
      </c>
      <c r="I86" s="2">
        <v>0</v>
      </c>
      <c r="J86" s="2">
        <v>0</v>
      </c>
      <c r="K86" s="2">
        <v>12585.54</v>
      </c>
      <c r="L86" s="2">
        <v>0</v>
      </c>
      <c r="M86" s="2">
        <v>153649.87</v>
      </c>
      <c r="N86">
        <v>0</v>
      </c>
      <c r="O86" s="3">
        <f t="shared" si="2"/>
        <v>2909214.9</v>
      </c>
    </row>
    <row r="87" spans="1:15" x14ac:dyDescent="0.2">
      <c r="A87" s="4">
        <v>261</v>
      </c>
      <c r="B87" s="4">
        <v>1</v>
      </c>
      <c r="C87" s="2" t="s">
        <v>82</v>
      </c>
      <c r="D87" s="2">
        <v>49205.06</v>
      </c>
      <c r="E87" s="2">
        <v>134485.92000000001</v>
      </c>
      <c r="F87" s="2">
        <v>0</v>
      </c>
      <c r="G87" s="2">
        <v>0</v>
      </c>
      <c r="H87" s="2">
        <v>10003.75</v>
      </c>
      <c r="I87" s="2">
        <v>0</v>
      </c>
      <c r="J87" s="2">
        <v>0</v>
      </c>
      <c r="K87" s="2">
        <v>416.64</v>
      </c>
      <c r="L87" s="2">
        <v>0</v>
      </c>
      <c r="M87" s="2">
        <v>8668.33</v>
      </c>
      <c r="N87">
        <v>0</v>
      </c>
      <c r="O87" s="3">
        <f t="shared" si="2"/>
        <v>202779.7</v>
      </c>
    </row>
    <row r="88" spans="1:15" x14ac:dyDescent="0.2">
      <c r="A88" s="4">
        <v>264</v>
      </c>
      <c r="B88" s="4">
        <v>1</v>
      </c>
      <c r="C88" s="2" t="s">
        <v>83</v>
      </c>
      <c r="D88" s="2">
        <v>29361.41</v>
      </c>
      <c r="E88" s="2">
        <v>0</v>
      </c>
      <c r="F88" s="2">
        <v>122971.08</v>
      </c>
      <c r="G88" s="2">
        <v>0</v>
      </c>
      <c r="H88" s="2">
        <v>10000.66</v>
      </c>
      <c r="I88" s="2">
        <v>0</v>
      </c>
      <c r="J88" s="2">
        <v>0</v>
      </c>
      <c r="K88" s="2">
        <v>3250</v>
      </c>
      <c r="L88" s="2">
        <v>0</v>
      </c>
      <c r="M88" s="2">
        <v>8818.5300000000007</v>
      </c>
      <c r="N88">
        <v>0</v>
      </c>
      <c r="O88" s="3">
        <f t="shared" si="2"/>
        <v>174401.68</v>
      </c>
    </row>
    <row r="89" spans="1:15" x14ac:dyDescent="0.2">
      <c r="A89" s="4">
        <v>270</v>
      </c>
      <c r="B89" s="4">
        <v>1</v>
      </c>
      <c r="C89" s="2" t="s">
        <v>84</v>
      </c>
      <c r="D89" s="2">
        <v>5675253.5800000001</v>
      </c>
      <c r="E89" s="2">
        <v>2852542.01</v>
      </c>
      <c r="F89" s="2">
        <v>4134654.98</v>
      </c>
      <c r="G89" s="2">
        <v>0</v>
      </c>
      <c r="H89" s="2">
        <v>146463.14000000001</v>
      </c>
      <c r="I89" s="2">
        <v>0</v>
      </c>
      <c r="J89" s="2">
        <v>0</v>
      </c>
      <c r="K89" s="2">
        <v>144805.78</v>
      </c>
      <c r="L89" s="2">
        <v>0</v>
      </c>
      <c r="M89" s="2">
        <v>695407.16</v>
      </c>
      <c r="N89">
        <v>0</v>
      </c>
      <c r="O89" s="3">
        <f t="shared" si="2"/>
        <v>13649126.65</v>
      </c>
    </row>
    <row r="90" spans="1:15" x14ac:dyDescent="0.2">
      <c r="A90" s="4">
        <v>271</v>
      </c>
      <c r="B90" s="4">
        <v>1</v>
      </c>
      <c r="C90" s="2" t="s">
        <v>85</v>
      </c>
      <c r="D90" s="2">
        <v>7239132.6500000004</v>
      </c>
      <c r="E90" s="2">
        <v>6055942.0099999998</v>
      </c>
      <c r="F90" s="2">
        <v>3892764.24</v>
      </c>
      <c r="G90" s="2">
        <v>0</v>
      </c>
      <c r="H90" s="2">
        <v>199445.53</v>
      </c>
      <c r="I90" s="2">
        <v>0</v>
      </c>
      <c r="J90" s="2">
        <v>0</v>
      </c>
      <c r="K90" s="2">
        <v>161397.04</v>
      </c>
      <c r="L90" s="2">
        <v>0</v>
      </c>
      <c r="M90" s="2">
        <v>786391.05</v>
      </c>
      <c r="N90">
        <v>0</v>
      </c>
      <c r="O90" s="3">
        <f t="shared" si="2"/>
        <v>18335072.52</v>
      </c>
    </row>
    <row r="91" spans="1:15" x14ac:dyDescent="0.2">
      <c r="A91" s="4">
        <v>272</v>
      </c>
      <c r="B91" s="4">
        <v>1</v>
      </c>
      <c r="C91" s="2" t="s">
        <v>86</v>
      </c>
      <c r="D91" s="2">
        <v>5707748.8799999999</v>
      </c>
      <c r="E91" s="2">
        <v>2975058.83</v>
      </c>
      <c r="F91" s="2">
        <v>3383760.71</v>
      </c>
      <c r="G91" s="2">
        <v>116982.81</v>
      </c>
      <c r="H91" s="2">
        <v>193033.13</v>
      </c>
      <c r="I91" s="2">
        <v>0</v>
      </c>
      <c r="J91" s="2">
        <v>0</v>
      </c>
      <c r="K91" s="2">
        <v>305877.17</v>
      </c>
      <c r="L91" s="2">
        <v>0</v>
      </c>
      <c r="M91" s="2">
        <v>689871.97</v>
      </c>
      <c r="N91">
        <v>0</v>
      </c>
      <c r="O91" s="3">
        <f t="shared" si="2"/>
        <v>13372333.500000004</v>
      </c>
    </row>
    <row r="92" spans="1:15" x14ac:dyDescent="0.2">
      <c r="A92" s="4">
        <v>273</v>
      </c>
      <c r="B92" s="4">
        <v>1</v>
      </c>
      <c r="C92" s="2" t="s">
        <v>87</v>
      </c>
      <c r="D92" s="2">
        <v>7269497.4199999999</v>
      </c>
      <c r="E92" s="2">
        <v>4110364.66</v>
      </c>
      <c r="F92" s="2">
        <v>3617532.85</v>
      </c>
      <c r="G92" s="2">
        <v>0</v>
      </c>
      <c r="H92" s="2">
        <v>44781.66</v>
      </c>
      <c r="I92" s="2">
        <v>0</v>
      </c>
      <c r="J92" s="2">
        <v>0</v>
      </c>
      <c r="K92" s="2">
        <v>120751.49</v>
      </c>
      <c r="L92" s="2">
        <v>0</v>
      </c>
      <c r="M92" s="2">
        <v>531141.91</v>
      </c>
      <c r="N92">
        <v>0</v>
      </c>
      <c r="O92" s="3">
        <f t="shared" si="2"/>
        <v>15694069.99</v>
      </c>
    </row>
    <row r="93" spans="1:15" x14ac:dyDescent="0.2">
      <c r="A93" s="4">
        <v>276</v>
      </c>
      <c r="B93" s="4">
        <v>1</v>
      </c>
      <c r="C93" s="2" t="s">
        <v>88</v>
      </c>
      <c r="D93" s="2">
        <v>5011090.71</v>
      </c>
      <c r="E93" s="2">
        <v>3895533.43</v>
      </c>
      <c r="F93" s="2">
        <v>3991123.96</v>
      </c>
      <c r="G93" s="2">
        <v>0</v>
      </c>
      <c r="H93" s="2">
        <v>127177.96</v>
      </c>
      <c r="I93" s="2">
        <v>64561.440000000002</v>
      </c>
      <c r="J93" s="2">
        <v>0</v>
      </c>
      <c r="K93" s="2">
        <v>45764.68</v>
      </c>
      <c r="L93" s="2">
        <v>0</v>
      </c>
      <c r="M93" s="2">
        <v>393629</v>
      </c>
      <c r="N93">
        <v>0</v>
      </c>
      <c r="O93" s="3">
        <f t="shared" si="2"/>
        <v>13528881.180000002</v>
      </c>
    </row>
    <row r="94" spans="1:15" x14ac:dyDescent="0.2">
      <c r="A94" s="4">
        <v>277</v>
      </c>
      <c r="B94" s="4">
        <v>1</v>
      </c>
      <c r="C94" s="2" t="s">
        <v>89</v>
      </c>
      <c r="D94" s="2">
        <v>1043443.61</v>
      </c>
      <c r="E94" s="2">
        <v>1259760.3400000001</v>
      </c>
      <c r="F94" s="2">
        <v>856488.26</v>
      </c>
      <c r="G94" s="2">
        <v>0</v>
      </c>
      <c r="H94" s="2">
        <v>23938.66</v>
      </c>
      <c r="I94" s="2">
        <v>0</v>
      </c>
      <c r="J94" s="2">
        <v>0</v>
      </c>
      <c r="K94" s="2">
        <v>17906.939999999999</v>
      </c>
      <c r="L94" s="2">
        <v>0</v>
      </c>
      <c r="M94" s="2">
        <v>221227.53</v>
      </c>
      <c r="N94">
        <v>0</v>
      </c>
      <c r="O94" s="3">
        <f t="shared" si="2"/>
        <v>3422765.34</v>
      </c>
    </row>
    <row r="95" spans="1:15" x14ac:dyDescent="0.2">
      <c r="A95" s="4">
        <v>278</v>
      </c>
      <c r="B95" s="4">
        <v>1</v>
      </c>
      <c r="C95" s="2" t="s">
        <v>90</v>
      </c>
      <c r="D95" s="2">
        <v>1433757.89</v>
      </c>
      <c r="E95" s="2">
        <v>1091067.26</v>
      </c>
      <c r="F95" s="2">
        <v>887487.03</v>
      </c>
      <c r="G95" s="2">
        <v>0</v>
      </c>
      <c r="H95" s="2">
        <v>42715.96</v>
      </c>
      <c r="I95" s="2">
        <v>0</v>
      </c>
      <c r="J95" s="2">
        <v>0</v>
      </c>
      <c r="K95" s="2">
        <v>29508.48</v>
      </c>
      <c r="L95" s="2">
        <v>0</v>
      </c>
      <c r="M95" s="2">
        <v>140555.28</v>
      </c>
      <c r="N95">
        <v>0</v>
      </c>
      <c r="O95" s="3">
        <f t="shared" si="2"/>
        <v>3625091.8999999994</v>
      </c>
    </row>
    <row r="96" spans="1:15" x14ac:dyDescent="0.2">
      <c r="A96" s="4">
        <v>279</v>
      </c>
      <c r="B96" s="4">
        <v>1</v>
      </c>
      <c r="C96" s="2" t="s">
        <v>91</v>
      </c>
      <c r="D96" s="2">
        <v>8172825.6200000001</v>
      </c>
      <c r="E96" s="2">
        <v>12782127.630000001</v>
      </c>
      <c r="F96" s="2">
        <v>3660705.88</v>
      </c>
      <c r="G96" s="2">
        <v>0</v>
      </c>
      <c r="H96" s="2">
        <v>400840.41</v>
      </c>
      <c r="I96" s="2">
        <v>0</v>
      </c>
      <c r="J96" s="2">
        <v>0</v>
      </c>
      <c r="K96" s="2">
        <v>58708.45</v>
      </c>
      <c r="L96" s="2">
        <v>0</v>
      </c>
      <c r="M96" s="2">
        <v>879460.49</v>
      </c>
      <c r="N96">
        <v>0</v>
      </c>
      <c r="O96" s="3">
        <f t="shared" si="2"/>
        <v>25954668.479999997</v>
      </c>
    </row>
    <row r="97" spans="1:15" x14ac:dyDescent="0.2">
      <c r="A97" s="4">
        <v>280</v>
      </c>
      <c r="B97" s="4">
        <v>1</v>
      </c>
      <c r="C97" s="2" t="s">
        <v>92</v>
      </c>
      <c r="D97" s="2">
        <v>2468410.13</v>
      </c>
      <c r="E97" s="2">
        <v>1804963.91</v>
      </c>
      <c r="F97" s="2">
        <v>1308442.53</v>
      </c>
      <c r="G97" s="2">
        <v>0</v>
      </c>
      <c r="H97" s="2">
        <v>80198.39</v>
      </c>
      <c r="I97" s="2">
        <v>43687</v>
      </c>
      <c r="J97" s="2">
        <v>0</v>
      </c>
      <c r="K97" s="2">
        <v>70163.460000000006</v>
      </c>
      <c r="L97" s="2">
        <v>0</v>
      </c>
      <c r="M97" s="2">
        <v>217991.82</v>
      </c>
      <c r="N97">
        <v>0</v>
      </c>
      <c r="O97" s="3">
        <f t="shared" si="2"/>
        <v>5993857.2400000002</v>
      </c>
    </row>
    <row r="98" spans="1:15" x14ac:dyDescent="0.2">
      <c r="A98" s="4">
        <v>281</v>
      </c>
      <c r="B98" s="4">
        <v>1</v>
      </c>
      <c r="C98" s="2" t="s">
        <v>93</v>
      </c>
      <c r="D98" s="2">
        <v>3784527.79</v>
      </c>
      <c r="E98" s="2">
        <v>8596551.6600000001</v>
      </c>
      <c r="F98" s="2">
        <v>3392196.06</v>
      </c>
      <c r="G98" s="2">
        <v>0</v>
      </c>
      <c r="H98" s="2">
        <v>239275.36</v>
      </c>
      <c r="I98" s="2">
        <v>0</v>
      </c>
      <c r="J98" s="2">
        <v>0</v>
      </c>
      <c r="K98" s="2">
        <v>301523.44</v>
      </c>
      <c r="L98" s="2">
        <v>0</v>
      </c>
      <c r="M98" s="2">
        <v>925711.63</v>
      </c>
      <c r="N98">
        <v>0</v>
      </c>
      <c r="O98" s="3">
        <f t="shared" si="2"/>
        <v>17239785.939999998</v>
      </c>
    </row>
    <row r="99" spans="1:15" x14ac:dyDescent="0.2">
      <c r="A99" s="4">
        <v>282</v>
      </c>
      <c r="B99" s="4">
        <v>1</v>
      </c>
      <c r="C99" s="2" t="s">
        <v>1176</v>
      </c>
      <c r="D99" s="2">
        <v>570118.63</v>
      </c>
      <c r="E99" s="2">
        <v>743194.54</v>
      </c>
      <c r="F99" s="2">
        <v>285410.61</v>
      </c>
      <c r="G99" s="2">
        <v>0</v>
      </c>
      <c r="H99" s="2">
        <v>9420.83</v>
      </c>
      <c r="I99" s="2">
        <v>0</v>
      </c>
      <c r="J99" s="2">
        <v>0</v>
      </c>
      <c r="K99" s="2">
        <v>25277.83</v>
      </c>
      <c r="L99" s="2">
        <v>0</v>
      </c>
      <c r="M99" s="2">
        <v>84114.1</v>
      </c>
      <c r="N99">
        <v>0</v>
      </c>
      <c r="O99" s="3">
        <f t="shared" si="2"/>
        <v>1717536.54</v>
      </c>
    </row>
    <row r="100" spans="1:15" x14ac:dyDescent="0.2">
      <c r="A100" s="4">
        <v>283</v>
      </c>
      <c r="B100" s="4">
        <v>1</v>
      </c>
      <c r="C100" s="2" t="s">
        <v>95</v>
      </c>
      <c r="D100" s="2">
        <v>2175642.23</v>
      </c>
      <c r="E100" s="2">
        <v>2449393.34</v>
      </c>
      <c r="F100" s="2">
        <v>2205291.65</v>
      </c>
      <c r="G100" s="2">
        <v>0</v>
      </c>
      <c r="H100" s="2">
        <v>77540.27</v>
      </c>
      <c r="I100" s="2">
        <v>0</v>
      </c>
      <c r="J100" s="2">
        <v>0</v>
      </c>
      <c r="K100" s="2">
        <v>67111.17</v>
      </c>
      <c r="L100" s="2">
        <v>0</v>
      </c>
      <c r="M100" s="2">
        <v>435390.35</v>
      </c>
      <c r="N100">
        <v>0</v>
      </c>
      <c r="O100" s="3">
        <f t="shared" si="2"/>
        <v>7410369.0099999998</v>
      </c>
    </row>
    <row r="101" spans="1:15" x14ac:dyDescent="0.2">
      <c r="A101" s="4">
        <v>284</v>
      </c>
      <c r="B101" s="4">
        <v>1</v>
      </c>
      <c r="C101" s="2" t="s">
        <v>96</v>
      </c>
      <c r="D101" s="2">
        <v>7560583.8799999999</v>
      </c>
      <c r="E101" s="2">
        <v>6203737.5599999996</v>
      </c>
      <c r="F101" s="2">
        <v>3560480.14</v>
      </c>
      <c r="G101" s="2">
        <v>0</v>
      </c>
      <c r="H101" s="2">
        <v>199195.53</v>
      </c>
      <c r="I101" s="2">
        <v>0</v>
      </c>
      <c r="J101" s="2">
        <v>-61564.7</v>
      </c>
      <c r="K101" s="2">
        <v>65686.37</v>
      </c>
      <c r="L101" s="2">
        <v>0</v>
      </c>
      <c r="M101" s="2">
        <v>744609.88</v>
      </c>
      <c r="N101">
        <v>0</v>
      </c>
      <c r="O101" s="3">
        <f t="shared" si="2"/>
        <v>18272728.66</v>
      </c>
    </row>
    <row r="102" spans="1:15" x14ac:dyDescent="0.2">
      <c r="A102" s="4">
        <v>286</v>
      </c>
      <c r="B102" s="4">
        <v>1</v>
      </c>
      <c r="C102" s="2" t="s">
        <v>97</v>
      </c>
      <c r="D102" s="2">
        <v>547830.11</v>
      </c>
      <c r="E102" s="2">
        <v>0</v>
      </c>
      <c r="F102" s="2">
        <v>324009.17</v>
      </c>
      <c r="G102" s="2">
        <v>53469.46</v>
      </c>
      <c r="H102" s="2">
        <v>50910.52</v>
      </c>
      <c r="I102" s="2">
        <v>0</v>
      </c>
      <c r="J102" s="2">
        <v>0</v>
      </c>
      <c r="K102" s="2">
        <v>79234.240000000005</v>
      </c>
      <c r="L102" s="2">
        <v>0</v>
      </c>
      <c r="M102" s="2">
        <v>69425.600000000006</v>
      </c>
      <c r="N102">
        <v>0</v>
      </c>
      <c r="O102" s="3">
        <f t="shared" si="2"/>
        <v>1124879.1000000001</v>
      </c>
    </row>
    <row r="103" spans="1:15" x14ac:dyDescent="0.2">
      <c r="A103" s="4">
        <v>294</v>
      </c>
      <c r="B103" s="4">
        <v>1</v>
      </c>
      <c r="C103" s="2" t="s">
        <v>98</v>
      </c>
      <c r="D103" s="2">
        <v>200530.87</v>
      </c>
      <c r="E103" s="2">
        <v>104681.15</v>
      </c>
      <c r="F103" s="2">
        <v>100737.93</v>
      </c>
      <c r="G103" s="2">
        <v>0</v>
      </c>
      <c r="H103" s="2">
        <v>10023.76</v>
      </c>
      <c r="I103" s="2">
        <v>0</v>
      </c>
      <c r="J103" s="2">
        <v>0</v>
      </c>
      <c r="K103" s="2">
        <v>34435.29</v>
      </c>
      <c r="L103" s="2">
        <v>0</v>
      </c>
      <c r="M103" s="2">
        <v>16922.52</v>
      </c>
      <c r="N103">
        <v>0</v>
      </c>
      <c r="O103" s="3">
        <f t="shared" si="2"/>
        <v>467331.52</v>
      </c>
    </row>
    <row r="104" spans="1:15" x14ac:dyDescent="0.2">
      <c r="A104" s="4">
        <v>297</v>
      </c>
      <c r="B104" s="4">
        <v>1</v>
      </c>
      <c r="C104" s="2" t="s">
        <v>99</v>
      </c>
      <c r="D104" s="2">
        <v>63417.32</v>
      </c>
      <c r="E104" s="2">
        <v>138210.18</v>
      </c>
      <c r="F104" s="2">
        <v>58342.8</v>
      </c>
      <c r="G104" s="2">
        <v>2325.33</v>
      </c>
      <c r="H104" s="2">
        <v>10003.75</v>
      </c>
      <c r="I104" s="2">
        <v>0</v>
      </c>
      <c r="J104" s="2">
        <v>0</v>
      </c>
      <c r="K104" s="2">
        <v>8640.61</v>
      </c>
      <c r="L104" s="2">
        <v>0</v>
      </c>
      <c r="M104" s="2">
        <v>12707.44</v>
      </c>
      <c r="N104">
        <v>0</v>
      </c>
      <c r="O104" s="3">
        <f t="shared" si="2"/>
        <v>293647.43</v>
      </c>
    </row>
    <row r="105" spans="1:15" x14ac:dyDescent="0.2">
      <c r="A105" s="4">
        <v>299</v>
      </c>
      <c r="B105" s="4">
        <v>1</v>
      </c>
      <c r="C105" s="2" t="s">
        <v>100</v>
      </c>
      <c r="D105" s="2">
        <v>185251.01</v>
      </c>
      <c r="E105" s="2">
        <v>189195.82</v>
      </c>
      <c r="F105" s="2">
        <v>48805.67</v>
      </c>
      <c r="G105" s="2">
        <v>392.08</v>
      </c>
      <c r="H105" s="2">
        <v>23220.85</v>
      </c>
      <c r="I105" s="2">
        <v>0</v>
      </c>
      <c r="J105" s="2">
        <v>0</v>
      </c>
      <c r="K105" s="2">
        <v>44049.15</v>
      </c>
      <c r="L105" s="2">
        <v>0</v>
      </c>
      <c r="M105" s="2">
        <v>34314.03</v>
      </c>
      <c r="N105">
        <v>0</v>
      </c>
      <c r="O105" s="3">
        <f t="shared" si="2"/>
        <v>525228.61</v>
      </c>
    </row>
    <row r="106" spans="1:15" x14ac:dyDescent="0.2">
      <c r="A106" s="4">
        <v>300</v>
      </c>
      <c r="B106" s="4">
        <v>1</v>
      </c>
      <c r="C106" s="2" t="s">
        <v>101</v>
      </c>
      <c r="D106" s="2">
        <v>272326.26</v>
      </c>
      <c r="E106" s="2">
        <v>343629.71</v>
      </c>
      <c r="F106" s="2">
        <v>46368.28</v>
      </c>
      <c r="G106" s="2">
        <v>0</v>
      </c>
      <c r="H106" s="2">
        <v>11916.01</v>
      </c>
      <c r="I106" s="2">
        <v>0</v>
      </c>
      <c r="J106" s="2">
        <v>0</v>
      </c>
      <c r="K106" s="2">
        <v>13812.9</v>
      </c>
      <c r="L106" s="2">
        <v>0</v>
      </c>
      <c r="M106" s="2">
        <v>71147.97</v>
      </c>
      <c r="N106">
        <v>0</v>
      </c>
      <c r="O106" s="3">
        <f t="shared" si="2"/>
        <v>759201.13</v>
      </c>
    </row>
    <row r="107" spans="1:15" x14ac:dyDescent="0.2">
      <c r="A107" s="4">
        <v>306</v>
      </c>
      <c r="B107" s="4">
        <v>1</v>
      </c>
      <c r="C107" s="2" t="s">
        <v>102</v>
      </c>
      <c r="D107" s="2">
        <v>71021.39</v>
      </c>
      <c r="E107" s="2">
        <v>0</v>
      </c>
      <c r="F107" s="2">
        <v>19117.21</v>
      </c>
      <c r="G107" s="2">
        <v>566.32000000000005</v>
      </c>
      <c r="H107" s="2">
        <v>0</v>
      </c>
      <c r="I107" s="2">
        <v>0</v>
      </c>
      <c r="J107" s="2">
        <v>0</v>
      </c>
      <c r="K107" s="2">
        <v>4135.1400000000003</v>
      </c>
      <c r="L107" s="2">
        <v>0</v>
      </c>
      <c r="M107" s="2">
        <v>10507.81</v>
      </c>
      <c r="N107">
        <v>0</v>
      </c>
      <c r="O107" s="3">
        <f t="shared" si="2"/>
        <v>105347.87000000001</v>
      </c>
    </row>
    <row r="108" spans="1:15" x14ac:dyDescent="0.2">
      <c r="A108" s="4">
        <v>308</v>
      </c>
      <c r="B108" s="4">
        <v>1</v>
      </c>
      <c r="C108" s="2" t="s">
        <v>103</v>
      </c>
      <c r="D108" s="2">
        <v>183492.68</v>
      </c>
      <c r="E108" s="2">
        <v>287.88</v>
      </c>
      <c r="F108" s="2">
        <v>39387.699999999997</v>
      </c>
      <c r="G108" s="2">
        <v>6860.73</v>
      </c>
      <c r="H108" s="2">
        <v>17453.400000000001</v>
      </c>
      <c r="I108" s="2">
        <v>0</v>
      </c>
      <c r="J108" s="2">
        <v>0</v>
      </c>
      <c r="K108" s="2">
        <v>7393.91</v>
      </c>
      <c r="L108" s="2">
        <v>0</v>
      </c>
      <c r="M108" s="2">
        <v>21775.23</v>
      </c>
      <c r="N108">
        <v>0</v>
      </c>
      <c r="O108" s="3">
        <f t="shared" si="2"/>
        <v>276651.53000000003</v>
      </c>
    </row>
    <row r="109" spans="1:15" x14ac:dyDescent="0.2">
      <c r="A109" s="4">
        <v>309</v>
      </c>
      <c r="B109" s="4">
        <v>1</v>
      </c>
      <c r="C109" s="2" t="s">
        <v>104</v>
      </c>
      <c r="D109" s="2">
        <v>345756.1</v>
      </c>
      <c r="E109" s="2">
        <v>536327.53</v>
      </c>
      <c r="F109" s="2">
        <v>90003.03</v>
      </c>
      <c r="G109" s="2">
        <v>0</v>
      </c>
      <c r="H109" s="2">
        <v>39332.89</v>
      </c>
      <c r="I109" s="2">
        <v>0</v>
      </c>
      <c r="J109" s="2">
        <v>0</v>
      </c>
      <c r="K109" s="2">
        <v>3832.8</v>
      </c>
      <c r="L109" s="2">
        <v>0</v>
      </c>
      <c r="M109" s="2">
        <v>93763.49</v>
      </c>
      <c r="N109">
        <v>0</v>
      </c>
      <c r="O109" s="3">
        <f t="shared" si="2"/>
        <v>1109015.8400000001</v>
      </c>
    </row>
    <row r="110" spans="1:15" x14ac:dyDescent="0.2">
      <c r="A110" s="4">
        <v>314</v>
      </c>
      <c r="B110" s="4">
        <v>1</v>
      </c>
      <c r="C110" s="2" t="s">
        <v>105</v>
      </c>
      <c r="D110" s="2">
        <v>152574.67000000001</v>
      </c>
      <c r="E110" s="2">
        <v>111288.03</v>
      </c>
      <c r="F110" s="2">
        <v>43340.39</v>
      </c>
      <c r="G110" s="2">
        <v>0</v>
      </c>
      <c r="H110" s="2">
        <v>14631.09</v>
      </c>
      <c r="I110" s="2">
        <v>0</v>
      </c>
      <c r="J110" s="2">
        <v>0</v>
      </c>
      <c r="K110" s="2">
        <v>23456.73</v>
      </c>
      <c r="L110" s="2">
        <v>0</v>
      </c>
      <c r="M110" s="2">
        <v>20923.45</v>
      </c>
      <c r="N110">
        <v>0</v>
      </c>
      <c r="O110" s="3">
        <f t="shared" si="2"/>
        <v>366214.36000000004</v>
      </c>
    </row>
    <row r="111" spans="1:15" x14ac:dyDescent="0.2">
      <c r="A111" s="4">
        <v>316</v>
      </c>
      <c r="B111" s="4">
        <v>1</v>
      </c>
      <c r="C111" s="2" t="s">
        <v>106</v>
      </c>
      <c r="D111" s="2">
        <v>212074.43</v>
      </c>
      <c r="E111" s="2">
        <v>0</v>
      </c>
      <c r="F111" s="2">
        <v>367402.25</v>
      </c>
      <c r="G111" s="2">
        <v>27341.23</v>
      </c>
      <c r="H111" s="2">
        <v>28486.49</v>
      </c>
      <c r="I111" s="2">
        <v>-198400.63</v>
      </c>
      <c r="J111" s="2">
        <v>0</v>
      </c>
      <c r="K111" s="2">
        <v>33372.44</v>
      </c>
      <c r="L111" s="2">
        <v>0</v>
      </c>
      <c r="M111" s="2">
        <v>0</v>
      </c>
      <c r="N111">
        <v>0</v>
      </c>
      <c r="O111" s="3">
        <f t="shared" si="2"/>
        <v>470276.2099999999</v>
      </c>
    </row>
    <row r="112" spans="1:15" x14ac:dyDescent="0.2">
      <c r="A112" s="4">
        <v>317</v>
      </c>
      <c r="B112" s="4">
        <v>1</v>
      </c>
      <c r="C112" s="2" t="s">
        <v>107</v>
      </c>
      <c r="D112" s="2">
        <v>53856.480000000003</v>
      </c>
      <c r="E112" s="2">
        <v>0</v>
      </c>
      <c r="F112" s="2">
        <v>51234.74</v>
      </c>
      <c r="G112" s="2">
        <v>0</v>
      </c>
      <c r="H112" s="2">
        <v>17974.16</v>
      </c>
      <c r="I112" s="2">
        <v>0</v>
      </c>
      <c r="J112" s="2">
        <v>0</v>
      </c>
      <c r="K112" s="2">
        <v>27125.49</v>
      </c>
      <c r="L112" s="2">
        <v>0</v>
      </c>
      <c r="M112" s="2">
        <v>0</v>
      </c>
      <c r="N112">
        <v>0</v>
      </c>
      <c r="O112" s="3">
        <f t="shared" si="2"/>
        <v>150190.87</v>
      </c>
    </row>
    <row r="113" spans="1:15" x14ac:dyDescent="0.2">
      <c r="A113" s="4">
        <v>318</v>
      </c>
      <c r="B113" s="4">
        <v>1</v>
      </c>
      <c r="C113" s="2" t="s">
        <v>108</v>
      </c>
      <c r="D113" s="2">
        <v>1228165.5</v>
      </c>
      <c r="E113" s="2">
        <v>0</v>
      </c>
      <c r="F113" s="2">
        <v>181247.22</v>
      </c>
      <c r="G113" s="2">
        <v>24400.32</v>
      </c>
      <c r="H113" s="2">
        <v>87174.51</v>
      </c>
      <c r="I113" s="2">
        <v>377366.38</v>
      </c>
      <c r="J113" s="2">
        <v>0</v>
      </c>
      <c r="K113" s="2">
        <v>27592.19</v>
      </c>
      <c r="L113" s="2">
        <v>0</v>
      </c>
      <c r="M113" s="2">
        <v>0</v>
      </c>
      <c r="N113">
        <v>0</v>
      </c>
      <c r="O113" s="3">
        <f t="shared" si="2"/>
        <v>1925946.12</v>
      </c>
    </row>
    <row r="114" spans="1:15" x14ac:dyDescent="0.2">
      <c r="A114" s="4">
        <v>319</v>
      </c>
      <c r="B114" s="4">
        <v>1</v>
      </c>
      <c r="C114" s="2" t="s">
        <v>1177</v>
      </c>
      <c r="D114" s="2">
        <v>93435.68</v>
      </c>
      <c r="E114" s="2">
        <v>115754.62</v>
      </c>
      <c r="F114" s="2">
        <v>26397.040000000001</v>
      </c>
      <c r="G114" s="2">
        <v>10096.66</v>
      </c>
      <c r="H114" s="2">
        <v>14101</v>
      </c>
      <c r="I114" s="2">
        <v>0</v>
      </c>
      <c r="J114" s="2">
        <v>0</v>
      </c>
      <c r="K114" s="2">
        <v>19939.82</v>
      </c>
      <c r="L114" s="2">
        <v>0</v>
      </c>
      <c r="M114" s="2">
        <v>0</v>
      </c>
      <c r="N114">
        <v>0</v>
      </c>
      <c r="O114" s="3">
        <f t="shared" si="2"/>
        <v>279724.82</v>
      </c>
    </row>
    <row r="115" spans="1:15" x14ac:dyDescent="0.2">
      <c r="A115" s="4">
        <v>323</v>
      </c>
      <c r="B115" s="4">
        <v>2</v>
      </c>
      <c r="C115" s="2" t="s">
        <v>110</v>
      </c>
      <c r="D115" s="2">
        <v>935</v>
      </c>
      <c r="E115" s="2">
        <v>10934.35</v>
      </c>
      <c r="F115" s="2">
        <v>7317.68</v>
      </c>
      <c r="G115" s="2">
        <v>0</v>
      </c>
      <c r="H115" s="2">
        <v>0</v>
      </c>
      <c r="I115" s="2">
        <v>0</v>
      </c>
      <c r="J115" s="2">
        <v>0</v>
      </c>
      <c r="K115" s="2">
        <v>0</v>
      </c>
      <c r="L115" s="2">
        <v>0</v>
      </c>
      <c r="M115" s="2">
        <v>0</v>
      </c>
      <c r="N115">
        <v>0</v>
      </c>
      <c r="O115" s="3">
        <f t="shared" si="2"/>
        <v>19187.03</v>
      </c>
    </row>
    <row r="116" spans="1:15" x14ac:dyDescent="0.2">
      <c r="A116" s="4">
        <v>330</v>
      </c>
      <c r="B116" s="4">
        <v>1</v>
      </c>
      <c r="C116" s="2" t="s">
        <v>1178</v>
      </c>
      <c r="D116" s="2">
        <v>81003.97</v>
      </c>
      <c r="E116" s="2">
        <v>160489.64000000001</v>
      </c>
      <c r="F116" s="2">
        <v>74812.61</v>
      </c>
      <c r="G116" s="2">
        <v>18104.77</v>
      </c>
      <c r="H116" s="2">
        <v>17453.400000000001</v>
      </c>
      <c r="I116" s="2">
        <v>0</v>
      </c>
      <c r="J116" s="2">
        <v>-9.32</v>
      </c>
      <c r="K116" s="2">
        <v>9.32</v>
      </c>
      <c r="L116" s="2">
        <v>0</v>
      </c>
      <c r="M116" s="2">
        <v>14503.21</v>
      </c>
      <c r="N116">
        <v>0</v>
      </c>
      <c r="O116" s="3">
        <f t="shared" si="2"/>
        <v>366367.60000000009</v>
      </c>
    </row>
    <row r="117" spans="1:15" x14ac:dyDescent="0.2">
      <c r="A117" s="4">
        <v>332</v>
      </c>
      <c r="B117" s="4">
        <v>1</v>
      </c>
      <c r="C117" s="2" t="s">
        <v>112</v>
      </c>
      <c r="D117" s="2">
        <v>285627.21000000002</v>
      </c>
      <c r="E117" s="2">
        <v>72182.98</v>
      </c>
      <c r="F117" s="2">
        <v>0</v>
      </c>
      <c r="G117" s="2">
        <v>0</v>
      </c>
      <c r="H117" s="2">
        <v>36696.269999999997</v>
      </c>
      <c r="I117" s="2">
        <v>0</v>
      </c>
      <c r="J117" s="2">
        <v>0</v>
      </c>
      <c r="K117" s="2">
        <v>23106.84</v>
      </c>
      <c r="L117" s="2">
        <v>0</v>
      </c>
      <c r="M117" s="2">
        <v>45381.86</v>
      </c>
      <c r="N117">
        <v>0</v>
      </c>
      <c r="O117" s="3">
        <f t="shared" si="2"/>
        <v>462995.16000000003</v>
      </c>
    </row>
    <row r="118" spans="1:15" x14ac:dyDescent="0.2">
      <c r="A118" s="4">
        <v>333</v>
      </c>
      <c r="B118" s="4">
        <v>1</v>
      </c>
      <c r="C118" s="2" t="s">
        <v>113</v>
      </c>
      <c r="D118" s="2">
        <v>111082.76</v>
      </c>
      <c r="E118" s="2">
        <v>0</v>
      </c>
      <c r="F118" s="2">
        <v>23206.16</v>
      </c>
      <c r="G118" s="2">
        <v>0</v>
      </c>
      <c r="H118" s="2">
        <v>10004.43</v>
      </c>
      <c r="I118" s="2">
        <v>0</v>
      </c>
      <c r="J118" s="2">
        <v>0</v>
      </c>
      <c r="K118" s="2">
        <v>-1277.9100000000001</v>
      </c>
      <c r="L118" s="2">
        <v>0</v>
      </c>
      <c r="M118" s="2">
        <v>13244.52</v>
      </c>
      <c r="N118">
        <v>0</v>
      </c>
      <c r="O118" s="3">
        <f t="shared" si="2"/>
        <v>156259.95999999996</v>
      </c>
    </row>
    <row r="119" spans="1:15" x14ac:dyDescent="0.2">
      <c r="A119" s="4">
        <v>345</v>
      </c>
      <c r="B119" s="4">
        <v>1</v>
      </c>
      <c r="C119" s="2" t="s">
        <v>1179</v>
      </c>
      <c r="D119" s="2">
        <v>573855.93999999994</v>
      </c>
      <c r="E119" s="2">
        <v>338274.4</v>
      </c>
      <c r="F119" s="2">
        <v>95479.19</v>
      </c>
      <c r="G119" s="2">
        <v>0</v>
      </c>
      <c r="H119" s="2">
        <v>34254.370000000003</v>
      </c>
      <c r="I119" s="2">
        <v>0</v>
      </c>
      <c r="J119" s="2">
        <v>0</v>
      </c>
      <c r="K119" s="2">
        <v>12237.24</v>
      </c>
      <c r="L119" s="2">
        <v>0</v>
      </c>
      <c r="M119" s="2">
        <v>72061.37</v>
      </c>
      <c r="N119">
        <v>0</v>
      </c>
      <c r="O119" s="3">
        <f t="shared" si="2"/>
        <v>1126162.5100000002</v>
      </c>
    </row>
    <row r="120" spans="1:15" x14ac:dyDescent="0.2">
      <c r="A120" s="4">
        <v>347</v>
      </c>
      <c r="B120" s="4">
        <v>1</v>
      </c>
      <c r="C120" s="2" t="s">
        <v>115</v>
      </c>
      <c r="D120" s="2">
        <v>808797.41</v>
      </c>
      <c r="E120" s="2">
        <v>890369.51</v>
      </c>
      <c r="F120" s="2">
        <v>184153.16</v>
      </c>
      <c r="G120" s="2">
        <v>0</v>
      </c>
      <c r="H120" s="2">
        <v>79333.27</v>
      </c>
      <c r="I120" s="2">
        <v>0</v>
      </c>
      <c r="J120" s="2">
        <v>0</v>
      </c>
      <c r="K120" s="2">
        <v>21545.77</v>
      </c>
      <c r="L120" s="2">
        <v>0</v>
      </c>
      <c r="M120" s="2">
        <v>171019.35</v>
      </c>
      <c r="N120">
        <v>0</v>
      </c>
      <c r="O120" s="3">
        <f t="shared" si="2"/>
        <v>2155218.4699999997</v>
      </c>
    </row>
    <row r="121" spans="1:15" x14ac:dyDescent="0.2">
      <c r="A121" s="4">
        <v>356</v>
      </c>
      <c r="B121" s="4">
        <v>1</v>
      </c>
      <c r="C121" s="2" t="s">
        <v>116</v>
      </c>
      <c r="D121" s="2">
        <v>34248.870000000003</v>
      </c>
      <c r="E121" s="2">
        <v>29027.65</v>
      </c>
      <c r="F121" s="2">
        <v>77555.070000000007</v>
      </c>
      <c r="G121" s="2">
        <v>0</v>
      </c>
      <c r="H121" s="2">
        <v>10003.75</v>
      </c>
      <c r="I121" s="2">
        <v>0</v>
      </c>
      <c r="J121" s="2">
        <v>0</v>
      </c>
      <c r="K121" s="2">
        <v>-991.68</v>
      </c>
      <c r="L121" s="2">
        <v>0</v>
      </c>
      <c r="M121" s="2">
        <v>5600.18</v>
      </c>
      <c r="N121">
        <v>0</v>
      </c>
      <c r="O121" s="3">
        <f t="shared" si="2"/>
        <v>155443.84000000003</v>
      </c>
    </row>
    <row r="122" spans="1:15" x14ac:dyDescent="0.2">
      <c r="A122" s="4">
        <v>361</v>
      </c>
      <c r="B122" s="4">
        <v>1</v>
      </c>
      <c r="C122" s="2" t="s">
        <v>1180</v>
      </c>
      <c r="D122" s="2">
        <v>466526.43</v>
      </c>
      <c r="E122" s="2">
        <v>245977.38</v>
      </c>
      <c r="F122" s="2">
        <v>75327.83</v>
      </c>
      <c r="G122" s="2">
        <v>0</v>
      </c>
      <c r="H122" s="2">
        <v>16009</v>
      </c>
      <c r="I122" s="2">
        <v>0</v>
      </c>
      <c r="J122" s="2">
        <v>0</v>
      </c>
      <c r="K122" s="2">
        <v>26248.47</v>
      </c>
      <c r="L122" s="2">
        <v>0</v>
      </c>
      <c r="M122" s="2">
        <v>61947.55</v>
      </c>
      <c r="N122">
        <v>0</v>
      </c>
      <c r="O122" s="3">
        <f t="shared" si="2"/>
        <v>892036.66</v>
      </c>
    </row>
    <row r="123" spans="1:15" x14ac:dyDescent="0.2">
      <c r="A123" s="4">
        <v>362</v>
      </c>
      <c r="B123" s="4">
        <v>1</v>
      </c>
      <c r="C123" s="2" t="s">
        <v>1181</v>
      </c>
      <c r="D123" s="2">
        <v>74450.75</v>
      </c>
      <c r="E123" s="2">
        <v>0</v>
      </c>
      <c r="F123" s="2">
        <v>0</v>
      </c>
      <c r="G123" s="2">
        <v>0</v>
      </c>
      <c r="H123" s="2">
        <v>0</v>
      </c>
      <c r="I123" s="2">
        <v>0</v>
      </c>
      <c r="J123" s="2">
        <v>0</v>
      </c>
      <c r="K123" s="2">
        <v>4272.9799999999996</v>
      </c>
      <c r="L123" s="2">
        <v>0</v>
      </c>
      <c r="M123" s="2">
        <v>7652.31</v>
      </c>
      <c r="N123">
        <v>0</v>
      </c>
      <c r="O123" s="3">
        <f t="shared" si="2"/>
        <v>86376.04</v>
      </c>
    </row>
    <row r="124" spans="1:15" x14ac:dyDescent="0.2">
      <c r="A124" s="4">
        <v>363</v>
      </c>
      <c r="B124" s="4">
        <v>1</v>
      </c>
      <c r="C124" s="2" t="s">
        <v>1182</v>
      </c>
      <c r="D124" s="2">
        <v>77249.350000000006</v>
      </c>
      <c r="E124" s="2">
        <v>0</v>
      </c>
      <c r="F124" s="2">
        <v>0</v>
      </c>
      <c r="G124" s="2">
        <v>0</v>
      </c>
      <c r="H124" s="2">
        <v>6962.61</v>
      </c>
      <c r="I124" s="2">
        <v>0</v>
      </c>
      <c r="J124" s="2">
        <v>0</v>
      </c>
      <c r="K124" s="2">
        <v>22298.97</v>
      </c>
      <c r="L124" s="2">
        <v>0</v>
      </c>
      <c r="M124" s="2">
        <v>7602.94</v>
      </c>
      <c r="N124">
        <v>0</v>
      </c>
      <c r="O124" s="3">
        <f t="shared" si="2"/>
        <v>114113.87000000001</v>
      </c>
    </row>
    <row r="125" spans="1:15" x14ac:dyDescent="0.2">
      <c r="A125" s="4">
        <v>378</v>
      </c>
      <c r="B125" s="4">
        <v>1</v>
      </c>
      <c r="C125" s="2" t="s">
        <v>120</v>
      </c>
      <c r="D125" s="2">
        <v>226151.22</v>
      </c>
      <c r="E125" s="2">
        <v>90475.74</v>
      </c>
      <c r="F125" s="2">
        <v>39303.019999999997</v>
      </c>
      <c r="G125" s="2">
        <v>4537.68</v>
      </c>
      <c r="H125" s="2">
        <v>11646.41</v>
      </c>
      <c r="I125" s="2">
        <v>0</v>
      </c>
      <c r="J125" s="2">
        <v>-769.6</v>
      </c>
      <c r="K125" s="2">
        <v>769.6</v>
      </c>
      <c r="L125" s="2">
        <v>0</v>
      </c>
      <c r="M125" s="2">
        <v>32346.45</v>
      </c>
      <c r="N125">
        <v>0</v>
      </c>
      <c r="O125" s="3">
        <f t="shared" si="2"/>
        <v>404460.52</v>
      </c>
    </row>
    <row r="126" spans="1:15" x14ac:dyDescent="0.2">
      <c r="A126" s="4">
        <v>381</v>
      </c>
      <c r="B126" s="4">
        <v>1</v>
      </c>
      <c r="C126" s="2" t="s">
        <v>121</v>
      </c>
      <c r="D126" s="2">
        <v>72244.78</v>
      </c>
      <c r="E126" s="2">
        <v>0</v>
      </c>
      <c r="F126" s="2">
        <v>121543.27</v>
      </c>
      <c r="G126" s="2">
        <v>76394.2</v>
      </c>
      <c r="H126" s="2">
        <v>26710.79</v>
      </c>
      <c r="I126" s="2">
        <v>0</v>
      </c>
      <c r="J126" s="2">
        <v>0</v>
      </c>
      <c r="K126" s="2">
        <v>17729.28</v>
      </c>
      <c r="L126" s="2">
        <v>0</v>
      </c>
      <c r="M126" s="2">
        <v>0</v>
      </c>
      <c r="N126">
        <v>0</v>
      </c>
      <c r="O126" s="3">
        <f t="shared" si="2"/>
        <v>314622.31999999995</v>
      </c>
    </row>
    <row r="127" spans="1:15" x14ac:dyDescent="0.2">
      <c r="A127" s="4">
        <v>390</v>
      </c>
      <c r="B127" s="4">
        <v>1</v>
      </c>
      <c r="C127" s="2" t="s">
        <v>1183</v>
      </c>
      <c r="D127" s="2">
        <v>211866.76</v>
      </c>
      <c r="E127" s="2">
        <v>143736.22</v>
      </c>
      <c r="F127" s="2">
        <v>0</v>
      </c>
      <c r="G127" s="2">
        <v>0</v>
      </c>
      <c r="H127" s="2">
        <v>10004.530000000001</v>
      </c>
      <c r="I127" s="2">
        <v>0</v>
      </c>
      <c r="J127" s="2">
        <v>0</v>
      </c>
      <c r="K127" s="2">
        <v>7437.28</v>
      </c>
      <c r="L127" s="2">
        <v>0</v>
      </c>
      <c r="M127" s="2">
        <v>23284.13</v>
      </c>
      <c r="N127">
        <v>0</v>
      </c>
      <c r="O127" s="3">
        <f t="shared" si="2"/>
        <v>396328.92000000004</v>
      </c>
    </row>
    <row r="128" spans="1:15" x14ac:dyDescent="0.2">
      <c r="A128" s="4">
        <v>391</v>
      </c>
      <c r="B128" s="4">
        <v>1</v>
      </c>
      <c r="C128" s="2" t="s">
        <v>123</v>
      </c>
      <c r="D128" s="2">
        <v>163763.78</v>
      </c>
      <c r="E128" s="2">
        <v>158269.04999999999</v>
      </c>
      <c r="F128" s="2">
        <v>42002.25</v>
      </c>
      <c r="G128" s="2">
        <v>0</v>
      </c>
      <c r="H128" s="2">
        <v>11971.17</v>
      </c>
      <c r="I128" s="2">
        <v>0</v>
      </c>
      <c r="J128" s="2">
        <v>0</v>
      </c>
      <c r="K128" s="2">
        <v>-3081.74</v>
      </c>
      <c r="L128" s="2">
        <v>0</v>
      </c>
      <c r="M128" s="2">
        <v>18139</v>
      </c>
      <c r="N128">
        <v>0</v>
      </c>
      <c r="O128" s="3">
        <f t="shared" si="2"/>
        <v>391063.50999999995</v>
      </c>
    </row>
    <row r="129" spans="1:15" x14ac:dyDescent="0.2">
      <c r="A129" s="4">
        <v>402</v>
      </c>
      <c r="B129" s="4">
        <v>1</v>
      </c>
      <c r="C129" s="2" t="s">
        <v>124</v>
      </c>
      <c r="D129" s="2">
        <v>37412.86</v>
      </c>
      <c r="E129" s="2">
        <v>86641.16</v>
      </c>
      <c r="F129" s="2">
        <v>9929.51</v>
      </c>
      <c r="G129" s="2">
        <v>4376.54</v>
      </c>
      <c r="H129" s="2">
        <v>0</v>
      </c>
      <c r="I129" s="2">
        <v>0</v>
      </c>
      <c r="J129" s="2">
        <v>0</v>
      </c>
      <c r="K129" s="2">
        <v>6100.23</v>
      </c>
      <c r="L129" s="2">
        <v>0</v>
      </c>
      <c r="M129" s="2">
        <v>6665.86</v>
      </c>
      <c r="N129">
        <v>0</v>
      </c>
      <c r="O129" s="3">
        <f t="shared" si="2"/>
        <v>151126.16</v>
      </c>
    </row>
    <row r="130" spans="1:15" x14ac:dyDescent="0.2">
      <c r="A130" s="4">
        <v>403</v>
      </c>
      <c r="B130" s="4">
        <v>1</v>
      </c>
      <c r="C130" s="2" t="s">
        <v>125</v>
      </c>
      <c r="D130" s="2">
        <v>52055.8</v>
      </c>
      <c r="E130" s="2">
        <v>63632.29</v>
      </c>
      <c r="F130" s="2">
        <v>17191.45</v>
      </c>
      <c r="G130" s="2">
        <v>0</v>
      </c>
      <c r="H130" s="2">
        <v>10003.75</v>
      </c>
      <c r="I130" s="2">
        <v>0</v>
      </c>
      <c r="J130" s="2">
        <v>-8772.44</v>
      </c>
      <c r="K130" s="2">
        <v>9958</v>
      </c>
      <c r="L130" s="2">
        <v>0</v>
      </c>
      <c r="M130" s="2">
        <v>11212.99</v>
      </c>
      <c r="N130">
        <v>0</v>
      </c>
      <c r="O130" s="3">
        <f t="shared" si="2"/>
        <v>155281.84</v>
      </c>
    </row>
    <row r="131" spans="1:15" x14ac:dyDescent="0.2">
      <c r="A131" s="4">
        <v>404</v>
      </c>
      <c r="B131" s="4">
        <v>1</v>
      </c>
      <c r="C131" s="2" t="s">
        <v>126</v>
      </c>
      <c r="D131" s="2">
        <v>38136.36</v>
      </c>
      <c r="E131" s="2">
        <v>106659.43</v>
      </c>
      <c r="F131" s="2">
        <v>70889.98</v>
      </c>
      <c r="G131" s="2">
        <v>325.19</v>
      </c>
      <c r="H131" s="2">
        <v>0</v>
      </c>
      <c r="I131" s="2">
        <v>0</v>
      </c>
      <c r="J131" s="2">
        <v>0</v>
      </c>
      <c r="K131" s="2">
        <v>9489.94</v>
      </c>
      <c r="L131" s="2">
        <v>0</v>
      </c>
      <c r="M131" s="2">
        <v>5611.36</v>
      </c>
      <c r="N131">
        <v>0</v>
      </c>
      <c r="O131" s="3">
        <f t="shared" si="2"/>
        <v>231112.25999999995</v>
      </c>
    </row>
    <row r="132" spans="1:15" x14ac:dyDescent="0.2">
      <c r="A132" s="4">
        <v>413</v>
      </c>
      <c r="B132" s="4">
        <v>1</v>
      </c>
      <c r="C132" s="2" t="s">
        <v>127</v>
      </c>
      <c r="D132" s="2">
        <v>682215.46</v>
      </c>
      <c r="E132" s="2">
        <v>482283.34</v>
      </c>
      <c r="F132" s="2">
        <v>185634.72</v>
      </c>
      <c r="G132" s="2">
        <v>0</v>
      </c>
      <c r="H132" s="2">
        <v>50428.86</v>
      </c>
      <c r="I132" s="2">
        <v>0</v>
      </c>
      <c r="J132" s="2">
        <v>0</v>
      </c>
      <c r="K132" s="2">
        <v>5449.63</v>
      </c>
      <c r="L132" s="2">
        <v>0</v>
      </c>
      <c r="M132" s="2">
        <v>89528</v>
      </c>
      <c r="N132">
        <v>0</v>
      </c>
      <c r="O132" s="3">
        <f t="shared" si="2"/>
        <v>1495540.01</v>
      </c>
    </row>
    <row r="133" spans="1:15" x14ac:dyDescent="0.2">
      <c r="A133" s="4">
        <v>414</v>
      </c>
      <c r="B133" s="4">
        <v>1</v>
      </c>
      <c r="C133" s="2" t="s">
        <v>128</v>
      </c>
      <c r="D133" s="2">
        <v>110666.36</v>
      </c>
      <c r="E133" s="2">
        <v>46693.49</v>
      </c>
      <c r="F133" s="2">
        <v>28651.58</v>
      </c>
      <c r="G133" s="2">
        <v>262.36</v>
      </c>
      <c r="H133" s="2">
        <v>9503.9</v>
      </c>
      <c r="I133" s="2">
        <v>0</v>
      </c>
      <c r="J133" s="2">
        <v>0</v>
      </c>
      <c r="K133" s="2">
        <v>4268.18</v>
      </c>
      <c r="L133" s="2">
        <v>0</v>
      </c>
      <c r="M133" s="2">
        <v>17325.41</v>
      </c>
      <c r="N133">
        <v>0</v>
      </c>
      <c r="O133" s="3">
        <f t="shared" si="2"/>
        <v>217371.27999999997</v>
      </c>
    </row>
    <row r="134" spans="1:15" x14ac:dyDescent="0.2">
      <c r="A134" s="4">
        <v>415</v>
      </c>
      <c r="B134" s="4">
        <v>1</v>
      </c>
      <c r="C134" s="2" t="s">
        <v>129</v>
      </c>
      <c r="D134" s="2">
        <v>49206.55</v>
      </c>
      <c r="E134" s="2">
        <v>115028.37</v>
      </c>
      <c r="F134" s="2">
        <v>20886.88</v>
      </c>
      <c r="G134" s="2">
        <v>4594.3999999999996</v>
      </c>
      <c r="H134" s="2">
        <v>0</v>
      </c>
      <c r="I134" s="2">
        <v>0</v>
      </c>
      <c r="J134" s="2">
        <v>0</v>
      </c>
      <c r="K134" s="2">
        <v>1863.56</v>
      </c>
      <c r="L134" s="2">
        <v>0</v>
      </c>
      <c r="M134" s="2">
        <v>18703.22</v>
      </c>
      <c r="N134">
        <v>0</v>
      </c>
      <c r="O134" s="3">
        <f t="shared" ref="O134:O194" si="3">SUM(D134:N134)</f>
        <v>210282.97999999998</v>
      </c>
    </row>
    <row r="135" spans="1:15" x14ac:dyDescent="0.2">
      <c r="A135" s="4">
        <v>423</v>
      </c>
      <c r="B135" s="4">
        <v>1</v>
      </c>
      <c r="C135" s="2" t="s">
        <v>130</v>
      </c>
      <c r="D135" s="2">
        <v>607755.56000000006</v>
      </c>
      <c r="E135" s="2">
        <v>866512.92</v>
      </c>
      <c r="F135" s="2">
        <v>159248.91</v>
      </c>
      <c r="G135" s="2">
        <v>0</v>
      </c>
      <c r="H135" s="2">
        <v>58990.61</v>
      </c>
      <c r="I135" s="2">
        <v>0</v>
      </c>
      <c r="J135" s="2">
        <v>0</v>
      </c>
      <c r="K135" s="2">
        <v>30053.94</v>
      </c>
      <c r="L135" s="2">
        <v>0</v>
      </c>
      <c r="M135" s="2">
        <v>96764.39</v>
      </c>
      <c r="N135">
        <v>0</v>
      </c>
      <c r="O135" s="3">
        <f t="shared" si="3"/>
        <v>1819326.3299999998</v>
      </c>
    </row>
    <row r="136" spans="1:15" x14ac:dyDescent="0.2">
      <c r="A136" s="4">
        <v>424</v>
      </c>
      <c r="B136" s="4">
        <v>1</v>
      </c>
      <c r="C136" s="2" t="s">
        <v>131</v>
      </c>
      <c r="D136" s="2">
        <v>18664.66</v>
      </c>
      <c r="E136" s="2">
        <v>180373.65</v>
      </c>
      <c r="F136" s="2">
        <v>24228.86</v>
      </c>
      <c r="G136" s="2">
        <v>0</v>
      </c>
      <c r="H136" s="2">
        <v>10003.75</v>
      </c>
      <c r="I136" s="2">
        <v>0</v>
      </c>
      <c r="J136" s="2">
        <v>0</v>
      </c>
      <c r="K136" s="2">
        <v>2571.5100000000002</v>
      </c>
      <c r="L136" s="2">
        <v>0</v>
      </c>
      <c r="M136" s="2">
        <v>13045.23</v>
      </c>
      <c r="N136">
        <v>0</v>
      </c>
      <c r="O136" s="3">
        <f t="shared" si="3"/>
        <v>248887.66</v>
      </c>
    </row>
    <row r="137" spans="1:15" x14ac:dyDescent="0.2">
      <c r="A137" s="4">
        <v>432</v>
      </c>
      <c r="B137" s="4">
        <v>1</v>
      </c>
      <c r="C137" s="2" t="s">
        <v>132</v>
      </c>
      <c r="D137" s="2">
        <v>60343.34</v>
      </c>
      <c r="E137" s="2">
        <v>0</v>
      </c>
      <c r="F137" s="2">
        <v>0</v>
      </c>
      <c r="G137" s="2">
        <v>0</v>
      </c>
      <c r="H137" s="2">
        <v>33581.949999999997</v>
      </c>
      <c r="I137" s="2">
        <v>0</v>
      </c>
      <c r="J137" s="2">
        <v>0</v>
      </c>
      <c r="K137" s="2">
        <v>-242.52</v>
      </c>
      <c r="L137" s="2">
        <v>0</v>
      </c>
      <c r="M137" s="2">
        <v>15786.08</v>
      </c>
      <c r="N137">
        <v>0</v>
      </c>
      <c r="O137" s="3">
        <f t="shared" si="3"/>
        <v>109468.84999999999</v>
      </c>
    </row>
    <row r="138" spans="1:15" x14ac:dyDescent="0.2">
      <c r="A138" s="4">
        <v>435</v>
      </c>
      <c r="B138" s="4">
        <v>1</v>
      </c>
      <c r="C138" s="2" t="s">
        <v>1184</v>
      </c>
      <c r="D138" s="2">
        <v>107733.31</v>
      </c>
      <c r="E138" s="2">
        <v>0</v>
      </c>
      <c r="F138" s="2">
        <v>0</v>
      </c>
      <c r="G138" s="2">
        <v>0</v>
      </c>
      <c r="H138" s="2">
        <v>17453.400000000001</v>
      </c>
      <c r="I138" s="2">
        <v>0</v>
      </c>
      <c r="J138" s="2">
        <v>0</v>
      </c>
      <c r="K138" s="2">
        <v>9754.32</v>
      </c>
      <c r="L138" s="2">
        <v>0</v>
      </c>
      <c r="M138" s="2">
        <v>17362.310000000001</v>
      </c>
      <c r="N138">
        <v>0</v>
      </c>
      <c r="O138" s="3">
        <f t="shared" si="3"/>
        <v>152303.34</v>
      </c>
    </row>
    <row r="139" spans="1:15" x14ac:dyDescent="0.2">
      <c r="A139" s="4">
        <v>441</v>
      </c>
      <c r="B139" s="4">
        <v>1</v>
      </c>
      <c r="C139" s="2" t="s">
        <v>134</v>
      </c>
      <c r="D139" s="2">
        <v>94262.46</v>
      </c>
      <c r="E139" s="2">
        <v>240704.76</v>
      </c>
      <c r="F139" s="2">
        <v>24919.51</v>
      </c>
      <c r="G139" s="2">
        <v>10876.31</v>
      </c>
      <c r="H139" s="2">
        <v>10003.75</v>
      </c>
      <c r="I139" s="2">
        <v>0</v>
      </c>
      <c r="J139" s="2">
        <v>0</v>
      </c>
      <c r="K139" s="2">
        <v>23892.27</v>
      </c>
      <c r="L139" s="2">
        <v>0</v>
      </c>
      <c r="M139" s="2">
        <v>17773.02</v>
      </c>
      <c r="N139">
        <v>0</v>
      </c>
      <c r="O139" s="3">
        <f t="shared" si="3"/>
        <v>422432.08000000007</v>
      </c>
    </row>
    <row r="140" spans="1:15" x14ac:dyDescent="0.2">
      <c r="A140" s="4">
        <v>447</v>
      </c>
      <c r="B140" s="4">
        <v>1</v>
      </c>
      <c r="C140" s="2" t="s">
        <v>135</v>
      </c>
      <c r="D140" s="2">
        <v>26968.33</v>
      </c>
      <c r="E140" s="2">
        <v>29706.45</v>
      </c>
      <c r="F140" s="2">
        <v>4943.41</v>
      </c>
      <c r="G140" s="2">
        <v>0</v>
      </c>
      <c r="H140" s="2">
        <v>10003.75</v>
      </c>
      <c r="I140" s="2">
        <v>0</v>
      </c>
      <c r="J140" s="2">
        <v>0</v>
      </c>
      <c r="K140" s="2">
        <v>5920.85</v>
      </c>
      <c r="L140" s="2">
        <v>0</v>
      </c>
      <c r="M140" s="2">
        <v>7206.41</v>
      </c>
      <c r="N140">
        <v>0</v>
      </c>
      <c r="O140" s="3">
        <f t="shared" si="3"/>
        <v>84749.200000000012</v>
      </c>
    </row>
    <row r="141" spans="1:15" x14ac:dyDescent="0.2">
      <c r="A141" s="4">
        <v>458</v>
      </c>
      <c r="B141" s="4">
        <v>1</v>
      </c>
      <c r="C141" s="2" t="s">
        <v>136</v>
      </c>
      <c r="D141" s="2">
        <v>49413.62</v>
      </c>
      <c r="E141" s="2">
        <v>40193.35</v>
      </c>
      <c r="F141" s="2">
        <v>138045.48000000001</v>
      </c>
      <c r="G141" s="2">
        <v>9301.26</v>
      </c>
      <c r="H141" s="2">
        <v>10003.75</v>
      </c>
      <c r="I141" s="2">
        <v>0</v>
      </c>
      <c r="J141" s="2">
        <v>0</v>
      </c>
      <c r="K141" s="2">
        <v>6942.91</v>
      </c>
      <c r="L141" s="2">
        <v>0</v>
      </c>
      <c r="M141" s="2">
        <v>20171.23</v>
      </c>
      <c r="N141">
        <v>0</v>
      </c>
      <c r="O141" s="3">
        <f t="shared" si="3"/>
        <v>274071.60000000003</v>
      </c>
    </row>
    <row r="142" spans="1:15" x14ac:dyDescent="0.2">
      <c r="A142" s="4">
        <v>463</v>
      </c>
      <c r="B142" s="4">
        <v>1</v>
      </c>
      <c r="C142" s="2" t="s">
        <v>1185</v>
      </c>
      <c r="D142" s="2">
        <v>65249.08</v>
      </c>
      <c r="E142" s="2">
        <v>197905.88</v>
      </c>
      <c r="F142" s="2">
        <v>32117.919999999998</v>
      </c>
      <c r="G142" s="2">
        <v>0</v>
      </c>
      <c r="H142" s="2">
        <v>10000.73</v>
      </c>
      <c r="I142" s="2">
        <v>0</v>
      </c>
      <c r="J142" s="2">
        <v>0</v>
      </c>
      <c r="K142" s="2">
        <v>6870.91</v>
      </c>
      <c r="L142" s="2">
        <v>0</v>
      </c>
      <c r="M142" s="2">
        <v>29428.76</v>
      </c>
      <c r="N142">
        <v>0</v>
      </c>
      <c r="O142" s="3">
        <f t="shared" si="3"/>
        <v>341573.27999999997</v>
      </c>
    </row>
    <row r="143" spans="1:15" x14ac:dyDescent="0.2">
      <c r="A143" s="4">
        <v>465</v>
      </c>
      <c r="B143" s="4">
        <v>1</v>
      </c>
      <c r="C143" s="2" t="s">
        <v>138</v>
      </c>
      <c r="D143" s="2">
        <v>346852.29</v>
      </c>
      <c r="E143" s="2">
        <v>347148.79999999999</v>
      </c>
      <c r="F143" s="2">
        <v>97079.01</v>
      </c>
      <c r="G143" s="2">
        <v>0</v>
      </c>
      <c r="H143" s="2">
        <v>35588.97</v>
      </c>
      <c r="I143" s="2">
        <v>0</v>
      </c>
      <c r="J143" s="2">
        <v>0</v>
      </c>
      <c r="K143" s="2">
        <v>17848.2</v>
      </c>
      <c r="L143" s="2">
        <v>0</v>
      </c>
      <c r="M143" s="2">
        <v>61716.65</v>
      </c>
      <c r="N143">
        <v>0</v>
      </c>
      <c r="O143" s="3">
        <f t="shared" si="3"/>
        <v>906233.91999999993</v>
      </c>
    </row>
    <row r="144" spans="1:15" x14ac:dyDescent="0.2">
      <c r="A144" s="4">
        <v>466</v>
      </c>
      <c r="B144" s="4">
        <v>1</v>
      </c>
      <c r="C144" s="2" t="s">
        <v>139</v>
      </c>
      <c r="D144" s="2">
        <v>316222.53999999998</v>
      </c>
      <c r="E144" s="2">
        <v>219766.73</v>
      </c>
      <c r="F144" s="2">
        <v>84376.93</v>
      </c>
      <c r="G144" s="2">
        <v>0</v>
      </c>
      <c r="H144" s="2">
        <v>40007.75</v>
      </c>
      <c r="I144" s="2">
        <v>0</v>
      </c>
      <c r="J144" s="2">
        <v>0</v>
      </c>
      <c r="K144" s="2">
        <v>-2679.41</v>
      </c>
      <c r="L144" s="2">
        <v>0</v>
      </c>
      <c r="M144" s="2">
        <v>60054.05</v>
      </c>
      <c r="N144">
        <v>0</v>
      </c>
      <c r="O144" s="3">
        <f t="shared" si="3"/>
        <v>717748.59</v>
      </c>
    </row>
    <row r="145" spans="1:15" x14ac:dyDescent="0.2">
      <c r="A145" s="4">
        <v>473</v>
      </c>
      <c r="B145" s="4">
        <v>1</v>
      </c>
      <c r="C145" s="2" t="s">
        <v>140</v>
      </c>
      <c r="D145" s="2">
        <v>131991.79</v>
      </c>
      <c r="E145" s="2">
        <v>0</v>
      </c>
      <c r="F145" s="2">
        <v>22384.46</v>
      </c>
      <c r="G145" s="2">
        <v>3627.63</v>
      </c>
      <c r="H145" s="2">
        <v>10003.790000000001</v>
      </c>
      <c r="I145" s="2">
        <v>0</v>
      </c>
      <c r="J145" s="2">
        <v>0</v>
      </c>
      <c r="K145" s="2">
        <v>16084.5</v>
      </c>
      <c r="L145" s="2">
        <v>0</v>
      </c>
      <c r="M145" s="2">
        <v>20450.009999999998</v>
      </c>
      <c r="N145">
        <v>0</v>
      </c>
      <c r="O145" s="3">
        <f t="shared" si="3"/>
        <v>204542.18000000002</v>
      </c>
    </row>
    <row r="146" spans="1:15" x14ac:dyDescent="0.2">
      <c r="A146" s="4">
        <v>477</v>
      </c>
      <c r="B146" s="4">
        <v>1</v>
      </c>
      <c r="C146" s="2" t="s">
        <v>141</v>
      </c>
      <c r="D146" s="2">
        <v>595890</v>
      </c>
      <c r="E146" s="2">
        <v>277085.34000000003</v>
      </c>
      <c r="F146" s="2">
        <v>117256.13</v>
      </c>
      <c r="G146" s="2">
        <v>0</v>
      </c>
      <c r="H146" s="2">
        <v>62307.27</v>
      </c>
      <c r="I146" s="2">
        <v>0</v>
      </c>
      <c r="J146" s="2">
        <v>0</v>
      </c>
      <c r="K146" s="2">
        <v>67615.42</v>
      </c>
      <c r="L146" s="2">
        <v>0</v>
      </c>
      <c r="M146" s="2">
        <v>120801.8</v>
      </c>
      <c r="N146">
        <v>0</v>
      </c>
      <c r="O146" s="3">
        <f t="shared" si="3"/>
        <v>1240955.96</v>
      </c>
    </row>
    <row r="147" spans="1:15" x14ac:dyDescent="0.2">
      <c r="A147" s="4">
        <v>480</v>
      </c>
      <c r="B147" s="4">
        <v>1</v>
      </c>
      <c r="C147" s="2" t="s">
        <v>142</v>
      </c>
      <c r="D147" s="2">
        <v>371894.34</v>
      </c>
      <c r="E147" s="2">
        <v>207784.95999999999</v>
      </c>
      <c r="F147" s="2">
        <v>0</v>
      </c>
      <c r="G147" s="2">
        <v>0</v>
      </c>
      <c r="H147" s="2">
        <v>13239.43</v>
      </c>
      <c r="I147" s="2">
        <v>0</v>
      </c>
      <c r="J147" s="2">
        <v>0</v>
      </c>
      <c r="K147" s="2">
        <v>34866.629999999997</v>
      </c>
      <c r="L147" s="2">
        <v>0</v>
      </c>
      <c r="M147" s="2">
        <v>37181.94</v>
      </c>
      <c r="N147">
        <v>0</v>
      </c>
      <c r="O147" s="3">
        <f t="shared" si="3"/>
        <v>664967.30000000005</v>
      </c>
    </row>
    <row r="148" spans="1:15" x14ac:dyDescent="0.2">
      <c r="A148" s="4">
        <v>482</v>
      </c>
      <c r="B148" s="4">
        <v>1</v>
      </c>
      <c r="C148" s="2" t="s">
        <v>143</v>
      </c>
      <c r="D148" s="2">
        <v>280793.77</v>
      </c>
      <c r="E148" s="2">
        <v>788206.28</v>
      </c>
      <c r="F148" s="2">
        <v>98308.58</v>
      </c>
      <c r="G148" s="2">
        <v>0</v>
      </c>
      <c r="H148" s="2">
        <v>83761.34</v>
      </c>
      <c r="I148" s="2">
        <v>0</v>
      </c>
      <c r="J148" s="2">
        <v>0</v>
      </c>
      <c r="K148" s="2">
        <v>28319.22</v>
      </c>
      <c r="L148" s="2">
        <v>0</v>
      </c>
      <c r="M148" s="2">
        <v>79894.06</v>
      </c>
      <c r="N148">
        <v>0</v>
      </c>
      <c r="O148" s="3">
        <f t="shared" si="3"/>
        <v>1359283.2500000002</v>
      </c>
    </row>
    <row r="149" spans="1:15" x14ac:dyDescent="0.2">
      <c r="A149" s="4">
        <v>484</v>
      </c>
      <c r="B149" s="4">
        <v>1</v>
      </c>
      <c r="C149" s="2" t="s">
        <v>144</v>
      </c>
      <c r="D149" s="2">
        <v>228131.42</v>
      </c>
      <c r="E149" s="2">
        <v>99801.53</v>
      </c>
      <c r="F149" s="2">
        <v>31118.21</v>
      </c>
      <c r="G149" s="2">
        <v>0</v>
      </c>
      <c r="H149" s="2">
        <v>33502.800000000003</v>
      </c>
      <c r="I149" s="2">
        <v>0</v>
      </c>
      <c r="J149" s="2">
        <v>0</v>
      </c>
      <c r="K149" s="2">
        <v>5727.71</v>
      </c>
      <c r="L149" s="2">
        <v>0</v>
      </c>
      <c r="M149" s="2">
        <v>25981.17</v>
      </c>
      <c r="N149">
        <v>0</v>
      </c>
      <c r="O149" s="3">
        <f t="shared" si="3"/>
        <v>424262.84</v>
      </c>
    </row>
    <row r="150" spans="1:15" x14ac:dyDescent="0.2">
      <c r="A150" s="4">
        <v>485</v>
      </c>
      <c r="B150" s="4">
        <v>1</v>
      </c>
      <c r="C150" s="2" t="s">
        <v>145</v>
      </c>
      <c r="D150" s="2">
        <v>120671.57</v>
      </c>
      <c r="E150" s="2">
        <v>0</v>
      </c>
      <c r="F150" s="2">
        <v>29270.26</v>
      </c>
      <c r="G150" s="2">
        <v>0</v>
      </c>
      <c r="H150" s="2">
        <v>6.96</v>
      </c>
      <c r="I150" s="2">
        <v>0</v>
      </c>
      <c r="J150" s="2">
        <v>0</v>
      </c>
      <c r="K150" s="2">
        <v>17316.68</v>
      </c>
      <c r="L150" s="2">
        <v>0</v>
      </c>
      <c r="M150" s="2">
        <v>13092.72</v>
      </c>
      <c r="N150">
        <v>0</v>
      </c>
      <c r="O150" s="3">
        <f t="shared" si="3"/>
        <v>180358.19</v>
      </c>
    </row>
    <row r="151" spans="1:15" x14ac:dyDescent="0.2">
      <c r="A151" s="4">
        <v>486</v>
      </c>
      <c r="B151" s="4">
        <v>1</v>
      </c>
      <c r="C151" s="2" t="s">
        <v>146</v>
      </c>
      <c r="D151" s="2">
        <v>55080.88</v>
      </c>
      <c r="E151" s="2">
        <v>78531.56</v>
      </c>
      <c r="F151" s="2">
        <v>15148.78</v>
      </c>
      <c r="G151" s="2">
        <v>0</v>
      </c>
      <c r="H151" s="2">
        <v>0</v>
      </c>
      <c r="I151" s="2">
        <v>0</v>
      </c>
      <c r="J151" s="2">
        <v>0</v>
      </c>
      <c r="K151" s="2">
        <v>0</v>
      </c>
      <c r="L151" s="2">
        <v>0</v>
      </c>
      <c r="M151" s="2">
        <v>10247.65</v>
      </c>
      <c r="N151">
        <v>0</v>
      </c>
      <c r="O151" s="3">
        <f t="shared" si="3"/>
        <v>159008.87</v>
      </c>
    </row>
    <row r="152" spans="1:15" x14ac:dyDescent="0.2">
      <c r="A152" s="4">
        <v>487</v>
      </c>
      <c r="B152" s="4">
        <v>1</v>
      </c>
      <c r="C152" s="2" t="s">
        <v>147</v>
      </c>
      <c r="D152" s="2">
        <v>37322.120000000003</v>
      </c>
      <c r="E152" s="2">
        <v>76060.820000000007</v>
      </c>
      <c r="F152" s="2">
        <v>32084.69</v>
      </c>
      <c r="G152" s="2">
        <v>0</v>
      </c>
      <c r="H152" s="2">
        <v>10003.75</v>
      </c>
      <c r="I152" s="2">
        <v>0</v>
      </c>
      <c r="J152" s="2">
        <v>0</v>
      </c>
      <c r="K152" s="2">
        <v>17357.61</v>
      </c>
      <c r="L152" s="2">
        <v>0</v>
      </c>
      <c r="M152" s="2">
        <v>9262.91</v>
      </c>
      <c r="N152">
        <v>0</v>
      </c>
      <c r="O152" s="3">
        <f t="shared" si="3"/>
        <v>182091.9</v>
      </c>
    </row>
    <row r="153" spans="1:15" x14ac:dyDescent="0.2">
      <c r="A153" s="4">
        <v>492</v>
      </c>
      <c r="B153" s="4">
        <v>1</v>
      </c>
      <c r="C153" s="2" t="s">
        <v>148</v>
      </c>
      <c r="D153" s="2">
        <v>851484.43</v>
      </c>
      <c r="E153" s="2">
        <v>658535.43999999994</v>
      </c>
      <c r="F153" s="2">
        <v>295941.48</v>
      </c>
      <c r="G153" s="2">
        <v>61476.54</v>
      </c>
      <c r="H153" s="2">
        <v>79694.789999999994</v>
      </c>
      <c r="I153" s="2">
        <v>0</v>
      </c>
      <c r="J153" s="2">
        <v>0</v>
      </c>
      <c r="K153" s="2">
        <v>7419.29</v>
      </c>
      <c r="L153" s="2">
        <v>0</v>
      </c>
      <c r="M153" s="2">
        <v>85387.77</v>
      </c>
      <c r="N153">
        <v>0</v>
      </c>
      <c r="O153" s="3">
        <f t="shared" si="3"/>
        <v>2039939.7400000002</v>
      </c>
    </row>
    <row r="154" spans="1:15" x14ac:dyDescent="0.2">
      <c r="A154" s="4">
        <v>495</v>
      </c>
      <c r="B154" s="4">
        <v>1</v>
      </c>
      <c r="C154" s="2" t="s">
        <v>149</v>
      </c>
      <c r="D154" s="2">
        <v>68652.94</v>
      </c>
      <c r="E154" s="2">
        <v>118255.94</v>
      </c>
      <c r="F154" s="2">
        <v>55032.71</v>
      </c>
      <c r="G154" s="2">
        <v>7031.72</v>
      </c>
      <c r="H154" s="2">
        <v>10003.75</v>
      </c>
      <c r="I154" s="2">
        <v>0</v>
      </c>
      <c r="J154" s="2">
        <v>0</v>
      </c>
      <c r="K154" s="2">
        <v>-2954.56</v>
      </c>
      <c r="L154" s="2">
        <v>0</v>
      </c>
      <c r="M154" s="2">
        <v>17593.830000000002</v>
      </c>
      <c r="N154">
        <v>0</v>
      </c>
      <c r="O154" s="3">
        <f t="shared" si="3"/>
        <v>273616.33</v>
      </c>
    </row>
    <row r="155" spans="1:15" x14ac:dyDescent="0.2">
      <c r="A155" s="4">
        <v>497</v>
      </c>
      <c r="B155" s="4">
        <v>1</v>
      </c>
      <c r="C155" s="2" t="s">
        <v>150</v>
      </c>
      <c r="D155" s="2">
        <v>21033.26</v>
      </c>
      <c r="E155" s="2">
        <v>0</v>
      </c>
      <c r="F155" s="2">
        <v>65196.27</v>
      </c>
      <c r="G155" s="2">
        <v>3172.07</v>
      </c>
      <c r="H155" s="2">
        <v>0</v>
      </c>
      <c r="I155" s="2">
        <v>0</v>
      </c>
      <c r="J155" s="2">
        <v>0</v>
      </c>
      <c r="K155" s="2">
        <v>-1450</v>
      </c>
      <c r="L155" s="2">
        <v>0</v>
      </c>
      <c r="M155" s="2">
        <v>6674.72</v>
      </c>
      <c r="N155">
        <v>0</v>
      </c>
      <c r="O155" s="3">
        <f t="shared" si="3"/>
        <v>94626.32</v>
      </c>
    </row>
    <row r="156" spans="1:15" x14ac:dyDescent="0.2">
      <c r="A156" s="4">
        <v>499</v>
      </c>
      <c r="B156" s="4">
        <v>1</v>
      </c>
      <c r="C156" s="2" t="s">
        <v>1186</v>
      </c>
      <c r="D156" s="2">
        <v>82731.02</v>
      </c>
      <c r="E156" s="2">
        <v>107497.07</v>
      </c>
      <c r="F156" s="2">
        <v>112134.59</v>
      </c>
      <c r="G156" s="2">
        <v>0</v>
      </c>
      <c r="H156" s="2">
        <v>20910.919999999998</v>
      </c>
      <c r="I156" s="2">
        <v>0</v>
      </c>
      <c r="J156" s="2">
        <v>0</v>
      </c>
      <c r="K156" s="2">
        <v>3488.26</v>
      </c>
      <c r="L156" s="2">
        <v>0</v>
      </c>
      <c r="M156" s="2">
        <v>32759.47</v>
      </c>
      <c r="N156">
        <v>0</v>
      </c>
      <c r="O156" s="3">
        <f t="shared" si="3"/>
        <v>359521.33000000007</v>
      </c>
    </row>
    <row r="157" spans="1:15" x14ac:dyDescent="0.2">
      <c r="A157" s="4">
        <v>500</v>
      </c>
      <c r="B157" s="4">
        <v>1</v>
      </c>
      <c r="C157" s="2" t="s">
        <v>152</v>
      </c>
      <c r="D157" s="2">
        <v>129171.96</v>
      </c>
      <c r="E157" s="2">
        <v>24006.1</v>
      </c>
      <c r="F157" s="2">
        <v>97648.05</v>
      </c>
      <c r="G157" s="2">
        <v>5199.95</v>
      </c>
      <c r="H157" s="2">
        <v>15025.3</v>
      </c>
      <c r="I157" s="2">
        <v>0</v>
      </c>
      <c r="J157" s="2">
        <v>0</v>
      </c>
      <c r="K157" s="2">
        <v>2460.38</v>
      </c>
      <c r="L157" s="2">
        <v>0</v>
      </c>
      <c r="M157" s="2">
        <v>23438.84</v>
      </c>
      <c r="N157">
        <v>0</v>
      </c>
      <c r="O157" s="3">
        <f t="shared" si="3"/>
        <v>296950.58</v>
      </c>
    </row>
    <row r="158" spans="1:15" x14ac:dyDescent="0.2">
      <c r="A158" s="4">
        <v>505</v>
      </c>
      <c r="B158" s="4">
        <v>1</v>
      </c>
      <c r="C158" s="2" t="s">
        <v>153</v>
      </c>
      <c r="D158" s="2">
        <v>86467.37</v>
      </c>
      <c r="E158" s="2">
        <v>33340.74</v>
      </c>
      <c r="F158" s="2">
        <v>77554.06</v>
      </c>
      <c r="G158" s="2">
        <v>2413.96</v>
      </c>
      <c r="H158" s="2">
        <v>17453.400000000001</v>
      </c>
      <c r="I158" s="2">
        <v>0</v>
      </c>
      <c r="J158" s="2">
        <v>0</v>
      </c>
      <c r="K158" s="2">
        <v>5854.53</v>
      </c>
      <c r="L158" s="2">
        <v>0</v>
      </c>
      <c r="M158" s="2">
        <v>18960.560000000001</v>
      </c>
      <c r="N158">
        <v>0</v>
      </c>
      <c r="O158" s="3">
        <f t="shared" si="3"/>
        <v>242044.61999999997</v>
      </c>
    </row>
    <row r="159" spans="1:15" x14ac:dyDescent="0.2">
      <c r="A159" s="4">
        <v>507</v>
      </c>
      <c r="B159" s="4">
        <v>1</v>
      </c>
      <c r="C159" s="2" t="s">
        <v>154</v>
      </c>
      <c r="D159" s="2">
        <v>81610.02</v>
      </c>
      <c r="E159" s="2">
        <v>17232.650000000001</v>
      </c>
      <c r="F159" s="2">
        <v>124645.82</v>
      </c>
      <c r="G159" s="2">
        <v>0</v>
      </c>
      <c r="H159" s="2">
        <v>0</v>
      </c>
      <c r="I159" s="2">
        <v>0</v>
      </c>
      <c r="J159" s="2">
        <v>0</v>
      </c>
      <c r="K159" s="2">
        <v>7215.64</v>
      </c>
      <c r="L159" s="2">
        <v>0</v>
      </c>
      <c r="M159" s="2">
        <v>18972.060000000001</v>
      </c>
      <c r="N159">
        <v>0</v>
      </c>
      <c r="O159" s="3">
        <f t="shared" si="3"/>
        <v>249676.19000000003</v>
      </c>
    </row>
    <row r="160" spans="1:15" x14ac:dyDescent="0.2">
      <c r="A160" s="4">
        <v>508</v>
      </c>
      <c r="B160" s="4">
        <v>1</v>
      </c>
      <c r="C160" s="2" t="s">
        <v>155</v>
      </c>
      <c r="D160" s="2">
        <v>742144.7</v>
      </c>
      <c r="E160" s="2">
        <v>558938.6</v>
      </c>
      <c r="F160" s="2">
        <v>172318.92</v>
      </c>
      <c r="G160" s="2">
        <v>0</v>
      </c>
      <c r="H160" s="2">
        <v>10005.040000000001</v>
      </c>
      <c r="I160" s="2">
        <v>0</v>
      </c>
      <c r="J160" s="2">
        <v>0</v>
      </c>
      <c r="K160" s="2">
        <v>13890</v>
      </c>
      <c r="L160" s="2">
        <v>0</v>
      </c>
      <c r="M160" s="2">
        <v>73312.13</v>
      </c>
      <c r="N160">
        <v>0</v>
      </c>
      <c r="O160" s="3">
        <f t="shared" si="3"/>
        <v>1570609.3899999997</v>
      </c>
    </row>
    <row r="161" spans="1:15" x14ac:dyDescent="0.2">
      <c r="A161" s="4">
        <v>511</v>
      </c>
      <c r="B161" s="4">
        <v>1</v>
      </c>
      <c r="C161" s="2" t="s">
        <v>156</v>
      </c>
      <c r="D161" s="2">
        <v>122310.2</v>
      </c>
      <c r="E161" s="2">
        <v>147356.73000000001</v>
      </c>
      <c r="F161" s="2">
        <v>21485.18</v>
      </c>
      <c r="G161" s="2">
        <v>0</v>
      </c>
      <c r="H161" s="2">
        <v>10005.06</v>
      </c>
      <c r="I161" s="2">
        <v>0</v>
      </c>
      <c r="J161" s="2">
        <v>0</v>
      </c>
      <c r="K161" s="2">
        <v>3306.81</v>
      </c>
      <c r="L161" s="2">
        <v>0</v>
      </c>
      <c r="M161" s="2">
        <v>12371.6</v>
      </c>
      <c r="N161">
        <v>0</v>
      </c>
      <c r="O161" s="3">
        <f t="shared" si="3"/>
        <v>316835.57999999996</v>
      </c>
    </row>
    <row r="162" spans="1:15" x14ac:dyDescent="0.2">
      <c r="A162" s="4">
        <v>514</v>
      </c>
      <c r="B162" s="4">
        <v>1</v>
      </c>
      <c r="C162" s="2" t="s">
        <v>158</v>
      </c>
      <c r="D162" s="2">
        <v>33352.910000000003</v>
      </c>
      <c r="E162" s="2">
        <v>0</v>
      </c>
      <c r="F162" s="2">
        <v>57410.63</v>
      </c>
      <c r="G162" s="2">
        <v>0</v>
      </c>
      <c r="H162" s="2">
        <v>10003.75</v>
      </c>
      <c r="I162" s="2">
        <v>0</v>
      </c>
      <c r="J162" s="2">
        <v>0</v>
      </c>
      <c r="K162" s="2">
        <v>-11049.02</v>
      </c>
      <c r="L162" s="2">
        <v>0</v>
      </c>
      <c r="M162" s="2">
        <v>0</v>
      </c>
      <c r="N162">
        <v>0</v>
      </c>
      <c r="O162" s="3">
        <f t="shared" si="3"/>
        <v>89718.27</v>
      </c>
    </row>
    <row r="163" spans="1:15" x14ac:dyDescent="0.2">
      <c r="A163" s="4">
        <v>518</v>
      </c>
      <c r="B163" s="4">
        <v>1</v>
      </c>
      <c r="C163" s="2" t="s">
        <v>160</v>
      </c>
      <c r="D163" s="2">
        <v>554802.93000000005</v>
      </c>
      <c r="E163" s="2">
        <v>775265.9</v>
      </c>
      <c r="F163" s="2">
        <v>75872.61</v>
      </c>
      <c r="G163" s="2">
        <v>0</v>
      </c>
      <c r="H163" s="2">
        <v>48899.15</v>
      </c>
      <c r="I163" s="2">
        <v>0</v>
      </c>
      <c r="J163" s="2">
        <v>0</v>
      </c>
      <c r="K163" s="2">
        <v>10974.24</v>
      </c>
      <c r="L163" s="2">
        <v>0</v>
      </c>
      <c r="M163" s="2">
        <v>89550.75</v>
      </c>
      <c r="N163">
        <v>0</v>
      </c>
      <c r="O163" s="3">
        <f t="shared" si="3"/>
        <v>1555365.58</v>
      </c>
    </row>
    <row r="164" spans="1:15" x14ac:dyDescent="0.2">
      <c r="A164" s="4">
        <v>531</v>
      </c>
      <c r="B164" s="4">
        <v>1</v>
      </c>
      <c r="C164" s="2" t="s">
        <v>161</v>
      </c>
      <c r="D164" s="2">
        <v>389323.61</v>
      </c>
      <c r="E164" s="2">
        <v>133576.59</v>
      </c>
      <c r="F164" s="2">
        <v>45629.11</v>
      </c>
      <c r="G164" s="2">
        <v>0</v>
      </c>
      <c r="H164" s="2">
        <v>30020.67</v>
      </c>
      <c r="I164" s="2">
        <v>0</v>
      </c>
      <c r="J164" s="2">
        <v>0</v>
      </c>
      <c r="K164" s="2">
        <v>17605.95</v>
      </c>
      <c r="L164" s="2">
        <v>0</v>
      </c>
      <c r="M164" s="2">
        <v>48129.55</v>
      </c>
      <c r="N164">
        <v>0</v>
      </c>
      <c r="O164" s="3">
        <f t="shared" si="3"/>
        <v>664285.48</v>
      </c>
    </row>
    <row r="165" spans="1:15" x14ac:dyDescent="0.2">
      <c r="A165" s="4">
        <v>533</v>
      </c>
      <c r="B165" s="4">
        <v>1</v>
      </c>
      <c r="C165" s="2" t="s">
        <v>162</v>
      </c>
      <c r="D165" s="2">
        <v>167151.69</v>
      </c>
      <c r="E165" s="2">
        <v>33689.519999999997</v>
      </c>
      <c r="F165" s="2">
        <v>0</v>
      </c>
      <c r="G165" s="2">
        <v>0</v>
      </c>
      <c r="H165" s="2">
        <v>20751.34</v>
      </c>
      <c r="I165" s="2">
        <v>0</v>
      </c>
      <c r="J165" s="2">
        <v>0</v>
      </c>
      <c r="K165" s="2">
        <v>6003.14</v>
      </c>
      <c r="L165" s="2">
        <v>0</v>
      </c>
      <c r="M165" s="2">
        <v>25414.880000000001</v>
      </c>
      <c r="N165">
        <v>0</v>
      </c>
      <c r="O165" s="3">
        <f t="shared" si="3"/>
        <v>253010.57</v>
      </c>
    </row>
    <row r="166" spans="1:15" x14ac:dyDescent="0.2">
      <c r="A166" s="4">
        <v>534</v>
      </c>
      <c r="B166" s="4">
        <v>1</v>
      </c>
      <c r="C166" s="2" t="s">
        <v>163</v>
      </c>
      <c r="D166" s="2">
        <v>376516.7</v>
      </c>
      <c r="E166" s="2">
        <v>462575.33</v>
      </c>
      <c r="F166" s="2">
        <v>67031.990000000005</v>
      </c>
      <c r="G166" s="2">
        <v>13095.74</v>
      </c>
      <c r="H166" s="2">
        <v>30570.58</v>
      </c>
      <c r="I166" s="2">
        <v>0</v>
      </c>
      <c r="J166" s="2">
        <v>0</v>
      </c>
      <c r="K166" s="2">
        <v>10755.96</v>
      </c>
      <c r="L166" s="2">
        <v>0</v>
      </c>
      <c r="M166" s="2">
        <v>52303.32</v>
      </c>
      <c r="N166">
        <v>0</v>
      </c>
      <c r="O166" s="3">
        <f t="shared" si="3"/>
        <v>1012849.6199999999</v>
      </c>
    </row>
    <row r="167" spans="1:15" x14ac:dyDescent="0.2">
      <c r="A167" s="4">
        <v>535</v>
      </c>
      <c r="B167" s="4">
        <v>1</v>
      </c>
      <c r="C167" s="2" t="s">
        <v>164</v>
      </c>
      <c r="D167" s="2">
        <v>6953636.96</v>
      </c>
      <c r="E167" s="2">
        <v>3333582.28</v>
      </c>
      <c r="F167" s="2">
        <v>1455888.91</v>
      </c>
      <c r="G167" s="2">
        <v>317690.53999999998</v>
      </c>
      <c r="H167" s="2">
        <v>284823.65999999997</v>
      </c>
      <c r="I167" s="2">
        <v>0</v>
      </c>
      <c r="J167" s="2">
        <v>0</v>
      </c>
      <c r="K167" s="2">
        <v>160739.82999999999</v>
      </c>
      <c r="L167" s="2">
        <v>0</v>
      </c>
      <c r="M167" s="2">
        <v>884025.25</v>
      </c>
      <c r="N167">
        <v>0</v>
      </c>
      <c r="O167" s="3">
        <f t="shared" si="3"/>
        <v>13390387.43</v>
      </c>
    </row>
    <row r="168" spans="1:15" x14ac:dyDescent="0.2">
      <c r="A168" s="4">
        <v>542</v>
      </c>
      <c r="B168" s="4">
        <v>1</v>
      </c>
      <c r="C168" s="2" t="s">
        <v>165</v>
      </c>
      <c r="D168" s="2">
        <v>264393.86</v>
      </c>
      <c r="E168" s="2">
        <v>144527.24</v>
      </c>
      <c r="F168" s="2">
        <v>0</v>
      </c>
      <c r="G168" s="2">
        <v>0</v>
      </c>
      <c r="H168" s="2">
        <v>15460.93</v>
      </c>
      <c r="I168" s="2">
        <v>0</v>
      </c>
      <c r="J168" s="2">
        <v>0</v>
      </c>
      <c r="K168" s="2">
        <v>4606.71</v>
      </c>
      <c r="L168" s="2">
        <v>0</v>
      </c>
      <c r="M168" s="2">
        <v>23530.6</v>
      </c>
      <c r="N168">
        <v>0</v>
      </c>
      <c r="O168" s="3">
        <f t="shared" si="3"/>
        <v>452519.33999999997</v>
      </c>
    </row>
    <row r="169" spans="1:15" x14ac:dyDescent="0.2">
      <c r="A169" s="4">
        <v>544</v>
      </c>
      <c r="B169" s="4">
        <v>1</v>
      </c>
      <c r="C169" s="2" t="s">
        <v>166</v>
      </c>
      <c r="D169" s="2">
        <v>585842.41</v>
      </c>
      <c r="E169" s="2">
        <v>281037.68</v>
      </c>
      <c r="F169" s="2">
        <v>194521.26</v>
      </c>
      <c r="G169" s="2">
        <v>0</v>
      </c>
      <c r="H169" s="2">
        <v>58360.75</v>
      </c>
      <c r="I169" s="2">
        <v>0</v>
      </c>
      <c r="J169" s="2">
        <v>0</v>
      </c>
      <c r="K169" s="2">
        <v>46168.53</v>
      </c>
      <c r="L169" s="2">
        <v>0</v>
      </c>
      <c r="M169" s="2">
        <v>114054.84</v>
      </c>
      <c r="N169">
        <v>0</v>
      </c>
      <c r="O169" s="3">
        <f t="shared" si="3"/>
        <v>1279985.4700000002</v>
      </c>
    </row>
    <row r="170" spans="1:15" x14ac:dyDescent="0.2">
      <c r="A170" s="4">
        <v>545</v>
      </c>
      <c r="B170" s="4">
        <v>1</v>
      </c>
      <c r="C170" s="2" t="s">
        <v>167</v>
      </c>
      <c r="D170" s="2">
        <v>72484.88</v>
      </c>
      <c r="E170" s="2">
        <v>184169.42</v>
      </c>
      <c r="F170" s="2">
        <v>37137.35</v>
      </c>
      <c r="G170" s="2">
        <v>0</v>
      </c>
      <c r="H170" s="2">
        <v>9513.4</v>
      </c>
      <c r="I170" s="2">
        <v>0</v>
      </c>
      <c r="J170" s="2">
        <v>0</v>
      </c>
      <c r="K170" s="2">
        <v>550.27</v>
      </c>
      <c r="L170" s="2">
        <v>0</v>
      </c>
      <c r="M170" s="2">
        <v>20613.080000000002</v>
      </c>
      <c r="N170">
        <v>0</v>
      </c>
      <c r="O170" s="3">
        <f t="shared" si="3"/>
        <v>324468.40000000008</v>
      </c>
    </row>
    <row r="171" spans="1:15" x14ac:dyDescent="0.2">
      <c r="A171" s="4">
        <v>547</v>
      </c>
      <c r="B171" s="4">
        <v>1</v>
      </c>
      <c r="C171" s="2" t="s">
        <v>168</v>
      </c>
      <c r="D171" s="2">
        <v>69482.53</v>
      </c>
      <c r="E171" s="2">
        <v>222312.09</v>
      </c>
      <c r="F171" s="2">
        <v>24144.3</v>
      </c>
      <c r="G171" s="2">
        <v>0</v>
      </c>
      <c r="H171" s="2">
        <v>18096.73</v>
      </c>
      <c r="I171" s="2">
        <v>0</v>
      </c>
      <c r="J171" s="2">
        <v>0</v>
      </c>
      <c r="K171" s="2">
        <v>-8000</v>
      </c>
      <c r="L171" s="2">
        <v>0</v>
      </c>
      <c r="M171" s="2">
        <v>19314.47</v>
      </c>
      <c r="N171">
        <v>0</v>
      </c>
      <c r="O171" s="3">
        <f t="shared" si="3"/>
        <v>345350.12</v>
      </c>
    </row>
    <row r="172" spans="1:15" x14ac:dyDescent="0.2">
      <c r="A172" s="4">
        <v>548</v>
      </c>
      <c r="B172" s="4">
        <v>1</v>
      </c>
      <c r="C172" s="2" t="s">
        <v>169</v>
      </c>
      <c r="D172" s="2">
        <v>233266.08</v>
      </c>
      <c r="E172" s="2">
        <v>348902.32</v>
      </c>
      <c r="F172" s="2">
        <v>0</v>
      </c>
      <c r="G172" s="2">
        <v>0</v>
      </c>
      <c r="H172" s="2">
        <v>22946.18</v>
      </c>
      <c r="I172" s="2">
        <v>0</v>
      </c>
      <c r="J172" s="2">
        <v>0</v>
      </c>
      <c r="K172" s="2">
        <v>-2841.25</v>
      </c>
      <c r="L172" s="2">
        <v>0</v>
      </c>
      <c r="M172" s="2">
        <v>46824.71</v>
      </c>
      <c r="N172">
        <v>0</v>
      </c>
      <c r="O172" s="3">
        <f t="shared" si="3"/>
        <v>649098.04</v>
      </c>
    </row>
    <row r="173" spans="1:15" x14ac:dyDescent="0.2">
      <c r="A173" s="4">
        <v>549</v>
      </c>
      <c r="B173" s="4">
        <v>1</v>
      </c>
      <c r="C173" s="2" t="s">
        <v>1187</v>
      </c>
      <c r="D173" s="2">
        <v>657063.66</v>
      </c>
      <c r="E173" s="2">
        <v>0</v>
      </c>
      <c r="F173" s="2">
        <v>134947.70000000001</v>
      </c>
      <c r="G173" s="2">
        <v>0</v>
      </c>
      <c r="H173" s="2">
        <v>35001.480000000003</v>
      </c>
      <c r="I173" s="2">
        <v>0</v>
      </c>
      <c r="J173" s="2">
        <v>0</v>
      </c>
      <c r="K173" s="2">
        <v>-20015.91</v>
      </c>
      <c r="L173" s="2">
        <v>0</v>
      </c>
      <c r="M173" s="2">
        <v>66953.67</v>
      </c>
      <c r="N173">
        <v>0</v>
      </c>
      <c r="O173" s="3">
        <f t="shared" si="3"/>
        <v>873950.60000000009</v>
      </c>
    </row>
    <row r="174" spans="1:15" x14ac:dyDescent="0.2">
      <c r="A174" s="4">
        <v>550</v>
      </c>
      <c r="B174" s="4">
        <v>1</v>
      </c>
      <c r="C174" s="2" t="s">
        <v>171</v>
      </c>
      <c r="D174" s="2">
        <v>58462.65</v>
      </c>
      <c r="E174" s="2">
        <v>0</v>
      </c>
      <c r="F174" s="2">
        <v>11066.56</v>
      </c>
      <c r="G174" s="2">
        <v>0</v>
      </c>
      <c r="H174" s="2">
        <v>10003.870000000001</v>
      </c>
      <c r="I174" s="2">
        <v>0</v>
      </c>
      <c r="J174" s="2">
        <v>0</v>
      </c>
      <c r="K174" s="2">
        <v>821.48</v>
      </c>
      <c r="L174" s="2">
        <v>0</v>
      </c>
      <c r="M174" s="2">
        <v>15410.97</v>
      </c>
      <c r="N174">
        <v>0</v>
      </c>
      <c r="O174" s="3">
        <f t="shared" si="3"/>
        <v>95765.53</v>
      </c>
    </row>
    <row r="175" spans="1:15" x14ac:dyDescent="0.2">
      <c r="A175" s="4">
        <v>553</v>
      </c>
      <c r="B175" s="4">
        <v>1</v>
      </c>
      <c r="C175" s="2" t="s">
        <v>172</v>
      </c>
      <c r="D175" s="2">
        <v>40353.050000000003</v>
      </c>
      <c r="E175" s="2">
        <v>68736.100000000006</v>
      </c>
      <c r="F175" s="2">
        <v>19531.990000000002</v>
      </c>
      <c r="G175" s="2">
        <v>0</v>
      </c>
      <c r="H175" s="2">
        <v>23159.65</v>
      </c>
      <c r="I175" s="2">
        <v>0</v>
      </c>
      <c r="J175" s="2">
        <v>0</v>
      </c>
      <c r="K175" s="2">
        <v>19395.650000000001</v>
      </c>
      <c r="L175" s="2">
        <v>0</v>
      </c>
      <c r="M175" s="2">
        <v>20238.61</v>
      </c>
      <c r="N175">
        <v>0</v>
      </c>
      <c r="O175" s="3">
        <f t="shared" si="3"/>
        <v>191415.05</v>
      </c>
    </row>
    <row r="176" spans="1:15" x14ac:dyDescent="0.2">
      <c r="A176" s="4">
        <v>561</v>
      </c>
      <c r="B176" s="4">
        <v>1</v>
      </c>
      <c r="C176" s="2" t="s">
        <v>173</v>
      </c>
      <c r="D176" s="2">
        <v>24829.200000000001</v>
      </c>
      <c r="E176" s="2">
        <v>51960.3</v>
      </c>
      <c r="F176" s="2">
        <v>11548.19</v>
      </c>
      <c r="G176" s="2">
        <v>0</v>
      </c>
      <c r="H176" s="2">
        <v>0</v>
      </c>
      <c r="I176" s="2">
        <v>0</v>
      </c>
      <c r="J176" s="2">
        <v>0</v>
      </c>
      <c r="K176" s="2">
        <v>2000</v>
      </c>
      <c r="L176" s="2">
        <v>0</v>
      </c>
      <c r="M176" s="2">
        <v>6353.45</v>
      </c>
      <c r="N176">
        <v>0</v>
      </c>
      <c r="O176" s="3">
        <f t="shared" si="3"/>
        <v>96691.14</v>
      </c>
    </row>
    <row r="177" spans="1:15" x14ac:dyDescent="0.2">
      <c r="A177" s="4">
        <v>564</v>
      </c>
      <c r="B177" s="4">
        <v>1</v>
      </c>
      <c r="C177" s="2" t="s">
        <v>1188</v>
      </c>
      <c r="D177" s="2">
        <v>469212.17</v>
      </c>
      <c r="E177" s="2">
        <v>427062.47</v>
      </c>
      <c r="F177" s="2">
        <v>76655.520000000004</v>
      </c>
      <c r="G177" s="2">
        <v>0</v>
      </c>
      <c r="H177" s="2">
        <v>43309.64</v>
      </c>
      <c r="I177" s="2">
        <v>0</v>
      </c>
      <c r="J177" s="2">
        <v>0</v>
      </c>
      <c r="K177" s="2">
        <v>-12809.13</v>
      </c>
      <c r="L177" s="2">
        <v>0</v>
      </c>
      <c r="M177" s="2">
        <v>69476.77</v>
      </c>
      <c r="N177">
        <v>0</v>
      </c>
      <c r="O177" s="3">
        <f t="shared" si="3"/>
        <v>1072907.44</v>
      </c>
    </row>
    <row r="178" spans="1:15" x14ac:dyDescent="0.2">
      <c r="A178" s="4">
        <v>577</v>
      </c>
      <c r="B178" s="4">
        <v>1</v>
      </c>
      <c r="C178" s="2" t="s">
        <v>175</v>
      </c>
      <c r="D178" s="2">
        <v>131049.26</v>
      </c>
      <c r="E178" s="2">
        <v>2669.1</v>
      </c>
      <c r="F178" s="2">
        <v>20976.46</v>
      </c>
      <c r="G178" s="2">
        <v>0</v>
      </c>
      <c r="H178" s="2">
        <v>10003.75</v>
      </c>
      <c r="I178" s="2">
        <v>0</v>
      </c>
      <c r="J178" s="2">
        <v>0</v>
      </c>
      <c r="K178" s="2">
        <v>-6226.71</v>
      </c>
      <c r="L178" s="2">
        <v>0</v>
      </c>
      <c r="M178" s="2">
        <v>20247.810000000001</v>
      </c>
      <c r="N178">
        <v>0</v>
      </c>
      <c r="O178" s="3">
        <f t="shared" si="3"/>
        <v>178719.66999999998</v>
      </c>
    </row>
    <row r="179" spans="1:15" x14ac:dyDescent="0.2">
      <c r="A179" s="4">
        <v>578</v>
      </c>
      <c r="B179" s="4">
        <v>1</v>
      </c>
      <c r="C179" s="2" t="s">
        <v>176</v>
      </c>
      <c r="D179" s="2">
        <v>265552.34999999998</v>
      </c>
      <c r="E179" s="2">
        <v>498783.88</v>
      </c>
      <c r="F179" s="2">
        <v>95310.14</v>
      </c>
      <c r="G179" s="2">
        <v>0</v>
      </c>
      <c r="H179" s="2">
        <v>30834.87</v>
      </c>
      <c r="I179" s="2">
        <v>0</v>
      </c>
      <c r="J179" s="2">
        <v>0</v>
      </c>
      <c r="K179" s="2">
        <v>17063.509999999998</v>
      </c>
      <c r="L179" s="2">
        <v>0</v>
      </c>
      <c r="M179" s="2">
        <v>56382.77</v>
      </c>
      <c r="N179">
        <v>0</v>
      </c>
      <c r="O179" s="3">
        <f t="shared" si="3"/>
        <v>963927.52</v>
      </c>
    </row>
    <row r="180" spans="1:15" x14ac:dyDescent="0.2">
      <c r="A180" s="4">
        <v>581</v>
      </c>
      <c r="B180" s="4">
        <v>1</v>
      </c>
      <c r="C180" s="2" t="s">
        <v>177</v>
      </c>
      <c r="D180" s="2">
        <v>79274.179999999993</v>
      </c>
      <c r="E180" s="2">
        <v>83196.62</v>
      </c>
      <c r="F180" s="2">
        <v>52073.1</v>
      </c>
      <c r="G180" s="2">
        <v>2335.4899999999998</v>
      </c>
      <c r="H180" s="2">
        <v>6365.89</v>
      </c>
      <c r="I180" s="2">
        <v>0</v>
      </c>
      <c r="J180" s="2">
        <v>0</v>
      </c>
      <c r="K180" s="2">
        <v>0</v>
      </c>
      <c r="L180" s="2">
        <v>0</v>
      </c>
      <c r="M180" s="2">
        <v>10359.299999999999</v>
      </c>
      <c r="N180">
        <v>0</v>
      </c>
      <c r="O180" s="3">
        <f t="shared" si="3"/>
        <v>233604.58</v>
      </c>
    </row>
    <row r="181" spans="1:15" x14ac:dyDescent="0.2">
      <c r="A181" s="4">
        <v>592</v>
      </c>
      <c r="B181" s="4">
        <v>1</v>
      </c>
      <c r="C181" s="2" t="s">
        <v>1189</v>
      </c>
      <c r="D181" s="2">
        <v>69054.84</v>
      </c>
      <c r="E181" s="2">
        <v>0</v>
      </c>
      <c r="F181" s="2">
        <v>59852.66</v>
      </c>
      <c r="G181" s="2">
        <v>0</v>
      </c>
      <c r="H181" s="2">
        <v>10003.75</v>
      </c>
      <c r="I181" s="2">
        <v>0</v>
      </c>
      <c r="J181" s="2">
        <v>0</v>
      </c>
      <c r="K181" s="2">
        <v>-6718.49</v>
      </c>
      <c r="L181" s="2">
        <v>0</v>
      </c>
      <c r="M181" s="2">
        <v>826.34</v>
      </c>
      <c r="N181">
        <v>0</v>
      </c>
      <c r="O181" s="3">
        <f t="shared" si="3"/>
        <v>133019.1</v>
      </c>
    </row>
    <row r="182" spans="1:15" x14ac:dyDescent="0.2">
      <c r="A182" s="4">
        <v>593</v>
      </c>
      <c r="B182" s="4">
        <v>1</v>
      </c>
      <c r="C182" s="2" t="s">
        <v>179</v>
      </c>
      <c r="D182" s="2">
        <v>354936.55</v>
      </c>
      <c r="E182" s="2">
        <v>684251.52</v>
      </c>
      <c r="F182" s="2">
        <v>0</v>
      </c>
      <c r="G182" s="2">
        <v>0</v>
      </c>
      <c r="H182" s="2">
        <v>36497.08</v>
      </c>
      <c r="I182" s="2">
        <v>0</v>
      </c>
      <c r="J182" s="2">
        <v>0</v>
      </c>
      <c r="K182" s="2">
        <v>19762.39</v>
      </c>
      <c r="L182" s="2">
        <v>0</v>
      </c>
      <c r="M182" s="2">
        <v>58568.65</v>
      </c>
      <c r="N182">
        <v>0</v>
      </c>
      <c r="O182" s="3">
        <f t="shared" si="3"/>
        <v>1154016.19</v>
      </c>
    </row>
    <row r="183" spans="1:15" x14ac:dyDescent="0.2">
      <c r="A183" s="4">
        <v>595</v>
      </c>
      <c r="B183" s="4">
        <v>1</v>
      </c>
      <c r="C183" s="2" t="s">
        <v>180</v>
      </c>
      <c r="D183" s="2">
        <v>248068.66</v>
      </c>
      <c r="E183" s="2">
        <v>359854.21</v>
      </c>
      <c r="F183" s="2">
        <v>0</v>
      </c>
      <c r="G183" s="2">
        <v>0</v>
      </c>
      <c r="H183" s="2">
        <v>46718.57</v>
      </c>
      <c r="I183" s="2">
        <v>0</v>
      </c>
      <c r="J183" s="2">
        <v>0</v>
      </c>
      <c r="K183" s="2">
        <v>10454.33</v>
      </c>
      <c r="L183" s="2">
        <v>0</v>
      </c>
      <c r="M183" s="2">
        <v>52486.77</v>
      </c>
      <c r="N183">
        <v>0</v>
      </c>
      <c r="O183" s="3">
        <f t="shared" si="3"/>
        <v>717582.53999999992</v>
      </c>
    </row>
    <row r="184" spans="1:15" x14ac:dyDescent="0.2">
      <c r="A184" s="4">
        <v>599</v>
      </c>
      <c r="B184" s="4">
        <v>1</v>
      </c>
      <c r="C184" s="2" t="s">
        <v>181</v>
      </c>
      <c r="D184" s="2">
        <v>105209.17</v>
      </c>
      <c r="E184" s="2">
        <v>176735.05</v>
      </c>
      <c r="F184" s="2">
        <v>37537.56</v>
      </c>
      <c r="G184" s="2">
        <v>0</v>
      </c>
      <c r="H184" s="2">
        <v>17453.400000000001</v>
      </c>
      <c r="I184" s="2">
        <v>0</v>
      </c>
      <c r="J184" s="2">
        <v>0</v>
      </c>
      <c r="K184" s="2">
        <v>9429.4599999999991</v>
      </c>
      <c r="L184" s="2">
        <v>0</v>
      </c>
      <c r="M184" s="2">
        <v>19864.21</v>
      </c>
      <c r="N184">
        <v>0</v>
      </c>
      <c r="O184" s="3">
        <f t="shared" si="3"/>
        <v>366228.85000000003</v>
      </c>
    </row>
    <row r="185" spans="1:15" x14ac:dyDescent="0.2">
      <c r="A185" s="4">
        <v>600</v>
      </c>
      <c r="B185" s="4">
        <v>1</v>
      </c>
      <c r="C185" s="2" t="s">
        <v>182</v>
      </c>
      <c r="D185" s="2">
        <v>46607</v>
      </c>
      <c r="E185" s="2">
        <v>0</v>
      </c>
      <c r="F185" s="2">
        <v>75126.47</v>
      </c>
      <c r="G185" s="2">
        <v>0</v>
      </c>
      <c r="H185" s="2">
        <v>10003.75</v>
      </c>
      <c r="I185" s="2">
        <v>0</v>
      </c>
      <c r="J185" s="2">
        <v>-1329.09</v>
      </c>
      <c r="K185" s="2">
        <v>1601.7</v>
      </c>
      <c r="L185" s="2">
        <v>0</v>
      </c>
      <c r="M185" s="2">
        <v>10449.83</v>
      </c>
      <c r="N185">
        <v>0</v>
      </c>
      <c r="O185" s="3">
        <f t="shared" si="3"/>
        <v>142459.66</v>
      </c>
    </row>
    <row r="186" spans="1:15" x14ac:dyDescent="0.2">
      <c r="A186" s="4">
        <v>601</v>
      </c>
      <c r="B186" s="4">
        <v>1</v>
      </c>
      <c r="C186" s="2" t="s">
        <v>183</v>
      </c>
      <c r="D186" s="2">
        <v>122361.73</v>
      </c>
      <c r="E186" s="2">
        <v>97046.61</v>
      </c>
      <c r="F186" s="2">
        <v>10280.629999999999</v>
      </c>
      <c r="G186" s="2">
        <v>5949.94</v>
      </c>
      <c r="H186" s="2">
        <v>17453.400000000001</v>
      </c>
      <c r="I186" s="2">
        <v>0</v>
      </c>
      <c r="J186" s="2">
        <v>0</v>
      </c>
      <c r="K186" s="2">
        <v>10710.87</v>
      </c>
      <c r="L186" s="2">
        <v>0</v>
      </c>
      <c r="M186" s="2">
        <v>19084.77</v>
      </c>
      <c r="N186">
        <v>0</v>
      </c>
      <c r="O186" s="3">
        <f t="shared" si="3"/>
        <v>282887.95</v>
      </c>
    </row>
    <row r="187" spans="1:15" x14ac:dyDescent="0.2">
      <c r="A187" s="4">
        <v>621</v>
      </c>
      <c r="B187" s="4">
        <v>1</v>
      </c>
      <c r="C187" s="2" t="s">
        <v>185</v>
      </c>
      <c r="D187" s="2">
        <v>4043716.29</v>
      </c>
      <c r="E187" s="2">
        <v>6389576.6500000004</v>
      </c>
      <c r="F187" s="2">
        <v>2472890.44</v>
      </c>
      <c r="G187" s="2">
        <v>212864.42</v>
      </c>
      <c r="H187" s="2">
        <v>183983</v>
      </c>
      <c r="I187" s="2">
        <v>17682.47</v>
      </c>
      <c r="J187" s="2">
        <v>0</v>
      </c>
      <c r="K187" s="2">
        <v>248970.22</v>
      </c>
      <c r="L187" s="2">
        <v>0</v>
      </c>
      <c r="M187" s="2">
        <v>485250.59</v>
      </c>
      <c r="N187">
        <v>0</v>
      </c>
      <c r="O187" s="3">
        <f t="shared" si="3"/>
        <v>14054934.080000002</v>
      </c>
    </row>
    <row r="188" spans="1:15" x14ac:dyDescent="0.2">
      <c r="A188" s="4">
        <v>622</v>
      </c>
      <c r="B188" s="4">
        <v>1</v>
      </c>
      <c r="C188" s="2" t="s">
        <v>1190</v>
      </c>
      <c r="D188" s="2">
        <v>3972391.77</v>
      </c>
      <c r="E188" s="2">
        <v>2456274.56</v>
      </c>
      <c r="F188" s="2">
        <v>2611114.7599999998</v>
      </c>
      <c r="G188" s="2">
        <v>46112.3</v>
      </c>
      <c r="H188" s="2">
        <v>259610.15</v>
      </c>
      <c r="I188" s="2">
        <v>0</v>
      </c>
      <c r="J188" s="2">
        <v>0</v>
      </c>
      <c r="K188" s="2">
        <v>255676.93</v>
      </c>
      <c r="L188" s="2">
        <v>0</v>
      </c>
      <c r="M188" s="2">
        <v>791244.45</v>
      </c>
      <c r="N188">
        <v>0</v>
      </c>
      <c r="O188" s="3">
        <f t="shared" si="3"/>
        <v>10392424.92</v>
      </c>
    </row>
    <row r="189" spans="1:15" x14ac:dyDescent="0.2">
      <c r="A189" s="4">
        <v>623</v>
      </c>
      <c r="B189" s="4">
        <v>1</v>
      </c>
      <c r="C189" s="2" t="s">
        <v>187</v>
      </c>
      <c r="D189" s="2">
        <v>2069679.88</v>
      </c>
      <c r="E189" s="2">
        <v>3237559.5</v>
      </c>
      <c r="F189" s="2">
        <v>2907226.7</v>
      </c>
      <c r="G189" s="2">
        <v>0</v>
      </c>
      <c r="H189" s="2">
        <v>132053.62</v>
      </c>
      <c r="I189" s="2">
        <v>0</v>
      </c>
      <c r="J189" s="2">
        <v>0</v>
      </c>
      <c r="K189" s="2">
        <v>146458.79999999999</v>
      </c>
      <c r="L189" s="2">
        <v>0</v>
      </c>
      <c r="M189" s="2">
        <v>409982.8</v>
      </c>
      <c r="N189">
        <v>0</v>
      </c>
      <c r="O189" s="3">
        <f t="shared" si="3"/>
        <v>8902961.3000000007</v>
      </c>
    </row>
    <row r="190" spans="1:15" x14ac:dyDescent="0.2">
      <c r="A190" s="4">
        <v>624</v>
      </c>
      <c r="B190" s="4">
        <v>1</v>
      </c>
      <c r="C190" s="2" t="s">
        <v>188</v>
      </c>
      <c r="D190" s="2">
        <v>2533232.9500000002</v>
      </c>
      <c r="E190" s="2">
        <v>6517134.7999999998</v>
      </c>
      <c r="F190" s="2">
        <v>1582149</v>
      </c>
      <c r="G190" s="2">
        <v>0</v>
      </c>
      <c r="H190" s="2">
        <v>171081.31</v>
      </c>
      <c r="I190" s="2">
        <v>0</v>
      </c>
      <c r="J190" s="2">
        <v>0</v>
      </c>
      <c r="K190" s="2">
        <v>103206.22</v>
      </c>
      <c r="L190" s="2">
        <v>0</v>
      </c>
      <c r="M190" s="2">
        <v>526385.14</v>
      </c>
      <c r="N190">
        <v>0</v>
      </c>
      <c r="O190" s="3">
        <f t="shared" si="3"/>
        <v>11433189.420000002</v>
      </c>
    </row>
    <row r="191" spans="1:15" x14ac:dyDescent="0.2">
      <c r="A191" s="4">
        <v>625</v>
      </c>
      <c r="B191" s="4">
        <v>1</v>
      </c>
      <c r="C191" s="2" t="s">
        <v>189</v>
      </c>
      <c r="D191" s="2">
        <v>15369692.119999999</v>
      </c>
      <c r="E191" s="2">
        <v>14487670.59</v>
      </c>
      <c r="F191" s="2">
        <v>2473342.0699999998</v>
      </c>
      <c r="G191" s="2">
        <v>0</v>
      </c>
      <c r="H191" s="2">
        <v>658837.49</v>
      </c>
      <c r="I191" s="2">
        <v>17806110.870000001</v>
      </c>
      <c r="J191" s="2">
        <v>0</v>
      </c>
      <c r="K191" s="2">
        <v>1428703.73</v>
      </c>
      <c r="L191" s="2">
        <v>0</v>
      </c>
      <c r="M191" s="2">
        <v>1676332.58</v>
      </c>
      <c r="N191">
        <v>0</v>
      </c>
      <c r="O191" s="3">
        <f t="shared" si="3"/>
        <v>53900689.449999996</v>
      </c>
    </row>
    <row r="192" spans="1:15" x14ac:dyDescent="0.2">
      <c r="A192" s="4">
        <v>630</v>
      </c>
      <c r="B192" s="4">
        <v>1</v>
      </c>
      <c r="C192" s="2" t="s">
        <v>192</v>
      </c>
      <c r="D192" s="2">
        <v>56358.18</v>
      </c>
      <c r="E192" s="2">
        <v>136616.63</v>
      </c>
      <c r="F192" s="2">
        <v>15914.47</v>
      </c>
      <c r="G192" s="2">
        <v>0</v>
      </c>
      <c r="H192" s="2">
        <v>11061.66</v>
      </c>
      <c r="I192" s="2">
        <v>0</v>
      </c>
      <c r="J192" s="2">
        <v>-5567.85</v>
      </c>
      <c r="K192" s="2">
        <v>5567.85</v>
      </c>
      <c r="L192" s="2">
        <v>0</v>
      </c>
      <c r="M192" s="2">
        <v>8418.49</v>
      </c>
      <c r="N192">
        <v>0</v>
      </c>
      <c r="O192" s="3">
        <f t="shared" si="3"/>
        <v>228369.43</v>
      </c>
    </row>
    <row r="193" spans="1:15" x14ac:dyDescent="0.2">
      <c r="A193" s="4">
        <v>635</v>
      </c>
      <c r="B193" s="4">
        <v>1</v>
      </c>
      <c r="C193" s="2" t="s">
        <v>193</v>
      </c>
      <c r="D193" s="2">
        <v>28564.65</v>
      </c>
      <c r="E193" s="2">
        <v>32132.59</v>
      </c>
      <c r="F193" s="2">
        <v>34554.870000000003</v>
      </c>
      <c r="G193" s="2">
        <v>0</v>
      </c>
      <c r="H193" s="2">
        <v>0</v>
      </c>
      <c r="I193" s="2">
        <v>0</v>
      </c>
      <c r="J193" s="2">
        <v>0</v>
      </c>
      <c r="K193" s="2">
        <v>2000</v>
      </c>
      <c r="L193" s="2">
        <v>0</v>
      </c>
      <c r="M193" s="2">
        <v>7372.13</v>
      </c>
      <c r="N193">
        <v>0</v>
      </c>
      <c r="O193" s="3">
        <f t="shared" si="3"/>
        <v>104624.24000000002</v>
      </c>
    </row>
    <row r="194" spans="1:15" x14ac:dyDescent="0.2">
      <c r="A194" s="4">
        <v>640</v>
      </c>
      <c r="B194" s="4">
        <v>1</v>
      </c>
      <c r="C194" s="2" t="s">
        <v>194</v>
      </c>
      <c r="D194" s="2">
        <v>98257.35</v>
      </c>
      <c r="E194" s="2">
        <v>90141.66</v>
      </c>
      <c r="F194" s="2">
        <v>21257.8</v>
      </c>
      <c r="G194" s="2">
        <v>3893.65</v>
      </c>
      <c r="H194" s="2">
        <v>10468.73</v>
      </c>
      <c r="I194" s="2">
        <v>0</v>
      </c>
      <c r="J194" s="2">
        <v>0</v>
      </c>
      <c r="K194" s="2">
        <v>-7770</v>
      </c>
      <c r="L194" s="2">
        <v>0</v>
      </c>
      <c r="M194" s="2">
        <v>21736.84</v>
      </c>
      <c r="N194">
        <v>0</v>
      </c>
      <c r="O194" s="3">
        <f t="shared" si="3"/>
        <v>237986.03</v>
      </c>
    </row>
    <row r="195" spans="1:15" x14ac:dyDescent="0.2">
      <c r="A195" s="4">
        <v>656</v>
      </c>
      <c r="B195" s="4">
        <v>1</v>
      </c>
      <c r="C195" s="2" t="s">
        <v>195</v>
      </c>
      <c r="D195" s="2">
        <v>871471.76</v>
      </c>
      <c r="E195" s="2">
        <v>434315.85</v>
      </c>
      <c r="F195" s="2">
        <v>329972.17</v>
      </c>
      <c r="G195" s="2">
        <v>0</v>
      </c>
      <c r="H195" s="2">
        <v>53551.85</v>
      </c>
      <c r="I195" s="2">
        <v>0</v>
      </c>
      <c r="J195" s="2">
        <v>0</v>
      </c>
      <c r="K195" s="2">
        <v>73400.009999999995</v>
      </c>
      <c r="L195" s="2">
        <v>0</v>
      </c>
      <c r="M195" s="2">
        <v>181241.89</v>
      </c>
      <c r="N195">
        <v>0</v>
      </c>
      <c r="O195" s="3">
        <f t="shared" ref="O195:O256" si="4">SUM(D195:N195)</f>
        <v>1943953.5299999998</v>
      </c>
    </row>
    <row r="196" spans="1:15" x14ac:dyDescent="0.2">
      <c r="A196" s="4">
        <v>659</v>
      </c>
      <c r="B196" s="4">
        <v>1</v>
      </c>
      <c r="C196" s="2" t="s">
        <v>196</v>
      </c>
      <c r="D196" s="2">
        <v>1321714.92</v>
      </c>
      <c r="E196" s="2">
        <v>2805558.37</v>
      </c>
      <c r="F196" s="2">
        <v>374465.93</v>
      </c>
      <c r="G196" s="2">
        <v>0</v>
      </c>
      <c r="H196" s="2">
        <v>23465.63</v>
      </c>
      <c r="I196" s="2">
        <v>0</v>
      </c>
      <c r="J196" s="2">
        <v>0</v>
      </c>
      <c r="K196" s="2">
        <v>28907.19</v>
      </c>
      <c r="L196" s="2">
        <v>0</v>
      </c>
      <c r="M196" s="2">
        <v>188449.37</v>
      </c>
      <c r="N196">
        <v>0</v>
      </c>
      <c r="O196" s="3">
        <f t="shared" si="4"/>
        <v>4742561.41</v>
      </c>
    </row>
    <row r="197" spans="1:15" x14ac:dyDescent="0.2">
      <c r="A197" s="4">
        <v>671</v>
      </c>
      <c r="B197" s="4">
        <v>1</v>
      </c>
      <c r="C197" s="2" t="s">
        <v>1191</v>
      </c>
      <c r="D197" s="2">
        <v>82029.649999999994</v>
      </c>
      <c r="E197" s="2">
        <v>127088.64</v>
      </c>
      <c r="F197" s="2">
        <v>64894.85</v>
      </c>
      <c r="G197" s="2">
        <v>0</v>
      </c>
      <c r="H197" s="2">
        <v>10003.81</v>
      </c>
      <c r="I197" s="2">
        <v>0</v>
      </c>
      <c r="J197" s="2">
        <v>0</v>
      </c>
      <c r="K197" s="2">
        <v>0</v>
      </c>
      <c r="L197" s="2">
        <v>0</v>
      </c>
      <c r="M197" s="2">
        <v>10078.49</v>
      </c>
      <c r="N197">
        <v>0</v>
      </c>
      <c r="O197" s="3">
        <f t="shared" si="4"/>
        <v>294095.43999999994</v>
      </c>
    </row>
    <row r="198" spans="1:15" x14ac:dyDescent="0.2">
      <c r="A198" s="4">
        <v>676</v>
      </c>
      <c r="B198" s="4">
        <v>1</v>
      </c>
      <c r="C198" s="2" t="s">
        <v>198</v>
      </c>
      <c r="D198" s="2">
        <v>47666.22</v>
      </c>
      <c r="E198" s="2">
        <v>15355.21</v>
      </c>
      <c r="F198" s="2">
        <v>82150</v>
      </c>
      <c r="G198" s="2">
        <v>0</v>
      </c>
      <c r="H198" s="2">
        <v>10003.75</v>
      </c>
      <c r="I198" s="2">
        <v>0</v>
      </c>
      <c r="J198" s="2">
        <v>0</v>
      </c>
      <c r="K198" s="2">
        <v>-1084.4000000000001</v>
      </c>
      <c r="L198" s="2">
        <v>0</v>
      </c>
      <c r="M198" s="2">
        <v>4873.12</v>
      </c>
      <c r="N198">
        <v>0</v>
      </c>
      <c r="O198" s="3">
        <f t="shared" si="4"/>
        <v>158963.9</v>
      </c>
    </row>
    <row r="199" spans="1:15" x14ac:dyDescent="0.2">
      <c r="A199" s="4">
        <v>682</v>
      </c>
      <c r="B199" s="4">
        <v>1</v>
      </c>
      <c r="C199" s="2" t="s">
        <v>199</v>
      </c>
      <c r="D199" s="2">
        <v>201333.27</v>
      </c>
      <c r="E199" s="2">
        <v>154948.20000000001</v>
      </c>
      <c r="F199" s="2">
        <v>45551.1</v>
      </c>
      <c r="G199" s="2">
        <v>17470.36</v>
      </c>
      <c r="H199" s="2">
        <v>24886.33</v>
      </c>
      <c r="I199" s="2">
        <v>0</v>
      </c>
      <c r="J199" s="2">
        <v>0</v>
      </c>
      <c r="K199" s="2">
        <v>1597.33</v>
      </c>
      <c r="L199" s="2">
        <v>0</v>
      </c>
      <c r="M199" s="2">
        <v>40938.699999999997</v>
      </c>
      <c r="N199">
        <v>0</v>
      </c>
      <c r="O199" s="3">
        <f t="shared" si="4"/>
        <v>486725.29</v>
      </c>
    </row>
    <row r="200" spans="1:15" x14ac:dyDescent="0.2">
      <c r="A200" s="4">
        <v>690</v>
      </c>
      <c r="B200" s="4">
        <v>1</v>
      </c>
      <c r="C200" s="2" t="s">
        <v>200</v>
      </c>
      <c r="D200" s="2">
        <v>246161.66</v>
      </c>
      <c r="E200" s="2">
        <v>122685.71</v>
      </c>
      <c r="F200" s="2">
        <v>36984.730000000003</v>
      </c>
      <c r="G200" s="2">
        <v>0</v>
      </c>
      <c r="H200" s="2">
        <v>24312.31</v>
      </c>
      <c r="I200" s="2">
        <v>0</v>
      </c>
      <c r="J200" s="2">
        <v>0</v>
      </c>
      <c r="K200" s="2">
        <v>-24248.78</v>
      </c>
      <c r="L200" s="2">
        <v>0</v>
      </c>
      <c r="M200" s="2">
        <v>45598.95</v>
      </c>
      <c r="N200">
        <v>0</v>
      </c>
      <c r="O200" s="3">
        <f t="shared" si="4"/>
        <v>451494.58</v>
      </c>
    </row>
    <row r="201" spans="1:15" x14ac:dyDescent="0.2">
      <c r="A201" s="4">
        <v>695</v>
      </c>
      <c r="B201" s="4">
        <v>1</v>
      </c>
      <c r="C201" s="2" t="s">
        <v>201</v>
      </c>
      <c r="D201" s="2">
        <v>4796.3999999999996</v>
      </c>
      <c r="E201" s="2">
        <v>157121.51</v>
      </c>
      <c r="F201" s="2">
        <v>27688.080000000002</v>
      </c>
      <c r="G201" s="2">
        <v>8880.85</v>
      </c>
      <c r="H201" s="2">
        <v>12079.06</v>
      </c>
      <c r="I201" s="2">
        <v>160447.45000000001</v>
      </c>
      <c r="J201" s="2">
        <v>0</v>
      </c>
      <c r="K201" s="2">
        <v>-6000</v>
      </c>
      <c r="L201" s="2">
        <v>0</v>
      </c>
      <c r="M201" s="2">
        <v>0</v>
      </c>
      <c r="N201">
        <v>0</v>
      </c>
      <c r="O201" s="3">
        <f t="shared" si="4"/>
        <v>365013.35</v>
      </c>
    </row>
    <row r="202" spans="1:15" x14ac:dyDescent="0.2">
      <c r="A202" s="4">
        <v>696</v>
      </c>
      <c r="B202" s="4">
        <v>1</v>
      </c>
      <c r="C202" s="2" t="s">
        <v>202</v>
      </c>
      <c r="D202" s="2">
        <v>383323.96</v>
      </c>
      <c r="E202" s="2">
        <v>207334.54</v>
      </c>
      <c r="F202" s="2">
        <v>61464.47</v>
      </c>
      <c r="G202" s="2">
        <v>2504.4899999999998</v>
      </c>
      <c r="H202" s="2">
        <v>0</v>
      </c>
      <c r="I202" s="2">
        <v>220589.44</v>
      </c>
      <c r="J202" s="2">
        <v>0</v>
      </c>
      <c r="K202" s="2">
        <v>8623.9699999999993</v>
      </c>
      <c r="L202" s="2">
        <v>0</v>
      </c>
      <c r="M202" s="2">
        <v>0</v>
      </c>
      <c r="N202">
        <v>0</v>
      </c>
      <c r="O202" s="3">
        <f t="shared" si="4"/>
        <v>883840.86999999988</v>
      </c>
    </row>
    <row r="203" spans="1:15" x14ac:dyDescent="0.2">
      <c r="A203" s="4">
        <v>698</v>
      </c>
      <c r="B203" s="4">
        <v>1</v>
      </c>
      <c r="C203" s="2" t="s">
        <v>203</v>
      </c>
      <c r="D203" s="2">
        <v>127792.21</v>
      </c>
      <c r="E203" s="2">
        <v>0</v>
      </c>
      <c r="F203" s="2">
        <v>14891.46</v>
      </c>
      <c r="G203" s="2">
        <v>5557.25</v>
      </c>
      <c r="H203" s="2">
        <v>10003.75</v>
      </c>
      <c r="I203" s="2">
        <v>0</v>
      </c>
      <c r="J203" s="2">
        <v>0</v>
      </c>
      <c r="K203" s="2">
        <v>14309.21</v>
      </c>
      <c r="L203" s="2">
        <v>0</v>
      </c>
      <c r="M203" s="2">
        <v>11272.92</v>
      </c>
      <c r="N203">
        <v>0</v>
      </c>
      <c r="O203" s="3">
        <f t="shared" si="4"/>
        <v>183826.80000000002</v>
      </c>
    </row>
    <row r="204" spans="1:15" x14ac:dyDescent="0.2">
      <c r="A204" s="4">
        <v>700</v>
      </c>
      <c r="B204" s="4">
        <v>1</v>
      </c>
      <c r="C204" s="2" t="s">
        <v>204</v>
      </c>
      <c r="D204" s="2">
        <v>659151.23</v>
      </c>
      <c r="E204" s="2">
        <v>0</v>
      </c>
      <c r="F204" s="2">
        <v>83202.59</v>
      </c>
      <c r="G204" s="2">
        <v>0</v>
      </c>
      <c r="H204" s="2">
        <v>10003.75</v>
      </c>
      <c r="I204" s="2">
        <v>0</v>
      </c>
      <c r="J204" s="2">
        <v>0</v>
      </c>
      <c r="K204" s="2">
        <v>12841.43</v>
      </c>
      <c r="L204" s="2">
        <v>0</v>
      </c>
      <c r="M204" s="2">
        <v>76549.67</v>
      </c>
      <c r="N204">
        <v>0</v>
      </c>
      <c r="O204" s="3">
        <f t="shared" si="4"/>
        <v>841748.67</v>
      </c>
    </row>
    <row r="205" spans="1:15" x14ac:dyDescent="0.2">
      <c r="A205" s="4">
        <v>701</v>
      </c>
      <c r="B205" s="4">
        <v>1</v>
      </c>
      <c r="C205" s="2" t="s">
        <v>205</v>
      </c>
      <c r="D205" s="2">
        <v>193431.55</v>
      </c>
      <c r="E205" s="2">
        <v>482908.72</v>
      </c>
      <c r="F205" s="2">
        <v>109071.21</v>
      </c>
      <c r="G205" s="2">
        <v>59276.87</v>
      </c>
      <c r="H205" s="2">
        <v>26704.22</v>
      </c>
      <c r="I205" s="2">
        <v>479711.8</v>
      </c>
      <c r="J205" s="2">
        <v>0</v>
      </c>
      <c r="K205" s="2">
        <v>-82.12</v>
      </c>
      <c r="L205" s="2">
        <v>0</v>
      </c>
      <c r="M205" s="2">
        <v>0</v>
      </c>
      <c r="N205">
        <v>0</v>
      </c>
      <c r="O205" s="3">
        <f t="shared" si="4"/>
        <v>1351022.2499999998</v>
      </c>
    </row>
    <row r="206" spans="1:15" x14ac:dyDescent="0.2">
      <c r="A206" s="4">
        <v>704</v>
      </c>
      <c r="B206" s="4">
        <v>1</v>
      </c>
      <c r="C206" s="2" t="s">
        <v>206</v>
      </c>
      <c r="D206" s="2">
        <v>628816.1</v>
      </c>
      <c r="E206" s="2">
        <v>0</v>
      </c>
      <c r="F206" s="2">
        <v>96036.52</v>
      </c>
      <c r="G206" s="2">
        <v>0</v>
      </c>
      <c r="H206" s="2">
        <v>22316.9</v>
      </c>
      <c r="I206" s="2">
        <v>0</v>
      </c>
      <c r="J206" s="2">
        <v>0</v>
      </c>
      <c r="K206" s="2">
        <v>23449.61</v>
      </c>
      <c r="L206" s="2">
        <v>0</v>
      </c>
      <c r="M206" s="2">
        <v>78377.86</v>
      </c>
      <c r="N206">
        <v>0</v>
      </c>
      <c r="O206" s="3">
        <f t="shared" si="4"/>
        <v>848996.99</v>
      </c>
    </row>
    <row r="207" spans="1:15" x14ac:dyDescent="0.2">
      <c r="A207" s="4">
        <v>706</v>
      </c>
      <c r="B207" s="4">
        <v>1</v>
      </c>
      <c r="C207" s="2" t="s">
        <v>207</v>
      </c>
      <c r="D207" s="2">
        <v>133856.01999999999</v>
      </c>
      <c r="E207" s="2">
        <v>357040.55</v>
      </c>
      <c r="F207" s="2">
        <v>66181.42</v>
      </c>
      <c r="G207" s="2">
        <v>46429.98</v>
      </c>
      <c r="H207" s="2">
        <v>34954.93</v>
      </c>
      <c r="I207" s="2">
        <v>509146.62</v>
      </c>
      <c r="J207" s="2">
        <v>0</v>
      </c>
      <c r="K207" s="2">
        <v>-4497.05</v>
      </c>
      <c r="L207" s="2">
        <v>0</v>
      </c>
      <c r="M207" s="2">
        <v>0</v>
      </c>
      <c r="N207">
        <v>0</v>
      </c>
      <c r="O207" s="3">
        <f t="shared" si="4"/>
        <v>1143112.47</v>
      </c>
    </row>
    <row r="208" spans="1:15" x14ac:dyDescent="0.2">
      <c r="A208" s="4">
        <v>707</v>
      </c>
      <c r="B208" s="4">
        <v>1</v>
      </c>
      <c r="C208" s="2" t="s">
        <v>208</v>
      </c>
      <c r="D208" s="2">
        <v>13702.37</v>
      </c>
      <c r="E208" s="2">
        <v>219.61</v>
      </c>
      <c r="F208" s="2">
        <v>38.729999999999997</v>
      </c>
      <c r="G208" s="2">
        <v>0</v>
      </c>
      <c r="H208" s="2">
        <v>0</v>
      </c>
      <c r="I208" s="2">
        <v>0</v>
      </c>
      <c r="J208" s="2">
        <v>0</v>
      </c>
      <c r="K208" s="2">
        <v>9241.2999999999993</v>
      </c>
      <c r="L208" s="2">
        <v>0</v>
      </c>
      <c r="M208" s="2">
        <v>844.22</v>
      </c>
      <c r="N208">
        <v>0</v>
      </c>
      <c r="O208" s="3">
        <f t="shared" si="4"/>
        <v>24046.230000000003</v>
      </c>
    </row>
    <row r="209" spans="1:15" x14ac:dyDescent="0.2">
      <c r="A209" s="4">
        <v>709</v>
      </c>
      <c r="B209" s="4">
        <v>1</v>
      </c>
      <c r="C209" s="2" t="s">
        <v>209</v>
      </c>
      <c r="D209" s="2">
        <v>2593306.69</v>
      </c>
      <c r="E209" s="2">
        <v>1554849.94</v>
      </c>
      <c r="F209" s="2">
        <v>563244.99</v>
      </c>
      <c r="G209" s="2">
        <v>0</v>
      </c>
      <c r="H209" s="2">
        <v>262283.68</v>
      </c>
      <c r="I209" s="2">
        <v>582740.63</v>
      </c>
      <c r="J209" s="2">
        <v>0</v>
      </c>
      <c r="K209" s="2">
        <v>692570.9</v>
      </c>
      <c r="L209" s="2">
        <v>0</v>
      </c>
      <c r="M209" s="2">
        <v>534944.71</v>
      </c>
      <c r="N209">
        <v>0</v>
      </c>
      <c r="O209" s="3">
        <f t="shared" si="4"/>
        <v>6783941.54</v>
      </c>
    </row>
    <row r="210" spans="1:15" x14ac:dyDescent="0.2">
      <c r="A210" s="4">
        <v>712</v>
      </c>
      <c r="B210" s="4">
        <v>1</v>
      </c>
      <c r="C210" s="2" t="s">
        <v>1192</v>
      </c>
      <c r="D210" s="2">
        <v>0</v>
      </c>
      <c r="E210" s="2">
        <v>119425.97</v>
      </c>
      <c r="F210" s="2">
        <v>26674.799999999999</v>
      </c>
      <c r="G210" s="2">
        <v>21715.31</v>
      </c>
      <c r="H210" s="2">
        <v>17453.400000000001</v>
      </c>
      <c r="I210" s="2">
        <v>35771</v>
      </c>
      <c r="J210" s="2">
        <v>0</v>
      </c>
      <c r="K210" s="2">
        <v>8887.75</v>
      </c>
      <c r="L210" s="2">
        <v>0</v>
      </c>
      <c r="M210" s="2">
        <v>0</v>
      </c>
      <c r="N210">
        <v>0</v>
      </c>
      <c r="O210" s="3">
        <f t="shared" si="4"/>
        <v>229928.22999999998</v>
      </c>
    </row>
    <row r="211" spans="1:15" x14ac:dyDescent="0.2">
      <c r="A211" s="4">
        <v>716</v>
      </c>
      <c r="B211" s="4">
        <v>1</v>
      </c>
      <c r="C211" s="2" t="s">
        <v>211</v>
      </c>
      <c r="D211" s="2">
        <v>352152.28</v>
      </c>
      <c r="E211" s="2">
        <v>144915.67000000001</v>
      </c>
      <c r="F211" s="2">
        <v>63260.97</v>
      </c>
      <c r="G211" s="2">
        <v>0</v>
      </c>
      <c r="H211" s="2">
        <v>26817.200000000001</v>
      </c>
      <c r="I211" s="2">
        <v>0</v>
      </c>
      <c r="J211" s="2">
        <v>0</v>
      </c>
      <c r="K211" s="2">
        <v>6845.63</v>
      </c>
      <c r="L211" s="2">
        <v>0</v>
      </c>
      <c r="M211" s="2">
        <v>57298.91</v>
      </c>
      <c r="N211">
        <v>0</v>
      </c>
      <c r="O211" s="3">
        <f t="shared" si="4"/>
        <v>651290.66</v>
      </c>
    </row>
    <row r="212" spans="1:15" x14ac:dyDescent="0.2">
      <c r="A212" s="4">
        <v>717</v>
      </c>
      <c r="B212" s="4">
        <v>1</v>
      </c>
      <c r="C212" s="2" t="s">
        <v>212</v>
      </c>
      <c r="D212" s="2">
        <v>396404.43</v>
      </c>
      <c r="E212" s="2">
        <v>412008.01</v>
      </c>
      <c r="F212" s="2">
        <v>55047.71</v>
      </c>
      <c r="G212" s="2">
        <v>14022.14</v>
      </c>
      <c r="H212" s="2">
        <v>21136.79</v>
      </c>
      <c r="I212" s="2">
        <v>0</v>
      </c>
      <c r="J212" s="2">
        <v>0</v>
      </c>
      <c r="K212" s="2">
        <v>1995.1</v>
      </c>
      <c r="L212" s="2">
        <v>0</v>
      </c>
      <c r="M212" s="2">
        <v>61224.34</v>
      </c>
      <c r="N212">
        <v>0</v>
      </c>
      <c r="O212" s="3">
        <f t="shared" si="4"/>
        <v>961838.5199999999</v>
      </c>
    </row>
    <row r="213" spans="1:15" x14ac:dyDescent="0.2">
      <c r="A213" s="4">
        <v>719</v>
      </c>
      <c r="B213" s="4">
        <v>1</v>
      </c>
      <c r="C213" s="2" t="s">
        <v>1193</v>
      </c>
      <c r="D213" s="2">
        <v>1636780.13</v>
      </c>
      <c r="E213" s="2">
        <v>3354197.02</v>
      </c>
      <c r="F213" s="2">
        <v>893301.55</v>
      </c>
      <c r="G213" s="2">
        <v>0</v>
      </c>
      <c r="H213" s="2">
        <v>99287.99</v>
      </c>
      <c r="I213" s="2">
        <v>0</v>
      </c>
      <c r="J213" s="2">
        <v>0</v>
      </c>
      <c r="K213" s="2">
        <v>53256.65</v>
      </c>
      <c r="L213" s="2">
        <v>0</v>
      </c>
      <c r="M213" s="2">
        <v>284738.65000000002</v>
      </c>
      <c r="N213">
        <v>0</v>
      </c>
      <c r="O213" s="3">
        <f t="shared" si="4"/>
        <v>6321561.9900000012</v>
      </c>
    </row>
    <row r="214" spans="1:15" x14ac:dyDescent="0.2">
      <c r="A214" s="4">
        <v>720</v>
      </c>
      <c r="B214" s="4">
        <v>1</v>
      </c>
      <c r="C214" s="2" t="s">
        <v>213</v>
      </c>
      <c r="D214" s="2">
        <v>2138403.29</v>
      </c>
      <c r="E214" s="2">
        <v>1457602.32</v>
      </c>
      <c r="F214" s="2">
        <v>747920.6</v>
      </c>
      <c r="G214" s="2">
        <v>5134.3100000000004</v>
      </c>
      <c r="H214" s="2">
        <v>64677.47</v>
      </c>
      <c r="I214" s="2">
        <v>0</v>
      </c>
      <c r="J214" s="2">
        <v>0</v>
      </c>
      <c r="K214" s="2">
        <v>60790.45</v>
      </c>
      <c r="L214" s="2">
        <v>0</v>
      </c>
      <c r="M214" s="2">
        <v>245615.65</v>
      </c>
      <c r="N214">
        <v>0</v>
      </c>
      <c r="O214" s="3">
        <f t="shared" si="4"/>
        <v>4720144.09</v>
      </c>
    </row>
    <row r="215" spans="1:15" x14ac:dyDescent="0.2">
      <c r="A215" s="4">
        <v>721</v>
      </c>
      <c r="B215" s="4">
        <v>1</v>
      </c>
      <c r="C215" s="2" t="s">
        <v>214</v>
      </c>
      <c r="D215" s="2">
        <v>722064.65</v>
      </c>
      <c r="E215" s="2">
        <v>1330693.5900000001</v>
      </c>
      <c r="F215" s="2">
        <v>161681.19</v>
      </c>
      <c r="G215" s="2">
        <v>0</v>
      </c>
      <c r="H215" s="2">
        <v>65088.97</v>
      </c>
      <c r="I215" s="2">
        <v>0</v>
      </c>
      <c r="J215" s="2">
        <v>0</v>
      </c>
      <c r="K215" s="2">
        <v>-10999.71</v>
      </c>
      <c r="L215" s="2">
        <v>0</v>
      </c>
      <c r="M215" s="2">
        <v>106466.08</v>
      </c>
      <c r="N215">
        <v>0</v>
      </c>
      <c r="O215" s="3">
        <f t="shared" si="4"/>
        <v>2374994.7700000005</v>
      </c>
    </row>
    <row r="216" spans="1:15" x14ac:dyDescent="0.2">
      <c r="A216" s="4">
        <v>726</v>
      </c>
      <c r="B216" s="4">
        <v>1</v>
      </c>
      <c r="C216" s="2" t="s">
        <v>215</v>
      </c>
      <c r="D216" s="2">
        <v>783766.67</v>
      </c>
      <c r="E216" s="2">
        <v>264598.42</v>
      </c>
      <c r="F216" s="2">
        <v>783519.3</v>
      </c>
      <c r="G216" s="2">
        <v>0</v>
      </c>
      <c r="H216" s="2">
        <v>28861.35</v>
      </c>
      <c r="I216" s="2">
        <v>0</v>
      </c>
      <c r="J216" s="2">
        <v>0</v>
      </c>
      <c r="K216" s="2">
        <v>42068.85</v>
      </c>
      <c r="L216" s="2">
        <v>0</v>
      </c>
      <c r="M216" s="2">
        <v>99741.53</v>
      </c>
      <c r="N216">
        <v>0</v>
      </c>
      <c r="O216" s="3">
        <f t="shared" si="4"/>
        <v>2002556.1200000003</v>
      </c>
    </row>
    <row r="217" spans="1:15" x14ac:dyDescent="0.2">
      <c r="A217" s="4">
        <v>727</v>
      </c>
      <c r="B217" s="4">
        <v>1</v>
      </c>
      <c r="C217" s="2" t="s">
        <v>216</v>
      </c>
      <c r="D217" s="2">
        <v>544401.19999999995</v>
      </c>
      <c r="E217" s="2">
        <v>493272.73</v>
      </c>
      <c r="F217" s="2">
        <v>115044.4</v>
      </c>
      <c r="G217" s="2">
        <v>0</v>
      </c>
      <c r="H217" s="2">
        <v>34970.5</v>
      </c>
      <c r="I217" s="2">
        <v>0</v>
      </c>
      <c r="J217" s="2">
        <v>0</v>
      </c>
      <c r="K217" s="2">
        <v>14784.52</v>
      </c>
      <c r="L217" s="2">
        <v>0</v>
      </c>
      <c r="M217" s="2">
        <v>117395.96</v>
      </c>
      <c r="N217">
        <v>0</v>
      </c>
      <c r="O217" s="3">
        <f t="shared" si="4"/>
        <v>1319869.3099999998</v>
      </c>
    </row>
    <row r="218" spans="1:15" x14ac:dyDescent="0.2">
      <c r="A218" s="4">
        <v>728</v>
      </c>
      <c r="B218" s="4">
        <v>1</v>
      </c>
      <c r="C218" s="2" t="s">
        <v>217</v>
      </c>
      <c r="D218" s="2">
        <v>4822840.21</v>
      </c>
      <c r="E218" s="2">
        <v>2543416.0699999998</v>
      </c>
      <c r="F218" s="2">
        <v>1478546.91</v>
      </c>
      <c r="G218" s="2">
        <v>118407.02</v>
      </c>
      <c r="H218" s="2">
        <v>149843.24</v>
      </c>
      <c r="I218" s="2">
        <v>0</v>
      </c>
      <c r="J218" s="2">
        <v>0</v>
      </c>
      <c r="K218" s="2">
        <v>41604.959999999999</v>
      </c>
      <c r="L218" s="2">
        <v>0</v>
      </c>
      <c r="M218" s="2">
        <v>419742.25</v>
      </c>
      <c r="N218">
        <v>0</v>
      </c>
      <c r="O218" s="3">
        <f t="shared" si="4"/>
        <v>9574400.6600000001</v>
      </c>
    </row>
    <row r="219" spans="1:15" x14ac:dyDescent="0.2">
      <c r="A219" s="4">
        <v>738</v>
      </c>
      <c r="B219" s="4">
        <v>1</v>
      </c>
      <c r="C219" s="2" t="s">
        <v>218</v>
      </c>
      <c r="D219" s="2">
        <v>61191.97</v>
      </c>
      <c r="E219" s="2">
        <v>115960.21</v>
      </c>
      <c r="F219" s="2">
        <v>34772.33</v>
      </c>
      <c r="G219" s="2">
        <v>0</v>
      </c>
      <c r="H219" s="2">
        <v>22383.73</v>
      </c>
      <c r="I219" s="2">
        <v>0</v>
      </c>
      <c r="J219" s="2">
        <v>0</v>
      </c>
      <c r="K219" s="2">
        <v>2979.35</v>
      </c>
      <c r="L219" s="2">
        <v>0</v>
      </c>
      <c r="M219" s="2">
        <v>24523.86</v>
      </c>
      <c r="N219">
        <v>0</v>
      </c>
      <c r="O219" s="3">
        <f t="shared" si="4"/>
        <v>261811.45</v>
      </c>
    </row>
    <row r="220" spans="1:15" x14ac:dyDescent="0.2">
      <c r="A220" s="4">
        <v>739</v>
      </c>
      <c r="B220" s="4">
        <v>1</v>
      </c>
      <c r="C220" s="2" t="s">
        <v>219</v>
      </c>
      <c r="D220" s="2">
        <v>142575.32</v>
      </c>
      <c r="E220" s="2">
        <v>261985.81</v>
      </c>
      <c r="F220" s="2">
        <v>43638.03</v>
      </c>
      <c r="G220" s="2">
        <v>0</v>
      </c>
      <c r="H220" s="2">
        <v>15773.82</v>
      </c>
      <c r="I220" s="2">
        <v>0</v>
      </c>
      <c r="J220" s="2">
        <v>0</v>
      </c>
      <c r="K220" s="2">
        <v>11190.58</v>
      </c>
      <c r="L220" s="2">
        <v>0</v>
      </c>
      <c r="M220" s="2">
        <v>31576.48</v>
      </c>
      <c r="N220">
        <v>0</v>
      </c>
      <c r="O220" s="3">
        <f t="shared" si="4"/>
        <v>506740.04000000004</v>
      </c>
    </row>
    <row r="221" spans="1:15" x14ac:dyDescent="0.2">
      <c r="A221" s="4">
        <v>740</v>
      </c>
      <c r="B221" s="4">
        <v>1</v>
      </c>
      <c r="C221" s="2" t="s">
        <v>220</v>
      </c>
      <c r="D221" s="2">
        <v>258058.13</v>
      </c>
      <c r="E221" s="2">
        <v>298130.83</v>
      </c>
      <c r="F221" s="2">
        <v>52270.81</v>
      </c>
      <c r="G221" s="2">
        <v>0</v>
      </c>
      <c r="H221" s="2">
        <v>29132.12</v>
      </c>
      <c r="I221" s="2">
        <v>0</v>
      </c>
      <c r="J221" s="2">
        <v>0</v>
      </c>
      <c r="K221" s="2">
        <v>10574</v>
      </c>
      <c r="L221" s="2">
        <v>0</v>
      </c>
      <c r="M221" s="2">
        <v>47129.42</v>
      </c>
      <c r="N221">
        <v>0</v>
      </c>
      <c r="O221" s="3">
        <f t="shared" si="4"/>
        <v>695295.31</v>
      </c>
    </row>
    <row r="222" spans="1:15" x14ac:dyDescent="0.2">
      <c r="A222" s="4">
        <v>741</v>
      </c>
      <c r="B222" s="4">
        <v>1</v>
      </c>
      <c r="C222" s="2" t="s">
        <v>221</v>
      </c>
      <c r="D222" s="2">
        <v>282835.07</v>
      </c>
      <c r="E222" s="2">
        <v>258972.57</v>
      </c>
      <c r="F222" s="2">
        <v>50390.3</v>
      </c>
      <c r="G222" s="2">
        <v>14724.96</v>
      </c>
      <c r="H222" s="2">
        <v>23923.06</v>
      </c>
      <c r="I222" s="2">
        <v>0</v>
      </c>
      <c r="J222" s="2">
        <v>0</v>
      </c>
      <c r="K222" s="2">
        <v>17127.75</v>
      </c>
      <c r="L222" s="2">
        <v>0</v>
      </c>
      <c r="M222" s="2">
        <v>39129.9</v>
      </c>
      <c r="N222">
        <v>0</v>
      </c>
      <c r="O222" s="3">
        <f t="shared" si="4"/>
        <v>687103.6100000001</v>
      </c>
    </row>
    <row r="223" spans="1:15" x14ac:dyDescent="0.2">
      <c r="A223" s="4">
        <v>742</v>
      </c>
      <c r="B223" s="4">
        <v>1</v>
      </c>
      <c r="C223" s="2" t="s">
        <v>222</v>
      </c>
      <c r="D223" s="2">
        <v>4455428.09</v>
      </c>
      <c r="E223" s="2">
        <v>2237003.9700000002</v>
      </c>
      <c r="F223" s="2">
        <v>1164341.68</v>
      </c>
      <c r="G223" s="2">
        <v>0</v>
      </c>
      <c r="H223" s="2">
        <v>188707.88</v>
      </c>
      <c r="I223" s="2">
        <v>288.60000000000002</v>
      </c>
      <c r="J223" s="2">
        <v>0</v>
      </c>
      <c r="K223" s="2">
        <v>168662.3</v>
      </c>
      <c r="L223" s="2">
        <v>0</v>
      </c>
      <c r="M223" s="2">
        <v>611738.11</v>
      </c>
      <c r="N223">
        <v>0</v>
      </c>
      <c r="O223" s="3">
        <f t="shared" si="4"/>
        <v>8826170.629999999</v>
      </c>
    </row>
    <row r="224" spans="1:15" x14ac:dyDescent="0.2">
      <c r="A224" s="4">
        <v>743</v>
      </c>
      <c r="B224" s="4">
        <v>1</v>
      </c>
      <c r="C224" s="2" t="s">
        <v>223</v>
      </c>
      <c r="D224" s="2">
        <v>78541.11</v>
      </c>
      <c r="E224" s="2">
        <v>530397.63</v>
      </c>
      <c r="F224" s="2">
        <v>35407.78</v>
      </c>
      <c r="G224" s="2">
        <v>0</v>
      </c>
      <c r="H224" s="2">
        <v>28443.45</v>
      </c>
      <c r="I224" s="2">
        <v>0</v>
      </c>
      <c r="J224" s="2">
        <v>0</v>
      </c>
      <c r="K224" s="2">
        <v>-3295.7</v>
      </c>
      <c r="L224" s="2">
        <v>0</v>
      </c>
      <c r="M224" s="2">
        <v>44384.3</v>
      </c>
      <c r="N224">
        <v>0</v>
      </c>
      <c r="O224" s="3">
        <f t="shared" si="4"/>
        <v>713878.57000000007</v>
      </c>
    </row>
    <row r="225" spans="1:15" x14ac:dyDescent="0.2">
      <c r="A225" s="4">
        <v>745</v>
      </c>
      <c r="B225" s="4">
        <v>1</v>
      </c>
      <c r="C225" s="2" t="s">
        <v>224</v>
      </c>
      <c r="D225" s="2">
        <v>232647.25</v>
      </c>
      <c r="E225" s="2">
        <v>191950.49</v>
      </c>
      <c r="F225" s="2">
        <v>60324.53</v>
      </c>
      <c r="G225" s="2">
        <v>0</v>
      </c>
      <c r="H225" s="2">
        <v>35493.51</v>
      </c>
      <c r="I225" s="2">
        <v>0</v>
      </c>
      <c r="J225" s="2">
        <v>0</v>
      </c>
      <c r="K225" s="2">
        <v>4093.77</v>
      </c>
      <c r="L225" s="2">
        <v>0</v>
      </c>
      <c r="M225" s="2">
        <v>55191.69</v>
      </c>
      <c r="N225">
        <v>0</v>
      </c>
      <c r="O225" s="3">
        <f t="shared" si="4"/>
        <v>579701.24</v>
      </c>
    </row>
    <row r="226" spans="1:15" x14ac:dyDescent="0.2">
      <c r="A226" s="4">
        <v>748</v>
      </c>
      <c r="B226" s="4">
        <v>1</v>
      </c>
      <c r="C226" s="2" t="s">
        <v>1194</v>
      </c>
      <c r="D226" s="2">
        <v>484122.76</v>
      </c>
      <c r="E226" s="2">
        <v>823717.35</v>
      </c>
      <c r="F226" s="2">
        <v>92655.9</v>
      </c>
      <c r="G226" s="2">
        <v>0</v>
      </c>
      <c r="H226" s="2">
        <v>56430.49</v>
      </c>
      <c r="I226" s="2">
        <v>0</v>
      </c>
      <c r="J226" s="2">
        <v>0</v>
      </c>
      <c r="K226" s="2">
        <v>-4512.68</v>
      </c>
      <c r="L226" s="2">
        <v>0</v>
      </c>
      <c r="M226" s="2">
        <v>92948.47</v>
      </c>
      <c r="N226">
        <v>0</v>
      </c>
      <c r="O226" s="3">
        <f t="shared" si="4"/>
        <v>1545362.2899999998</v>
      </c>
    </row>
    <row r="227" spans="1:15" x14ac:dyDescent="0.2">
      <c r="A227" s="4">
        <v>750</v>
      </c>
      <c r="B227" s="4">
        <v>1</v>
      </c>
      <c r="C227" s="2" t="s">
        <v>226</v>
      </c>
      <c r="D227" s="2">
        <v>509792.63</v>
      </c>
      <c r="E227" s="2">
        <v>275704.06</v>
      </c>
      <c r="F227" s="2">
        <v>110156.45</v>
      </c>
      <c r="G227" s="2">
        <v>0</v>
      </c>
      <c r="H227" s="2">
        <v>20473.490000000002</v>
      </c>
      <c r="I227" s="2">
        <v>0</v>
      </c>
      <c r="J227" s="2">
        <v>0</v>
      </c>
      <c r="K227" s="2">
        <v>38538.51</v>
      </c>
      <c r="L227" s="2">
        <v>0</v>
      </c>
      <c r="M227" s="2">
        <v>66307.44</v>
      </c>
      <c r="N227">
        <v>0</v>
      </c>
      <c r="O227" s="3">
        <f t="shared" si="4"/>
        <v>1020972.5799999998</v>
      </c>
    </row>
    <row r="228" spans="1:15" x14ac:dyDescent="0.2">
      <c r="A228" s="4">
        <v>756</v>
      </c>
      <c r="B228" s="4">
        <v>1</v>
      </c>
      <c r="C228" s="2" t="s">
        <v>227</v>
      </c>
      <c r="D228" s="2">
        <v>139436.95000000001</v>
      </c>
      <c r="E228" s="2">
        <v>117397.53</v>
      </c>
      <c r="F228" s="2">
        <v>49372.4</v>
      </c>
      <c r="G228" s="2">
        <v>0</v>
      </c>
      <c r="H228" s="2">
        <v>15329.15</v>
      </c>
      <c r="I228" s="2">
        <v>0</v>
      </c>
      <c r="J228" s="2">
        <v>0</v>
      </c>
      <c r="K228" s="2">
        <v>8019.55</v>
      </c>
      <c r="L228" s="2">
        <v>0</v>
      </c>
      <c r="M228" s="2">
        <v>22790.48</v>
      </c>
      <c r="N228">
        <v>0</v>
      </c>
      <c r="O228" s="3">
        <f t="shared" si="4"/>
        <v>352346.06</v>
      </c>
    </row>
    <row r="229" spans="1:15" x14ac:dyDescent="0.2">
      <c r="A229" s="4">
        <v>761</v>
      </c>
      <c r="B229" s="4">
        <v>1</v>
      </c>
      <c r="C229" s="2" t="s">
        <v>228</v>
      </c>
      <c r="D229" s="2">
        <v>1174813.07</v>
      </c>
      <c r="E229" s="2">
        <v>975501.74</v>
      </c>
      <c r="F229" s="2">
        <v>339315.37</v>
      </c>
      <c r="G229" s="2">
        <v>0</v>
      </c>
      <c r="H229" s="2">
        <v>98750.12</v>
      </c>
      <c r="I229" s="2">
        <v>0</v>
      </c>
      <c r="J229" s="2">
        <v>0</v>
      </c>
      <c r="K229" s="2">
        <v>91159.039999999994</v>
      </c>
      <c r="L229" s="2">
        <v>0</v>
      </c>
      <c r="M229" s="2">
        <v>154826.96</v>
      </c>
      <c r="N229">
        <v>0</v>
      </c>
      <c r="O229" s="3">
        <f t="shared" si="4"/>
        <v>2834366.3000000003</v>
      </c>
    </row>
    <row r="230" spans="1:15" x14ac:dyDescent="0.2">
      <c r="A230" s="4">
        <v>763</v>
      </c>
      <c r="B230" s="4">
        <v>1</v>
      </c>
      <c r="C230" s="2" t="s">
        <v>229</v>
      </c>
      <c r="D230" s="2">
        <v>98751.66</v>
      </c>
      <c r="E230" s="2">
        <v>0</v>
      </c>
      <c r="F230" s="2">
        <v>82496.66</v>
      </c>
      <c r="G230" s="2">
        <v>2287.08</v>
      </c>
      <c r="H230" s="2">
        <v>10003.75</v>
      </c>
      <c r="I230" s="2">
        <v>0</v>
      </c>
      <c r="J230" s="2">
        <v>0</v>
      </c>
      <c r="K230" s="2">
        <v>13482.45</v>
      </c>
      <c r="L230" s="2">
        <v>0</v>
      </c>
      <c r="M230" s="2">
        <v>17842.03</v>
      </c>
      <c r="N230">
        <v>0</v>
      </c>
      <c r="O230" s="3">
        <f t="shared" si="4"/>
        <v>224863.63</v>
      </c>
    </row>
    <row r="231" spans="1:15" x14ac:dyDescent="0.2">
      <c r="A231" s="4">
        <v>768</v>
      </c>
      <c r="B231" s="4">
        <v>1</v>
      </c>
      <c r="C231" s="2" t="s">
        <v>230</v>
      </c>
      <c r="D231" s="2">
        <v>39830.269999999997</v>
      </c>
      <c r="E231" s="2">
        <v>57700.34</v>
      </c>
      <c r="F231" s="2">
        <v>16918.64</v>
      </c>
      <c r="G231" s="2">
        <v>0</v>
      </c>
      <c r="H231" s="2">
        <v>10003.75</v>
      </c>
      <c r="I231" s="2">
        <v>0</v>
      </c>
      <c r="J231" s="2">
        <v>0</v>
      </c>
      <c r="K231" s="2">
        <v>763.25</v>
      </c>
      <c r="L231" s="2">
        <v>0</v>
      </c>
      <c r="M231" s="2">
        <v>7666.06</v>
      </c>
      <c r="N231">
        <v>0</v>
      </c>
      <c r="O231" s="3">
        <f t="shared" si="4"/>
        <v>132882.31</v>
      </c>
    </row>
    <row r="232" spans="1:15" x14ac:dyDescent="0.2">
      <c r="A232" s="4">
        <v>771</v>
      </c>
      <c r="B232" s="4">
        <v>1</v>
      </c>
      <c r="C232" s="2" t="s">
        <v>232</v>
      </c>
      <c r="D232" s="2">
        <v>32811.24</v>
      </c>
      <c r="E232" s="2">
        <v>107840.82</v>
      </c>
      <c r="F232" s="2">
        <v>91489.25</v>
      </c>
      <c r="G232" s="2">
        <v>0</v>
      </c>
      <c r="H232" s="2">
        <v>10003.75</v>
      </c>
      <c r="I232" s="2">
        <v>0</v>
      </c>
      <c r="J232" s="2">
        <v>0</v>
      </c>
      <c r="K232" s="2">
        <v>-1068.8</v>
      </c>
      <c r="L232" s="2">
        <v>0</v>
      </c>
      <c r="M232" s="2">
        <v>12041.86</v>
      </c>
      <c r="N232">
        <v>0</v>
      </c>
      <c r="O232" s="3">
        <f t="shared" si="4"/>
        <v>253118.12</v>
      </c>
    </row>
    <row r="233" spans="1:15" x14ac:dyDescent="0.2">
      <c r="A233" s="4">
        <v>775</v>
      </c>
      <c r="B233" s="4">
        <v>1</v>
      </c>
      <c r="C233" s="2" t="s">
        <v>1195</v>
      </c>
      <c r="D233" s="2">
        <v>118588.93</v>
      </c>
      <c r="E233" s="2">
        <v>42668.68</v>
      </c>
      <c r="F233" s="2">
        <v>70853.63</v>
      </c>
      <c r="G233" s="2">
        <v>2763.8</v>
      </c>
      <c r="H233" s="2">
        <v>12557.41</v>
      </c>
      <c r="I233" s="2">
        <v>52202.7</v>
      </c>
      <c r="J233" s="2">
        <v>0</v>
      </c>
      <c r="K233" s="2">
        <v>7520.95</v>
      </c>
      <c r="L233" s="2">
        <v>0</v>
      </c>
      <c r="M233" s="2">
        <v>22400.23</v>
      </c>
      <c r="N233">
        <v>0</v>
      </c>
      <c r="O233" s="3">
        <f t="shared" si="4"/>
        <v>329556.32999999996</v>
      </c>
    </row>
    <row r="234" spans="1:15" x14ac:dyDescent="0.2">
      <c r="A234" s="4">
        <v>777</v>
      </c>
      <c r="B234" s="4">
        <v>1</v>
      </c>
      <c r="C234" s="2" t="s">
        <v>234</v>
      </c>
      <c r="D234" s="2">
        <v>201127.85</v>
      </c>
      <c r="E234" s="2">
        <v>149253.82999999999</v>
      </c>
      <c r="F234" s="2">
        <v>57663.73</v>
      </c>
      <c r="G234" s="2">
        <v>0</v>
      </c>
      <c r="H234" s="2">
        <v>28011.53</v>
      </c>
      <c r="I234" s="2">
        <v>0</v>
      </c>
      <c r="J234" s="2">
        <v>0</v>
      </c>
      <c r="K234" s="2">
        <v>5304.23</v>
      </c>
      <c r="L234" s="2">
        <v>0</v>
      </c>
      <c r="M234" s="2">
        <v>30735.13</v>
      </c>
      <c r="N234">
        <v>0</v>
      </c>
      <c r="O234" s="3">
        <f t="shared" si="4"/>
        <v>472096.29999999993</v>
      </c>
    </row>
    <row r="235" spans="1:15" x14ac:dyDescent="0.2">
      <c r="A235" s="4">
        <v>786</v>
      </c>
      <c r="B235" s="4">
        <v>1</v>
      </c>
      <c r="C235" s="2" t="s">
        <v>235</v>
      </c>
      <c r="D235" s="2">
        <v>52110.49</v>
      </c>
      <c r="E235" s="2">
        <v>47380.65</v>
      </c>
      <c r="F235" s="2">
        <v>9085.75</v>
      </c>
      <c r="G235" s="2">
        <v>0</v>
      </c>
      <c r="H235" s="2">
        <v>10004.129999999999</v>
      </c>
      <c r="I235" s="2">
        <v>0</v>
      </c>
      <c r="J235" s="2">
        <v>0</v>
      </c>
      <c r="K235" s="2">
        <v>5704.64</v>
      </c>
      <c r="L235" s="2">
        <v>0</v>
      </c>
      <c r="M235" s="2">
        <v>9465.82</v>
      </c>
      <c r="N235">
        <v>0</v>
      </c>
      <c r="O235" s="3">
        <f t="shared" si="4"/>
        <v>133751.48000000001</v>
      </c>
    </row>
    <row r="236" spans="1:15" x14ac:dyDescent="0.2">
      <c r="A236" s="4">
        <v>787</v>
      </c>
      <c r="B236" s="4">
        <v>1</v>
      </c>
      <c r="C236" s="2" t="s">
        <v>236</v>
      </c>
      <c r="D236" s="2">
        <v>49862.41</v>
      </c>
      <c r="E236" s="2">
        <v>0</v>
      </c>
      <c r="F236" s="2">
        <v>16243.15</v>
      </c>
      <c r="G236" s="2">
        <v>0</v>
      </c>
      <c r="H236" s="2">
        <v>21571.45</v>
      </c>
      <c r="I236" s="2">
        <v>0</v>
      </c>
      <c r="J236" s="2">
        <v>0</v>
      </c>
      <c r="K236" s="2">
        <v>0</v>
      </c>
      <c r="L236" s="2">
        <v>0</v>
      </c>
      <c r="M236" s="2">
        <v>8156.05</v>
      </c>
      <c r="N236">
        <v>0</v>
      </c>
      <c r="O236" s="3">
        <f t="shared" si="4"/>
        <v>95833.06</v>
      </c>
    </row>
    <row r="237" spans="1:15" x14ac:dyDescent="0.2">
      <c r="A237" s="4">
        <v>801</v>
      </c>
      <c r="B237" s="4">
        <v>1</v>
      </c>
      <c r="C237" s="2" t="s">
        <v>237</v>
      </c>
      <c r="D237" s="2">
        <v>18943.86</v>
      </c>
      <c r="E237" s="2">
        <v>0</v>
      </c>
      <c r="F237" s="2">
        <v>38455.82</v>
      </c>
      <c r="G237" s="2">
        <v>1041.8699999999999</v>
      </c>
      <c r="H237" s="2">
        <v>0</v>
      </c>
      <c r="I237" s="2">
        <v>0</v>
      </c>
      <c r="J237" s="2">
        <v>-196.33</v>
      </c>
      <c r="K237" s="2">
        <v>196.33</v>
      </c>
      <c r="L237" s="2">
        <v>0</v>
      </c>
      <c r="M237" s="2">
        <v>6561.97</v>
      </c>
      <c r="N237">
        <v>0</v>
      </c>
      <c r="O237" s="3">
        <f t="shared" si="4"/>
        <v>65003.520000000004</v>
      </c>
    </row>
    <row r="238" spans="1:15" x14ac:dyDescent="0.2">
      <c r="A238" s="4">
        <v>803</v>
      </c>
      <c r="B238" s="4">
        <v>1</v>
      </c>
      <c r="C238" s="2" t="s">
        <v>238</v>
      </c>
      <c r="D238" s="2">
        <v>87352.67</v>
      </c>
      <c r="E238" s="2">
        <v>113450.7</v>
      </c>
      <c r="F238" s="2">
        <v>87665.33</v>
      </c>
      <c r="G238" s="2">
        <v>0</v>
      </c>
      <c r="H238" s="2">
        <v>10003.75</v>
      </c>
      <c r="I238" s="2">
        <v>0</v>
      </c>
      <c r="J238" s="2">
        <v>0</v>
      </c>
      <c r="K238" s="2">
        <v>-1832.76</v>
      </c>
      <c r="L238" s="2">
        <v>0</v>
      </c>
      <c r="M238" s="2">
        <v>14512.45</v>
      </c>
      <c r="N238">
        <v>0</v>
      </c>
      <c r="O238" s="3">
        <f t="shared" si="4"/>
        <v>311152.14</v>
      </c>
    </row>
    <row r="239" spans="1:15" x14ac:dyDescent="0.2">
      <c r="A239" s="4">
        <v>811</v>
      </c>
      <c r="B239" s="4">
        <v>1</v>
      </c>
      <c r="C239" s="2" t="s">
        <v>239</v>
      </c>
      <c r="D239" s="2">
        <v>82545.710000000006</v>
      </c>
      <c r="E239" s="2">
        <v>273752.74</v>
      </c>
      <c r="F239" s="2">
        <v>59013.4</v>
      </c>
      <c r="G239" s="2">
        <v>0</v>
      </c>
      <c r="H239" s="2">
        <v>16932.22</v>
      </c>
      <c r="I239" s="2">
        <v>0</v>
      </c>
      <c r="J239" s="2">
        <v>0</v>
      </c>
      <c r="K239" s="2">
        <v>2527.64</v>
      </c>
      <c r="L239" s="2">
        <v>0</v>
      </c>
      <c r="M239" s="2">
        <v>34670.269999999997</v>
      </c>
      <c r="N239">
        <v>0</v>
      </c>
      <c r="O239" s="3">
        <f t="shared" si="4"/>
        <v>469441.9800000001</v>
      </c>
    </row>
    <row r="240" spans="1:15" x14ac:dyDescent="0.2">
      <c r="A240" s="4">
        <v>813</v>
      </c>
      <c r="B240" s="4">
        <v>1</v>
      </c>
      <c r="C240" s="2" t="s">
        <v>240</v>
      </c>
      <c r="D240" s="2">
        <v>174591.87</v>
      </c>
      <c r="E240" s="2">
        <v>583230.62</v>
      </c>
      <c r="F240" s="2">
        <v>0</v>
      </c>
      <c r="G240" s="2">
        <v>0</v>
      </c>
      <c r="H240" s="2">
        <v>25939.65</v>
      </c>
      <c r="I240" s="2">
        <v>0</v>
      </c>
      <c r="J240" s="2">
        <v>0</v>
      </c>
      <c r="K240" s="2">
        <v>3259.82</v>
      </c>
      <c r="L240" s="2">
        <v>0</v>
      </c>
      <c r="M240" s="2">
        <v>73351.009999999995</v>
      </c>
      <c r="N240">
        <v>0</v>
      </c>
      <c r="O240" s="3">
        <f t="shared" si="4"/>
        <v>860372.97</v>
      </c>
    </row>
    <row r="241" spans="1:15" x14ac:dyDescent="0.2">
      <c r="A241" s="4">
        <v>815</v>
      </c>
      <c r="B241" s="4">
        <v>2</v>
      </c>
      <c r="C241" s="2" t="s">
        <v>241</v>
      </c>
      <c r="D241" s="2">
        <v>1350.73</v>
      </c>
      <c r="E241" s="2">
        <v>0</v>
      </c>
      <c r="F241" s="2">
        <v>0</v>
      </c>
      <c r="G241" s="2">
        <v>0</v>
      </c>
      <c r="H241" s="2">
        <v>0</v>
      </c>
      <c r="I241" s="2">
        <v>0</v>
      </c>
      <c r="J241" s="2">
        <v>0</v>
      </c>
      <c r="K241" s="2">
        <v>0</v>
      </c>
      <c r="L241" s="2">
        <v>0</v>
      </c>
      <c r="M241" s="2">
        <v>3516.55</v>
      </c>
      <c r="N241">
        <v>0</v>
      </c>
      <c r="O241" s="3">
        <f t="shared" si="4"/>
        <v>4867.2800000000007</v>
      </c>
    </row>
    <row r="242" spans="1:15" x14ac:dyDescent="0.2">
      <c r="A242" s="4">
        <v>818</v>
      </c>
      <c r="B242" s="4">
        <v>1</v>
      </c>
      <c r="C242" s="2" t="s">
        <v>242</v>
      </c>
      <c r="D242" s="2">
        <v>57527.11</v>
      </c>
      <c r="E242" s="2">
        <v>0</v>
      </c>
      <c r="F242" s="2">
        <v>10032.65</v>
      </c>
      <c r="G242" s="2">
        <v>0</v>
      </c>
      <c r="H242" s="2">
        <v>10003.75</v>
      </c>
      <c r="I242" s="2">
        <v>0</v>
      </c>
      <c r="J242" s="2">
        <v>0</v>
      </c>
      <c r="K242" s="2">
        <v>2683.72</v>
      </c>
      <c r="L242" s="2">
        <v>0</v>
      </c>
      <c r="M242" s="2">
        <v>8348.99</v>
      </c>
      <c r="N242">
        <v>0</v>
      </c>
      <c r="O242" s="3">
        <f t="shared" si="4"/>
        <v>88596.22</v>
      </c>
    </row>
    <row r="243" spans="1:15" x14ac:dyDescent="0.2">
      <c r="A243" s="4">
        <v>820</v>
      </c>
      <c r="B243" s="4">
        <v>1</v>
      </c>
      <c r="C243" s="2" t="s">
        <v>243</v>
      </c>
      <c r="D243" s="2">
        <v>73864.53</v>
      </c>
      <c r="E243" s="2">
        <v>82965.33</v>
      </c>
      <c r="F243" s="2">
        <v>16184.54</v>
      </c>
      <c r="G243" s="2">
        <v>0</v>
      </c>
      <c r="H243" s="2">
        <v>20998.74</v>
      </c>
      <c r="I243" s="2">
        <v>0</v>
      </c>
      <c r="J243" s="2">
        <v>-11600</v>
      </c>
      <c r="K243" s="2">
        <v>5508.4</v>
      </c>
      <c r="L243" s="2">
        <v>0</v>
      </c>
      <c r="M243" s="2">
        <v>15467.45</v>
      </c>
      <c r="N243">
        <v>0</v>
      </c>
      <c r="O243" s="3">
        <f t="shared" si="4"/>
        <v>203388.99</v>
      </c>
    </row>
    <row r="244" spans="1:15" x14ac:dyDescent="0.2">
      <c r="A244" s="4">
        <v>821</v>
      </c>
      <c r="B244" s="4">
        <v>1</v>
      </c>
      <c r="C244" s="2" t="s">
        <v>244</v>
      </c>
      <c r="D244" s="2">
        <v>161580.82</v>
      </c>
      <c r="E244" s="2">
        <v>0</v>
      </c>
      <c r="F244" s="2">
        <v>0</v>
      </c>
      <c r="G244" s="2">
        <v>0</v>
      </c>
      <c r="H244" s="2">
        <v>14364.28</v>
      </c>
      <c r="I244" s="2">
        <v>0</v>
      </c>
      <c r="J244" s="2">
        <v>0</v>
      </c>
      <c r="K244" s="2">
        <v>12309.89</v>
      </c>
      <c r="L244" s="2">
        <v>0</v>
      </c>
      <c r="M244" s="2">
        <v>21021.439999999999</v>
      </c>
      <c r="N244">
        <v>0</v>
      </c>
      <c r="O244" s="3">
        <f t="shared" si="4"/>
        <v>209276.43</v>
      </c>
    </row>
    <row r="245" spans="1:15" x14ac:dyDescent="0.2">
      <c r="A245" s="4">
        <v>829</v>
      </c>
      <c r="B245" s="4">
        <v>1</v>
      </c>
      <c r="C245" s="2" t="s">
        <v>245</v>
      </c>
      <c r="D245" s="2">
        <v>340907.1</v>
      </c>
      <c r="E245" s="2">
        <v>388722.41</v>
      </c>
      <c r="F245" s="2">
        <v>96765.35</v>
      </c>
      <c r="G245" s="2">
        <v>0</v>
      </c>
      <c r="H245" s="2">
        <v>41216.67</v>
      </c>
      <c r="I245" s="2">
        <v>0</v>
      </c>
      <c r="J245" s="2">
        <v>0</v>
      </c>
      <c r="K245" s="2">
        <v>52281.4</v>
      </c>
      <c r="L245" s="2">
        <v>0</v>
      </c>
      <c r="M245" s="2">
        <v>79722.95</v>
      </c>
      <c r="N245">
        <v>0</v>
      </c>
      <c r="O245" s="3">
        <f t="shared" si="4"/>
        <v>999615.88</v>
      </c>
    </row>
    <row r="246" spans="1:15" x14ac:dyDescent="0.2">
      <c r="A246" s="4">
        <v>831</v>
      </c>
      <c r="B246" s="4">
        <v>1</v>
      </c>
      <c r="C246" s="2" t="s">
        <v>246</v>
      </c>
      <c r="D246" s="2">
        <v>2340685.06</v>
      </c>
      <c r="E246" s="2">
        <v>2697948.73</v>
      </c>
      <c r="F246" s="2">
        <v>393408.33</v>
      </c>
      <c r="G246" s="2">
        <v>0</v>
      </c>
      <c r="H246" s="2">
        <v>137952.57999999999</v>
      </c>
      <c r="I246" s="2">
        <v>0</v>
      </c>
      <c r="J246" s="2">
        <v>0</v>
      </c>
      <c r="K246" s="2">
        <v>70645.02</v>
      </c>
      <c r="L246" s="2">
        <v>0</v>
      </c>
      <c r="M246" s="2">
        <v>429342.12</v>
      </c>
      <c r="N246">
        <v>0</v>
      </c>
      <c r="O246" s="3">
        <f t="shared" si="4"/>
        <v>6069981.8399999999</v>
      </c>
    </row>
    <row r="247" spans="1:15" x14ac:dyDescent="0.2">
      <c r="A247" s="4">
        <v>832</v>
      </c>
      <c r="B247" s="4">
        <v>1</v>
      </c>
      <c r="C247" s="2" t="s">
        <v>247</v>
      </c>
      <c r="D247" s="2">
        <v>1281008.3400000001</v>
      </c>
      <c r="E247" s="2">
        <v>784214.16</v>
      </c>
      <c r="F247" s="2">
        <v>632970.1</v>
      </c>
      <c r="G247" s="2">
        <v>20881.96</v>
      </c>
      <c r="H247" s="2">
        <v>54751.65</v>
      </c>
      <c r="I247" s="2">
        <v>0</v>
      </c>
      <c r="J247" s="2">
        <v>0</v>
      </c>
      <c r="K247" s="2">
        <v>23067.77</v>
      </c>
      <c r="L247" s="2">
        <v>0</v>
      </c>
      <c r="M247" s="2">
        <v>134250.21</v>
      </c>
      <c r="N247">
        <v>0</v>
      </c>
      <c r="O247" s="3">
        <f t="shared" si="4"/>
        <v>2931144.19</v>
      </c>
    </row>
    <row r="248" spans="1:15" x14ac:dyDescent="0.2">
      <c r="A248" s="4">
        <v>833</v>
      </c>
      <c r="B248" s="4">
        <v>1</v>
      </c>
      <c r="C248" s="2" t="s">
        <v>248</v>
      </c>
      <c r="D248" s="2">
        <v>4922503.0199999996</v>
      </c>
      <c r="E248" s="2">
        <v>5449523.9800000004</v>
      </c>
      <c r="F248" s="2">
        <v>2822207.2</v>
      </c>
      <c r="G248" s="2">
        <v>55969.13</v>
      </c>
      <c r="H248" s="2">
        <v>294878.14</v>
      </c>
      <c r="I248" s="2">
        <v>0</v>
      </c>
      <c r="J248" s="2">
        <v>0</v>
      </c>
      <c r="K248" s="2">
        <v>207006.69</v>
      </c>
      <c r="L248" s="2">
        <v>0</v>
      </c>
      <c r="M248" s="2">
        <v>644245.49</v>
      </c>
      <c r="N248">
        <v>0</v>
      </c>
      <c r="O248" s="3">
        <f t="shared" si="4"/>
        <v>14396333.65</v>
      </c>
    </row>
    <row r="249" spans="1:15" x14ac:dyDescent="0.2">
      <c r="A249" s="4">
        <v>834</v>
      </c>
      <c r="B249" s="4">
        <v>1</v>
      </c>
      <c r="C249" s="2" t="s">
        <v>249</v>
      </c>
      <c r="D249" s="2">
        <v>3470990.48</v>
      </c>
      <c r="E249" s="2">
        <v>3922233.53</v>
      </c>
      <c r="F249" s="2">
        <v>1639817.77</v>
      </c>
      <c r="G249" s="2">
        <v>207626.7</v>
      </c>
      <c r="H249" s="2">
        <v>154833.32</v>
      </c>
      <c r="I249" s="2">
        <v>0</v>
      </c>
      <c r="J249" s="2">
        <v>0</v>
      </c>
      <c r="K249" s="2">
        <v>16982.259999999998</v>
      </c>
      <c r="L249" s="2">
        <v>0</v>
      </c>
      <c r="M249" s="2">
        <v>425955.19</v>
      </c>
      <c r="N249">
        <v>0</v>
      </c>
      <c r="O249" s="3">
        <f t="shared" si="4"/>
        <v>9838439.2499999981</v>
      </c>
    </row>
    <row r="250" spans="1:15" x14ac:dyDescent="0.2">
      <c r="A250" s="4">
        <v>836</v>
      </c>
      <c r="B250" s="4">
        <v>1</v>
      </c>
      <c r="C250" s="2" t="s">
        <v>250</v>
      </c>
      <c r="D250" s="2">
        <v>90034.59</v>
      </c>
      <c r="E250" s="2">
        <v>0</v>
      </c>
      <c r="F250" s="2">
        <v>69875.679999999993</v>
      </c>
      <c r="G250" s="2">
        <v>0</v>
      </c>
      <c r="H250" s="2">
        <v>-431.11</v>
      </c>
      <c r="I250" s="2">
        <v>0</v>
      </c>
      <c r="J250" s="2">
        <v>0</v>
      </c>
      <c r="K250" s="2">
        <v>3648.31</v>
      </c>
      <c r="L250" s="2">
        <v>0</v>
      </c>
      <c r="M250" s="2">
        <v>14841.06</v>
      </c>
      <c r="N250">
        <v>0</v>
      </c>
      <c r="O250" s="3">
        <f t="shared" si="4"/>
        <v>177968.53</v>
      </c>
    </row>
    <row r="251" spans="1:15" x14ac:dyDescent="0.2">
      <c r="A251" s="4">
        <v>837</v>
      </c>
      <c r="B251" s="4">
        <v>1</v>
      </c>
      <c r="C251" s="2" t="s">
        <v>251</v>
      </c>
      <c r="D251" s="2">
        <v>123745.18</v>
      </c>
      <c r="E251" s="2">
        <v>160209.5</v>
      </c>
      <c r="F251" s="2">
        <v>78714.820000000007</v>
      </c>
      <c r="G251" s="2">
        <v>8589.65</v>
      </c>
      <c r="H251" s="2">
        <v>13240.67</v>
      </c>
      <c r="I251" s="2">
        <v>0</v>
      </c>
      <c r="J251" s="2">
        <v>0</v>
      </c>
      <c r="K251" s="2">
        <v>11715.31</v>
      </c>
      <c r="L251" s="2">
        <v>0</v>
      </c>
      <c r="M251" s="2">
        <v>23512.48</v>
      </c>
      <c r="N251">
        <v>0</v>
      </c>
      <c r="O251" s="3">
        <f t="shared" si="4"/>
        <v>419727.61</v>
      </c>
    </row>
    <row r="252" spans="1:15" x14ac:dyDescent="0.2">
      <c r="A252" s="4">
        <v>840</v>
      </c>
      <c r="B252" s="4">
        <v>1</v>
      </c>
      <c r="C252" s="2" t="s">
        <v>252</v>
      </c>
      <c r="D252" s="2">
        <v>319471.74</v>
      </c>
      <c r="E252" s="2">
        <v>196852.42</v>
      </c>
      <c r="F252" s="2">
        <v>66890.06</v>
      </c>
      <c r="G252" s="2">
        <v>0</v>
      </c>
      <c r="H252" s="2">
        <v>23356.17</v>
      </c>
      <c r="I252" s="2">
        <v>0</v>
      </c>
      <c r="J252" s="2">
        <v>0</v>
      </c>
      <c r="K252" s="2">
        <v>31916.58</v>
      </c>
      <c r="L252" s="2">
        <v>0</v>
      </c>
      <c r="M252" s="2">
        <v>57274.61</v>
      </c>
      <c r="N252">
        <v>0</v>
      </c>
      <c r="O252" s="3">
        <f t="shared" si="4"/>
        <v>695761.58</v>
      </c>
    </row>
    <row r="253" spans="1:15" x14ac:dyDescent="0.2">
      <c r="A253" s="4">
        <v>846</v>
      </c>
      <c r="B253" s="4">
        <v>1</v>
      </c>
      <c r="C253" s="2" t="s">
        <v>253</v>
      </c>
      <c r="D253" s="2">
        <v>161787.88</v>
      </c>
      <c r="E253" s="2">
        <v>128394.36</v>
      </c>
      <c r="F253" s="2">
        <v>18639.04</v>
      </c>
      <c r="G253" s="2">
        <v>0</v>
      </c>
      <c r="H253" s="2">
        <v>7369.02</v>
      </c>
      <c r="I253" s="2">
        <v>0</v>
      </c>
      <c r="J253" s="2">
        <v>0</v>
      </c>
      <c r="K253" s="2">
        <v>13023.81</v>
      </c>
      <c r="L253" s="2">
        <v>0</v>
      </c>
      <c r="M253" s="2">
        <v>39439.68</v>
      </c>
      <c r="N253">
        <v>0</v>
      </c>
      <c r="O253" s="3">
        <f t="shared" si="4"/>
        <v>368653.79</v>
      </c>
    </row>
    <row r="254" spans="1:15" x14ac:dyDescent="0.2">
      <c r="A254" s="4">
        <v>850</v>
      </c>
      <c r="B254" s="4">
        <v>1</v>
      </c>
      <c r="C254" s="2" t="s">
        <v>254</v>
      </c>
      <c r="D254" s="2">
        <v>98355.97</v>
      </c>
      <c r="E254" s="2">
        <v>109165.02</v>
      </c>
      <c r="F254" s="2">
        <v>70534.77</v>
      </c>
      <c r="G254" s="2">
        <v>0</v>
      </c>
      <c r="H254" s="2">
        <v>10003.75</v>
      </c>
      <c r="I254" s="2">
        <v>0</v>
      </c>
      <c r="J254" s="2">
        <v>0</v>
      </c>
      <c r="K254" s="2">
        <v>6500</v>
      </c>
      <c r="L254" s="2">
        <v>0</v>
      </c>
      <c r="M254" s="2">
        <v>9864.99</v>
      </c>
      <c r="N254">
        <v>0</v>
      </c>
      <c r="O254" s="3">
        <f t="shared" si="4"/>
        <v>304424.5</v>
      </c>
    </row>
    <row r="255" spans="1:15" x14ac:dyDescent="0.2">
      <c r="A255" s="4">
        <v>852</v>
      </c>
      <c r="B255" s="4">
        <v>1</v>
      </c>
      <c r="C255" s="2" t="s">
        <v>255</v>
      </c>
      <c r="D255" s="2">
        <v>63253.64</v>
      </c>
      <c r="E255" s="2">
        <v>12078.76</v>
      </c>
      <c r="F255" s="2">
        <v>97310.3</v>
      </c>
      <c r="G255" s="2">
        <v>0</v>
      </c>
      <c r="H255" s="2">
        <v>10003.75</v>
      </c>
      <c r="I255" s="2">
        <v>0</v>
      </c>
      <c r="J255" s="2">
        <v>0</v>
      </c>
      <c r="K255" s="2">
        <v>-6000</v>
      </c>
      <c r="L255" s="2">
        <v>0</v>
      </c>
      <c r="M255" s="2">
        <v>12289.24</v>
      </c>
      <c r="N255">
        <v>0</v>
      </c>
      <c r="O255" s="3">
        <f t="shared" si="4"/>
        <v>188935.69</v>
      </c>
    </row>
    <row r="256" spans="1:15" x14ac:dyDescent="0.2">
      <c r="A256" s="4">
        <v>857</v>
      </c>
      <c r="B256" s="4">
        <v>1</v>
      </c>
      <c r="C256" s="2" t="s">
        <v>256</v>
      </c>
      <c r="D256" s="2">
        <v>53048.11</v>
      </c>
      <c r="E256" s="2">
        <v>216718.09</v>
      </c>
      <c r="F256" s="2">
        <v>0</v>
      </c>
      <c r="G256" s="2">
        <v>0</v>
      </c>
      <c r="H256" s="2">
        <v>16109.25</v>
      </c>
      <c r="I256" s="2">
        <v>0</v>
      </c>
      <c r="J256" s="2">
        <v>0</v>
      </c>
      <c r="K256" s="2">
        <v>6176.27</v>
      </c>
      <c r="L256" s="2">
        <v>0</v>
      </c>
      <c r="M256" s="2">
        <v>38006.17</v>
      </c>
      <c r="N256">
        <v>0</v>
      </c>
      <c r="O256" s="3">
        <f t="shared" si="4"/>
        <v>330057.89</v>
      </c>
    </row>
    <row r="257" spans="1:15" x14ac:dyDescent="0.2">
      <c r="A257" s="4">
        <v>858</v>
      </c>
      <c r="B257" s="4">
        <v>1</v>
      </c>
      <c r="C257" s="2" t="s">
        <v>257</v>
      </c>
      <c r="D257" s="2">
        <v>146881.12</v>
      </c>
      <c r="E257" s="2">
        <v>106657.56</v>
      </c>
      <c r="F257" s="2">
        <v>0</v>
      </c>
      <c r="G257" s="2">
        <v>0</v>
      </c>
      <c r="H257" s="2">
        <v>15465.05</v>
      </c>
      <c r="I257" s="2">
        <v>0</v>
      </c>
      <c r="J257" s="2">
        <v>0</v>
      </c>
      <c r="K257" s="2">
        <v>17098.43</v>
      </c>
      <c r="L257" s="2">
        <v>0</v>
      </c>
      <c r="M257" s="2">
        <v>29189.65</v>
      </c>
      <c r="N257">
        <v>0</v>
      </c>
      <c r="O257" s="3">
        <f t="shared" ref="O257:O319" si="5">SUM(D257:N257)</f>
        <v>315291.81</v>
      </c>
    </row>
    <row r="258" spans="1:15" x14ac:dyDescent="0.2">
      <c r="A258" s="4">
        <v>861</v>
      </c>
      <c r="B258" s="4">
        <v>1</v>
      </c>
      <c r="C258" s="2" t="s">
        <v>1196</v>
      </c>
      <c r="D258" s="2">
        <v>1108021.33</v>
      </c>
      <c r="E258" s="2">
        <v>2741584.78</v>
      </c>
      <c r="F258" s="2">
        <v>163275.60999999999</v>
      </c>
      <c r="G258" s="2">
        <v>0</v>
      </c>
      <c r="H258" s="2">
        <v>34185.839999999997</v>
      </c>
      <c r="I258" s="2">
        <v>0</v>
      </c>
      <c r="J258" s="2">
        <v>0</v>
      </c>
      <c r="K258" s="2">
        <v>-32039.13</v>
      </c>
      <c r="L258" s="2">
        <v>0</v>
      </c>
      <c r="M258" s="2">
        <v>209838.76</v>
      </c>
      <c r="N258">
        <v>0</v>
      </c>
      <c r="O258" s="3">
        <f t="shared" si="5"/>
        <v>4224867.1899999995</v>
      </c>
    </row>
    <row r="259" spans="1:15" x14ac:dyDescent="0.2">
      <c r="A259" s="4">
        <v>876</v>
      </c>
      <c r="B259" s="4">
        <v>1</v>
      </c>
      <c r="C259" s="2" t="s">
        <v>259</v>
      </c>
      <c r="D259" s="2">
        <v>457693.23</v>
      </c>
      <c r="E259" s="2">
        <v>404703.47</v>
      </c>
      <c r="F259" s="2">
        <v>207538.92</v>
      </c>
      <c r="G259" s="2">
        <v>63681.05</v>
      </c>
      <c r="H259" s="2">
        <v>36495.07</v>
      </c>
      <c r="I259" s="2">
        <v>0</v>
      </c>
      <c r="J259" s="2">
        <v>0</v>
      </c>
      <c r="K259" s="2">
        <v>19282.259999999998</v>
      </c>
      <c r="L259" s="2">
        <v>0</v>
      </c>
      <c r="M259" s="2">
        <v>76109.06</v>
      </c>
      <c r="N259">
        <v>0</v>
      </c>
      <c r="O259" s="3">
        <f t="shared" si="5"/>
        <v>1265503.06</v>
      </c>
    </row>
    <row r="260" spans="1:15" x14ac:dyDescent="0.2">
      <c r="A260" s="4">
        <v>877</v>
      </c>
      <c r="B260" s="4">
        <v>1</v>
      </c>
      <c r="C260" s="2" t="s">
        <v>1005</v>
      </c>
      <c r="D260" s="2">
        <v>1294546.29</v>
      </c>
      <c r="E260" s="2">
        <v>797620.97</v>
      </c>
      <c r="F260" s="2">
        <v>442510.09</v>
      </c>
      <c r="G260" s="2">
        <v>0</v>
      </c>
      <c r="H260" s="2">
        <v>104724.2</v>
      </c>
      <c r="I260" s="2">
        <v>0</v>
      </c>
      <c r="J260" s="2">
        <v>0</v>
      </c>
      <c r="K260" s="2">
        <v>33393.300000000003</v>
      </c>
      <c r="L260" s="2">
        <v>0</v>
      </c>
      <c r="M260" s="2">
        <v>267193.57</v>
      </c>
      <c r="N260">
        <v>0</v>
      </c>
      <c r="O260" s="3">
        <f t="shared" si="5"/>
        <v>2939988.42</v>
      </c>
    </row>
    <row r="261" spans="1:15" x14ac:dyDescent="0.2">
      <c r="A261" s="4">
        <v>879</v>
      </c>
      <c r="B261" s="4">
        <v>1</v>
      </c>
      <c r="C261" s="2" t="s">
        <v>261</v>
      </c>
      <c r="D261" s="2">
        <v>432337.9</v>
      </c>
      <c r="E261" s="2">
        <v>742253.83</v>
      </c>
      <c r="F261" s="2">
        <v>117957.42</v>
      </c>
      <c r="G261" s="2">
        <v>0</v>
      </c>
      <c r="H261" s="2">
        <v>46767.79</v>
      </c>
      <c r="I261" s="2">
        <v>0</v>
      </c>
      <c r="J261" s="2">
        <v>0</v>
      </c>
      <c r="K261" s="2">
        <v>33596.06</v>
      </c>
      <c r="L261" s="2">
        <v>0</v>
      </c>
      <c r="M261" s="2">
        <v>84333.15</v>
      </c>
      <c r="N261">
        <v>0</v>
      </c>
      <c r="O261" s="3">
        <f t="shared" si="5"/>
        <v>1457246.15</v>
      </c>
    </row>
    <row r="262" spans="1:15" x14ac:dyDescent="0.2">
      <c r="A262" s="4">
        <v>881</v>
      </c>
      <c r="B262" s="4">
        <v>1</v>
      </c>
      <c r="C262" s="2" t="s">
        <v>262</v>
      </c>
      <c r="D262" s="2">
        <v>167557.91</v>
      </c>
      <c r="E262" s="2">
        <v>169703.04000000001</v>
      </c>
      <c r="F262" s="2">
        <v>117442.28</v>
      </c>
      <c r="G262" s="2">
        <v>19558.900000000001</v>
      </c>
      <c r="H262" s="2">
        <v>17650.72</v>
      </c>
      <c r="I262" s="2">
        <v>0</v>
      </c>
      <c r="J262" s="2">
        <v>0</v>
      </c>
      <c r="K262" s="2">
        <v>2176.0100000000002</v>
      </c>
      <c r="L262" s="2">
        <v>0</v>
      </c>
      <c r="M262" s="2">
        <v>33913.57</v>
      </c>
      <c r="N262">
        <v>0</v>
      </c>
      <c r="O262" s="3">
        <f t="shared" si="5"/>
        <v>528002.42999999993</v>
      </c>
    </row>
    <row r="263" spans="1:15" x14ac:dyDescent="0.2">
      <c r="A263" s="4">
        <v>882</v>
      </c>
      <c r="B263" s="4">
        <v>1</v>
      </c>
      <c r="C263" s="2" t="s">
        <v>263</v>
      </c>
      <c r="D263" s="2">
        <v>951837.7</v>
      </c>
      <c r="E263" s="2">
        <v>1260475.6499999999</v>
      </c>
      <c r="F263" s="2">
        <v>480525.55</v>
      </c>
      <c r="G263" s="2">
        <v>155849.28</v>
      </c>
      <c r="H263" s="2">
        <v>45933.36</v>
      </c>
      <c r="I263" s="2">
        <v>0</v>
      </c>
      <c r="J263" s="2">
        <v>0</v>
      </c>
      <c r="K263" s="2">
        <v>57537.58</v>
      </c>
      <c r="L263" s="2">
        <v>0</v>
      </c>
      <c r="M263" s="2">
        <v>124628.38</v>
      </c>
      <c r="N263">
        <v>0</v>
      </c>
      <c r="O263" s="3">
        <f t="shared" si="5"/>
        <v>3076787.4999999991</v>
      </c>
    </row>
    <row r="264" spans="1:15" x14ac:dyDescent="0.2">
      <c r="A264" s="4">
        <v>883</v>
      </c>
      <c r="B264" s="4">
        <v>1</v>
      </c>
      <c r="C264" s="2" t="s">
        <v>264</v>
      </c>
      <c r="D264" s="2">
        <v>343558.91</v>
      </c>
      <c r="E264" s="2">
        <v>250360.52</v>
      </c>
      <c r="F264" s="2">
        <v>108595.68</v>
      </c>
      <c r="G264" s="2">
        <v>0</v>
      </c>
      <c r="H264" s="2">
        <v>0</v>
      </c>
      <c r="I264" s="2">
        <v>0</v>
      </c>
      <c r="J264" s="2">
        <v>0</v>
      </c>
      <c r="K264" s="2">
        <v>3516.77</v>
      </c>
      <c r="L264" s="2">
        <v>0</v>
      </c>
      <c r="M264" s="2">
        <v>61539.75</v>
      </c>
      <c r="N264">
        <v>0</v>
      </c>
      <c r="O264" s="3">
        <f t="shared" si="5"/>
        <v>767571.62999999989</v>
      </c>
    </row>
    <row r="265" spans="1:15" x14ac:dyDescent="0.2">
      <c r="A265" s="4">
        <v>885</v>
      </c>
      <c r="B265" s="4">
        <v>1</v>
      </c>
      <c r="C265" s="2" t="s">
        <v>1197</v>
      </c>
      <c r="D265" s="2">
        <v>592963.4</v>
      </c>
      <c r="E265" s="2">
        <v>1002856.99</v>
      </c>
      <c r="F265" s="2">
        <v>131136.53</v>
      </c>
      <c r="G265" s="2">
        <v>0</v>
      </c>
      <c r="H265" s="2">
        <v>89008.69</v>
      </c>
      <c r="I265" s="2">
        <v>0</v>
      </c>
      <c r="J265" s="2">
        <v>0</v>
      </c>
      <c r="K265" s="2">
        <v>-4324</v>
      </c>
      <c r="L265" s="2">
        <v>0</v>
      </c>
      <c r="M265" s="2">
        <v>132729.03</v>
      </c>
      <c r="N265">
        <v>0</v>
      </c>
      <c r="O265" s="3">
        <f t="shared" si="5"/>
        <v>1944370.6400000001</v>
      </c>
    </row>
    <row r="266" spans="1:15" x14ac:dyDescent="0.2">
      <c r="A266" s="4">
        <v>891</v>
      </c>
      <c r="B266" s="4">
        <v>1</v>
      </c>
      <c r="C266" s="2" t="s">
        <v>266</v>
      </c>
      <c r="D266" s="2">
        <v>138712.59</v>
      </c>
      <c r="E266" s="2">
        <v>61456.53</v>
      </c>
      <c r="F266" s="2">
        <v>32209.42</v>
      </c>
      <c r="G266" s="2">
        <v>18617.810000000001</v>
      </c>
      <c r="H266" s="2">
        <v>13502.51</v>
      </c>
      <c r="I266" s="2">
        <v>0</v>
      </c>
      <c r="J266" s="2">
        <v>0</v>
      </c>
      <c r="K266" s="2">
        <v>4985.58</v>
      </c>
      <c r="L266" s="2">
        <v>0</v>
      </c>
      <c r="M266" s="2">
        <v>20082.16</v>
      </c>
      <c r="N266">
        <v>0</v>
      </c>
      <c r="O266" s="3">
        <f t="shared" si="5"/>
        <v>289566.59999999998</v>
      </c>
    </row>
    <row r="267" spans="1:15" x14ac:dyDescent="0.2">
      <c r="A267" s="4">
        <v>911</v>
      </c>
      <c r="B267" s="4">
        <v>1</v>
      </c>
      <c r="C267" s="2" t="s">
        <v>267</v>
      </c>
      <c r="D267" s="2">
        <v>751622.67</v>
      </c>
      <c r="E267" s="2">
        <v>0</v>
      </c>
      <c r="F267" s="2">
        <v>217668.75</v>
      </c>
      <c r="G267" s="2">
        <v>0</v>
      </c>
      <c r="H267" s="2">
        <v>103841.04</v>
      </c>
      <c r="I267" s="2">
        <v>0</v>
      </c>
      <c r="J267" s="2">
        <v>0</v>
      </c>
      <c r="K267" s="2">
        <v>61884.9</v>
      </c>
      <c r="L267" s="2">
        <v>0</v>
      </c>
      <c r="M267" s="2">
        <v>160891.17000000001</v>
      </c>
      <c r="N267">
        <v>0</v>
      </c>
      <c r="O267" s="3">
        <f t="shared" si="5"/>
        <v>1295908.5299999998</v>
      </c>
    </row>
    <row r="268" spans="1:15" x14ac:dyDescent="0.2">
      <c r="A268" s="4">
        <v>912</v>
      </c>
      <c r="B268" s="4">
        <v>1</v>
      </c>
      <c r="C268" s="2" t="s">
        <v>268</v>
      </c>
      <c r="D268" s="2">
        <v>141852.60999999999</v>
      </c>
      <c r="E268" s="2">
        <v>0</v>
      </c>
      <c r="F268" s="2">
        <v>54092.15</v>
      </c>
      <c r="G268" s="2">
        <v>0</v>
      </c>
      <c r="H268" s="2">
        <v>35763.129999999997</v>
      </c>
      <c r="I268" s="2">
        <v>0</v>
      </c>
      <c r="J268" s="2">
        <v>0</v>
      </c>
      <c r="K268" s="2">
        <v>-2771.98</v>
      </c>
      <c r="L268" s="2">
        <v>0</v>
      </c>
      <c r="M268" s="2">
        <v>43712.88</v>
      </c>
      <c r="N268">
        <v>0</v>
      </c>
      <c r="O268" s="3">
        <f t="shared" si="5"/>
        <v>272648.78999999998</v>
      </c>
    </row>
    <row r="269" spans="1:15" x14ac:dyDescent="0.2">
      <c r="A269" s="4">
        <v>914</v>
      </c>
      <c r="B269" s="4">
        <v>1</v>
      </c>
      <c r="C269" s="2" t="s">
        <v>269</v>
      </c>
      <c r="D269" s="2">
        <v>47245.59</v>
      </c>
      <c r="E269" s="2">
        <v>102117.59</v>
      </c>
      <c r="F269" s="2">
        <v>88350</v>
      </c>
      <c r="G269" s="2">
        <v>527.82000000000005</v>
      </c>
      <c r="H269" s="2">
        <v>10003.75</v>
      </c>
      <c r="I269" s="2">
        <v>0</v>
      </c>
      <c r="J269" s="2">
        <v>0</v>
      </c>
      <c r="K269" s="2">
        <v>3126.09</v>
      </c>
      <c r="L269" s="2">
        <v>0</v>
      </c>
      <c r="M269" s="2">
        <v>9549.2199999999993</v>
      </c>
      <c r="N269">
        <v>0</v>
      </c>
      <c r="O269" s="3">
        <f t="shared" si="5"/>
        <v>260920.06</v>
      </c>
    </row>
    <row r="270" spans="1:15" x14ac:dyDescent="0.2">
      <c r="A270" s="4">
        <v>2071</v>
      </c>
      <c r="B270" s="4">
        <v>1</v>
      </c>
      <c r="C270" s="2" t="s">
        <v>1166</v>
      </c>
      <c r="D270" s="2">
        <v>359758.77</v>
      </c>
      <c r="E270" s="2">
        <v>25954.1</v>
      </c>
      <c r="F270" s="2">
        <v>216532</v>
      </c>
      <c r="G270" s="2">
        <v>0</v>
      </c>
      <c r="H270" s="2">
        <v>15489.46</v>
      </c>
      <c r="I270" s="2">
        <v>0</v>
      </c>
      <c r="J270" s="2">
        <v>0</v>
      </c>
      <c r="K270" s="2">
        <v>1702.15</v>
      </c>
      <c r="L270" s="2">
        <v>0</v>
      </c>
      <c r="M270" s="2">
        <v>41416.660000000003</v>
      </c>
      <c r="N270">
        <v>0</v>
      </c>
      <c r="O270" s="3">
        <f t="shared" si="5"/>
        <v>660853.14</v>
      </c>
    </row>
    <row r="271" spans="1:15" x14ac:dyDescent="0.2">
      <c r="A271" s="4">
        <v>2125</v>
      </c>
      <c r="B271" s="4">
        <v>1</v>
      </c>
      <c r="C271" s="2" t="s">
        <v>271</v>
      </c>
      <c r="D271" s="2">
        <v>309066.45</v>
      </c>
      <c r="E271" s="2">
        <v>135940.41</v>
      </c>
      <c r="F271" s="2">
        <v>130834.75</v>
      </c>
      <c r="G271" s="2">
        <v>0</v>
      </c>
      <c r="H271" s="2">
        <v>10274.5</v>
      </c>
      <c r="I271" s="2">
        <v>0</v>
      </c>
      <c r="J271" s="2">
        <v>0</v>
      </c>
      <c r="K271" s="2">
        <v>-16798.18</v>
      </c>
      <c r="L271" s="2">
        <v>0</v>
      </c>
      <c r="M271" s="2">
        <v>55855.21</v>
      </c>
      <c r="N271">
        <v>0</v>
      </c>
      <c r="O271" s="3">
        <f t="shared" si="5"/>
        <v>625173.1399999999</v>
      </c>
    </row>
    <row r="272" spans="1:15" x14ac:dyDescent="0.2">
      <c r="A272" s="4">
        <v>2134</v>
      </c>
      <c r="B272" s="4">
        <v>1</v>
      </c>
      <c r="C272" s="2" t="s">
        <v>1165</v>
      </c>
      <c r="D272" s="2">
        <v>148322.39000000001</v>
      </c>
      <c r="E272" s="2">
        <v>162246</v>
      </c>
      <c r="F272" s="2">
        <v>243273.5</v>
      </c>
      <c r="G272" s="2">
        <v>10564.1</v>
      </c>
      <c r="H272" s="2">
        <v>19469.27</v>
      </c>
      <c r="I272" s="2">
        <v>0</v>
      </c>
      <c r="J272" s="2">
        <v>0</v>
      </c>
      <c r="K272" s="2">
        <v>15158.73</v>
      </c>
      <c r="L272" s="2">
        <v>0</v>
      </c>
      <c r="M272" s="2">
        <v>42875.74</v>
      </c>
      <c r="N272">
        <v>0</v>
      </c>
      <c r="O272" s="3">
        <f t="shared" si="5"/>
        <v>641909.73</v>
      </c>
    </row>
    <row r="273" spans="1:15" x14ac:dyDescent="0.2">
      <c r="A273" s="4">
        <v>2135</v>
      </c>
      <c r="B273" s="4">
        <v>1</v>
      </c>
      <c r="C273" s="2" t="s">
        <v>273</v>
      </c>
      <c r="D273" s="2">
        <v>223855.6</v>
      </c>
      <c r="E273" s="2">
        <v>130596.08</v>
      </c>
      <c r="F273" s="2">
        <v>188722.05</v>
      </c>
      <c r="G273" s="2">
        <v>0</v>
      </c>
      <c r="H273" s="2">
        <v>23386.52</v>
      </c>
      <c r="I273" s="2">
        <v>0</v>
      </c>
      <c r="J273" s="2">
        <v>0</v>
      </c>
      <c r="K273" s="2">
        <v>-1597.45</v>
      </c>
      <c r="L273" s="2">
        <v>0</v>
      </c>
      <c r="M273" s="2">
        <v>44587.16</v>
      </c>
      <c r="N273">
        <v>0</v>
      </c>
      <c r="O273" s="3">
        <f t="shared" si="5"/>
        <v>609549.96000000008</v>
      </c>
    </row>
    <row r="274" spans="1:15" x14ac:dyDescent="0.2">
      <c r="A274" s="4">
        <v>2137</v>
      </c>
      <c r="B274" s="4">
        <v>1</v>
      </c>
      <c r="C274" s="2" t="s">
        <v>274</v>
      </c>
      <c r="D274" s="2">
        <v>177251.28</v>
      </c>
      <c r="E274" s="2">
        <v>138775.88</v>
      </c>
      <c r="F274" s="2">
        <v>63102.69</v>
      </c>
      <c r="G274" s="2">
        <v>0</v>
      </c>
      <c r="H274" s="2">
        <v>19156.18</v>
      </c>
      <c r="I274" s="2">
        <v>0</v>
      </c>
      <c r="J274" s="2">
        <v>0</v>
      </c>
      <c r="K274" s="2">
        <v>13890.25</v>
      </c>
      <c r="L274" s="2">
        <v>0</v>
      </c>
      <c r="M274" s="2">
        <v>38088.79</v>
      </c>
      <c r="N274">
        <v>0</v>
      </c>
      <c r="O274" s="3">
        <f t="shared" si="5"/>
        <v>450265.07</v>
      </c>
    </row>
    <row r="275" spans="1:15" x14ac:dyDescent="0.2">
      <c r="A275" s="4">
        <v>2142</v>
      </c>
      <c r="B275" s="4">
        <v>1</v>
      </c>
      <c r="C275" s="2" t="s">
        <v>275</v>
      </c>
      <c r="D275" s="2">
        <v>804708.64</v>
      </c>
      <c r="E275" s="2">
        <v>0</v>
      </c>
      <c r="F275" s="2">
        <v>171786.65</v>
      </c>
      <c r="G275" s="2">
        <v>21538.33</v>
      </c>
      <c r="H275" s="2">
        <v>21859.58</v>
      </c>
      <c r="I275" s="2">
        <v>284381.89</v>
      </c>
      <c r="J275" s="2">
        <v>0</v>
      </c>
      <c r="K275" s="2">
        <v>68002.320000000007</v>
      </c>
      <c r="L275" s="2">
        <v>0</v>
      </c>
      <c r="M275" s="2">
        <v>0</v>
      </c>
      <c r="N275">
        <v>0</v>
      </c>
      <c r="O275" s="3">
        <f t="shared" si="5"/>
        <v>1372277.41</v>
      </c>
    </row>
    <row r="276" spans="1:15" x14ac:dyDescent="0.2">
      <c r="A276" s="4">
        <v>2143</v>
      </c>
      <c r="B276" s="4">
        <v>1</v>
      </c>
      <c r="C276" s="2" t="s">
        <v>1164</v>
      </c>
      <c r="D276" s="2">
        <v>233559.84</v>
      </c>
      <c r="E276" s="2">
        <v>569447.62</v>
      </c>
      <c r="F276" s="2">
        <v>72111.33</v>
      </c>
      <c r="G276" s="2">
        <v>0</v>
      </c>
      <c r="H276" s="2">
        <v>18404.080000000002</v>
      </c>
      <c r="I276" s="2">
        <v>0</v>
      </c>
      <c r="J276" s="2">
        <v>0</v>
      </c>
      <c r="K276" s="2">
        <v>-901.68</v>
      </c>
      <c r="L276" s="2">
        <v>0</v>
      </c>
      <c r="M276" s="2">
        <v>40086.51</v>
      </c>
      <c r="N276">
        <v>0</v>
      </c>
      <c r="O276" s="3">
        <f t="shared" si="5"/>
        <v>932707.69999999984</v>
      </c>
    </row>
    <row r="277" spans="1:15" x14ac:dyDescent="0.2">
      <c r="A277" s="4">
        <v>2144</v>
      </c>
      <c r="B277" s="4">
        <v>1</v>
      </c>
      <c r="C277" s="2" t="s">
        <v>277</v>
      </c>
      <c r="D277" s="2">
        <v>893613.52</v>
      </c>
      <c r="E277" s="2">
        <v>552520.38</v>
      </c>
      <c r="F277" s="2">
        <v>212914.72</v>
      </c>
      <c r="G277" s="2">
        <v>0</v>
      </c>
      <c r="H277" s="2">
        <v>68520.58</v>
      </c>
      <c r="I277" s="2">
        <v>0</v>
      </c>
      <c r="J277" s="2">
        <v>0</v>
      </c>
      <c r="K277" s="2">
        <v>42851.5</v>
      </c>
      <c r="L277" s="2">
        <v>0</v>
      </c>
      <c r="M277" s="2">
        <v>135530.56</v>
      </c>
      <c r="N277">
        <v>0</v>
      </c>
      <c r="O277" s="3">
        <f t="shared" si="5"/>
        <v>1905951.26</v>
      </c>
    </row>
    <row r="278" spans="1:15" x14ac:dyDescent="0.2">
      <c r="A278" s="4">
        <v>2149</v>
      </c>
      <c r="B278" s="4">
        <v>1</v>
      </c>
      <c r="C278" s="2" t="s">
        <v>278</v>
      </c>
      <c r="D278" s="2">
        <v>359158.14</v>
      </c>
      <c r="E278" s="2">
        <v>303626.09000000003</v>
      </c>
      <c r="F278" s="2">
        <v>105651.52</v>
      </c>
      <c r="G278" s="2">
        <v>0</v>
      </c>
      <c r="H278" s="2">
        <v>34357.79</v>
      </c>
      <c r="I278" s="2">
        <v>0</v>
      </c>
      <c r="J278" s="2">
        <v>0</v>
      </c>
      <c r="K278" s="2">
        <v>22480.7</v>
      </c>
      <c r="L278" s="2">
        <v>0</v>
      </c>
      <c r="M278" s="2">
        <v>70340.240000000005</v>
      </c>
      <c r="N278">
        <v>0</v>
      </c>
      <c r="O278" s="3">
        <f t="shared" si="5"/>
        <v>895614.48</v>
      </c>
    </row>
    <row r="279" spans="1:15" x14ac:dyDescent="0.2">
      <c r="A279" s="4">
        <v>2154</v>
      </c>
      <c r="B279" s="4">
        <v>1</v>
      </c>
      <c r="C279" s="2" t="s">
        <v>279</v>
      </c>
      <c r="D279" s="2">
        <v>0</v>
      </c>
      <c r="E279" s="2">
        <v>226487.66</v>
      </c>
      <c r="F279" s="2">
        <v>52276.22</v>
      </c>
      <c r="G279" s="2">
        <v>22207.47</v>
      </c>
      <c r="H279" s="2">
        <v>26757.97</v>
      </c>
      <c r="I279" s="2">
        <v>81034.399999999994</v>
      </c>
      <c r="J279" s="2">
        <v>0</v>
      </c>
      <c r="K279" s="2">
        <v>10011.450000000001</v>
      </c>
      <c r="L279" s="2">
        <v>0</v>
      </c>
      <c r="M279" s="2">
        <v>0</v>
      </c>
      <c r="N279">
        <v>0</v>
      </c>
      <c r="O279" s="3">
        <f t="shared" si="5"/>
        <v>418775.17</v>
      </c>
    </row>
    <row r="280" spans="1:15" x14ac:dyDescent="0.2">
      <c r="A280" s="4">
        <v>2155</v>
      </c>
      <c r="B280" s="4">
        <v>1</v>
      </c>
      <c r="C280" s="2" t="s">
        <v>1163</v>
      </c>
      <c r="D280" s="2">
        <v>131231.78</v>
      </c>
      <c r="E280" s="2">
        <v>238353.84</v>
      </c>
      <c r="F280" s="2">
        <v>38157.32</v>
      </c>
      <c r="G280" s="2">
        <v>0</v>
      </c>
      <c r="H280" s="2">
        <v>29830.48</v>
      </c>
      <c r="I280" s="2">
        <v>0</v>
      </c>
      <c r="J280" s="2">
        <v>0</v>
      </c>
      <c r="K280" s="2">
        <v>3489.28</v>
      </c>
      <c r="L280" s="2">
        <v>0</v>
      </c>
      <c r="M280" s="2">
        <v>24632.42</v>
      </c>
      <c r="N280">
        <v>0</v>
      </c>
      <c r="O280" s="3">
        <f t="shared" si="5"/>
        <v>465695.12</v>
      </c>
    </row>
    <row r="281" spans="1:15" x14ac:dyDescent="0.2">
      <c r="A281" s="4">
        <v>2159</v>
      </c>
      <c r="B281" s="4">
        <v>1</v>
      </c>
      <c r="C281" s="2" t="s">
        <v>1162</v>
      </c>
      <c r="D281" s="2">
        <v>151613.14000000001</v>
      </c>
      <c r="E281" s="2">
        <v>87139.93</v>
      </c>
      <c r="F281" s="2">
        <v>102520.67</v>
      </c>
      <c r="G281" s="2">
        <v>23853.19</v>
      </c>
      <c r="H281" s="2">
        <v>11817.28</v>
      </c>
      <c r="I281" s="2">
        <v>0</v>
      </c>
      <c r="J281" s="2">
        <v>0</v>
      </c>
      <c r="K281" s="2">
        <v>-5331.04</v>
      </c>
      <c r="L281" s="2">
        <v>0</v>
      </c>
      <c r="M281" s="2">
        <v>15766.33</v>
      </c>
      <c r="N281">
        <v>0</v>
      </c>
      <c r="O281" s="3">
        <f t="shared" si="5"/>
        <v>387379.50000000006</v>
      </c>
    </row>
    <row r="282" spans="1:15" x14ac:dyDescent="0.2">
      <c r="A282" s="4">
        <v>2164</v>
      </c>
      <c r="B282" s="4">
        <v>1</v>
      </c>
      <c r="C282" s="2" t="s">
        <v>1161</v>
      </c>
      <c r="D282" s="2">
        <v>181893.53</v>
      </c>
      <c r="E282" s="2">
        <v>103525.56</v>
      </c>
      <c r="F282" s="2">
        <v>55510.33</v>
      </c>
      <c r="G282" s="2">
        <v>0</v>
      </c>
      <c r="H282" s="2">
        <v>21398.26</v>
      </c>
      <c r="I282" s="2">
        <v>0</v>
      </c>
      <c r="J282" s="2">
        <v>0</v>
      </c>
      <c r="K282" s="2">
        <v>45083.47</v>
      </c>
      <c r="L282" s="2">
        <v>0</v>
      </c>
      <c r="M282" s="2">
        <v>38110.839999999997</v>
      </c>
      <c r="N282">
        <v>0</v>
      </c>
      <c r="O282" s="3">
        <f t="shared" si="5"/>
        <v>445521.99</v>
      </c>
    </row>
    <row r="283" spans="1:15" x14ac:dyDescent="0.2">
      <c r="A283" s="4">
        <v>2165</v>
      </c>
      <c r="B283" s="4">
        <v>1</v>
      </c>
      <c r="C283" s="2" t="s">
        <v>1160</v>
      </c>
      <c r="D283" s="2">
        <v>146939.48000000001</v>
      </c>
      <c r="E283" s="2">
        <v>76220.2</v>
      </c>
      <c r="F283" s="2">
        <v>51707.97</v>
      </c>
      <c r="G283" s="2">
        <v>0</v>
      </c>
      <c r="H283" s="2">
        <v>6763.18</v>
      </c>
      <c r="I283" s="2">
        <v>0</v>
      </c>
      <c r="J283" s="2">
        <v>0</v>
      </c>
      <c r="K283" s="2">
        <v>0</v>
      </c>
      <c r="L283" s="2">
        <v>0</v>
      </c>
      <c r="M283" s="2">
        <v>38215.449999999997</v>
      </c>
      <c r="N283">
        <v>0</v>
      </c>
      <c r="O283" s="3">
        <f t="shared" si="5"/>
        <v>319846.28000000003</v>
      </c>
    </row>
    <row r="284" spans="1:15" x14ac:dyDescent="0.2">
      <c r="A284" s="4">
        <v>2167</v>
      </c>
      <c r="B284" s="4">
        <v>1</v>
      </c>
      <c r="C284" s="2" t="s">
        <v>284</v>
      </c>
      <c r="D284" s="2">
        <v>125777.3</v>
      </c>
      <c r="E284" s="2">
        <v>91839.51</v>
      </c>
      <c r="F284" s="2">
        <v>31840.2</v>
      </c>
      <c r="G284" s="2">
        <v>5689.16</v>
      </c>
      <c r="H284" s="2">
        <v>10659.81</v>
      </c>
      <c r="I284" s="2">
        <v>0</v>
      </c>
      <c r="J284" s="2">
        <v>0</v>
      </c>
      <c r="K284" s="2">
        <v>551</v>
      </c>
      <c r="L284" s="2">
        <v>0</v>
      </c>
      <c r="M284" s="2">
        <v>21389.35</v>
      </c>
      <c r="N284">
        <v>0</v>
      </c>
      <c r="O284" s="3">
        <f t="shared" si="5"/>
        <v>287746.33</v>
      </c>
    </row>
    <row r="285" spans="1:15" x14ac:dyDescent="0.2">
      <c r="A285" s="4">
        <v>2168</v>
      </c>
      <c r="B285" s="4">
        <v>1</v>
      </c>
      <c r="C285" s="2" t="s">
        <v>285</v>
      </c>
      <c r="D285" s="2">
        <v>133573.29</v>
      </c>
      <c r="E285" s="2">
        <v>60829.02</v>
      </c>
      <c r="F285" s="2">
        <v>77590.100000000006</v>
      </c>
      <c r="G285" s="2">
        <v>11668.37</v>
      </c>
      <c r="H285" s="2">
        <v>18839.759999999998</v>
      </c>
      <c r="I285" s="2">
        <v>0</v>
      </c>
      <c r="J285" s="2">
        <v>0</v>
      </c>
      <c r="K285" s="2">
        <v>23052.71</v>
      </c>
      <c r="L285" s="2">
        <v>0</v>
      </c>
      <c r="M285" s="2">
        <v>30409.02</v>
      </c>
      <c r="N285">
        <v>0</v>
      </c>
      <c r="O285" s="3">
        <f t="shared" si="5"/>
        <v>355962.27000000008</v>
      </c>
    </row>
    <row r="286" spans="1:15" x14ac:dyDescent="0.2">
      <c r="A286" s="4">
        <v>2169</v>
      </c>
      <c r="B286" s="4">
        <v>1</v>
      </c>
      <c r="C286" s="2" t="s">
        <v>1159</v>
      </c>
      <c r="D286" s="2">
        <v>186935.31</v>
      </c>
      <c r="E286" s="2">
        <v>326723.99</v>
      </c>
      <c r="F286" s="2">
        <v>61280.65</v>
      </c>
      <c r="G286" s="2">
        <v>5478.96</v>
      </c>
      <c r="H286" s="2">
        <v>14965.78</v>
      </c>
      <c r="I286" s="2">
        <v>0</v>
      </c>
      <c r="J286" s="2">
        <v>0</v>
      </c>
      <c r="K286" s="2">
        <v>-7558.26</v>
      </c>
      <c r="L286" s="2">
        <v>0</v>
      </c>
      <c r="M286" s="2">
        <v>37350.25</v>
      </c>
      <c r="N286">
        <v>0</v>
      </c>
      <c r="O286" s="3">
        <f t="shared" si="5"/>
        <v>625176.67999999993</v>
      </c>
    </row>
    <row r="287" spans="1:15" x14ac:dyDescent="0.2">
      <c r="A287" s="4">
        <v>2170</v>
      </c>
      <c r="B287" s="4">
        <v>1</v>
      </c>
      <c r="C287" s="2" t="s">
        <v>287</v>
      </c>
      <c r="D287" s="2">
        <v>219978.54</v>
      </c>
      <c r="E287" s="2">
        <v>170576.91</v>
      </c>
      <c r="F287" s="2">
        <v>78553.36</v>
      </c>
      <c r="G287" s="2">
        <v>0</v>
      </c>
      <c r="H287" s="2">
        <v>60858.47</v>
      </c>
      <c r="I287" s="2">
        <v>0</v>
      </c>
      <c r="J287" s="2">
        <v>0</v>
      </c>
      <c r="K287" s="2">
        <v>34215.97</v>
      </c>
      <c r="L287" s="2">
        <v>0</v>
      </c>
      <c r="M287" s="2">
        <v>61476.32</v>
      </c>
      <c r="N287">
        <v>0</v>
      </c>
      <c r="O287" s="3">
        <f t="shared" si="5"/>
        <v>625659.56999999995</v>
      </c>
    </row>
    <row r="288" spans="1:15" x14ac:dyDescent="0.2">
      <c r="A288" s="4">
        <v>2171</v>
      </c>
      <c r="B288" s="4">
        <v>1</v>
      </c>
      <c r="C288" s="2" t="s">
        <v>288</v>
      </c>
      <c r="D288" s="2">
        <v>93923.02</v>
      </c>
      <c r="E288" s="2">
        <v>0</v>
      </c>
      <c r="F288" s="2">
        <v>312434.59999999998</v>
      </c>
      <c r="G288" s="2">
        <v>0</v>
      </c>
      <c r="H288" s="2">
        <v>10003.75</v>
      </c>
      <c r="I288" s="2">
        <v>0</v>
      </c>
      <c r="J288" s="2">
        <v>0</v>
      </c>
      <c r="K288" s="2">
        <v>-4000</v>
      </c>
      <c r="L288" s="2">
        <v>0</v>
      </c>
      <c r="M288" s="2">
        <v>14147.95</v>
      </c>
      <c r="N288">
        <v>0</v>
      </c>
      <c r="O288" s="3">
        <f t="shared" si="5"/>
        <v>426509.32</v>
      </c>
    </row>
    <row r="289" spans="1:15" x14ac:dyDescent="0.2">
      <c r="A289" s="4">
        <v>2172</v>
      </c>
      <c r="B289" s="4">
        <v>1</v>
      </c>
      <c r="C289" s="2" t="s">
        <v>289</v>
      </c>
      <c r="D289" s="2">
        <v>191273.73</v>
      </c>
      <c r="E289" s="2">
        <v>287710.46999999997</v>
      </c>
      <c r="F289" s="2">
        <v>71959.179999999993</v>
      </c>
      <c r="G289" s="2">
        <v>0</v>
      </c>
      <c r="H289" s="2">
        <v>17182.169999999998</v>
      </c>
      <c r="I289" s="2">
        <v>-641</v>
      </c>
      <c r="J289" s="2">
        <v>0</v>
      </c>
      <c r="K289" s="2">
        <v>-9733.52</v>
      </c>
      <c r="L289" s="2">
        <v>0</v>
      </c>
      <c r="M289" s="2">
        <v>55162.94</v>
      </c>
      <c r="N289">
        <v>0</v>
      </c>
      <c r="O289" s="3">
        <f t="shared" si="5"/>
        <v>612913.97</v>
      </c>
    </row>
    <row r="290" spans="1:15" x14ac:dyDescent="0.2">
      <c r="A290" s="4">
        <v>2174</v>
      </c>
      <c r="B290" s="4">
        <v>1</v>
      </c>
      <c r="C290" s="2" t="s">
        <v>1158</v>
      </c>
      <c r="D290" s="2">
        <v>199933.3</v>
      </c>
      <c r="E290" s="2">
        <v>585.16</v>
      </c>
      <c r="F290" s="2">
        <v>0</v>
      </c>
      <c r="G290" s="2">
        <v>0</v>
      </c>
      <c r="H290" s="2">
        <v>19365.849999999999</v>
      </c>
      <c r="I290" s="2">
        <v>0</v>
      </c>
      <c r="J290" s="2">
        <v>0</v>
      </c>
      <c r="K290" s="2">
        <v>-1393.88</v>
      </c>
      <c r="L290" s="2">
        <v>0</v>
      </c>
      <c r="M290" s="2">
        <v>49558.64</v>
      </c>
      <c r="N290">
        <v>0</v>
      </c>
      <c r="O290" s="3">
        <f t="shared" si="5"/>
        <v>268049.07</v>
      </c>
    </row>
    <row r="291" spans="1:15" x14ac:dyDescent="0.2">
      <c r="A291" s="4">
        <v>2176</v>
      </c>
      <c r="B291" s="4">
        <v>1</v>
      </c>
      <c r="C291" s="2" t="s">
        <v>1157</v>
      </c>
      <c r="D291" s="2">
        <v>85015.47</v>
      </c>
      <c r="E291" s="2">
        <v>0</v>
      </c>
      <c r="F291" s="2">
        <v>228879.6</v>
      </c>
      <c r="G291" s="2">
        <v>0</v>
      </c>
      <c r="H291" s="2">
        <v>0</v>
      </c>
      <c r="I291" s="2">
        <v>0</v>
      </c>
      <c r="J291" s="2">
        <v>0</v>
      </c>
      <c r="K291" s="2">
        <v>-13888.96</v>
      </c>
      <c r="L291" s="2">
        <v>0</v>
      </c>
      <c r="M291" s="2">
        <v>26825.26</v>
      </c>
      <c r="N291">
        <v>0</v>
      </c>
      <c r="O291" s="3">
        <f t="shared" si="5"/>
        <v>326831.37</v>
      </c>
    </row>
    <row r="292" spans="1:15" x14ac:dyDescent="0.2">
      <c r="A292" s="4">
        <v>2180</v>
      </c>
      <c r="B292" s="4">
        <v>1</v>
      </c>
      <c r="C292" s="2" t="s">
        <v>292</v>
      </c>
      <c r="D292" s="2">
        <v>148303.70000000001</v>
      </c>
      <c r="E292" s="2">
        <v>374130.02</v>
      </c>
      <c r="F292" s="2">
        <v>173617.36</v>
      </c>
      <c r="G292" s="2">
        <v>0</v>
      </c>
      <c r="H292" s="2">
        <v>10003.75</v>
      </c>
      <c r="I292" s="2">
        <v>0</v>
      </c>
      <c r="J292" s="2">
        <v>0</v>
      </c>
      <c r="K292" s="2">
        <v>-255.79</v>
      </c>
      <c r="L292" s="2">
        <v>0</v>
      </c>
      <c r="M292" s="2">
        <v>18127.28</v>
      </c>
      <c r="N292">
        <v>0</v>
      </c>
      <c r="O292" s="3">
        <f t="shared" si="5"/>
        <v>723926.32000000007</v>
      </c>
    </row>
    <row r="293" spans="1:15" x14ac:dyDescent="0.2">
      <c r="A293" s="4">
        <v>2184</v>
      </c>
      <c r="B293" s="4">
        <v>1</v>
      </c>
      <c r="C293" s="2" t="s">
        <v>293</v>
      </c>
      <c r="D293" s="2">
        <v>189628.7</v>
      </c>
      <c r="E293" s="2">
        <v>416581.27</v>
      </c>
      <c r="F293" s="2">
        <v>45058.55</v>
      </c>
      <c r="G293" s="2">
        <v>2150.0300000000002</v>
      </c>
      <c r="H293" s="2">
        <v>22708.16</v>
      </c>
      <c r="I293" s="2">
        <v>0</v>
      </c>
      <c r="J293" s="2">
        <v>0</v>
      </c>
      <c r="K293" s="2">
        <v>-303.48</v>
      </c>
      <c r="L293" s="2">
        <v>0</v>
      </c>
      <c r="M293" s="2">
        <v>43192.88</v>
      </c>
      <c r="N293">
        <v>0</v>
      </c>
      <c r="O293" s="3">
        <f t="shared" si="5"/>
        <v>719016.1100000001</v>
      </c>
    </row>
    <row r="294" spans="1:15" x14ac:dyDescent="0.2">
      <c r="A294" s="4">
        <v>2190</v>
      </c>
      <c r="B294" s="4">
        <v>1</v>
      </c>
      <c r="C294" s="2" t="s">
        <v>1156</v>
      </c>
      <c r="D294" s="2">
        <v>145025.79</v>
      </c>
      <c r="E294" s="2">
        <v>302909.09999999998</v>
      </c>
      <c r="F294" s="2">
        <v>106127.39</v>
      </c>
      <c r="G294" s="2">
        <v>3393.38</v>
      </c>
      <c r="H294" s="2">
        <v>26915.71</v>
      </c>
      <c r="I294" s="2">
        <v>0</v>
      </c>
      <c r="J294" s="2">
        <v>0</v>
      </c>
      <c r="K294" s="2">
        <v>-8672.7099999999991</v>
      </c>
      <c r="L294" s="2">
        <v>0</v>
      </c>
      <c r="M294" s="2">
        <v>63628</v>
      </c>
      <c r="N294">
        <v>0</v>
      </c>
      <c r="O294" s="3">
        <f t="shared" si="5"/>
        <v>639326.66</v>
      </c>
    </row>
    <row r="295" spans="1:15" x14ac:dyDescent="0.2">
      <c r="A295" s="4">
        <v>2198</v>
      </c>
      <c r="B295" s="4">
        <v>1</v>
      </c>
      <c r="C295" s="2" t="s">
        <v>295</v>
      </c>
      <c r="D295" s="2">
        <v>63508.1</v>
      </c>
      <c r="E295" s="2">
        <v>228721.46</v>
      </c>
      <c r="F295" s="2">
        <v>54051.81</v>
      </c>
      <c r="G295" s="2">
        <v>0</v>
      </c>
      <c r="H295" s="2">
        <v>17601.8</v>
      </c>
      <c r="I295" s="2">
        <v>0</v>
      </c>
      <c r="J295" s="2">
        <v>0</v>
      </c>
      <c r="K295" s="2">
        <v>2035.1</v>
      </c>
      <c r="L295" s="2">
        <v>0</v>
      </c>
      <c r="M295" s="2">
        <v>36870.879999999997</v>
      </c>
      <c r="N295">
        <v>0</v>
      </c>
      <c r="O295" s="3">
        <f t="shared" si="5"/>
        <v>402789.14999999997</v>
      </c>
    </row>
    <row r="296" spans="1:15" x14ac:dyDescent="0.2">
      <c r="A296" s="4">
        <v>2215</v>
      </c>
      <c r="B296" s="4">
        <v>1</v>
      </c>
      <c r="C296" s="2" t="s">
        <v>1155</v>
      </c>
      <c r="D296" s="2">
        <v>50034.18</v>
      </c>
      <c r="E296" s="2">
        <v>120254.26</v>
      </c>
      <c r="F296" s="2">
        <v>26598.22</v>
      </c>
      <c r="G296" s="2">
        <v>0</v>
      </c>
      <c r="H296" s="2">
        <v>19993.88</v>
      </c>
      <c r="I296" s="2">
        <v>0</v>
      </c>
      <c r="J296" s="2">
        <v>0</v>
      </c>
      <c r="K296" s="2">
        <v>5827.06</v>
      </c>
      <c r="L296" s="2">
        <v>0</v>
      </c>
      <c r="M296" s="2">
        <v>5864.89</v>
      </c>
      <c r="N296">
        <v>0</v>
      </c>
      <c r="O296" s="3">
        <f t="shared" si="5"/>
        <v>228572.49000000002</v>
      </c>
    </row>
    <row r="297" spans="1:15" x14ac:dyDescent="0.2">
      <c r="A297" s="4">
        <v>2310</v>
      </c>
      <c r="B297" s="4">
        <v>1</v>
      </c>
      <c r="C297" s="2" t="s">
        <v>297</v>
      </c>
      <c r="D297" s="2">
        <v>310677.06</v>
      </c>
      <c r="E297" s="2">
        <v>174313.97</v>
      </c>
      <c r="F297" s="2">
        <v>69650.559999999998</v>
      </c>
      <c r="G297" s="2">
        <v>0</v>
      </c>
      <c r="H297" s="2">
        <v>25193.54</v>
      </c>
      <c r="I297" s="2">
        <v>0</v>
      </c>
      <c r="J297" s="2">
        <v>-1882.99</v>
      </c>
      <c r="K297" s="2">
        <v>1882.99</v>
      </c>
      <c r="L297" s="2">
        <v>0</v>
      </c>
      <c r="M297" s="2">
        <v>49212.6</v>
      </c>
      <c r="N297">
        <v>0</v>
      </c>
      <c r="O297" s="3">
        <f t="shared" si="5"/>
        <v>629047.7300000001</v>
      </c>
    </row>
    <row r="298" spans="1:15" x14ac:dyDescent="0.2">
      <c r="A298" s="4">
        <v>2311</v>
      </c>
      <c r="B298" s="4">
        <v>1</v>
      </c>
      <c r="C298" s="2" t="s">
        <v>1154</v>
      </c>
      <c r="D298" s="2">
        <v>99390.27</v>
      </c>
      <c r="E298" s="2">
        <v>94632.37</v>
      </c>
      <c r="F298" s="2">
        <v>57346.63</v>
      </c>
      <c r="G298" s="2">
        <v>8613.4699999999993</v>
      </c>
      <c r="H298" s="2">
        <v>10003.93</v>
      </c>
      <c r="I298" s="2">
        <v>0</v>
      </c>
      <c r="J298" s="2">
        <v>0</v>
      </c>
      <c r="K298" s="2">
        <v>18112.88</v>
      </c>
      <c r="L298" s="2">
        <v>0</v>
      </c>
      <c r="M298" s="2">
        <v>22674.82</v>
      </c>
      <c r="N298">
        <v>0</v>
      </c>
      <c r="O298" s="3">
        <f t="shared" si="5"/>
        <v>310774.37000000005</v>
      </c>
    </row>
    <row r="299" spans="1:15" x14ac:dyDescent="0.2">
      <c r="A299" s="4">
        <v>2342</v>
      </c>
      <c r="B299" s="4">
        <v>1</v>
      </c>
      <c r="C299" s="2" t="s">
        <v>1153</v>
      </c>
      <c r="D299" s="2">
        <v>264948.78000000003</v>
      </c>
      <c r="E299" s="2">
        <v>382935.01</v>
      </c>
      <c r="F299" s="2">
        <v>76124.09</v>
      </c>
      <c r="G299" s="2">
        <v>0</v>
      </c>
      <c r="H299" s="2">
        <v>19820.93</v>
      </c>
      <c r="I299" s="2">
        <v>0</v>
      </c>
      <c r="J299" s="2">
        <v>0</v>
      </c>
      <c r="K299" s="2">
        <v>1018.21</v>
      </c>
      <c r="L299" s="2">
        <v>0</v>
      </c>
      <c r="M299" s="2">
        <v>36007.61</v>
      </c>
      <c r="N299">
        <v>0</v>
      </c>
      <c r="O299" s="3">
        <f t="shared" si="5"/>
        <v>780854.63</v>
      </c>
    </row>
    <row r="300" spans="1:15" x14ac:dyDescent="0.2">
      <c r="A300" s="4">
        <v>2358</v>
      </c>
      <c r="B300" s="4">
        <v>1</v>
      </c>
      <c r="C300" s="2" t="s">
        <v>300</v>
      </c>
      <c r="D300" s="2">
        <v>44345.120000000003</v>
      </c>
      <c r="E300" s="2">
        <v>71641.759999999995</v>
      </c>
      <c r="F300" s="2">
        <v>36123.39</v>
      </c>
      <c r="G300" s="2">
        <v>2260.84</v>
      </c>
      <c r="H300" s="2">
        <v>10003.59</v>
      </c>
      <c r="I300" s="2">
        <v>0</v>
      </c>
      <c r="J300" s="2">
        <v>-47.33</v>
      </c>
      <c r="K300" s="2">
        <v>2505.79</v>
      </c>
      <c r="L300" s="2">
        <v>0</v>
      </c>
      <c r="M300" s="2">
        <v>9650.02</v>
      </c>
      <c r="N300">
        <v>0</v>
      </c>
      <c r="O300" s="3">
        <f t="shared" si="5"/>
        <v>176483.18000000002</v>
      </c>
    </row>
    <row r="301" spans="1:15" x14ac:dyDescent="0.2">
      <c r="A301" s="4">
        <v>2364</v>
      </c>
      <c r="B301" s="4">
        <v>1</v>
      </c>
      <c r="C301" s="2" t="s">
        <v>1152</v>
      </c>
      <c r="D301" s="2">
        <v>132604.28</v>
      </c>
      <c r="E301" s="2">
        <v>171575.46</v>
      </c>
      <c r="F301" s="2">
        <v>33392.53</v>
      </c>
      <c r="G301" s="2">
        <v>11.77</v>
      </c>
      <c r="H301" s="2">
        <v>21852</v>
      </c>
      <c r="I301" s="2">
        <v>0</v>
      </c>
      <c r="J301" s="2">
        <v>0</v>
      </c>
      <c r="K301" s="2">
        <v>-4000</v>
      </c>
      <c r="L301" s="2">
        <v>0</v>
      </c>
      <c r="M301" s="2">
        <v>28045.919999999998</v>
      </c>
      <c r="N301">
        <v>0</v>
      </c>
      <c r="O301" s="3">
        <f t="shared" si="5"/>
        <v>383481.96</v>
      </c>
    </row>
    <row r="302" spans="1:15" x14ac:dyDescent="0.2">
      <c r="A302" s="4">
        <v>2365</v>
      </c>
      <c r="B302" s="4">
        <v>1</v>
      </c>
      <c r="C302" s="2" t="s">
        <v>302</v>
      </c>
      <c r="D302" s="2">
        <v>234269.56</v>
      </c>
      <c r="E302" s="2">
        <v>140142.35999999999</v>
      </c>
      <c r="F302" s="2">
        <v>150758.15</v>
      </c>
      <c r="G302" s="2">
        <v>1584.22</v>
      </c>
      <c r="H302" s="2">
        <v>21782.26</v>
      </c>
      <c r="I302" s="2">
        <v>0</v>
      </c>
      <c r="J302" s="2">
        <v>0</v>
      </c>
      <c r="K302" s="2">
        <v>3256.52</v>
      </c>
      <c r="L302" s="2">
        <v>0</v>
      </c>
      <c r="M302" s="2">
        <v>47402.06</v>
      </c>
      <c r="N302">
        <v>0</v>
      </c>
      <c r="O302" s="3">
        <f t="shared" si="5"/>
        <v>599195.12999999989</v>
      </c>
    </row>
    <row r="303" spans="1:15" x14ac:dyDescent="0.2">
      <c r="A303" s="4">
        <v>2396</v>
      </c>
      <c r="B303" s="4">
        <v>1</v>
      </c>
      <c r="C303" s="2" t="s">
        <v>303</v>
      </c>
      <c r="D303" s="2">
        <v>245572.68</v>
      </c>
      <c r="E303" s="2">
        <v>325099.25</v>
      </c>
      <c r="F303" s="2">
        <v>102338.72</v>
      </c>
      <c r="G303" s="2">
        <v>6520.58</v>
      </c>
      <c r="H303" s="2">
        <v>15643.37</v>
      </c>
      <c r="I303" s="2">
        <v>0</v>
      </c>
      <c r="J303" s="2">
        <v>0</v>
      </c>
      <c r="K303" s="2">
        <v>-1859.52</v>
      </c>
      <c r="L303" s="2">
        <v>0</v>
      </c>
      <c r="M303" s="2">
        <v>60985.22</v>
      </c>
      <c r="N303">
        <v>0</v>
      </c>
      <c r="O303" s="3">
        <f t="shared" si="5"/>
        <v>754300.29999999981</v>
      </c>
    </row>
    <row r="304" spans="1:15" x14ac:dyDescent="0.2">
      <c r="A304" s="4">
        <v>2397</v>
      </c>
      <c r="B304" s="4">
        <v>1</v>
      </c>
      <c r="C304" s="2" t="s">
        <v>1151</v>
      </c>
      <c r="D304" s="2">
        <v>252555.34</v>
      </c>
      <c r="E304" s="2">
        <v>349396.26</v>
      </c>
      <c r="F304" s="2">
        <v>75648.160000000003</v>
      </c>
      <c r="G304" s="2">
        <v>0</v>
      </c>
      <c r="H304" s="2">
        <v>23796.080000000002</v>
      </c>
      <c r="I304" s="2">
        <v>0</v>
      </c>
      <c r="J304" s="2">
        <v>0</v>
      </c>
      <c r="K304" s="2">
        <v>13772.77</v>
      </c>
      <c r="L304" s="2">
        <v>0</v>
      </c>
      <c r="M304" s="2">
        <v>48045.81</v>
      </c>
      <c r="N304">
        <v>0</v>
      </c>
      <c r="O304" s="3">
        <f t="shared" si="5"/>
        <v>763214.41999999993</v>
      </c>
    </row>
    <row r="305" spans="1:15" x14ac:dyDescent="0.2">
      <c r="A305" s="4">
        <v>2448</v>
      </c>
      <c r="B305" s="4">
        <v>1</v>
      </c>
      <c r="C305" s="2" t="s">
        <v>1150</v>
      </c>
      <c r="D305" s="2">
        <v>246230.25</v>
      </c>
      <c r="E305" s="2">
        <v>271730.46000000002</v>
      </c>
      <c r="F305" s="2">
        <v>221365</v>
      </c>
      <c r="G305" s="2">
        <v>0</v>
      </c>
      <c r="H305" s="2">
        <v>23111.9</v>
      </c>
      <c r="I305" s="2">
        <v>0</v>
      </c>
      <c r="J305" s="2">
        <v>0</v>
      </c>
      <c r="K305" s="2">
        <v>9829.42</v>
      </c>
      <c r="L305" s="2">
        <v>0</v>
      </c>
      <c r="M305" s="2">
        <v>34346.050000000003</v>
      </c>
      <c r="N305">
        <v>0</v>
      </c>
      <c r="O305" s="3">
        <f t="shared" si="5"/>
        <v>806613.08000000007</v>
      </c>
    </row>
    <row r="306" spans="1:15" x14ac:dyDescent="0.2">
      <c r="A306" s="4">
        <v>2527</v>
      </c>
      <c r="B306" s="4">
        <v>1</v>
      </c>
      <c r="C306" s="2" t="s">
        <v>1149</v>
      </c>
      <c r="D306" s="2">
        <v>104925.14</v>
      </c>
      <c r="E306" s="2">
        <v>57520.22</v>
      </c>
      <c r="F306" s="2">
        <v>61388.37</v>
      </c>
      <c r="G306" s="2">
        <v>0</v>
      </c>
      <c r="H306" s="2">
        <v>9400.85</v>
      </c>
      <c r="I306" s="2">
        <v>0</v>
      </c>
      <c r="J306" s="2">
        <v>0</v>
      </c>
      <c r="K306" s="2">
        <v>-8629.2800000000007</v>
      </c>
      <c r="L306" s="2">
        <v>0</v>
      </c>
      <c r="M306" s="2">
        <v>10967.28</v>
      </c>
      <c r="N306">
        <v>0</v>
      </c>
      <c r="O306" s="3">
        <f t="shared" si="5"/>
        <v>235572.58</v>
      </c>
    </row>
    <row r="307" spans="1:15" x14ac:dyDescent="0.2">
      <c r="A307" s="4">
        <v>2534</v>
      </c>
      <c r="B307" s="4">
        <v>1</v>
      </c>
      <c r="C307" s="2" t="s">
        <v>1148</v>
      </c>
      <c r="D307" s="2">
        <v>189180.62</v>
      </c>
      <c r="E307" s="2">
        <v>83499.77</v>
      </c>
      <c r="F307" s="2">
        <v>96802.28</v>
      </c>
      <c r="G307" s="2">
        <v>0</v>
      </c>
      <c r="H307" s="2">
        <v>20985.89</v>
      </c>
      <c r="I307" s="2">
        <v>0</v>
      </c>
      <c r="J307" s="2">
        <v>0</v>
      </c>
      <c r="K307" s="2">
        <v>-14382.97</v>
      </c>
      <c r="L307" s="2">
        <v>0</v>
      </c>
      <c r="M307" s="2">
        <v>33598.400000000001</v>
      </c>
      <c r="N307">
        <v>0</v>
      </c>
      <c r="O307" s="3">
        <f t="shared" si="5"/>
        <v>409683.99000000011</v>
      </c>
    </row>
    <row r="308" spans="1:15" x14ac:dyDescent="0.2">
      <c r="A308" s="4">
        <v>2536</v>
      </c>
      <c r="B308" s="4">
        <v>1</v>
      </c>
      <c r="C308" s="2" t="s">
        <v>1146</v>
      </c>
      <c r="D308" s="2">
        <v>62691.1</v>
      </c>
      <c r="E308" s="2">
        <v>195639.17</v>
      </c>
      <c r="F308" s="2">
        <v>112538.9</v>
      </c>
      <c r="G308" s="2">
        <v>0</v>
      </c>
      <c r="H308" s="2">
        <v>0</v>
      </c>
      <c r="I308" s="2">
        <v>0</v>
      </c>
      <c r="J308" s="2">
        <v>0</v>
      </c>
      <c r="K308" s="2">
        <v>10147.69</v>
      </c>
      <c r="L308" s="2">
        <v>0</v>
      </c>
      <c r="M308" s="2">
        <v>17713.919999999998</v>
      </c>
      <c r="N308">
        <v>0</v>
      </c>
      <c r="O308" s="3">
        <f t="shared" si="5"/>
        <v>398730.78</v>
      </c>
    </row>
    <row r="309" spans="1:15" x14ac:dyDescent="0.2">
      <c r="A309" s="4">
        <v>2580</v>
      </c>
      <c r="B309" s="4">
        <v>1</v>
      </c>
      <c r="C309" s="2" t="s">
        <v>1147</v>
      </c>
      <c r="D309" s="2">
        <v>152060.64000000001</v>
      </c>
      <c r="E309" s="2">
        <v>0</v>
      </c>
      <c r="F309" s="2">
        <v>47527.08</v>
      </c>
      <c r="G309" s="2">
        <v>0</v>
      </c>
      <c r="H309" s="2">
        <v>13240.87</v>
      </c>
      <c r="I309" s="2">
        <v>0</v>
      </c>
      <c r="J309" s="2">
        <v>0</v>
      </c>
      <c r="K309" s="2">
        <v>23911.03</v>
      </c>
      <c r="L309" s="2">
        <v>0</v>
      </c>
      <c r="M309" s="2">
        <v>33917.879999999997</v>
      </c>
      <c r="N309">
        <v>0</v>
      </c>
      <c r="O309" s="3">
        <f t="shared" si="5"/>
        <v>270657.5</v>
      </c>
    </row>
    <row r="310" spans="1:15" x14ac:dyDescent="0.2">
      <c r="A310" s="4">
        <v>2609</v>
      </c>
      <c r="B310" s="4">
        <v>1</v>
      </c>
      <c r="C310" s="2" t="s">
        <v>310</v>
      </c>
      <c r="D310" s="2">
        <v>115075</v>
      </c>
      <c r="E310" s="2">
        <v>123333.55</v>
      </c>
      <c r="F310" s="2">
        <v>16182.82</v>
      </c>
      <c r="G310" s="2">
        <v>2194.98</v>
      </c>
      <c r="H310" s="2">
        <v>10709.73</v>
      </c>
      <c r="I310" s="2">
        <v>0</v>
      </c>
      <c r="J310" s="2">
        <v>0</v>
      </c>
      <c r="K310" s="2">
        <v>-6809</v>
      </c>
      <c r="L310" s="2">
        <v>0</v>
      </c>
      <c r="M310" s="2">
        <v>16921.54</v>
      </c>
      <c r="N310">
        <v>0</v>
      </c>
      <c r="O310" s="3">
        <f t="shared" si="5"/>
        <v>277608.62</v>
      </c>
    </row>
    <row r="311" spans="1:15" x14ac:dyDescent="0.2">
      <c r="A311" s="4">
        <v>2683</v>
      </c>
      <c r="B311" s="4">
        <v>1</v>
      </c>
      <c r="C311" s="2" t="s">
        <v>1145</v>
      </c>
      <c r="D311" s="2">
        <v>53340.43</v>
      </c>
      <c r="E311" s="2">
        <v>56963.82</v>
      </c>
      <c r="F311" s="2">
        <v>57512.51</v>
      </c>
      <c r="G311" s="2">
        <v>0</v>
      </c>
      <c r="H311" s="2">
        <v>10003.39</v>
      </c>
      <c r="I311" s="2">
        <v>0</v>
      </c>
      <c r="J311" s="2">
        <v>0</v>
      </c>
      <c r="K311" s="2">
        <v>-1007.36</v>
      </c>
      <c r="L311" s="2">
        <v>0</v>
      </c>
      <c r="M311" s="2">
        <v>13951.6</v>
      </c>
      <c r="N311">
        <v>0</v>
      </c>
      <c r="O311" s="3">
        <f t="shared" si="5"/>
        <v>190764.39000000004</v>
      </c>
    </row>
    <row r="312" spans="1:15" x14ac:dyDescent="0.2">
      <c r="A312" s="4">
        <v>2687</v>
      </c>
      <c r="B312" s="4">
        <v>1</v>
      </c>
      <c r="C312" s="2" t="s">
        <v>1144</v>
      </c>
      <c r="D312" s="2">
        <v>290817.53000000003</v>
      </c>
      <c r="E312" s="2">
        <v>203707.48</v>
      </c>
      <c r="F312" s="2">
        <v>128380.69</v>
      </c>
      <c r="G312" s="2">
        <v>0</v>
      </c>
      <c r="H312" s="2">
        <v>21886.69</v>
      </c>
      <c r="I312" s="2">
        <v>0</v>
      </c>
      <c r="J312" s="2">
        <v>0</v>
      </c>
      <c r="K312" s="2">
        <v>16552.34</v>
      </c>
      <c r="L312" s="2">
        <v>0</v>
      </c>
      <c r="M312" s="2">
        <v>55921.59</v>
      </c>
      <c r="N312">
        <v>0</v>
      </c>
      <c r="O312" s="3">
        <f t="shared" si="5"/>
        <v>717266.31999999983</v>
      </c>
    </row>
    <row r="313" spans="1:15" x14ac:dyDescent="0.2">
      <c r="A313" s="4">
        <v>2689</v>
      </c>
      <c r="B313" s="4">
        <v>1</v>
      </c>
      <c r="C313" s="2" t="s">
        <v>1143</v>
      </c>
      <c r="D313" s="2">
        <v>203084.13</v>
      </c>
      <c r="E313" s="2">
        <v>368452.85</v>
      </c>
      <c r="F313" s="2">
        <v>41180.28</v>
      </c>
      <c r="G313" s="2">
        <v>0</v>
      </c>
      <c r="H313" s="2">
        <v>10008.92</v>
      </c>
      <c r="I313" s="2">
        <v>0</v>
      </c>
      <c r="J313" s="2">
        <v>0</v>
      </c>
      <c r="K313" s="2">
        <v>9004.73</v>
      </c>
      <c r="L313" s="2">
        <v>0</v>
      </c>
      <c r="M313" s="2">
        <v>52423.27</v>
      </c>
      <c r="N313">
        <v>0</v>
      </c>
      <c r="O313" s="3">
        <f t="shared" si="5"/>
        <v>684154.18</v>
      </c>
    </row>
    <row r="314" spans="1:15" x14ac:dyDescent="0.2">
      <c r="A314" s="4">
        <v>2711</v>
      </c>
      <c r="B314" s="4">
        <v>1</v>
      </c>
      <c r="C314" s="2" t="s">
        <v>314</v>
      </c>
      <c r="D314" s="2">
        <v>0</v>
      </c>
      <c r="E314" s="2">
        <v>0</v>
      </c>
      <c r="F314" s="2">
        <v>76000.399999999994</v>
      </c>
      <c r="G314" s="2">
        <v>7178.43</v>
      </c>
      <c r="H314" s="2">
        <v>19647.05</v>
      </c>
      <c r="I314" s="2">
        <v>310064.71999999997</v>
      </c>
      <c r="J314" s="2">
        <v>0</v>
      </c>
      <c r="K314" s="2">
        <v>23651.94</v>
      </c>
      <c r="L314" s="2">
        <v>0</v>
      </c>
      <c r="M314" s="2">
        <v>0</v>
      </c>
      <c r="N314">
        <v>0</v>
      </c>
      <c r="O314" s="3">
        <f t="shared" si="5"/>
        <v>436542.54</v>
      </c>
    </row>
    <row r="315" spans="1:15" x14ac:dyDescent="0.2">
      <c r="A315" s="4">
        <v>2752</v>
      </c>
      <c r="B315" s="4">
        <v>1</v>
      </c>
      <c r="C315" s="2" t="s">
        <v>1142</v>
      </c>
      <c r="D315" s="2">
        <v>567232.57999999996</v>
      </c>
      <c r="E315" s="2">
        <v>691803.46</v>
      </c>
      <c r="F315" s="2">
        <v>54445.41</v>
      </c>
      <c r="G315" s="2">
        <v>0</v>
      </c>
      <c r="H315" s="2">
        <v>41375.870000000003</v>
      </c>
      <c r="I315" s="2">
        <v>0</v>
      </c>
      <c r="J315" s="2">
        <v>0</v>
      </c>
      <c r="K315" s="2">
        <v>60051.92</v>
      </c>
      <c r="L315" s="2">
        <v>0</v>
      </c>
      <c r="M315" s="2">
        <v>73624.83</v>
      </c>
      <c r="N315">
        <v>0</v>
      </c>
      <c r="O315" s="3">
        <f t="shared" si="5"/>
        <v>1488534.07</v>
      </c>
    </row>
    <row r="316" spans="1:15" x14ac:dyDescent="0.2">
      <c r="A316" s="4">
        <v>2753</v>
      </c>
      <c r="B316" s="4">
        <v>1</v>
      </c>
      <c r="C316" s="2" t="s">
        <v>1141</v>
      </c>
      <c r="D316" s="2">
        <v>217360.96</v>
      </c>
      <c r="E316" s="2">
        <v>213959.31</v>
      </c>
      <c r="F316" s="2">
        <v>61420.61</v>
      </c>
      <c r="G316" s="2">
        <v>0</v>
      </c>
      <c r="H316" s="2">
        <v>74106.38</v>
      </c>
      <c r="I316" s="2">
        <v>0</v>
      </c>
      <c r="J316" s="2">
        <v>0</v>
      </c>
      <c r="K316" s="2">
        <v>-20142.29</v>
      </c>
      <c r="L316" s="2">
        <v>0</v>
      </c>
      <c r="M316" s="2">
        <v>13817.11</v>
      </c>
      <c r="N316">
        <v>0</v>
      </c>
      <c r="O316" s="3">
        <f t="shared" si="5"/>
        <v>560522.07999999996</v>
      </c>
    </row>
    <row r="317" spans="1:15" x14ac:dyDescent="0.2">
      <c r="A317" s="4">
        <v>2754</v>
      </c>
      <c r="B317" s="4">
        <v>1</v>
      </c>
      <c r="C317" s="2" t="s">
        <v>317</v>
      </c>
      <c r="D317" s="2">
        <v>155863.87</v>
      </c>
      <c r="E317" s="2">
        <v>0</v>
      </c>
      <c r="F317" s="2">
        <v>98018.3</v>
      </c>
      <c r="G317" s="2">
        <v>8095.57</v>
      </c>
      <c r="H317" s="2">
        <v>10003.16</v>
      </c>
      <c r="I317" s="2">
        <v>0</v>
      </c>
      <c r="J317" s="2">
        <v>-3592.27</v>
      </c>
      <c r="K317" s="2">
        <v>8371.98</v>
      </c>
      <c r="L317" s="2">
        <v>0</v>
      </c>
      <c r="M317" s="2">
        <v>25063.51</v>
      </c>
      <c r="N317">
        <v>0</v>
      </c>
      <c r="O317" s="3">
        <f t="shared" si="5"/>
        <v>301824.11999999994</v>
      </c>
    </row>
    <row r="318" spans="1:15" x14ac:dyDescent="0.2">
      <c r="A318" s="4">
        <v>2759</v>
      </c>
      <c r="B318" s="4">
        <v>1</v>
      </c>
      <c r="C318" s="2" t="s">
        <v>1140</v>
      </c>
      <c r="D318" s="2">
        <v>67909.740000000005</v>
      </c>
      <c r="E318" s="2">
        <v>70843.539999999994</v>
      </c>
      <c r="F318" s="2">
        <v>12843.72</v>
      </c>
      <c r="G318" s="2">
        <v>0</v>
      </c>
      <c r="H318" s="2">
        <v>8.23</v>
      </c>
      <c r="I318" s="2">
        <v>0</v>
      </c>
      <c r="J318" s="2">
        <v>0</v>
      </c>
      <c r="K318" s="2">
        <v>-8140.21</v>
      </c>
      <c r="L318" s="2">
        <v>0</v>
      </c>
      <c r="M318" s="2">
        <v>7402.75</v>
      </c>
      <c r="N318">
        <v>0</v>
      </c>
      <c r="O318" s="3">
        <f t="shared" si="5"/>
        <v>150867.77000000002</v>
      </c>
    </row>
    <row r="319" spans="1:15" x14ac:dyDescent="0.2">
      <c r="A319" s="4">
        <v>2769</v>
      </c>
      <c r="B319" s="4">
        <v>1</v>
      </c>
      <c r="C319" s="2" t="s">
        <v>1167</v>
      </c>
      <c r="D319" s="2">
        <v>224979.71999999997</v>
      </c>
      <c r="E319" s="2">
        <v>161964.91</v>
      </c>
      <c r="F319" s="2">
        <v>185416.57</v>
      </c>
      <c r="G319" s="2">
        <v>0</v>
      </c>
      <c r="H319" s="2">
        <v>19133.580000000002</v>
      </c>
      <c r="I319" s="2">
        <v>0</v>
      </c>
      <c r="J319" s="2">
        <v>0</v>
      </c>
      <c r="K319" s="2">
        <v>10163.530000000001</v>
      </c>
      <c r="L319" s="2">
        <v>0</v>
      </c>
      <c r="M319" s="2">
        <v>53437.119999999995</v>
      </c>
      <c r="N319">
        <v>0</v>
      </c>
      <c r="O319" s="3">
        <f t="shared" si="5"/>
        <v>655095.42999999993</v>
      </c>
    </row>
    <row r="320" spans="1:15" x14ac:dyDescent="0.2">
      <c r="A320" s="4">
        <v>2805</v>
      </c>
      <c r="B320" s="4">
        <v>1</v>
      </c>
      <c r="C320" s="2" t="s">
        <v>319</v>
      </c>
      <c r="D320" s="2">
        <v>240086.86</v>
      </c>
      <c r="E320" s="2">
        <v>366385.7</v>
      </c>
      <c r="F320" s="2">
        <v>152693.4</v>
      </c>
      <c r="G320" s="2">
        <v>0</v>
      </c>
      <c r="H320" s="2">
        <v>23521.48</v>
      </c>
      <c r="I320" s="2">
        <v>0</v>
      </c>
      <c r="J320" s="2">
        <v>0</v>
      </c>
      <c r="K320" s="2">
        <v>3103.63</v>
      </c>
      <c r="L320" s="2">
        <v>0</v>
      </c>
      <c r="M320" s="2">
        <v>77380.92</v>
      </c>
      <c r="N320">
        <v>0</v>
      </c>
      <c r="O320" s="3">
        <f t="shared" ref="O320:O341" si="6">SUM(D320:N320)</f>
        <v>863171.99000000011</v>
      </c>
    </row>
    <row r="321" spans="1:15" x14ac:dyDescent="0.2">
      <c r="A321" s="4">
        <v>2835</v>
      </c>
      <c r="B321" s="4">
        <v>1</v>
      </c>
      <c r="C321" s="2" t="s">
        <v>1139</v>
      </c>
      <c r="D321" s="2">
        <v>139088.64000000001</v>
      </c>
      <c r="E321" s="2">
        <v>401966.11</v>
      </c>
      <c r="F321" s="2">
        <v>161255.4</v>
      </c>
      <c r="G321" s="2">
        <v>0</v>
      </c>
      <c r="H321" s="2">
        <v>18679.37</v>
      </c>
      <c r="I321" s="2">
        <v>0</v>
      </c>
      <c r="J321" s="2">
        <v>0</v>
      </c>
      <c r="K321" s="2">
        <v>11179.02</v>
      </c>
      <c r="L321" s="2">
        <v>0</v>
      </c>
      <c r="M321" s="2">
        <v>26955.99</v>
      </c>
      <c r="N321">
        <v>0</v>
      </c>
      <c r="O321" s="3">
        <f t="shared" si="6"/>
        <v>759124.53</v>
      </c>
    </row>
    <row r="322" spans="1:15" x14ac:dyDescent="0.2">
      <c r="A322" s="4">
        <v>2853</v>
      </c>
      <c r="B322" s="4">
        <v>1</v>
      </c>
      <c r="C322" s="2" t="s">
        <v>1138</v>
      </c>
      <c r="D322" s="2">
        <v>267050.78999999998</v>
      </c>
      <c r="E322" s="2">
        <v>261278.57</v>
      </c>
      <c r="F322" s="2">
        <v>88378.21</v>
      </c>
      <c r="G322" s="2">
        <v>642.47</v>
      </c>
      <c r="H322" s="2">
        <v>30058.36</v>
      </c>
      <c r="I322" s="2">
        <v>0</v>
      </c>
      <c r="J322" s="2">
        <v>0</v>
      </c>
      <c r="K322" s="2">
        <v>11831</v>
      </c>
      <c r="L322" s="2">
        <v>0</v>
      </c>
      <c r="M322" s="2">
        <v>49336.85</v>
      </c>
      <c r="N322">
        <v>0</v>
      </c>
      <c r="O322" s="3">
        <f t="shared" si="6"/>
        <v>708576.24999999988</v>
      </c>
    </row>
    <row r="323" spans="1:15" x14ac:dyDescent="0.2">
      <c r="A323" s="4">
        <v>2854</v>
      </c>
      <c r="B323" s="4">
        <v>1</v>
      </c>
      <c r="C323" s="2" t="s">
        <v>322</v>
      </c>
      <c r="D323" s="2">
        <v>115384.39</v>
      </c>
      <c r="E323" s="2">
        <v>44011.16</v>
      </c>
      <c r="F323" s="2">
        <v>40913.339999999997</v>
      </c>
      <c r="G323" s="2">
        <v>0</v>
      </c>
      <c r="H323" s="2">
        <v>24058.48</v>
      </c>
      <c r="I323" s="2">
        <v>0</v>
      </c>
      <c r="J323" s="2">
        <v>0</v>
      </c>
      <c r="K323" s="2">
        <v>0</v>
      </c>
      <c r="L323" s="2">
        <v>0</v>
      </c>
      <c r="M323" s="2">
        <v>18116.79</v>
      </c>
      <c r="N323">
        <v>0</v>
      </c>
      <c r="O323" s="3">
        <f t="shared" si="6"/>
        <v>242484.16</v>
      </c>
    </row>
    <row r="324" spans="1:15" x14ac:dyDescent="0.2">
      <c r="A324" s="4">
        <v>2856</v>
      </c>
      <c r="B324" s="4">
        <v>1</v>
      </c>
      <c r="C324" s="2" t="s">
        <v>1137</v>
      </c>
      <c r="D324" s="2">
        <v>164543.62</v>
      </c>
      <c r="E324" s="2">
        <v>0</v>
      </c>
      <c r="F324" s="2">
        <v>122060.62</v>
      </c>
      <c r="G324" s="2">
        <v>2021.24</v>
      </c>
      <c r="H324" s="2">
        <v>10003.75</v>
      </c>
      <c r="I324" s="2">
        <v>0</v>
      </c>
      <c r="J324" s="2">
        <v>0</v>
      </c>
      <c r="K324" s="2">
        <v>16811.89</v>
      </c>
      <c r="L324" s="2">
        <v>0</v>
      </c>
      <c r="M324" s="2">
        <v>25151.96</v>
      </c>
      <c r="N324">
        <v>0</v>
      </c>
      <c r="O324" s="3">
        <f t="shared" si="6"/>
        <v>340593.08</v>
      </c>
    </row>
    <row r="325" spans="1:15" x14ac:dyDescent="0.2">
      <c r="A325" s="4">
        <v>2859</v>
      </c>
      <c r="B325" s="4">
        <v>1</v>
      </c>
      <c r="C325" s="2" t="s">
        <v>1136</v>
      </c>
      <c r="D325" s="2">
        <v>348586.91</v>
      </c>
      <c r="E325" s="2">
        <v>392708.09</v>
      </c>
      <c r="F325" s="2">
        <v>168353.22</v>
      </c>
      <c r="G325" s="2">
        <v>3949.77</v>
      </c>
      <c r="H325" s="2">
        <v>29815.54</v>
      </c>
      <c r="I325" s="2">
        <v>0</v>
      </c>
      <c r="J325" s="2">
        <v>0</v>
      </c>
      <c r="K325" s="2">
        <v>24517.67</v>
      </c>
      <c r="L325" s="2">
        <v>0</v>
      </c>
      <c r="M325" s="2">
        <v>79281.33</v>
      </c>
      <c r="N325">
        <v>0</v>
      </c>
      <c r="O325" s="3">
        <f t="shared" si="6"/>
        <v>1047212.53</v>
      </c>
    </row>
    <row r="326" spans="1:15" x14ac:dyDescent="0.2">
      <c r="A326" s="4">
        <v>2860</v>
      </c>
      <c r="B326" s="4">
        <v>1</v>
      </c>
      <c r="C326" s="2" t="s">
        <v>325</v>
      </c>
      <c r="D326" s="2">
        <v>277421.53999999998</v>
      </c>
      <c r="E326" s="2">
        <v>70365.53</v>
      </c>
      <c r="F326" s="2">
        <v>161661.34</v>
      </c>
      <c r="G326" s="2">
        <v>0</v>
      </c>
      <c r="H326" s="2">
        <v>0</v>
      </c>
      <c r="I326" s="2">
        <v>0</v>
      </c>
      <c r="J326" s="2">
        <v>-7497.06</v>
      </c>
      <c r="K326" s="2">
        <v>7497.06</v>
      </c>
      <c r="L326" s="2">
        <v>0</v>
      </c>
      <c r="M326" s="2">
        <v>63385.04</v>
      </c>
      <c r="N326">
        <v>0</v>
      </c>
      <c r="O326" s="3">
        <f t="shared" si="6"/>
        <v>572833.44999999995</v>
      </c>
    </row>
    <row r="327" spans="1:15" x14ac:dyDescent="0.2">
      <c r="A327" s="4">
        <v>2884</v>
      </c>
      <c r="B327" s="4">
        <v>1</v>
      </c>
      <c r="C327" s="2" t="s">
        <v>326</v>
      </c>
      <c r="D327" s="2">
        <v>109281.89</v>
      </c>
      <c r="E327" s="2">
        <v>214577.9</v>
      </c>
      <c r="F327" s="2">
        <v>56094.94</v>
      </c>
      <c r="G327" s="2">
        <v>16313.15</v>
      </c>
      <c r="H327" s="2">
        <v>0</v>
      </c>
      <c r="I327" s="2">
        <v>0</v>
      </c>
      <c r="J327" s="2">
        <v>0</v>
      </c>
      <c r="K327" s="2">
        <v>0</v>
      </c>
      <c r="L327" s="2">
        <v>0</v>
      </c>
      <c r="M327" s="2">
        <v>17427.96</v>
      </c>
      <c r="N327">
        <v>0</v>
      </c>
      <c r="O327" s="3">
        <f t="shared" si="6"/>
        <v>413695.84</v>
      </c>
    </row>
    <row r="328" spans="1:15" x14ac:dyDescent="0.2">
      <c r="A328" s="4">
        <v>2886</v>
      </c>
      <c r="B328" s="4">
        <v>1</v>
      </c>
      <c r="C328" s="2" t="s">
        <v>327</v>
      </c>
      <c r="D328" s="2">
        <v>71079.02</v>
      </c>
      <c r="E328" s="2">
        <v>934.71</v>
      </c>
      <c r="F328" s="2">
        <v>122081.61</v>
      </c>
      <c r="G328" s="2">
        <v>519.49</v>
      </c>
      <c r="H328" s="2">
        <v>10002.790000000001</v>
      </c>
      <c r="I328" s="2">
        <v>0</v>
      </c>
      <c r="J328" s="2">
        <v>0</v>
      </c>
      <c r="K328" s="2">
        <v>4359.59</v>
      </c>
      <c r="L328" s="2">
        <v>0</v>
      </c>
      <c r="M328" s="2">
        <v>11390.87</v>
      </c>
      <c r="N328">
        <v>0</v>
      </c>
      <c r="O328" s="3">
        <f t="shared" si="6"/>
        <v>220368.08000000002</v>
      </c>
    </row>
    <row r="329" spans="1:15" x14ac:dyDescent="0.2">
      <c r="A329" s="4">
        <v>2888</v>
      </c>
      <c r="B329" s="4">
        <v>1</v>
      </c>
      <c r="C329" s="2" t="s">
        <v>1135</v>
      </c>
      <c r="D329" s="2">
        <v>78620.02</v>
      </c>
      <c r="E329" s="2">
        <v>73226.509999999995</v>
      </c>
      <c r="F329" s="2">
        <v>38564.47</v>
      </c>
      <c r="G329" s="2">
        <v>5805.07</v>
      </c>
      <c r="H329" s="2">
        <v>10222.33</v>
      </c>
      <c r="I329" s="2">
        <v>0</v>
      </c>
      <c r="J329" s="2">
        <v>0</v>
      </c>
      <c r="K329" s="2">
        <v>4515.2700000000004</v>
      </c>
      <c r="L329" s="2">
        <v>0</v>
      </c>
      <c r="M329" s="2">
        <v>8267.0499999999993</v>
      </c>
      <c r="N329">
        <v>0</v>
      </c>
      <c r="O329" s="3">
        <f t="shared" si="6"/>
        <v>219220.71999999997</v>
      </c>
    </row>
    <row r="330" spans="1:15" x14ac:dyDescent="0.2">
      <c r="A330" s="4">
        <v>2889</v>
      </c>
      <c r="B330" s="4">
        <v>1</v>
      </c>
      <c r="C330" s="2" t="s">
        <v>1134</v>
      </c>
      <c r="D330" s="2">
        <v>183662.17</v>
      </c>
      <c r="E330" s="2">
        <v>257883.45</v>
      </c>
      <c r="F330" s="2">
        <v>70465.440000000002</v>
      </c>
      <c r="G330" s="2">
        <v>11121.56</v>
      </c>
      <c r="H330" s="2">
        <v>13499.19</v>
      </c>
      <c r="I330" s="2">
        <v>0</v>
      </c>
      <c r="J330" s="2">
        <v>0</v>
      </c>
      <c r="K330" s="2">
        <v>2783.97</v>
      </c>
      <c r="L330" s="2">
        <v>0</v>
      </c>
      <c r="M330" s="2">
        <v>36219.379999999997</v>
      </c>
      <c r="N330">
        <v>0</v>
      </c>
      <c r="O330" s="3">
        <f t="shared" si="6"/>
        <v>575635.15999999992</v>
      </c>
    </row>
    <row r="331" spans="1:15" x14ac:dyDescent="0.2">
      <c r="A331" s="4">
        <v>2890</v>
      </c>
      <c r="B331" s="4">
        <v>1</v>
      </c>
      <c r="C331" s="2" t="s">
        <v>1133</v>
      </c>
      <c r="D331" s="2">
        <v>245598.28</v>
      </c>
      <c r="E331" s="2">
        <v>292901.28999999998</v>
      </c>
      <c r="F331" s="2">
        <v>202355.05</v>
      </c>
      <c r="G331" s="2">
        <v>0</v>
      </c>
      <c r="H331" s="2">
        <v>13042.28</v>
      </c>
      <c r="I331" s="2">
        <v>0</v>
      </c>
      <c r="J331" s="2">
        <v>0</v>
      </c>
      <c r="K331" s="2">
        <v>1491.11</v>
      </c>
      <c r="L331" s="2">
        <v>0</v>
      </c>
      <c r="M331" s="2">
        <v>31076.17</v>
      </c>
      <c r="N331">
        <v>0</v>
      </c>
      <c r="O331" s="3">
        <f t="shared" si="6"/>
        <v>786464.17999999993</v>
      </c>
    </row>
    <row r="332" spans="1:15" x14ac:dyDescent="0.2">
      <c r="A332" s="4">
        <v>2895</v>
      </c>
      <c r="B332" s="4">
        <v>1</v>
      </c>
      <c r="C332" s="2" t="s">
        <v>1132</v>
      </c>
      <c r="D332" s="2">
        <v>307503.96999999997</v>
      </c>
      <c r="E332" s="2">
        <v>394046.22</v>
      </c>
      <c r="F332" s="2">
        <v>40827.550000000003</v>
      </c>
      <c r="G332" s="2">
        <v>13469.21</v>
      </c>
      <c r="H332" s="2">
        <v>21039.68</v>
      </c>
      <c r="I332" s="2">
        <v>0</v>
      </c>
      <c r="J332" s="2">
        <v>0</v>
      </c>
      <c r="K332" s="2">
        <v>15218.9</v>
      </c>
      <c r="L332" s="2">
        <v>0</v>
      </c>
      <c r="M332" s="2">
        <v>56038.720000000001</v>
      </c>
      <c r="N332">
        <v>0</v>
      </c>
      <c r="O332" s="3">
        <f t="shared" si="6"/>
        <v>848144.25</v>
      </c>
    </row>
    <row r="333" spans="1:15" x14ac:dyDescent="0.2">
      <c r="A333" s="4">
        <v>2897</v>
      </c>
      <c r="B333" s="4">
        <v>1</v>
      </c>
      <c r="C333" s="2" t="s">
        <v>1131</v>
      </c>
      <c r="D333" s="2">
        <v>206470.39</v>
      </c>
      <c r="E333" s="2">
        <v>380350.4</v>
      </c>
      <c r="F333" s="2">
        <v>0</v>
      </c>
      <c r="G333" s="2">
        <v>0</v>
      </c>
      <c r="H333" s="2">
        <v>0</v>
      </c>
      <c r="I333" s="2">
        <v>0</v>
      </c>
      <c r="J333" s="2">
        <v>0</v>
      </c>
      <c r="K333" s="2">
        <v>27471.8</v>
      </c>
      <c r="L333" s="2">
        <v>0</v>
      </c>
      <c r="M333" s="2">
        <v>54460.67</v>
      </c>
      <c r="N333">
        <v>0</v>
      </c>
      <c r="O333" s="3">
        <f t="shared" si="6"/>
        <v>668753.26000000013</v>
      </c>
    </row>
    <row r="334" spans="1:15" x14ac:dyDescent="0.2">
      <c r="A334" s="4">
        <v>2898</v>
      </c>
      <c r="B334" s="4">
        <v>1</v>
      </c>
      <c r="C334" s="2" t="s">
        <v>1130</v>
      </c>
      <c r="D334" s="2">
        <v>123186.91</v>
      </c>
      <c r="E334" s="2">
        <v>0</v>
      </c>
      <c r="F334" s="2">
        <v>115844.14</v>
      </c>
      <c r="G334" s="2">
        <v>0</v>
      </c>
      <c r="H334" s="2">
        <v>488</v>
      </c>
      <c r="I334" s="2">
        <v>0</v>
      </c>
      <c r="J334" s="2">
        <v>0</v>
      </c>
      <c r="K334" s="2">
        <v>-10000</v>
      </c>
      <c r="L334" s="2">
        <v>0</v>
      </c>
      <c r="M334" s="2">
        <v>16588.150000000001</v>
      </c>
      <c r="N334">
        <v>0</v>
      </c>
      <c r="O334" s="3">
        <f t="shared" si="6"/>
        <v>246107.19999999998</v>
      </c>
    </row>
    <row r="335" spans="1:15" x14ac:dyDescent="0.2">
      <c r="A335" s="4">
        <v>2899</v>
      </c>
      <c r="B335" s="4">
        <v>1</v>
      </c>
      <c r="C335" s="2" t="s">
        <v>1079</v>
      </c>
      <c r="D335" s="2">
        <v>330080.48</v>
      </c>
      <c r="E335" s="2">
        <v>125443.74</v>
      </c>
      <c r="F335" s="2">
        <v>24224.82</v>
      </c>
      <c r="G335" s="2">
        <v>0</v>
      </c>
      <c r="H335" s="2">
        <v>31901.99</v>
      </c>
      <c r="I335" s="2">
        <v>0</v>
      </c>
      <c r="J335" s="2">
        <v>0</v>
      </c>
      <c r="K335" s="2">
        <v>17968.07</v>
      </c>
      <c r="L335" s="2">
        <v>0</v>
      </c>
      <c r="M335" s="2">
        <v>41734.76</v>
      </c>
      <c r="N335">
        <v>0</v>
      </c>
      <c r="O335" s="3">
        <f t="shared" si="6"/>
        <v>571353.86</v>
      </c>
    </row>
    <row r="336" spans="1:15" x14ac:dyDescent="0.2">
      <c r="A336" s="4">
        <v>2902</v>
      </c>
      <c r="B336" s="4">
        <v>1</v>
      </c>
      <c r="C336" s="2" t="s">
        <v>493</v>
      </c>
      <c r="D336" s="2">
        <v>196269.48</v>
      </c>
      <c r="E336" s="2">
        <v>56957.97</v>
      </c>
      <c r="F336" s="2">
        <v>56182.83</v>
      </c>
      <c r="G336" s="2">
        <v>479.17</v>
      </c>
      <c r="H336" s="2">
        <v>12089.51</v>
      </c>
      <c r="I336" s="2">
        <v>0</v>
      </c>
      <c r="J336" s="2">
        <v>0</v>
      </c>
      <c r="K336" s="2">
        <v>3536.66</v>
      </c>
      <c r="L336" s="2">
        <v>0</v>
      </c>
      <c r="M336" s="2">
        <v>21726.14</v>
      </c>
      <c r="N336">
        <v>0</v>
      </c>
      <c r="O336" s="3">
        <f t="shared" si="6"/>
        <v>347241.76</v>
      </c>
    </row>
    <row r="337" spans="1:15" x14ac:dyDescent="0.2">
      <c r="A337" s="4">
        <v>2903</v>
      </c>
      <c r="B337" s="4">
        <v>1</v>
      </c>
      <c r="C337" s="2" t="s">
        <v>633</v>
      </c>
      <c r="D337" s="2">
        <v>154033.4</v>
      </c>
      <c r="E337" s="2">
        <v>101916.34</v>
      </c>
      <c r="F337" s="2">
        <v>78903.95</v>
      </c>
      <c r="G337" s="2">
        <v>0</v>
      </c>
      <c r="H337" s="2">
        <v>10144.15</v>
      </c>
      <c r="I337" s="2">
        <v>0</v>
      </c>
      <c r="J337" s="2">
        <v>-8.5500000000000007</v>
      </c>
      <c r="K337" s="2">
        <v>8.5500000000000007</v>
      </c>
      <c r="L337" s="2">
        <v>0</v>
      </c>
      <c r="M337" s="2">
        <v>22453.07</v>
      </c>
      <c r="N337">
        <v>0</v>
      </c>
      <c r="O337" s="3">
        <f t="shared" si="6"/>
        <v>367450.91000000003</v>
      </c>
    </row>
    <row r="338" spans="1:15" x14ac:dyDescent="0.2">
      <c r="A338" s="4">
        <v>2904</v>
      </c>
      <c r="B338" s="4">
        <v>1</v>
      </c>
      <c r="C338" s="2" t="s">
        <v>634</v>
      </c>
      <c r="D338" s="2">
        <v>211049.54</v>
      </c>
      <c r="E338" s="2">
        <v>166596.74</v>
      </c>
      <c r="F338" s="2">
        <v>99195.199999999997</v>
      </c>
      <c r="G338" s="2">
        <v>4004.21</v>
      </c>
      <c r="H338" s="2">
        <v>17255.7</v>
      </c>
      <c r="I338" s="2">
        <v>0</v>
      </c>
      <c r="J338" s="2">
        <v>0</v>
      </c>
      <c r="K338" s="2">
        <v>1879.77</v>
      </c>
      <c r="L338" s="2">
        <v>0</v>
      </c>
      <c r="M338" s="2">
        <v>37122.14</v>
      </c>
      <c r="N338">
        <v>0</v>
      </c>
      <c r="O338" s="3">
        <f t="shared" si="6"/>
        <v>537103.30000000005</v>
      </c>
    </row>
    <row r="339" spans="1:15" x14ac:dyDescent="0.2">
      <c r="A339" s="4">
        <v>2905</v>
      </c>
      <c r="B339" s="4">
        <v>1</v>
      </c>
      <c r="C339" s="2" t="s">
        <v>1129</v>
      </c>
      <c r="D339" s="2">
        <v>536537.51</v>
      </c>
      <c r="E339" s="2">
        <v>383104.56</v>
      </c>
      <c r="F339" s="2">
        <v>24770.37</v>
      </c>
      <c r="G339" s="2">
        <v>0</v>
      </c>
      <c r="H339" s="2">
        <v>31947.200000000001</v>
      </c>
      <c r="I339" s="2">
        <v>0</v>
      </c>
      <c r="J339" s="2">
        <v>0</v>
      </c>
      <c r="K339" s="2">
        <v>33516.18</v>
      </c>
      <c r="L339" s="2">
        <v>0</v>
      </c>
      <c r="M339" s="2">
        <v>69885.58</v>
      </c>
      <c r="N339">
        <v>0</v>
      </c>
      <c r="O339" s="3">
        <f t="shared" si="6"/>
        <v>1079761.4000000001</v>
      </c>
    </row>
    <row r="340" spans="1:15" x14ac:dyDescent="0.2">
      <c r="A340" s="4">
        <v>2906</v>
      </c>
      <c r="B340" s="4">
        <v>1</v>
      </c>
      <c r="C340" s="2" t="s">
        <v>1085</v>
      </c>
      <c r="D340" s="2">
        <v>82252.739999999991</v>
      </c>
      <c r="E340" s="2">
        <v>82744.5</v>
      </c>
      <c r="F340" s="2">
        <v>99235.76999999999</v>
      </c>
      <c r="G340" s="2">
        <v>5099.47</v>
      </c>
      <c r="H340" s="2">
        <v>12229.28</v>
      </c>
      <c r="I340" s="2">
        <v>0</v>
      </c>
      <c r="J340" s="2">
        <v>0</v>
      </c>
      <c r="K340" s="2">
        <v>-4120.07</v>
      </c>
      <c r="L340" s="2">
        <v>0</v>
      </c>
      <c r="M340" s="2">
        <v>23605.989999999998</v>
      </c>
      <c r="N340">
        <v>0</v>
      </c>
      <c r="O340" s="3">
        <f t="shared" si="6"/>
        <v>301047.67999999999</v>
      </c>
    </row>
    <row r="341" spans="1:15" x14ac:dyDescent="0.2">
      <c r="A341" s="4">
        <v>2907</v>
      </c>
      <c r="B341" s="4">
        <v>1</v>
      </c>
      <c r="C341" s="2" t="s">
        <v>1127</v>
      </c>
      <c r="D341" s="2">
        <v>142813.1</v>
      </c>
      <c r="E341" s="2">
        <v>77337.19</v>
      </c>
      <c r="F341" s="2">
        <v>77208.320000000007</v>
      </c>
      <c r="G341" s="2">
        <v>7070.9400000000005</v>
      </c>
      <c r="H341" s="2">
        <v>3822.23</v>
      </c>
      <c r="I341" s="2">
        <v>0</v>
      </c>
      <c r="J341" s="2">
        <v>0</v>
      </c>
      <c r="K341" s="2">
        <v>61264.520000000004</v>
      </c>
      <c r="L341" s="2">
        <v>0</v>
      </c>
      <c r="M341" s="2">
        <v>19745.669999999998</v>
      </c>
      <c r="N341">
        <v>0</v>
      </c>
      <c r="O341" s="3">
        <f t="shared" si="6"/>
        <v>389261.97</v>
      </c>
    </row>
    <row r="342" spans="1:15" x14ac:dyDescent="0.2">
      <c r="A342" s="4">
        <v>2908</v>
      </c>
      <c r="B342" s="4">
        <v>1</v>
      </c>
      <c r="C342" s="2" t="s">
        <v>1128</v>
      </c>
      <c r="D342" s="2">
        <v>161904.79</v>
      </c>
      <c r="E342" s="2">
        <v>235233.04</v>
      </c>
      <c r="F342" s="2">
        <v>0</v>
      </c>
      <c r="G342" s="2">
        <v>0</v>
      </c>
      <c r="H342" s="2">
        <v>20007.5</v>
      </c>
      <c r="I342" s="2">
        <v>0</v>
      </c>
      <c r="J342" s="2">
        <v>-5590</v>
      </c>
      <c r="K342" s="2">
        <v>-4885.6899999999996</v>
      </c>
      <c r="L342" s="2">
        <v>0</v>
      </c>
      <c r="M342" s="2">
        <v>18280.88</v>
      </c>
      <c r="N342">
        <v>0</v>
      </c>
      <c r="O342" s="3">
        <f>SUM(D342:N342)</f>
        <v>424950.52</v>
      </c>
    </row>
    <row r="343" spans="1:15" x14ac:dyDescent="0.2">
      <c r="A343" s="159" t="s">
        <v>1241</v>
      </c>
    </row>
  </sheetData>
  <phoneticPr fontId="0" type="noConversion"/>
  <printOptions horizontalCentered="1"/>
  <pageMargins left="0.5" right="0.5" top="1" bottom="1" header="0.5" footer="0.5"/>
  <pageSetup scale="79" fitToHeight="0" orientation="landscape" r:id="rId1"/>
  <headerFooter alignWithMargins="0">
    <oddFooter>&amp;C&amp;P of &amp;N</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BD343"/>
  <sheetViews>
    <sheetView workbookViewId="0">
      <pane xSplit="3" ySplit="7" topLeftCell="D8" activePane="bottomRight" state="frozen"/>
      <selection pane="topRight" activeCell="D1" sqref="D1"/>
      <selection pane="bottomLeft" activeCell="A8" sqref="A8"/>
      <selection pane="bottomRight"/>
    </sheetView>
  </sheetViews>
  <sheetFormatPr defaultColWidth="0" defaultRowHeight="11.25" zeroHeight="1" x14ac:dyDescent="0.2"/>
  <cols>
    <col min="1" max="1" width="7" style="4" customWidth="1"/>
    <col min="2" max="2" width="6.83203125" style="4" customWidth="1"/>
    <col min="3" max="3" width="18.33203125" style="2" customWidth="1"/>
    <col min="4" max="4" width="15.33203125" style="3" customWidth="1"/>
    <col min="5" max="5" width="13.83203125" style="3" customWidth="1"/>
    <col min="6" max="6" width="16" style="19" customWidth="1"/>
    <col min="7" max="10" width="16" style="3" customWidth="1"/>
    <col min="11" max="13" width="17.6640625" style="3" customWidth="1"/>
    <col min="14" max="14" width="16.6640625" style="3" customWidth="1"/>
    <col min="15" max="15" width="16.6640625" style="142" customWidth="1"/>
    <col min="16" max="16" width="16.6640625" style="3" customWidth="1"/>
    <col min="17" max="17" width="15.1640625" style="3" bestFit="1" customWidth="1"/>
    <col min="18" max="28" width="14.83203125" style="3" customWidth="1"/>
    <col min="29" max="30" width="9.33203125" style="2" customWidth="1"/>
    <col min="31" max="31" width="10.5" style="2" bestFit="1" customWidth="1"/>
    <col min="32" max="35" width="9.33203125" style="2" customWidth="1"/>
    <col min="36" max="36" width="15.6640625" style="2" bestFit="1" customWidth="1"/>
    <col min="37" max="37" width="6.1640625" style="2" bestFit="1" customWidth="1"/>
    <col min="38" max="38" width="16.5" style="2" bestFit="1" customWidth="1"/>
    <col min="39" max="39" width="9.33203125" style="2" customWidth="1"/>
    <col min="40" max="40" width="14.83203125" style="2" bestFit="1" customWidth="1"/>
    <col min="41" max="41" width="9.33203125" style="2" customWidth="1"/>
    <col min="42" max="42" width="15.1640625" style="2" bestFit="1" customWidth="1"/>
    <col min="43" max="43" width="9.33203125" style="2" customWidth="1"/>
    <col min="44" max="44" width="14.1640625" style="2" bestFit="1" customWidth="1"/>
    <col min="45" max="45" width="9.33203125" style="2" customWidth="1"/>
    <col min="46" max="46" width="15.33203125" style="2" bestFit="1" customWidth="1"/>
    <col min="47" max="47" width="9.33203125" style="2" customWidth="1"/>
    <col min="48" max="48" width="15.83203125" style="2" bestFit="1" customWidth="1"/>
    <col min="49" max="51" width="9.33203125" style="2" customWidth="1"/>
    <col min="52" max="52" width="14.1640625" style="2" bestFit="1" customWidth="1"/>
    <col min="53" max="53" width="9.33203125" style="2" customWidth="1"/>
    <col min="54" max="54" width="16.6640625" style="2" bestFit="1" customWidth="1"/>
    <col min="55" max="55" width="16.6640625" style="2" customWidth="1"/>
    <col min="56" max="56" width="9.33203125" style="2" customWidth="1"/>
    <col min="57" max="16384" width="9.33203125" style="2" hidden="1"/>
  </cols>
  <sheetData>
    <row r="1" spans="1:56" ht="24" x14ac:dyDescent="0.3">
      <c r="A1" s="243" t="s">
        <v>483</v>
      </c>
      <c r="F1" s="195" t="s">
        <v>1090</v>
      </c>
      <c r="G1" s="195"/>
      <c r="H1" s="195"/>
      <c r="I1" s="195"/>
      <c r="J1" s="195"/>
      <c r="K1" s="195"/>
      <c r="L1" s="195"/>
      <c r="M1" s="195"/>
      <c r="N1" s="195"/>
      <c r="O1" s="195"/>
      <c r="V1" s="134">
        <f>Report!I1</f>
        <v>41828</v>
      </c>
      <c r="W1" s="134"/>
      <c r="X1" s="134"/>
      <c r="Y1" s="134"/>
      <c r="Z1" s="134"/>
      <c r="AA1" s="134"/>
      <c r="AB1" s="134"/>
    </row>
    <row r="2" spans="1:56" x14ac:dyDescent="0.2">
      <c r="A2" s="150" t="str">
        <f>"Preliminary "&amp;Instructions!P2&amp;" credits"</f>
        <v>Preliminary Pay 2013 credits</v>
      </c>
      <c r="AF2" s="169" t="s">
        <v>1091</v>
      </c>
      <c r="AG2" s="171"/>
      <c r="AH2" s="171"/>
      <c r="AI2"/>
      <c r="AJ2" s="169" t="s">
        <v>1092</v>
      </c>
      <c r="AK2" s="169" t="s">
        <v>725</v>
      </c>
      <c r="AL2" s="169" t="s">
        <v>1093</v>
      </c>
      <c r="AM2" s="169" t="s">
        <v>726</v>
      </c>
      <c r="AN2" s="169" t="s">
        <v>1094</v>
      </c>
      <c r="AO2" s="169" t="s">
        <v>727</v>
      </c>
      <c r="AP2" s="169" t="s">
        <v>1095</v>
      </c>
      <c r="AQ2" s="169" t="s">
        <v>728</v>
      </c>
      <c r="AR2" s="169" t="s">
        <v>1096</v>
      </c>
      <c r="AS2" s="169" t="s">
        <v>729</v>
      </c>
      <c r="AT2" s="169" t="s">
        <v>1097</v>
      </c>
      <c r="AU2" s="169" t="s">
        <v>730</v>
      </c>
      <c r="AV2" s="169" t="s">
        <v>1098</v>
      </c>
      <c r="AW2" s="169" t="s">
        <v>731</v>
      </c>
      <c r="AX2" s="169" t="s">
        <v>1099</v>
      </c>
      <c r="AY2" s="169" t="s">
        <v>732</v>
      </c>
      <c r="AZ2" s="169" t="s">
        <v>1100</v>
      </c>
      <c r="BA2" s="169" t="s">
        <v>733</v>
      </c>
      <c r="BB2" s="169"/>
      <c r="BC2" s="169"/>
    </row>
    <row r="3" spans="1:56" x14ac:dyDescent="0.2">
      <c r="A3" s="150" t="str">
        <f>Instructions!P1&amp;" Levy"</f>
        <v>Pay 2014 Levy</v>
      </c>
      <c r="B3" s="17"/>
      <c r="C3" s="3"/>
      <c r="D3" s="155"/>
      <c r="E3" s="155"/>
      <c r="F3" s="156" t="s">
        <v>667</v>
      </c>
      <c r="G3" s="155" t="s">
        <v>668</v>
      </c>
      <c r="H3" s="155" t="s">
        <v>669</v>
      </c>
      <c r="I3" s="155" t="s">
        <v>670</v>
      </c>
      <c r="J3" s="155" t="s">
        <v>671</v>
      </c>
      <c r="K3" s="155" t="s">
        <v>672</v>
      </c>
      <c r="L3" s="155" t="s">
        <v>673</v>
      </c>
      <c r="M3" s="155" t="s">
        <v>675</v>
      </c>
      <c r="N3" s="155" t="s">
        <v>674</v>
      </c>
      <c r="O3" s="142">
        <v>2240935898.98</v>
      </c>
      <c r="U3" s="182" t="s">
        <v>746</v>
      </c>
      <c r="V3" s="166"/>
      <c r="W3" s="166"/>
      <c r="X3" s="166"/>
      <c r="Y3" s="166"/>
      <c r="AC3" s="3"/>
      <c r="AD3" s="3"/>
      <c r="AF3" s="169" t="s">
        <v>623</v>
      </c>
      <c r="AG3" s="171" t="s">
        <v>624</v>
      </c>
      <c r="AH3" s="171" t="s">
        <v>625</v>
      </c>
      <c r="AI3" t="s">
        <v>1101</v>
      </c>
      <c r="AJ3" s="169" t="s">
        <v>1102</v>
      </c>
      <c r="AK3" s="169" t="s">
        <v>1103</v>
      </c>
      <c r="AL3" s="169" t="s">
        <v>1104</v>
      </c>
      <c r="AM3" s="169" t="s">
        <v>1105</v>
      </c>
      <c r="AN3" s="169" t="s">
        <v>1106</v>
      </c>
      <c r="AO3" s="169" t="s">
        <v>1107</v>
      </c>
      <c r="AP3" s="169" t="s">
        <v>1108</v>
      </c>
      <c r="AQ3" s="169" t="s">
        <v>1109</v>
      </c>
      <c r="AR3" s="169" t="s">
        <v>1110</v>
      </c>
      <c r="AS3" s="169" t="s">
        <v>1111</v>
      </c>
      <c r="AT3" s="169" t="s">
        <v>1112</v>
      </c>
      <c r="AU3" s="169" t="s">
        <v>1113</v>
      </c>
      <c r="AV3" s="169" t="s">
        <v>1114</v>
      </c>
      <c r="AW3" s="169" t="s">
        <v>1115</v>
      </c>
      <c r="AX3" s="169" t="s">
        <v>1116</v>
      </c>
      <c r="AY3" s="169" t="s">
        <v>1117</v>
      </c>
      <c r="AZ3" s="169" t="s">
        <v>1118</v>
      </c>
      <c r="BA3" s="169" t="s">
        <v>1119</v>
      </c>
      <c r="BB3" s="204" t="s">
        <v>1121</v>
      </c>
      <c r="BC3" s="204" t="s">
        <v>743</v>
      </c>
    </row>
    <row r="4" spans="1:56" s="7" customFormat="1" ht="22.7" customHeight="1" x14ac:dyDescent="0.2">
      <c r="A4" s="194" t="s">
        <v>679</v>
      </c>
      <c r="B4" s="194"/>
      <c r="C4" s="194"/>
      <c r="D4" s="138" t="s">
        <v>665</v>
      </c>
      <c r="E4" s="138" t="s">
        <v>649</v>
      </c>
      <c r="F4" s="16" t="s">
        <v>636</v>
      </c>
      <c r="G4" s="153" t="s">
        <v>637</v>
      </c>
      <c r="H4" s="8" t="s">
        <v>638</v>
      </c>
      <c r="I4" s="153" t="s">
        <v>639</v>
      </c>
      <c r="J4" s="8" t="s">
        <v>640</v>
      </c>
      <c r="K4" s="8" t="s">
        <v>641</v>
      </c>
      <c r="L4" s="8" t="s">
        <v>642</v>
      </c>
      <c r="M4" s="8" t="s">
        <v>643</v>
      </c>
      <c r="N4" s="8" t="s">
        <v>644</v>
      </c>
      <c r="O4" s="143" t="s">
        <v>484</v>
      </c>
      <c r="P4" s="8" t="s">
        <v>482</v>
      </c>
      <c r="Q4" s="8" t="s">
        <v>481</v>
      </c>
      <c r="R4" s="8" t="s">
        <v>480</v>
      </c>
      <c r="S4" s="153" t="s">
        <v>676</v>
      </c>
      <c r="T4" s="153" t="s">
        <v>677</v>
      </c>
      <c r="U4" s="153" t="s">
        <v>685</v>
      </c>
      <c r="V4" s="153" t="s">
        <v>686</v>
      </c>
      <c r="W4" s="153" t="s">
        <v>687</v>
      </c>
      <c r="X4" s="153" t="s">
        <v>688</v>
      </c>
      <c r="Y4" s="153" t="s">
        <v>678</v>
      </c>
      <c r="Z4" s="153"/>
      <c r="AA4" s="153"/>
      <c r="AB4" s="153"/>
      <c r="AJ4" s="167" t="s">
        <v>667</v>
      </c>
      <c r="AK4" s="167" t="s">
        <v>725</v>
      </c>
      <c r="AL4" s="162" t="s">
        <v>668</v>
      </c>
      <c r="AM4" s="162" t="s">
        <v>726</v>
      </c>
      <c r="AN4" s="162" t="s">
        <v>669</v>
      </c>
      <c r="AO4" s="162" t="s">
        <v>727</v>
      </c>
      <c r="AP4" s="162" t="s">
        <v>670</v>
      </c>
      <c r="AQ4" s="162" t="s">
        <v>728</v>
      </c>
      <c r="AR4" s="162" t="s">
        <v>671</v>
      </c>
      <c r="AS4" s="162" t="s">
        <v>729</v>
      </c>
      <c r="AT4" s="162" t="s">
        <v>672</v>
      </c>
      <c r="AU4" s="162" t="s">
        <v>730</v>
      </c>
      <c r="AV4" s="162" t="s">
        <v>673</v>
      </c>
      <c r="AW4" s="162" t="s">
        <v>731</v>
      </c>
      <c r="AX4" s="162" t="s">
        <v>675</v>
      </c>
      <c r="AY4" s="162" t="s">
        <v>732</v>
      </c>
      <c r="AZ4" s="162" t="s">
        <v>674</v>
      </c>
      <c r="BA4" s="162" t="s">
        <v>733</v>
      </c>
      <c r="BB4" s="205" t="s">
        <v>1122</v>
      </c>
      <c r="BC4" s="205" t="s">
        <v>1123</v>
      </c>
    </row>
    <row r="5" spans="1:56" ht="12.75" x14ac:dyDescent="0.2">
      <c r="A5" s="157">
        <v>0</v>
      </c>
    </row>
    <row r="6" spans="1:56" x14ac:dyDescent="0.2">
      <c r="C6" s="2" t="s">
        <v>340</v>
      </c>
      <c r="D6" s="3">
        <f t="shared" ref="D6:Y6" si="0">SUM(D9:D340)</f>
        <v>0</v>
      </c>
      <c r="E6" s="3">
        <f t="shared" si="0"/>
        <v>0</v>
      </c>
      <c r="F6" s="3">
        <f t="shared" si="0"/>
        <v>530525427.1699999</v>
      </c>
      <c r="G6" s="3">
        <f t="shared" si="0"/>
        <v>336399264.74999982</v>
      </c>
      <c r="H6" s="3">
        <f t="shared" si="0"/>
        <v>60897103.600000001</v>
      </c>
      <c r="I6" s="3">
        <f t="shared" si="0"/>
        <v>481543123.81999993</v>
      </c>
      <c r="J6" s="3">
        <f t="shared" si="0"/>
        <v>74876385.850000054</v>
      </c>
      <c r="K6" s="3">
        <f t="shared" si="0"/>
        <v>578022678.55999982</v>
      </c>
      <c r="L6" s="3">
        <f t="shared" si="0"/>
        <v>223587831.76999992</v>
      </c>
      <c r="M6" s="3">
        <f t="shared" si="0"/>
        <v>0</v>
      </c>
      <c r="N6" s="3">
        <f t="shared" si="0"/>
        <v>70274641.219999999</v>
      </c>
      <c r="O6" s="3">
        <f t="shared" si="0"/>
        <v>2356126456.7399988</v>
      </c>
      <c r="P6" s="3">
        <f t="shared" si="0"/>
        <v>1489201764.8200014</v>
      </c>
      <c r="Q6" s="3">
        <f t="shared" si="0"/>
        <v>542440227.42000008</v>
      </c>
      <c r="R6" s="3">
        <f t="shared" si="0"/>
        <v>74876385.850000054</v>
      </c>
      <c r="S6" s="3">
        <f t="shared" si="0"/>
        <v>801610510.33000028</v>
      </c>
      <c r="T6" s="3">
        <f t="shared" si="0"/>
        <v>70274641.219999999</v>
      </c>
      <c r="U6" s="3">
        <f t="shared" si="0"/>
        <v>4962360.0599999996</v>
      </c>
      <c r="V6" s="3">
        <f t="shared" si="0"/>
        <v>800117.73999999906</v>
      </c>
      <c r="W6" s="3">
        <f t="shared" si="0"/>
        <v>9715067.2399999946</v>
      </c>
      <c r="X6" s="3">
        <f t="shared" si="0"/>
        <v>1663388.7200000002</v>
      </c>
      <c r="Y6" s="3">
        <f t="shared" si="0"/>
        <v>17140933.760000005</v>
      </c>
      <c r="AE6" s="3">
        <f>SUM(AE9:AE340)</f>
        <v>0</v>
      </c>
      <c r="AF6"/>
      <c r="AG6"/>
      <c r="AH6"/>
      <c r="AI6"/>
      <c r="AJ6" s="3">
        <f>SUM(AJ9:AJ340)</f>
        <v>530527820.23999989</v>
      </c>
      <c r="AK6" s="3">
        <f t="shared" ref="AK6:BA6" si="1">SUM(AK9:AK340)</f>
        <v>-2393.0700000000002</v>
      </c>
      <c r="AL6" s="3">
        <f t="shared" si="1"/>
        <v>336455450.03999984</v>
      </c>
      <c r="AM6" s="3">
        <f t="shared" si="1"/>
        <v>-56185.29</v>
      </c>
      <c r="AN6" s="3">
        <f t="shared" si="1"/>
        <v>60897103.600000001</v>
      </c>
      <c r="AO6" s="3">
        <f t="shared" si="1"/>
        <v>0</v>
      </c>
      <c r="AP6" s="3">
        <f t="shared" si="1"/>
        <v>481484544.80999994</v>
      </c>
      <c r="AQ6" s="3">
        <f t="shared" si="1"/>
        <v>58579.01</v>
      </c>
      <c r="AR6" s="3">
        <f t="shared" si="1"/>
        <v>74876385.850000054</v>
      </c>
      <c r="AS6" s="3">
        <f t="shared" si="1"/>
        <v>0</v>
      </c>
      <c r="AT6" s="3">
        <f t="shared" si="1"/>
        <v>578022678.55999982</v>
      </c>
      <c r="AU6" s="3">
        <f t="shared" si="1"/>
        <v>0</v>
      </c>
      <c r="AV6" s="3">
        <f t="shared" si="1"/>
        <v>223587831.76999992</v>
      </c>
      <c r="AW6" s="3">
        <f t="shared" si="1"/>
        <v>0</v>
      </c>
      <c r="AX6" s="3">
        <f t="shared" si="1"/>
        <v>0</v>
      </c>
      <c r="AY6" s="3">
        <f t="shared" si="1"/>
        <v>0</v>
      </c>
      <c r="AZ6" s="3">
        <f t="shared" si="1"/>
        <v>70274641.219999999</v>
      </c>
      <c r="BA6" s="3">
        <f t="shared" si="1"/>
        <v>0</v>
      </c>
      <c r="BB6" s="3">
        <f>SUM(BB9:BB340)</f>
        <v>2356126456.7399988</v>
      </c>
      <c r="BC6" s="3">
        <f>SUM(BC9:BC340)</f>
        <v>2356126454.7299986</v>
      </c>
      <c r="BD6" s="3">
        <v>0</v>
      </c>
    </row>
    <row r="7" spans="1:56" x14ac:dyDescent="0.2">
      <c r="AF7" s="169" t="s">
        <v>623</v>
      </c>
      <c r="AG7" s="171" t="s">
        <v>624</v>
      </c>
      <c r="AH7" s="171" t="s">
        <v>625</v>
      </c>
      <c r="AI7"/>
      <c r="AJ7" s="169" t="s">
        <v>734</v>
      </c>
      <c r="AK7" s="169"/>
      <c r="AL7" s="169" t="s">
        <v>735</v>
      </c>
      <c r="AM7" s="169"/>
      <c r="AN7" s="169" t="s">
        <v>736</v>
      </c>
      <c r="AO7" s="169"/>
      <c r="AP7" s="169" t="s">
        <v>737</v>
      </c>
      <c r="AQ7" s="169"/>
      <c r="AR7" s="169" t="s">
        <v>738</v>
      </c>
      <c r="AS7" s="169"/>
      <c r="AT7" s="169" t="s">
        <v>739</v>
      </c>
      <c r="AU7" s="169"/>
      <c r="AV7" s="169" t="s">
        <v>740</v>
      </c>
      <c r="AW7" s="169"/>
      <c r="AX7" s="169" t="s">
        <v>741</v>
      </c>
      <c r="AY7" s="169"/>
      <c r="AZ7" s="169" t="s">
        <v>742</v>
      </c>
      <c r="BA7" s="169"/>
      <c r="BB7" s="204" t="s">
        <v>1121</v>
      </c>
      <c r="BC7" s="204" t="s">
        <v>743</v>
      </c>
      <c r="BD7" s="161" t="s">
        <v>744</v>
      </c>
    </row>
    <row r="8" spans="1:56" x14ac:dyDescent="0.2">
      <c r="AF8" s="169"/>
      <c r="AG8" s="171"/>
      <c r="AH8" s="171"/>
      <c r="AI8"/>
      <c r="AJ8" s="169"/>
      <c r="AK8" s="169"/>
      <c r="AL8" s="169"/>
      <c r="AM8" s="169"/>
      <c r="AN8" s="169"/>
      <c r="AO8" s="169"/>
      <c r="AP8" s="169"/>
      <c r="AQ8" s="169"/>
      <c r="AR8" s="169"/>
      <c r="AS8" s="169"/>
      <c r="AT8" s="169"/>
      <c r="AU8" s="169"/>
      <c r="AV8" s="169"/>
      <c r="AW8" s="169"/>
      <c r="AX8" s="169"/>
      <c r="AY8" s="169"/>
      <c r="AZ8" s="169"/>
      <c r="BA8" s="169"/>
      <c r="BB8" s="169"/>
      <c r="BC8" s="169"/>
      <c r="BD8" s="161"/>
    </row>
    <row r="9" spans="1:56" ht="12" x14ac:dyDescent="0.2">
      <c r="A9" s="4">
        <v>1</v>
      </c>
      <c r="B9" s="4">
        <v>1</v>
      </c>
      <c r="C9" s="2" t="s">
        <v>5</v>
      </c>
      <c r="D9" s="3">
        <v>0</v>
      </c>
      <c r="E9" s="3">
        <v>0</v>
      </c>
      <c r="F9" s="227">
        <f>+AJ9+AK9</f>
        <v>3</v>
      </c>
      <c r="G9" s="227">
        <f>+AL9+AM9</f>
        <v>512160</v>
      </c>
      <c r="H9" s="227">
        <f>+AN9+AO9</f>
        <v>0</v>
      </c>
      <c r="I9" s="227">
        <f>+AP9+AQ9</f>
        <v>376935</v>
      </c>
      <c r="J9" s="227">
        <f>+AR9+AS9</f>
        <v>0</v>
      </c>
      <c r="K9" s="227">
        <f>+AT9+AU9</f>
        <v>0</v>
      </c>
      <c r="L9" s="227">
        <f>+AV9+AW9</f>
        <v>122144</v>
      </c>
      <c r="M9" s="3">
        <f>+AX9+AY9</f>
        <v>0</v>
      </c>
      <c r="N9" s="227">
        <f>+AZ9+BA9</f>
        <v>0</v>
      </c>
      <c r="O9" s="142">
        <f>SUM(F9:N9)</f>
        <v>1011242</v>
      </c>
      <c r="P9" s="3">
        <f>SUM(H9:N9)</f>
        <v>499079</v>
      </c>
      <c r="Q9" s="3">
        <f>SUM(H9:I9)</f>
        <v>376935</v>
      </c>
      <c r="R9" s="3">
        <f>J9</f>
        <v>0</v>
      </c>
      <c r="S9" s="3">
        <f>K9+L9</f>
        <v>122144</v>
      </c>
      <c r="T9" s="3">
        <f>N9+M9</f>
        <v>0</v>
      </c>
      <c r="U9" s="3">
        <f>IF($A$5=1,IF($P9=0,0,ROUND(Q9/$P9*$E9,2)),Credits!D8)+Credits!J8</f>
        <v>39970.46</v>
      </c>
      <c r="V9" s="3">
        <f>IF($A$5=1,IF($P9=0,0,ROUND(R9/$P9*$E9,2)),Credits!E8)+Credits!K8</f>
        <v>2155.14</v>
      </c>
      <c r="W9" s="3">
        <f>IF($A$5=1,IF($P9=0,0,ROUND(S9/$P9*$E9,2)),Credits!F8)+Credits!L8</f>
        <v>14079.849999999999</v>
      </c>
      <c r="X9" s="3">
        <f>IF($A$5=1,IF($P9=0,0,ROUND(T9/$P9*$E9,2)),Credits!G8)+Credits!M8</f>
        <v>2155.14</v>
      </c>
      <c r="Y9" s="3">
        <f>SUM(U9:X9)</f>
        <v>58360.59</v>
      </c>
      <c r="AC9" s="4"/>
      <c r="AD9" s="4"/>
      <c r="AE9" s="2">
        <f t="shared" ref="AE9:AE72" si="2">+A9-AG9</f>
        <v>0</v>
      </c>
      <c r="AF9" s="170" t="s">
        <v>1120</v>
      </c>
      <c r="AG9" s="175">
        <v>1</v>
      </c>
      <c r="AH9" s="175">
        <v>1</v>
      </c>
      <c r="AI9" s="175">
        <v>1</v>
      </c>
      <c r="AJ9" s="176">
        <v>3</v>
      </c>
      <c r="AK9" s="176">
        <v>0</v>
      </c>
      <c r="AL9" s="176">
        <v>512160</v>
      </c>
      <c r="AM9" s="176">
        <v>0</v>
      </c>
      <c r="AN9" s="177">
        <v>0</v>
      </c>
      <c r="AO9" s="177">
        <v>0</v>
      </c>
      <c r="AP9" s="177">
        <v>376935</v>
      </c>
      <c r="AQ9" s="177">
        <v>0</v>
      </c>
      <c r="AR9" s="177">
        <v>0</v>
      </c>
      <c r="AS9" s="177">
        <v>0</v>
      </c>
      <c r="AT9" s="178">
        <v>0</v>
      </c>
      <c r="AU9" s="178">
        <v>0</v>
      </c>
      <c r="AV9" s="178">
        <v>122144</v>
      </c>
      <c r="AW9" s="179">
        <v>0</v>
      </c>
      <c r="AX9" s="180">
        <v>0</v>
      </c>
      <c r="AY9" s="180">
        <v>0</v>
      </c>
      <c r="AZ9" s="180">
        <v>0</v>
      </c>
      <c r="BA9" s="180">
        <v>0</v>
      </c>
      <c r="BB9" s="170">
        <f>SUM(AJ9:BA9)</f>
        <v>1011242</v>
      </c>
      <c r="BC9" s="170">
        <v>1011242.04</v>
      </c>
      <c r="BD9" s="2">
        <f>BB9-BC9</f>
        <v>-4.0000000037252903E-2</v>
      </c>
    </row>
    <row r="10" spans="1:56" ht="12" x14ac:dyDescent="0.2">
      <c r="A10" s="4">
        <v>1.2</v>
      </c>
      <c r="B10" s="4">
        <v>3</v>
      </c>
      <c r="C10" s="2" t="s">
        <v>6</v>
      </c>
      <c r="D10" s="3">
        <v>0</v>
      </c>
      <c r="E10" s="3">
        <v>0</v>
      </c>
      <c r="F10" s="227">
        <f t="shared" ref="F10:F73" si="3">+AJ10+AK10</f>
        <v>42963956.869999997</v>
      </c>
      <c r="G10" s="227">
        <f t="shared" ref="G10:G73" si="4">+AL10+AM10</f>
        <v>32244452.789999999</v>
      </c>
      <c r="H10" s="227">
        <f t="shared" ref="H10:H73" si="5">+AN10+AO10</f>
        <v>0</v>
      </c>
      <c r="I10" s="227">
        <f t="shared" ref="I10:I73" si="6">+AP10+AQ10</f>
        <v>40377224.859999999</v>
      </c>
      <c r="J10" s="227">
        <f t="shared" ref="J10:J73" si="7">+AR10+AS10</f>
        <v>4958084.99</v>
      </c>
      <c r="K10" s="227">
        <f t="shared" ref="K10:K73" si="8">+AT10+AU10</f>
        <v>0</v>
      </c>
      <c r="L10" s="227">
        <f t="shared" ref="L10:L73" si="9">+AV10+AW10</f>
        <v>51348833.229999997</v>
      </c>
      <c r="M10" s="3">
        <f t="shared" ref="M10:M73" si="10">+AX10+AY10</f>
        <v>0</v>
      </c>
      <c r="N10" s="227">
        <f t="shared" ref="N10:N73" si="11">+AZ10+BA10</f>
        <v>0</v>
      </c>
      <c r="O10" s="142">
        <f t="shared" ref="O10:O73" si="12">SUM(F10:N10)</f>
        <v>171892552.73999998</v>
      </c>
      <c r="P10" s="3">
        <f>SUM(H10:N10)</f>
        <v>96684143.079999998</v>
      </c>
      <c r="Q10" s="3">
        <f t="shared" ref="Q10:Q73" si="13">SUM(H10:I10)</f>
        <v>40377224.859999999</v>
      </c>
      <c r="R10" s="3">
        <f t="shared" ref="R10:R73" si="14">J10</f>
        <v>4958084.99</v>
      </c>
      <c r="S10" s="3">
        <f t="shared" ref="S10:S73" si="15">K10+L10</f>
        <v>51348833.229999997</v>
      </c>
      <c r="T10" s="3">
        <f t="shared" ref="T10:T73" si="16">N10+M10</f>
        <v>0</v>
      </c>
      <c r="U10" s="3">
        <f>IF($A$5=1,IF($P10=0,0,ROUND(Q10/$P10*$E10,2)),Credits!D9)+Credits!J9</f>
        <v>179608.01</v>
      </c>
      <c r="V10" s="3">
        <f>IF($A$5=1,IF($P10=0,0,ROUND(R10/$P10*$E10,2)),Credits!E9)+Credits!K9</f>
        <v>22053.33</v>
      </c>
      <c r="W10" s="3">
        <f>IF($A$5=1,IF($P10=0,0,ROUND(S10/$P10*$E10,2)),Credits!F9)+Credits!L9</f>
        <v>228395.16999999998</v>
      </c>
      <c r="X10" s="3">
        <f>IF($A$5=1,IF($P10=0,0,ROUND(T10/$P10*$E10,2)),Credits!G9)+Credits!M9</f>
        <v>0</v>
      </c>
      <c r="Y10" s="3">
        <f t="shared" ref="Y10:Y73" si="17">SUM(U10:X10)</f>
        <v>430056.51</v>
      </c>
      <c r="AC10" s="4"/>
      <c r="AD10" s="4"/>
      <c r="AE10" s="2">
        <f t="shared" si="2"/>
        <v>0</v>
      </c>
      <c r="AF10" s="170" t="s">
        <v>1120</v>
      </c>
      <c r="AG10" s="175">
        <v>1.2</v>
      </c>
      <c r="AH10" s="175">
        <v>3</v>
      </c>
      <c r="AI10" s="175">
        <v>1</v>
      </c>
      <c r="AJ10" s="176">
        <v>42963956.869999997</v>
      </c>
      <c r="AK10" s="176">
        <v>0</v>
      </c>
      <c r="AL10" s="176">
        <v>32244452.789999999</v>
      </c>
      <c r="AM10" s="176">
        <v>0</v>
      </c>
      <c r="AN10" s="177">
        <v>0</v>
      </c>
      <c r="AO10" s="177">
        <v>0</v>
      </c>
      <c r="AP10" s="177">
        <v>40377224.859999999</v>
      </c>
      <c r="AQ10" s="177">
        <v>0</v>
      </c>
      <c r="AR10" s="177">
        <v>4958084.99</v>
      </c>
      <c r="AS10" s="177">
        <v>0</v>
      </c>
      <c r="AT10" s="178">
        <v>0</v>
      </c>
      <c r="AU10" s="178">
        <v>0</v>
      </c>
      <c r="AV10" s="178">
        <v>51348833.229999997</v>
      </c>
      <c r="AW10" s="179">
        <v>0</v>
      </c>
      <c r="AX10" s="180">
        <v>0</v>
      </c>
      <c r="AY10" s="180">
        <v>0</v>
      </c>
      <c r="AZ10" s="180">
        <v>0</v>
      </c>
      <c r="BA10" s="180">
        <v>0</v>
      </c>
      <c r="BB10" s="170">
        <f t="shared" ref="BB10:BB73" si="18">SUM(AJ10:BA10)</f>
        <v>171892552.73999998</v>
      </c>
      <c r="BC10" s="170">
        <v>171892552.74000001</v>
      </c>
      <c r="BD10" s="2">
        <f t="shared" ref="BD10:BD73" si="19">BB10-BC10</f>
        <v>0</v>
      </c>
    </row>
    <row r="11" spans="1:56" ht="12" x14ac:dyDescent="0.2">
      <c r="A11" s="4">
        <v>2</v>
      </c>
      <c r="B11" s="4">
        <v>1</v>
      </c>
      <c r="C11" s="2" t="s">
        <v>7</v>
      </c>
      <c r="D11" s="3">
        <v>0</v>
      </c>
      <c r="E11" s="3">
        <v>0</v>
      </c>
      <c r="F11" s="227">
        <f t="shared" si="3"/>
        <v>0</v>
      </c>
      <c r="G11" s="227">
        <f t="shared" si="4"/>
        <v>55347</v>
      </c>
      <c r="H11" s="227">
        <f t="shared" si="5"/>
        <v>0</v>
      </c>
      <c r="I11" s="227">
        <f t="shared" si="6"/>
        <v>61170</v>
      </c>
      <c r="J11" s="227">
        <f t="shared" si="7"/>
        <v>18559</v>
      </c>
      <c r="K11" s="227">
        <f t="shared" si="8"/>
        <v>205724</v>
      </c>
      <c r="L11" s="227">
        <f t="shared" si="9"/>
        <v>0</v>
      </c>
      <c r="M11" s="3">
        <f t="shared" si="10"/>
        <v>0</v>
      </c>
      <c r="N11" s="227">
        <f t="shared" si="11"/>
        <v>0</v>
      </c>
      <c r="O11" s="142">
        <f t="shared" si="12"/>
        <v>340800</v>
      </c>
      <c r="P11" s="3">
        <f t="shared" ref="P11:P73" si="20">SUM(H11:N11)</f>
        <v>285453</v>
      </c>
      <c r="Q11" s="3">
        <f t="shared" si="13"/>
        <v>61170</v>
      </c>
      <c r="R11" s="3">
        <f t="shared" si="14"/>
        <v>18559</v>
      </c>
      <c r="S11" s="3">
        <f t="shared" si="15"/>
        <v>205724</v>
      </c>
      <c r="T11" s="3">
        <f t="shared" si="16"/>
        <v>0</v>
      </c>
      <c r="U11" s="3">
        <f>IF($A$5=1,IF($P11=0,0,ROUND(Q11/$P11*$E11,2)),Credits!D10)+Credits!J10</f>
        <v>2269.2199999999998</v>
      </c>
      <c r="V11" s="3">
        <f>IF($A$5=1,IF($P11=0,0,ROUND(R11/$P11*$E11,2)),Credits!E10)+Credits!K10</f>
        <v>688.53</v>
      </c>
      <c r="W11" s="3">
        <f>IF($A$5=1,IF($P11=0,0,ROUND(S11/$P11*$E11,2)),Credits!F10)+Credits!L10</f>
        <v>7632.7</v>
      </c>
      <c r="X11" s="3">
        <f>IF($A$5=1,IF($P11=0,0,ROUND(T11/$P11*$E11,2)),Credits!G10)+Credits!M10</f>
        <v>0</v>
      </c>
      <c r="Y11" s="3">
        <f t="shared" si="17"/>
        <v>10590.45</v>
      </c>
      <c r="AC11" s="4"/>
      <c r="AD11" s="4"/>
      <c r="AE11" s="2">
        <f t="shared" si="2"/>
        <v>0</v>
      </c>
      <c r="AF11" s="170" t="s">
        <v>1120</v>
      </c>
      <c r="AG11" s="175">
        <v>2</v>
      </c>
      <c r="AH11" s="175">
        <v>1</v>
      </c>
      <c r="AI11" s="175">
        <v>1</v>
      </c>
      <c r="AJ11" s="176">
        <v>0</v>
      </c>
      <c r="AK11" s="176">
        <v>0</v>
      </c>
      <c r="AL11" s="176">
        <v>55347</v>
      </c>
      <c r="AM11" s="176">
        <v>0</v>
      </c>
      <c r="AN11" s="177">
        <v>0</v>
      </c>
      <c r="AO11" s="177">
        <v>0</v>
      </c>
      <c r="AP11" s="177">
        <v>61170</v>
      </c>
      <c r="AQ11" s="177">
        <v>0</v>
      </c>
      <c r="AR11" s="177">
        <v>18559</v>
      </c>
      <c r="AS11" s="177">
        <v>0</v>
      </c>
      <c r="AT11" s="178">
        <v>205724</v>
      </c>
      <c r="AU11" s="178">
        <v>0</v>
      </c>
      <c r="AV11" s="178">
        <v>0</v>
      </c>
      <c r="AW11" s="179">
        <v>0</v>
      </c>
      <c r="AX11" s="180">
        <v>0</v>
      </c>
      <c r="AY11" s="180">
        <v>0</v>
      </c>
      <c r="AZ11" s="180">
        <v>0</v>
      </c>
      <c r="BA11" s="180">
        <v>0</v>
      </c>
      <c r="BB11" s="170">
        <f t="shared" si="18"/>
        <v>340800</v>
      </c>
      <c r="BC11" s="170">
        <v>340799.59</v>
      </c>
      <c r="BD11" s="2">
        <f t="shared" si="19"/>
        <v>0.40999999997438863</v>
      </c>
    </row>
    <row r="12" spans="1:56" ht="12" x14ac:dyDescent="0.2">
      <c r="A12" s="4">
        <v>4</v>
      </c>
      <c r="B12" s="4">
        <v>1</v>
      </c>
      <c r="C12" s="2" t="s">
        <v>8</v>
      </c>
      <c r="D12" s="3">
        <v>0</v>
      </c>
      <c r="E12" s="3">
        <v>0</v>
      </c>
      <c r="F12" s="227">
        <f t="shared" si="3"/>
        <v>375</v>
      </c>
      <c r="G12" s="227">
        <f t="shared" si="4"/>
        <v>100950</v>
      </c>
      <c r="H12" s="227">
        <f t="shared" si="5"/>
        <v>0</v>
      </c>
      <c r="I12" s="227">
        <f t="shared" si="6"/>
        <v>319645</v>
      </c>
      <c r="J12" s="227">
        <f t="shared" si="7"/>
        <v>53030</v>
      </c>
      <c r="K12" s="227">
        <f t="shared" si="8"/>
        <v>737425</v>
      </c>
      <c r="L12" s="227">
        <f t="shared" si="9"/>
        <v>50049</v>
      </c>
      <c r="M12" s="3">
        <f t="shared" si="10"/>
        <v>0</v>
      </c>
      <c r="N12" s="227">
        <f t="shared" si="11"/>
        <v>159544</v>
      </c>
      <c r="O12" s="142">
        <f t="shared" si="12"/>
        <v>1421018</v>
      </c>
      <c r="P12" s="3">
        <f t="shared" si="20"/>
        <v>1319693</v>
      </c>
      <c r="Q12" s="3">
        <f t="shared" si="13"/>
        <v>319645</v>
      </c>
      <c r="R12" s="3">
        <f t="shared" si="14"/>
        <v>53030</v>
      </c>
      <c r="S12" s="3">
        <f t="shared" si="15"/>
        <v>787474</v>
      </c>
      <c r="T12" s="3">
        <f t="shared" si="16"/>
        <v>159544</v>
      </c>
      <c r="U12" s="3">
        <f>IF($A$5=1,IF($P12=0,0,ROUND(Q12/$P12*$E12,2)),Credits!D11)+Credits!J11</f>
        <v>4370.3999999999996</v>
      </c>
      <c r="V12" s="3">
        <f>IF($A$5=1,IF($P12=0,0,ROUND(R12/$P12*$E12,2)),Credits!E11)+Credits!K11</f>
        <v>725.32999999999993</v>
      </c>
      <c r="W12" s="3">
        <f>IF($A$5=1,IF($P12=0,0,ROUND(S12/$P12*$E12,2)),Credits!F11)+Credits!L11</f>
        <v>10763.91</v>
      </c>
      <c r="X12" s="3">
        <f>IF($A$5=1,IF($P12=0,0,ROUND(T12/$P12*$E12,2)),Credits!G11)+Credits!M11</f>
        <v>2180.6</v>
      </c>
      <c r="Y12" s="3">
        <f t="shared" si="17"/>
        <v>18040.239999999998</v>
      </c>
      <c r="AC12" s="4"/>
      <c r="AD12" s="4"/>
      <c r="AE12" s="2">
        <f t="shared" si="2"/>
        <v>0</v>
      </c>
      <c r="AF12" s="170" t="s">
        <v>1120</v>
      </c>
      <c r="AG12" s="175">
        <v>4</v>
      </c>
      <c r="AH12" s="175">
        <v>1</v>
      </c>
      <c r="AI12" s="175">
        <v>1</v>
      </c>
      <c r="AJ12" s="176">
        <v>375</v>
      </c>
      <c r="AK12" s="176">
        <v>0</v>
      </c>
      <c r="AL12" s="176">
        <v>100950</v>
      </c>
      <c r="AM12" s="176">
        <v>0</v>
      </c>
      <c r="AN12" s="177">
        <v>0</v>
      </c>
      <c r="AO12" s="177">
        <v>0</v>
      </c>
      <c r="AP12" s="177">
        <v>319645</v>
      </c>
      <c r="AQ12" s="177">
        <v>0</v>
      </c>
      <c r="AR12" s="177">
        <v>53030</v>
      </c>
      <c r="AS12" s="177">
        <v>0</v>
      </c>
      <c r="AT12" s="178">
        <v>737425</v>
      </c>
      <c r="AU12" s="178">
        <v>0</v>
      </c>
      <c r="AV12" s="178">
        <v>50049</v>
      </c>
      <c r="AW12" s="179">
        <v>0</v>
      </c>
      <c r="AX12" s="180">
        <v>0</v>
      </c>
      <c r="AY12" s="180">
        <v>0</v>
      </c>
      <c r="AZ12" s="180">
        <v>159544</v>
      </c>
      <c r="BA12" s="180">
        <v>0</v>
      </c>
      <c r="BB12" s="170">
        <f t="shared" si="18"/>
        <v>1421018</v>
      </c>
      <c r="BC12" s="170">
        <v>1421018.29</v>
      </c>
      <c r="BD12" s="2">
        <f t="shared" si="19"/>
        <v>-0.2900000000372529</v>
      </c>
    </row>
    <row r="13" spans="1:56" ht="12" x14ac:dyDescent="0.2">
      <c r="A13" s="4">
        <v>6</v>
      </c>
      <c r="B13" s="4">
        <v>3</v>
      </c>
      <c r="C13" s="2" t="s">
        <v>9</v>
      </c>
      <c r="D13" s="3">
        <v>0</v>
      </c>
      <c r="E13" s="3">
        <v>0</v>
      </c>
      <c r="F13" s="227">
        <f t="shared" si="3"/>
        <v>1109814</v>
      </c>
      <c r="G13" s="227">
        <f t="shared" si="4"/>
        <v>1607848</v>
      </c>
      <c r="H13" s="227">
        <f t="shared" si="5"/>
        <v>522346</v>
      </c>
      <c r="I13" s="227">
        <f t="shared" si="6"/>
        <v>2118168</v>
      </c>
      <c r="J13" s="227">
        <f t="shared" si="7"/>
        <v>313589</v>
      </c>
      <c r="K13" s="227">
        <f t="shared" si="8"/>
        <v>2162689</v>
      </c>
      <c r="L13" s="227">
        <f t="shared" si="9"/>
        <v>0</v>
      </c>
      <c r="M13" s="3">
        <f t="shared" si="10"/>
        <v>0</v>
      </c>
      <c r="N13" s="227">
        <f t="shared" si="11"/>
        <v>753580</v>
      </c>
      <c r="O13" s="142">
        <f t="shared" si="12"/>
        <v>8588034</v>
      </c>
      <c r="P13" s="3">
        <f t="shared" si="20"/>
        <v>5870372</v>
      </c>
      <c r="Q13" s="3">
        <f t="shared" si="13"/>
        <v>2640514</v>
      </c>
      <c r="R13" s="3">
        <f t="shared" si="14"/>
        <v>313589</v>
      </c>
      <c r="S13" s="3">
        <f t="shared" si="15"/>
        <v>2162689</v>
      </c>
      <c r="T13" s="3">
        <f t="shared" si="16"/>
        <v>753580</v>
      </c>
      <c r="U13" s="3">
        <f>IF($A$5=1,IF($P13=0,0,ROUND(Q13/$P13*$E13,2)),Credits!D12)+Credits!J12</f>
        <v>0</v>
      </c>
      <c r="V13" s="3">
        <f>IF($A$5=1,IF($P13=0,0,ROUND(R13/$P13*$E13,2)),Credits!E12)+Credits!K12</f>
        <v>0</v>
      </c>
      <c r="W13" s="3">
        <f>IF($A$5=1,IF($P13=0,0,ROUND(S13/$P13*$E13,2)),Credits!F12)+Credits!L12</f>
        <v>0</v>
      </c>
      <c r="X13" s="3">
        <f>IF($A$5=1,IF($P13=0,0,ROUND(T13/$P13*$E13,2)),Credits!G12)+Credits!M12</f>
        <v>0</v>
      </c>
      <c r="Y13" s="3">
        <f t="shared" si="17"/>
        <v>0</v>
      </c>
      <c r="AC13" s="165"/>
      <c r="AD13" s="165"/>
      <c r="AE13" s="2">
        <f t="shared" si="2"/>
        <v>0</v>
      </c>
      <c r="AF13" s="174" t="s">
        <v>1120</v>
      </c>
      <c r="AG13" s="175">
        <v>6</v>
      </c>
      <c r="AH13" s="175">
        <v>3</v>
      </c>
      <c r="AI13" s="175">
        <v>1</v>
      </c>
      <c r="AJ13" s="176">
        <v>1109814</v>
      </c>
      <c r="AK13" s="176">
        <v>0</v>
      </c>
      <c r="AL13" s="176">
        <v>1607848</v>
      </c>
      <c r="AM13" s="176">
        <v>0</v>
      </c>
      <c r="AN13" s="177">
        <v>522346</v>
      </c>
      <c r="AO13" s="177">
        <v>0</v>
      </c>
      <c r="AP13" s="177">
        <v>2118168</v>
      </c>
      <c r="AQ13" s="177">
        <v>0</v>
      </c>
      <c r="AR13" s="177">
        <v>313589</v>
      </c>
      <c r="AS13" s="177">
        <v>0</v>
      </c>
      <c r="AT13" s="178">
        <v>2162689</v>
      </c>
      <c r="AU13" s="178">
        <v>0</v>
      </c>
      <c r="AV13" s="178">
        <v>0</v>
      </c>
      <c r="AW13" s="179">
        <v>0</v>
      </c>
      <c r="AX13" s="180">
        <v>0</v>
      </c>
      <c r="AY13" s="180">
        <v>0</v>
      </c>
      <c r="AZ13" s="180">
        <v>753580</v>
      </c>
      <c r="BA13" s="180">
        <v>0</v>
      </c>
      <c r="BB13" s="170">
        <f t="shared" si="18"/>
        <v>8588034</v>
      </c>
      <c r="BC13" s="170">
        <v>8588033.9900000002</v>
      </c>
      <c r="BD13" s="2">
        <f t="shared" si="19"/>
        <v>9.9999997764825821E-3</v>
      </c>
    </row>
    <row r="14" spans="1:56" ht="12" x14ac:dyDescent="0.2">
      <c r="A14" s="4">
        <v>11</v>
      </c>
      <c r="B14" s="4">
        <v>1</v>
      </c>
      <c r="C14" s="2" t="s">
        <v>10</v>
      </c>
      <c r="D14" s="3">
        <v>0</v>
      </c>
      <c r="E14" s="3">
        <v>0</v>
      </c>
      <c r="F14" s="227">
        <f t="shared" si="3"/>
        <v>26446869</v>
      </c>
      <c r="G14" s="227">
        <f t="shared" si="4"/>
        <v>15845307.619999999</v>
      </c>
      <c r="H14" s="227">
        <f t="shared" si="5"/>
        <v>2728226</v>
      </c>
      <c r="I14" s="227">
        <f t="shared" si="6"/>
        <v>23560897.32</v>
      </c>
      <c r="J14" s="227">
        <f t="shared" si="7"/>
        <v>3085048.57</v>
      </c>
      <c r="K14" s="227">
        <f t="shared" si="8"/>
        <v>16665866.52</v>
      </c>
      <c r="L14" s="227">
        <f t="shared" si="9"/>
        <v>1603590.05</v>
      </c>
      <c r="M14" s="3">
        <f t="shared" si="10"/>
        <v>0</v>
      </c>
      <c r="N14" s="227">
        <f t="shared" si="11"/>
        <v>2146664.2200000002</v>
      </c>
      <c r="O14" s="142">
        <f t="shared" si="12"/>
        <v>92082469.299999982</v>
      </c>
      <c r="P14" s="3">
        <f t="shared" si="20"/>
        <v>49790292.679999992</v>
      </c>
      <c r="Q14" s="3">
        <f t="shared" si="13"/>
        <v>26289123.32</v>
      </c>
      <c r="R14" s="3">
        <f t="shared" si="14"/>
        <v>3085048.57</v>
      </c>
      <c r="S14" s="3">
        <f t="shared" si="15"/>
        <v>18269456.57</v>
      </c>
      <c r="T14" s="3">
        <f t="shared" si="16"/>
        <v>2146664.2200000002</v>
      </c>
      <c r="U14" s="3">
        <f>IF($A$5=1,IF($P14=0,0,ROUND(Q14/$P14*$E14,2)),Credits!D13)+Credits!J13</f>
        <v>5248.4299999999994</v>
      </c>
      <c r="V14" s="3">
        <f>IF($A$5=1,IF($P14=0,0,ROUND(R14/$P14*$E14,2)),Credits!E13)+Credits!K13</f>
        <v>582.56999999999994</v>
      </c>
      <c r="W14" s="3">
        <f>IF($A$5=1,IF($P14=0,0,ROUND(S14/$P14*$E14,2)),Credits!F13)+Credits!L13</f>
        <v>3337.8599999999992</v>
      </c>
      <c r="X14" s="3">
        <f>IF($A$5=1,IF($P14=0,0,ROUND(T14/$P14*$E14,2)),Credits!G13)+Credits!M13</f>
        <v>404.40000000000003</v>
      </c>
      <c r="Y14" s="3">
        <f t="shared" si="17"/>
        <v>9573.2599999999984</v>
      </c>
      <c r="AC14" s="4"/>
      <c r="AD14" s="4"/>
      <c r="AE14" s="2">
        <f t="shared" si="2"/>
        <v>0</v>
      </c>
      <c r="AF14" s="170" t="s">
        <v>1120</v>
      </c>
      <c r="AG14" s="175">
        <v>11</v>
      </c>
      <c r="AH14" s="175">
        <v>1</v>
      </c>
      <c r="AI14" s="175">
        <v>1</v>
      </c>
      <c r="AJ14" s="176">
        <v>26446869</v>
      </c>
      <c r="AK14" s="176">
        <v>0</v>
      </c>
      <c r="AL14" s="176">
        <v>15845307.619999999</v>
      </c>
      <c r="AM14" s="176">
        <v>0</v>
      </c>
      <c r="AN14" s="177">
        <v>2728226</v>
      </c>
      <c r="AO14" s="177">
        <v>0</v>
      </c>
      <c r="AP14" s="177">
        <v>23560897.32</v>
      </c>
      <c r="AQ14" s="177">
        <v>0</v>
      </c>
      <c r="AR14" s="177">
        <v>3085048.57</v>
      </c>
      <c r="AS14" s="177">
        <v>0</v>
      </c>
      <c r="AT14" s="178">
        <v>16665866.52</v>
      </c>
      <c r="AU14" s="178">
        <v>0</v>
      </c>
      <c r="AV14" s="178">
        <v>1603590.05</v>
      </c>
      <c r="AW14" s="179">
        <v>0</v>
      </c>
      <c r="AX14" s="180">
        <v>0</v>
      </c>
      <c r="AY14" s="180">
        <v>0</v>
      </c>
      <c r="AZ14" s="180">
        <v>2146664.2200000002</v>
      </c>
      <c r="BA14" s="180">
        <v>0</v>
      </c>
      <c r="BB14" s="170">
        <f t="shared" si="18"/>
        <v>92082469.299999982</v>
      </c>
      <c r="BC14" s="170">
        <v>92082469.299999997</v>
      </c>
      <c r="BD14" s="2">
        <f t="shared" si="19"/>
        <v>0</v>
      </c>
    </row>
    <row r="15" spans="1:56" ht="12" x14ac:dyDescent="0.2">
      <c r="A15" s="4">
        <v>12</v>
      </c>
      <c r="B15" s="4">
        <v>1</v>
      </c>
      <c r="C15" s="2" t="s">
        <v>11</v>
      </c>
      <c r="D15" s="3">
        <v>0</v>
      </c>
      <c r="E15" s="3">
        <v>0</v>
      </c>
      <c r="F15" s="227">
        <f t="shared" si="3"/>
        <v>1845321.42</v>
      </c>
      <c r="G15" s="227">
        <f t="shared" si="4"/>
        <v>3019153.12</v>
      </c>
      <c r="H15" s="227">
        <f t="shared" si="5"/>
        <v>0</v>
      </c>
      <c r="I15" s="227">
        <f t="shared" si="6"/>
        <v>4960893.54</v>
      </c>
      <c r="J15" s="227">
        <f t="shared" si="7"/>
        <v>413840.61</v>
      </c>
      <c r="K15" s="227">
        <f t="shared" si="8"/>
        <v>5656801.6699999999</v>
      </c>
      <c r="L15" s="227">
        <f t="shared" si="9"/>
        <v>345543.78</v>
      </c>
      <c r="M15" s="3">
        <f t="shared" si="10"/>
        <v>0</v>
      </c>
      <c r="N15" s="227">
        <f t="shared" si="11"/>
        <v>602900.55000000005</v>
      </c>
      <c r="O15" s="142">
        <f t="shared" si="12"/>
        <v>16844454.689999998</v>
      </c>
      <c r="P15" s="3">
        <f t="shared" si="20"/>
        <v>11979980.15</v>
      </c>
      <c r="Q15" s="3">
        <f t="shared" si="13"/>
        <v>4960893.54</v>
      </c>
      <c r="R15" s="3">
        <f t="shared" si="14"/>
        <v>413840.61</v>
      </c>
      <c r="S15" s="3">
        <f t="shared" si="15"/>
        <v>6002345.4500000002</v>
      </c>
      <c r="T15" s="3">
        <f t="shared" si="16"/>
        <v>602900.55000000005</v>
      </c>
      <c r="U15" s="3">
        <f>IF($A$5=1,IF($P15=0,0,ROUND(Q15/$P15*$E15,2)),Credits!D14)+Credits!J14</f>
        <v>752.2600000000001</v>
      </c>
      <c r="V15" s="3">
        <f>IF($A$5=1,IF($P15=0,0,ROUND(R15/$P15*$E15,2)),Credits!E14)+Credits!K14</f>
        <v>57.559999999999995</v>
      </c>
      <c r="W15" s="3">
        <f>IF($A$5=1,IF($P15=0,0,ROUND(S15/$P15*$E15,2)),Credits!F14)+Credits!L14</f>
        <v>802.77</v>
      </c>
      <c r="X15" s="3">
        <f>IF($A$5=1,IF($P15=0,0,ROUND(T15/$P15*$E15,2)),Credits!G14)+Credits!M14</f>
        <v>82.66</v>
      </c>
      <c r="Y15" s="3">
        <f t="shared" si="17"/>
        <v>1695.2500000000002</v>
      </c>
      <c r="AC15" s="4"/>
      <c r="AD15" s="4"/>
      <c r="AE15" s="2">
        <f t="shared" si="2"/>
        <v>0</v>
      </c>
      <c r="AF15" s="170" t="s">
        <v>1120</v>
      </c>
      <c r="AG15" s="175">
        <v>12</v>
      </c>
      <c r="AH15" s="175">
        <v>1</v>
      </c>
      <c r="AI15" s="175">
        <v>1</v>
      </c>
      <c r="AJ15" s="176">
        <v>1845321.42</v>
      </c>
      <c r="AK15" s="176">
        <v>0</v>
      </c>
      <c r="AL15" s="176">
        <v>3019153.12</v>
      </c>
      <c r="AM15" s="176">
        <v>0</v>
      </c>
      <c r="AN15" s="177">
        <v>0</v>
      </c>
      <c r="AO15" s="177">
        <v>0</v>
      </c>
      <c r="AP15" s="177">
        <v>4960893.54</v>
      </c>
      <c r="AQ15" s="177">
        <v>0</v>
      </c>
      <c r="AR15" s="177">
        <v>413840.61</v>
      </c>
      <c r="AS15" s="177">
        <v>0</v>
      </c>
      <c r="AT15" s="178">
        <v>5656801.6699999999</v>
      </c>
      <c r="AU15" s="178">
        <v>0</v>
      </c>
      <c r="AV15" s="178">
        <v>345543.78</v>
      </c>
      <c r="AW15" s="179">
        <v>0</v>
      </c>
      <c r="AX15" s="180">
        <v>0</v>
      </c>
      <c r="AY15" s="180">
        <v>0</v>
      </c>
      <c r="AZ15" s="180">
        <v>602900.55000000005</v>
      </c>
      <c r="BA15" s="180">
        <v>0</v>
      </c>
      <c r="BB15" s="170">
        <f t="shared" si="18"/>
        <v>16844454.689999998</v>
      </c>
      <c r="BC15" s="170">
        <v>16844454.690000001</v>
      </c>
      <c r="BD15" s="2">
        <f t="shared" si="19"/>
        <v>0</v>
      </c>
    </row>
    <row r="16" spans="1:56" ht="12" x14ac:dyDescent="0.2">
      <c r="A16" s="4">
        <v>13</v>
      </c>
      <c r="B16" s="4">
        <v>1</v>
      </c>
      <c r="C16" s="2" t="s">
        <v>12</v>
      </c>
      <c r="D16" s="3">
        <v>0</v>
      </c>
      <c r="E16" s="3">
        <v>0</v>
      </c>
      <c r="F16" s="227">
        <f t="shared" si="3"/>
        <v>999598.58</v>
      </c>
      <c r="G16" s="227">
        <f t="shared" si="4"/>
        <v>1846818.2</v>
      </c>
      <c r="H16" s="227">
        <f t="shared" si="5"/>
        <v>0</v>
      </c>
      <c r="I16" s="227">
        <f t="shared" si="6"/>
        <v>1950276.21</v>
      </c>
      <c r="J16" s="227">
        <f t="shared" si="7"/>
        <v>404050.21</v>
      </c>
      <c r="K16" s="227">
        <f t="shared" si="8"/>
        <v>2090169.5</v>
      </c>
      <c r="L16" s="227">
        <f t="shared" si="9"/>
        <v>79645.78</v>
      </c>
      <c r="M16" s="3">
        <f t="shared" si="10"/>
        <v>0</v>
      </c>
      <c r="N16" s="227">
        <f t="shared" si="11"/>
        <v>0</v>
      </c>
      <c r="O16" s="142">
        <f t="shared" si="12"/>
        <v>7370558.4800000004</v>
      </c>
      <c r="P16" s="3">
        <f t="shared" si="20"/>
        <v>4524141.7</v>
      </c>
      <c r="Q16" s="3">
        <f t="shared" si="13"/>
        <v>1950276.21</v>
      </c>
      <c r="R16" s="3">
        <f t="shared" si="14"/>
        <v>404050.21</v>
      </c>
      <c r="S16" s="3">
        <f t="shared" si="15"/>
        <v>2169815.2799999998</v>
      </c>
      <c r="T16" s="3">
        <f t="shared" si="16"/>
        <v>0</v>
      </c>
      <c r="U16" s="3">
        <f>IF($A$5=1,IF($P16=0,0,ROUND(Q16/$P16*$E16,2)),Credits!D15)+Credits!J15</f>
        <v>72.650000000000006</v>
      </c>
      <c r="V16" s="3">
        <f>IF($A$5=1,IF($P16=0,0,ROUND(R16/$P16*$E16,2)),Credits!E15)+Credits!K15</f>
        <v>15.46</v>
      </c>
      <c r="W16" s="3">
        <f>IF($A$5=1,IF($P16=0,0,ROUND(S16/$P16*$E16,2)),Credits!F15)+Credits!L15</f>
        <v>72.89</v>
      </c>
      <c r="X16" s="3">
        <f>IF($A$5=1,IF($P16=0,0,ROUND(T16/$P16*$E16,2)),Credits!G15)+Credits!M15</f>
        <v>0</v>
      </c>
      <c r="Y16" s="3">
        <f t="shared" si="17"/>
        <v>161</v>
      </c>
      <c r="AC16" s="4"/>
      <c r="AD16" s="4"/>
      <c r="AE16" s="2">
        <f t="shared" si="2"/>
        <v>0</v>
      </c>
      <c r="AF16" s="170" t="s">
        <v>1120</v>
      </c>
      <c r="AG16" s="175">
        <v>13</v>
      </c>
      <c r="AH16" s="175">
        <v>1</v>
      </c>
      <c r="AI16" s="175">
        <v>1</v>
      </c>
      <c r="AJ16" s="176">
        <v>999598.58</v>
      </c>
      <c r="AK16" s="176">
        <v>0</v>
      </c>
      <c r="AL16" s="176">
        <v>1846818.2</v>
      </c>
      <c r="AM16" s="176">
        <v>0</v>
      </c>
      <c r="AN16" s="177">
        <v>0</v>
      </c>
      <c r="AO16" s="177">
        <v>0</v>
      </c>
      <c r="AP16" s="177">
        <v>1950276.21</v>
      </c>
      <c r="AQ16" s="177">
        <v>0</v>
      </c>
      <c r="AR16" s="177">
        <v>404050.21</v>
      </c>
      <c r="AS16" s="177">
        <v>0</v>
      </c>
      <c r="AT16" s="178">
        <v>2090169.5</v>
      </c>
      <c r="AU16" s="178">
        <v>0</v>
      </c>
      <c r="AV16" s="178">
        <v>79645.78</v>
      </c>
      <c r="AW16" s="179">
        <v>0</v>
      </c>
      <c r="AX16" s="180">
        <v>0</v>
      </c>
      <c r="AY16" s="180">
        <v>0</v>
      </c>
      <c r="AZ16" s="180">
        <v>0</v>
      </c>
      <c r="BA16" s="180">
        <v>0</v>
      </c>
      <c r="BB16" s="170">
        <f t="shared" si="18"/>
        <v>7370558.4800000004</v>
      </c>
      <c r="BC16" s="170">
        <v>7370558.4800000004</v>
      </c>
      <c r="BD16" s="2">
        <f t="shared" si="19"/>
        <v>0</v>
      </c>
    </row>
    <row r="17" spans="1:56" ht="12" x14ac:dyDescent="0.2">
      <c r="A17" s="4">
        <v>14</v>
      </c>
      <c r="B17" s="4">
        <v>1</v>
      </c>
      <c r="C17" s="2" t="s">
        <v>13</v>
      </c>
      <c r="D17" s="3">
        <v>0</v>
      </c>
      <c r="E17" s="3">
        <v>0</v>
      </c>
      <c r="F17" s="227">
        <f t="shared" si="3"/>
        <v>799891.31</v>
      </c>
      <c r="G17" s="227">
        <f t="shared" si="4"/>
        <v>1293258.0900000001</v>
      </c>
      <c r="H17" s="227">
        <f t="shared" si="5"/>
        <v>651253</v>
      </c>
      <c r="I17" s="227">
        <f t="shared" si="6"/>
        <v>1382396.71</v>
      </c>
      <c r="J17" s="227">
        <f t="shared" si="7"/>
        <v>321785.77</v>
      </c>
      <c r="K17" s="227">
        <f t="shared" si="8"/>
        <v>1117835.27</v>
      </c>
      <c r="L17" s="227">
        <f t="shared" si="9"/>
        <v>1686647.7</v>
      </c>
      <c r="M17" s="3">
        <f t="shared" si="10"/>
        <v>0</v>
      </c>
      <c r="N17" s="227">
        <f t="shared" si="11"/>
        <v>601908.07999999996</v>
      </c>
      <c r="O17" s="142">
        <f t="shared" si="12"/>
        <v>7854975.9300000006</v>
      </c>
      <c r="P17" s="3">
        <f t="shared" si="20"/>
        <v>5761826.5300000003</v>
      </c>
      <c r="Q17" s="3">
        <f t="shared" si="13"/>
        <v>2033649.71</v>
      </c>
      <c r="R17" s="3">
        <f t="shared" si="14"/>
        <v>321785.77</v>
      </c>
      <c r="S17" s="3">
        <f t="shared" si="15"/>
        <v>2804482.9699999997</v>
      </c>
      <c r="T17" s="3">
        <f t="shared" si="16"/>
        <v>601908.07999999996</v>
      </c>
      <c r="U17" s="3">
        <f>IF($A$5=1,IF($P17=0,0,ROUND(Q17/$P17*$E17,2)),Credits!D16)+Credits!J16</f>
        <v>0</v>
      </c>
      <c r="V17" s="3">
        <f>IF($A$5=1,IF($P17=0,0,ROUND(R17/$P17*$E17,2)),Credits!E16)+Credits!K16</f>
        <v>0</v>
      </c>
      <c r="W17" s="3">
        <f>IF($A$5=1,IF($P17=0,0,ROUND(S17/$P17*$E17,2)),Credits!F16)+Credits!L16</f>
        <v>0</v>
      </c>
      <c r="X17" s="3">
        <f>IF($A$5=1,IF($P17=0,0,ROUND(T17/$P17*$E17,2)),Credits!G16)+Credits!M16</f>
        <v>0</v>
      </c>
      <c r="Y17" s="3">
        <f t="shared" si="17"/>
        <v>0</v>
      </c>
      <c r="AC17" s="4"/>
      <c r="AD17" s="4"/>
      <c r="AE17" s="2">
        <f t="shared" si="2"/>
        <v>0</v>
      </c>
      <c r="AF17" s="170" t="s">
        <v>1120</v>
      </c>
      <c r="AG17" s="175">
        <v>14</v>
      </c>
      <c r="AH17" s="175">
        <v>1</v>
      </c>
      <c r="AI17" s="175">
        <v>1</v>
      </c>
      <c r="AJ17" s="176">
        <v>799891.31</v>
      </c>
      <c r="AK17" s="176">
        <v>0</v>
      </c>
      <c r="AL17" s="176">
        <v>1293258.0900000001</v>
      </c>
      <c r="AM17" s="176">
        <v>0</v>
      </c>
      <c r="AN17" s="177">
        <v>651253</v>
      </c>
      <c r="AO17" s="177">
        <v>0</v>
      </c>
      <c r="AP17" s="177">
        <v>1382396.71</v>
      </c>
      <c r="AQ17" s="177">
        <v>0</v>
      </c>
      <c r="AR17" s="177">
        <v>321785.77</v>
      </c>
      <c r="AS17" s="177">
        <v>0</v>
      </c>
      <c r="AT17" s="178">
        <v>1117835.27</v>
      </c>
      <c r="AU17" s="178">
        <v>0</v>
      </c>
      <c r="AV17" s="178">
        <v>1686647.7</v>
      </c>
      <c r="AW17" s="179">
        <v>0</v>
      </c>
      <c r="AX17" s="180">
        <v>0</v>
      </c>
      <c r="AY17" s="180">
        <v>0</v>
      </c>
      <c r="AZ17" s="180">
        <v>601908.07999999996</v>
      </c>
      <c r="BA17" s="180">
        <v>0</v>
      </c>
      <c r="BB17" s="170">
        <f t="shared" si="18"/>
        <v>7854975.9300000006</v>
      </c>
      <c r="BC17" s="170">
        <v>7854975.9299999997</v>
      </c>
      <c r="BD17" s="2">
        <f t="shared" si="19"/>
        <v>0</v>
      </c>
    </row>
    <row r="18" spans="1:56" ht="12" x14ac:dyDescent="0.2">
      <c r="A18" s="4">
        <v>15</v>
      </c>
      <c r="B18" s="4">
        <v>1</v>
      </c>
      <c r="C18" s="2" t="s">
        <v>14</v>
      </c>
      <c r="D18" s="3">
        <v>0</v>
      </c>
      <c r="E18" s="3">
        <v>0</v>
      </c>
      <c r="F18" s="227">
        <f t="shared" si="3"/>
        <v>0</v>
      </c>
      <c r="G18" s="227">
        <f t="shared" si="4"/>
        <v>2815887.68</v>
      </c>
      <c r="H18" s="227">
        <f t="shared" si="5"/>
        <v>0</v>
      </c>
      <c r="I18" s="227">
        <f t="shared" si="6"/>
        <v>1739098.86</v>
      </c>
      <c r="J18" s="227">
        <f t="shared" si="7"/>
        <v>353468.71</v>
      </c>
      <c r="K18" s="227">
        <f t="shared" si="8"/>
        <v>4582277.4800000004</v>
      </c>
      <c r="L18" s="227">
        <f t="shared" si="9"/>
        <v>929607.3</v>
      </c>
      <c r="M18" s="3">
        <f t="shared" si="10"/>
        <v>0</v>
      </c>
      <c r="N18" s="227">
        <f t="shared" si="11"/>
        <v>682236.41</v>
      </c>
      <c r="O18" s="142">
        <f t="shared" si="12"/>
        <v>11102576.440000001</v>
      </c>
      <c r="P18" s="3">
        <f t="shared" si="20"/>
        <v>8286688.7600000007</v>
      </c>
      <c r="Q18" s="3">
        <f t="shared" si="13"/>
        <v>1739098.86</v>
      </c>
      <c r="R18" s="3">
        <f t="shared" si="14"/>
        <v>353468.71</v>
      </c>
      <c r="S18" s="3">
        <f t="shared" si="15"/>
        <v>5511884.7800000003</v>
      </c>
      <c r="T18" s="3">
        <f t="shared" si="16"/>
        <v>682236.41</v>
      </c>
      <c r="U18" s="3">
        <f>IF($A$5=1,IF($P18=0,0,ROUND(Q18/$P18*$E18,2)),Credits!D17)+Credits!J17</f>
        <v>5109.01</v>
      </c>
      <c r="V18" s="3">
        <f>IF($A$5=1,IF($P18=0,0,ROUND(R18/$P18*$E18,2)),Credits!E17)+Credits!K17</f>
        <v>1039.95</v>
      </c>
      <c r="W18" s="3">
        <f>IF($A$5=1,IF($P18=0,0,ROUND(S18/$P18*$E18,2)),Credits!F17)+Credits!L17</f>
        <v>16304.749999999998</v>
      </c>
      <c r="X18" s="3">
        <f>IF($A$5=1,IF($P18=0,0,ROUND(T18/$P18*$E18,2)),Credits!G17)+Credits!M17</f>
        <v>2161.8500000000004</v>
      </c>
      <c r="Y18" s="3">
        <f t="shared" si="17"/>
        <v>24615.559999999998</v>
      </c>
      <c r="AC18" s="4"/>
      <c r="AD18" s="4"/>
      <c r="AE18" s="2">
        <f t="shared" si="2"/>
        <v>0</v>
      </c>
      <c r="AF18" s="170" t="s">
        <v>1120</v>
      </c>
      <c r="AG18" s="175">
        <v>15</v>
      </c>
      <c r="AH18" s="175">
        <v>1</v>
      </c>
      <c r="AI18" s="175">
        <v>1</v>
      </c>
      <c r="AJ18" s="176">
        <v>0</v>
      </c>
      <c r="AK18" s="176">
        <v>0</v>
      </c>
      <c r="AL18" s="176">
        <v>2815887.68</v>
      </c>
      <c r="AM18" s="176">
        <v>0</v>
      </c>
      <c r="AN18" s="177">
        <v>0</v>
      </c>
      <c r="AO18" s="177">
        <v>0</v>
      </c>
      <c r="AP18" s="177">
        <v>1739098.86</v>
      </c>
      <c r="AQ18" s="177">
        <v>0</v>
      </c>
      <c r="AR18" s="177">
        <v>353468.71</v>
      </c>
      <c r="AS18" s="177">
        <v>0</v>
      </c>
      <c r="AT18" s="178">
        <v>4582277.4800000004</v>
      </c>
      <c r="AU18" s="178">
        <v>0</v>
      </c>
      <c r="AV18" s="178">
        <v>929607.3</v>
      </c>
      <c r="AW18" s="179">
        <v>0</v>
      </c>
      <c r="AX18" s="180">
        <v>0</v>
      </c>
      <c r="AY18" s="180">
        <v>0</v>
      </c>
      <c r="AZ18" s="180">
        <v>682236.41</v>
      </c>
      <c r="BA18" s="180">
        <v>0</v>
      </c>
      <c r="BB18" s="170">
        <f t="shared" si="18"/>
        <v>11102576.440000001</v>
      </c>
      <c r="BC18" s="170">
        <v>11102576.439999999</v>
      </c>
      <c r="BD18" s="2">
        <f t="shared" si="19"/>
        <v>0</v>
      </c>
    </row>
    <row r="19" spans="1:56" ht="12" x14ac:dyDescent="0.2">
      <c r="A19" s="4">
        <v>16</v>
      </c>
      <c r="B19" s="4">
        <v>1</v>
      </c>
      <c r="C19" s="2" t="s">
        <v>15</v>
      </c>
      <c r="D19" s="3">
        <v>0</v>
      </c>
      <c r="E19" s="3">
        <v>0</v>
      </c>
      <c r="F19" s="227">
        <f t="shared" si="3"/>
        <v>2046138.17</v>
      </c>
      <c r="G19" s="227">
        <f t="shared" si="4"/>
        <v>3636327.57</v>
      </c>
      <c r="H19" s="227">
        <f t="shared" si="5"/>
        <v>940446</v>
      </c>
      <c r="I19" s="227">
        <f t="shared" si="6"/>
        <v>3060271.54</v>
      </c>
      <c r="J19" s="227">
        <f t="shared" si="7"/>
        <v>461412.97</v>
      </c>
      <c r="K19" s="227">
        <f t="shared" si="8"/>
        <v>8721493.0899999999</v>
      </c>
      <c r="L19" s="227">
        <f t="shared" si="9"/>
        <v>679130.22</v>
      </c>
      <c r="M19" s="3">
        <f t="shared" si="10"/>
        <v>0</v>
      </c>
      <c r="N19" s="227">
        <f t="shared" si="11"/>
        <v>421011.74</v>
      </c>
      <c r="O19" s="142">
        <f t="shared" si="12"/>
        <v>19966231.300000001</v>
      </c>
      <c r="P19" s="3">
        <f t="shared" si="20"/>
        <v>14283765.560000001</v>
      </c>
      <c r="Q19" s="3">
        <f t="shared" si="13"/>
        <v>4000717.54</v>
      </c>
      <c r="R19" s="3">
        <f t="shared" si="14"/>
        <v>461412.97</v>
      </c>
      <c r="S19" s="3">
        <f t="shared" si="15"/>
        <v>9400623.3100000005</v>
      </c>
      <c r="T19" s="3">
        <f t="shared" si="16"/>
        <v>421011.74</v>
      </c>
      <c r="U19" s="3">
        <f>IF($A$5=1,IF($P19=0,0,ROUND(Q19/$P19*$E19,2)),Credits!D18)+Credits!J18</f>
        <v>0</v>
      </c>
      <c r="V19" s="3">
        <f>IF($A$5=1,IF($P19=0,0,ROUND(R19/$P19*$E19,2)),Credits!E18)+Credits!K18</f>
        <v>0</v>
      </c>
      <c r="W19" s="3">
        <f>IF($A$5=1,IF($P19=0,0,ROUND(S19/$P19*$E19,2)),Credits!F18)+Credits!L18</f>
        <v>0</v>
      </c>
      <c r="X19" s="3">
        <f>IF($A$5=1,IF($P19=0,0,ROUND(T19/$P19*$E19,2)),Credits!G18)+Credits!M18</f>
        <v>0</v>
      </c>
      <c r="Y19" s="3">
        <f t="shared" si="17"/>
        <v>0</v>
      </c>
      <c r="AC19" s="4"/>
      <c r="AD19" s="4"/>
      <c r="AE19" s="2">
        <f t="shared" si="2"/>
        <v>0</v>
      </c>
      <c r="AF19" s="170" t="s">
        <v>1120</v>
      </c>
      <c r="AG19" s="175">
        <v>16</v>
      </c>
      <c r="AH19" s="175">
        <v>1</v>
      </c>
      <c r="AI19" s="175">
        <v>1</v>
      </c>
      <c r="AJ19" s="176">
        <v>2046138.17</v>
      </c>
      <c r="AK19" s="176">
        <v>0</v>
      </c>
      <c r="AL19" s="176">
        <v>3636327.57</v>
      </c>
      <c r="AM19" s="176">
        <v>0</v>
      </c>
      <c r="AN19" s="177">
        <v>940446</v>
      </c>
      <c r="AO19" s="177">
        <v>0</v>
      </c>
      <c r="AP19" s="177">
        <v>3060271.54</v>
      </c>
      <c r="AQ19" s="177">
        <v>0</v>
      </c>
      <c r="AR19" s="177">
        <v>461412.97</v>
      </c>
      <c r="AS19" s="177">
        <v>0</v>
      </c>
      <c r="AT19" s="178">
        <v>8721493.0899999999</v>
      </c>
      <c r="AU19" s="178">
        <v>0</v>
      </c>
      <c r="AV19" s="178">
        <v>679130.22</v>
      </c>
      <c r="AW19" s="179">
        <v>0</v>
      </c>
      <c r="AX19" s="180">
        <v>0</v>
      </c>
      <c r="AY19" s="180">
        <v>0</v>
      </c>
      <c r="AZ19" s="180">
        <v>421011.74</v>
      </c>
      <c r="BA19" s="180">
        <v>0</v>
      </c>
      <c r="BB19" s="170">
        <f t="shared" si="18"/>
        <v>19966231.300000001</v>
      </c>
      <c r="BC19" s="170">
        <v>19966231.300000001</v>
      </c>
      <c r="BD19" s="2">
        <f t="shared" si="19"/>
        <v>0</v>
      </c>
    </row>
    <row r="20" spans="1:56" ht="12" x14ac:dyDescent="0.2">
      <c r="A20" s="4">
        <v>22</v>
      </c>
      <c r="B20" s="4">
        <v>1</v>
      </c>
      <c r="C20" s="2" t="s">
        <v>16</v>
      </c>
      <c r="D20" s="3">
        <v>0</v>
      </c>
      <c r="E20" s="3">
        <v>0</v>
      </c>
      <c r="F20" s="227">
        <f t="shared" si="3"/>
        <v>408798.15</v>
      </c>
      <c r="G20" s="227">
        <f t="shared" si="4"/>
        <v>1057760.71</v>
      </c>
      <c r="H20" s="227">
        <f t="shared" si="5"/>
        <v>0</v>
      </c>
      <c r="I20" s="227">
        <f t="shared" si="6"/>
        <v>1282085.8</v>
      </c>
      <c r="J20" s="227">
        <f t="shared" si="7"/>
        <v>214519.78</v>
      </c>
      <c r="K20" s="227">
        <f t="shared" si="8"/>
        <v>763317.49</v>
      </c>
      <c r="L20" s="227">
        <f t="shared" si="9"/>
        <v>0</v>
      </c>
      <c r="M20" s="3">
        <f t="shared" si="10"/>
        <v>0</v>
      </c>
      <c r="N20" s="227">
        <f t="shared" si="11"/>
        <v>0</v>
      </c>
      <c r="O20" s="142">
        <f t="shared" si="12"/>
        <v>3726481.9299999997</v>
      </c>
      <c r="P20" s="3">
        <f t="shared" si="20"/>
        <v>2259923.0700000003</v>
      </c>
      <c r="Q20" s="3">
        <f t="shared" si="13"/>
        <v>1282085.8</v>
      </c>
      <c r="R20" s="3">
        <f t="shared" si="14"/>
        <v>214519.78</v>
      </c>
      <c r="S20" s="3">
        <f t="shared" si="15"/>
        <v>763317.49</v>
      </c>
      <c r="T20" s="3">
        <f t="shared" si="16"/>
        <v>0</v>
      </c>
      <c r="U20" s="3">
        <f>IF($A$5=1,IF($P20=0,0,ROUND(Q20/$P20*$E20,2)),Credits!D19)+Credits!J19</f>
        <v>7458.2700000000013</v>
      </c>
      <c r="V20" s="3">
        <f>IF($A$5=1,IF($P20=0,0,ROUND(R20/$P20*$E20,2)),Credits!E19)+Credits!K19</f>
        <v>1247.4200000000003</v>
      </c>
      <c r="W20" s="3">
        <f>IF($A$5=1,IF($P20=0,0,ROUND(S20/$P20*$E20,2)),Credits!F19)+Credits!L19</f>
        <v>4437.68</v>
      </c>
      <c r="X20" s="3">
        <f>IF($A$5=1,IF($P20=0,0,ROUND(T20/$P20*$E20,2)),Credits!G19)+Credits!M19</f>
        <v>0</v>
      </c>
      <c r="Y20" s="3">
        <f t="shared" si="17"/>
        <v>13143.370000000003</v>
      </c>
      <c r="AC20" s="4"/>
      <c r="AD20" s="4"/>
      <c r="AE20" s="2">
        <f t="shared" si="2"/>
        <v>0</v>
      </c>
      <c r="AF20" s="170" t="s">
        <v>1120</v>
      </c>
      <c r="AG20" s="175">
        <v>22</v>
      </c>
      <c r="AH20" s="175">
        <v>1</v>
      </c>
      <c r="AI20" s="175">
        <v>1</v>
      </c>
      <c r="AJ20" s="176">
        <v>408798.15</v>
      </c>
      <c r="AK20" s="176">
        <v>0</v>
      </c>
      <c r="AL20" s="176">
        <v>1057760.71</v>
      </c>
      <c r="AM20" s="176">
        <v>0</v>
      </c>
      <c r="AN20" s="177">
        <v>0</v>
      </c>
      <c r="AO20" s="177">
        <v>0</v>
      </c>
      <c r="AP20" s="177">
        <v>1282085.8</v>
      </c>
      <c r="AQ20" s="177">
        <v>0</v>
      </c>
      <c r="AR20" s="177">
        <v>214519.78</v>
      </c>
      <c r="AS20" s="177">
        <v>0</v>
      </c>
      <c r="AT20" s="178">
        <v>763317.49</v>
      </c>
      <c r="AU20" s="178">
        <v>0</v>
      </c>
      <c r="AV20" s="178">
        <v>0</v>
      </c>
      <c r="AW20" s="179">
        <v>0</v>
      </c>
      <c r="AX20" s="180">
        <v>0</v>
      </c>
      <c r="AY20" s="180">
        <v>0</v>
      </c>
      <c r="AZ20" s="180">
        <v>0</v>
      </c>
      <c r="BA20" s="180">
        <v>0</v>
      </c>
      <c r="BB20" s="170">
        <f t="shared" si="18"/>
        <v>3726481.9299999997</v>
      </c>
      <c r="BC20" s="170">
        <v>3726481.93</v>
      </c>
      <c r="BD20" s="2">
        <f t="shared" si="19"/>
        <v>0</v>
      </c>
    </row>
    <row r="21" spans="1:56" ht="12" x14ac:dyDescent="0.2">
      <c r="A21" s="4">
        <v>23</v>
      </c>
      <c r="B21" s="4">
        <v>1</v>
      </c>
      <c r="C21" s="2" t="s">
        <v>17</v>
      </c>
      <c r="D21" s="3">
        <v>0</v>
      </c>
      <c r="E21" s="3">
        <v>0</v>
      </c>
      <c r="F21" s="227">
        <f t="shared" si="3"/>
        <v>567702.98</v>
      </c>
      <c r="G21" s="227">
        <f t="shared" si="4"/>
        <v>71072.81</v>
      </c>
      <c r="H21" s="227">
        <f t="shared" si="5"/>
        <v>0</v>
      </c>
      <c r="I21" s="227">
        <f t="shared" si="6"/>
        <v>294950.26</v>
      </c>
      <c r="J21" s="227">
        <f t="shared" si="7"/>
        <v>75123.22</v>
      </c>
      <c r="K21" s="227">
        <f t="shared" si="8"/>
        <v>678281.69</v>
      </c>
      <c r="L21" s="227">
        <f t="shared" si="9"/>
        <v>115023.13</v>
      </c>
      <c r="M21" s="3">
        <f t="shared" si="10"/>
        <v>0</v>
      </c>
      <c r="N21" s="227">
        <f t="shared" si="11"/>
        <v>0</v>
      </c>
      <c r="O21" s="142">
        <f t="shared" si="12"/>
        <v>1802154.0899999999</v>
      </c>
      <c r="P21" s="3">
        <f t="shared" si="20"/>
        <v>1163378.2999999998</v>
      </c>
      <c r="Q21" s="3">
        <f t="shared" si="13"/>
        <v>294950.26</v>
      </c>
      <c r="R21" s="3">
        <f t="shared" si="14"/>
        <v>75123.22</v>
      </c>
      <c r="S21" s="3">
        <f t="shared" si="15"/>
        <v>793304.82</v>
      </c>
      <c r="T21" s="3">
        <f t="shared" si="16"/>
        <v>0</v>
      </c>
      <c r="U21" s="3">
        <f>IF($A$5=1,IF($P21=0,0,ROUND(Q21/$P21*$E21,2)),Credits!D20)+Credits!J20</f>
        <v>6165.159999999998</v>
      </c>
      <c r="V21" s="3">
        <f>IF($A$5=1,IF($P21=0,0,ROUND(R21/$P21*$E21,2)),Credits!E20)+Credits!K20</f>
        <v>1570.5799999999997</v>
      </c>
      <c r="W21" s="3">
        <f>IF($A$5=1,IF($P21=0,0,ROUND(S21/$P21*$E21,2)),Credits!F20)+Credits!L20</f>
        <v>16577.829999999998</v>
      </c>
      <c r="X21" s="3">
        <f>IF($A$5=1,IF($P21=0,0,ROUND(T21/$P21*$E21,2)),Credits!G20)+Credits!M20</f>
        <v>0</v>
      </c>
      <c r="Y21" s="3">
        <f t="shared" si="17"/>
        <v>24313.569999999996</v>
      </c>
      <c r="AC21" s="4"/>
      <c r="AD21" s="4"/>
      <c r="AE21" s="2">
        <f t="shared" si="2"/>
        <v>0</v>
      </c>
      <c r="AF21" s="170" t="s">
        <v>1120</v>
      </c>
      <c r="AG21" s="175">
        <v>23</v>
      </c>
      <c r="AH21" s="175">
        <v>1</v>
      </c>
      <c r="AI21" s="175">
        <v>1</v>
      </c>
      <c r="AJ21" s="176">
        <v>567702.98</v>
      </c>
      <c r="AK21" s="176">
        <v>0</v>
      </c>
      <c r="AL21" s="176">
        <v>71072.81</v>
      </c>
      <c r="AM21" s="176">
        <v>0</v>
      </c>
      <c r="AN21" s="177">
        <v>0</v>
      </c>
      <c r="AO21" s="177">
        <v>0</v>
      </c>
      <c r="AP21" s="177">
        <v>294950.26</v>
      </c>
      <c r="AQ21" s="177">
        <v>0</v>
      </c>
      <c r="AR21" s="177">
        <v>75123.22</v>
      </c>
      <c r="AS21" s="177">
        <v>0</v>
      </c>
      <c r="AT21" s="178">
        <v>678281.69</v>
      </c>
      <c r="AU21" s="178">
        <v>0</v>
      </c>
      <c r="AV21" s="178">
        <v>115023.13</v>
      </c>
      <c r="AW21" s="179">
        <v>0</v>
      </c>
      <c r="AX21" s="180">
        <v>0</v>
      </c>
      <c r="AY21" s="180">
        <v>0</v>
      </c>
      <c r="AZ21" s="180">
        <v>0</v>
      </c>
      <c r="BA21" s="180">
        <v>0</v>
      </c>
      <c r="BB21" s="170">
        <f t="shared" si="18"/>
        <v>1802154.0899999999</v>
      </c>
      <c r="BC21" s="170">
        <v>1802154.09</v>
      </c>
      <c r="BD21" s="2">
        <f t="shared" si="19"/>
        <v>0</v>
      </c>
    </row>
    <row r="22" spans="1:56" ht="12" x14ac:dyDescent="0.2">
      <c r="A22" s="4">
        <v>25</v>
      </c>
      <c r="B22" s="4">
        <v>1</v>
      </c>
      <c r="C22" s="2" t="s">
        <v>341</v>
      </c>
      <c r="D22" s="3">
        <v>0</v>
      </c>
      <c r="E22" s="3">
        <v>0</v>
      </c>
      <c r="F22" s="227">
        <f t="shared" si="3"/>
        <v>0</v>
      </c>
      <c r="G22" s="227">
        <f t="shared" si="4"/>
        <v>0</v>
      </c>
      <c r="H22" s="227">
        <f t="shared" si="5"/>
        <v>0</v>
      </c>
      <c r="I22" s="227">
        <f t="shared" si="6"/>
        <v>0</v>
      </c>
      <c r="J22" s="227">
        <f t="shared" si="7"/>
        <v>0</v>
      </c>
      <c r="K22" s="227">
        <f t="shared" si="8"/>
        <v>0</v>
      </c>
      <c r="L22" s="227">
        <f t="shared" si="9"/>
        <v>0</v>
      </c>
      <c r="M22" s="3">
        <f t="shared" si="10"/>
        <v>0</v>
      </c>
      <c r="N22" s="227">
        <f t="shared" si="11"/>
        <v>0</v>
      </c>
      <c r="O22" s="142">
        <f t="shared" si="12"/>
        <v>0</v>
      </c>
      <c r="P22" s="3">
        <f t="shared" si="20"/>
        <v>0</v>
      </c>
      <c r="Q22" s="3">
        <f t="shared" si="13"/>
        <v>0</v>
      </c>
      <c r="R22" s="3">
        <f t="shared" si="14"/>
        <v>0</v>
      </c>
      <c r="S22" s="3">
        <f t="shared" si="15"/>
        <v>0</v>
      </c>
      <c r="T22" s="3">
        <f t="shared" si="16"/>
        <v>0</v>
      </c>
      <c r="U22" s="3">
        <f>IF($A$5=1,IF($P22=0,0,ROUND(Q22/$P22*$E22,2)),Credits!D21)+Credits!J21</f>
        <v>0</v>
      </c>
      <c r="V22" s="3">
        <f>IF($A$5=1,IF($P22=0,0,ROUND(R22/$P22*$E22,2)),Credits!E21)+Credits!K21</f>
        <v>0</v>
      </c>
      <c r="W22" s="3">
        <f>IF($A$5=1,IF($P22=0,0,ROUND(S22/$P22*$E22,2)),Credits!F21)+Credits!L21</f>
        <v>0</v>
      </c>
      <c r="X22" s="3">
        <f>IF($A$5=1,IF($P22=0,0,ROUND(T22/$P22*$E22,2)),Credits!G21)+Credits!M21</f>
        <v>0</v>
      </c>
      <c r="Y22" s="3">
        <f t="shared" si="17"/>
        <v>0</v>
      </c>
      <c r="AC22" s="4"/>
      <c r="AD22" s="4"/>
      <c r="AE22" s="2">
        <f t="shared" si="2"/>
        <v>0</v>
      </c>
      <c r="AF22" s="170" t="s">
        <v>1120</v>
      </c>
      <c r="AG22" s="175">
        <v>25</v>
      </c>
      <c r="AH22" s="175">
        <v>1</v>
      </c>
      <c r="AI22" s="175">
        <v>1</v>
      </c>
      <c r="AJ22" s="176">
        <v>0</v>
      </c>
      <c r="AK22" s="176">
        <v>0</v>
      </c>
      <c r="AL22" s="176">
        <v>0</v>
      </c>
      <c r="AM22" s="176">
        <v>0</v>
      </c>
      <c r="AN22" s="177">
        <v>0</v>
      </c>
      <c r="AO22" s="177">
        <v>0</v>
      </c>
      <c r="AP22" s="177">
        <v>0</v>
      </c>
      <c r="AQ22" s="177">
        <v>0</v>
      </c>
      <c r="AR22" s="177">
        <v>0</v>
      </c>
      <c r="AS22" s="177">
        <v>0</v>
      </c>
      <c r="AT22" s="178">
        <v>0</v>
      </c>
      <c r="AU22" s="178">
        <v>0</v>
      </c>
      <c r="AV22" s="178">
        <v>0</v>
      </c>
      <c r="AW22" s="179">
        <v>0</v>
      </c>
      <c r="AX22" s="180">
        <v>0</v>
      </c>
      <c r="AY22" s="180">
        <v>0</v>
      </c>
      <c r="AZ22" s="180">
        <v>0</v>
      </c>
      <c r="BA22" s="180">
        <v>0</v>
      </c>
      <c r="BB22" s="170">
        <f t="shared" si="18"/>
        <v>0</v>
      </c>
      <c r="BC22" s="170">
        <v>0</v>
      </c>
      <c r="BD22" s="2">
        <f t="shared" si="19"/>
        <v>0</v>
      </c>
    </row>
    <row r="23" spans="1:56" ht="12" x14ac:dyDescent="0.2">
      <c r="A23" s="4">
        <v>31</v>
      </c>
      <c r="B23" s="4">
        <v>1</v>
      </c>
      <c r="C23" s="2" t="s">
        <v>18</v>
      </c>
      <c r="D23" s="3">
        <v>0</v>
      </c>
      <c r="E23" s="3">
        <v>0</v>
      </c>
      <c r="F23" s="227">
        <f t="shared" si="3"/>
        <v>899051.24</v>
      </c>
      <c r="G23" s="227">
        <f t="shared" si="4"/>
        <v>1337002.21</v>
      </c>
      <c r="H23" s="227">
        <f t="shared" si="5"/>
        <v>0</v>
      </c>
      <c r="I23" s="227">
        <f t="shared" si="6"/>
        <v>1944535.37</v>
      </c>
      <c r="J23" s="227">
        <f t="shared" si="7"/>
        <v>392175.59</v>
      </c>
      <c r="K23" s="227">
        <f t="shared" si="8"/>
        <v>3369122.04</v>
      </c>
      <c r="L23" s="227">
        <f t="shared" si="9"/>
        <v>0</v>
      </c>
      <c r="M23" s="3">
        <f t="shared" si="10"/>
        <v>0</v>
      </c>
      <c r="N23" s="227">
        <f t="shared" si="11"/>
        <v>567357</v>
      </c>
      <c r="O23" s="142">
        <f t="shared" si="12"/>
        <v>8509243.4499999993</v>
      </c>
      <c r="P23" s="3">
        <f t="shared" si="20"/>
        <v>6273190</v>
      </c>
      <c r="Q23" s="3">
        <f t="shared" si="13"/>
        <v>1944535.37</v>
      </c>
      <c r="R23" s="3">
        <f t="shared" si="14"/>
        <v>392175.59</v>
      </c>
      <c r="S23" s="3">
        <f t="shared" si="15"/>
        <v>3369122.04</v>
      </c>
      <c r="T23" s="3">
        <f t="shared" si="16"/>
        <v>567357</v>
      </c>
      <c r="U23" s="3">
        <f>IF($A$5=1,IF($P23=0,0,ROUND(Q23/$P23*$E23,2)),Credits!D22)+Credits!J22</f>
        <v>13900.170000000002</v>
      </c>
      <c r="V23" s="3">
        <f>IF($A$5=1,IF($P23=0,0,ROUND(R23/$P23*$E23,2)),Credits!E22)+Credits!K22</f>
        <v>2802.5500000000006</v>
      </c>
      <c r="W23" s="3">
        <f>IF($A$5=1,IF($P23=0,0,ROUND(S23/$P23*$E23,2)),Credits!F22)+Credits!L22</f>
        <v>24084.930000000004</v>
      </c>
      <c r="X23" s="3">
        <f>IF($A$5=1,IF($P23=0,0,ROUND(T23/$P23*$E23,2)),Credits!G22)+Credits!M22</f>
        <v>4055.21</v>
      </c>
      <c r="Y23" s="3">
        <f t="shared" si="17"/>
        <v>44842.860000000008</v>
      </c>
      <c r="AC23" s="4"/>
      <c r="AD23" s="4"/>
      <c r="AE23" s="2">
        <f t="shared" si="2"/>
        <v>0</v>
      </c>
      <c r="AF23" s="170" t="s">
        <v>1120</v>
      </c>
      <c r="AG23" s="175">
        <v>31</v>
      </c>
      <c r="AH23" s="175">
        <v>1</v>
      </c>
      <c r="AI23" s="175">
        <v>1</v>
      </c>
      <c r="AJ23" s="176">
        <v>899051.24</v>
      </c>
      <c r="AK23" s="176">
        <v>0</v>
      </c>
      <c r="AL23" s="176">
        <v>1337002.21</v>
      </c>
      <c r="AM23" s="176">
        <v>0</v>
      </c>
      <c r="AN23" s="177">
        <v>0</v>
      </c>
      <c r="AO23" s="177">
        <v>0</v>
      </c>
      <c r="AP23" s="177">
        <v>1944535.37</v>
      </c>
      <c r="AQ23" s="177">
        <v>0</v>
      </c>
      <c r="AR23" s="177">
        <v>392175.59</v>
      </c>
      <c r="AS23" s="177">
        <v>0</v>
      </c>
      <c r="AT23" s="178">
        <v>3369122.04</v>
      </c>
      <c r="AU23" s="178">
        <v>0</v>
      </c>
      <c r="AV23" s="178">
        <v>0</v>
      </c>
      <c r="AW23" s="179">
        <v>0</v>
      </c>
      <c r="AX23" s="180">
        <v>0</v>
      </c>
      <c r="AY23" s="180">
        <v>0</v>
      </c>
      <c r="AZ23" s="180">
        <v>567357</v>
      </c>
      <c r="BA23" s="180">
        <v>0</v>
      </c>
      <c r="BB23" s="170">
        <f t="shared" si="18"/>
        <v>8509243.4499999993</v>
      </c>
      <c r="BC23" s="170">
        <v>8509243.4499999993</v>
      </c>
      <c r="BD23" s="2">
        <f t="shared" si="19"/>
        <v>0</v>
      </c>
    </row>
    <row r="24" spans="1:56" ht="12" x14ac:dyDescent="0.2">
      <c r="A24" s="4">
        <v>32</v>
      </c>
      <c r="B24" s="4">
        <v>1</v>
      </c>
      <c r="C24" s="2" t="s">
        <v>19</v>
      </c>
      <c r="D24" s="3">
        <v>0</v>
      </c>
      <c r="E24" s="3">
        <v>0</v>
      </c>
      <c r="F24" s="227">
        <f t="shared" si="3"/>
        <v>0</v>
      </c>
      <c r="G24" s="227">
        <f t="shared" si="4"/>
        <v>129694.25</v>
      </c>
      <c r="H24" s="227">
        <f t="shared" si="5"/>
        <v>0</v>
      </c>
      <c r="I24" s="227">
        <f t="shared" si="6"/>
        <v>206015.97</v>
      </c>
      <c r="J24" s="227">
        <f t="shared" si="7"/>
        <v>30757.39</v>
      </c>
      <c r="K24" s="227">
        <f t="shared" si="8"/>
        <v>120244.19</v>
      </c>
      <c r="L24" s="227">
        <f t="shared" si="9"/>
        <v>227000</v>
      </c>
      <c r="M24" s="3">
        <f t="shared" si="10"/>
        <v>0</v>
      </c>
      <c r="N24" s="227">
        <f t="shared" si="11"/>
        <v>0</v>
      </c>
      <c r="O24" s="142">
        <f t="shared" si="12"/>
        <v>713711.8</v>
      </c>
      <c r="P24" s="3">
        <f t="shared" si="20"/>
        <v>584017.55000000005</v>
      </c>
      <c r="Q24" s="3">
        <f t="shared" si="13"/>
        <v>206015.97</v>
      </c>
      <c r="R24" s="3">
        <f t="shared" si="14"/>
        <v>30757.39</v>
      </c>
      <c r="S24" s="3">
        <f t="shared" si="15"/>
        <v>347244.19</v>
      </c>
      <c r="T24" s="3">
        <f t="shared" si="16"/>
        <v>0</v>
      </c>
      <c r="U24" s="3">
        <f>IF($A$5=1,IF($P24=0,0,ROUND(Q24/$P24*$E24,2)),Credits!D23)+Credits!J23</f>
        <v>8125.04</v>
      </c>
      <c r="V24" s="3">
        <f>IF($A$5=1,IF($P24=0,0,ROUND(R24/$P24*$E24,2)),Credits!E23)+Credits!K23</f>
        <v>1212.7299999999998</v>
      </c>
      <c r="W24" s="3">
        <f>IF($A$5=1,IF($P24=0,0,ROUND(S24/$P24*$E24,2)),Credits!F23)+Credits!L23</f>
        <v>13694.789999999999</v>
      </c>
      <c r="X24" s="3">
        <f>IF($A$5=1,IF($P24=0,0,ROUND(T24/$P24*$E24,2)),Credits!G23)+Credits!M23</f>
        <v>0</v>
      </c>
      <c r="Y24" s="3">
        <f t="shared" si="17"/>
        <v>23032.559999999998</v>
      </c>
      <c r="AC24" s="4"/>
      <c r="AD24" s="4"/>
      <c r="AE24" s="2">
        <f t="shared" si="2"/>
        <v>0</v>
      </c>
      <c r="AF24" s="170" t="s">
        <v>1120</v>
      </c>
      <c r="AG24" s="175">
        <v>32</v>
      </c>
      <c r="AH24" s="175">
        <v>1</v>
      </c>
      <c r="AI24" s="175">
        <v>1</v>
      </c>
      <c r="AJ24" s="176">
        <v>0</v>
      </c>
      <c r="AK24" s="176">
        <v>0</v>
      </c>
      <c r="AL24" s="176">
        <v>129694.25</v>
      </c>
      <c r="AM24" s="176">
        <v>0</v>
      </c>
      <c r="AN24" s="177">
        <v>0</v>
      </c>
      <c r="AO24" s="177">
        <v>0</v>
      </c>
      <c r="AP24" s="177">
        <v>206015.97</v>
      </c>
      <c r="AQ24" s="177">
        <v>0</v>
      </c>
      <c r="AR24" s="177">
        <v>30757.39</v>
      </c>
      <c r="AS24" s="177">
        <v>0</v>
      </c>
      <c r="AT24" s="178">
        <v>120244.19</v>
      </c>
      <c r="AU24" s="178">
        <v>0</v>
      </c>
      <c r="AV24" s="178">
        <v>227000</v>
      </c>
      <c r="AW24" s="179">
        <v>0</v>
      </c>
      <c r="AX24" s="180">
        <v>0</v>
      </c>
      <c r="AY24" s="180">
        <v>0</v>
      </c>
      <c r="AZ24" s="180">
        <v>0</v>
      </c>
      <c r="BA24" s="180">
        <v>0</v>
      </c>
      <c r="BB24" s="170">
        <f t="shared" si="18"/>
        <v>713711.8</v>
      </c>
      <c r="BC24" s="170">
        <v>713711.8</v>
      </c>
      <c r="BD24" s="2">
        <f t="shared" si="19"/>
        <v>0</v>
      </c>
    </row>
    <row r="25" spans="1:56" ht="12" x14ac:dyDescent="0.2">
      <c r="A25" s="4">
        <v>36</v>
      </c>
      <c r="B25" s="4">
        <v>1</v>
      </c>
      <c r="C25" s="2" t="s">
        <v>20</v>
      </c>
      <c r="D25" s="3">
        <v>0</v>
      </c>
      <c r="E25" s="3">
        <v>0</v>
      </c>
      <c r="F25" s="227">
        <f t="shared" si="3"/>
        <v>1.1599999999999999</v>
      </c>
      <c r="G25" s="227">
        <f t="shared" si="4"/>
        <v>42134.25</v>
      </c>
      <c r="H25" s="227">
        <f t="shared" si="5"/>
        <v>0</v>
      </c>
      <c r="I25" s="227">
        <f t="shared" si="6"/>
        <v>19374.75</v>
      </c>
      <c r="J25" s="227">
        <f t="shared" si="7"/>
        <v>11557.98</v>
      </c>
      <c r="K25" s="227">
        <f t="shared" si="8"/>
        <v>311384.76</v>
      </c>
      <c r="L25" s="227">
        <f t="shared" si="9"/>
        <v>0</v>
      </c>
      <c r="M25" s="3">
        <f t="shared" si="10"/>
        <v>0</v>
      </c>
      <c r="N25" s="227">
        <f t="shared" si="11"/>
        <v>0</v>
      </c>
      <c r="O25" s="142">
        <f t="shared" si="12"/>
        <v>384452.9</v>
      </c>
      <c r="P25" s="3">
        <f t="shared" si="20"/>
        <v>342317.49</v>
      </c>
      <c r="Q25" s="3">
        <f t="shared" si="13"/>
        <v>19374.75</v>
      </c>
      <c r="R25" s="3">
        <f t="shared" si="14"/>
        <v>11557.98</v>
      </c>
      <c r="S25" s="3">
        <f t="shared" si="15"/>
        <v>311384.76</v>
      </c>
      <c r="T25" s="3">
        <f t="shared" si="16"/>
        <v>0</v>
      </c>
      <c r="U25" s="3">
        <f>IF($A$5=1,IF($P25=0,0,ROUND(Q25/$P25*$E25,2)),Credits!D24)+Credits!J24</f>
        <v>603.36999999999989</v>
      </c>
      <c r="V25" s="3">
        <f>IF($A$5=1,IF($P25=0,0,ROUND(R25/$P25*$E25,2)),Credits!E24)+Credits!K24</f>
        <v>359.9</v>
      </c>
      <c r="W25" s="3">
        <f>IF($A$5=1,IF($P25=0,0,ROUND(S25/$P25*$E25,2)),Credits!F24)+Credits!L24</f>
        <v>9694.4699999999993</v>
      </c>
      <c r="X25" s="3">
        <f>IF($A$5=1,IF($P25=0,0,ROUND(T25/$P25*$E25,2)),Credits!G24)+Credits!M24</f>
        <v>0</v>
      </c>
      <c r="Y25" s="3">
        <f t="shared" si="17"/>
        <v>10657.74</v>
      </c>
      <c r="AC25" s="4"/>
      <c r="AD25" s="4"/>
      <c r="AE25" s="2">
        <f t="shared" si="2"/>
        <v>0</v>
      </c>
      <c r="AF25" s="170" t="s">
        <v>1120</v>
      </c>
      <c r="AG25" s="175">
        <v>36</v>
      </c>
      <c r="AH25" s="175">
        <v>1</v>
      </c>
      <c r="AI25" s="175">
        <v>1</v>
      </c>
      <c r="AJ25" s="176">
        <v>1.1599999999999999</v>
      </c>
      <c r="AK25" s="176">
        <v>0</v>
      </c>
      <c r="AL25" s="176">
        <v>42134.25</v>
      </c>
      <c r="AM25" s="176">
        <v>0</v>
      </c>
      <c r="AN25" s="177">
        <v>0</v>
      </c>
      <c r="AO25" s="177">
        <v>0</v>
      </c>
      <c r="AP25" s="177">
        <v>19374.75</v>
      </c>
      <c r="AQ25" s="177">
        <v>0</v>
      </c>
      <c r="AR25" s="177">
        <v>11557.98</v>
      </c>
      <c r="AS25" s="177">
        <v>0</v>
      </c>
      <c r="AT25" s="178">
        <v>311384.76</v>
      </c>
      <c r="AU25" s="178">
        <v>0</v>
      </c>
      <c r="AV25" s="178">
        <v>0</v>
      </c>
      <c r="AW25" s="179">
        <v>0</v>
      </c>
      <c r="AX25" s="180">
        <v>0</v>
      </c>
      <c r="AY25" s="180">
        <v>0</v>
      </c>
      <c r="AZ25" s="180">
        <v>0</v>
      </c>
      <c r="BA25" s="180">
        <v>0</v>
      </c>
      <c r="BB25" s="170">
        <f t="shared" si="18"/>
        <v>384452.9</v>
      </c>
      <c r="BC25" s="170">
        <v>384452.9</v>
      </c>
      <c r="BD25" s="2">
        <f t="shared" si="19"/>
        <v>0</v>
      </c>
    </row>
    <row r="26" spans="1:56" ht="12" x14ac:dyDescent="0.2">
      <c r="A26" s="4">
        <v>38</v>
      </c>
      <c r="B26" s="4">
        <v>1</v>
      </c>
      <c r="C26" s="2" t="s">
        <v>21</v>
      </c>
      <c r="D26" s="3">
        <v>0</v>
      </c>
      <c r="E26" s="3">
        <v>0</v>
      </c>
      <c r="F26" s="227">
        <f t="shared" si="3"/>
        <v>2446.0700000000002</v>
      </c>
      <c r="G26" s="227">
        <f t="shared" si="4"/>
        <v>286.11</v>
      </c>
      <c r="H26" s="227">
        <f t="shared" si="5"/>
        <v>0</v>
      </c>
      <c r="I26" s="227">
        <f t="shared" si="6"/>
        <v>1576.36</v>
      </c>
      <c r="J26" s="227">
        <f t="shared" si="7"/>
        <v>147.91</v>
      </c>
      <c r="K26" s="227">
        <f t="shared" si="8"/>
        <v>3684.49</v>
      </c>
      <c r="L26" s="227">
        <f t="shared" si="9"/>
        <v>0</v>
      </c>
      <c r="M26" s="3">
        <f t="shared" si="10"/>
        <v>0</v>
      </c>
      <c r="N26" s="227">
        <f t="shared" si="11"/>
        <v>0</v>
      </c>
      <c r="O26" s="142">
        <f t="shared" si="12"/>
        <v>8140.94</v>
      </c>
      <c r="P26" s="3">
        <f t="shared" si="20"/>
        <v>5408.76</v>
      </c>
      <c r="Q26" s="3">
        <f t="shared" si="13"/>
        <v>1576.36</v>
      </c>
      <c r="R26" s="3">
        <f t="shared" si="14"/>
        <v>147.91</v>
      </c>
      <c r="S26" s="3">
        <f t="shared" si="15"/>
        <v>3684.49</v>
      </c>
      <c r="T26" s="3">
        <f t="shared" si="16"/>
        <v>0</v>
      </c>
      <c r="U26" s="3">
        <f>IF($A$5=1,IF($P26=0,0,ROUND(Q26/$P26*$E26,2)),Credits!D25)+Credits!J25</f>
        <v>0</v>
      </c>
      <c r="V26" s="3">
        <f>IF($A$5=1,IF($P26=0,0,ROUND(R26/$P26*$E26,2)),Credits!E25)+Credits!K25</f>
        <v>0</v>
      </c>
      <c r="W26" s="3">
        <f>IF($A$5=1,IF($P26=0,0,ROUND(S26/$P26*$E26,2)),Credits!F25)+Credits!L25</f>
        <v>0</v>
      </c>
      <c r="X26" s="3">
        <f>IF($A$5=1,IF($P26=0,0,ROUND(T26/$P26*$E26,2)),Credits!G25)+Credits!M25</f>
        <v>0</v>
      </c>
      <c r="Y26" s="3">
        <f t="shared" si="17"/>
        <v>0</v>
      </c>
      <c r="AC26" s="4"/>
      <c r="AD26" s="4"/>
      <c r="AE26" s="2">
        <f t="shared" si="2"/>
        <v>0</v>
      </c>
      <c r="AF26" s="170" t="s">
        <v>1120</v>
      </c>
      <c r="AG26" s="175">
        <v>38</v>
      </c>
      <c r="AH26" s="175">
        <v>1</v>
      </c>
      <c r="AI26" s="175">
        <v>1</v>
      </c>
      <c r="AJ26" s="176">
        <v>2446.0700000000002</v>
      </c>
      <c r="AK26" s="176">
        <v>0</v>
      </c>
      <c r="AL26" s="176">
        <v>286.11</v>
      </c>
      <c r="AM26" s="176">
        <v>0</v>
      </c>
      <c r="AN26" s="177">
        <v>0</v>
      </c>
      <c r="AO26" s="177">
        <v>0</v>
      </c>
      <c r="AP26" s="177">
        <v>1576.36</v>
      </c>
      <c r="AQ26" s="177">
        <v>0</v>
      </c>
      <c r="AR26" s="177">
        <v>147.91</v>
      </c>
      <c r="AS26" s="177">
        <v>0</v>
      </c>
      <c r="AT26" s="178">
        <v>3684.49</v>
      </c>
      <c r="AU26" s="178">
        <v>0</v>
      </c>
      <c r="AV26" s="178">
        <v>0</v>
      </c>
      <c r="AW26" s="179">
        <v>0</v>
      </c>
      <c r="AX26" s="180">
        <v>0</v>
      </c>
      <c r="AY26" s="180">
        <v>0</v>
      </c>
      <c r="AZ26" s="180">
        <v>0</v>
      </c>
      <c r="BA26" s="180">
        <v>0</v>
      </c>
      <c r="BB26" s="170">
        <f t="shared" si="18"/>
        <v>8140.94</v>
      </c>
      <c r="BC26" s="170">
        <v>8140.94</v>
      </c>
      <c r="BD26" s="2">
        <f t="shared" si="19"/>
        <v>0</v>
      </c>
    </row>
    <row r="27" spans="1:56" ht="12" x14ac:dyDescent="0.2">
      <c r="A27" s="4">
        <v>47</v>
      </c>
      <c r="B27" s="4">
        <v>1</v>
      </c>
      <c r="C27" s="2" t="s">
        <v>22</v>
      </c>
      <c r="D27" s="3">
        <v>0</v>
      </c>
      <c r="E27" s="3">
        <v>0</v>
      </c>
      <c r="F27" s="227">
        <f t="shared" si="3"/>
        <v>280654.53000000003</v>
      </c>
      <c r="G27" s="227">
        <f t="shared" si="4"/>
        <v>1222507.3500000001</v>
      </c>
      <c r="H27" s="227">
        <f t="shared" si="5"/>
        <v>0</v>
      </c>
      <c r="I27" s="227">
        <f t="shared" si="6"/>
        <v>1161105.57</v>
      </c>
      <c r="J27" s="227">
        <f t="shared" si="7"/>
        <v>209665.74</v>
      </c>
      <c r="K27" s="227">
        <f t="shared" si="8"/>
        <v>4776789.71</v>
      </c>
      <c r="L27" s="227">
        <f t="shared" si="9"/>
        <v>0</v>
      </c>
      <c r="M27" s="3">
        <f t="shared" si="10"/>
        <v>0</v>
      </c>
      <c r="N27" s="227">
        <f t="shared" si="11"/>
        <v>0</v>
      </c>
      <c r="O27" s="142">
        <f t="shared" si="12"/>
        <v>7650722.9000000004</v>
      </c>
      <c r="P27" s="3">
        <f t="shared" si="20"/>
        <v>6147561.0199999996</v>
      </c>
      <c r="Q27" s="3">
        <f t="shared" si="13"/>
        <v>1161105.57</v>
      </c>
      <c r="R27" s="3">
        <f t="shared" si="14"/>
        <v>209665.74</v>
      </c>
      <c r="S27" s="3">
        <f t="shared" si="15"/>
        <v>4776789.71</v>
      </c>
      <c r="T27" s="3">
        <f t="shared" si="16"/>
        <v>0</v>
      </c>
      <c r="U27" s="3">
        <f>IF($A$5=1,IF($P27=0,0,ROUND(Q27/$P27*$E27,2)),Credits!D26)+Credits!J26</f>
        <v>5836.6799999999994</v>
      </c>
      <c r="V27" s="3">
        <f>IF($A$5=1,IF($P27=0,0,ROUND(R27/$P27*$E27,2)),Credits!E26)+Credits!K26</f>
        <v>1054.08</v>
      </c>
      <c r="W27" s="3">
        <f>IF($A$5=1,IF($P27=0,0,ROUND(S27/$P27*$E27,2)),Credits!F26)+Credits!L26</f>
        <v>23890.999999999996</v>
      </c>
      <c r="X27" s="3">
        <f>IF($A$5=1,IF($P27=0,0,ROUND(T27/$P27*$E27,2)),Credits!G26)+Credits!M26</f>
        <v>0</v>
      </c>
      <c r="Y27" s="3">
        <f t="shared" si="17"/>
        <v>30781.759999999995</v>
      </c>
      <c r="AC27" s="4"/>
      <c r="AD27" s="4"/>
      <c r="AE27" s="2">
        <f t="shared" si="2"/>
        <v>0</v>
      </c>
      <c r="AF27" s="170" t="s">
        <v>1120</v>
      </c>
      <c r="AG27" s="175">
        <v>47</v>
      </c>
      <c r="AH27" s="175">
        <v>1</v>
      </c>
      <c r="AI27" s="175">
        <v>1</v>
      </c>
      <c r="AJ27" s="176">
        <v>280654.53000000003</v>
      </c>
      <c r="AK27" s="176">
        <v>0</v>
      </c>
      <c r="AL27" s="176">
        <v>1222507.3500000001</v>
      </c>
      <c r="AM27" s="176">
        <v>0</v>
      </c>
      <c r="AN27" s="177">
        <v>0</v>
      </c>
      <c r="AO27" s="177">
        <v>0</v>
      </c>
      <c r="AP27" s="177">
        <v>1161105.57</v>
      </c>
      <c r="AQ27" s="177">
        <v>0</v>
      </c>
      <c r="AR27" s="177">
        <v>209665.74</v>
      </c>
      <c r="AS27" s="177">
        <v>0</v>
      </c>
      <c r="AT27" s="178">
        <v>4776789.71</v>
      </c>
      <c r="AU27" s="178">
        <v>0</v>
      </c>
      <c r="AV27" s="178">
        <v>0</v>
      </c>
      <c r="AW27" s="179">
        <v>0</v>
      </c>
      <c r="AX27" s="180">
        <v>0</v>
      </c>
      <c r="AY27" s="180">
        <v>0</v>
      </c>
      <c r="AZ27" s="180">
        <v>0</v>
      </c>
      <c r="BA27" s="180">
        <v>0</v>
      </c>
      <c r="BB27" s="170">
        <f t="shared" si="18"/>
        <v>7650722.9000000004</v>
      </c>
      <c r="BC27" s="170">
        <v>7650722.9000000004</v>
      </c>
      <c r="BD27" s="2">
        <f t="shared" si="19"/>
        <v>0</v>
      </c>
    </row>
    <row r="28" spans="1:56" ht="12" x14ac:dyDescent="0.2">
      <c r="A28" s="4">
        <v>51</v>
      </c>
      <c r="B28" s="4">
        <v>1</v>
      </c>
      <c r="C28" s="2" t="s">
        <v>23</v>
      </c>
      <c r="D28" s="3">
        <v>0</v>
      </c>
      <c r="E28" s="3">
        <v>0</v>
      </c>
      <c r="F28" s="227">
        <f t="shared" si="3"/>
        <v>170997.51</v>
      </c>
      <c r="G28" s="227">
        <f t="shared" si="4"/>
        <v>139352.53</v>
      </c>
      <c r="H28" s="227">
        <f t="shared" si="5"/>
        <v>0</v>
      </c>
      <c r="I28" s="227">
        <f t="shared" si="6"/>
        <v>382870.51</v>
      </c>
      <c r="J28" s="227">
        <f t="shared" si="7"/>
        <v>87027.91</v>
      </c>
      <c r="K28" s="227">
        <f t="shared" si="8"/>
        <v>3277101.44</v>
      </c>
      <c r="L28" s="227">
        <f t="shared" si="9"/>
        <v>0</v>
      </c>
      <c r="M28" s="3">
        <f t="shared" si="10"/>
        <v>0</v>
      </c>
      <c r="N28" s="227">
        <f t="shared" si="11"/>
        <v>0</v>
      </c>
      <c r="O28" s="142">
        <f t="shared" si="12"/>
        <v>4057349.9</v>
      </c>
      <c r="P28" s="3">
        <f t="shared" si="20"/>
        <v>3746999.86</v>
      </c>
      <c r="Q28" s="3">
        <f t="shared" si="13"/>
        <v>382870.51</v>
      </c>
      <c r="R28" s="3">
        <f t="shared" si="14"/>
        <v>87027.91</v>
      </c>
      <c r="S28" s="3">
        <f t="shared" si="15"/>
        <v>3277101.44</v>
      </c>
      <c r="T28" s="3">
        <f t="shared" si="16"/>
        <v>0</v>
      </c>
      <c r="U28" s="3">
        <f>IF($A$5=1,IF($P28=0,0,ROUND(Q28/$P28*$E28,2)),Credits!D27)+Credits!J27</f>
        <v>11538.69</v>
      </c>
      <c r="V28" s="3">
        <f>IF($A$5=1,IF($P28=0,0,ROUND(R28/$P28*$E28,2)),Credits!E27)+Credits!K27</f>
        <v>2622.9500000000003</v>
      </c>
      <c r="W28" s="3">
        <f>IF($A$5=1,IF($P28=0,0,ROUND(S28/$P28*$E28,2)),Credits!F27)+Credits!L27</f>
        <v>98756.539999999979</v>
      </c>
      <c r="X28" s="3">
        <f>IF($A$5=1,IF($P28=0,0,ROUND(T28/$P28*$E28,2)),Credits!G27)+Credits!M27</f>
        <v>0</v>
      </c>
      <c r="Y28" s="3">
        <f t="shared" si="17"/>
        <v>112918.17999999998</v>
      </c>
      <c r="AC28" s="4"/>
      <c r="AD28" s="4"/>
      <c r="AE28" s="2">
        <f t="shared" si="2"/>
        <v>0</v>
      </c>
      <c r="AF28" s="170" t="s">
        <v>1120</v>
      </c>
      <c r="AG28" s="175">
        <v>51</v>
      </c>
      <c r="AH28" s="175">
        <v>1</v>
      </c>
      <c r="AI28" s="175">
        <v>1</v>
      </c>
      <c r="AJ28" s="176">
        <v>170997.51</v>
      </c>
      <c r="AK28" s="176">
        <v>0</v>
      </c>
      <c r="AL28" s="176">
        <v>139352.53</v>
      </c>
      <c r="AM28" s="176">
        <v>0</v>
      </c>
      <c r="AN28" s="177">
        <v>0</v>
      </c>
      <c r="AO28" s="177">
        <v>0</v>
      </c>
      <c r="AP28" s="177">
        <v>382870.51</v>
      </c>
      <c r="AQ28" s="177">
        <v>0</v>
      </c>
      <c r="AR28" s="177">
        <v>87027.91</v>
      </c>
      <c r="AS28" s="177">
        <v>0</v>
      </c>
      <c r="AT28" s="178">
        <v>3277101.44</v>
      </c>
      <c r="AU28" s="178">
        <v>0</v>
      </c>
      <c r="AV28" s="178">
        <v>0</v>
      </c>
      <c r="AW28" s="179">
        <v>0</v>
      </c>
      <c r="AX28" s="180">
        <v>0</v>
      </c>
      <c r="AY28" s="180">
        <v>0</v>
      </c>
      <c r="AZ28" s="180">
        <v>0</v>
      </c>
      <c r="BA28" s="180">
        <v>0</v>
      </c>
      <c r="BB28" s="170">
        <f t="shared" si="18"/>
        <v>4057349.9</v>
      </c>
      <c r="BC28" s="170">
        <v>4057349.9</v>
      </c>
      <c r="BD28" s="2">
        <f t="shared" si="19"/>
        <v>0</v>
      </c>
    </row>
    <row r="29" spans="1:56" ht="12" x14ac:dyDescent="0.2">
      <c r="A29" s="4">
        <v>75</v>
      </c>
      <c r="B29" s="4">
        <v>1</v>
      </c>
      <c r="C29" s="2" t="s">
        <v>24</v>
      </c>
      <c r="D29" s="3">
        <v>0</v>
      </c>
      <c r="E29" s="3">
        <v>0</v>
      </c>
      <c r="F29" s="227">
        <f t="shared" si="3"/>
        <v>278916.25</v>
      </c>
      <c r="G29" s="227">
        <f t="shared" si="4"/>
        <v>53373.61</v>
      </c>
      <c r="H29" s="227">
        <f t="shared" si="5"/>
        <v>0</v>
      </c>
      <c r="I29" s="227">
        <f t="shared" si="6"/>
        <v>160726.1</v>
      </c>
      <c r="J29" s="227">
        <f t="shared" si="7"/>
        <v>34527.629999999997</v>
      </c>
      <c r="K29" s="227">
        <f t="shared" si="8"/>
        <v>718901.61</v>
      </c>
      <c r="L29" s="227">
        <f t="shared" si="9"/>
        <v>0</v>
      </c>
      <c r="M29" s="3">
        <f t="shared" si="10"/>
        <v>0</v>
      </c>
      <c r="N29" s="227">
        <f t="shared" si="11"/>
        <v>0</v>
      </c>
      <c r="O29" s="142">
        <f t="shared" si="12"/>
        <v>1246445.2</v>
      </c>
      <c r="P29" s="3">
        <f t="shared" si="20"/>
        <v>914155.34</v>
      </c>
      <c r="Q29" s="3">
        <f t="shared" si="13"/>
        <v>160726.1</v>
      </c>
      <c r="R29" s="3">
        <f t="shared" si="14"/>
        <v>34527.629999999997</v>
      </c>
      <c r="S29" s="3">
        <f t="shared" si="15"/>
        <v>718901.61</v>
      </c>
      <c r="T29" s="3">
        <f t="shared" si="16"/>
        <v>0</v>
      </c>
      <c r="U29" s="3">
        <f>IF($A$5=1,IF($P29=0,0,ROUND(Q29/$P29*$E29,2)),Credits!D28)+Credits!J28</f>
        <v>2367.5500000000006</v>
      </c>
      <c r="V29" s="3">
        <f>IF($A$5=1,IF($P29=0,0,ROUND(R29/$P29*$E29,2)),Credits!E28)+Credits!K28</f>
        <v>508.35999999999996</v>
      </c>
      <c r="W29" s="3">
        <f>IF($A$5=1,IF($P29=0,0,ROUND(S29/$P29*$E29,2)),Credits!F28)+Credits!L28</f>
        <v>10590.260000000002</v>
      </c>
      <c r="X29" s="3">
        <f>IF($A$5=1,IF($P29=0,0,ROUND(T29/$P29*$E29,2)),Credits!G28)+Credits!M28</f>
        <v>0</v>
      </c>
      <c r="Y29" s="3">
        <f t="shared" si="17"/>
        <v>13466.170000000002</v>
      </c>
      <c r="AC29" s="4"/>
      <c r="AD29" s="4"/>
      <c r="AE29" s="2">
        <f t="shared" si="2"/>
        <v>0</v>
      </c>
      <c r="AF29" s="170" t="s">
        <v>1120</v>
      </c>
      <c r="AG29" s="175">
        <v>75</v>
      </c>
      <c r="AH29" s="175">
        <v>1</v>
      </c>
      <c r="AI29" s="175">
        <v>1</v>
      </c>
      <c r="AJ29" s="176">
        <v>278916.25</v>
      </c>
      <c r="AK29" s="176">
        <v>0</v>
      </c>
      <c r="AL29" s="176">
        <v>53373.61</v>
      </c>
      <c r="AM29" s="176">
        <v>0</v>
      </c>
      <c r="AN29" s="177">
        <v>0</v>
      </c>
      <c r="AO29" s="177">
        <v>0</v>
      </c>
      <c r="AP29" s="177">
        <v>160726.1</v>
      </c>
      <c r="AQ29" s="177">
        <v>0</v>
      </c>
      <c r="AR29" s="177">
        <v>34527.629999999997</v>
      </c>
      <c r="AS29" s="177">
        <v>0</v>
      </c>
      <c r="AT29" s="178">
        <v>718901.61</v>
      </c>
      <c r="AU29" s="178">
        <v>0</v>
      </c>
      <c r="AV29" s="178">
        <v>0</v>
      </c>
      <c r="AW29" s="179">
        <v>0</v>
      </c>
      <c r="AX29" s="180">
        <v>0</v>
      </c>
      <c r="AY29" s="180">
        <v>0</v>
      </c>
      <c r="AZ29" s="180">
        <v>0</v>
      </c>
      <c r="BA29" s="180">
        <v>0</v>
      </c>
      <c r="BB29" s="170">
        <f t="shared" si="18"/>
        <v>1246445.2</v>
      </c>
      <c r="BC29" s="170">
        <v>1246445.2</v>
      </c>
      <c r="BD29" s="2">
        <f t="shared" si="19"/>
        <v>0</v>
      </c>
    </row>
    <row r="30" spans="1:56" ht="12" x14ac:dyDescent="0.2">
      <c r="A30" s="4">
        <v>77</v>
      </c>
      <c r="B30" s="4">
        <v>1</v>
      </c>
      <c r="C30" s="2" t="s">
        <v>25</v>
      </c>
      <c r="D30" s="3">
        <v>0</v>
      </c>
      <c r="E30" s="3">
        <v>0</v>
      </c>
      <c r="F30" s="227">
        <f t="shared" si="3"/>
        <v>3804825.41</v>
      </c>
      <c r="G30" s="227">
        <f t="shared" si="4"/>
        <v>3060761.6</v>
      </c>
      <c r="H30" s="227">
        <f t="shared" si="5"/>
        <v>499403.6</v>
      </c>
      <c r="I30" s="227">
        <f t="shared" si="6"/>
        <v>3289286.6</v>
      </c>
      <c r="J30" s="227">
        <f t="shared" si="7"/>
        <v>865574.89</v>
      </c>
      <c r="K30" s="227">
        <f t="shared" si="8"/>
        <v>6977083.6100000003</v>
      </c>
      <c r="L30" s="227">
        <f t="shared" si="9"/>
        <v>0</v>
      </c>
      <c r="M30" s="3">
        <f t="shared" si="10"/>
        <v>0</v>
      </c>
      <c r="N30" s="227">
        <f t="shared" si="11"/>
        <v>1797028.71</v>
      </c>
      <c r="O30" s="142">
        <f t="shared" si="12"/>
        <v>20293964.420000002</v>
      </c>
      <c r="P30" s="3">
        <f t="shared" si="20"/>
        <v>13428377.41</v>
      </c>
      <c r="Q30" s="3">
        <f t="shared" si="13"/>
        <v>3788690.2</v>
      </c>
      <c r="R30" s="3">
        <f t="shared" si="14"/>
        <v>865574.89</v>
      </c>
      <c r="S30" s="3">
        <f t="shared" si="15"/>
        <v>6977083.6100000003</v>
      </c>
      <c r="T30" s="3">
        <f t="shared" si="16"/>
        <v>1797028.71</v>
      </c>
      <c r="U30" s="3">
        <f>IF($A$5=1,IF($P30=0,0,ROUND(Q30/$P30*$E30,2)),Credits!D29)+Credits!J29</f>
        <v>19817.7</v>
      </c>
      <c r="V30" s="3">
        <f>IF($A$5=1,IF($P30=0,0,ROUND(R30/$P30*$E30,2)),Credits!E29)+Credits!K29</f>
        <v>4526.84</v>
      </c>
      <c r="W30" s="3">
        <f>IF($A$5=1,IF($P30=0,0,ROUND(S30/$P30*$E30,2)),Credits!F29)+Credits!L29</f>
        <v>36447.129999999997</v>
      </c>
      <c r="X30" s="3">
        <f>IF($A$5=1,IF($P30=0,0,ROUND(T30/$P30*$E30,2)),Credits!G29)+Credits!M29</f>
        <v>9387.630000000001</v>
      </c>
      <c r="Y30" s="3">
        <f t="shared" si="17"/>
        <v>70179.3</v>
      </c>
      <c r="AC30" s="4"/>
      <c r="AD30" s="4"/>
      <c r="AE30" s="2">
        <f t="shared" si="2"/>
        <v>0</v>
      </c>
      <c r="AF30" s="170" t="s">
        <v>1120</v>
      </c>
      <c r="AG30" s="175">
        <v>77</v>
      </c>
      <c r="AH30" s="175">
        <v>1</v>
      </c>
      <c r="AI30" s="175">
        <v>1</v>
      </c>
      <c r="AJ30" s="176">
        <v>3804825.41</v>
      </c>
      <c r="AK30" s="176">
        <v>0</v>
      </c>
      <c r="AL30" s="176">
        <v>3060761.6</v>
      </c>
      <c r="AM30" s="176">
        <v>0</v>
      </c>
      <c r="AN30" s="177">
        <v>499403.6</v>
      </c>
      <c r="AO30" s="177">
        <v>0</v>
      </c>
      <c r="AP30" s="177">
        <v>3289286.6</v>
      </c>
      <c r="AQ30" s="177">
        <v>0</v>
      </c>
      <c r="AR30" s="177">
        <v>865574.89</v>
      </c>
      <c r="AS30" s="177">
        <v>0</v>
      </c>
      <c r="AT30" s="178">
        <v>6977083.6100000003</v>
      </c>
      <c r="AU30" s="178">
        <v>0</v>
      </c>
      <c r="AV30" s="178">
        <v>0</v>
      </c>
      <c r="AW30" s="179">
        <v>0</v>
      </c>
      <c r="AX30" s="180">
        <v>0</v>
      </c>
      <c r="AY30" s="180">
        <v>0</v>
      </c>
      <c r="AZ30" s="180">
        <v>1797028.71</v>
      </c>
      <c r="BA30" s="180">
        <v>0</v>
      </c>
      <c r="BB30" s="170">
        <f t="shared" si="18"/>
        <v>20293964.420000002</v>
      </c>
      <c r="BC30" s="170">
        <v>20293964.420000002</v>
      </c>
      <c r="BD30" s="2">
        <f t="shared" si="19"/>
        <v>0</v>
      </c>
    </row>
    <row r="31" spans="1:56" ht="12" x14ac:dyDescent="0.2">
      <c r="A31" s="4">
        <v>81</v>
      </c>
      <c r="B31" s="4">
        <v>1</v>
      </c>
      <c r="C31" s="2" t="s">
        <v>26</v>
      </c>
      <c r="D31" s="3">
        <v>0</v>
      </c>
      <c r="E31" s="3">
        <v>0</v>
      </c>
      <c r="F31" s="227">
        <f t="shared" si="3"/>
        <v>185378</v>
      </c>
      <c r="G31" s="227">
        <f t="shared" si="4"/>
        <v>10656</v>
      </c>
      <c r="H31" s="227">
        <f t="shared" si="5"/>
        <v>0</v>
      </c>
      <c r="I31" s="227">
        <f t="shared" si="6"/>
        <v>157369</v>
      </c>
      <c r="J31" s="227">
        <f t="shared" si="7"/>
        <v>27181</v>
      </c>
      <c r="K31" s="227">
        <f t="shared" si="8"/>
        <v>0</v>
      </c>
      <c r="L31" s="227">
        <f t="shared" si="9"/>
        <v>0</v>
      </c>
      <c r="M31" s="3">
        <f t="shared" si="10"/>
        <v>0</v>
      </c>
      <c r="N31" s="227">
        <f t="shared" si="11"/>
        <v>0</v>
      </c>
      <c r="O31" s="142">
        <f t="shared" si="12"/>
        <v>380584</v>
      </c>
      <c r="P31" s="3">
        <f t="shared" si="20"/>
        <v>184550</v>
      </c>
      <c r="Q31" s="3">
        <f t="shared" si="13"/>
        <v>157369</v>
      </c>
      <c r="R31" s="3">
        <f t="shared" si="14"/>
        <v>27181</v>
      </c>
      <c r="S31" s="3">
        <f t="shared" si="15"/>
        <v>0</v>
      </c>
      <c r="T31" s="3">
        <f t="shared" si="16"/>
        <v>0</v>
      </c>
      <c r="U31" s="3">
        <f>IF($A$5=1,IF($P31=0,0,ROUND(Q31/$P31*$E31,2)),Credits!D30)+Credits!J30</f>
        <v>8111.52</v>
      </c>
      <c r="V31" s="3">
        <f>IF($A$5=1,IF($P31=0,0,ROUND(R31/$P31*$E31,2)),Credits!E30)+Credits!K30</f>
        <v>1401.71</v>
      </c>
      <c r="W31" s="3">
        <f>IF($A$5=1,IF($P31=0,0,ROUND(S31/$P31*$E31,2)),Credits!F30)+Credits!L30</f>
        <v>0</v>
      </c>
      <c r="X31" s="3">
        <f>IF($A$5=1,IF($P31=0,0,ROUND(T31/$P31*$E31,2)),Credits!G30)+Credits!M30</f>
        <v>0</v>
      </c>
      <c r="Y31" s="3">
        <f t="shared" si="17"/>
        <v>9513.23</v>
      </c>
      <c r="AC31" s="4"/>
      <c r="AD31" s="4"/>
      <c r="AE31" s="2">
        <f t="shared" si="2"/>
        <v>0</v>
      </c>
      <c r="AF31" s="170" t="s">
        <v>1120</v>
      </c>
      <c r="AG31" s="175">
        <v>81</v>
      </c>
      <c r="AH31" s="175">
        <v>1</v>
      </c>
      <c r="AI31" s="175">
        <v>1</v>
      </c>
      <c r="AJ31" s="176">
        <v>185378</v>
      </c>
      <c r="AK31" s="176">
        <v>0</v>
      </c>
      <c r="AL31" s="176">
        <v>10656</v>
      </c>
      <c r="AM31" s="176">
        <v>0</v>
      </c>
      <c r="AN31" s="177">
        <v>0</v>
      </c>
      <c r="AO31" s="177">
        <v>0</v>
      </c>
      <c r="AP31" s="177">
        <v>157369</v>
      </c>
      <c r="AQ31" s="177">
        <v>0</v>
      </c>
      <c r="AR31" s="177">
        <v>27181</v>
      </c>
      <c r="AS31" s="177">
        <v>0</v>
      </c>
      <c r="AT31" s="178">
        <v>0</v>
      </c>
      <c r="AU31" s="178">
        <v>0</v>
      </c>
      <c r="AV31" s="178">
        <v>0</v>
      </c>
      <c r="AW31" s="179">
        <v>0</v>
      </c>
      <c r="AX31" s="180">
        <v>0</v>
      </c>
      <c r="AY31" s="180">
        <v>0</v>
      </c>
      <c r="AZ31" s="180">
        <v>0</v>
      </c>
      <c r="BA31" s="180">
        <v>0</v>
      </c>
      <c r="BB31" s="170">
        <f t="shared" si="18"/>
        <v>380584</v>
      </c>
      <c r="BC31" s="170">
        <v>380583.1</v>
      </c>
      <c r="BD31" s="2">
        <f t="shared" si="19"/>
        <v>0.90000000002328306</v>
      </c>
    </row>
    <row r="32" spans="1:56" ht="12" x14ac:dyDescent="0.2">
      <c r="A32" s="4">
        <v>84</v>
      </c>
      <c r="B32" s="4">
        <v>1</v>
      </c>
      <c r="C32" s="2" t="s">
        <v>27</v>
      </c>
      <c r="D32" s="3">
        <v>0</v>
      </c>
      <c r="E32" s="3">
        <v>0</v>
      </c>
      <c r="F32" s="227">
        <f t="shared" si="3"/>
        <v>0</v>
      </c>
      <c r="G32" s="227">
        <f t="shared" si="4"/>
        <v>153957</v>
      </c>
      <c r="H32" s="227">
        <f t="shared" si="5"/>
        <v>0</v>
      </c>
      <c r="I32" s="227">
        <f t="shared" si="6"/>
        <v>320200</v>
      </c>
      <c r="J32" s="227">
        <f t="shared" si="7"/>
        <v>74286</v>
      </c>
      <c r="K32" s="227">
        <f t="shared" si="8"/>
        <v>0</v>
      </c>
      <c r="L32" s="227">
        <f t="shared" si="9"/>
        <v>361354</v>
      </c>
      <c r="M32" s="3">
        <f t="shared" si="10"/>
        <v>0</v>
      </c>
      <c r="N32" s="227">
        <f t="shared" si="11"/>
        <v>0</v>
      </c>
      <c r="O32" s="142">
        <f t="shared" si="12"/>
        <v>909797</v>
      </c>
      <c r="P32" s="3">
        <f t="shared" si="20"/>
        <v>755840</v>
      </c>
      <c r="Q32" s="3">
        <f t="shared" si="13"/>
        <v>320200</v>
      </c>
      <c r="R32" s="3">
        <f t="shared" si="14"/>
        <v>74286</v>
      </c>
      <c r="S32" s="3">
        <f t="shared" si="15"/>
        <v>361354</v>
      </c>
      <c r="T32" s="3">
        <f t="shared" si="16"/>
        <v>0</v>
      </c>
      <c r="U32" s="3">
        <f>IF($A$5=1,IF($P32=0,0,ROUND(Q32/$P32*$E32,2)),Credits!D31)+Credits!J31</f>
        <v>9737.19</v>
      </c>
      <c r="V32" s="3">
        <f>IF($A$5=1,IF($P32=0,0,ROUND(R32/$P32*$E32,2)),Credits!E31)+Credits!K31</f>
        <v>2260.11</v>
      </c>
      <c r="W32" s="3">
        <f>IF($A$5=1,IF($P32=0,0,ROUND(S32/$P32*$E32,2)),Credits!F31)+Credits!L31</f>
        <v>10989</v>
      </c>
      <c r="X32" s="3">
        <f>IF($A$5=1,IF($P32=0,0,ROUND(T32/$P32*$E32,2)),Credits!G31)+Credits!M31</f>
        <v>0</v>
      </c>
      <c r="Y32" s="3">
        <f t="shared" si="17"/>
        <v>22986.300000000003</v>
      </c>
      <c r="AC32" s="4"/>
      <c r="AD32" s="4"/>
      <c r="AE32" s="2">
        <f t="shared" si="2"/>
        <v>0</v>
      </c>
      <c r="AF32" s="170" t="s">
        <v>1120</v>
      </c>
      <c r="AG32" s="175">
        <v>84</v>
      </c>
      <c r="AH32" s="175">
        <v>1</v>
      </c>
      <c r="AI32" s="175">
        <v>1</v>
      </c>
      <c r="AJ32" s="176">
        <v>0</v>
      </c>
      <c r="AK32" s="176">
        <v>0</v>
      </c>
      <c r="AL32" s="176">
        <v>153957</v>
      </c>
      <c r="AM32" s="176">
        <v>0</v>
      </c>
      <c r="AN32" s="177">
        <v>0</v>
      </c>
      <c r="AO32" s="177">
        <v>0</v>
      </c>
      <c r="AP32" s="177">
        <v>320200</v>
      </c>
      <c r="AQ32" s="177">
        <v>0</v>
      </c>
      <c r="AR32" s="177">
        <v>74286</v>
      </c>
      <c r="AS32" s="177">
        <v>0</v>
      </c>
      <c r="AT32" s="178">
        <v>0</v>
      </c>
      <c r="AU32" s="178">
        <v>0</v>
      </c>
      <c r="AV32" s="178">
        <v>361354</v>
      </c>
      <c r="AW32" s="179">
        <v>0</v>
      </c>
      <c r="AX32" s="180">
        <v>0</v>
      </c>
      <c r="AY32" s="180">
        <v>0</v>
      </c>
      <c r="AZ32" s="180">
        <v>0</v>
      </c>
      <c r="BA32" s="180">
        <v>0</v>
      </c>
      <c r="BB32" s="170">
        <f t="shared" si="18"/>
        <v>909797</v>
      </c>
      <c r="BC32" s="170">
        <v>909796.64</v>
      </c>
      <c r="BD32" s="2">
        <f t="shared" si="19"/>
        <v>0.35999999998603016</v>
      </c>
    </row>
    <row r="33" spans="1:56" ht="12" x14ac:dyDescent="0.2">
      <c r="A33" s="4">
        <v>85</v>
      </c>
      <c r="B33" s="4">
        <v>1</v>
      </c>
      <c r="C33" s="2" t="s">
        <v>28</v>
      </c>
      <c r="D33" s="3">
        <v>0</v>
      </c>
      <c r="E33" s="3">
        <v>0</v>
      </c>
      <c r="F33" s="227">
        <f t="shared" si="3"/>
        <v>162144</v>
      </c>
      <c r="G33" s="227">
        <f t="shared" si="4"/>
        <v>34625</v>
      </c>
      <c r="H33" s="227">
        <f t="shared" si="5"/>
        <v>0</v>
      </c>
      <c r="I33" s="227">
        <f t="shared" si="6"/>
        <v>216588</v>
      </c>
      <c r="J33" s="227">
        <f t="shared" si="7"/>
        <v>47733</v>
      </c>
      <c r="K33" s="227">
        <f t="shared" si="8"/>
        <v>0</v>
      </c>
      <c r="L33" s="227">
        <f t="shared" si="9"/>
        <v>0</v>
      </c>
      <c r="M33" s="3">
        <f t="shared" si="10"/>
        <v>0</v>
      </c>
      <c r="N33" s="227">
        <f t="shared" si="11"/>
        <v>0</v>
      </c>
      <c r="O33" s="142">
        <f t="shared" si="12"/>
        <v>461090</v>
      </c>
      <c r="P33" s="3">
        <f t="shared" si="20"/>
        <v>264321</v>
      </c>
      <c r="Q33" s="3">
        <f t="shared" si="13"/>
        <v>216588</v>
      </c>
      <c r="R33" s="3">
        <f t="shared" si="14"/>
        <v>47733</v>
      </c>
      <c r="S33" s="3">
        <f t="shared" si="15"/>
        <v>0</v>
      </c>
      <c r="T33" s="3">
        <f t="shared" si="16"/>
        <v>0</v>
      </c>
      <c r="U33" s="3">
        <f>IF($A$5=1,IF($P33=0,0,ROUND(Q33/$P33*$E33,2)),Credits!D32)+Credits!J32</f>
        <v>9885.0299999999988</v>
      </c>
      <c r="V33" s="3">
        <f>IF($A$5=1,IF($P33=0,0,ROUND(R33/$P33*$E33,2)),Credits!E32)+Credits!K32</f>
        <v>2177.8000000000002</v>
      </c>
      <c r="W33" s="3">
        <f>IF($A$5=1,IF($P33=0,0,ROUND(S33/$P33*$E33,2)),Credits!F32)+Credits!L32</f>
        <v>0</v>
      </c>
      <c r="X33" s="3">
        <f>IF($A$5=1,IF($P33=0,0,ROUND(T33/$P33*$E33,2)),Credits!G32)+Credits!M32</f>
        <v>0</v>
      </c>
      <c r="Y33" s="3">
        <f t="shared" si="17"/>
        <v>12062.829999999998</v>
      </c>
      <c r="AC33" s="4"/>
      <c r="AD33" s="4"/>
      <c r="AE33" s="2">
        <f t="shared" si="2"/>
        <v>0</v>
      </c>
      <c r="AF33" s="170" t="s">
        <v>1120</v>
      </c>
      <c r="AG33" s="175">
        <v>85</v>
      </c>
      <c r="AH33" s="175">
        <v>1</v>
      </c>
      <c r="AI33" s="175">
        <v>1</v>
      </c>
      <c r="AJ33" s="176">
        <v>162144</v>
      </c>
      <c r="AK33" s="176">
        <v>0</v>
      </c>
      <c r="AL33" s="176">
        <v>34625</v>
      </c>
      <c r="AM33" s="176">
        <v>0</v>
      </c>
      <c r="AN33" s="177">
        <v>0</v>
      </c>
      <c r="AO33" s="177">
        <v>0</v>
      </c>
      <c r="AP33" s="177">
        <v>216588</v>
      </c>
      <c r="AQ33" s="177">
        <v>0</v>
      </c>
      <c r="AR33" s="177">
        <v>47733</v>
      </c>
      <c r="AS33" s="177">
        <v>0</v>
      </c>
      <c r="AT33" s="178">
        <v>0</v>
      </c>
      <c r="AU33" s="178">
        <v>0</v>
      </c>
      <c r="AV33" s="178">
        <v>0</v>
      </c>
      <c r="AW33" s="179">
        <v>0</v>
      </c>
      <c r="AX33" s="180">
        <v>0</v>
      </c>
      <c r="AY33" s="180">
        <v>0</v>
      </c>
      <c r="AZ33" s="180">
        <v>0</v>
      </c>
      <c r="BA33" s="180">
        <v>0</v>
      </c>
      <c r="BB33" s="170">
        <f t="shared" si="18"/>
        <v>461090</v>
      </c>
      <c r="BC33" s="170">
        <v>461090.39</v>
      </c>
      <c r="BD33" s="2">
        <f t="shared" si="19"/>
        <v>-0.39000000001396984</v>
      </c>
    </row>
    <row r="34" spans="1:56" ht="12" x14ac:dyDescent="0.2">
      <c r="A34" s="4">
        <v>88</v>
      </c>
      <c r="B34" s="4">
        <v>1</v>
      </c>
      <c r="C34" s="2" t="s">
        <v>29</v>
      </c>
      <c r="D34" s="3">
        <v>0</v>
      </c>
      <c r="E34" s="3">
        <v>0</v>
      </c>
      <c r="F34" s="227">
        <f t="shared" si="3"/>
        <v>2879549.3</v>
      </c>
      <c r="G34" s="227">
        <f t="shared" si="4"/>
        <v>163789.72</v>
      </c>
      <c r="H34" s="227">
        <f t="shared" si="5"/>
        <v>0</v>
      </c>
      <c r="I34" s="227">
        <f t="shared" si="6"/>
        <v>1340771.3700000001</v>
      </c>
      <c r="J34" s="227">
        <f t="shared" si="7"/>
        <v>231683.64</v>
      </c>
      <c r="K34" s="227">
        <f t="shared" si="8"/>
        <v>744790.3</v>
      </c>
      <c r="L34" s="227">
        <f t="shared" si="9"/>
        <v>760599</v>
      </c>
      <c r="M34" s="3">
        <f t="shared" si="10"/>
        <v>0</v>
      </c>
      <c r="N34" s="227">
        <f t="shared" si="11"/>
        <v>0</v>
      </c>
      <c r="O34" s="142">
        <f t="shared" si="12"/>
        <v>6121183.3300000001</v>
      </c>
      <c r="P34" s="3">
        <f t="shared" si="20"/>
        <v>3077844.3100000005</v>
      </c>
      <c r="Q34" s="3">
        <f t="shared" si="13"/>
        <v>1340771.3700000001</v>
      </c>
      <c r="R34" s="3">
        <f t="shared" si="14"/>
        <v>231683.64</v>
      </c>
      <c r="S34" s="3">
        <f t="shared" si="15"/>
        <v>1505389.3</v>
      </c>
      <c r="T34" s="3">
        <f t="shared" si="16"/>
        <v>0</v>
      </c>
      <c r="U34" s="3">
        <f>IF($A$5=1,IF($P34=0,0,ROUND(Q34/$P34*$E34,2)),Credits!D33)+Credits!J33</f>
        <v>27958.780000000002</v>
      </c>
      <c r="V34" s="3">
        <f>IF($A$5=1,IF($P34=0,0,ROUND(R34/$P34*$E34,2)),Credits!E33)+Credits!K33</f>
        <v>4832.75</v>
      </c>
      <c r="W34" s="3">
        <f>IF($A$5=1,IF($P34=0,0,ROUND(S34/$P34*$E34,2)),Credits!F33)+Credits!L33</f>
        <v>31260.69</v>
      </c>
      <c r="X34" s="3">
        <f>IF($A$5=1,IF($P34=0,0,ROUND(T34/$P34*$E34,2)),Credits!G33)+Credits!M33</f>
        <v>0</v>
      </c>
      <c r="Y34" s="3">
        <f t="shared" si="17"/>
        <v>64052.22</v>
      </c>
      <c r="AC34" s="4"/>
      <c r="AD34" s="4"/>
      <c r="AE34" s="2">
        <f t="shared" si="2"/>
        <v>0</v>
      </c>
      <c r="AF34" s="170" t="s">
        <v>1120</v>
      </c>
      <c r="AG34" s="175">
        <v>88</v>
      </c>
      <c r="AH34" s="175">
        <v>1</v>
      </c>
      <c r="AI34" s="175">
        <v>1</v>
      </c>
      <c r="AJ34" s="176">
        <v>2879549.3</v>
      </c>
      <c r="AK34" s="176">
        <v>0</v>
      </c>
      <c r="AL34" s="176">
        <v>163789.72</v>
      </c>
      <c r="AM34" s="176">
        <v>0</v>
      </c>
      <c r="AN34" s="177">
        <v>0</v>
      </c>
      <c r="AO34" s="177">
        <v>0</v>
      </c>
      <c r="AP34" s="177">
        <v>1340771.3700000001</v>
      </c>
      <c r="AQ34" s="177">
        <v>0</v>
      </c>
      <c r="AR34" s="177">
        <v>231683.64</v>
      </c>
      <c r="AS34" s="177">
        <v>0</v>
      </c>
      <c r="AT34" s="178">
        <v>744790.3</v>
      </c>
      <c r="AU34" s="178">
        <v>0</v>
      </c>
      <c r="AV34" s="178">
        <v>760599</v>
      </c>
      <c r="AW34" s="179">
        <v>0</v>
      </c>
      <c r="AX34" s="180">
        <v>0</v>
      </c>
      <c r="AY34" s="180">
        <v>0</v>
      </c>
      <c r="AZ34" s="180">
        <v>0</v>
      </c>
      <c r="BA34" s="180">
        <v>0</v>
      </c>
      <c r="BB34" s="170">
        <f t="shared" si="18"/>
        <v>6121183.3300000001</v>
      </c>
      <c r="BC34" s="170">
        <v>6121183.3300000001</v>
      </c>
      <c r="BD34" s="2">
        <f t="shared" si="19"/>
        <v>0</v>
      </c>
    </row>
    <row r="35" spans="1:56" ht="12" x14ac:dyDescent="0.2">
      <c r="A35" s="4">
        <v>91</v>
      </c>
      <c r="B35" s="4">
        <v>1</v>
      </c>
      <c r="C35" s="2" t="s">
        <v>30</v>
      </c>
      <c r="D35" s="3">
        <v>0</v>
      </c>
      <c r="E35" s="3">
        <v>0</v>
      </c>
      <c r="F35" s="227">
        <f t="shared" si="3"/>
        <v>0</v>
      </c>
      <c r="G35" s="227">
        <f t="shared" si="4"/>
        <v>141795.06</v>
      </c>
      <c r="H35" s="227">
        <f t="shared" si="5"/>
        <v>0</v>
      </c>
      <c r="I35" s="227">
        <f t="shared" si="6"/>
        <v>266314.7</v>
      </c>
      <c r="J35" s="227">
        <f t="shared" si="7"/>
        <v>50650.52</v>
      </c>
      <c r="K35" s="227">
        <f t="shared" si="8"/>
        <v>277541.40999999997</v>
      </c>
      <c r="L35" s="227">
        <f t="shared" si="9"/>
        <v>0</v>
      </c>
      <c r="M35" s="3">
        <f t="shared" si="10"/>
        <v>0</v>
      </c>
      <c r="N35" s="227">
        <f t="shared" si="11"/>
        <v>0</v>
      </c>
      <c r="O35" s="142">
        <f t="shared" si="12"/>
        <v>736301.69</v>
      </c>
      <c r="P35" s="3">
        <f t="shared" si="20"/>
        <v>594506.63</v>
      </c>
      <c r="Q35" s="3">
        <f t="shared" si="13"/>
        <v>266314.7</v>
      </c>
      <c r="R35" s="3">
        <f t="shared" si="14"/>
        <v>50650.52</v>
      </c>
      <c r="S35" s="3">
        <f t="shared" si="15"/>
        <v>277541.40999999997</v>
      </c>
      <c r="T35" s="3">
        <f t="shared" si="16"/>
        <v>0</v>
      </c>
      <c r="U35" s="3">
        <f>IF($A$5=1,IF($P35=0,0,ROUND(Q35/$P35*$E35,2)),Credits!D34)+Credits!J34</f>
        <v>8412.4700000000012</v>
      </c>
      <c r="V35" s="3">
        <f>IF($A$5=1,IF($P35=0,0,ROUND(R35/$P35*$E35,2)),Credits!E34)+Credits!K34</f>
        <v>1599.7300000000002</v>
      </c>
      <c r="W35" s="3">
        <f>IF($A$5=1,IF($P35=0,0,ROUND(S35/$P35*$E35,2)),Credits!F34)+Credits!L34</f>
        <v>8767.2699999999968</v>
      </c>
      <c r="X35" s="3">
        <f>IF($A$5=1,IF($P35=0,0,ROUND(T35/$P35*$E35,2)),Credits!G34)+Credits!M34</f>
        <v>0</v>
      </c>
      <c r="Y35" s="3">
        <f t="shared" si="17"/>
        <v>18779.469999999998</v>
      </c>
      <c r="AC35" s="4"/>
      <c r="AD35" s="4"/>
      <c r="AE35" s="2">
        <f t="shared" si="2"/>
        <v>0</v>
      </c>
      <c r="AF35" s="170" t="s">
        <v>1120</v>
      </c>
      <c r="AG35" s="175">
        <v>91</v>
      </c>
      <c r="AH35" s="175">
        <v>1</v>
      </c>
      <c r="AI35" s="175">
        <v>1</v>
      </c>
      <c r="AJ35" s="176">
        <v>0</v>
      </c>
      <c r="AK35" s="176">
        <v>0</v>
      </c>
      <c r="AL35" s="176">
        <v>141795.06</v>
      </c>
      <c r="AM35" s="176">
        <v>0</v>
      </c>
      <c r="AN35" s="177">
        <v>0</v>
      </c>
      <c r="AO35" s="177">
        <v>0</v>
      </c>
      <c r="AP35" s="177">
        <v>266314.7</v>
      </c>
      <c r="AQ35" s="177">
        <v>0</v>
      </c>
      <c r="AR35" s="177">
        <v>50650.52</v>
      </c>
      <c r="AS35" s="177">
        <v>0</v>
      </c>
      <c r="AT35" s="178">
        <v>277541.40999999997</v>
      </c>
      <c r="AU35" s="178">
        <v>0</v>
      </c>
      <c r="AV35" s="178">
        <v>0</v>
      </c>
      <c r="AW35" s="179">
        <v>0</v>
      </c>
      <c r="AX35" s="180">
        <v>0</v>
      </c>
      <c r="AY35" s="180">
        <v>0</v>
      </c>
      <c r="AZ35" s="180">
        <v>0</v>
      </c>
      <c r="BA35" s="180">
        <v>0</v>
      </c>
      <c r="BB35" s="170">
        <f t="shared" si="18"/>
        <v>736301.69</v>
      </c>
      <c r="BC35" s="170">
        <v>736301.69</v>
      </c>
      <c r="BD35" s="2">
        <f t="shared" si="19"/>
        <v>0</v>
      </c>
    </row>
    <row r="36" spans="1:56" ht="12" x14ac:dyDescent="0.2">
      <c r="A36" s="4">
        <v>93</v>
      </c>
      <c r="B36" s="4">
        <v>1</v>
      </c>
      <c r="C36" s="2" t="s">
        <v>31</v>
      </c>
      <c r="D36" s="3">
        <v>0</v>
      </c>
      <c r="E36" s="3">
        <v>0</v>
      </c>
      <c r="F36" s="227">
        <f t="shared" si="3"/>
        <v>663179.31000000006</v>
      </c>
      <c r="G36" s="227">
        <f t="shared" si="4"/>
        <v>40784.449999999997</v>
      </c>
      <c r="H36" s="227">
        <f t="shared" si="5"/>
        <v>0</v>
      </c>
      <c r="I36" s="227">
        <f t="shared" si="6"/>
        <v>116050.15</v>
      </c>
      <c r="J36" s="227">
        <f t="shared" si="7"/>
        <v>53395.81</v>
      </c>
      <c r="K36" s="227">
        <f t="shared" si="8"/>
        <v>0</v>
      </c>
      <c r="L36" s="227">
        <f t="shared" si="9"/>
        <v>65044.76</v>
      </c>
      <c r="M36" s="3">
        <f t="shared" si="10"/>
        <v>0</v>
      </c>
      <c r="N36" s="227">
        <f t="shared" si="11"/>
        <v>224586.46</v>
      </c>
      <c r="O36" s="142">
        <f t="shared" si="12"/>
        <v>1163040.94</v>
      </c>
      <c r="P36" s="3">
        <f t="shared" si="20"/>
        <v>459077.18</v>
      </c>
      <c r="Q36" s="3">
        <f t="shared" si="13"/>
        <v>116050.15</v>
      </c>
      <c r="R36" s="3">
        <f t="shared" si="14"/>
        <v>53395.81</v>
      </c>
      <c r="S36" s="3">
        <f t="shared" si="15"/>
        <v>65044.76</v>
      </c>
      <c r="T36" s="3">
        <f t="shared" si="16"/>
        <v>224586.46</v>
      </c>
      <c r="U36" s="3">
        <f>IF($A$5=1,IF($P36=0,0,ROUND(Q36/$P36*$E36,2)),Credits!D35)+Credits!J35</f>
        <v>7797.92</v>
      </c>
      <c r="V36" s="3">
        <f>IF($A$5=1,IF($P36=0,0,ROUND(R36/$P36*$E36,2)),Credits!E35)+Credits!K35</f>
        <v>3587.52</v>
      </c>
      <c r="W36" s="3">
        <f>IF($A$5=1,IF($P36=0,0,ROUND(S36/$P36*$E36,2)),Credits!F35)+Credits!L35</f>
        <v>4370.91</v>
      </c>
      <c r="X36" s="3">
        <f>IF($A$5=1,IF($P36=0,0,ROUND(T36/$P36*$E36,2)),Credits!G35)+Credits!M35</f>
        <v>15091.970000000001</v>
      </c>
      <c r="Y36" s="3">
        <f t="shared" si="17"/>
        <v>30848.32</v>
      </c>
      <c r="AC36" s="4"/>
      <c r="AD36" s="4"/>
      <c r="AE36" s="2">
        <f t="shared" si="2"/>
        <v>0</v>
      </c>
      <c r="AF36" s="170" t="s">
        <v>1120</v>
      </c>
      <c r="AG36" s="175">
        <v>93</v>
      </c>
      <c r="AH36" s="175">
        <v>1</v>
      </c>
      <c r="AI36" s="175">
        <v>1</v>
      </c>
      <c r="AJ36" s="176">
        <v>663179.31000000006</v>
      </c>
      <c r="AK36" s="176">
        <v>0</v>
      </c>
      <c r="AL36" s="176">
        <v>40784.449999999997</v>
      </c>
      <c r="AM36" s="176">
        <v>0</v>
      </c>
      <c r="AN36" s="177">
        <v>0</v>
      </c>
      <c r="AO36" s="177">
        <v>0</v>
      </c>
      <c r="AP36" s="177">
        <v>116050.15</v>
      </c>
      <c r="AQ36" s="177">
        <v>0</v>
      </c>
      <c r="AR36" s="177">
        <v>53395.81</v>
      </c>
      <c r="AS36" s="177">
        <v>0</v>
      </c>
      <c r="AT36" s="178">
        <v>0</v>
      </c>
      <c r="AU36" s="178">
        <v>0</v>
      </c>
      <c r="AV36" s="178">
        <v>65044.76</v>
      </c>
      <c r="AW36" s="179">
        <v>0</v>
      </c>
      <c r="AX36" s="180">
        <v>0</v>
      </c>
      <c r="AY36" s="180">
        <v>0</v>
      </c>
      <c r="AZ36" s="180">
        <v>224586.46</v>
      </c>
      <c r="BA36" s="180">
        <v>0</v>
      </c>
      <c r="BB36" s="170">
        <f t="shared" si="18"/>
        <v>1163040.94</v>
      </c>
      <c r="BC36" s="170">
        <v>1163040.94</v>
      </c>
      <c r="BD36" s="2">
        <f t="shared" si="19"/>
        <v>0</v>
      </c>
    </row>
    <row r="37" spans="1:56" ht="12" x14ac:dyDescent="0.2">
      <c r="A37" s="4">
        <v>94</v>
      </c>
      <c r="B37" s="4">
        <v>1</v>
      </c>
      <c r="C37" s="2" t="s">
        <v>32</v>
      </c>
      <c r="D37" s="3">
        <v>0</v>
      </c>
      <c r="E37" s="3">
        <v>0</v>
      </c>
      <c r="F37" s="227">
        <f t="shared" si="3"/>
        <v>0</v>
      </c>
      <c r="G37" s="227">
        <f t="shared" si="4"/>
        <v>944781.45</v>
      </c>
      <c r="H37" s="227">
        <f t="shared" si="5"/>
        <v>0</v>
      </c>
      <c r="I37" s="227">
        <f t="shared" si="6"/>
        <v>424491.06</v>
      </c>
      <c r="J37" s="227">
        <f t="shared" si="7"/>
        <v>279662.59999999998</v>
      </c>
      <c r="K37" s="227">
        <f t="shared" si="8"/>
        <v>1159377.68</v>
      </c>
      <c r="L37" s="227">
        <f t="shared" si="9"/>
        <v>931397.95</v>
      </c>
      <c r="M37" s="3">
        <f t="shared" si="10"/>
        <v>0</v>
      </c>
      <c r="N37" s="227">
        <f t="shared" si="11"/>
        <v>546218.93999999994</v>
      </c>
      <c r="O37" s="142">
        <f t="shared" si="12"/>
        <v>4285929.68</v>
      </c>
      <c r="P37" s="3">
        <f t="shared" si="20"/>
        <v>3341148.23</v>
      </c>
      <c r="Q37" s="3">
        <f t="shared" si="13"/>
        <v>424491.06</v>
      </c>
      <c r="R37" s="3">
        <f t="shared" si="14"/>
        <v>279662.59999999998</v>
      </c>
      <c r="S37" s="3">
        <f t="shared" si="15"/>
        <v>2090775.63</v>
      </c>
      <c r="T37" s="3">
        <f t="shared" si="16"/>
        <v>546218.93999999994</v>
      </c>
      <c r="U37" s="3">
        <f>IF($A$5=1,IF($P37=0,0,ROUND(Q37/$P37*$E37,2)),Credits!D36)+Credits!J36</f>
        <v>23797.239999999998</v>
      </c>
      <c r="V37" s="3">
        <f>IF($A$5=1,IF($P37=0,0,ROUND(R37/$P37*$E37,2)),Credits!E36)+Credits!K36</f>
        <v>15675.95</v>
      </c>
      <c r="W37" s="3">
        <f>IF($A$5=1,IF($P37=0,0,ROUND(S37/$P37*$E37,2)),Credits!F36)+Credits!L36</f>
        <v>117203.58</v>
      </c>
      <c r="X37" s="3">
        <f>IF($A$5=1,IF($P37=0,0,ROUND(T37/$P37*$E37,2)),Credits!G36)+Credits!M36</f>
        <v>30620.060000000005</v>
      </c>
      <c r="Y37" s="3">
        <f t="shared" si="17"/>
        <v>187296.83000000002</v>
      </c>
      <c r="AC37" s="4"/>
      <c r="AD37" s="4"/>
      <c r="AE37" s="2">
        <f t="shared" si="2"/>
        <v>0</v>
      </c>
      <c r="AF37" s="170" t="s">
        <v>1120</v>
      </c>
      <c r="AG37" s="175">
        <v>94</v>
      </c>
      <c r="AH37" s="175">
        <v>1</v>
      </c>
      <c r="AI37" s="175">
        <v>1</v>
      </c>
      <c r="AJ37" s="176">
        <v>0</v>
      </c>
      <c r="AK37" s="176">
        <v>0</v>
      </c>
      <c r="AL37" s="176">
        <v>944781.45</v>
      </c>
      <c r="AM37" s="176">
        <v>0</v>
      </c>
      <c r="AN37" s="177">
        <v>0</v>
      </c>
      <c r="AO37" s="177">
        <v>0</v>
      </c>
      <c r="AP37" s="177">
        <v>424491.06</v>
      </c>
      <c r="AQ37" s="177">
        <v>0</v>
      </c>
      <c r="AR37" s="177">
        <v>279662.59999999998</v>
      </c>
      <c r="AS37" s="177">
        <v>0</v>
      </c>
      <c r="AT37" s="178">
        <v>1159377.68</v>
      </c>
      <c r="AU37" s="178">
        <v>0</v>
      </c>
      <c r="AV37" s="178">
        <v>931397.95</v>
      </c>
      <c r="AW37" s="179">
        <v>0</v>
      </c>
      <c r="AX37" s="180">
        <v>0</v>
      </c>
      <c r="AY37" s="180">
        <v>0</v>
      </c>
      <c r="AZ37" s="180">
        <v>546218.93999999994</v>
      </c>
      <c r="BA37" s="180">
        <v>0</v>
      </c>
      <c r="BB37" s="170">
        <f t="shared" si="18"/>
        <v>4285929.68</v>
      </c>
      <c r="BC37" s="170">
        <v>4285929.68</v>
      </c>
      <c r="BD37" s="2">
        <f t="shared" si="19"/>
        <v>0</v>
      </c>
    </row>
    <row r="38" spans="1:56" ht="12" x14ac:dyDescent="0.2">
      <c r="A38" s="4">
        <v>95</v>
      </c>
      <c r="B38" s="4">
        <v>1</v>
      </c>
      <c r="C38" s="2" t="s">
        <v>33</v>
      </c>
      <c r="D38" s="3">
        <v>0</v>
      </c>
      <c r="E38" s="3">
        <v>0</v>
      </c>
      <c r="F38" s="227">
        <f t="shared" si="3"/>
        <v>29.15</v>
      </c>
      <c r="G38" s="227">
        <f t="shared" si="4"/>
        <v>83971.82</v>
      </c>
      <c r="H38" s="227">
        <f t="shared" si="5"/>
        <v>0</v>
      </c>
      <c r="I38" s="227">
        <f t="shared" si="6"/>
        <v>76712.539999999994</v>
      </c>
      <c r="J38" s="227">
        <f t="shared" si="7"/>
        <v>22592.080000000002</v>
      </c>
      <c r="K38" s="227">
        <f t="shared" si="8"/>
        <v>547211.88</v>
      </c>
      <c r="L38" s="227">
        <f t="shared" si="9"/>
        <v>0</v>
      </c>
      <c r="M38" s="3">
        <f t="shared" si="10"/>
        <v>0</v>
      </c>
      <c r="N38" s="227">
        <f t="shared" si="11"/>
        <v>0</v>
      </c>
      <c r="O38" s="142">
        <f t="shared" si="12"/>
        <v>730517.47</v>
      </c>
      <c r="P38" s="3">
        <f t="shared" si="20"/>
        <v>646516.5</v>
      </c>
      <c r="Q38" s="3">
        <f t="shared" si="13"/>
        <v>76712.539999999994</v>
      </c>
      <c r="R38" s="3">
        <f t="shared" si="14"/>
        <v>22592.080000000002</v>
      </c>
      <c r="S38" s="3">
        <f t="shared" si="15"/>
        <v>547211.88</v>
      </c>
      <c r="T38" s="3">
        <f t="shared" si="16"/>
        <v>0</v>
      </c>
      <c r="U38" s="3">
        <f>IF($A$5=1,IF($P38=0,0,ROUND(Q38/$P38*$E38,2)),Credits!D37)+Credits!J37</f>
        <v>1506.1999999999998</v>
      </c>
      <c r="V38" s="3">
        <f>IF($A$5=1,IF($P38=0,0,ROUND(R38/$P38*$E38,2)),Credits!E37)+Credits!K37</f>
        <v>443.61</v>
      </c>
      <c r="W38" s="3">
        <f>IF($A$5=1,IF($P38=0,0,ROUND(S38/$P38*$E38,2)),Credits!F37)+Credits!L37</f>
        <v>10741.860000000002</v>
      </c>
      <c r="X38" s="3">
        <f>IF($A$5=1,IF($P38=0,0,ROUND(T38/$P38*$E38,2)),Credits!G37)+Credits!M37</f>
        <v>0</v>
      </c>
      <c r="Y38" s="3">
        <f t="shared" si="17"/>
        <v>12691.670000000002</v>
      </c>
      <c r="AC38" s="4"/>
      <c r="AD38" s="4"/>
      <c r="AE38" s="2">
        <f t="shared" si="2"/>
        <v>0</v>
      </c>
      <c r="AF38" s="170" t="s">
        <v>1120</v>
      </c>
      <c r="AG38" s="175">
        <v>95</v>
      </c>
      <c r="AH38" s="175">
        <v>1</v>
      </c>
      <c r="AI38" s="175">
        <v>1</v>
      </c>
      <c r="AJ38" s="176">
        <v>29.15</v>
      </c>
      <c r="AK38" s="176">
        <v>0</v>
      </c>
      <c r="AL38" s="176">
        <v>83971.82</v>
      </c>
      <c r="AM38" s="176">
        <v>0</v>
      </c>
      <c r="AN38" s="177">
        <v>0</v>
      </c>
      <c r="AO38" s="177">
        <v>0</v>
      </c>
      <c r="AP38" s="177">
        <v>76712.539999999994</v>
      </c>
      <c r="AQ38" s="177">
        <v>0</v>
      </c>
      <c r="AR38" s="177">
        <v>22592.080000000002</v>
      </c>
      <c r="AS38" s="177">
        <v>0</v>
      </c>
      <c r="AT38" s="178">
        <v>547211.88</v>
      </c>
      <c r="AU38" s="178">
        <v>0</v>
      </c>
      <c r="AV38" s="178">
        <v>0</v>
      </c>
      <c r="AW38" s="179">
        <v>0</v>
      </c>
      <c r="AX38" s="180">
        <v>0</v>
      </c>
      <c r="AY38" s="180">
        <v>0</v>
      </c>
      <c r="AZ38" s="180">
        <v>0</v>
      </c>
      <c r="BA38" s="180">
        <v>0</v>
      </c>
      <c r="BB38" s="170">
        <f t="shared" si="18"/>
        <v>730517.47</v>
      </c>
      <c r="BC38" s="170">
        <v>730517.47</v>
      </c>
      <c r="BD38" s="2">
        <f t="shared" si="19"/>
        <v>0</v>
      </c>
    </row>
    <row r="39" spans="1:56" ht="12" x14ac:dyDescent="0.2">
      <c r="A39" s="4">
        <v>97</v>
      </c>
      <c r="B39" s="4">
        <v>1</v>
      </c>
      <c r="C39" s="2" t="s">
        <v>34</v>
      </c>
      <c r="D39" s="3">
        <v>0</v>
      </c>
      <c r="E39" s="3">
        <v>0</v>
      </c>
      <c r="F39" s="227">
        <f t="shared" si="3"/>
        <v>187691.61</v>
      </c>
      <c r="G39" s="227">
        <f t="shared" si="4"/>
        <v>66911.27</v>
      </c>
      <c r="H39" s="227">
        <f t="shared" si="5"/>
        <v>0</v>
      </c>
      <c r="I39" s="227">
        <f t="shared" si="6"/>
        <v>216914.49</v>
      </c>
      <c r="J39" s="227">
        <f t="shared" si="7"/>
        <v>55684.65</v>
      </c>
      <c r="K39" s="227">
        <f t="shared" si="8"/>
        <v>0</v>
      </c>
      <c r="L39" s="227">
        <f t="shared" si="9"/>
        <v>0</v>
      </c>
      <c r="M39" s="3">
        <f t="shared" si="10"/>
        <v>0</v>
      </c>
      <c r="N39" s="227">
        <f t="shared" si="11"/>
        <v>0</v>
      </c>
      <c r="O39" s="142">
        <f t="shared" si="12"/>
        <v>527202.02</v>
      </c>
      <c r="P39" s="3">
        <f t="shared" si="20"/>
        <v>272599.14</v>
      </c>
      <c r="Q39" s="3">
        <f t="shared" si="13"/>
        <v>216914.49</v>
      </c>
      <c r="R39" s="3">
        <f t="shared" si="14"/>
        <v>55684.65</v>
      </c>
      <c r="S39" s="3">
        <f t="shared" si="15"/>
        <v>0</v>
      </c>
      <c r="T39" s="3">
        <f t="shared" si="16"/>
        <v>0</v>
      </c>
      <c r="U39" s="3">
        <f>IF($A$5=1,IF($P39=0,0,ROUND(Q39/$P39*$E39,2)),Credits!D38)+Credits!J38</f>
        <v>24667.27</v>
      </c>
      <c r="V39" s="3">
        <f>IF($A$5=1,IF($P39=0,0,ROUND(R39/$P39*$E39,2)),Credits!E38)+Credits!K38</f>
        <v>6333.6900000000005</v>
      </c>
      <c r="W39" s="3">
        <f>IF($A$5=1,IF($P39=0,0,ROUND(S39/$P39*$E39,2)),Credits!F38)+Credits!L38</f>
        <v>0</v>
      </c>
      <c r="X39" s="3">
        <f>IF($A$5=1,IF($P39=0,0,ROUND(T39/$P39*$E39,2)),Credits!G38)+Credits!M38</f>
        <v>0</v>
      </c>
      <c r="Y39" s="3">
        <f t="shared" si="17"/>
        <v>31000.959999999999</v>
      </c>
      <c r="AC39" s="4"/>
      <c r="AD39" s="4"/>
      <c r="AE39" s="2">
        <f t="shared" si="2"/>
        <v>0</v>
      </c>
      <c r="AF39" s="170" t="s">
        <v>1120</v>
      </c>
      <c r="AG39" s="175">
        <v>97</v>
      </c>
      <c r="AH39" s="175">
        <v>1</v>
      </c>
      <c r="AI39" s="175">
        <v>1</v>
      </c>
      <c r="AJ39" s="176">
        <v>187691.61</v>
      </c>
      <c r="AK39" s="176">
        <v>0</v>
      </c>
      <c r="AL39" s="176">
        <v>66911.27</v>
      </c>
      <c r="AM39" s="176">
        <v>0</v>
      </c>
      <c r="AN39" s="177">
        <v>0</v>
      </c>
      <c r="AO39" s="177">
        <v>0</v>
      </c>
      <c r="AP39" s="177">
        <v>216914.49</v>
      </c>
      <c r="AQ39" s="177">
        <v>0</v>
      </c>
      <c r="AR39" s="177">
        <v>55684.65</v>
      </c>
      <c r="AS39" s="177">
        <v>0</v>
      </c>
      <c r="AT39" s="178">
        <v>0</v>
      </c>
      <c r="AU39" s="178">
        <v>0</v>
      </c>
      <c r="AV39" s="178">
        <v>0</v>
      </c>
      <c r="AW39" s="179">
        <v>0</v>
      </c>
      <c r="AX39" s="180">
        <v>0</v>
      </c>
      <c r="AY39" s="180">
        <v>0</v>
      </c>
      <c r="AZ39" s="180">
        <v>0</v>
      </c>
      <c r="BA39" s="180">
        <v>0</v>
      </c>
      <c r="BB39" s="170">
        <f t="shared" si="18"/>
        <v>527202.02</v>
      </c>
      <c r="BC39" s="170">
        <v>527202.02</v>
      </c>
      <c r="BD39" s="2">
        <f t="shared" si="19"/>
        <v>0</v>
      </c>
    </row>
    <row r="40" spans="1:56" ht="12" x14ac:dyDescent="0.2">
      <c r="A40" s="4">
        <v>99</v>
      </c>
      <c r="B40" s="4">
        <v>1</v>
      </c>
      <c r="C40" s="2" t="s">
        <v>35</v>
      </c>
      <c r="D40" s="3">
        <v>0</v>
      </c>
      <c r="E40" s="3">
        <v>0</v>
      </c>
      <c r="F40" s="227">
        <f t="shared" si="3"/>
        <v>168793.08</v>
      </c>
      <c r="G40" s="227">
        <f t="shared" si="4"/>
        <v>126435.7</v>
      </c>
      <c r="H40" s="227">
        <f t="shared" si="5"/>
        <v>0</v>
      </c>
      <c r="I40" s="227">
        <f t="shared" si="6"/>
        <v>282124.44</v>
      </c>
      <c r="J40" s="227">
        <f t="shared" si="7"/>
        <v>45965.15</v>
      </c>
      <c r="K40" s="227">
        <f t="shared" si="8"/>
        <v>959881.33</v>
      </c>
      <c r="L40" s="227">
        <f t="shared" si="9"/>
        <v>0</v>
      </c>
      <c r="M40" s="3">
        <f t="shared" si="10"/>
        <v>0</v>
      </c>
      <c r="N40" s="227">
        <f t="shared" si="11"/>
        <v>122840.46</v>
      </c>
      <c r="O40" s="142">
        <f t="shared" si="12"/>
        <v>1706040.16</v>
      </c>
      <c r="P40" s="3">
        <f t="shared" si="20"/>
        <v>1410811.38</v>
      </c>
      <c r="Q40" s="3">
        <f t="shared" si="13"/>
        <v>282124.44</v>
      </c>
      <c r="R40" s="3">
        <f t="shared" si="14"/>
        <v>45965.15</v>
      </c>
      <c r="S40" s="3">
        <f t="shared" si="15"/>
        <v>959881.33</v>
      </c>
      <c r="T40" s="3">
        <f t="shared" si="16"/>
        <v>122840.46</v>
      </c>
      <c r="U40" s="3">
        <f>IF($A$5=1,IF($P40=0,0,ROUND(Q40/$P40*$E40,2)),Credits!D39)+Credits!J39</f>
        <v>4612.5299999999988</v>
      </c>
      <c r="V40" s="3">
        <f>IF($A$5=1,IF($P40=0,0,ROUND(R40/$P40*$E40,2)),Credits!E39)+Credits!K39</f>
        <v>751.61</v>
      </c>
      <c r="W40" s="3">
        <f>IF($A$5=1,IF($P40=0,0,ROUND(S40/$P40*$E40,2)),Credits!F39)+Credits!L39</f>
        <v>15693.380000000001</v>
      </c>
      <c r="X40" s="3">
        <f>IF($A$5=1,IF($P40=0,0,ROUND(T40/$P40*$E40,2)),Credits!G39)+Credits!M39</f>
        <v>2008.2199999999998</v>
      </c>
      <c r="Y40" s="3">
        <f t="shared" si="17"/>
        <v>23065.74</v>
      </c>
      <c r="AC40" s="4"/>
      <c r="AD40" s="4"/>
      <c r="AE40" s="2">
        <f t="shared" si="2"/>
        <v>0</v>
      </c>
      <c r="AF40" s="170" t="s">
        <v>1120</v>
      </c>
      <c r="AG40" s="175">
        <v>99</v>
      </c>
      <c r="AH40" s="175">
        <v>1</v>
      </c>
      <c r="AI40" s="175">
        <v>1</v>
      </c>
      <c r="AJ40" s="176">
        <v>168793.08</v>
      </c>
      <c r="AK40" s="176">
        <v>0</v>
      </c>
      <c r="AL40" s="176">
        <v>126435.7</v>
      </c>
      <c r="AM40" s="176">
        <v>0</v>
      </c>
      <c r="AN40" s="177">
        <v>0</v>
      </c>
      <c r="AO40" s="177">
        <v>0</v>
      </c>
      <c r="AP40" s="177">
        <v>282124.44</v>
      </c>
      <c r="AQ40" s="177">
        <v>0</v>
      </c>
      <c r="AR40" s="177">
        <v>45965.15</v>
      </c>
      <c r="AS40" s="177">
        <v>0</v>
      </c>
      <c r="AT40" s="178">
        <v>959881.33</v>
      </c>
      <c r="AU40" s="178">
        <v>0</v>
      </c>
      <c r="AV40" s="178">
        <v>0</v>
      </c>
      <c r="AW40" s="179">
        <v>0</v>
      </c>
      <c r="AX40" s="180">
        <v>0</v>
      </c>
      <c r="AY40" s="180">
        <v>0</v>
      </c>
      <c r="AZ40" s="180">
        <v>122840.46</v>
      </c>
      <c r="BA40" s="180">
        <v>0</v>
      </c>
      <c r="BB40" s="170">
        <f t="shared" si="18"/>
        <v>1706040.16</v>
      </c>
      <c r="BC40" s="170">
        <v>1706040.16</v>
      </c>
      <c r="BD40" s="2">
        <f t="shared" si="19"/>
        <v>0</v>
      </c>
    </row>
    <row r="41" spans="1:56" ht="12" x14ac:dyDescent="0.2">
      <c r="A41" s="4">
        <v>100</v>
      </c>
      <c r="B41" s="4">
        <v>1</v>
      </c>
      <c r="C41" s="2" t="s">
        <v>36</v>
      </c>
      <c r="D41" s="3">
        <v>0</v>
      </c>
      <c r="E41" s="3">
        <v>0</v>
      </c>
      <c r="F41" s="227">
        <f t="shared" si="3"/>
        <v>207907</v>
      </c>
      <c r="G41" s="227">
        <f t="shared" si="4"/>
        <v>45201.54</v>
      </c>
      <c r="H41" s="227">
        <f t="shared" si="5"/>
        <v>0</v>
      </c>
      <c r="I41" s="227">
        <f t="shared" si="6"/>
        <v>259891.17</v>
      </c>
      <c r="J41" s="227">
        <f t="shared" si="7"/>
        <v>27245.69</v>
      </c>
      <c r="K41" s="227">
        <f t="shared" si="8"/>
        <v>348941.41</v>
      </c>
      <c r="L41" s="227">
        <f t="shared" si="9"/>
        <v>0</v>
      </c>
      <c r="M41" s="3">
        <f t="shared" si="10"/>
        <v>0</v>
      </c>
      <c r="N41" s="227">
        <f t="shared" si="11"/>
        <v>0</v>
      </c>
      <c r="O41" s="142">
        <f t="shared" si="12"/>
        <v>889186.81</v>
      </c>
      <c r="P41" s="3">
        <f t="shared" si="20"/>
        <v>636078.27</v>
      </c>
      <c r="Q41" s="3">
        <f t="shared" si="13"/>
        <v>259891.17</v>
      </c>
      <c r="R41" s="3">
        <f t="shared" si="14"/>
        <v>27245.69</v>
      </c>
      <c r="S41" s="3">
        <f t="shared" si="15"/>
        <v>348941.41</v>
      </c>
      <c r="T41" s="3">
        <f t="shared" si="16"/>
        <v>0</v>
      </c>
      <c r="U41" s="3">
        <f>IF($A$5=1,IF($P41=0,0,ROUND(Q41/$P41*$E41,2)),Credits!D40)+Credits!J40</f>
        <v>2605.2799999999997</v>
      </c>
      <c r="V41" s="3">
        <f>IF($A$5=1,IF($P41=0,0,ROUND(R41/$P41*$E41,2)),Credits!E40)+Credits!K40</f>
        <v>273.07000000000005</v>
      </c>
      <c r="W41" s="3">
        <f>IF($A$5=1,IF($P41=0,0,ROUND(S41/$P41*$E41,2)),Credits!F40)+Credits!L40</f>
        <v>3497.75</v>
      </c>
      <c r="X41" s="3">
        <f>IF($A$5=1,IF($P41=0,0,ROUND(T41/$P41*$E41,2)),Credits!G40)+Credits!M40</f>
        <v>0</v>
      </c>
      <c r="Y41" s="3">
        <f t="shared" si="17"/>
        <v>6376.1</v>
      </c>
      <c r="AC41" s="4"/>
      <c r="AD41" s="4"/>
      <c r="AE41" s="2">
        <f t="shared" si="2"/>
        <v>0</v>
      </c>
      <c r="AF41" s="170" t="s">
        <v>1120</v>
      </c>
      <c r="AG41" s="175">
        <v>100</v>
      </c>
      <c r="AH41" s="175">
        <v>1</v>
      </c>
      <c r="AI41" s="175">
        <v>1</v>
      </c>
      <c r="AJ41" s="176">
        <v>207907</v>
      </c>
      <c r="AK41" s="176">
        <v>0</v>
      </c>
      <c r="AL41" s="176">
        <v>45201.54</v>
      </c>
      <c r="AM41" s="176">
        <v>0</v>
      </c>
      <c r="AN41" s="177">
        <v>0</v>
      </c>
      <c r="AO41" s="177">
        <v>0</v>
      </c>
      <c r="AP41" s="177">
        <v>259891.17</v>
      </c>
      <c r="AQ41" s="177">
        <v>0</v>
      </c>
      <c r="AR41" s="177">
        <v>27245.69</v>
      </c>
      <c r="AS41" s="177">
        <v>0</v>
      </c>
      <c r="AT41" s="178">
        <v>348941.41</v>
      </c>
      <c r="AU41" s="178">
        <v>0</v>
      </c>
      <c r="AV41" s="178">
        <v>0</v>
      </c>
      <c r="AW41" s="179">
        <v>0</v>
      </c>
      <c r="AX41" s="180">
        <v>0</v>
      </c>
      <c r="AY41" s="180">
        <v>0</v>
      </c>
      <c r="AZ41" s="180">
        <v>0</v>
      </c>
      <c r="BA41" s="180">
        <v>0</v>
      </c>
      <c r="BB41" s="170">
        <f t="shared" si="18"/>
        <v>889186.81</v>
      </c>
      <c r="BC41" s="170">
        <v>889186.81</v>
      </c>
      <c r="BD41" s="2">
        <f t="shared" si="19"/>
        <v>0</v>
      </c>
    </row>
    <row r="42" spans="1:56" ht="12" x14ac:dyDescent="0.2">
      <c r="A42" s="4">
        <v>108</v>
      </c>
      <c r="B42" s="4">
        <v>1</v>
      </c>
      <c r="C42" s="2" t="s">
        <v>1168</v>
      </c>
      <c r="D42" s="3">
        <v>0</v>
      </c>
      <c r="E42" s="3">
        <v>0</v>
      </c>
      <c r="F42" s="227">
        <f t="shared" si="3"/>
        <v>0</v>
      </c>
      <c r="G42" s="227">
        <f t="shared" si="4"/>
        <v>700309</v>
      </c>
      <c r="H42" s="227">
        <f t="shared" si="5"/>
        <v>0</v>
      </c>
      <c r="I42" s="227">
        <f t="shared" si="6"/>
        <v>594967</v>
      </c>
      <c r="J42" s="227">
        <f t="shared" si="7"/>
        <v>128442</v>
      </c>
      <c r="K42" s="227">
        <f t="shared" si="8"/>
        <v>974710</v>
      </c>
      <c r="L42" s="227">
        <f t="shared" si="9"/>
        <v>0</v>
      </c>
      <c r="M42" s="3">
        <f t="shared" si="10"/>
        <v>0</v>
      </c>
      <c r="N42" s="227">
        <f t="shared" si="11"/>
        <v>0</v>
      </c>
      <c r="O42" s="142">
        <f t="shared" si="12"/>
        <v>2398428</v>
      </c>
      <c r="P42" s="3">
        <f t="shared" si="20"/>
        <v>1698119</v>
      </c>
      <c r="Q42" s="3">
        <f t="shared" si="13"/>
        <v>594967</v>
      </c>
      <c r="R42" s="3">
        <f t="shared" si="14"/>
        <v>128442</v>
      </c>
      <c r="S42" s="3">
        <f t="shared" si="15"/>
        <v>974710</v>
      </c>
      <c r="T42" s="3">
        <f t="shared" si="16"/>
        <v>0</v>
      </c>
      <c r="U42" s="3">
        <f>IF($A$5=1,IF($P42=0,0,ROUND(Q42/$P42*$E42,2)),Credits!D41)+Credits!J41</f>
        <v>12917.199999999999</v>
      </c>
      <c r="V42" s="3">
        <f>IF($A$5=1,IF($P42=0,0,ROUND(R42/$P42*$E42,2)),Credits!E41)+Credits!K41</f>
        <v>2789.54</v>
      </c>
      <c r="W42" s="3">
        <f>IF($A$5=1,IF($P42=0,0,ROUND(S42/$P42*$E42,2)),Credits!F41)+Credits!L41</f>
        <v>21162.19</v>
      </c>
      <c r="X42" s="3">
        <f>IF($A$5=1,IF($P42=0,0,ROUND(T42/$P42*$E42,2)),Credits!G41)+Credits!M41</f>
        <v>0</v>
      </c>
      <c r="Y42" s="3">
        <f t="shared" si="17"/>
        <v>36868.929999999993</v>
      </c>
      <c r="AC42" s="4"/>
      <c r="AD42" s="4"/>
      <c r="AE42" s="2">
        <f t="shared" si="2"/>
        <v>0</v>
      </c>
      <c r="AF42" s="170" t="s">
        <v>1120</v>
      </c>
      <c r="AG42" s="175">
        <v>108</v>
      </c>
      <c r="AH42" s="175">
        <v>1</v>
      </c>
      <c r="AI42" s="175">
        <v>1</v>
      </c>
      <c r="AJ42" s="176">
        <v>0</v>
      </c>
      <c r="AK42" s="176">
        <v>0</v>
      </c>
      <c r="AL42" s="176">
        <v>700309</v>
      </c>
      <c r="AM42" s="176">
        <v>0</v>
      </c>
      <c r="AN42" s="177">
        <v>0</v>
      </c>
      <c r="AO42" s="177">
        <v>0</v>
      </c>
      <c r="AP42" s="177">
        <v>594967</v>
      </c>
      <c r="AQ42" s="177">
        <v>0</v>
      </c>
      <c r="AR42" s="177">
        <v>128442</v>
      </c>
      <c r="AS42" s="177">
        <v>0</v>
      </c>
      <c r="AT42" s="178">
        <v>974710</v>
      </c>
      <c r="AU42" s="178">
        <v>0</v>
      </c>
      <c r="AV42" s="178">
        <v>0</v>
      </c>
      <c r="AW42" s="179">
        <v>0</v>
      </c>
      <c r="AX42" s="180">
        <v>0</v>
      </c>
      <c r="AY42" s="180">
        <v>0</v>
      </c>
      <c r="AZ42" s="180">
        <v>0</v>
      </c>
      <c r="BA42" s="180">
        <v>0</v>
      </c>
      <c r="BB42" s="170">
        <f t="shared" si="18"/>
        <v>2398428</v>
      </c>
      <c r="BC42" s="170">
        <v>2398427.96</v>
      </c>
      <c r="BD42" s="2">
        <f t="shared" si="19"/>
        <v>4.0000000037252903E-2</v>
      </c>
    </row>
    <row r="43" spans="1:56" ht="12" x14ac:dyDescent="0.2">
      <c r="A43" s="4">
        <v>110</v>
      </c>
      <c r="B43" s="4">
        <v>1</v>
      </c>
      <c r="C43" s="2" t="s">
        <v>38</v>
      </c>
      <c r="D43" s="3">
        <v>0</v>
      </c>
      <c r="E43" s="3">
        <v>0</v>
      </c>
      <c r="F43" s="227">
        <f t="shared" si="3"/>
        <v>962030</v>
      </c>
      <c r="G43" s="227">
        <f t="shared" si="4"/>
        <v>1787534</v>
      </c>
      <c r="H43" s="227">
        <f t="shared" si="5"/>
        <v>0</v>
      </c>
      <c r="I43" s="227">
        <f t="shared" si="6"/>
        <v>1324842</v>
      </c>
      <c r="J43" s="227">
        <f t="shared" si="7"/>
        <v>263254</v>
      </c>
      <c r="K43" s="227">
        <f t="shared" si="8"/>
        <v>5582390</v>
      </c>
      <c r="L43" s="227">
        <f t="shared" si="9"/>
        <v>147394</v>
      </c>
      <c r="M43" s="3">
        <f t="shared" si="10"/>
        <v>0</v>
      </c>
      <c r="N43" s="227">
        <f t="shared" si="11"/>
        <v>358174</v>
      </c>
      <c r="O43" s="142">
        <f t="shared" si="12"/>
        <v>10425618</v>
      </c>
      <c r="P43" s="3">
        <f t="shared" si="20"/>
        <v>7676054</v>
      </c>
      <c r="Q43" s="3">
        <f t="shared" si="13"/>
        <v>1324842</v>
      </c>
      <c r="R43" s="3">
        <f t="shared" si="14"/>
        <v>263254</v>
      </c>
      <c r="S43" s="3">
        <f t="shared" si="15"/>
        <v>5729784</v>
      </c>
      <c r="T43" s="3">
        <f t="shared" si="16"/>
        <v>358174</v>
      </c>
      <c r="U43" s="3">
        <f>IF($A$5=1,IF($P43=0,0,ROUND(Q43/$P43*$E43,2)),Credits!D42)+Credits!J42</f>
        <v>10935.54</v>
      </c>
      <c r="V43" s="3">
        <f>IF($A$5=1,IF($P43=0,0,ROUND(R43/$P43*$E43,2)),Credits!E42)+Credits!K42</f>
        <v>2172.8000000000002</v>
      </c>
      <c r="W43" s="3">
        <f>IF($A$5=1,IF($P43=0,0,ROUND(S43/$P43*$E43,2)),Credits!F42)+Credits!L42</f>
        <v>47297.11</v>
      </c>
      <c r="X43" s="3">
        <f>IF($A$5=1,IF($P43=0,0,ROUND(T43/$P43*$E43,2)),Credits!G42)+Credits!M42</f>
        <v>2956.39</v>
      </c>
      <c r="Y43" s="3">
        <f t="shared" si="17"/>
        <v>63361.84</v>
      </c>
      <c r="AC43" s="4"/>
      <c r="AD43" s="4"/>
      <c r="AE43" s="2">
        <f t="shared" si="2"/>
        <v>0</v>
      </c>
      <c r="AF43" s="170" t="s">
        <v>1120</v>
      </c>
      <c r="AG43" s="175">
        <v>110</v>
      </c>
      <c r="AH43" s="175">
        <v>1</v>
      </c>
      <c r="AI43" s="175">
        <v>1</v>
      </c>
      <c r="AJ43" s="176">
        <v>962030</v>
      </c>
      <c r="AK43" s="176">
        <v>0</v>
      </c>
      <c r="AL43" s="176">
        <v>1787534</v>
      </c>
      <c r="AM43" s="176">
        <v>0</v>
      </c>
      <c r="AN43" s="177">
        <v>0</v>
      </c>
      <c r="AO43" s="177">
        <v>0</v>
      </c>
      <c r="AP43" s="177">
        <v>1324842</v>
      </c>
      <c r="AQ43" s="177">
        <v>0</v>
      </c>
      <c r="AR43" s="177">
        <v>263254</v>
      </c>
      <c r="AS43" s="177">
        <v>0</v>
      </c>
      <c r="AT43" s="178">
        <v>5582390</v>
      </c>
      <c r="AU43" s="178">
        <v>0</v>
      </c>
      <c r="AV43" s="178">
        <v>147394</v>
      </c>
      <c r="AW43" s="179">
        <v>0</v>
      </c>
      <c r="AX43" s="180">
        <v>0</v>
      </c>
      <c r="AY43" s="180">
        <v>0</v>
      </c>
      <c r="AZ43" s="180">
        <v>358174</v>
      </c>
      <c r="BA43" s="180">
        <v>0</v>
      </c>
      <c r="BB43" s="170">
        <f t="shared" si="18"/>
        <v>10425618</v>
      </c>
      <c r="BC43" s="170">
        <v>10425617.58</v>
      </c>
      <c r="BD43" s="2">
        <f t="shared" si="19"/>
        <v>0.41999999992549419</v>
      </c>
    </row>
    <row r="44" spans="1:56" ht="12" x14ac:dyDescent="0.2">
      <c r="A44" s="4">
        <v>111</v>
      </c>
      <c r="B44" s="4">
        <v>1</v>
      </c>
      <c r="C44" s="2" t="s">
        <v>39</v>
      </c>
      <c r="D44" s="3">
        <v>0</v>
      </c>
      <c r="E44" s="3">
        <v>0</v>
      </c>
      <c r="F44" s="227">
        <f t="shared" si="3"/>
        <v>0</v>
      </c>
      <c r="G44" s="227">
        <f t="shared" si="4"/>
        <v>1000868</v>
      </c>
      <c r="H44" s="227">
        <f t="shared" si="5"/>
        <v>0</v>
      </c>
      <c r="I44" s="227">
        <f t="shared" si="6"/>
        <v>161932</v>
      </c>
      <c r="J44" s="227">
        <f t="shared" si="7"/>
        <v>287652</v>
      </c>
      <c r="K44" s="227">
        <f t="shared" si="8"/>
        <v>3720633</v>
      </c>
      <c r="L44" s="227">
        <f t="shared" si="9"/>
        <v>430187</v>
      </c>
      <c r="M44" s="3">
        <f t="shared" si="10"/>
        <v>0</v>
      </c>
      <c r="N44" s="227">
        <f t="shared" si="11"/>
        <v>0</v>
      </c>
      <c r="O44" s="142">
        <f t="shared" si="12"/>
        <v>5601272</v>
      </c>
      <c r="P44" s="3">
        <f t="shared" si="20"/>
        <v>4600404</v>
      </c>
      <c r="Q44" s="3">
        <f t="shared" si="13"/>
        <v>161932</v>
      </c>
      <c r="R44" s="3">
        <f t="shared" si="14"/>
        <v>287652</v>
      </c>
      <c r="S44" s="3">
        <f t="shared" si="15"/>
        <v>4150820</v>
      </c>
      <c r="T44" s="3">
        <f t="shared" si="16"/>
        <v>0</v>
      </c>
      <c r="U44" s="3">
        <f>IF($A$5=1,IF($P44=0,0,ROUND(Q44/$P44*$E44,2)),Credits!D43)+Credits!J43</f>
        <v>3632.9800000000037</v>
      </c>
      <c r="V44" s="3">
        <f>IF($A$5=1,IF($P44=0,0,ROUND(R44/$P44*$E44,2)),Credits!E43)+Credits!K43</f>
        <v>6451.67</v>
      </c>
      <c r="W44" s="3">
        <f>IF($A$5=1,IF($P44=0,0,ROUND(S44/$P44*$E44,2)),Credits!F43)+Credits!L43</f>
        <v>93097.43</v>
      </c>
      <c r="X44" s="3">
        <f>IF($A$5=1,IF($P44=0,0,ROUND(T44/$P44*$E44,2)),Credits!G43)+Credits!M43</f>
        <v>0</v>
      </c>
      <c r="Y44" s="3">
        <f t="shared" si="17"/>
        <v>103182.08</v>
      </c>
      <c r="AC44" s="4"/>
      <c r="AD44" s="4"/>
      <c r="AE44" s="2">
        <f t="shared" si="2"/>
        <v>0</v>
      </c>
      <c r="AF44" s="170" t="s">
        <v>1120</v>
      </c>
      <c r="AG44" s="175">
        <v>111</v>
      </c>
      <c r="AH44" s="175">
        <v>1</v>
      </c>
      <c r="AI44" s="175">
        <v>1</v>
      </c>
      <c r="AJ44" s="176">
        <v>0</v>
      </c>
      <c r="AK44" s="176">
        <v>0</v>
      </c>
      <c r="AL44" s="176">
        <v>1000868</v>
      </c>
      <c r="AM44" s="176">
        <v>0</v>
      </c>
      <c r="AN44" s="177">
        <v>0</v>
      </c>
      <c r="AO44" s="177">
        <v>0</v>
      </c>
      <c r="AP44" s="177">
        <v>161932</v>
      </c>
      <c r="AQ44" s="177">
        <v>0</v>
      </c>
      <c r="AR44" s="177">
        <v>287652</v>
      </c>
      <c r="AS44" s="177">
        <v>0</v>
      </c>
      <c r="AT44" s="178">
        <v>3720633</v>
      </c>
      <c r="AU44" s="178">
        <v>0</v>
      </c>
      <c r="AV44" s="178">
        <v>430187</v>
      </c>
      <c r="AW44" s="179">
        <v>0</v>
      </c>
      <c r="AX44" s="180">
        <v>0</v>
      </c>
      <c r="AY44" s="180">
        <v>0</v>
      </c>
      <c r="AZ44" s="180">
        <v>0</v>
      </c>
      <c r="BA44" s="180">
        <v>0</v>
      </c>
      <c r="BB44" s="170">
        <f t="shared" si="18"/>
        <v>5601272</v>
      </c>
      <c r="BC44" s="170">
        <v>5601272.4900000002</v>
      </c>
      <c r="BD44" s="2">
        <f t="shared" si="19"/>
        <v>-0.49000000022351742</v>
      </c>
    </row>
    <row r="45" spans="1:56" ht="12" x14ac:dyDescent="0.2">
      <c r="A45" s="4">
        <v>112</v>
      </c>
      <c r="B45" s="4">
        <v>1</v>
      </c>
      <c r="C45" s="2" t="s">
        <v>1169</v>
      </c>
      <c r="D45" s="3">
        <v>0</v>
      </c>
      <c r="E45" s="3">
        <v>0</v>
      </c>
      <c r="F45" s="227">
        <f t="shared" si="3"/>
        <v>7330635</v>
      </c>
      <c r="G45" s="227">
        <f t="shared" si="4"/>
        <v>5180251</v>
      </c>
      <c r="H45" s="227">
        <f t="shared" si="5"/>
        <v>2450000</v>
      </c>
      <c r="I45" s="227">
        <f t="shared" si="6"/>
        <v>3827860</v>
      </c>
      <c r="J45" s="227">
        <f t="shared" si="7"/>
        <v>731300</v>
      </c>
      <c r="K45" s="227">
        <f t="shared" si="8"/>
        <v>17066670</v>
      </c>
      <c r="L45" s="227">
        <f t="shared" si="9"/>
        <v>1052650</v>
      </c>
      <c r="M45" s="3">
        <f t="shared" si="10"/>
        <v>0</v>
      </c>
      <c r="N45" s="227">
        <f t="shared" si="11"/>
        <v>773572</v>
      </c>
      <c r="O45" s="142">
        <f t="shared" si="12"/>
        <v>38412938</v>
      </c>
      <c r="P45" s="3">
        <f t="shared" si="20"/>
        <v>25902052</v>
      </c>
      <c r="Q45" s="3">
        <f t="shared" si="13"/>
        <v>6277860</v>
      </c>
      <c r="R45" s="3">
        <f t="shared" si="14"/>
        <v>731300</v>
      </c>
      <c r="S45" s="3">
        <f t="shared" si="15"/>
        <v>18119320</v>
      </c>
      <c r="T45" s="3">
        <f t="shared" si="16"/>
        <v>773572</v>
      </c>
      <c r="U45" s="3">
        <f>IF($A$5=1,IF($P45=0,0,ROUND(Q45/$P45*$E45,2)),Credits!D44)+Credits!J44</f>
        <v>9764.9800000000014</v>
      </c>
      <c r="V45" s="3">
        <f>IF($A$5=1,IF($P45=0,0,ROUND(R45/$P45*$E45,2)),Credits!E44)+Credits!K44</f>
        <v>1137.3400000000001</v>
      </c>
      <c r="W45" s="3">
        <f>IF($A$5=1,IF($P45=0,0,ROUND(S45/$P45*$E45,2)),Credits!F44)+Credits!L44</f>
        <v>28182.749999999996</v>
      </c>
      <c r="X45" s="3">
        <f>IF($A$5=1,IF($P45=0,0,ROUND(T45/$P45*$E45,2)),Credits!G44)+Credits!M44</f>
        <v>1202.8</v>
      </c>
      <c r="Y45" s="3">
        <f t="shared" si="17"/>
        <v>40287.870000000003</v>
      </c>
      <c r="AC45" s="4"/>
      <c r="AD45" s="4"/>
      <c r="AE45" s="2">
        <f t="shared" si="2"/>
        <v>0</v>
      </c>
      <c r="AF45" s="170" t="s">
        <v>1120</v>
      </c>
      <c r="AG45" s="175">
        <v>112</v>
      </c>
      <c r="AH45" s="175">
        <v>1</v>
      </c>
      <c r="AI45" s="175">
        <v>1</v>
      </c>
      <c r="AJ45" s="176">
        <v>7330635</v>
      </c>
      <c r="AK45" s="176">
        <v>0</v>
      </c>
      <c r="AL45" s="176">
        <v>5180251</v>
      </c>
      <c r="AM45" s="176">
        <v>0</v>
      </c>
      <c r="AN45" s="177">
        <v>2450000</v>
      </c>
      <c r="AO45" s="177">
        <v>0</v>
      </c>
      <c r="AP45" s="177">
        <v>3827860</v>
      </c>
      <c r="AQ45" s="177">
        <v>0</v>
      </c>
      <c r="AR45" s="177">
        <v>731300</v>
      </c>
      <c r="AS45" s="177">
        <v>0</v>
      </c>
      <c r="AT45" s="178">
        <v>17066670</v>
      </c>
      <c r="AU45" s="178">
        <v>0</v>
      </c>
      <c r="AV45" s="178">
        <v>1052650</v>
      </c>
      <c r="AW45" s="179">
        <v>0</v>
      </c>
      <c r="AX45" s="180">
        <v>0</v>
      </c>
      <c r="AY45" s="180">
        <v>0</v>
      </c>
      <c r="AZ45" s="180">
        <v>773572</v>
      </c>
      <c r="BA45" s="180">
        <v>0</v>
      </c>
      <c r="BB45" s="170">
        <f t="shared" si="18"/>
        <v>38412938</v>
      </c>
      <c r="BC45" s="170">
        <v>38412938.100000001</v>
      </c>
      <c r="BD45" s="2">
        <f t="shared" si="19"/>
        <v>-0.10000000149011612</v>
      </c>
    </row>
    <row r="46" spans="1:56" ht="12" x14ac:dyDescent="0.2">
      <c r="A46" s="4">
        <v>113</v>
      </c>
      <c r="B46" s="4">
        <v>1</v>
      </c>
      <c r="C46" s="2" t="s">
        <v>1170</v>
      </c>
      <c r="D46" s="3">
        <v>0</v>
      </c>
      <c r="E46" s="3">
        <v>0</v>
      </c>
      <c r="F46" s="227">
        <f t="shared" si="3"/>
        <v>0</v>
      </c>
      <c r="G46" s="227">
        <f t="shared" si="4"/>
        <v>398066.27</v>
      </c>
      <c r="H46" s="227">
        <f t="shared" si="5"/>
        <v>0</v>
      </c>
      <c r="I46" s="227">
        <f t="shared" si="6"/>
        <v>524330.23999999999</v>
      </c>
      <c r="J46" s="227">
        <f t="shared" si="7"/>
        <v>104010.57</v>
      </c>
      <c r="K46" s="227">
        <f t="shared" si="8"/>
        <v>959078.93</v>
      </c>
      <c r="L46" s="227">
        <f t="shared" si="9"/>
        <v>220241.35</v>
      </c>
      <c r="M46" s="3">
        <f t="shared" si="10"/>
        <v>0</v>
      </c>
      <c r="N46" s="227">
        <f t="shared" si="11"/>
        <v>0</v>
      </c>
      <c r="O46" s="142">
        <f t="shared" si="12"/>
        <v>2205727.3600000003</v>
      </c>
      <c r="P46" s="3">
        <f t="shared" si="20"/>
        <v>1807661.0900000003</v>
      </c>
      <c r="Q46" s="3">
        <f t="shared" si="13"/>
        <v>524330.23999999999</v>
      </c>
      <c r="R46" s="3">
        <f t="shared" si="14"/>
        <v>104010.57</v>
      </c>
      <c r="S46" s="3">
        <f t="shared" si="15"/>
        <v>1179320.28</v>
      </c>
      <c r="T46" s="3">
        <f t="shared" si="16"/>
        <v>0</v>
      </c>
      <c r="U46" s="3">
        <f>IF($A$5=1,IF($P46=0,0,ROUND(Q46/$P46*$E46,2)),Credits!D45)+Credits!J45</f>
        <v>1894.3899999999999</v>
      </c>
      <c r="V46" s="3">
        <f>IF($A$5=1,IF($P46=0,0,ROUND(R46/$P46*$E46,2)),Credits!E45)+Credits!K45</f>
        <v>375.36</v>
      </c>
      <c r="W46" s="3">
        <f>IF($A$5=1,IF($P46=0,0,ROUND(S46/$P46*$E46,2)),Credits!F45)+Credits!L45</f>
        <v>4252.68</v>
      </c>
      <c r="X46" s="3">
        <f>IF($A$5=1,IF($P46=0,0,ROUND(T46/$P46*$E46,2)),Credits!G45)+Credits!M45</f>
        <v>0</v>
      </c>
      <c r="Y46" s="3">
        <f t="shared" si="17"/>
        <v>6522.43</v>
      </c>
      <c r="AC46" s="4"/>
      <c r="AD46" s="4"/>
      <c r="AE46" s="2">
        <f t="shared" si="2"/>
        <v>0</v>
      </c>
      <c r="AF46" s="170" t="s">
        <v>1120</v>
      </c>
      <c r="AG46" s="175">
        <v>113</v>
      </c>
      <c r="AH46" s="175">
        <v>1</v>
      </c>
      <c r="AI46" s="175">
        <v>1</v>
      </c>
      <c r="AJ46" s="176">
        <v>0</v>
      </c>
      <c r="AK46" s="176">
        <v>0</v>
      </c>
      <c r="AL46" s="176">
        <v>398066.27</v>
      </c>
      <c r="AM46" s="176">
        <v>0</v>
      </c>
      <c r="AN46" s="177">
        <v>0</v>
      </c>
      <c r="AO46" s="177">
        <v>0</v>
      </c>
      <c r="AP46" s="177">
        <v>524330.23999999999</v>
      </c>
      <c r="AQ46" s="177">
        <v>0</v>
      </c>
      <c r="AR46" s="177">
        <v>104010.57</v>
      </c>
      <c r="AS46" s="177">
        <v>0</v>
      </c>
      <c r="AT46" s="178">
        <v>959078.93</v>
      </c>
      <c r="AU46" s="178">
        <v>0</v>
      </c>
      <c r="AV46" s="178">
        <v>220241.35</v>
      </c>
      <c r="AW46" s="179">
        <v>0</v>
      </c>
      <c r="AX46" s="180">
        <v>0</v>
      </c>
      <c r="AY46" s="180">
        <v>0</v>
      </c>
      <c r="AZ46" s="180">
        <v>0</v>
      </c>
      <c r="BA46" s="180">
        <v>0</v>
      </c>
      <c r="BB46" s="170">
        <f t="shared" si="18"/>
        <v>2205727.3600000003</v>
      </c>
      <c r="BC46" s="170">
        <v>2205727.36</v>
      </c>
      <c r="BD46" s="2">
        <f t="shared" si="19"/>
        <v>0</v>
      </c>
    </row>
    <row r="47" spans="1:56" ht="12" x14ac:dyDescent="0.2">
      <c r="A47" s="4">
        <v>115</v>
      </c>
      <c r="B47" s="4">
        <v>1</v>
      </c>
      <c r="C47" s="2" t="s">
        <v>1171</v>
      </c>
      <c r="D47" s="3">
        <v>0</v>
      </c>
      <c r="E47" s="3">
        <v>0</v>
      </c>
      <c r="F47" s="227">
        <f t="shared" si="3"/>
        <v>0</v>
      </c>
      <c r="G47" s="227">
        <f t="shared" si="4"/>
        <v>450974.14</v>
      </c>
      <c r="H47" s="227">
        <f t="shared" si="5"/>
        <v>0</v>
      </c>
      <c r="I47" s="227">
        <f t="shared" si="6"/>
        <v>266766.40999999997</v>
      </c>
      <c r="J47" s="227">
        <f t="shared" si="7"/>
        <v>60104.29</v>
      </c>
      <c r="K47" s="227">
        <f t="shared" si="8"/>
        <v>1813673.1</v>
      </c>
      <c r="L47" s="227">
        <f t="shared" si="9"/>
        <v>0</v>
      </c>
      <c r="M47" s="3">
        <f t="shared" si="10"/>
        <v>0</v>
      </c>
      <c r="N47" s="227">
        <f t="shared" si="11"/>
        <v>0</v>
      </c>
      <c r="O47" s="142">
        <f t="shared" si="12"/>
        <v>2591517.9400000004</v>
      </c>
      <c r="P47" s="3">
        <f t="shared" si="20"/>
        <v>2140543.7999999998</v>
      </c>
      <c r="Q47" s="3">
        <f t="shared" si="13"/>
        <v>266766.40999999997</v>
      </c>
      <c r="R47" s="3">
        <f t="shared" si="14"/>
        <v>60104.29</v>
      </c>
      <c r="S47" s="3">
        <f t="shared" si="15"/>
        <v>1813673.1</v>
      </c>
      <c r="T47" s="3">
        <f t="shared" si="16"/>
        <v>0</v>
      </c>
      <c r="U47" s="3">
        <f>IF($A$5=1,IF($P47=0,0,ROUND(Q47/$P47*$E47,2)),Credits!D46)+Credits!J46</f>
        <v>1009.51</v>
      </c>
      <c r="V47" s="3">
        <f>IF($A$5=1,IF($P47=0,0,ROUND(R47/$P47*$E47,2)),Credits!E46)+Credits!K46</f>
        <v>227.47</v>
      </c>
      <c r="W47" s="3">
        <f>IF($A$5=1,IF($P47=0,0,ROUND(S47/$P47*$E47,2)),Credits!F46)+Credits!L46</f>
        <v>6863.92</v>
      </c>
      <c r="X47" s="3">
        <f>IF($A$5=1,IF($P47=0,0,ROUND(T47/$P47*$E47,2)),Credits!G46)+Credits!M46</f>
        <v>0</v>
      </c>
      <c r="Y47" s="3">
        <f t="shared" si="17"/>
        <v>8100.9</v>
      </c>
      <c r="AC47" s="4"/>
      <c r="AD47" s="4"/>
      <c r="AE47" s="2">
        <f t="shared" si="2"/>
        <v>0</v>
      </c>
      <c r="AF47" s="170" t="s">
        <v>1120</v>
      </c>
      <c r="AG47" s="175">
        <v>115</v>
      </c>
      <c r="AH47" s="175">
        <v>1</v>
      </c>
      <c r="AI47" s="175">
        <v>1</v>
      </c>
      <c r="AJ47" s="176">
        <v>0</v>
      </c>
      <c r="AK47" s="176">
        <v>0</v>
      </c>
      <c r="AL47" s="176">
        <v>450974.14</v>
      </c>
      <c r="AM47" s="176">
        <v>0</v>
      </c>
      <c r="AN47" s="177">
        <v>0</v>
      </c>
      <c r="AO47" s="177">
        <v>0</v>
      </c>
      <c r="AP47" s="177">
        <v>266766.40999999997</v>
      </c>
      <c r="AQ47" s="177">
        <v>0</v>
      </c>
      <c r="AR47" s="177">
        <v>60104.29</v>
      </c>
      <c r="AS47" s="177">
        <v>0</v>
      </c>
      <c r="AT47" s="178">
        <v>1813673.1</v>
      </c>
      <c r="AU47" s="178">
        <v>0</v>
      </c>
      <c r="AV47" s="178">
        <v>0</v>
      </c>
      <c r="AW47" s="179">
        <v>0</v>
      </c>
      <c r="AX47" s="180">
        <v>0</v>
      </c>
      <c r="AY47" s="180">
        <v>0</v>
      </c>
      <c r="AZ47" s="180">
        <v>0</v>
      </c>
      <c r="BA47" s="180">
        <v>0</v>
      </c>
      <c r="BB47" s="170">
        <f t="shared" si="18"/>
        <v>2591517.9400000004</v>
      </c>
      <c r="BC47" s="170">
        <v>2591517.94</v>
      </c>
      <c r="BD47" s="2">
        <f t="shared" si="19"/>
        <v>0</v>
      </c>
    </row>
    <row r="48" spans="1:56" ht="12" x14ac:dyDescent="0.2">
      <c r="A48" s="4">
        <v>116</v>
      </c>
      <c r="B48" s="4">
        <v>1</v>
      </c>
      <c r="C48" s="2" t="s">
        <v>43</v>
      </c>
      <c r="D48" s="3">
        <v>0</v>
      </c>
      <c r="E48" s="3">
        <v>0</v>
      </c>
      <c r="F48" s="227">
        <f t="shared" si="3"/>
        <v>0</v>
      </c>
      <c r="G48" s="227">
        <f t="shared" si="4"/>
        <v>333386.09999999998</v>
      </c>
      <c r="H48" s="227">
        <f t="shared" si="5"/>
        <v>0</v>
      </c>
      <c r="I48" s="227">
        <f t="shared" si="6"/>
        <v>276259.89</v>
      </c>
      <c r="J48" s="227">
        <f t="shared" si="7"/>
        <v>92599.08</v>
      </c>
      <c r="K48" s="227">
        <f t="shared" si="8"/>
        <v>1068105.6399999999</v>
      </c>
      <c r="L48" s="227">
        <f t="shared" si="9"/>
        <v>0</v>
      </c>
      <c r="M48" s="3">
        <f t="shared" si="10"/>
        <v>0</v>
      </c>
      <c r="N48" s="227">
        <f t="shared" si="11"/>
        <v>206367.77</v>
      </c>
      <c r="O48" s="142">
        <f t="shared" si="12"/>
        <v>1976718.48</v>
      </c>
      <c r="P48" s="3">
        <f t="shared" si="20"/>
        <v>1643332.38</v>
      </c>
      <c r="Q48" s="3">
        <f t="shared" si="13"/>
        <v>276259.89</v>
      </c>
      <c r="R48" s="3">
        <f t="shared" si="14"/>
        <v>92599.08</v>
      </c>
      <c r="S48" s="3">
        <f t="shared" si="15"/>
        <v>1068105.6399999999</v>
      </c>
      <c r="T48" s="3">
        <f t="shared" si="16"/>
        <v>206367.77</v>
      </c>
      <c r="U48" s="3">
        <f>IF($A$5=1,IF($P48=0,0,ROUND(Q48/$P48*$E48,2)),Credits!D47)+Credits!J47</f>
        <v>1430.85</v>
      </c>
      <c r="V48" s="3">
        <f>IF($A$5=1,IF($P48=0,0,ROUND(R48/$P48*$E48,2)),Credits!E47)+Credits!K47</f>
        <v>479.84</v>
      </c>
      <c r="W48" s="3">
        <f>IF($A$5=1,IF($P48=0,0,ROUND(S48/$P48*$E48,2)),Credits!F47)+Credits!L47</f>
        <v>5532.9699999999993</v>
      </c>
      <c r="X48" s="3">
        <f>IF($A$5=1,IF($P48=0,0,ROUND(T48/$P48*$E48,2)),Credits!G47)+Credits!M47</f>
        <v>1069.05</v>
      </c>
      <c r="Y48" s="3">
        <f t="shared" si="17"/>
        <v>8512.7099999999991</v>
      </c>
      <c r="AC48" s="4"/>
      <c r="AD48" s="4"/>
      <c r="AE48" s="2">
        <f t="shared" si="2"/>
        <v>0</v>
      </c>
      <c r="AF48" s="170" t="s">
        <v>1120</v>
      </c>
      <c r="AG48" s="175">
        <v>116</v>
      </c>
      <c r="AH48" s="175">
        <v>1</v>
      </c>
      <c r="AI48" s="175">
        <v>1</v>
      </c>
      <c r="AJ48" s="176">
        <v>0</v>
      </c>
      <c r="AK48" s="176">
        <v>0</v>
      </c>
      <c r="AL48" s="176">
        <v>333386.09999999998</v>
      </c>
      <c r="AM48" s="176">
        <v>0</v>
      </c>
      <c r="AN48" s="177">
        <v>0</v>
      </c>
      <c r="AO48" s="177">
        <v>0</v>
      </c>
      <c r="AP48" s="177">
        <v>276259.89</v>
      </c>
      <c r="AQ48" s="177">
        <v>0</v>
      </c>
      <c r="AR48" s="177">
        <v>92599.08</v>
      </c>
      <c r="AS48" s="177">
        <v>0</v>
      </c>
      <c r="AT48" s="178">
        <v>1068105.6399999999</v>
      </c>
      <c r="AU48" s="178">
        <v>0</v>
      </c>
      <c r="AV48" s="178">
        <v>0</v>
      </c>
      <c r="AW48" s="179">
        <v>0</v>
      </c>
      <c r="AX48" s="180">
        <v>0</v>
      </c>
      <c r="AY48" s="180">
        <v>0</v>
      </c>
      <c r="AZ48" s="180">
        <v>206367.77</v>
      </c>
      <c r="BA48" s="180">
        <v>0</v>
      </c>
      <c r="BB48" s="170">
        <f t="shared" si="18"/>
        <v>1976718.48</v>
      </c>
      <c r="BC48" s="170">
        <v>1976718.48</v>
      </c>
      <c r="BD48" s="2">
        <f t="shared" si="19"/>
        <v>0</v>
      </c>
    </row>
    <row r="49" spans="1:56" ht="12" x14ac:dyDescent="0.2">
      <c r="A49" s="4">
        <v>118</v>
      </c>
      <c r="B49" s="4">
        <v>1</v>
      </c>
      <c r="C49" s="2" t="s">
        <v>44</v>
      </c>
      <c r="D49" s="3">
        <v>0</v>
      </c>
      <c r="E49" s="3">
        <v>0</v>
      </c>
      <c r="F49" s="227">
        <f t="shared" si="3"/>
        <v>273980.59000000003</v>
      </c>
      <c r="G49" s="227">
        <f t="shared" si="4"/>
        <v>38314.400000000001</v>
      </c>
      <c r="H49" s="227">
        <f t="shared" si="5"/>
        <v>0</v>
      </c>
      <c r="I49" s="227">
        <f t="shared" si="6"/>
        <v>246188.55</v>
      </c>
      <c r="J49" s="227">
        <f t="shared" si="7"/>
        <v>36525.68</v>
      </c>
      <c r="K49" s="227">
        <f t="shared" si="8"/>
        <v>113217.29</v>
      </c>
      <c r="L49" s="227">
        <f t="shared" si="9"/>
        <v>0</v>
      </c>
      <c r="M49" s="3">
        <f t="shared" si="10"/>
        <v>0</v>
      </c>
      <c r="N49" s="227">
        <f t="shared" si="11"/>
        <v>0</v>
      </c>
      <c r="O49" s="142">
        <f t="shared" si="12"/>
        <v>708226.51000000013</v>
      </c>
      <c r="P49" s="3">
        <f t="shared" si="20"/>
        <v>395931.51999999996</v>
      </c>
      <c r="Q49" s="3">
        <f t="shared" si="13"/>
        <v>246188.55</v>
      </c>
      <c r="R49" s="3">
        <f t="shared" si="14"/>
        <v>36525.68</v>
      </c>
      <c r="S49" s="3">
        <f t="shared" si="15"/>
        <v>113217.29</v>
      </c>
      <c r="T49" s="3">
        <f t="shared" si="16"/>
        <v>0</v>
      </c>
      <c r="U49" s="3">
        <f>IF($A$5=1,IF($P49=0,0,ROUND(Q49/$P49*$E49,2)),Credits!D48)+Credits!J48</f>
        <v>933.05000000000007</v>
      </c>
      <c r="V49" s="3">
        <f>IF($A$5=1,IF($P49=0,0,ROUND(R49/$P49*$E49,2)),Credits!E48)+Credits!K48</f>
        <v>138.63</v>
      </c>
      <c r="W49" s="3">
        <f>IF($A$5=1,IF($P49=0,0,ROUND(S49/$P49*$E49,2)),Credits!F48)+Credits!L48</f>
        <v>428.79</v>
      </c>
      <c r="X49" s="3">
        <f>IF($A$5=1,IF($P49=0,0,ROUND(T49/$P49*$E49,2)),Credits!G48)+Credits!M48</f>
        <v>0</v>
      </c>
      <c r="Y49" s="3">
        <f t="shared" si="17"/>
        <v>1500.47</v>
      </c>
      <c r="AC49" s="4"/>
      <c r="AD49" s="4"/>
      <c r="AE49" s="2">
        <f t="shared" si="2"/>
        <v>0</v>
      </c>
      <c r="AF49" s="170" t="s">
        <v>1120</v>
      </c>
      <c r="AG49" s="175">
        <v>118</v>
      </c>
      <c r="AH49" s="175">
        <v>1</v>
      </c>
      <c r="AI49" s="175">
        <v>1</v>
      </c>
      <c r="AJ49" s="176">
        <v>273980.59000000003</v>
      </c>
      <c r="AK49" s="176">
        <v>0</v>
      </c>
      <c r="AL49" s="176">
        <v>38314.400000000001</v>
      </c>
      <c r="AM49" s="176">
        <v>0</v>
      </c>
      <c r="AN49" s="177">
        <v>0</v>
      </c>
      <c r="AO49" s="177">
        <v>0</v>
      </c>
      <c r="AP49" s="177">
        <v>246188.55</v>
      </c>
      <c r="AQ49" s="177">
        <v>0</v>
      </c>
      <c r="AR49" s="177">
        <v>36525.68</v>
      </c>
      <c r="AS49" s="177">
        <v>0</v>
      </c>
      <c r="AT49" s="178">
        <v>113217.29</v>
      </c>
      <c r="AU49" s="178">
        <v>0</v>
      </c>
      <c r="AV49" s="178">
        <v>0</v>
      </c>
      <c r="AW49" s="179">
        <v>0</v>
      </c>
      <c r="AX49" s="180">
        <v>0</v>
      </c>
      <c r="AY49" s="180">
        <v>0</v>
      </c>
      <c r="AZ49" s="180">
        <v>0</v>
      </c>
      <c r="BA49" s="180">
        <v>0</v>
      </c>
      <c r="BB49" s="170">
        <f t="shared" si="18"/>
        <v>708226.51000000013</v>
      </c>
      <c r="BC49" s="170">
        <v>708226.51</v>
      </c>
      <c r="BD49" s="2">
        <f t="shared" si="19"/>
        <v>0</v>
      </c>
    </row>
    <row r="50" spans="1:56" ht="12" x14ac:dyDescent="0.2">
      <c r="A50" s="4">
        <v>129</v>
      </c>
      <c r="B50" s="4">
        <v>1</v>
      </c>
      <c r="C50" s="2" t="s">
        <v>45</v>
      </c>
      <c r="D50" s="3">
        <v>0</v>
      </c>
      <c r="E50" s="3">
        <v>0</v>
      </c>
      <c r="F50" s="227">
        <f t="shared" si="3"/>
        <v>672844.96</v>
      </c>
      <c r="G50" s="227">
        <f t="shared" si="4"/>
        <v>80260.09</v>
      </c>
      <c r="H50" s="227">
        <f t="shared" si="5"/>
        <v>0</v>
      </c>
      <c r="I50" s="227">
        <f t="shared" si="6"/>
        <v>319254.57</v>
      </c>
      <c r="J50" s="227">
        <f t="shared" si="7"/>
        <v>106164.87</v>
      </c>
      <c r="K50" s="227">
        <f t="shared" si="8"/>
        <v>0</v>
      </c>
      <c r="L50" s="227">
        <f t="shared" si="9"/>
        <v>1304595.8500000001</v>
      </c>
      <c r="M50" s="3">
        <f t="shared" si="10"/>
        <v>0</v>
      </c>
      <c r="N50" s="227">
        <f t="shared" si="11"/>
        <v>0</v>
      </c>
      <c r="O50" s="142">
        <f t="shared" si="12"/>
        <v>2483120.34</v>
      </c>
      <c r="P50" s="3">
        <f t="shared" si="20"/>
        <v>1730015.29</v>
      </c>
      <c r="Q50" s="3">
        <f t="shared" si="13"/>
        <v>319254.57</v>
      </c>
      <c r="R50" s="3">
        <f t="shared" si="14"/>
        <v>106164.87</v>
      </c>
      <c r="S50" s="3">
        <f t="shared" si="15"/>
        <v>1304595.8500000001</v>
      </c>
      <c r="T50" s="3">
        <f t="shared" si="16"/>
        <v>0</v>
      </c>
      <c r="U50" s="3">
        <f>IF($A$5=1,IF($P50=0,0,ROUND(Q50/$P50*$E50,2)),Credits!D49)+Credits!J49</f>
        <v>14554.59</v>
      </c>
      <c r="V50" s="3">
        <f>IF($A$5=1,IF($P50=0,0,ROUND(R50/$P50*$E50,2)),Credits!E49)+Credits!K49</f>
        <v>4839.26</v>
      </c>
      <c r="W50" s="3">
        <f>IF($A$5=1,IF($P50=0,0,ROUND(S50/$P50*$E50,2)),Credits!F49)+Credits!L49</f>
        <v>59345.470000000008</v>
      </c>
      <c r="X50" s="3">
        <f>IF($A$5=1,IF($P50=0,0,ROUND(T50/$P50*$E50,2)),Credits!G49)+Credits!M49</f>
        <v>0</v>
      </c>
      <c r="Y50" s="3">
        <f t="shared" si="17"/>
        <v>78739.320000000007</v>
      </c>
      <c r="AC50" s="4"/>
      <c r="AD50" s="4"/>
      <c r="AE50" s="2">
        <f t="shared" si="2"/>
        <v>0</v>
      </c>
      <c r="AF50" s="170" t="s">
        <v>1120</v>
      </c>
      <c r="AG50" s="175">
        <v>129</v>
      </c>
      <c r="AH50" s="175">
        <v>1</v>
      </c>
      <c r="AI50" s="175">
        <v>1</v>
      </c>
      <c r="AJ50" s="176">
        <v>672844.96</v>
      </c>
      <c r="AK50" s="176">
        <v>0</v>
      </c>
      <c r="AL50" s="176">
        <v>80260.09</v>
      </c>
      <c r="AM50" s="176">
        <v>0</v>
      </c>
      <c r="AN50" s="177">
        <v>0</v>
      </c>
      <c r="AO50" s="177">
        <v>0</v>
      </c>
      <c r="AP50" s="177">
        <v>319254.57</v>
      </c>
      <c r="AQ50" s="177">
        <v>0</v>
      </c>
      <c r="AR50" s="177">
        <v>106164.87</v>
      </c>
      <c r="AS50" s="177">
        <v>0</v>
      </c>
      <c r="AT50" s="178">
        <v>0</v>
      </c>
      <c r="AU50" s="178">
        <v>0</v>
      </c>
      <c r="AV50" s="178">
        <v>1304595.8500000001</v>
      </c>
      <c r="AW50" s="179">
        <v>0</v>
      </c>
      <c r="AX50" s="180">
        <v>0</v>
      </c>
      <c r="AY50" s="180">
        <v>0</v>
      </c>
      <c r="AZ50" s="180">
        <v>0</v>
      </c>
      <c r="BA50" s="180">
        <v>0</v>
      </c>
      <c r="BB50" s="170">
        <f t="shared" si="18"/>
        <v>2483120.34</v>
      </c>
      <c r="BC50" s="170">
        <v>2483120.34</v>
      </c>
      <c r="BD50" s="2">
        <f t="shared" si="19"/>
        <v>0</v>
      </c>
    </row>
    <row r="51" spans="1:56" ht="12" x14ac:dyDescent="0.2">
      <c r="A51" s="4">
        <v>138</v>
      </c>
      <c r="B51" s="4">
        <v>1</v>
      </c>
      <c r="C51" s="2" t="s">
        <v>46</v>
      </c>
      <c r="D51" s="3">
        <v>0</v>
      </c>
      <c r="E51" s="3">
        <v>0</v>
      </c>
      <c r="F51" s="227">
        <f t="shared" si="3"/>
        <v>0</v>
      </c>
      <c r="G51" s="227">
        <f t="shared" si="4"/>
        <v>1133877.21</v>
      </c>
      <c r="H51" s="227">
        <f t="shared" si="5"/>
        <v>0</v>
      </c>
      <c r="I51" s="227">
        <f t="shared" si="6"/>
        <v>883735.88</v>
      </c>
      <c r="J51" s="227">
        <f t="shared" si="7"/>
        <v>200066.82</v>
      </c>
      <c r="K51" s="227">
        <f t="shared" si="8"/>
        <v>4246810.17</v>
      </c>
      <c r="L51" s="227">
        <f t="shared" si="9"/>
        <v>0</v>
      </c>
      <c r="M51" s="3">
        <f t="shared" si="10"/>
        <v>0</v>
      </c>
      <c r="N51" s="227">
        <f t="shared" si="11"/>
        <v>396636.13</v>
      </c>
      <c r="O51" s="142">
        <f t="shared" si="12"/>
        <v>6861126.21</v>
      </c>
      <c r="P51" s="3">
        <f t="shared" si="20"/>
        <v>5727249</v>
      </c>
      <c r="Q51" s="3">
        <f t="shared" si="13"/>
        <v>883735.88</v>
      </c>
      <c r="R51" s="3">
        <f t="shared" si="14"/>
        <v>200066.82</v>
      </c>
      <c r="S51" s="3">
        <f t="shared" si="15"/>
        <v>4246810.17</v>
      </c>
      <c r="T51" s="3">
        <f t="shared" si="16"/>
        <v>396636.13</v>
      </c>
      <c r="U51" s="3">
        <f>IF($A$5=1,IF($P51=0,0,ROUND(Q51/$P51*$E51,2)),Credits!D50)+Credits!J50</f>
        <v>7232.0299999999988</v>
      </c>
      <c r="V51" s="3">
        <f>IF($A$5=1,IF($P51=0,0,ROUND(R51/$P51*$E51,2)),Credits!E50)+Credits!K50</f>
        <v>1636.8200000000002</v>
      </c>
      <c r="W51" s="3">
        <f>IF($A$5=1,IF($P51=0,0,ROUND(S51/$P51*$E51,2)),Credits!F50)+Credits!L50</f>
        <v>34497.32</v>
      </c>
      <c r="X51" s="3">
        <f>IF($A$5=1,IF($P51=0,0,ROUND(T51/$P51*$E51,2)),Credits!G50)+Credits!M50</f>
        <v>3221.75</v>
      </c>
      <c r="Y51" s="3">
        <f t="shared" si="17"/>
        <v>46587.92</v>
      </c>
      <c r="AC51" s="4"/>
      <c r="AD51" s="4"/>
      <c r="AE51" s="2">
        <f t="shared" si="2"/>
        <v>0</v>
      </c>
      <c r="AF51" s="170" t="s">
        <v>1120</v>
      </c>
      <c r="AG51" s="175">
        <v>138</v>
      </c>
      <c r="AH51" s="175">
        <v>1</v>
      </c>
      <c r="AI51" s="175">
        <v>1</v>
      </c>
      <c r="AJ51" s="176">
        <v>0</v>
      </c>
      <c r="AK51" s="176">
        <v>0</v>
      </c>
      <c r="AL51" s="176">
        <v>1133877.21</v>
      </c>
      <c r="AM51" s="176">
        <v>0</v>
      </c>
      <c r="AN51" s="177">
        <v>0</v>
      </c>
      <c r="AO51" s="177">
        <v>0</v>
      </c>
      <c r="AP51" s="177">
        <v>883735.88</v>
      </c>
      <c r="AQ51" s="177">
        <v>0</v>
      </c>
      <c r="AR51" s="177">
        <v>200066.82</v>
      </c>
      <c r="AS51" s="177">
        <v>0</v>
      </c>
      <c r="AT51" s="178">
        <v>4246810.17</v>
      </c>
      <c r="AU51" s="178">
        <v>0</v>
      </c>
      <c r="AV51" s="178">
        <v>0</v>
      </c>
      <c r="AW51" s="179">
        <v>0</v>
      </c>
      <c r="AX51" s="180">
        <v>0</v>
      </c>
      <c r="AY51" s="180">
        <v>0</v>
      </c>
      <c r="AZ51" s="180">
        <v>396636.13</v>
      </c>
      <c r="BA51" s="180">
        <v>0</v>
      </c>
      <c r="BB51" s="170">
        <f t="shared" si="18"/>
        <v>6861126.21</v>
      </c>
      <c r="BC51" s="170">
        <v>6861126.21</v>
      </c>
      <c r="BD51" s="2">
        <f t="shared" si="19"/>
        <v>0</v>
      </c>
    </row>
    <row r="52" spans="1:56" ht="12" x14ac:dyDescent="0.2">
      <c r="A52" s="4">
        <v>139</v>
      </c>
      <c r="B52" s="4">
        <v>1</v>
      </c>
      <c r="C52" s="2" t="s">
        <v>47</v>
      </c>
      <c r="D52" s="3">
        <v>0</v>
      </c>
      <c r="E52" s="3">
        <v>0</v>
      </c>
      <c r="F52" s="227">
        <f t="shared" si="3"/>
        <v>0</v>
      </c>
      <c r="G52" s="227">
        <f t="shared" si="4"/>
        <v>196814.74</v>
      </c>
      <c r="H52" s="227">
        <f t="shared" si="5"/>
        <v>0</v>
      </c>
      <c r="I52" s="227">
        <f t="shared" si="6"/>
        <v>351604.6</v>
      </c>
      <c r="J52" s="227">
        <f t="shared" si="7"/>
        <v>57660.6</v>
      </c>
      <c r="K52" s="227">
        <f t="shared" si="8"/>
        <v>1224919.1399999999</v>
      </c>
      <c r="L52" s="227">
        <f t="shared" si="9"/>
        <v>0</v>
      </c>
      <c r="M52" s="3">
        <f t="shared" si="10"/>
        <v>0</v>
      </c>
      <c r="N52" s="227">
        <f t="shared" si="11"/>
        <v>0</v>
      </c>
      <c r="O52" s="142">
        <f t="shared" si="12"/>
        <v>1830999.0799999998</v>
      </c>
      <c r="P52" s="3">
        <f t="shared" si="20"/>
        <v>1634184.3399999999</v>
      </c>
      <c r="Q52" s="3">
        <f t="shared" si="13"/>
        <v>351604.6</v>
      </c>
      <c r="R52" s="3">
        <f t="shared" si="14"/>
        <v>57660.6</v>
      </c>
      <c r="S52" s="3">
        <f t="shared" si="15"/>
        <v>1224919.1399999999</v>
      </c>
      <c r="T52" s="3">
        <f t="shared" si="16"/>
        <v>0</v>
      </c>
      <c r="U52" s="3">
        <f>IF($A$5=1,IF($P52=0,0,ROUND(Q52/$P52*$E52,2)),Credits!D51)+Credits!J51</f>
        <v>4859.43</v>
      </c>
      <c r="V52" s="3">
        <f>IF($A$5=1,IF($P52=0,0,ROUND(R52/$P52*$E52,2)),Credits!E51)+Credits!K51</f>
        <v>796.7600000000001</v>
      </c>
      <c r="W52" s="3">
        <f>IF($A$5=1,IF($P52=0,0,ROUND(S52/$P52*$E52,2)),Credits!F51)+Credits!L51</f>
        <v>16930.29</v>
      </c>
      <c r="X52" s="3">
        <f>IF($A$5=1,IF($P52=0,0,ROUND(T52/$P52*$E52,2)),Credits!G51)+Credits!M51</f>
        <v>0</v>
      </c>
      <c r="Y52" s="3">
        <f t="shared" si="17"/>
        <v>22586.480000000003</v>
      </c>
      <c r="AC52" s="4"/>
      <c r="AD52" s="4"/>
      <c r="AE52" s="2">
        <f t="shared" si="2"/>
        <v>0</v>
      </c>
      <c r="AF52" s="170" t="s">
        <v>1120</v>
      </c>
      <c r="AG52" s="175">
        <v>139</v>
      </c>
      <c r="AH52" s="175">
        <v>1</v>
      </c>
      <c r="AI52" s="175">
        <v>1</v>
      </c>
      <c r="AJ52" s="176">
        <v>0</v>
      </c>
      <c r="AK52" s="176">
        <v>0</v>
      </c>
      <c r="AL52" s="176">
        <v>196814.74</v>
      </c>
      <c r="AM52" s="176">
        <v>0</v>
      </c>
      <c r="AN52" s="177">
        <v>0</v>
      </c>
      <c r="AO52" s="177">
        <v>0</v>
      </c>
      <c r="AP52" s="177">
        <v>351604.6</v>
      </c>
      <c r="AQ52" s="177">
        <v>0</v>
      </c>
      <c r="AR52" s="177">
        <v>57660.6</v>
      </c>
      <c r="AS52" s="177">
        <v>0</v>
      </c>
      <c r="AT52" s="178">
        <v>1224919.1399999999</v>
      </c>
      <c r="AU52" s="178">
        <v>0</v>
      </c>
      <c r="AV52" s="178">
        <v>0</v>
      </c>
      <c r="AW52" s="179">
        <v>0</v>
      </c>
      <c r="AX52" s="180">
        <v>0</v>
      </c>
      <c r="AY52" s="180">
        <v>0</v>
      </c>
      <c r="AZ52" s="180">
        <v>0</v>
      </c>
      <c r="BA52" s="180">
        <v>0</v>
      </c>
      <c r="BB52" s="170">
        <f t="shared" si="18"/>
        <v>1830999.0799999998</v>
      </c>
      <c r="BC52" s="170">
        <v>1830999.08</v>
      </c>
      <c r="BD52" s="2">
        <f t="shared" si="19"/>
        <v>0</v>
      </c>
    </row>
    <row r="53" spans="1:56" ht="12" x14ac:dyDescent="0.2">
      <c r="A53" s="4">
        <v>146</v>
      </c>
      <c r="B53" s="4">
        <v>1</v>
      </c>
      <c r="C53" s="2" t="s">
        <v>48</v>
      </c>
      <c r="D53" s="3">
        <v>0</v>
      </c>
      <c r="E53" s="3">
        <v>0</v>
      </c>
      <c r="F53" s="227">
        <f t="shared" si="3"/>
        <v>520544</v>
      </c>
      <c r="G53" s="227">
        <f t="shared" si="4"/>
        <v>55173</v>
      </c>
      <c r="H53" s="227">
        <f t="shared" si="5"/>
        <v>0</v>
      </c>
      <c r="I53" s="227">
        <f t="shared" si="6"/>
        <v>232919</v>
      </c>
      <c r="J53" s="227">
        <f t="shared" si="7"/>
        <v>60463</v>
      </c>
      <c r="K53" s="227">
        <f t="shared" si="8"/>
        <v>0</v>
      </c>
      <c r="L53" s="227">
        <f t="shared" si="9"/>
        <v>0</v>
      </c>
      <c r="M53" s="3">
        <f t="shared" si="10"/>
        <v>0</v>
      </c>
      <c r="N53" s="227">
        <f t="shared" si="11"/>
        <v>0</v>
      </c>
      <c r="O53" s="142">
        <f t="shared" si="12"/>
        <v>869099</v>
      </c>
      <c r="P53" s="3">
        <f t="shared" si="20"/>
        <v>293382</v>
      </c>
      <c r="Q53" s="3">
        <f t="shared" si="13"/>
        <v>232919</v>
      </c>
      <c r="R53" s="3">
        <f t="shared" si="14"/>
        <v>60463</v>
      </c>
      <c r="S53" s="3">
        <f t="shared" si="15"/>
        <v>0</v>
      </c>
      <c r="T53" s="3">
        <f t="shared" si="16"/>
        <v>0</v>
      </c>
      <c r="U53" s="3">
        <f>IF($A$5=1,IF($P53=0,0,ROUND(Q53/$P53*$E53,2)),Credits!D52)+Credits!J52</f>
        <v>5540.92</v>
      </c>
      <c r="V53" s="3">
        <f>IF($A$5=1,IF($P53=0,0,ROUND(R53/$P53*$E53,2)),Credits!E52)+Credits!K52</f>
        <v>1438.4699999999998</v>
      </c>
      <c r="W53" s="3">
        <f>IF($A$5=1,IF($P53=0,0,ROUND(S53/$P53*$E53,2)),Credits!F52)+Credits!L52</f>
        <v>0</v>
      </c>
      <c r="X53" s="3">
        <f>IF($A$5=1,IF($P53=0,0,ROUND(T53/$P53*$E53,2)),Credits!G52)+Credits!M52</f>
        <v>0</v>
      </c>
      <c r="Y53" s="3">
        <f t="shared" si="17"/>
        <v>6979.3899999999994</v>
      </c>
      <c r="AC53" s="4"/>
      <c r="AD53" s="4"/>
      <c r="AE53" s="2">
        <f t="shared" si="2"/>
        <v>0</v>
      </c>
      <c r="AF53" s="170" t="s">
        <v>1120</v>
      </c>
      <c r="AG53" s="175">
        <v>146</v>
      </c>
      <c r="AH53" s="175">
        <v>1</v>
      </c>
      <c r="AI53" s="175">
        <v>1</v>
      </c>
      <c r="AJ53" s="176">
        <v>520544</v>
      </c>
      <c r="AK53" s="176">
        <v>0</v>
      </c>
      <c r="AL53" s="176">
        <v>55173</v>
      </c>
      <c r="AM53" s="176">
        <v>0</v>
      </c>
      <c r="AN53" s="177">
        <v>0</v>
      </c>
      <c r="AO53" s="177">
        <v>0</v>
      </c>
      <c r="AP53" s="177">
        <v>232919</v>
      </c>
      <c r="AQ53" s="177">
        <v>0</v>
      </c>
      <c r="AR53" s="177">
        <v>60463</v>
      </c>
      <c r="AS53" s="177">
        <v>0</v>
      </c>
      <c r="AT53" s="178">
        <v>0</v>
      </c>
      <c r="AU53" s="178">
        <v>0</v>
      </c>
      <c r="AV53" s="178">
        <v>0</v>
      </c>
      <c r="AW53" s="179">
        <v>0</v>
      </c>
      <c r="AX53" s="180">
        <v>0</v>
      </c>
      <c r="AY53" s="180">
        <v>0</v>
      </c>
      <c r="AZ53" s="180">
        <v>0</v>
      </c>
      <c r="BA53" s="180">
        <v>0</v>
      </c>
      <c r="BB53" s="170">
        <f t="shared" si="18"/>
        <v>869099</v>
      </c>
      <c r="BC53" s="170">
        <v>869099.25</v>
      </c>
      <c r="BD53" s="2">
        <f t="shared" si="19"/>
        <v>-0.25</v>
      </c>
    </row>
    <row r="54" spans="1:56" ht="12" x14ac:dyDescent="0.2">
      <c r="A54" s="4">
        <v>150</v>
      </c>
      <c r="B54" s="4">
        <v>1</v>
      </c>
      <c r="C54" s="2" t="s">
        <v>49</v>
      </c>
      <c r="D54" s="3">
        <v>0</v>
      </c>
      <c r="E54" s="3">
        <v>0</v>
      </c>
      <c r="F54" s="227">
        <f t="shared" si="3"/>
        <v>202860</v>
      </c>
      <c r="G54" s="227">
        <f t="shared" si="4"/>
        <v>51746</v>
      </c>
      <c r="H54" s="227">
        <f t="shared" si="5"/>
        <v>0</v>
      </c>
      <c r="I54" s="227">
        <f t="shared" si="6"/>
        <v>166970</v>
      </c>
      <c r="J54" s="227">
        <f t="shared" si="7"/>
        <v>44848</v>
      </c>
      <c r="K54" s="227">
        <f t="shared" si="8"/>
        <v>874983</v>
      </c>
      <c r="L54" s="227">
        <f t="shared" si="9"/>
        <v>0</v>
      </c>
      <c r="M54" s="3">
        <f t="shared" si="10"/>
        <v>0</v>
      </c>
      <c r="N54" s="227">
        <f t="shared" si="11"/>
        <v>0</v>
      </c>
      <c r="O54" s="142">
        <f t="shared" si="12"/>
        <v>1341407</v>
      </c>
      <c r="P54" s="3">
        <f t="shared" si="20"/>
        <v>1086801</v>
      </c>
      <c r="Q54" s="3">
        <f t="shared" si="13"/>
        <v>166970</v>
      </c>
      <c r="R54" s="3">
        <f t="shared" si="14"/>
        <v>44848</v>
      </c>
      <c r="S54" s="3">
        <f t="shared" si="15"/>
        <v>874983</v>
      </c>
      <c r="T54" s="3">
        <f t="shared" si="16"/>
        <v>0</v>
      </c>
      <c r="U54" s="3">
        <f>IF($A$5=1,IF($P54=0,0,ROUND(Q54/$P54*$E54,2)),Credits!D53)+Credits!J53</f>
        <v>2602.0299999999997</v>
      </c>
      <c r="V54" s="3">
        <f>IF($A$5=1,IF($P54=0,0,ROUND(R54/$P54*$E54,2)),Credits!E53)+Credits!K53</f>
        <v>698.74</v>
      </c>
      <c r="W54" s="3">
        <f>IF($A$5=1,IF($P54=0,0,ROUND(S54/$P54*$E54,2)),Credits!F53)+Credits!L53</f>
        <v>13635.87</v>
      </c>
      <c r="X54" s="3">
        <f>IF($A$5=1,IF($P54=0,0,ROUND(T54/$P54*$E54,2)),Credits!G53)+Credits!M53</f>
        <v>0</v>
      </c>
      <c r="Y54" s="3">
        <f t="shared" si="17"/>
        <v>16936.64</v>
      </c>
      <c r="AC54" s="4"/>
      <c r="AD54" s="4"/>
      <c r="AE54" s="2">
        <f t="shared" si="2"/>
        <v>0</v>
      </c>
      <c r="AF54" s="170" t="s">
        <v>1120</v>
      </c>
      <c r="AG54" s="175">
        <v>150</v>
      </c>
      <c r="AH54" s="175">
        <v>1</v>
      </c>
      <c r="AI54" s="175">
        <v>1</v>
      </c>
      <c r="AJ54" s="176">
        <v>202860</v>
      </c>
      <c r="AK54" s="176">
        <v>0</v>
      </c>
      <c r="AL54" s="176">
        <v>51746</v>
      </c>
      <c r="AM54" s="176">
        <v>0</v>
      </c>
      <c r="AN54" s="177">
        <v>0</v>
      </c>
      <c r="AO54" s="177">
        <v>0</v>
      </c>
      <c r="AP54" s="177">
        <v>166970</v>
      </c>
      <c r="AQ54" s="177">
        <v>0</v>
      </c>
      <c r="AR54" s="177">
        <v>44848</v>
      </c>
      <c r="AS54" s="177">
        <v>0</v>
      </c>
      <c r="AT54" s="178">
        <v>874983</v>
      </c>
      <c r="AU54" s="178">
        <v>0</v>
      </c>
      <c r="AV54" s="178">
        <v>0</v>
      </c>
      <c r="AW54" s="179">
        <v>0</v>
      </c>
      <c r="AX54" s="180">
        <v>0</v>
      </c>
      <c r="AY54" s="180">
        <v>0</v>
      </c>
      <c r="AZ54" s="180">
        <v>0</v>
      </c>
      <c r="BA54" s="180">
        <v>0</v>
      </c>
      <c r="BB54" s="170">
        <f t="shared" si="18"/>
        <v>1341407</v>
      </c>
      <c r="BC54" s="170">
        <v>1341406.3500000001</v>
      </c>
      <c r="BD54" s="2">
        <f t="shared" si="19"/>
        <v>0.64999999990686774</v>
      </c>
    </row>
    <row r="55" spans="1:56" ht="12" x14ac:dyDescent="0.2">
      <c r="A55" s="4">
        <v>152</v>
      </c>
      <c r="B55" s="4">
        <v>1</v>
      </c>
      <c r="C55" s="2" t="s">
        <v>50</v>
      </c>
      <c r="D55" s="3">
        <v>0</v>
      </c>
      <c r="E55" s="3">
        <v>0</v>
      </c>
      <c r="F55" s="227">
        <f t="shared" si="3"/>
        <v>2890453</v>
      </c>
      <c r="G55" s="227">
        <f t="shared" si="4"/>
        <v>1709461</v>
      </c>
      <c r="H55" s="227">
        <f t="shared" si="5"/>
        <v>0</v>
      </c>
      <c r="I55" s="227">
        <f t="shared" si="6"/>
        <v>1715175</v>
      </c>
      <c r="J55" s="227">
        <f t="shared" si="7"/>
        <v>455014</v>
      </c>
      <c r="K55" s="227">
        <f t="shared" si="8"/>
        <v>5183174</v>
      </c>
      <c r="L55" s="227">
        <f t="shared" si="9"/>
        <v>0</v>
      </c>
      <c r="M55" s="3">
        <f t="shared" si="10"/>
        <v>0</v>
      </c>
      <c r="N55" s="227">
        <f t="shared" si="11"/>
        <v>1548844</v>
      </c>
      <c r="O55" s="142">
        <f t="shared" si="12"/>
        <v>13502121</v>
      </c>
      <c r="P55" s="3">
        <f t="shared" si="20"/>
        <v>8902207</v>
      </c>
      <c r="Q55" s="3">
        <f t="shared" si="13"/>
        <v>1715175</v>
      </c>
      <c r="R55" s="3">
        <f t="shared" si="14"/>
        <v>455014</v>
      </c>
      <c r="S55" s="3">
        <f t="shared" si="15"/>
        <v>5183174</v>
      </c>
      <c r="T55" s="3">
        <f t="shared" si="16"/>
        <v>1548844</v>
      </c>
      <c r="U55" s="3">
        <f>IF($A$5=1,IF($P55=0,0,ROUND(Q55/$P55*$E55,2)),Credits!D54)+Credits!J54</f>
        <v>312144.82000000007</v>
      </c>
      <c r="V55" s="3">
        <f>IF($A$5=1,IF($P55=0,0,ROUND(R55/$P55*$E55,2)),Credits!E54)+Credits!K54</f>
        <v>82829.73000000001</v>
      </c>
      <c r="W55" s="3">
        <f>IF($A$5=1,IF($P55=0,0,ROUND(S55/$P55*$E55,2)),Credits!F54)+Credits!L54</f>
        <v>938976.18</v>
      </c>
      <c r="X55" s="3">
        <f>IF($A$5=1,IF($P55=0,0,ROUND(T55/$P55*$E55,2)),Credits!G54)+Credits!M54</f>
        <v>280593.24999999988</v>
      </c>
      <c r="Y55" s="3">
        <f t="shared" si="17"/>
        <v>1614543.98</v>
      </c>
      <c r="AC55" s="4"/>
      <c r="AD55" s="4"/>
      <c r="AE55" s="2">
        <f t="shared" si="2"/>
        <v>0</v>
      </c>
      <c r="AF55" s="170" t="s">
        <v>1120</v>
      </c>
      <c r="AG55" s="175">
        <v>152</v>
      </c>
      <c r="AH55" s="175">
        <v>1</v>
      </c>
      <c r="AI55" s="175">
        <v>1</v>
      </c>
      <c r="AJ55" s="176">
        <v>2890453</v>
      </c>
      <c r="AK55" s="176">
        <v>0</v>
      </c>
      <c r="AL55" s="176">
        <v>1709461</v>
      </c>
      <c r="AM55" s="176">
        <v>0</v>
      </c>
      <c r="AN55" s="177">
        <v>0</v>
      </c>
      <c r="AO55" s="177">
        <v>0</v>
      </c>
      <c r="AP55" s="177">
        <v>1715175</v>
      </c>
      <c r="AQ55" s="177">
        <v>0</v>
      </c>
      <c r="AR55" s="177">
        <v>455014</v>
      </c>
      <c r="AS55" s="177">
        <v>0</v>
      </c>
      <c r="AT55" s="178">
        <v>5183174</v>
      </c>
      <c r="AU55" s="178">
        <v>0</v>
      </c>
      <c r="AV55" s="178">
        <v>0</v>
      </c>
      <c r="AW55" s="179">
        <v>0</v>
      </c>
      <c r="AX55" s="180">
        <v>0</v>
      </c>
      <c r="AY55" s="180">
        <v>0</v>
      </c>
      <c r="AZ55" s="180">
        <v>1548844</v>
      </c>
      <c r="BA55" s="180">
        <v>0</v>
      </c>
      <c r="BB55" s="170">
        <f t="shared" si="18"/>
        <v>13502121</v>
      </c>
      <c r="BC55" s="170">
        <v>13502121.939999999</v>
      </c>
      <c r="BD55" s="2">
        <f t="shared" si="19"/>
        <v>-0.93999999947845936</v>
      </c>
    </row>
    <row r="56" spans="1:56" ht="12" x14ac:dyDescent="0.2">
      <c r="A56" s="4">
        <v>162</v>
      </c>
      <c r="B56" s="4">
        <v>1</v>
      </c>
      <c r="C56" s="2" t="s">
        <v>51</v>
      </c>
      <c r="D56" s="3">
        <v>0</v>
      </c>
      <c r="E56" s="3">
        <v>0</v>
      </c>
      <c r="F56" s="227">
        <f t="shared" si="3"/>
        <v>0</v>
      </c>
      <c r="G56" s="227">
        <f t="shared" si="4"/>
        <v>182697</v>
      </c>
      <c r="H56" s="227">
        <f t="shared" si="5"/>
        <v>0</v>
      </c>
      <c r="I56" s="227">
        <f t="shared" si="6"/>
        <v>669370</v>
      </c>
      <c r="J56" s="227">
        <f t="shared" si="7"/>
        <v>59824</v>
      </c>
      <c r="K56" s="227">
        <f t="shared" si="8"/>
        <v>0</v>
      </c>
      <c r="L56" s="227">
        <f t="shared" si="9"/>
        <v>309191</v>
      </c>
      <c r="M56" s="3">
        <f t="shared" si="10"/>
        <v>0</v>
      </c>
      <c r="N56" s="227">
        <f t="shared" si="11"/>
        <v>0</v>
      </c>
      <c r="O56" s="142">
        <f t="shared" si="12"/>
        <v>1221082</v>
      </c>
      <c r="P56" s="3">
        <f t="shared" si="20"/>
        <v>1038385</v>
      </c>
      <c r="Q56" s="3">
        <f t="shared" si="13"/>
        <v>669370</v>
      </c>
      <c r="R56" s="3">
        <f t="shared" si="14"/>
        <v>59824</v>
      </c>
      <c r="S56" s="3">
        <f t="shared" si="15"/>
        <v>309191</v>
      </c>
      <c r="T56" s="3">
        <f t="shared" si="16"/>
        <v>0</v>
      </c>
      <c r="U56" s="3">
        <f>IF($A$5=1,IF($P56=0,0,ROUND(Q56/$P56*$E56,2)),Credits!D55)+Credits!J55</f>
        <v>45774.240000000005</v>
      </c>
      <c r="V56" s="3">
        <f>IF($A$5=1,IF($P56=0,0,ROUND(R56/$P56*$E56,2)),Credits!E55)+Credits!K55</f>
        <v>4091.55</v>
      </c>
      <c r="W56" s="3">
        <f>IF($A$5=1,IF($P56=0,0,ROUND(S56/$P56*$E56,2)),Credits!F55)+Credits!L55</f>
        <v>21102.870000000003</v>
      </c>
      <c r="X56" s="3">
        <f>IF($A$5=1,IF($P56=0,0,ROUND(T56/$P56*$E56,2)),Credits!G55)+Credits!M55</f>
        <v>0</v>
      </c>
      <c r="Y56" s="3">
        <f t="shared" si="17"/>
        <v>70968.66</v>
      </c>
      <c r="AC56" s="4"/>
      <c r="AD56" s="4"/>
      <c r="AE56" s="2">
        <f t="shared" si="2"/>
        <v>0</v>
      </c>
      <c r="AF56" s="170" t="s">
        <v>1120</v>
      </c>
      <c r="AG56" s="175">
        <v>162</v>
      </c>
      <c r="AH56" s="175">
        <v>1</v>
      </c>
      <c r="AI56" s="175">
        <v>1</v>
      </c>
      <c r="AJ56" s="176">
        <v>0</v>
      </c>
      <c r="AK56" s="176">
        <v>0</v>
      </c>
      <c r="AL56" s="176">
        <v>182697</v>
      </c>
      <c r="AM56" s="176">
        <v>0</v>
      </c>
      <c r="AN56" s="177">
        <v>0</v>
      </c>
      <c r="AO56" s="177">
        <v>0</v>
      </c>
      <c r="AP56" s="177">
        <v>669370</v>
      </c>
      <c r="AQ56" s="177">
        <v>0</v>
      </c>
      <c r="AR56" s="177">
        <v>59824</v>
      </c>
      <c r="AS56" s="177">
        <v>0</v>
      </c>
      <c r="AT56" s="178">
        <v>0</v>
      </c>
      <c r="AU56" s="178">
        <v>0</v>
      </c>
      <c r="AV56" s="178">
        <v>309191</v>
      </c>
      <c r="AW56" s="179">
        <v>0</v>
      </c>
      <c r="AX56" s="180">
        <v>0</v>
      </c>
      <c r="AY56" s="180">
        <v>0</v>
      </c>
      <c r="AZ56" s="180">
        <v>0</v>
      </c>
      <c r="BA56" s="180">
        <v>0</v>
      </c>
      <c r="BB56" s="170">
        <f t="shared" si="18"/>
        <v>1221082</v>
      </c>
      <c r="BC56" s="170">
        <v>1221082.57</v>
      </c>
      <c r="BD56" s="2">
        <f t="shared" si="19"/>
        <v>-0.57000000006519258</v>
      </c>
    </row>
    <row r="57" spans="1:56" ht="12" x14ac:dyDescent="0.2">
      <c r="A57" s="4">
        <v>166</v>
      </c>
      <c r="B57" s="4">
        <v>1</v>
      </c>
      <c r="C57" s="2" t="s">
        <v>52</v>
      </c>
      <c r="D57" s="3">
        <v>0</v>
      </c>
      <c r="E57" s="3">
        <v>0</v>
      </c>
      <c r="F57" s="227">
        <f t="shared" si="3"/>
        <v>427257.25</v>
      </c>
      <c r="G57" s="227">
        <f t="shared" si="4"/>
        <v>0</v>
      </c>
      <c r="H57" s="227">
        <f t="shared" si="5"/>
        <v>0</v>
      </c>
      <c r="I57" s="227">
        <f t="shared" si="6"/>
        <v>58578.36</v>
      </c>
      <c r="J57" s="227">
        <f t="shared" si="7"/>
        <v>0</v>
      </c>
      <c r="K57" s="227">
        <f t="shared" si="8"/>
        <v>215729.66</v>
      </c>
      <c r="L57" s="227">
        <f t="shared" si="9"/>
        <v>280945.21000000002</v>
      </c>
      <c r="M57" s="3">
        <f t="shared" si="10"/>
        <v>0</v>
      </c>
      <c r="N57" s="227">
        <f t="shared" si="11"/>
        <v>81334.009999999995</v>
      </c>
      <c r="O57" s="142">
        <f t="shared" si="12"/>
        <v>1063844.49</v>
      </c>
      <c r="P57" s="3">
        <f t="shared" si="20"/>
        <v>636587.24</v>
      </c>
      <c r="Q57" s="3">
        <f t="shared" si="13"/>
        <v>58578.36</v>
      </c>
      <c r="R57" s="3">
        <f t="shared" si="14"/>
        <v>0</v>
      </c>
      <c r="S57" s="3">
        <f t="shared" si="15"/>
        <v>496674.87</v>
      </c>
      <c r="T57" s="3">
        <f t="shared" si="16"/>
        <v>81334.009999999995</v>
      </c>
      <c r="U57" s="3">
        <f>IF($A$5=1,IF($P57=0,0,ROUND(Q57/$P57*$E57,2)),Credits!D56)+Credits!J56</f>
        <v>3503.55</v>
      </c>
      <c r="V57" s="3">
        <f>IF($A$5=1,IF($P57=0,0,ROUND(R57/$P57*$E57,2)),Credits!E56)+Credits!K56</f>
        <v>0</v>
      </c>
      <c r="W57" s="3">
        <f>IF($A$5=1,IF($P57=0,0,ROUND(S57/$P57*$E57,2)),Credits!F56)+Credits!L56</f>
        <v>29593.86</v>
      </c>
      <c r="X57" s="3">
        <f>IF($A$5=1,IF($P57=0,0,ROUND(T57/$P57*$E57,2)),Credits!G56)+Credits!M56</f>
        <v>4846.09</v>
      </c>
      <c r="Y57" s="3">
        <f t="shared" si="17"/>
        <v>37943.5</v>
      </c>
      <c r="AC57" s="4"/>
      <c r="AD57" s="4"/>
      <c r="AE57" s="2">
        <f t="shared" si="2"/>
        <v>0</v>
      </c>
      <c r="AF57" s="170" t="s">
        <v>1120</v>
      </c>
      <c r="AG57" s="175">
        <v>166</v>
      </c>
      <c r="AH57" s="175">
        <v>1</v>
      </c>
      <c r="AI57" s="175">
        <v>1</v>
      </c>
      <c r="AJ57" s="176">
        <v>429650.32</v>
      </c>
      <c r="AK57" s="176">
        <v>-2393.0700000000002</v>
      </c>
      <c r="AL57" s="176">
        <v>56185.29</v>
      </c>
      <c r="AM57" s="176">
        <v>-56185.29</v>
      </c>
      <c r="AN57" s="177">
        <v>0</v>
      </c>
      <c r="AO57" s="177">
        <v>0</v>
      </c>
      <c r="AP57" s="177">
        <v>0</v>
      </c>
      <c r="AQ57" s="177">
        <v>58578.36</v>
      </c>
      <c r="AR57" s="177">
        <v>0</v>
      </c>
      <c r="AS57" s="177">
        <v>0</v>
      </c>
      <c r="AT57" s="178">
        <v>215729.66</v>
      </c>
      <c r="AU57" s="178">
        <v>0</v>
      </c>
      <c r="AV57" s="178">
        <v>280945.21000000002</v>
      </c>
      <c r="AW57" s="179">
        <v>0</v>
      </c>
      <c r="AX57" s="180">
        <v>0</v>
      </c>
      <c r="AY57" s="180">
        <v>0</v>
      </c>
      <c r="AZ57" s="180">
        <v>81334.009999999995</v>
      </c>
      <c r="BA57" s="180">
        <v>0</v>
      </c>
      <c r="BB57" s="170">
        <f t="shared" si="18"/>
        <v>1063844.49</v>
      </c>
      <c r="BC57" s="170">
        <v>1063844.49</v>
      </c>
      <c r="BD57" s="2">
        <f t="shared" si="19"/>
        <v>0</v>
      </c>
    </row>
    <row r="58" spans="1:56" ht="12" x14ac:dyDescent="0.2">
      <c r="A58" s="4">
        <v>173</v>
      </c>
      <c r="B58" s="4">
        <v>1</v>
      </c>
      <c r="C58" s="2" t="s">
        <v>53</v>
      </c>
      <c r="D58" s="3">
        <v>0</v>
      </c>
      <c r="E58" s="3">
        <v>0</v>
      </c>
      <c r="F58" s="227">
        <f t="shared" si="3"/>
        <v>535066</v>
      </c>
      <c r="G58" s="227">
        <f t="shared" si="4"/>
        <v>14792</v>
      </c>
      <c r="H58" s="227">
        <f t="shared" si="5"/>
        <v>0</v>
      </c>
      <c r="I58" s="227">
        <f t="shared" si="6"/>
        <v>252586</v>
      </c>
      <c r="J58" s="227">
        <f t="shared" si="7"/>
        <v>54724</v>
      </c>
      <c r="K58" s="227">
        <f t="shared" si="8"/>
        <v>0</v>
      </c>
      <c r="L58" s="227">
        <f t="shared" si="9"/>
        <v>0</v>
      </c>
      <c r="M58" s="3">
        <f t="shared" si="10"/>
        <v>0</v>
      </c>
      <c r="N58" s="227">
        <f t="shared" si="11"/>
        <v>0</v>
      </c>
      <c r="O58" s="142">
        <f t="shared" si="12"/>
        <v>857168</v>
      </c>
      <c r="P58" s="3">
        <f t="shared" si="20"/>
        <v>307310</v>
      </c>
      <c r="Q58" s="3">
        <f t="shared" si="13"/>
        <v>252586</v>
      </c>
      <c r="R58" s="3">
        <f t="shared" si="14"/>
        <v>54724</v>
      </c>
      <c r="S58" s="3">
        <f t="shared" si="15"/>
        <v>0</v>
      </c>
      <c r="T58" s="3">
        <f t="shared" si="16"/>
        <v>0</v>
      </c>
      <c r="U58" s="3">
        <f>IF($A$5=1,IF($P58=0,0,ROUND(Q58/$P58*$E58,2)),Credits!D57)+Credits!J57</f>
        <v>20050.27</v>
      </c>
      <c r="V58" s="3">
        <f>IF($A$5=1,IF($P58=0,0,ROUND(R58/$P58*$E58,2)),Credits!E57)+Credits!K57</f>
        <v>4347.0200000000004</v>
      </c>
      <c r="W58" s="3">
        <f>IF($A$5=1,IF($P58=0,0,ROUND(S58/$P58*$E58,2)),Credits!F57)+Credits!L57</f>
        <v>0</v>
      </c>
      <c r="X58" s="3">
        <f>IF($A$5=1,IF($P58=0,0,ROUND(T58/$P58*$E58,2)),Credits!G57)+Credits!M57</f>
        <v>0</v>
      </c>
      <c r="Y58" s="3">
        <f t="shared" si="17"/>
        <v>24397.29</v>
      </c>
      <c r="AC58" s="4"/>
      <c r="AD58" s="4"/>
      <c r="AE58" s="2">
        <f t="shared" si="2"/>
        <v>0</v>
      </c>
      <c r="AF58" s="170" t="s">
        <v>1120</v>
      </c>
      <c r="AG58" s="175">
        <v>173</v>
      </c>
      <c r="AH58" s="175">
        <v>1</v>
      </c>
      <c r="AI58" s="175">
        <v>1</v>
      </c>
      <c r="AJ58" s="176">
        <v>535066</v>
      </c>
      <c r="AK58" s="176">
        <v>0</v>
      </c>
      <c r="AL58" s="176">
        <v>14792</v>
      </c>
      <c r="AM58" s="176">
        <v>0</v>
      </c>
      <c r="AN58" s="177">
        <v>0</v>
      </c>
      <c r="AO58" s="177">
        <v>0</v>
      </c>
      <c r="AP58" s="177">
        <v>252586</v>
      </c>
      <c r="AQ58" s="177">
        <v>0</v>
      </c>
      <c r="AR58" s="177">
        <v>54724</v>
      </c>
      <c r="AS58" s="177">
        <v>0</v>
      </c>
      <c r="AT58" s="178">
        <v>0</v>
      </c>
      <c r="AU58" s="178">
        <v>0</v>
      </c>
      <c r="AV58" s="178">
        <v>0</v>
      </c>
      <c r="AW58" s="179">
        <v>0</v>
      </c>
      <c r="AX58" s="180">
        <v>0</v>
      </c>
      <c r="AY58" s="180">
        <v>0</v>
      </c>
      <c r="AZ58" s="180">
        <v>0</v>
      </c>
      <c r="BA58" s="180">
        <v>0</v>
      </c>
      <c r="BB58" s="170">
        <f t="shared" si="18"/>
        <v>857168</v>
      </c>
      <c r="BC58" s="170">
        <v>857167.23</v>
      </c>
      <c r="BD58" s="2">
        <f t="shared" si="19"/>
        <v>0.77000000001862645</v>
      </c>
    </row>
    <row r="59" spans="1:56" ht="12" x14ac:dyDescent="0.2">
      <c r="A59" s="4">
        <v>177</v>
      </c>
      <c r="B59" s="4">
        <v>1</v>
      </c>
      <c r="C59" s="2" t="s">
        <v>54</v>
      </c>
      <c r="D59" s="3">
        <v>0</v>
      </c>
      <c r="E59" s="3">
        <v>0</v>
      </c>
      <c r="F59" s="227">
        <f t="shared" si="3"/>
        <v>1012244</v>
      </c>
      <c r="G59" s="227">
        <f t="shared" si="4"/>
        <v>59556</v>
      </c>
      <c r="H59" s="227">
        <f t="shared" si="5"/>
        <v>0</v>
      </c>
      <c r="I59" s="227">
        <f t="shared" si="6"/>
        <v>413444</v>
      </c>
      <c r="J59" s="227">
        <f t="shared" si="7"/>
        <v>87180</v>
      </c>
      <c r="K59" s="227">
        <f t="shared" si="8"/>
        <v>1126273</v>
      </c>
      <c r="L59" s="227">
        <f t="shared" si="9"/>
        <v>0</v>
      </c>
      <c r="M59" s="3">
        <f t="shared" si="10"/>
        <v>0</v>
      </c>
      <c r="N59" s="227">
        <f t="shared" si="11"/>
        <v>0</v>
      </c>
      <c r="O59" s="142">
        <f t="shared" si="12"/>
        <v>2698697</v>
      </c>
      <c r="P59" s="3">
        <f t="shared" si="20"/>
        <v>1626897</v>
      </c>
      <c r="Q59" s="3">
        <f t="shared" si="13"/>
        <v>413444</v>
      </c>
      <c r="R59" s="3">
        <f t="shared" si="14"/>
        <v>87180</v>
      </c>
      <c r="S59" s="3">
        <f t="shared" si="15"/>
        <v>1126273</v>
      </c>
      <c r="T59" s="3">
        <f t="shared" si="16"/>
        <v>0</v>
      </c>
      <c r="U59" s="3">
        <f>IF($A$5=1,IF($P59=0,0,ROUND(Q59/$P59*$E59,2)),Credits!D58)+Credits!J58</f>
        <v>16381.93</v>
      </c>
      <c r="V59" s="3">
        <f>IF($A$5=1,IF($P59=0,0,ROUND(R59/$P59*$E59,2)),Credits!E58)+Credits!K58</f>
        <v>2821.0299999999997</v>
      </c>
      <c r="W59" s="3">
        <f>IF($A$5=1,IF($P59=0,0,ROUND(S59/$P59*$E59,2)),Credits!F58)+Credits!L58</f>
        <v>36442.759999999995</v>
      </c>
      <c r="X59" s="3">
        <f>IF($A$5=1,IF($P59=0,0,ROUND(T59/$P59*$E59,2)),Credits!G58)+Credits!M58</f>
        <v>0</v>
      </c>
      <c r="Y59" s="3">
        <f t="shared" si="17"/>
        <v>55645.719999999994</v>
      </c>
      <c r="AC59" s="4"/>
      <c r="AD59" s="4"/>
      <c r="AE59" s="2">
        <f t="shared" si="2"/>
        <v>0</v>
      </c>
      <c r="AF59" s="170" t="s">
        <v>1120</v>
      </c>
      <c r="AG59" s="175">
        <v>177</v>
      </c>
      <c r="AH59" s="175">
        <v>1</v>
      </c>
      <c r="AI59" s="175">
        <v>1</v>
      </c>
      <c r="AJ59" s="176">
        <v>1012244</v>
      </c>
      <c r="AK59" s="176">
        <v>0</v>
      </c>
      <c r="AL59" s="176">
        <v>59556</v>
      </c>
      <c r="AM59" s="176">
        <v>0</v>
      </c>
      <c r="AN59" s="177">
        <v>0</v>
      </c>
      <c r="AO59" s="177">
        <v>0</v>
      </c>
      <c r="AP59" s="177">
        <v>413444</v>
      </c>
      <c r="AQ59" s="177">
        <v>0</v>
      </c>
      <c r="AR59" s="177">
        <v>87180</v>
      </c>
      <c r="AS59" s="177">
        <v>0</v>
      </c>
      <c r="AT59" s="178">
        <v>1126273</v>
      </c>
      <c r="AU59" s="178">
        <v>0</v>
      </c>
      <c r="AV59" s="178">
        <v>0</v>
      </c>
      <c r="AW59" s="179">
        <v>0</v>
      </c>
      <c r="AX59" s="180">
        <v>0</v>
      </c>
      <c r="AY59" s="180">
        <v>0</v>
      </c>
      <c r="AZ59" s="180">
        <v>0</v>
      </c>
      <c r="BA59" s="180">
        <v>0</v>
      </c>
      <c r="BB59" s="170">
        <f t="shared" si="18"/>
        <v>2698697</v>
      </c>
      <c r="BC59" s="170">
        <v>2698698.55</v>
      </c>
      <c r="BD59" s="2">
        <f t="shared" si="19"/>
        <v>-1.5499999998137355</v>
      </c>
    </row>
    <row r="60" spans="1:56" ht="12" x14ac:dyDescent="0.2">
      <c r="A60" s="4">
        <v>181</v>
      </c>
      <c r="B60" s="4">
        <v>1</v>
      </c>
      <c r="C60" s="2" t="s">
        <v>55</v>
      </c>
      <c r="D60" s="3">
        <v>0</v>
      </c>
      <c r="E60" s="3">
        <v>0</v>
      </c>
      <c r="F60" s="227">
        <f t="shared" si="3"/>
        <v>1076533.6200000001</v>
      </c>
      <c r="G60" s="227">
        <f t="shared" si="4"/>
        <v>2671921.9500000002</v>
      </c>
      <c r="H60" s="227">
        <f t="shared" si="5"/>
        <v>0</v>
      </c>
      <c r="I60" s="227">
        <f t="shared" si="6"/>
        <v>3385930.92</v>
      </c>
      <c r="J60" s="227">
        <f t="shared" si="7"/>
        <v>586259.86</v>
      </c>
      <c r="K60" s="227">
        <f t="shared" si="8"/>
        <v>6054908.3499999996</v>
      </c>
      <c r="L60" s="227">
        <f t="shared" si="9"/>
        <v>168513.09</v>
      </c>
      <c r="M60" s="3">
        <f t="shared" si="10"/>
        <v>0</v>
      </c>
      <c r="N60" s="227">
        <f t="shared" si="11"/>
        <v>2667598.04</v>
      </c>
      <c r="O60" s="142">
        <f t="shared" si="12"/>
        <v>16611665.829999998</v>
      </c>
      <c r="P60" s="3">
        <f t="shared" si="20"/>
        <v>12863210.259999998</v>
      </c>
      <c r="Q60" s="3">
        <f t="shared" si="13"/>
        <v>3385930.92</v>
      </c>
      <c r="R60" s="3">
        <f t="shared" si="14"/>
        <v>586259.86</v>
      </c>
      <c r="S60" s="3">
        <f t="shared" si="15"/>
        <v>6223421.4399999995</v>
      </c>
      <c r="T60" s="3">
        <f t="shared" si="16"/>
        <v>2667598.04</v>
      </c>
      <c r="U60" s="3">
        <f>IF($A$5=1,IF($P60=0,0,ROUND(Q60/$P60*$E60,2)),Credits!D59)+Credits!J59</f>
        <v>16516.559999999998</v>
      </c>
      <c r="V60" s="3">
        <f>IF($A$5=1,IF($P60=0,0,ROUND(R60/$P60*$E60,2)),Credits!E59)+Credits!K59</f>
        <v>2860.7700000000004</v>
      </c>
      <c r="W60" s="3">
        <f>IF($A$5=1,IF($P60=0,0,ROUND(S60/$P60*$E60,2)),Credits!F59)+Credits!L59</f>
        <v>30303.03</v>
      </c>
      <c r="X60" s="3">
        <f>IF($A$5=1,IF($P60=0,0,ROUND(T60/$P60*$E60,2)),Credits!G59)+Credits!M59</f>
        <v>12990.219999999998</v>
      </c>
      <c r="Y60" s="3">
        <f t="shared" si="17"/>
        <v>62670.58</v>
      </c>
      <c r="AC60" s="4"/>
      <c r="AD60" s="4"/>
      <c r="AE60" s="2">
        <f t="shared" si="2"/>
        <v>0</v>
      </c>
      <c r="AF60" s="170" t="s">
        <v>1120</v>
      </c>
      <c r="AG60" s="175">
        <v>181</v>
      </c>
      <c r="AH60" s="175">
        <v>1</v>
      </c>
      <c r="AI60" s="175">
        <v>1</v>
      </c>
      <c r="AJ60" s="176">
        <v>1076533.6200000001</v>
      </c>
      <c r="AK60" s="176">
        <v>0</v>
      </c>
      <c r="AL60" s="176">
        <v>2671921.9500000002</v>
      </c>
      <c r="AM60" s="176">
        <v>0</v>
      </c>
      <c r="AN60" s="177">
        <v>0</v>
      </c>
      <c r="AO60" s="177">
        <v>0</v>
      </c>
      <c r="AP60" s="177">
        <v>3385930.92</v>
      </c>
      <c r="AQ60" s="177">
        <v>0</v>
      </c>
      <c r="AR60" s="177">
        <v>586259.86</v>
      </c>
      <c r="AS60" s="177">
        <v>0</v>
      </c>
      <c r="AT60" s="178">
        <v>6054908.3499999996</v>
      </c>
      <c r="AU60" s="178">
        <v>0</v>
      </c>
      <c r="AV60" s="178">
        <v>168513.09</v>
      </c>
      <c r="AW60" s="179">
        <v>0</v>
      </c>
      <c r="AX60" s="180">
        <v>0</v>
      </c>
      <c r="AY60" s="180">
        <v>0</v>
      </c>
      <c r="AZ60" s="180">
        <v>2667598.04</v>
      </c>
      <c r="BA60" s="180">
        <v>0</v>
      </c>
      <c r="BB60" s="170">
        <f t="shared" si="18"/>
        <v>16611665.829999998</v>
      </c>
      <c r="BC60" s="170">
        <v>16611665.83</v>
      </c>
      <c r="BD60" s="2">
        <f t="shared" si="19"/>
        <v>0</v>
      </c>
    </row>
    <row r="61" spans="1:56" ht="12" x14ac:dyDescent="0.2">
      <c r="A61" s="4">
        <v>182</v>
      </c>
      <c r="B61" s="4">
        <v>1</v>
      </c>
      <c r="C61" s="2" t="s">
        <v>56</v>
      </c>
      <c r="D61" s="3">
        <v>0</v>
      </c>
      <c r="E61" s="3">
        <v>0</v>
      </c>
      <c r="F61" s="227">
        <f t="shared" si="3"/>
        <v>271224.15999999997</v>
      </c>
      <c r="G61" s="227">
        <f t="shared" si="4"/>
        <v>406446.7</v>
      </c>
      <c r="H61" s="227">
        <f t="shared" si="5"/>
        <v>0</v>
      </c>
      <c r="I61" s="227">
        <f t="shared" si="6"/>
        <v>558748.25</v>
      </c>
      <c r="J61" s="227">
        <f t="shared" si="7"/>
        <v>0</v>
      </c>
      <c r="K61" s="227">
        <f t="shared" si="8"/>
        <v>1569294.21</v>
      </c>
      <c r="L61" s="227">
        <f t="shared" si="9"/>
        <v>0</v>
      </c>
      <c r="M61" s="3">
        <f t="shared" si="10"/>
        <v>0</v>
      </c>
      <c r="N61" s="227">
        <f t="shared" si="11"/>
        <v>671041.44999999995</v>
      </c>
      <c r="O61" s="142">
        <f t="shared" si="12"/>
        <v>3476754.7699999996</v>
      </c>
      <c r="P61" s="3">
        <f t="shared" si="20"/>
        <v>2799083.91</v>
      </c>
      <c r="Q61" s="3">
        <f t="shared" si="13"/>
        <v>558748.25</v>
      </c>
      <c r="R61" s="3">
        <f t="shared" si="14"/>
        <v>0</v>
      </c>
      <c r="S61" s="3">
        <f t="shared" si="15"/>
        <v>1569294.21</v>
      </c>
      <c r="T61" s="3">
        <f t="shared" si="16"/>
        <v>671041.44999999995</v>
      </c>
      <c r="U61" s="3">
        <f>IF($A$5=1,IF($P61=0,0,ROUND(Q61/$P61*$E61,2)),Credits!D60)+Credits!J60</f>
        <v>37309.759999999995</v>
      </c>
      <c r="V61" s="3">
        <f>IF($A$5=1,IF($P61=0,0,ROUND(R61/$P61*$E61,2)),Credits!E60)+Credits!K60</f>
        <v>0</v>
      </c>
      <c r="W61" s="3">
        <f>IF($A$5=1,IF($P61=0,0,ROUND(S61/$P61*$E61,2)),Credits!F60)+Credits!L60</f>
        <v>121918.81000000001</v>
      </c>
      <c r="X61" s="3">
        <f>IF($A$5=1,IF($P61=0,0,ROUND(T61/$P61*$E61,2)),Credits!G60)+Credits!M60</f>
        <v>50150.5</v>
      </c>
      <c r="Y61" s="3">
        <f t="shared" si="17"/>
        <v>209379.07</v>
      </c>
      <c r="AC61" s="4"/>
      <c r="AD61" s="4"/>
      <c r="AE61" s="2">
        <f t="shared" si="2"/>
        <v>0</v>
      </c>
      <c r="AF61" s="170" t="s">
        <v>1120</v>
      </c>
      <c r="AG61" s="175">
        <v>182</v>
      </c>
      <c r="AH61" s="175">
        <v>1</v>
      </c>
      <c r="AI61" s="175">
        <v>1</v>
      </c>
      <c r="AJ61" s="176">
        <v>271224.15999999997</v>
      </c>
      <c r="AK61" s="176">
        <v>0</v>
      </c>
      <c r="AL61" s="176">
        <v>406446.7</v>
      </c>
      <c r="AM61" s="176">
        <v>0</v>
      </c>
      <c r="AN61" s="177">
        <v>0</v>
      </c>
      <c r="AO61" s="177">
        <v>0</v>
      </c>
      <c r="AP61" s="177">
        <v>558748.25</v>
      </c>
      <c r="AQ61" s="177">
        <v>0</v>
      </c>
      <c r="AR61" s="177">
        <v>0</v>
      </c>
      <c r="AS61" s="177">
        <v>0</v>
      </c>
      <c r="AT61" s="178">
        <v>1569294.21</v>
      </c>
      <c r="AU61" s="178">
        <v>0</v>
      </c>
      <c r="AV61" s="178">
        <v>0</v>
      </c>
      <c r="AW61" s="179">
        <v>0</v>
      </c>
      <c r="AX61" s="180">
        <v>0</v>
      </c>
      <c r="AY61" s="180">
        <v>0</v>
      </c>
      <c r="AZ61" s="180">
        <v>671041.44999999995</v>
      </c>
      <c r="BA61" s="180">
        <v>0</v>
      </c>
      <c r="BB61" s="170">
        <f t="shared" si="18"/>
        <v>3476754.7699999996</v>
      </c>
      <c r="BC61" s="170">
        <v>3476754.77</v>
      </c>
      <c r="BD61" s="2">
        <f t="shared" si="19"/>
        <v>0</v>
      </c>
    </row>
    <row r="62" spans="1:56" ht="12" x14ac:dyDescent="0.2">
      <c r="A62" s="4">
        <v>186</v>
      </c>
      <c r="B62" s="4">
        <v>1</v>
      </c>
      <c r="C62" s="2" t="s">
        <v>57</v>
      </c>
      <c r="D62" s="3">
        <v>0</v>
      </c>
      <c r="E62" s="3">
        <v>0</v>
      </c>
      <c r="F62" s="227">
        <f t="shared" si="3"/>
        <v>1549.53</v>
      </c>
      <c r="G62" s="227">
        <f t="shared" si="4"/>
        <v>360949.96</v>
      </c>
      <c r="H62" s="227">
        <f t="shared" si="5"/>
        <v>0</v>
      </c>
      <c r="I62" s="227">
        <f t="shared" si="6"/>
        <v>852935.87</v>
      </c>
      <c r="J62" s="227">
        <f t="shared" si="7"/>
        <v>187976.77</v>
      </c>
      <c r="K62" s="227">
        <f t="shared" si="8"/>
        <v>3325081.28</v>
      </c>
      <c r="L62" s="227">
        <f t="shared" si="9"/>
        <v>0</v>
      </c>
      <c r="M62" s="3">
        <f t="shared" si="10"/>
        <v>0</v>
      </c>
      <c r="N62" s="227">
        <f t="shared" si="11"/>
        <v>0</v>
      </c>
      <c r="O62" s="142">
        <f t="shared" si="12"/>
        <v>4728493.41</v>
      </c>
      <c r="P62" s="3">
        <f t="shared" si="20"/>
        <v>4365993.92</v>
      </c>
      <c r="Q62" s="3">
        <f t="shared" si="13"/>
        <v>852935.87</v>
      </c>
      <c r="R62" s="3">
        <f t="shared" si="14"/>
        <v>187976.77</v>
      </c>
      <c r="S62" s="3">
        <f t="shared" si="15"/>
        <v>3325081.28</v>
      </c>
      <c r="T62" s="3">
        <f t="shared" si="16"/>
        <v>0</v>
      </c>
      <c r="U62" s="3">
        <f>IF($A$5=1,IF($P62=0,0,ROUND(Q62/$P62*$E62,2)),Credits!D61)+Credits!J61</f>
        <v>680.95999999999992</v>
      </c>
      <c r="V62" s="3">
        <f>IF($A$5=1,IF($P62=0,0,ROUND(R62/$P62*$E62,2)),Credits!E61)+Credits!K61</f>
        <v>150.16999999999999</v>
      </c>
      <c r="W62" s="3">
        <f>IF($A$5=1,IF($P62=0,0,ROUND(S62/$P62*$E62,2)),Credits!F61)+Credits!L61</f>
        <v>2654.15</v>
      </c>
      <c r="X62" s="3">
        <f>IF($A$5=1,IF($P62=0,0,ROUND(T62/$P62*$E62,2)),Credits!G61)+Credits!M61</f>
        <v>0</v>
      </c>
      <c r="Y62" s="3">
        <f t="shared" si="17"/>
        <v>3485.2799999999997</v>
      </c>
      <c r="AC62" s="4"/>
      <c r="AD62" s="4"/>
      <c r="AE62" s="2">
        <f t="shared" si="2"/>
        <v>0</v>
      </c>
      <c r="AF62" s="170" t="s">
        <v>1120</v>
      </c>
      <c r="AG62" s="175">
        <v>186</v>
      </c>
      <c r="AH62" s="175">
        <v>1</v>
      </c>
      <c r="AI62" s="175">
        <v>1</v>
      </c>
      <c r="AJ62" s="176">
        <v>1549.53</v>
      </c>
      <c r="AK62" s="176">
        <v>0</v>
      </c>
      <c r="AL62" s="176">
        <v>360949.96</v>
      </c>
      <c r="AM62" s="176">
        <v>0</v>
      </c>
      <c r="AN62" s="177">
        <v>0</v>
      </c>
      <c r="AO62" s="177">
        <v>0</v>
      </c>
      <c r="AP62" s="177">
        <v>852935.87</v>
      </c>
      <c r="AQ62" s="177">
        <v>0</v>
      </c>
      <c r="AR62" s="177">
        <v>187976.77</v>
      </c>
      <c r="AS62" s="177">
        <v>0</v>
      </c>
      <c r="AT62" s="178">
        <v>3325081.28</v>
      </c>
      <c r="AU62" s="178">
        <v>0</v>
      </c>
      <c r="AV62" s="178">
        <v>0</v>
      </c>
      <c r="AW62" s="179">
        <v>0</v>
      </c>
      <c r="AX62" s="180">
        <v>0</v>
      </c>
      <c r="AY62" s="180">
        <v>0</v>
      </c>
      <c r="AZ62" s="180">
        <v>0</v>
      </c>
      <c r="BA62" s="180">
        <v>0</v>
      </c>
      <c r="BB62" s="170">
        <f t="shared" si="18"/>
        <v>4728493.41</v>
      </c>
      <c r="BC62" s="170">
        <v>4728493.41</v>
      </c>
      <c r="BD62" s="2">
        <f t="shared" si="19"/>
        <v>0</v>
      </c>
    </row>
    <row r="63" spans="1:56" ht="12" x14ac:dyDescent="0.2">
      <c r="A63" s="4">
        <v>191</v>
      </c>
      <c r="B63" s="4">
        <v>1</v>
      </c>
      <c r="C63" s="2" t="s">
        <v>58</v>
      </c>
      <c r="D63" s="3">
        <v>0</v>
      </c>
      <c r="E63" s="3">
        <v>0</v>
      </c>
      <c r="F63" s="227">
        <f t="shared" si="3"/>
        <v>11747829</v>
      </c>
      <c r="G63" s="227">
        <f t="shared" si="4"/>
        <v>5446409</v>
      </c>
      <c r="H63" s="227">
        <f t="shared" si="5"/>
        <v>0</v>
      </c>
      <c r="I63" s="227">
        <f t="shared" si="6"/>
        <v>5108322</v>
      </c>
      <c r="J63" s="227">
        <f t="shared" si="7"/>
        <v>1084995</v>
      </c>
      <c r="K63" s="227">
        <f t="shared" si="8"/>
        <v>4738687</v>
      </c>
      <c r="L63" s="227">
        <f t="shared" si="9"/>
        <v>3840671</v>
      </c>
      <c r="M63" s="3">
        <f t="shared" si="10"/>
        <v>0</v>
      </c>
      <c r="N63" s="227">
        <f t="shared" si="11"/>
        <v>1617942</v>
      </c>
      <c r="O63" s="142">
        <f t="shared" si="12"/>
        <v>33584855</v>
      </c>
      <c r="P63" s="3">
        <f t="shared" si="20"/>
        <v>16390617</v>
      </c>
      <c r="Q63" s="3">
        <f t="shared" si="13"/>
        <v>5108322</v>
      </c>
      <c r="R63" s="3">
        <f t="shared" si="14"/>
        <v>1084995</v>
      </c>
      <c r="S63" s="3">
        <f t="shared" si="15"/>
        <v>8579358</v>
      </c>
      <c r="T63" s="3">
        <f t="shared" si="16"/>
        <v>1617942</v>
      </c>
      <c r="U63" s="3">
        <f>IF($A$5=1,IF($P63=0,0,ROUND(Q63/$P63*$E63,2)),Credits!D62)+Credits!J62</f>
        <v>0</v>
      </c>
      <c r="V63" s="3">
        <f>IF($A$5=1,IF($P63=0,0,ROUND(R63/$P63*$E63,2)),Credits!E62)+Credits!K62</f>
        <v>0</v>
      </c>
      <c r="W63" s="3">
        <f>IF($A$5=1,IF($P63=0,0,ROUND(S63/$P63*$E63,2)),Credits!F62)+Credits!L62</f>
        <v>0</v>
      </c>
      <c r="X63" s="3">
        <f>IF($A$5=1,IF($P63=0,0,ROUND(T63/$P63*$E63,2)),Credits!G62)+Credits!M62</f>
        <v>0</v>
      </c>
      <c r="Y63" s="3">
        <f t="shared" si="17"/>
        <v>0</v>
      </c>
      <c r="AC63" s="4"/>
      <c r="AD63" s="4"/>
      <c r="AE63" s="2">
        <f t="shared" si="2"/>
        <v>0</v>
      </c>
      <c r="AF63" s="170" t="s">
        <v>1120</v>
      </c>
      <c r="AG63" s="175">
        <v>191</v>
      </c>
      <c r="AH63" s="175">
        <v>1</v>
      </c>
      <c r="AI63" s="175">
        <v>1</v>
      </c>
      <c r="AJ63" s="176">
        <v>11747829</v>
      </c>
      <c r="AK63" s="176">
        <v>0</v>
      </c>
      <c r="AL63" s="176">
        <v>5446409</v>
      </c>
      <c r="AM63" s="176">
        <v>0</v>
      </c>
      <c r="AN63" s="177">
        <v>0</v>
      </c>
      <c r="AO63" s="177">
        <v>0</v>
      </c>
      <c r="AP63" s="177">
        <v>5108322</v>
      </c>
      <c r="AQ63" s="177">
        <v>0</v>
      </c>
      <c r="AR63" s="177">
        <v>1084995</v>
      </c>
      <c r="AS63" s="177">
        <v>0</v>
      </c>
      <c r="AT63" s="178">
        <v>4738687</v>
      </c>
      <c r="AU63" s="178">
        <v>0</v>
      </c>
      <c r="AV63" s="178">
        <v>3840671</v>
      </c>
      <c r="AW63" s="179">
        <v>0</v>
      </c>
      <c r="AX63" s="180">
        <v>0</v>
      </c>
      <c r="AY63" s="180">
        <v>0</v>
      </c>
      <c r="AZ63" s="180">
        <v>1617942</v>
      </c>
      <c r="BA63" s="180">
        <v>0</v>
      </c>
      <c r="BB63" s="170">
        <f t="shared" si="18"/>
        <v>33584855</v>
      </c>
      <c r="BC63" s="170">
        <v>33584855.299999997</v>
      </c>
      <c r="BD63" s="2">
        <f t="shared" si="19"/>
        <v>-0.29999999701976776</v>
      </c>
    </row>
    <row r="64" spans="1:56" ht="12" x14ac:dyDescent="0.2">
      <c r="A64" s="4">
        <v>192</v>
      </c>
      <c r="B64" s="4">
        <v>1</v>
      </c>
      <c r="C64" s="2" t="s">
        <v>59</v>
      </c>
      <c r="D64" s="3">
        <v>0</v>
      </c>
      <c r="E64" s="3">
        <v>0</v>
      </c>
      <c r="F64" s="227">
        <f t="shared" si="3"/>
        <v>10145</v>
      </c>
      <c r="G64" s="227">
        <f t="shared" si="4"/>
        <v>3112570</v>
      </c>
      <c r="H64" s="227">
        <f t="shared" si="5"/>
        <v>0</v>
      </c>
      <c r="I64" s="227">
        <f t="shared" si="6"/>
        <v>1796377</v>
      </c>
      <c r="J64" s="227">
        <f t="shared" si="7"/>
        <v>527371</v>
      </c>
      <c r="K64" s="227">
        <f t="shared" si="8"/>
        <v>12382208</v>
      </c>
      <c r="L64" s="227">
        <f t="shared" si="9"/>
        <v>199429</v>
      </c>
      <c r="M64" s="3">
        <f t="shared" si="10"/>
        <v>0</v>
      </c>
      <c r="N64" s="227">
        <f t="shared" si="11"/>
        <v>461600</v>
      </c>
      <c r="O64" s="142">
        <f t="shared" si="12"/>
        <v>18489700</v>
      </c>
      <c r="P64" s="3">
        <f t="shared" si="20"/>
        <v>15366985</v>
      </c>
      <c r="Q64" s="3">
        <f t="shared" si="13"/>
        <v>1796377</v>
      </c>
      <c r="R64" s="3">
        <f t="shared" si="14"/>
        <v>527371</v>
      </c>
      <c r="S64" s="3">
        <f t="shared" si="15"/>
        <v>12581637</v>
      </c>
      <c r="T64" s="3">
        <f t="shared" si="16"/>
        <v>461600</v>
      </c>
      <c r="U64" s="3">
        <f>IF($A$5=1,IF($P64=0,0,ROUND(Q64/$P64*$E64,2)),Credits!D63)+Credits!J63</f>
        <v>10261.480000000001</v>
      </c>
      <c r="V64" s="3">
        <f>IF($A$5=1,IF($P64=0,0,ROUND(R64/$P64*$E64,2)),Credits!E63)+Credits!K63</f>
        <v>3012.71</v>
      </c>
      <c r="W64" s="3">
        <f>IF($A$5=1,IF($P64=0,0,ROUND(S64/$P64*$E64,2)),Credits!F63)+Credits!L63</f>
        <v>71875.87999999999</v>
      </c>
      <c r="X64" s="3">
        <f>IF($A$5=1,IF($P64=0,0,ROUND(T64/$P64*$E64,2)),Credits!G63)+Credits!M63</f>
        <v>2637.0699999999997</v>
      </c>
      <c r="Y64" s="3">
        <f t="shared" si="17"/>
        <v>87787.139999999985</v>
      </c>
      <c r="AC64" s="4"/>
      <c r="AD64" s="4"/>
      <c r="AE64" s="2">
        <f t="shared" si="2"/>
        <v>0</v>
      </c>
      <c r="AF64" s="170" t="s">
        <v>1120</v>
      </c>
      <c r="AG64" s="175">
        <v>192</v>
      </c>
      <c r="AH64" s="175">
        <v>1</v>
      </c>
      <c r="AI64" s="175">
        <v>1</v>
      </c>
      <c r="AJ64" s="176">
        <v>10145</v>
      </c>
      <c r="AK64" s="176">
        <v>0</v>
      </c>
      <c r="AL64" s="176">
        <v>3112570</v>
      </c>
      <c r="AM64" s="176">
        <v>0</v>
      </c>
      <c r="AN64" s="177">
        <v>0</v>
      </c>
      <c r="AO64" s="177">
        <v>0</v>
      </c>
      <c r="AP64" s="177">
        <v>1796377</v>
      </c>
      <c r="AQ64" s="177">
        <v>0</v>
      </c>
      <c r="AR64" s="177">
        <v>527371</v>
      </c>
      <c r="AS64" s="177">
        <v>0</v>
      </c>
      <c r="AT64" s="178">
        <v>12382208</v>
      </c>
      <c r="AU64" s="178">
        <v>0</v>
      </c>
      <c r="AV64" s="178">
        <v>199429</v>
      </c>
      <c r="AW64" s="179">
        <v>0</v>
      </c>
      <c r="AX64" s="180">
        <v>0</v>
      </c>
      <c r="AY64" s="180">
        <v>0</v>
      </c>
      <c r="AZ64" s="180">
        <v>461600</v>
      </c>
      <c r="BA64" s="180">
        <v>0</v>
      </c>
      <c r="BB64" s="170">
        <f t="shared" si="18"/>
        <v>18489700</v>
      </c>
      <c r="BC64" s="170">
        <v>18489699.899999999</v>
      </c>
      <c r="BD64" s="2">
        <f t="shared" si="19"/>
        <v>0.10000000149011612</v>
      </c>
    </row>
    <row r="65" spans="1:56" ht="12" x14ac:dyDescent="0.2">
      <c r="A65" s="4">
        <v>194</v>
      </c>
      <c r="B65" s="4">
        <v>1</v>
      </c>
      <c r="C65" s="2" t="s">
        <v>60</v>
      </c>
      <c r="D65" s="3">
        <v>0</v>
      </c>
      <c r="E65" s="3">
        <v>0</v>
      </c>
      <c r="F65" s="227">
        <f t="shared" si="3"/>
        <v>10115176</v>
      </c>
      <c r="G65" s="227">
        <f t="shared" si="4"/>
        <v>5325438</v>
      </c>
      <c r="H65" s="227">
        <f t="shared" si="5"/>
        <v>0</v>
      </c>
      <c r="I65" s="227">
        <f t="shared" si="6"/>
        <v>3906323</v>
      </c>
      <c r="J65" s="227">
        <f t="shared" si="7"/>
        <v>954956</v>
      </c>
      <c r="K65" s="227">
        <f t="shared" si="8"/>
        <v>14311540</v>
      </c>
      <c r="L65" s="227">
        <f t="shared" si="9"/>
        <v>1170934</v>
      </c>
      <c r="M65" s="3">
        <f t="shared" si="10"/>
        <v>0</v>
      </c>
      <c r="N65" s="227">
        <f t="shared" si="11"/>
        <v>0</v>
      </c>
      <c r="O65" s="142">
        <f t="shared" si="12"/>
        <v>35784367</v>
      </c>
      <c r="P65" s="3">
        <f t="shared" si="20"/>
        <v>20343753</v>
      </c>
      <c r="Q65" s="3">
        <f t="shared" si="13"/>
        <v>3906323</v>
      </c>
      <c r="R65" s="3">
        <f t="shared" si="14"/>
        <v>954956</v>
      </c>
      <c r="S65" s="3">
        <f t="shared" si="15"/>
        <v>15482474</v>
      </c>
      <c r="T65" s="3">
        <f t="shared" si="16"/>
        <v>0</v>
      </c>
      <c r="U65" s="3">
        <f>IF($A$5=1,IF($P65=0,0,ROUND(Q65/$P65*$E65,2)),Credits!D64)+Credits!J64</f>
        <v>3128.46</v>
      </c>
      <c r="V65" s="3">
        <f>IF($A$5=1,IF($P65=0,0,ROUND(R65/$P65*$E65,2)),Credits!E64)+Credits!K64</f>
        <v>764.62000000000023</v>
      </c>
      <c r="W65" s="3">
        <f>IF($A$5=1,IF($P65=0,0,ROUND(S65/$P65*$E65,2)),Credits!F64)+Credits!L64</f>
        <v>12398.949999999999</v>
      </c>
      <c r="X65" s="3">
        <f>IF($A$5=1,IF($P65=0,0,ROUND(T65/$P65*$E65,2)),Credits!G64)+Credits!M64</f>
        <v>0</v>
      </c>
      <c r="Y65" s="3">
        <f t="shared" si="17"/>
        <v>16292.029999999999</v>
      </c>
      <c r="AC65" s="4"/>
      <c r="AD65" s="4"/>
      <c r="AE65" s="2">
        <f t="shared" si="2"/>
        <v>0</v>
      </c>
      <c r="AF65" s="170" t="s">
        <v>1120</v>
      </c>
      <c r="AG65" s="175">
        <v>194</v>
      </c>
      <c r="AH65" s="175">
        <v>1</v>
      </c>
      <c r="AI65" s="175">
        <v>1</v>
      </c>
      <c r="AJ65" s="176">
        <v>10115176</v>
      </c>
      <c r="AK65" s="176">
        <v>0</v>
      </c>
      <c r="AL65" s="176">
        <v>5325438</v>
      </c>
      <c r="AM65" s="176">
        <v>0</v>
      </c>
      <c r="AN65" s="177">
        <v>0</v>
      </c>
      <c r="AO65" s="177">
        <v>0</v>
      </c>
      <c r="AP65" s="177">
        <v>3906323</v>
      </c>
      <c r="AQ65" s="177">
        <v>0</v>
      </c>
      <c r="AR65" s="177">
        <v>954956</v>
      </c>
      <c r="AS65" s="177">
        <v>0</v>
      </c>
      <c r="AT65" s="178">
        <v>14311540</v>
      </c>
      <c r="AU65" s="178">
        <v>0</v>
      </c>
      <c r="AV65" s="178">
        <v>1170934</v>
      </c>
      <c r="AW65" s="179">
        <v>0</v>
      </c>
      <c r="AX65" s="180">
        <v>0</v>
      </c>
      <c r="AY65" s="180">
        <v>0</v>
      </c>
      <c r="AZ65" s="180">
        <v>0</v>
      </c>
      <c r="BA65" s="180">
        <v>0</v>
      </c>
      <c r="BB65" s="170">
        <f t="shared" si="18"/>
        <v>35784367</v>
      </c>
      <c r="BC65" s="170">
        <v>35784366.890000001</v>
      </c>
      <c r="BD65" s="2">
        <f t="shared" si="19"/>
        <v>0.10999999940395355</v>
      </c>
    </row>
    <row r="66" spans="1:56" ht="12" x14ac:dyDescent="0.2">
      <c r="A66" s="4">
        <v>195</v>
      </c>
      <c r="B66" s="4">
        <v>1</v>
      </c>
      <c r="C66" s="2" t="s">
        <v>61</v>
      </c>
      <c r="D66" s="3">
        <v>0</v>
      </c>
      <c r="E66" s="3">
        <v>0</v>
      </c>
      <c r="F66" s="227">
        <f t="shared" si="3"/>
        <v>2624</v>
      </c>
      <c r="G66" s="227">
        <f t="shared" si="4"/>
        <v>280223</v>
      </c>
      <c r="H66" s="227">
        <f t="shared" si="5"/>
        <v>0</v>
      </c>
      <c r="I66" s="227">
        <f t="shared" si="6"/>
        <v>179403</v>
      </c>
      <c r="J66" s="227">
        <f t="shared" si="7"/>
        <v>19094</v>
      </c>
      <c r="K66" s="227">
        <f t="shared" si="8"/>
        <v>582967</v>
      </c>
      <c r="L66" s="227">
        <f t="shared" si="9"/>
        <v>0</v>
      </c>
      <c r="M66" s="3">
        <f t="shared" si="10"/>
        <v>0</v>
      </c>
      <c r="N66" s="227">
        <f t="shared" si="11"/>
        <v>0</v>
      </c>
      <c r="O66" s="142">
        <f t="shared" si="12"/>
        <v>1064311</v>
      </c>
      <c r="P66" s="3">
        <f t="shared" si="20"/>
        <v>781464</v>
      </c>
      <c r="Q66" s="3">
        <f t="shared" si="13"/>
        <v>179403</v>
      </c>
      <c r="R66" s="3">
        <f t="shared" si="14"/>
        <v>19094</v>
      </c>
      <c r="S66" s="3">
        <f t="shared" si="15"/>
        <v>582967</v>
      </c>
      <c r="T66" s="3">
        <f t="shared" si="16"/>
        <v>0</v>
      </c>
      <c r="U66" s="3">
        <f>IF($A$5=1,IF($P66=0,0,ROUND(Q66/$P66*$E66,2)),Credits!D65)+Credits!J65</f>
        <v>3050.3999999999996</v>
      </c>
      <c r="V66" s="3">
        <f>IF($A$5=1,IF($P66=0,0,ROUND(R66/$P66*$E66,2)),Credits!E65)+Credits!K65</f>
        <v>324.82</v>
      </c>
      <c r="W66" s="3">
        <f>IF($A$5=1,IF($P66=0,0,ROUND(S66/$P66*$E66,2)),Credits!F65)+Credits!L65</f>
        <v>9913.7099999999991</v>
      </c>
      <c r="X66" s="3">
        <f>IF($A$5=1,IF($P66=0,0,ROUND(T66/$P66*$E66,2)),Credits!G65)+Credits!M65</f>
        <v>0</v>
      </c>
      <c r="Y66" s="3">
        <f t="shared" si="17"/>
        <v>13288.929999999998</v>
      </c>
      <c r="AC66" s="4"/>
      <c r="AD66" s="4"/>
      <c r="AE66" s="2">
        <f t="shared" si="2"/>
        <v>0</v>
      </c>
      <c r="AF66" s="170" t="s">
        <v>1120</v>
      </c>
      <c r="AG66" s="175">
        <v>195</v>
      </c>
      <c r="AH66" s="175">
        <v>1</v>
      </c>
      <c r="AI66" s="175">
        <v>1</v>
      </c>
      <c r="AJ66" s="176">
        <v>2624</v>
      </c>
      <c r="AK66" s="176">
        <v>0</v>
      </c>
      <c r="AL66" s="176">
        <v>280223</v>
      </c>
      <c r="AM66" s="176">
        <v>0</v>
      </c>
      <c r="AN66" s="177">
        <v>0</v>
      </c>
      <c r="AO66" s="177">
        <v>0</v>
      </c>
      <c r="AP66" s="177">
        <v>179403</v>
      </c>
      <c r="AQ66" s="177">
        <v>0</v>
      </c>
      <c r="AR66" s="177">
        <v>19094</v>
      </c>
      <c r="AS66" s="177">
        <v>0</v>
      </c>
      <c r="AT66" s="178">
        <v>582967</v>
      </c>
      <c r="AU66" s="178">
        <v>0</v>
      </c>
      <c r="AV66" s="178">
        <v>0</v>
      </c>
      <c r="AW66" s="179">
        <v>0</v>
      </c>
      <c r="AX66" s="180">
        <v>0</v>
      </c>
      <c r="AY66" s="180">
        <v>0</v>
      </c>
      <c r="AZ66" s="180">
        <v>0</v>
      </c>
      <c r="BA66" s="180">
        <v>0</v>
      </c>
      <c r="BB66" s="170">
        <f t="shared" si="18"/>
        <v>1064311</v>
      </c>
      <c r="BC66" s="170">
        <v>1064310.6200000001</v>
      </c>
      <c r="BD66" s="2">
        <f t="shared" si="19"/>
        <v>0.37999999988824129</v>
      </c>
    </row>
    <row r="67" spans="1:56" ht="12" x14ac:dyDescent="0.2">
      <c r="A67" s="4">
        <v>196</v>
      </c>
      <c r="B67" s="4">
        <v>1</v>
      </c>
      <c r="C67" s="2" t="s">
        <v>62</v>
      </c>
      <c r="D67" s="3">
        <v>0</v>
      </c>
      <c r="E67" s="3">
        <v>0</v>
      </c>
      <c r="F67" s="227">
        <f t="shared" si="3"/>
        <v>24397386</v>
      </c>
      <c r="G67" s="227">
        <f t="shared" si="4"/>
        <v>13545284</v>
      </c>
      <c r="H67" s="227">
        <f t="shared" si="5"/>
        <v>1250772</v>
      </c>
      <c r="I67" s="227">
        <f t="shared" si="6"/>
        <v>18201396</v>
      </c>
      <c r="J67" s="227">
        <f t="shared" si="7"/>
        <v>1676223</v>
      </c>
      <c r="K67" s="227">
        <f t="shared" si="8"/>
        <v>16182184</v>
      </c>
      <c r="L67" s="227">
        <f t="shared" si="9"/>
        <v>447502</v>
      </c>
      <c r="M67" s="3">
        <f t="shared" si="10"/>
        <v>0</v>
      </c>
      <c r="N67" s="227">
        <f t="shared" si="11"/>
        <v>2540643</v>
      </c>
      <c r="O67" s="142">
        <f t="shared" si="12"/>
        <v>78241390</v>
      </c>
      <c r="P67" s="3">
        <f t="shared" si="20"/>
        <v>40298720</v>
      </c>
      <c r="Q67" s="3">
        <f t="shared" si="13"/>
        <v>19452168</v>
      </c>
      <c r="R67" s="3">
        <f t="shared" si="14"/>
        <v>1676223</v>
      </c>
      <c r="S67" s="3">
        <f t="shared" si="15"/>
        <v>16629686</v>
      </c>
      <c r="T67" s="3">
        <f t="shared" si="16"/>
        <v>2540643</v>
      </c>
      <c r="U67" s="3">
        <f>IF($A$5=1,IF($P67=0,0,ROUND(Q67/$P67*$E67,2)),Credits!D66)+Credits!J66</f>
        <v>3577.41</v>
      </c>
      <c r="V67" s="3">
        <f>IF($A$5=1,IF($P67=0,0,ROUND(R67/$P67*$E67,2)),Credits!E66)+Credits!K66</f>
        <v>308.47000000000003</v>
      </c>
      <c r="W67" s="3">
        <f>IF($A$5=1,IF($P67=0,0,ROUND(S67/$P67*$E67,2)),Credits!F66)+Credits!L66</f>
        <v>3058.4500000000007</v>
      </c>
      <c r="X67" s="3">
        <f>IF($A$5=1,IF($P67=0,0,ROUND(T67/$P67*$E67,2)),Credits!G66)+Credits!M66</f>
        <v>467.15</v>
      </c>
      <c r="Y67" s="3">
        <f t="shared" si="17"/>
        <v>7411.4800000000005</v>
      </c>
      <c r="AC67" s="4"/>
      <c r="AD67" s="4"/>
      <c r="AE67" s="2">
        <f t="shared" si="2"/>
        <v>0</v>
      </c>
      <c r="AF67" s="170" t="s">
        <v>1120</v>
      </c>
      <c r="AG67" s="175">
        <v>196</v>
      </c>
      <c r="AH67" s="175">
        <v>1</v>
      </c>
      <c r="AI67" s="175">
        <v>1</v>
      </c>
      <c r="AJ67" s="176">
        <v>24397386</v>
      </c>
      <c r="AK67" s="176">
        <v>0</v>
      </c>
      <c r="AL67" s="176">
        <v>13545284</v>
      </c>
      <c r="AM67" s="176">
        <v>0</v>
      </c>
      <c r="AN67" s="177">
        <v>1250772</v>
      </c>
      <c r="AO67" s="177">
        <v>0</v>
      </c>
      <c r="AP67" s="177">
        <v>18201396</v>
      </c>
      <c r="AQ67" s="177">
        <v>0</v>
      </c>
      <c r="AR67" s="177">
        <v>1676223</v>
      </c>
      <c r="AS67" s="177">
        <v>0</v>
      </c>
      <c r="AT67" s="178">
        <v>16182184</v>
      </c>
      <c r="AU67" s="178">
        <v>0</v>
      </c>
      <c r="AV67" s="178">
        <v>447502</v>
      </c>
      <c r="AW67" s="179">
        <v>0</v>
      </c>
      <c r="AX67" s="180">
        <v>0</v>
      </c>
      <c r="AY67" s="180">
        <v>0</v>
      </c>
      <c r="AZ67" s="180">
        <v>2540643</v>
      </c>
      <c r="BA67" s="180">
        <v>0</v>
      </c>
      <c r="BB67" s="170">
        <f t="shared" si="18"/>
        <v>78241390</v>
      </c>
      <c r="BC67" s="170">
        <v>78241389.900000006</v>
      </c>
      <c r="BD67" s="2">
        <f t="shared" si="19"/>
        <v>9.9999994039535522E-2</v>
      </c>
    </row>
    <row r="68" spans="1:56" ht="12" x14ac:dyDescent="0.2">
      <c r="A68" s="4">
        <v>197</v>
      </c>
      <c r="B68" s="4">
        <v>1</v>
      </c>
      <c r="C68" s="2" t="s">
        <v>815</v>
      </c>
      <c r="D68" s="3">
        <v>0</v>
      </c>
      <c r="E68" s="3">
        <v>0</v>
      </c>
      <c r="F68" s="227">
        <f t="shared" si="3"/>
        <v>7788876</v>
      </c>
      <c r="G68" s="227">
        <f t="shared" si="4"/>
        <v>2602055</v>
      </c>
      <c r="H68" s="227">
        <f t="shared" si="5"/>
        <v>490000</v>
      </c>
      <c r="I68" s="227">
        <f t="shared" si="6"/>
        <v>3601583</v>
      </c>
      <c r="J68" s="227">
        <f t="shared" si="7"/>
        <v>890939</v>
      </c>
      <c r="K68" s="227">
        <f t="shared" si="8"/>
        <v>7002088</v>
      </c>
      <c r="L68" s="227">
        <f t="shared" si="9"/>
        <v>392914</v>
      </c>
      <c r="M68" s="3">
        <f t="shared" si="10"/>
        <v>0</v>
      </c>
      <c r="N68" s="227">
        <f t="shared" si="11"/>
        <v>676909</v>
      </c>
      <c r="O68" s="142">
        <f t="shared" si="12"/>
        <v>23445364</v>
      </c>
      <c r="P68" s="3">
        <f t="shared" si="20"/>
        <v>13054433</v>
      </c>
      <c r="Q68" s="3">
        <f t="shared" si="13"/>
        <v>4091583</v>
      </c>
      <c r="R68" s="3">
        <f t="shared" si="14"/>
        <v>890939</v>
      </c>
      <c r="S68" s="3">
        <f t="shared" si="15"/>
        <v>7395002</v>
      </c>
      <c r="T68" s="3">
        <f t="shared" si="16"/>
        <v>676909</v>
      </c>
      <c r="U68" s="3">
        <f>IF($A$5=1,IF($P68=0,0,ROUND(Q68/$P68*$E68,2)),Credits!D67)+Credits!J67</f>
        <v>126.85000000000001</v>
      </c>
      <c r="V68" s="3">
        <f>IF($A$5=1,IF($P68=0,0,ROUND(R68/$P68*$E68,2)),Credits!E67)+Credits!K67</f>
        <v>27.63</v>
      </c>
      <c r="W68" s="3">
        <f>IF($A$5=1,IF($P68=0,0,ROUND(S68/$P68*$E68,2)),Credits!F67)+Credits!L67</f>
        <v>229.27</v>
      </c>
      <c r="X68" s="3">
        <f>IF($A$5=1,IF($P68=0,0,ROUND(T68/$P68*$E68,2)),Credits!G67)+Credits!M67</f>
        <v>20.97</v>
      </c>
      <c r="Y68" s="3">
        <f t="shared" si="17"/>
        <v>404.72</v>
      </c>
      <c r="AC68" s="4"/>
      <c r="AD68" s="4"/>
      <c r="AE68" s="2">
        <f t="shared" si="2"/>
        <v>0</v>
      </c>
      <c r="AF68" s="170" t="s">
        <v>1120</v>
      </c>
      <c r="AG68" s="175">
        <v>197</v>
      </c>
      <c r="AH68" s="175">
        <v>1</v>
      </c>
      <c r="AI68" s="175">
        <v>1</v>
      </c>
      <c r="AJ68" s="176">
        <v>7788876</v>
      </c>
      <c r="AK68" s="176">
        <v>0</v>
      </c>
      <c r="AL68" s="176">
        <v>2602055</v>
      </c>
      <c r="AM68" s="176">
        <v>0</v>
      </c>
      <c r="AN68" s="177">
        <v>490000</v>
      </c>
      <c r="AO68" s="177">
        <v>0</v>
      </c>
      <c r="AP68" s="177">
        <v>3601583</v>
      </c>
      <c r="AQ68" s="177">
        <v>0</v>
      </c>
      <c r="AR68" s="177">
        <v>890939</v>
      </c>
      <c r="AS68" s="177">
        <v>0</v>
      </c>
      <c r="AT68" s="178">
        <v>7002088</v>
      </c>
      <c r="AU68" s="178">
        <v>0</v>
      </c>
      <c r="AV68" s="178">
        <v>392914</v>
      </c>
      <c r="AW68" s="179">
        <v>0</v>
      </c>
      <c r="AX68" s="180">
        <v>0</v>
      </c>
      <c r="AY68" s="180">
        <v>0</v>
      </c>
      <c r="AZ68" s="180">
        <v>676909</v>
      </c>
      <c r="BA68" s="180">
        <v>0</v>
      </c>
      <c r="BB68" s="170">
        <f t="shared" si="18"/>
        <v>23445364</v>
      </c>
      <c r="BC68" s="170">
        <v>23445363.940000001</v>
      </c>
      <c r="BD68" s="2">
        <f t="shared" si="19"/>
        <v>5.9999998658895493E-2</v>
      </c>
    </row>
    <row r="69" spans="1:56" ht="12" x14ac:dyDescent="0.2">
      <c r="A69" s="4">
        <v>199</v>
      </c>
      <c r="B69" s="4">
        <v>1</v>
      </c>
      <c r="C69" s="2" t="s">
        <v>1172</v>
      </c>
      <c r="D69" s="3">
        <v>0</v>
      </c>
      <c r="E69" s="3">
        <v>0</v>
      </c>
      <c r="F69" s="227">
        <f t="shared" si="3"/>
        <v>2055355</v>
      </c>
      <c r="G69" s="227">
        <f t="shared" si="4"/>
        <v>2293433</v>
      </c>
      <c r="H69" s="227">
        <f t="shared" si="5"/>
        <v>0</v>
      </c>
      <c r="I69" s="227">
        <f t="shared" si="6"/>
        <v>2329748</v>
      </c>
      <c r="J69" s="227">
        <f t="shared" si="7"/>
        <v>441422</v>
      </c>
      <c r="K69" s="227">
        <f t="shared" si="8"/>
        <v>4236262</v>
      </c>
      <c r="L69" s="227">
        <f t="shared" si="9"/>
        <v>559932</v>
      </c>
      <c r="M69" s="3">
        <f t="shared" si="10"/>
        <v>0</v>
      </c>
      <c r="N69" s="227">
        <f t="shared" si="11"/>
        <v>769696</v>
      </c>
      <c r="O69" s="142">
        <f t="shared" si="12"/>
        <v>12685848</v>
      </c>
      <c r="P69" s="3">
        <f t="shared" si="20"/>
        <v>8337060</v>
      </c>
      <c r="Q69" s="3">
        <f t="shared" si="13"/>
        <v>2329748</v>
      </c>
      <c r="R69" s="3">
        <f t="shared" si="14"/>
        <v>441422</v>
      </c>
      <c r="S69" s="3">
        <f t="shared" si="15"/>
        <v>4796194</v>
      </c>
      <c r="T69" s="3">
        <f t="shared" si="16"/>
        <v>769696</v>
      </c>
      <c r="U69" s="3">
        <f>IF($A$5=1,IF($P69=0,0,ROUND(Q69/$P69*$E69,2)),Credits!D68)+Credits!J68</f>
        <v>224.47999999999996</v>
      </c>
      <c r="V69" s="3">
        <f>IF($A$5=1,IF($P69=0,0,ROUND(R69/$P69*$E69,2)),Credits!E68)+Credits!K68</f>
        <v>42.51</v>
      </c>
      <c r="W69" s="3">
        <f>IF($A$5=1,IF($P69=0,0,ROUND(S69/$P69*$E69,2)),Credits!F68)+Credits!L68</f>
        <v>462.1</v>
      </c>
      <c r="X69" s="3">
        <f>IF($A$5=1,IF($P69=0,0,ROUND(T69/$P69*$E69,2)),Credits!G68)+Credits!M68</f>
        <v>74.149999999999991</v>
      </c>
      <c r="Y69" s="3">
        <f t="shared" si="17"/>
        <v>803.2399999999999</v>
      </c>
      <c r="AC69" s="4"/>
      <c r="AD69" s="4"/>
      <c r="AE69" s="2">
        <f t="shared" si="2"/>
        <v>0</v>
      </c>
      <c r="AF69" s="170" t="s">
        <v>1120</v>
      </c>
      <c r="AG69" s="175">
        <v>199</v>
      </c>
      <c r="AH69" s="175">
        <v>1</v>
      </c>
      <c r="AI69" s="175">
        <v>1</v>
      </c>
      <c r="AJ69" s="176">
        <v>2055355</v>
      </c>
      <c r="AK69" s="176">
        <v>0</v>
      </c>
      <c r="AL69" s="176">
        <v>2293433</v>
      </c>
      <c r="AM69" s="176">
        <v>0</v>
      </c>
      <c r="AN69" s="177">
        <v>0</v>
      </c>
      <c r="AO69" s="177">
        <v>0</v>
      </c>
      <c r="AP69" s="177">
        <v>2329748</v>
      </c>
      <c r="AQ69" s="177">
        <v>0</v>
      </c>
      <c r="AR69" s="177">
        <v>441422</v>
      </c>
      <c r="AS69" s="177">
        <v>0</v>
      </c>
      <c r="AT69" s="178">
        <v>4236262</v>
      </c>
      <c r="AU69" s="178">
        <v>0</v>
      </c>
      <c r="AV69" s="178">
        <v>559932</v>
      </c>
      <c r="AW69" s="179">
        <v>0</v>
      </c>
      <c r="AX69" s="180">
        <v>0</v>
      </c>
      <c r="AY69" s="180">
        <v>0</v>
      </c>
      <c r="AZ69" s="180">
        <v>769696</v>
      </c>
      <c r="BA69" s="180">
        <v>0</v>
      </c>
      <c r="BB69" s="170">
        <f t="shared" si="18"/>
        <v>12685848</v>
      </c>
      <c r="BC69" s="170">
        <v>12685847.720000001</v>
      </c>
      <c r="BD69" s="2">
        <f t="shared" si="19"/>
        <v>0.27999999932944775</v>
      </c>
    </row>
    <row r="70" spans="1:56" ht="12" x14ac:dyDescent="0.2">
      <c r="A70" s="4">
        <v>200</v>
      </c>
      <c r="B70" s="4">
        <v>1</v>
      </c>
      <c r="C70" s="2" t="s">
        <v>65</v>
      </c>
      <c r="D70" s="3">
        <v>0</v>
      </c>
      <c r="E70" s="3">
        <v>0</v>
      </c>
      <c r="F70" s="227">
        <f t="shared" si="3"/>
        <v>5169870</v>
      </c>
      <c r="G70" s="227">
        <f t="shared" si="4"/>
        <v>2264647</v>
      </c>
      <c r="H70" s="227">
        <f t="shared" si="5"/>
        <v>0</v>
      </c>
      <c r="I70" s="227">
        <f t="shared" si="6"/>
        <v>1752367</v>
      </c>
      <c r="J70" s="227">
        <f t="shared" si="7"/>
        <v>482742</v>
      </c>
      <c r="K70" s="227">
        <f t="shared" si="8"/>
        <v>4664585</v>
      </c>
      <c r="L70" s="227">
        <f t="shared" si="9"/>
        <v>354934</v>
      </c>
      <c r="M70" s="3">
        <f t="shared" si="10"/>
        <v>0</v>
      </c>
      <c r="N70" s="227">
        <f t="shared" si="11"/>
        <v>0</v>
      </c>
      <c r="O70" s="142">
        <f t="shared" si="12"/>
        <v>14689145</v>
      </c>
      <c r="P70" s="3">
        <f t="shared" si="20"/>
        <v>7254628</v>
      </c>
      <c r="Q70" s="3">
        <f t="shared" si="13"/>
        <v>1752367</v>
      </c>
      <c r="R70" s="3">
        <f t="shared" si="14"/>
        <v>482742</v>
      </c>
      <c r="S70" s="3">
        <f t="shared" si="15"/>
        <v>5019519</v>
      </c>
      <c r="T70" s="3">
        <f t="shared" si="16"/>
        <v>0</v>
      </c>
      <c r="U70" s="3">
        <f>IF($A$5=1,IF($P70=0,0,ROUND(Q70/$P70*$E70,2)),Credits!D69)+Credits!J69</f>
        <v>10681.4</v>
      </c>
      <c r="V70" s="3">
        <f>IF($A$5=1,IF($P70=0,0,ROUND(R70/$P70*$E70,2)),Credits!E69)+Credits!K69</f>
        <v>2942.7599999999993</v>
      </c>
      <c r="W70" s="3">
        <f>IF($A$5=1,IF($P70=0,0,ROUND(S70/$P70*$E70,2)),Credits!F69)+Credits!L69</f>
        <v>30597.840000000007</v>
      </c>
      <c r="X70" s="3">
        <f>IF($A$5=1,IF($P70=0,0,ROUND(T70/$P70*$E70,2)),Credits!G69)+Credits!M69</f>
        <v>0</v>
      </c>
      <c r="Y70" s="3">
        <f t="shared" si="17"/>
        <v>44222.000000000007</v>
      </c>
      <c r="AC70" s="4"/>
      <c r="AD70" s="4"/>
      <c r="AE70" s="2">
        <f t="shared" si="2"/>
        <v>0</v>
      </c>
      <c r="AF70" s="170" t="s">
        <v>1120</v>
      </c>
      <c r="AG70" s="175">
        <v>200</v>
      </c>
      <c r="AH70" s="175">
        <v>1</v>
      </c>
      <c r="AI70" s="175">
        <v>1</v>
      </c>
      <c r="AJ70" s="176">
        <v>5169870</v>
      </c>
      <c r="AK70" s="176">
        <v>0</v>
      </c>
      <c r="AL70" s="176">
        <v>2264647</v>
      </c>
      <c r="AM70" s="176">
        <v>0</v>
      </c>
      <c r="AN70" s="177">
        <v>0</v>
      </c>
      <c r="AO70" s="177">
        <v>0</v>
      </c>
      <c r="AP70" s="177">
        <v>1752367</v>
      </c>
      <c r="AQ70" s="177">
        <v>0</v>
      </c>
      <c r="AR70" s="177">
        <v>482742</v>
      </c>
      <c r="AS70" s="177">
        <v>0</v>
      </c>
      <c r="AT70" s="178">
        <v>4664585</v>
      </c>
      <c r="AU70" s="178">
        <v>0</v>
      </c>
      <c r="AV70" s="178">
        <v>354934</v>
      </c>
      <c r="AW70" s="179">
        <v>0</v>
      </c>
      <c r="AX70" s="180">
        <v>0</v>
      </c>
      <c r="AY70" s="180">
        <v>0</v>
      </c>
      <c r="AZ70" s="180">
        <v>0</v>
      </c>
      <c r="BA70" s="180">
        <v>0</v>
      </c>
      <c r="BB70" s="170">
        <f t="shared" si="18"/>
        <v>14689145</v>
      </c>
      <c r="BC70" s="170">
        <v>14689144.82</v>
      </c>
      <c r="BD70" s="2">
        <f t="shared" si="19"/>
        <v>0.17999999970197678</v>
      </c>
    </row>
    <row r="71" spans="1:56" ht="12" x14ac:dyDescent="0.2">
      <c r="A71" s="4">
        <v>203</v>
      </c>
      <c r="B71" s="4">
        <v>1</v>
      </c>
      <c r="C71" s="2" t="s">
        <v>66</v>
      </c>
      <c r="D71" s="3">
        <v>0</v>
      </c>
      <c r="E71" s="3">
        <v>0</v>
      </c>
      <c r="F71" s="227">
        <f t="shared" si="3"/>
        <v>527945.61</v>
      </c>
      <c r="G71" s="227">
        <f t="shared" si="4"/>
        <v>48483.040000000001</v>
      </c>
      <c r="H71" s="227">
        <f t="shared" si="5"/>
        <v>0</v>
      </c>
      <c r="I71" s="227">
        <f t="shared" si="6"/>
        <v>338658.39</v>
      </c>
      <c r="J71" s="227">
        <f t="shared" si="7"/>
        <v>70780.22</v>
      </c>
      <c r="K71" s="227">
        <f t="shared" si="8"/>
        <v>556345.94999999995</v>
      </c>
      <c r="L71" s="227">
        <f t="shared" si="9"/>
        <v>0</v>
      </c>
      <c r="M71" s="3">
        <f t="shared" si="10"/>
        <v>0</v>
      </c>
      <c r="N71" s="227">
        <f t="shared" si="11"/>
        <v>0</v>
      </c>
      <c r="O71" s="142">
        <f t="shared" si="12"/>
        <v>1542213.21</v>
      </c>
      <c r="P71" s="3">
        <f t="shared" si="20"/>
        <v>965784.55999999994</v>
      </c>
      <c r="Q71" s="3">
        <f t="shared" si="13"/>
        <v>338658.39</v>
      </c>
      <c r="R71" s="3">
        <f t="shared" si="14"/>
        <v>70780.22</v>
      </c>
      <c r="S71" s="3">
        <f t="shared" si="15"/>
        <v>556345.94999999995</v>
      </c>
      <c r="T71" s="3">
        <f t="shared" si="16"/>
        <v>0</v>
      </c>
      <c r="U71" s="3">
        <f>IF($A$5=1,IF($P71=0,0,ROUND(Q71/$P71*$E71,2)),Credits!D70)+Credits!J70</f>
        <v>13091.07</v>
      </c>
      <c r="V71" s="3">
        <f>IF($A$5=1,IF($P71=0,0,ROUND(R71/$P71*$E71,2)),Credits!E70)+Credits!K70</f>
        <v>2735.7799999999997</v>
      </c>
      <c r="W71" s="3">
        <f>IF($A$5=1,IF($P71=0,0,ROUND(S71/$P71*$E71,2)),Credits!F70)+Credits!L70</f>
        <v>21501.58</v>
      </c>
      <c r="X71" s="3">
        <f>IF($A$5=1,IF($P71=0,0,ROUND(T71/$P71*$E71,2)),Credits!G70)+Credits!M70</f>
        <v>0</v>
      </c>
      <c r="Y71" s="3">
        <f t="shared" si="17"/>
        <v>37328.43</v>
      </c>
      <c r="AC71" s="4"/>
      <c r="AD71" s="4"/>
      <c r="AE71" s="2">
        <f t="shared" si="2"/>
        <v>0</v>
      </c>
      <c r="AF71" s="170" t="s">
        <v>1120</v>
      </c>
      <c r="AG71" s="175">
        <v>203</v>
      </c>
      <c r="AH71" s="175">
        <v>1</v>
      </c>
      <c r="AI71" s="175">
        <v>1</v>
      </c>
      <c r="AJ71" s="176">
        <v>527945.61</v>
      </c>
      <c r="AK71" s="176">
        <v>0</v>
      </c>
      <c r="AL71" s="176">
        <v>48483.040000000001</v>
      </c>
      <c r="AM71" s="176">
        <v>0</v>
      </c>
      <c r="AN71" s="177">
        <v>0</v>
      </c>
      <c r="AO71" s="177">
        <v>0</v>
      </c>
      <c r="AP71" s="177">
        <v>338658.39</v>
      </c>
      <c r="AQ71" s="177">
        <v>0</v>
      </c>
      <c r="AR71" s="177">
        <v>70780.22</v>
      </c>
      <c r="AS71" s="177">
        <v>0</v>
      </c>
      <c r="AT71" s="178">
        <v>556345.94999999995</v>
      </c>
      <c r="AU71" s="178">
        <v>0</v>
      </c>
      <c r="AV71" s="178">
        <v>0</v>
      </c>
      <c r="AW71" s="179">
        <v>0</v>
      </c>
      <c r="AX71" s="180">
        <v>0</v>
      </c>
      <c r="AY71" s="180">
        <v>0</v>
      </c>
      <c r="AZ71" s="180">
        <v>0</v>
      </c>
      <c r="BA71" s="180">
        <v>0</v>
      </c>
      <c r="BB71" s="170">
        <f t="shared" si="18"/>
        <v>1542213.21</v>
      </c>
      <c r="BC71" s="170">
        <v>1542213.21</v>
      </c>
      <c r="BD71" s="2">
        <f t="shared" si="19"/>
        <v>0</v>
      </c>
    </row>
    <row r="72" spans="1:56" ht="12" x14ac:dyDescent="0.2">
      <c r="A72" s="4">
        <v>204</v>
      </c>
      <c r="B72" s="4">
        <v>1</v>
      </c>
      <c r="C72" s="2" t="s">
        <v>1173</v>
      </c>
      <c r="D72" s="3">
        <v>0</v>
      </c>
      <c r="E72" s="3">
        <v>0</v>
      </c>
      <c r="F72" s="227">
        <f t="shared" si="3"/>
        <v>109125.13</v>
      </c>
      <c r="G72" s="227">
        <f t="shared" si="4"/>
        <v>504550.29</v>
      </c>
      <c r="H72" s="227">
        <f t="shared" si="5"/>
        <v>0</v>
      </c>
      <c r="I72" s="227">
        <f t="shared" si="6"/>
        <v>135932.13</v>
      </c>
      <c r="J72" s="227">
        <f t="shared" si="7"/>
        <v>109032.51</v>
      </c>
      <c r="K72" s="227">
        <f t="shared" si="8"/>
        <v>2273737.83</v>
      </c>
      <c r="L72" s="227">
        <f t="shared" si="9"/>
        <v>417516.71</v>
      </c>
      <c r="M72" s="3">
        <f t="shared" si="10"/>
        <v>0</v>
      </c>
      <c r="N72" s="227">
        <f t="shared" si="11"/>
        <v>0</v>
      </c>
      <c r="O72" s="142">
        <f t="shared" si="12"/>
        <v>3549894.6</v>
      </c>
      <c r="P72" s="3">
        <f t="shared" si="20"/>
        <v>2936219.18</v>
      </c>
      <c r="Q72" s="3">
        <f t="shared" si="13"/>
        <v>135932.13</v>
      </c>
      <c r="R72" s="3">
        <f t="shared" si="14"/>
        <v>109032.51</v>
      </c>
      <c r="S72" s="3">
        <f t="shared" si="15"/>
        <v>2691254.54</v>
      </c>
      <c r="T72" s="3">
        <f t="shared" si="16"/>
        <v>0</v>
      </c>
      <c r="U72" s="3">
        <f>IF($A$5=1,IF($P72=0,0,ROUND(Q72/$P72*$E72,2)),Credits!D71)+Credits!J71</f>
        <v>3428.3000000000011</v>
      </c>
      <c r="V72" s="3">
        <f>IF($A$5=1,IF($P72=0,0,ROUND(R72/$P72*$E72,2)),Credits!E71)+Credits!K71</f>
        <v>2750.66</v>
      </c>
      <c r="W72" s="3">
        <f>IF($A$5=1,IF($P72=0,0,ROUND(S72/$P72*$E72,2)),Credits!F71)+Credits!L71</f>
        <v>67884.180000000008</v>
      </c>
      <c r="X72" s="3">
        <f>IF($A$5=1,IF($P72=0,0,ROUND(T72/$P72*$E72,2)),Credits!G71)+Credits!M71</f>
        <v>0</v>
      </c>
      <c r="Y72" s="3">
        <f t="shared" si="17"/>
        <v>74063.140000000014</v>
      </c>
      <c r="AC72" s="4"/>
      <c r="AD72" s="4"/>
      <c r="AE72" s="2">
        <f t="shared" si="2"/>
        <v>0</v>
      </c>
      <c r="AF72" s="170" t="s">
        <v>1120</v>
      </c>
      <c r="AG72" s="175">
        <v>204</v>
      </c>
      <c r="AH72" s="175">
        <v>1</v>
      </c>
      <c r="AI72" s="175">
        <v>1</v>
      </c>
      <c r="AJ72" s="176">
        <v>109125.13</v>
      </c>
      <c r="AK72" s="176">
        <v>0</v>
      </c>
      <c r="AL72" s="176">
        <v>504550.29</v>
      </c>
      <c r="AM72" s="176">
        <v>0</v>
      </c>
      <c r="AN72" s="177">
        <v>0</v>
      </c>
      <c r="AO72" s="177">
        <v>0</v>
      </c>
      <c r="AP72" s="177">
        <v>135932.13</v>
      </c>
      <c r="AQ72" s="177">
        <v>0</v>
      </c>
      <c r="AR72" s="177">
        <v>109032.51</v>
      </c>
      <c r="AS72" s="177">
        <v>0</v>
      </c>
      <c r="AT72" s="178">
        <v>2273737.83</v>
      </c>
      <c r="AU72" s="178">
        <v>0</v>
      </c>
      <c r="AV72" s="178">
        <v>417516.71</v>
      </c>
      <c r="AW72" s="179">
        <v>0</v>
      </c>
      <c r="AX72" s="180">
        <v>0</v>
      </c>
      <c r="AY72" s="180">
        <v>0</v>
      </c>
      <c r="AZ72" s="180">
        <v>0</v>
      </c>
      <c r="BA72" s="180">
        <v>0</v>
      </c>
      <c r="BB72" s="170">
        <f t="shared" si="18"/>
        <v>3549894.6</v>
      </c>
      <c r="BC72" s="170">
        <v>3549894.6</v>
      </c>
      <c r="BD72" s="2">
        <f t="shared" si="19"/>
        <v>0</v>
      </c>
    </row>
    <row r="73" spans="1:56" ht="12" x14ac:dyDescent="0.2">
      <c r="A73" s="4">
        <v>206</v>
      </c>
      <c r="B73" s="4">
        <v>1</v>
      </c>
      <c r="C73" s="2" t="s">
        <v>68</v>
      </c>
      <c r="D73" s="3">
        <v>0</v>
      </c>
      <c r="E73" s="3">
        <v>0</v>
      </c>
      <c r="F73" s="227">
        <f t="shared" si="3"/>
        <v>749884.11</v>
      </c>
      <c r="G73" s="227">
        <f t="shared" si="4"/>
        <v>1738198.78</v>
      </c>
      <c r="H73" s="227">
        <f t="shared" si="5"/>
        <v>0</v>
      </c>
      <c r="I73" s="227">
        <f t="shared" si="6"/>
        <v>1490476.08</v>
      </c>
      <c r="J73" s="227">
        <f t="shared" si="7"/>
        <v>461081.47</v>
      </c>
      <c r="K73" s="227">
        <f t="shared" si="8"/>
        <v>5520548.6600000001</v>
      </c>
      <c r="L73" s="227">
        <f t="shared" si="9"/>
        <v>828668.36</v>
      </c>
      <c r="M73" s="3">
        <f t="shared" si="10"/>
        <v>0</v>
      </c>
      <c r="N73" s="227">
        <f t="shared" si="11"/>
        <v>508571.88</v>
      </c>
      <c r="O73" s="142">
        <f t="shared" si="12"/>
        <v>11297429.340000002</v>
      </c>
      <c r="P73" s="3">
        <f t="shared" si="20"/>
        <v>8809346.4500000011</v>
      </c>
      <c r="Q73" s="3">
        <f t="shared" si="13"/>
        <v>1490476.08</v>
      </c>
      <c r="R73" s="3">
        <f t="shared" si="14"/>
        <v>461081.47</v>
      </c>
      <c r="S73" s="3">
        <f t="shared" si="15"/>
        <v>6349217.0200000005</v>
      </c>
      <c r="T73" s="3">
        <f t="shared" si="16"/>
        <v>508571.88</v>
      </c>
      <c r="U73" s="3">
        <f>IF($A$5=1,IF($P73=0,0,ROUND(Q73/$P73*$E73,2)),Credits!D72)+Credits!J72</f>
        <v>7223.1500000000015</v>
      </c>
      <c r="V73" s="3">
        <f>IF($A$5=1,IF($P73=0,0,ROUND(R73/$P73*$E73,2)),Credits!E72)+Credits!K72</f>
        <v>2234.940000000001</v>
      </c>
      <c r="W73" s="3">
        <f>IF($A$5=1,IF($P73=0,0,ROUND(S73/$P73*$E73,2)),Credits!F72)+Credits!L72</f>
        <v>30571.599999999995</v>
      </c>
      <c r="X73" s="3">
        <f>IF($A$5=1,IF($P73=0,0,ROUND(T73/$P73*$E73,2)),Credits!G72)+Credits!M72</f>
        <v>2449.0200000000004</v>
      </c>
      <c r="Y73" s="3">
        <f t="shared" si="17"/>
        <v>42478.709999999992</v>
      </c>
      <c r="AC73" s="4"/>
      <c r="AD73" s="4"/>
      <c r="AE73" s="2">
        <f t="shared" ref="AE73:AE136" si="21">+A73-AG73</f>
        <v>0</v>
      </c>
      <c r="AF73" s="170" t="s">
        <v>1120</v>
      </c>
      <c r="AG73" s="175">
        <v>206</v>
      </c>
      <c r="AH73" s="175">
        <v>1</v>
      </c>
      <c r="AI73" s="175">
        <v>1</v>
      </c>
      <c r="AJ73" s="176">
        <v>749884.11</v>
      </c>
      <c r="AK73" s="176">
        <v>0</v>
      </c>
      <c r="AL73" s="176">
        <v>1738198.78</v>
      </c>
      <c r="AM73" s="176">
        <v>0</v>
      </c>
      <c r="AN73" s="177">
        <v>0</v>
      </c>
      <c r="AO73" s="177">
        <v>0</v>
      </c>
      <c r="AP73" s="177">
        <v>1490476.08</v>
      </c>
      <c r="AQ73" s="177">
        <v>0</v>
      </c>
      <c r="AR73" s="177">
        <v>461081.47</v>
      </c>
      <c r="AS73" s="177">
        <v>0</v>
      </c>
      <c r="AT73" s="178">
        <v>5520548.6600000001</v>
      </c>
      <c r="AU73" s="178">
        <v>0</v>
      </c>
      <c r="AV73" s="178">
        <v>828668.36</v>
      </c>
      <c r="AW73" s="179">
        <v>0</v>
      </c>
      <c r="AX73" s="180">
        <v>0</v>
      </c>
      <c r="AY73" s="180">
        <v>0</v>
      </c>
      <c r="AZ73" s="180">
        <v>508571.88</v>
      </c>
      <c r="BA73" s="180">
        <v>0</v>
      </c>
      <c r="BB73" s="170">
        <f t="shared" si="18"/>
        <v>11297429.340000002</v>
      </c>
      <c r="BC73" s="170">
        <v>11297429.34</v>
      </c>
      <c r="BD73" s="2">
        <f t="shared" si="19"/>
        <v>0</v>
      </c>
    </row>
    <row r="74" spans="1:56" ht="12" x14ac:dyDescent="0.2">
      <c r="A74" s="4">
        <v>213</v>
      </c>
      <c r="B74" s="4">
        <v>1</v>
      </c>
      <c r="C74" s="2" t="s">
        <v>71</v>
      </c>
      <c r="D74" s="3">
        <v>0</v>
      </c>
      <c r="E74" s="3">
        <v>0</v>
      </c>
      <c r="F74" s="227">
        <f t="shared" ref="F74:F137" si="22">+AJ74+AK74</f>
        <v>5879.52</v>
      </c>
      <c r="G74" s="227">
        <f t="shared" ref="G74:G137" si="23">+AL74+AM74</f>
        <v>164912.91</v>
      </c>
      <c r="H74" s="227">
        <f t="shared" ref="H74:H137" si="24">+AN74+AO74</f>
        <v>0</v>
      </c>
      <c r="I74" s="227">
        <f t="shared" ref="I74:I137" si="25">+AP74+AQ74</f>
        <v>168345.66</v>
      </c>
      <c r="J74" s="227">
        <f t="shared" ref="J74:J137" si="26">+AR74+AS74</f>
        <v>48756.7</v>
      </c>
      <c r="K74" s="227">
        <f t="shared" ref="K74:K137" si="27">+AT74+AU74</f>
        <v>1114020.1000000001</v>
      </c>
      <c r="L74" s="227">
        <f t="shared" ref="L74:L137" si="28">+AV74+AW74</f>
        <v>0</v>
      </c>
      <c r="M74" s="3">
        <f t="shared" ref="M74:M137" si="29">+AX74+AY74</f>
        <v>0</v>
      </c>
      <c r="N74" s="227">
        <f t="shared" ref="N74:N137" si="30">+AZ74+BA74</f>
        <v>55255.35</v>
      </c>
      <c r="O74" s="142">
        <f t="shared" ref="O74:O137" si="31">SUM(F74:N74)</f>
        <v>1557170.2400000002</v>
      </c>
      <c r="P74" s="3">
        <f t="shared" ref="P74:P135" si="32">SUM(H74:N74)</f>
        <v>1386377.81</v>
      </c>
      <c r="Q74" s="3">
        <f t="shared" ref="Q74:Q135" si="33">SUM(H74:I74)</f>
        <v>168345.66</v>
      </c>
      <c r="R74" s="3">
        <f t="shared" ref="R74:R135" si="34">J74</f>
        <v>48756.7</v>
      </c>
      <c r="S74" s="3">
        <f t="shared" ref="S74:S135" si="35">K74+L74</f>
        <v>1114020.1000000001</v>
      </c>
      <c r="T74" s="3">
        <f t="shared" ref="T74:T135" si="36">N74+M74</f>
        <v>55255.35</v>
      </c>
      <c r="U74" s="3">
        <f>IF($A$5=1,IF($P74=0,0,ROUND(Q74/$P74*$E74,2)),Credits!D73)+Credits!J73</f>
        <v>3667.7000000000003</v>
      </c>
      <c r="V74" s="3">
        <f>IF($A$5=1,IF($P74=0,0,ROUND(R74/$P74*$E74,2)),Credits!E73)+Credits!K73</f>
        <v>1063.1399999999999</v>
      </c>
      <c r="W74" s="3">
        <f>IF($A$5=1,IF($P74=0,0,ROUND(S74/$P74*$E74,2)),Credits!F73)+Credits!L73</f>
        <v>24277.370000000003</v>
      </c>
      <c r="X74" s="3">
        <f>IF($A$5=1,IF($P74=0,0,ROUND(T74/$P74*$E74,2)),Credits!G73)+Credits!M73</f>
        <v>1204.5899999999999</v>
      </c>
      <c r="Y74" s="3">
        <f t="shared" ref="Y74:Y135" si="37">SUM(U74:X74)</f>
        <v>30212.800000000003</v>
      </c>
      <c r="AC74" s="4"/>
      <c r="AD74" s="4"/>
      <c r="AE74" s="2">
        <f t="shared" si="21"/>
        <v>0</v>
      </c>
      <c r="AF74" s="170" t="s">
        <v>1120</v>
      </c>
      <c r="AG74" s="175">
        <v>213</v>
      </c>
      <c r="AH74" s="175">
        <v>1</v>
      </c>
      <c r="AI74" s="175">
        <v>1</v>
      </c>
      <c r="AJ74" s="176">
        <v>5879.52</v>
      </c>
      <c r="AK74" s="176">
        <v>0</v>
      </c>
      <c r="AL74" s="176">
        <v>164912.91</v>
      </c>
      <c r="AM74" s="176">
        <v>0</v>
      </c>
      <c r="AN74" s="177">
        <v>0</v>
      </c>
      <c r="AO74" s="177">
        <v>0</v>
      </c>
      <c r="AP74" s="177">
        <v>168345.66</v>
      </c>
      <c r="AQ74" s="177">
        <v>0</v>
      </c>
      <c r="AR74" s="177">
        <v>48756.7</v>
      </c>
      <c r="AS74" s="177">
        <v>0</v>
      </c>
      <c r="AT74" s="178">
        <v>1114020.1000000001</v>
      </c>
      <c r="AU74" s="178">
        <v>0</v>
      </c>
      <c r="AV74" s="178">
        <v>0</v>
      </c>
      <c r="AW74" s="179">
        <v>0</v>
      </c>
      <c r="AX74" s="180">
        <v>0</v>
      </c>
      <c r="AY74" s="180">
        <v>0</v>
      </c>
      <c r="AZ74" s="180">
        <v>55255.35</v>
      </c>
      <c r="BA74" s="180">
        <v>0</v>
      </c>
      <c r="BB74" s="170">
        <f t="shared" ref="BB74:BB137" si="38">SUM(AJ74:BA74)</f>
        <v>1557170.2400000002</v>
      </c>
      <c r="BC74" s="170">
        <v>1557170.24</v>
      </c>
      <c r="BD74" s="2">
        <f t="shared" ref="BD74:BD137" si="39">BB74-BC74</f>
        <v>0</v>
      </c>
    </row>
    <row r="75" spans="1:56" ht="12" x14ac:dyDescent="0.2">
      <c r="A75" s="4">
        <v>227</v>
      </c>
      <c r="B75" s="4">
        <v>1</v>
      </c>
      <c r="C75" s="2" t="s">
        <v>72</v>
      </c>
      <c r="D75" s="3">
        <v>0</v>
      </c>
      <c r="E75" s="3">
        <v>0</v>
      </c>
      <c r="F75" s="227">
        <f t="shared" si="22"/>
        <v>342124</v>
      </c>
      <c r="G75" s="227">
        <f t="shared" si="23"/>
        <v>66021</v>
      </c>
      <c r="H75" s="227">
        <f t="shared" si="24"/>
        <v>0</v>
      </c>
      <c r="I75" s="227">
        <f t="shared" si="25"/>
        <v>219077</v>
      </c>
      <c r="J75" s="227">
        <f t="shared" si="26"/>
        <v>74421</v>
      </c>
      <c r="K75" s="227">
        <f t="shared" si="27"/>
        <v>1188063</v>
      </c>
      <c r="L75" s="227">
        <f t="shared" si="28"/>
        <v>125689</v>
      </c>
      <c r="M75" s="3">
        <f t="shared" si="29"/>
        <v>0</v>
      </c>
      <c r="N75" s="227">
        <f t="shared" si="30"/>
        <v>0</v>
      </c>
      <c r="O75" s="142">
        <f t="shared" si="31"/>
        <v>2015395</v>
      </c>
      <c r="P75" s="3">
        <f t="shared" si="32"/>
        <v>1607250</v>
      </c>
      <c r="Q75" s="3">
        <f t="shared" si="33"/>
        <v>219077</v>
      </c>
      <c r="R75" s="3">
        <f t="shared" si="34"/>
        <v>74421</v>
      </c>
      <c r="S75" s="3">
        <f t="shared" si="35"/>
        <v>1313752</v>
      </c>
      <c r="T75" s="3">
        <f t="shared" si="36"/>
        <v>0</v>
      </c>
      <c r="U75" s="3">
        <f>IF($A$5=1,IF($P75=0,0,ROUND(Q75/$P75*$E75,2)),Credits!D74)+Credits!J74</f>
        <v>4503.62</v>
      </c>
      <c r="V75" s="3">
        <f>IF($A$5=1,IF($P75=0,0,ROUND(R75/$P75*$E75,2)),Credits!E74)+Credits!K74</f>
        <v>1529.79</v>
      </c>
      <c r="W75" s="3">
        <f>IF($A$5=1,IF($P75=0,0,ROUND(S75/$P75*$E75,2)),Credits!F74)+Credits!L74</f>
        <v>26908.98</v>
      </c>
      <c r="X75" s="3">
        <f>IF($A$5=1,IF($P75=0,0,ROUND(T75/$P75*$E75,2)),Credits!G74)+Credits!M74</f>
        <v>0</v>
      </c>
      <c r="Y75" s="3">
        <f t="shared" si="37"/>
        <v>32942.39</v>
      </c>
      <c r="AC75" s="4"/>
      <c r="AD75" s="4"/>
      <c r="AE75" s="2">
        <f t="shared" si="21"/>
        <v>0</v>
      </c>
      <c r="AF75" s="170" t="s">
        <v>1120</v>
      </c>
      <c r="AG75" s="175">
        <v>227</v>
      </c>
      <c r="AH75" s="175">
        <v>1</v>
      </c>
      <c r="AI75" s="175">
        <v>1</v>
      </c>
      <c r="AJ75" s="176">
        <v>342124</v>
      </c>
      <c r="AK75" s="176">
        <v>0</v>
      </c>
      <c r="AL75" s="176">
        <v>66021</v>
      </c>
      <c r="AM75" s="176">
        <v>0</v>
      </c>
      <c r="AN75" s="177">
        <v>0</v>
      </c>
      <c r="AO75" s="177">
        <v>0</v>
      </c>
      <c r="AP75" s="177">
        <v>219077</v>
      </c>
      <c r="AQ75" s="177">
        <v>0</v>
      </c>
      <c r="AR75" s="177">
        <v>74421</v>
      </c>
      <c r="AS75" s="177">
        <v>0</v>
      </c>
      <c r="AT75" s="178">
        <v>1188063</v>
      </c>
      <c r="AU75" s="178">
        <v>0</v>
      </c>
      <c r="AV75" s="178">
        <v>125689</v>
      </c>
      <c r="AW75" s="179">
        <v>0</v>
      </c>
      <c r="AX75" s="180">
        <v>0</v>
      </c>
      <c r="AY75" s="180">
        <v>0</v>
      </c>
      <c r="AZ75" s="180">
        <v>0</v>
      </c>
      <c r="BA75" s="180">
        <v>0</v>
      </c>
      <c r="BB75" s="170">
        <f t="shared" si="38"/>
        <v>2015395</v>
      </c>
      <c r="BC75" s="170">
        <v>2015395.07</v>
      </c>
      <c r="BD75" s="2">
        <f t="shared" si="39"/>
        <v>-7.000000006519258E-2</v>
      </c>
    </row>
    <row r="76" spans="1:56" ht="12" x14ac:dyDescent="0.2">
      <c r="A76" s="4">
        <v>229</v>
      </c>
      <c r="B76" s="4">
        <v>1</v>
      </c>
      <c r="C76" s="2" t="s">
        <v>73</v>
      </c>
      <c r="D76" s="3">
        <v>0</v>
      </c>
      <c r="E76" s="3">
        <v>0</v>
      </c>
      <c r="F76" s="227">
        <f t="shared" si="22"/>
        <v>0</v>
      </c>
      <c r="G76" s="227">
        <f t="shared" si="23"/>
        <v>61960</v>
      </c>
      <c r="H76" s="227">
        <f t="shared" si="24"/>
        <v>0</v>
      </c>
      <c r="I76" s="227">
        <f t="shared" si="25"/>
        <v>191460</v>
      </c>
      <c r="J76" s="227">
        <f t="shared" si="26"/>
        <v>21888</v>
      </c>
      <c r="K76" s="227">
        <f t="shared" si="27"/>
        <v>99138</v>
      </c>
      <c r="L76" s="227">
        <f t="shared" si="28"/>
        <v>0</v>
      </c>
      <c r="M76" s="3">
        <f t="shared" si="29"/>
        <v>0</v>
      </c>
      <c r="N76" s="227">
        <f t="shared" si="30"/>
        <v>0</v>
      </c>
      <c r="O76" s="142">
        <f t="shared" si="31"/>
        <v>374446</v>
      </c>
      <c r="P76" s="3">
        <f t="shared" si="32"/>
        <v>312486</v>
      </c>
      <c r="Q76" s="3">
        <f t="shared" si="33"/>
        <v>191460</v>
      </c>
      <c r="R76" s="3">
        <f t="shared" si="34"/>
        <v>21888</v>
      </c>
      <c r="S76" s="3">
        <f t="shared" si="35"/>
        <v>99138</v>
      </c>
      <c r="T76" s="3">
        <f t="shared" si="36"/>
        <v>0</v>
      </c>
      <c r="U76" s="3">
        <f>IF($A$5=1,IF($P76=0,0,ROUND(Q76/$P76*$E76,2)),Credits!D75)+Credits!J75</f>
        <v>11630.220000000001</v>
      </c>
      <c r="V76" s="3">
        <f>IF($A$5=1,IF($P76=0,0,ROUND(R76/$P76*$E76,2)),Credits!E75)+Credits!K75</f>
        <v>1329.06</v>
      </c>
      <c r="W76" s="3">
        <f>IF($A$5=1,IF($P76=0,0,ROUND(S76/$P76*$E76,2)),Credits!F75)+Credits!L75</f>
        <v>6023.3200000000006</v>
      </c>
      <c r="X76" s="3">
        <f>IF($A$5=1,IF($P76=0,0,ROUND(T76/$P76*$E76,2)),Credits!G75)+Credits!M75</f>
        <v>0</v>
      </c>
      <c r="Y76" s="3">
        <f t="shared" si="37"/>
        <v>18982.600000000002</v>
      </c>
      <c r="AC76" s="4"/>
      <c r="AD76" s="4"/>
      <c r="AE76" s="2">
        <f t="shared" si="21"/>
        <v>0</v>
      </c>
      <c r="AF76" s="170" t="s">
        <v>1120</v>
      </c>
      <c r="AG76" s="175">
        <v>229</v>
      </c>
      <c r="AH76" s="175">
        <v>1</v>
      </c>
      <c r="AI76" s="175">
        <v>1</v>
      </c>
      <c r="AJ76" s="176">
        <v>0</v>
      </c>
      <c r="AK76" s="176">
        <v>0</v>
      </c>
      <c r="AL76" s="176">
        <v>61960</v>
      </c>
      <c r="AM76" s="176">
        <v>0</v>
      </c>
      <c r="AN76" s="177">
        <v>0</v>
      </c>
      <c r="AO76" s="177">
        <v>0</v>
      </c>
      <c r="AP76" s="177">
        <v>191460</v>
      </c>
      <c r="AQ76" s="177">
        <v>0</v>
      </c>
      <c r="AR76" s="177">
        <v>21888</v>
      </c>
      <c r="AS76" s="177">
        <v>0</v>
      </c>
      <c r="AT76" s="178">
        <v>99138</v>
      </c>
      <c r="AU76" s="178">
        <v>0</v>
      </c>
      <c r="AV76" s="178">
        <v>0</v>
      </c>
      <c r="AW76" s="179">
        <v>0</v>
      </c>
      <c r="AX76" s="180">
        <v>0</v>
      </c>
      <c r="AY76" s="180">
        <v>0</v>
      </c>
      <c r="AZ76" s="180">
        <v>0</v>
      </c>
      <c r="BA76" s="180">
        <v>0</v>
      </c>
      <c r="BB76" s="170">
        <f t="shared" si="38"/>
        <v>374446</v>
      </c>
      <c r="BC76" s="170">
        <v>374445.53</v>
      </c>
      <c r="BD76" s="2">
        <f t="shared" si="39"/>
        <v>0.46999999997206032</v>
      </c>
    </row>
    <row r="77" spans="1:56" ht="12" x14ac:dyDescent="0.2">
      <c r="A77" s="4">
        <v>238</v>
      </c>
      <c r="B77" s="4">
        <v>1</v>
      </c>
      <c r="C77" s="2" t="s">
        <v>74</v>
      </c>
      <c r="D77" s="3">
        <v>0</v>
      </c>
      <c r="E77" s="3">
        <v>0</v>
      </c>
      <c r="F77" s="227">
        <f t="shared" si="22"/>
        <v>295043</v>
      </c>
      <c r="G77" s="227">
        <f t="shared" si="23"/>
        <v>13248</v>
      </c>
      <c r="H77" s="227">
        <f t="shared" si="24"/>
        <v>0</v>
      </c>
      <c r="I77" s="227">
        <f t="shared" si="25"/>
        <v>129514</v>
      </c>
      <c r="J77" s="227">
        <f t="shared" si="26"/>
        <v>10806</v>
      </c>
      <c r="K77" s="227">
        <f t="shared" si="27"/>
        <v>375880</v>
      </c>
      <c r="L77" s="227">
        <f t="shared" si="28"/>
        <v>0</v>
      </c>
      <c r="M77" s="3">
        <f t="shared" si="29"/>
        <v>0</v>
      </c>
      <c r="N77" s="227">
        <f t="shared" si="30"/>
        <v>0</v>
      </c>
      <c r="O77" s="142">
        <f t="shared" si="31"/>
        <v>824491</v>
      </c>
      <c r="P77" s="3">
        <f t="shared" si="32"/>
        <v>516200</v>
      </c>
      <c r="Q77" s="3">
        <f t="shared" si="33"/>
        <v>129514</v>
      </c>
      <c r="R77" s="3">
        <f t="shared" si="34"/>
        <v>10806</v>
      </c>
      <c r="S77" s="3">
        <f t="shared" si="35"/>
        <v>375880</v>
      </c>
      <c r="T77" s="3">
        <f t="shared" si="36"/>
        <v>0</v>
      </c>
      <c r="U77" s="3">
        <f>IF($A$5=1,IF($P77=0,0,ROUND(Q77/$P77*$E77,2)),Credits!D76)+Credits!J76</f>
        <v>6205.93</v>
      </c>
      <c r="V77" s="3">
        <f>IF($A$5=1,IF($P77=0,0,ROUND(R77/$P77*$E77,2)),Credits!E76)+Credits!K76</f>
        <v>518.11</v>
      </c>
      <c r="W77" s="3">
        <f>IF($A$5=1,IF($P77=0,0,ROUND(S77/$P77*$E77,2)),Credits!F76)+Credits!L76</f>
        <v>18009.88</v>
      </c>
      <c r="X77" s="3">
        <f>IF($A$5=1,IF($P77=0,0,ROUND(T77/$P77*$E77,2)),Credits!G76)+Credits!M76</f>
        <v>0</v>
      </c>
      <c r="Y77" s="3">
        <f t="shared" si="37"/>
        <v>24733.920000000002</v>
      </c>
      <c r="AC77" s="4"/>
      <c r="AD77" s="4"/>
      <c r="AE77" s="2">
        <f t="shared" si="21"/>
        <v>0</v>
      </c>
      <c r="AF77" s="170" t="s">
        <v>1120</v>
      </c>
      <c r="AG77" s="175">
        <v>238</v>
      </c>
      <c r="AH77" s="175">
        <v>1</v>
      </c>
      <c r="AI77" s="175">
        <v>1</v>
      </c>
      <c r="AJ77" s="176">
        <v>295043</v>
      </c>
      <c r="AK77" s="176">
        <v>0</v>
      </c>
      <c r="AL77" s="176">
        <v>13248</v>
      </c>
      <c r="AM77" s="176">
        <v>0</v>
      </c>
      <c r="AN77" s="177">
        <v>0</v>
      </c>
      <c r="AO77" s="177">
        <v>0</v>
      </c>
      <c r="AP77" s="177">
        <v>129514</v>
      </c>
      <c r="AQ77" s="177">
        <v>0</v>
      </c>
      <c r="AR77" s="177">
        <v>10806</v>
      </c>
      <c r="AS77" s="177">
        <v>0</v>
      </c>
      <c r="AT77" s="178">
        <v>375880</v>
      </c>
      <c r="AU77" s="178">
        <v>0</v>
      </c>
      <c r="AV77" s="178">
        <v>0</v>
      </c>
      <c r="AW77" s="179">
        <v>0</v>
      </c>
      <c r="AX77" s="180">
        <v>0</v>
      </c>
      <c r="AY77" s="180">
        <v>0</v>
      </c>
      <c r="AZ77" s="180">
        <v>0</v>
      </c>
      <c r="BA77" s="180">
        <v>0</v>
      </c>
      <c r="BB77" s="170">
        <f t="shared" si="38"/>
        <v>824491</v>
      </c>
      <c r="BC77" s="170">
        <v>824490.81</v>
      </c>
      <c r="BD77" s="2">
        <f t="shared" si="39"/>
        <v>0.18999999994412065</v>
      </c>
    </row>
    <row r="78" spans="1:56" ht="12" x14ac:dyDescent="0.2">
      <c r="A78" s="4">
        <v>239</v>
      </c>
      <c r="B78" s="4">
        <v>1</v>
      </c>
      <c r="C78" s="2" t="s">
        <v>1174</v>
      </c>
      <c r="D78" s="3">
        <v>0</v>
      </c>
      <c r="E78" s="3">
        <v>0</v>
      </c>
      <c r="F78" s="227">
        <f t="shared" si="22"/>
        <v>506046</v>
      </c>
      <c r="G78" s="227">
        <f t="shared" si="23"/>
        <v>58101</v>
      </c>
      <c r="H78" s="227">
        <f t="shared" si="24"/>
        <v>0</v>
      </c>
      <c r="I78" s="227">
        <f t="shared" si="25"/>
        <v>304941</v>
      </c>
      <c r="J78" s="227">
        <f t="shared" si="26"/>
        <v>48725</v>
      </c>
      <c r="K78" s="227">
        <f t="shared" si="27"/>
        <v>0</v>
      </c>
      <c r="L78" s="227">
        <f t="shared" si="28"/>
        <v>0</v>
      </c>
      <c r="M78" s="3">
        <f t="shared" si="29"/>
        <v>0</v>
      </c>
      <c r="N78" s="227">
        <f t="shared" si="30"/>
        <v>0</v>
      </c>
      <c r="O78" s="142">
        <f t="shared" si="31"/>
        <v>917813</v>
      </c>
      <c r="P78" s="3">
        <f t="shared" si="32"/>
        <v>353666</v>
      </c>
      <c r="Q78" s="3">
        <f t="shared" si="33"/>
        <v>304941</v>
      </c>
      <c r="R78" s="3">
        <f t="shared" si="34"/>
        <v>48725</v>
      </c>
      <c r="S78" s="3">
        <f t="shared" si="35"/>
        <v>0</v>
      </c>
      <c r="T78" s="3">
        <f t="shared" si="36"/>
        <v>0</v>
      </c>
      <c r="U78" s="3">
        <f>IF($A$5=1,IF($P78=0,0,ROUND(Q78/$P78*$E78,2)),Credits!D77)+Credits!J77</f>
        <v>24183.46</v>
      </c>
      <c r="V78" s="3">
        <f>IF($A$5=1,IF($P78=0,0,ROUND(R78/$P78*$E78,2)),Credits!E77)+Credits!K77</f>
        <v>3862.6</v>
      </c>
      <c r="W78" s="3">
        <f>IF($A$5=1,IF($P78=0,0,ROUND(S78/$P78*$E78,2)),Credits!F77)+Credits!L77</f>
        <v>0</v>
      </c>
      <c r="X78" s="3">
        <f>IF($A$5=1,IF($P78=0,0,ROUND(T78/$P78*$E78,2)),Credits!G77)+Credits!M77</f>
        <v>0</v>
      </c>
      <c r="Y78" s="3">
        <f t="shared" si="37"/>
        <v>28046.059999999998</v>
      </c>
      <c r="AC78" s="4"/>
      <c r="AD78" s="4"/>
      <c r="AE78" s="2">
        <f t="shared" si="21"/>
        <v>0</v>
      </c>
      <c r="AF78" s="170" t="s">
        <v>1120</v>
      </c>
      <c r="AG78" s="175">
        <v>239</v>
      </c>
      <c r="AH78" s="175">
        <v>1</v>
      </c>
      <c r="AI78" s="175">
        <v>1</v>
      </c>
      <c r="AJ78" s="176">
        <v>506046</v>
      </c>
      <c r="AK78" s="176">
        <v>0</v>
      </c>
      <c r="AL78" s="176">
        <v>58101</v>
      </c>
      <c r="AM78" s="176">
        <v>0</v>
      </c>
      <c r="AN78" s="177">
        <v>0</v>
      </c>
      <c r="AO78" s="177">
        <v>0</v>
      </c>
      <c r="AP78" s="177">
        <v>304941</v>
      </c>
      <c r="AQ78" s="177">
        <v>0</v>
      </c>
      <c r="AR78" s="177">
        <v>48725</v>
      </c>
      <c r="AS78" s="177">
        <v>0</v>
      </c>
      <c r="AT78" s="178">
        <v>0</v>
      </c>
      <c r="AU78" s="178">
        <v>0</v>
      </c>
      <c r="AV78" s="178">
        <v>0</v>
      </c>
      <c r="AW78" s="179">
        <v>0</v>
      </c>
      <c r="AX78" s="180">
        <v>0</v>
      </c>
      <c r="AY78" s="180">
        <v>0</v>
      </c>
      <c r="AZ78" s="180">
        <v>0</v>
      </c>
      <c r="BA78" s="180">
        <v>0</v>
      </c>
      <c r="BB78" s="170">
        <f t="shared" si="38"/>
        <v>917813</v>
      </c>
      <c r="BC78" s="170">
        <v>917812.66</v>
      </c>
      <c r="BD78" s="2">
        <f t="shared" si="39"/>
        <v>0.33999999996740371</v>
      </c>
    </row>
    <row r="79" spans="1:56" ht="12" x14ac:dyDescent="0.2">
      <c r="A79" s="4">
        <v>241</v>
      </c>
      <c r="B79" s="4">
        <v>1</v>
      </c>
      <c r="C79" s="2" t="s">
        <v>76</v>
      </c>
      <c r="D79" s="3">
        <v>0</v>
      </c>
      <c r="E79" s="3">
        <v>0</v>
      </c>
      <c r="F79" s="227">
        <f t="shared" si="22"/>
        <v>2156809</v>
      </c>
      <c r="G79" s="227">
        <f t="shared" si="23"/>
        <v>832464</v>
      </c>
      <c r="H79" s="227">
        <f t="shared" si="24"/>
        <v>0</v>
      </c>
      <c r="I79" s="227">
        <f t="shared" si="25"/>
        <v>1347123</v>
      </c>
      <c r="J79" s="227">
        <f t="shared" si="26"/>
        <v>239072</v>
      </c>
      <c r="K79" s="227">
        <f t="shared" si="27"/>
        <v>2614328</v>
      </c>
      <c r="L79" s="227">
        <f t="shared" si="28"/>
        <v>346957</v>
      </c>
      <c r="M79" s="3">
        <f t="shared" si="29"/>
        <v>0</v>
      </c>
      <c r="N79" s="227">
        <f t="shared" si="30"/>
        <v>294145</v>
      </c>
      <c r="O79" s="142">
        <f t="shared" si="31"/>
        <v>7830898</v>
      </c>
      <c r="P79" s="3">
        <f t="shared" si="32"/>
        <v>4841625</v>
      </c>
      <c r="Q79" s="3">
        <f t="shared" si="33"/>
        <v>1347123</v>
      </c>
      <c r="R79" s="3">
        <f t="shared" si="34"/>
        <v>239072</v>
      </c>
      <c r="S79" s="3">
        <f t="shared" si="35"/>
        <v>2961285</v>
      </c>
      <c r="T79" s="3">
        <f t="shared" si="36"/>
        <v>294145</v>
      </c>
      <c r="U79" s="3">
        <f>IF($A$5=1,IF($P79=0,0,ROUND(Q79/$P79*$E79,2)),Credits!D78)+Credits!J78</f>
        <v>16497.79</v>
      </c>
      <c r="V79" s="3">
        <f>IF($A$5=1,IF($P79=0,0,ROUND(R79/$P79*$E79,2)),Credits!E78)+Credits!K78</f>
        <v>2927.5700000000006</v>
      </c>
      <c r="W79" s="3">
        <f>IF($A$5=1,IF($P79=0,0,ROUND(S79/$P79*$E79,2)),Credits!F78)+Credits!L78</f>
        <v>35715.760000000009</v>
      </c>
      <c r="X79" s="3">
        <f>IF($A$5=1,IF($P79=0,0,ROUND(T79/$P79*$E79,2)),Credits!G78)+Credits!M78</f>
        <v>3547.55</v>
      </c>
      <c r="Y79" s="3">
        <f t="shared" si="37"/>
        <v>58688.670000000013</v>
      </c>
      <c r="AC79" s="4"/>
      <c r="AD79" s="4"/>
      <c r="AE79" s="2">
        <f t="shared" si="21"/>
        <v>0</v>
      </c>
      <c r="AF79" s="170" t="s">
        <v>1120</v>
      </c>
      <c r="AG79" s="175">
        <v>241</v>
      </c>
      <c r="AH79" s="175">
        <v>1</v>
      </c>
      <c r="AI79" s="175">
        <v>1</v>
      </c>
      <c r="AJ79" s="176">
        <v>2156809</v>
      </c>
      <c r="AK79" s="176">
        <v>0</v>
      </c>
      <c r="AL79" s="176">
        <v>832464</v>
      </c>
      <c r="AM79" s="176">
        <v>0</v>
      </c>
      <c r="AN79" s="177">
        <v>0</v>
      </c>
      <c r="AO79" s="177">
        <v>0</v>
      </c>
      <c r="AP79" s="177">
        <v>1347123</v>
      </c>
      <c r="AQ79" s="177">
        <v>0</v>
      </c>
      <c r="AR79" s="177">
        <v>239072</v>
      </c>
      <c r="AS79" s="177">
        <v>0</v>
      </c>
      <c r="AT79" s="178">
        <v>2614328</v>
      </c>
      <c r="AU79" s="178">
        <v>0</v>
      </c>
      <c r="AV79" s="178">
        <v>346957</v>
      </c>
      <c r="AW79" s="179">
        <v>0</v>
      </c>
      <c r="AX79" s="180">
        <v>0</v>
      </c>
      <c r="AY79" s="180">
        <v>0</v>
      </c>
      <c r="AZ79" s="180">
        <v>294145</v>
      </c>
      <c r="BA79" s="180">
        <v>0</v>
      </c>
      <c r="BB79" s="170">
        <f t="shared" si="38"/>
        <v>7830898</v>
      </c>
      <c r="BC79" s="170">
        <v>7830898.7199999997</v>
      </c>
      <c r="BD79" s="2">
        <f t="shared" si="39"/>
        <v>-0.71999999973922968</v>
      </c>
    </row>
    <row r="80" spans="1:56" ht="12" x14ac:dyDescent="0.2">
      <c r="A80" s="4">
        <v>242</v>
      </c>
      <c r="B80" s="4">
        <v>1</v>
      </c>
      <c r="C80" s="2" t="s">
        <v>1175</v>
      </c>
      <c r="D80" s="3">
        <v>0</v>
      </c>
      <c r="E80" s="3">
        <v>0</v>
      </c>
      <c r="F80" s="227">
        <f t="shared" si="22"/>
        <v>222900</v>
      </c>
      <c r="G80" s="227">
        <f t="shared" si="23"/>
        <v>30065</v>
      </c>
      <c r="H80" s="227">
        <f t="shared" si="24"/>
        <v>0</v>
      </c>
      <c r="I80" s="227">
        <f t="shared" si="25"/>
        <v>111560</v>
      </c>
      <c r="J80" s="227">
        <f t="shared" si="26"/>
        <v>20903</v>
      </c>
      <c r="K80" s="227">
        <f t="shared" si="27"/>
        <v>410126</v>
      </c>
      <c r="L80" s="227">
        <f t="shared" si="28"/>
        <v>0</v>
      </c>
      <c r="M80" s="3">
        <f t="shared" si="29"/>
        <v>0</v>
      </c>
      <c r="N80" s="227">
        <f t="shared" si="30"/>
        <v>0</v>
      </c>
      <c r="O80" s="142">
        <f t="shared" si="31"/>
        <v>795554</v>
      </c>
      <c r="P80" s="3">
        <f t="shared" si="32"/>
        <v>542589</v>
      </c>
      <c r="Q80" s="3">
        <f t="shared" si="33"/>
        <v>111560</v>
      </c>
      <c r="R80" s="3">
        <f t="shared" si="34"/>
        <v>20903</v>
      </c>
      <c r="S80" s="3">
        <f t="shared" si="35"/>
        <v>410126</v>
      </c>
      <c r="T80" s="3">
        <f t="shared" si="36"/>
        <v>0</v>
      </c>
      <c r="U80" s="3">
        <f>IF($A$5=1,IF($P80=0,0,ROUND(Q80/$P80*$E80,2)),Credits!D79)+Credits!J79</f>
        <v>3424.1899999999996</v>
      </c>
      <c r="V80" s="3">
        <f>IF($A$5=1,IF($P80=0,0,ROUND(R80/$P80*$E80,2)),Credits!E79)+Credits!K79</f>
        <v>641.79999999999995</v>
      </c>
      <c r="W80" s="3">
        <f>IF($A$5=1,IF($P80=0,0,ROUND(S80/$P80*$E80,2)),Credits!F79)+Credits!L79</f>
        <v>12589.19</v>
      </c>
      <c r="X80" s="3">
        <f>IF($A$5=1,IF($P80=0,0,ROUND(T80/$P80*$E80,2)),Credits!G79)+Credits!M79</f>
        <v>0</v>
      </c>
      <c r="Y80" s="3">
        <f t="shared" si="37"/>
        <v>16655.18</v>
      </c>
      <c r="AC80" s="4"/>
      <c r="AD80" s="4"/>
      <c r="AE80" s="2">
        <f t="shared" si="21"/>
        <v>0</v>
      </c>
      <c r="AF80" s="170" t="s">
        <v>1120</v>
      </c>
      <c r="AG80" s="175">
        <v>242</v>
      </c>
      <c r="AH80" s="175">
        <v>1</v>
      </c>
      <c r="AI80" s="175">
        <v>1</v>
      </c>
      <c r="AJ80" s="176">
        <v>222900</v>
      </c>
      <c r="AK80" s="176">
        <v>0</v>
      </c>
      <c r="AL80" s="176">
        <v>30065</v>
      </c>
      <c r="AM80" s="176">
        <v>0</v>
      </c>
      <c r="AN80" s="177">
        <v>0</v>
      </c>
      <c r="AO80" s="177">
        <v>0</v>
      </c>
      <c r="AP80" s="177">
        <v>111560</v>
      </c>
      <c r="AQ80" s="177">
        <v>0</v>
      </c>
      <c r="AR80" s="177">
        <v>20903</v>
      </c>
      <c r="AS80" s="177">
        <v>0</v>
      </c>
      <c r="AT80" s="178">
        <v>410126</v>
      </c>
      <c r="AU80" s="178">
        <v>0</v>
      </c>
      <c r="AV80" s="178">
        <v>0</v>
      </c>
      <c r="AW80" s="179">
        <v>0</v>
      </c>
      <c r="AX80" s="180">
        <v>0</v>
      </c>
      <c r="AY80" s="180">
        <v>0</v>
      </c>
      <c r="AZ80" s="180">
        <v>0</v>
      </c>
      <c r="BA80" s="180">
        <v>0</v>
      </c>
      <c r="BB80" s="170">
        <f t="shared" si="38"/>
        <v>795554</v>
      </c>
      <c r="BC80" s="170">
        <v>795554.1</v>
      </c>
      <c r="BD80" s="2">
        <f t="shared" si="39"/>
        <v>-9.9999999976716936E-2</v>
      </c>
    </row>
    <row r="81" spans="1:56" ht="12" x14ac:dyDescent="0.2">
      <c r="A81" s="4">
        <v>252</v>
      </c>
      <c r="B81" s="4">
        <v>1</v>
      </c>
      <c r="C81" s="2" t="s">
        <v>78</v>
      </c>
      <c r="D81" s="3">
        <v>0</v>
      </c>
      <c r="E81" s="3">
        <v>0</v>
      </c>
      <c r="F81" s="227">
        <f t="shared" si="22"/>
        <v>42930</v>
      </c>
      <c r="G81" s="227">
        <f t="shared" si="23"/>
        <v>929559</v>
      </c>
      <c r="H81" s="227">
        <f t="shared" si="24"/>
        <v>0</v>
      </c>
      <c r="I81" s="227">
        <f t="shared" si="25"/>
        <v>334210</v>
      </c>
      <c r="J81" s="227">
        <f t="shared" si="26"/>
        <v>153080</v>
      </c>
      <c r="K81" s="227">
        <f t="shared" si="27"/>
        <v>1676964</v>
      </c>
      <c r="L81" s="227">
        <f t="shared" si="28"/>
        <v>0</v>
      </c>
      <c r="M81" s="3">
        <f t="shared" si="29"/>
        <v>0</v>
      </c>
      <c r="N81" s="227">
        <f t="shared" si="30"/>
        <v>112809</v>
      </c>
      <c r="O81" s="142">
        <f t="shared" si="31"/>
        <v>3249552</v>
      </c>
      <c r="P81" s="3">
        <f t="shared" si="32"/>
        <v>2277063</v>
      </c>
      <c r="Q81" s="3">
        <f t="shared" si="33"/>
        <v>334210</v>
      </c>
      <c r="R81" s="3">
        <f t="shared" si="34"/>
        <v>153080</v>
      </c>
      <c r="S81" s="3">
        <f t="shared" si="35"/>
        <v>1676964</v>
      </c>
      <c r="T81" s="3">
        <f t="shared" si="36"/>
        <v>112809</v>
      </c>
      <c r="U81" s="3">
        <f>IF($A$5=1,IF($P81=0,0,ROUND(Q81/$P81*$E81,2)),Credits!D80)+Credits!J80</f>
        <v>5869.3300000000008</v>
      </c>
      <c r="V81" s="3">
        <f>IF($A$5=1,IF($P81=0,0,ROUND(R81/$P81*$E81,2)),Credits!E80)+Credits!K80</f>
        <v>2687.46</v>
      </c>
      <c r="W81" s="3">
        <f>IF($A$5=1,IF($P81=0,0,ROUND(S81/$P81*$E81,2)),Credits!F80)+Credits!L80</f>
        <v>29448.510000000002</v>
      </c>
      <c r="X81" s="3">
        <f>IF($A$5=1,IF($P81=0,0,ROUND(T81/$P81*$E81,2)),Credits!G80)+Credits!M80</f>
        <v>1980.94</v>
      </c>
      <c r="Y81" s="3">
        <f t="shared" si="37"/>
        <v>39986.240000000005</v>
      </c>
      <c r="AC81" s="4"/>
      <c r="AD81" s="4"/>
      <c r="AE81" s="2">
        <f t="shared" si="21"/>
        <v>0</v>
      </c>
      <c r="AF81" s="170" t="s">
        <v>1120</v>
      </c>
      <c r="AG81" s="175">
        <v>252</v>
      </c>
      <c r="AH81" s="175">
        <v>1</v>
      </c>
      <c r="AI81" s="175">
        <v>1</v>
      </c>
      <c r="AJ81" s="176">
        <v>42930</v>
      </c>
      <c r="AK81" s="176">
        <v>0</v>
      </c>
      <c r="AL81" s="176">
        <v>929559</v>
      </c>
      <c r="AM81" s="176">
        <v>0</v>
      </c>
      <c r="AN81" s="177">
        <v>0</v>
      </c>
      <c r="AO81" s="177">
        <v>0</v>
      </c>
      <c r="AP81" s="177">
        <v>334210</v>
      </c>
      <c r="AQ81" s="177">
        <v>0</v>
      </c>
      <c r="AR81" s="177">
        <v>153080</v>
      </c>
      <c r="AS81" s="177">
        <v>0</v>
      </c>
      <c r="AT81" s="178">
        <v>1676964</v>
      </c>
      <c r="AU81" s="178">
        <v>0</v>
      </c>
      <c r="AV81" s="178">
        <v>0</v>
      </c>
      <c r="AW81" s="179">
        <v>0</v>
      </c>
      <c r="AX81" s="180">
        <v>0</v>
      </c>
      <c r="AY81" s="180">
        <v>0</v>
      </c>
      <c r="AZ81" s="180">
        <v>112809</v>
      </c>
      <c r="BA81" s="180">
        <v>0</v>
      </c>
      <c r="BB81" s="170">
        <f t="shared" si="38"/>
        <v>3249552</v>
      </c>
      <c r="BC81" s="170">
        <v>3249551.91</v>
      </c>
      <c r="BD81" s="2">
        <f t="shared" si="39"/>
        <v>8.9999999850988388E-2</v>
      </c>
    </row>
    <row r="82" spans="1:56" ht="12" x14ac:dyDescent="0.2">
      <c r="A82" s="4">
        <v>253</v>
      </c>
      <c r="B82" s="4">
        <v>1</v>
      </c>
      <c r="C82" s="2" t="s">
        <v>79</v>
      </c>
      <c r="D82" s="3">
        <v>0</v>
      </c>
      <c r="E82" s="3">
        <v>0</v>
      </c>
      <c r="F82" s="227">
        <f t="shared" si="22"/>
        <v>152596</v>
      </c>
      <c r="G82" s="227">
        <f t="shared" si="23"/>
        <v>50168</v>
      </c>
      <c r="H82" s="227">
        <f t="shared" si="24"/>
        <v>0</v>
      </c>
      <c r="I82" s="227">
        <f t="shared" si="25"/>
        <v>205902</v>
      </c>
      <c r="J82" s="227">
        <f t="shared" si="26"/>
        <v>34362</v>
      </c>
      <c r="K82" s="227">
        <f t="shared" si="27"/>
        <v>460677</v>
      </c>
      <c r="L82" s="227">
        <f t="shared" si="28"/>
        <v>0</v>
      </c>
      <c r="M82" s="3">
        <f t="shared" si="29"/>
        <v>0</v>
      </c>
      <c r="N82" s="227">
        <f t="shared" si="30"/>
        <v>0</v>
      </c>
      <c r="O82" s="142">
        <f t="shared" si="31"/>
        <v>903705</v>
      </c>
      <c r="P82" s="3">
        <f t="shared" si="32"/>
        <v>700941</v>
      </c>
      <c r="Q82" s="3">
        <f t="shared" si="33"/>
        <v>205902</v>
      </c>
      <c r="R82" s="3">
        <f t="shared" si="34"/>
        <v>34362</v>
      </c>
      <c r="S82" s="3">
        <f t="shared" si="35"/>
        <v>460677</v>
      </c>
      <c r="T82" s="3">
        <f t="shared" si="36"/>
        <v>0</v>
      </c>
      <c r="U82" s="3">
        <f>IF($A$5=1,IF($P82=0,0,ROUND(Q82/$P82*$E82,2)),Credits!D81)+Credits!J81</f>
        <v>4590.57</v>
      </c>
      <c r="V82" s="3">
        <f>IF($A$5=1,IF($P82=0,0,ROUND(R82/$P82*$E82,2)),Credits!E81)+Credits!K81</f>
        <v>766.14999999999986</v>
      </c>
      <c r="W82" s="3">
        <f>IF($A$5=1,IF($P82=0,0,ROUND(S82/$P82*$E82,2)),Credits!F81)+Credits!L81</f>
        <v>10270.380000000001</v>
      </c>
      <c r="X82" s="3">
        <f>IF($A$5=1,IF($P82=0,0,ROUND(T82/$P82*$E82,2)),Credits!G81)+Credits!M81</f>
        <v>0</v>
      </c>
      <c r="Y82" s="3">
        <f t="shared" si="37"/>
        <v>15627.1</v>
      </c>
      <c r="AC82" s="4"/>
      <c r="AD82" s="4"/>
      <c r="AE82" s="2">
        <f t="shared" si="21"/>
        <v>0</v>
      </c>
      <c r="AF82" s="170" t="s">
        <v>1120</v>
      </c>
      <c r="AG82" s="175">
        <v>253</v>
      </c>
      <c r="AH82" s="175">
        <v>1</v>
      </c>
      <c r="AI82" s="175">
        <v>1</v>
      </c>
      <c r="AJ82" s="176">
        <v>152596</v>
      </c>
      <c r="AK82" s="176">
        <v>0</v>
      </c>
      <c r="AL82" s="176">
        <v>50168</v>
      </c>
      <c r="AM82" s="176">
        <v>0</v>
      </c>
      <c r="AN82" s="177">
        <v>0</v>
      </c>
      <c r="AO82" s="177">
        <v>0</v>
      </c>
      <c r="AP82" s="177">
        <v>205902</v>
      </c>
      <c r="AQ82" s="177">
        <v>0</v>
      </c>
      <c r="AR82" s="177">
        <v>34362</v>
      </c>
      <c r="AS82" s="177">
        <v>0</v>
      </c>
      <c r="AT82" s="178">
        <v>460677</v>
      </c>
      <c r="AU82" s="178">
        <v>0</v>
      </c>
      <c r="AV82" s="178">
        <v>0</v>
      </c>
      <c r="AW82" s="179">
        <v>0</v>
      </c>
      <c r="AX82" s="180">
        <v>0</v>
      </c>
      <c r="AY82" s="180">
        <v>0</v>
      </c>
      <c r="AZ82" s="180">
        <v>0</v>
      </c>
      <c r="BA82" s="180">
        <v>0</v>
      </c>
      <c r="BB82" s="170">
        <f t="shared" si="38"/>
        <v>903705</v>
      </c>
      <c r="BC82" s="170">
        <v>903703.87</v>
      </c>
      <c r="BD82" s="2">
        <f t="shared" si="39"/>
        <v>1.1300000000046566</v>
      </c>
    </row>
    <row r="83" spans="1:56" ht="12" x14ac:dyDescent="0.2">
      <c r="A83" s="4">
        <v>255</v>
      </c>
      <c r="B83" s="4">
        <v>1</v>
      </c>
      <c r="C83" s="2" t="s">
        <v>80</v>
      </c>
      <c r="D83" s="3">
        <v>0</v>
      </c>
      <c r="E83" s="3">
        <v>0</v>
      </c>
      <c r="F83" s="227">
        <f t="shared" si="22"/>
        <v>545095</v>
      </c>
      <c r="G83" s="227">
        <f t="shared" si="23"/>
        <v>104686</v>
      </c>
      <c r="H83" s="227">
        <f t="shared" si="24"/>
        <v>0</v>
      </c>
      <c r="I83" s="227">
        <f t="shared" si="25"/>
        <v>434236</v>
      </c>
      <c r="J83" s="227">
        <f t="shared" si="26"/>
        <v>168996</v>
      </c>
      <c r="K83" s="227">
        <f t="shared" si="27"/>
        <v>573766</v>
      </c>
      <c r="L83" s="227">
        <f t="shared" si="28"/>
        <v>56537</v>
      </c>
      <c r="M83" s="3">
        <f t="shared" si="29"/>
        <v>0</v>
      </c>
      <c r="N83" s="227">
        <f t="shared" si="30"/>
        <v>0</v>
      </c>
      <c r="O83" s="142">
        <f t="shared" si="31"/>
        <v>1883316</v>
      </c>
      <c r="P83" s="3">
        <f t="shared" si="32"/>
        <v>1233535</v>
      </c>
      <c r="Q83" s="3">
        <f t="shared" si="33"/>
        <v>434236</v>
      </c>
      <c r="R83" s="3">
        <f t="shared" si="34"/>
        <v>168996</v>
      </c>
      <c r="S83" s="3">
        <f t="shared" si="35"/>
        <v>630303</v>
      </c>
      <c r="T83" s="3">
        <f t="shared" si="36"/>
        <v>0</v>
      </c>
      <c r="U83" s="3">
        <f>IF($A$5=1,IF($P83=0,0,ROUND(Q83/$P83*$E83,2)),Credits!D82)+Credits!J82</f>
        <v>9531.76</v>
      </c>
      <c r="V83" s="3">
        <f>IF($A$5=1,IF($P83=0,0,ROUND(R83/$P83*$E83,2)),Credits!E82)+Credits!K82</f>
        <v>3709.1600000000003</v>
      </c>
      <c r="W83" s="3">
        <f>IF($A$5=1,IF($P83=0,0,ROUND(S83/$P83*$E83,2)),Credits!F82)+Credits!L82</f>
        <v>13835.5</v>
      </c>
      <c r="X83" s="3">
        <f>IF($A$5=1,IF($P83=0,0,ROUND(T83/$P83*$E83,2)),Credits!G82)+Credits!M82</f>
        <v>0</v>
      </c>
      <c r="Y83" s="3">
        <f t="shared" si="37"/>
        <v>27076.42</v>
      </c>
      <c r="AC83" s="4"/>
      <c r="AD83" s="4"/>
      <c r="AE83" s="2">
        <f t="shared" si="21"/>
        <v>0</v>
      </c>
      <c r="AF83" s="170" t="s">
        <v>1120</v>
      </c>
      <c r="AG83" s="175">
        <v>255</v>
      </c>
      <c r="AH83" s="175">
        <v>1</v>
      </c>
      <c r="AI83" s="175">
        <v>1</v>
      </c>
      <c r="AJ83" s="176">
        <v>545095</v>
      </c>
      <c r="AK83" s="176">
        <v>0</v>
      </c>
      <c r="AL83" s="176">
        <v>104686</v>
      </c>
      <c r="AM83" s="176">
        <v>0</v>
      </c>
      <c r="AN83" s="177">
        <v>0</v>
      </c>
      <c r="AO83" s="177">
        <v>0</v>
      </c>
      <c r="AP83" s="177">
        <v>434236</v>
      </c>
      <c r="AQ83" s="177">
        <v>0</v>
      </c>
      <c r="AR83" s="177">
        <v>168996</v>
      </c>
      <c r="AS83" s="177">
        <v>0</v>
      </c>
      <c r="AT83" s="178">
        <v>573766</v>
      </c>
      <c r="AU83" s="178">
        <v>0</v>
      </c>
      <c r="AV83" s="178">
        <v>56537</v>
      </c>
      <c r="AW83" s="179">
        <v>0</v>
      </c>
      <c r="AX83" s="180">
        <v>0</v>
      </c>
      <c r="AY83" s="180">
        <v>0</v>
      </c>
      <c r="AZ83" s="180">
        <v>0</v>
      </c>
      <c r="BA83" s="180">
        <v>0</v>
      </c>
      <c r="BB83" s="170">
        <f t="shared" si="38"/>
        <v>1883316</v>
      </c>
      <c r="BC83" s="170">
        <v>1883316.01</v>
      </c>
      <c r="BD83" s="2">
        <f t="shared" si="39"/>
        <v>-1.0000000009313226E-2</v>
      </c>
    </row>
    <row r="84" spans="1:56" ht="12" x14ac:dyDescent="0.2">
      <c r="A84" s="4">
        <v>256</v>
      </c>
      <c r="B84" s="4">
        <v>1</v>
      </c>
      <c r="C84" s="2" t="s">
        <v>81</v>
      </c>
      <c r="D84" s="3">
        <v>0</v>
      </c>
      <c r="E84" s="3">
        <v>0</v>
      </c>
      <c r="F84" s="227">
        <f t="shared" si="22"/>
        <v>2839718</v>
      </c>
      <c r="G84" s="227">
        <f t="shared" si="23"/>
        <v>949620</v>
      </c>
      <c r="H84" s="227">
        <f t="shared" si="24"/>
        <v>0</v>
      </c>
      <c r="I84" s="227">
        <f t="shared" si="25"/>
        <v>1646927</v>
      </c>
      <c r="J84" s="227">
        <f t="shared" si="26"/>
        <v>322471</v>
      </c>
      <c r="K84" s="227">
        <f t="shared" si="27"/>
        <v>0</v>
      </c>
      <c r="L84" s="227">
        <f t="shared" si="28"/>
        <v>0</v>
      </c>
      <c r="M84" s="3">
        <f t="shared" si="29"/>
        <v>0</v>
      </c>
      <c r="N84" s="227">
        <f t="shared" si="30"/>
        <v>2464254</v>
      </c>
      <c r="O84" s="142">
        <f t="shared" si="31"/>
        <v>8222990</v>
      </c>
      <c r="P84" s="3">
        <f t="shared" si="32"/>
        <v>4433652</v>
      </c>
      <c r="Q84" s="3">
        <f t="shared" si="33"/>
        <v>1646927</v>
      </c>
      <c r="R84" s="3">
        <f t="shared" si="34"/>
        <v>322471</v>
      </c>
      <c r="S84" s="3">
        <f t="shared" si="35"/>
        <v>0</v>
      </c>
      <c r="T84" s="3">
        <f t="shared" si="36"/>
        <v>2464254</v>
      </c>
      <c r="U84" s="3">
        <f>IF($A$5=1,IF($P84=0,0,ROUND(Q84/$P84*$E84,2)),Credits!D83)+Credits!J83</f>
        <v>18125.219999999998</v>
      </c>
      <c r="V84" s="3">
        <f>IF($A$5=1,IF($P84=0,0,ROUND(R84/$P84*$E84,2)),Credits!E83)+Credits!K83</f>
        <v>3547.7200000000003</v>
      </c>
      <c r="W84" s="3">
        <f>IF($A$5=1,IF($P84=0,0,ROUND(S84/$P84*$E84,2)),Credits!F83)+Credits!L83</f>
        <v>0</v>
      </c>
      <c r="X84" s="3">
        <f>IF($A$5=1,IF($P84=0,0,ROUND(T84/$P84*$E84,2)),Credits!G83)+Credits!M83</f>
        <v>27006.979999999996</v>
      </c>
      <c r="Y84" s="3">
        <f t="shared" si="37"/>
        <v>48679.92</v>
      </c>
      <c r="AC84" s="4"/>
      <c r="AD84" s="4"/>
      <c r="AE84" s="2">
        <f t="shared" si="21"/>
        <v>0</v>
      </c>
      <c r="AF84" s="170" t="s">
        <v>1120</v>
      </c>
      <c r="AG84" s="175">
        <v>256</v>
      </c>
      <c r="AH84" s="175">
        <v>1</v>
      </c>
      <c r="AI84" s="175">
        <v>1</v>
      </c>
      <c r="AJ84" s="176">
        <v>2839718</v>
      </c>
      <c r="AK84" s="176">
        <v>0</v>
      </c>
      <c r="AL84" s="176">
        <v>949620</v>
      </c>
      <c r="AM84" s="176">
        <v>0</v>
      </c>
      <c r="AN84" s="177">
        <v>0</v>
      </c>
      <c r="AO84" s="177">
        <v>0</v>
      </c>
      <c r="AP84" s="177">
        <v>1646927</v>
      </c>
      <c r="AQ84" s="177">
        <v>0</v>
      </c>
      <c r="AR84" s="177">
        <v>322471</v>
      </c>
      <c r="AS84" s="177">
        <v>0</v>
      </c>
      <c r="AT84" s="178">
        <v>0</v>
      </c>
      <c r="AU84" s="178">
        <v>0</v>
      </c>
      <c r="AV84" s="178">
        <v>0</v>
      </c>
      <c r="AW84" s="179">
        <v>0</v>
      </c>
      <c r="AX84" s="180">
        <v>0</v>
      </c>
      <c r="AY84" s="180">
        <v>0</v>
      </c>
      <c r="AZ84" s="180">
        <v>2464254</v>
      </c>
      <c r="BA84" s="180">
        <v>0</v>
      </c>
      <c r="BB84" s="170">
        <f t="shared" si="38"/>
        <v>8222990</v>
      </c>
      <c r="BC84" s="170">
        <v>8222990.8700000001</v>
      </c>
      <c r="BD84" s="2">
        <f t="shared" si="39"/>
        <v>-0.87000000011175871</v>
      </c>
    </row>
    <row r="85" spans="1:56" ht="12" x14ac:dyDescent="0.2">
      <c r="A85" s="4">
        <v>261</v>
      </c>
      <c r="B85" s="4">
        <v>1</v>
      </c>
      <c r="C85" s="2" t="s">
        <v>82</v>
      </c>
      <c r="D85" s="3">
        <v>0</v>
      </c>
      <c r="E85" s="3">
        <v>0</v>
      </c>
      <c r="F85" s="227">
        <f t="shared" si="22"/>
        <v>265000</v>
      </c>
      <c r="G85" s="227">
        <f t="shared" si="23"/>
        <v>16232.62</v>
      </c>
      <c r="H85" s="227">
        <f t="shared" si="24"/>
        <v>0</v>
      </c>
      <c r="I85" s="227">
        <f t="shared" si="25"/>
        <v>115223.87</v>
      </c>
      <c r="J85" s="227">
        <f t="shared" si="26"/>
        <v>18069.23</v>
      </c>
      <c r="K85" s="227">
        <f t="shared" si="27"/>
        <v>521111.66</v>
      </c>
      <c r="L85" s="227">
        <f t="shared" si="28"/>
        <v>0</v>
      </c>
      <c r="M85" s="3">
        <f t="shared" si="29"/>
        <v>0</v>
      </c>
      <c r="N85" s="227">
        <f t="shared" si="30"/>
        <v>0</v>
      </c>
      <c r="O85" s="142">
        <f t="shared" si="31"/>
        <v>935637.37999999989</v>
      </c>
      <c r="P85" s="3">
        <f t="shared" si="32"/>
        <v>654404.76</v>
      </c>
      <c r="Q85" s="3">
        <f t="shared" si="33"/>
        <v>115223.87</v>
      </c>
      <c r="R85" s="3">
        <f t="shared" si="34"/>
        <v>18069.23</v>
      </c>
      <c r="S85" s="3">
        <f t="shared" si="35"/>
        <v>521111.66</v>
      </c>
      <c r="T85" s="3">
        <f t="shared" si="36"/>
        <v>0</v>
      </c>
      <c r="U85" s="3">
        <f>IF($A$5=1,IF($P85=0,0,ROUND(Q85/$P85*$E85,2)),Credits!D84)+Credits!J84</f>
        <v>2375.2199999999998</v>
      </c>
      <c r="V85" s="3">
        <f>IF($A$5=1,IF($P85=0,0,ROUND(R85/$P85*$E85,2)),Credits!E84)+Credits!K84</f>
        <v>372.65999999999997</v>
      </c>
      <c r="W85" s="3">
        <f>IF($A$5=1,IF($P85=0,0,ROUND(S85/$P85*$E85,2)),Credits!F84)+Credits!L84</f>
        <v>10743.73</v>
      </c>
      <c r="X85" s="3">
        <f>IF($A$5=1,IF($P85=0,0,ROUND(T85/$P85*$E85,2)),Credits!G84)+Credits!M84</f>
        <v>0</v>
      </c>
      <c r="Y85" s="3">
        <f t="shared" si="37"/>
        <v>13491.609999999999</v>
      </c>
      <c r="AC85" s="4"/>
      <c r="AD85" s="4"/>
      <c r="AE85" s="2">
        <f t="shared" si="21"/>
        <v>0</v>
      </c>
      <c r="AF85" s="170" t="s">
        <v>1120</v>
      </c>
      <c r="AG85" s="175">
        <v>261</v>
      </c>
      <c r="AH85" s="175">
        <v>1</v>
      </c>
      <c r="AI85" s="175">
        <v>1</v>
      </c>
      <c r="AJ85" s="176">
        <v>265000</v>
      </c>
      <c r="AK85" s="176">
        <v>0</v>
      </c>
      <c r="AL85" s="176">
        <v>16232.62</v>
      </c>
      <c r="AM85" s="176">
        <v>0</v>
      </c>
      <c r="AN85" s="177">
        <v>0</v>
      </c>
      <c r="AO85" s="177">
        <v>0</v>
      </c>
      <c r="AP85" s="177">
        <v>115223.87</v>
      </c>
      <c r="AQ85" s="177">
        <v>0</v>
      </c>
      <c r="AR85" s="177">
        <v>18069.23</v>
      </c>
      <c r="AS85" s="177">
        <v>0</v>
      </c>
      <c r="AT85" s="178">
        <v>521111.66</v>
      </c>
      <c r="AU85" s="178">
        <v>0</v>
      </c>
      <c r="AV85" s="178">
        <v>0</v>
      </c>
      <c r="AW85" s="179">
        <v>0</v>
      </c>
      <c r="AX85" s="180">
        <v>0</v>
      </c>
      <c r="AY85" s="180">
        <v>0</v>
      </c>
      <c r="AZ85" s="180">
        <v>0</v>
      </c>
      <c r="BA85" s="180">
        <v>0</v>
      </c>
      <c r="BB85" s="170">
        <f t="shared" si="38"/>
        <v>935637.37999999989</v>
      </c>
      <c r="BC85" s="170">
        <v>935637.38</v>
      </c>
      <c r="BD85" s="2">
        <f t="shared" si="39"/>
        <v>0</v>
      </c>
    </row>
    <row r="86" spans="1:56" ht="12" x14ac:dyDescent="0.2">
      <c r="A86" s="4">
        <v>264</v>
      </c>
      <c r="B86" s="4">
        <v>1</v>
      </c>
      <c r="C86" s="2" t="s">
        <v>83</v>
      </c>
      <c r="D86" s="3">
        <v>0</v>
      </c>
      <c r="E86" s="3">
        <v>0</v>
      </c>
      <c r="F86" s="227">
        <f t="shared" si="22"/>
        <v>124596.79</v>
      </c>
      <c r="G86" s="227">
        <f t="shared" si="23"/>
        <v>5655.75</v>
      </c>
      <c r="H86" s="227">
        <f t="shared" si="24"/>
        <v>0</v>
      </c>
      <c r="I86" s="227">
        <f t="shared" si="25"/>
        <v>72830.36</v>
      </c>
      <c r="J86" s="227">
        <f t="shared" si="26"/>
        <v>25300.7</v>
      </c>
      <c r="K86" s="227">
        <f t="shared" si="27"/>
        <v>0</v>
      </c>
      <c r="L86" s="227">
        <f t="shared" si="28"/>
        <v>0</v>
      </c>
      <c r="M86" s="3">
        <f t="shared" si="29"/>
        <v>0</v>
      </c>
      <c r="N86" s="227">
        <f t="shared" si="30"/>
        <v>0</v>
      </c>
      <c r="O86" s="142">
        <f t="shared" si="31"/>
        <v>228383.6</v>
      </c>
      <c r="P86" s="3">
        <f t="shared" si="32"/>
        <v>98131.06</v>
      </c>
      <c r="Q86" s="3">
        <f t="shared" si="33"/>
        <v>72830.36</v>
      </c>
      <c r="R86" s="3">
        <f t="shared" si="34"/>
        <v>25300.7</v>
      </c>
      <c r="S86" s="3">
        <f t="shared" si="35"/>
        <v>0</v>
      </c>
      <c r="T86" s="3">
        <f t="shared" si="36"/>
        <v>0</v>
      </c>
      <c r="U86" s="3">
        <f>IF($A$5=1,IF($P86=0,0,ROUND(Q86/$P86*$E86,2)),Credits!D85)+Credits!J85</f>
        <v>3046.2900000000004</v>
      </c>
      <c r="V86" s="3">
        <f>IF($A$5=1,IF($P86=0,0,ROUND(R86/$P86*$E86,2)),Credits!E85)+Credits!K85</f>
        <v>1058.8500000000001</v>
      </c>
      <c r="W86" s="3">
        <f>IF($A$5=1,IF($P86=0,0,ROUND(S86/$P86*$E86,2)),Credits!F85)+Credits!L85</f>
        <v>0</v>
      </c>
      <c r="X86" s="3">
        <f>IF($A$5=1,IF($P86=0,0,ROUND(T86/$P86*$E86,2)),Credits!G85)+Credits!M85</f>
        <v>0</v>
      </c>
      <c r="Y86" s="3">
        <f t="shared" si="37"/>
        <v>4105.1400000000003</v>
      </c>
      <c r="AC86" s="4"/>
      <c r="AD86" s="4"/>
      <c r="AE86" s="2">
        <f t="shared" si="21"/>
        <v>0</v>
      </c>
      <c r="AF86" s="170" t="s">
        <v>1120</v>
      </c>
      <c r="AG86" s="175">
        <v>264</v>
      </c>
      <c r="AH86" s="175">
        <v>1</v>
      </c>
      <c r="AI86" s="175">
        <v>1</v>
      </c>
      <c r="AJ86" s="176">
        <v>124596.79</v>
      </c>
      <c r="AK86" s="176">
        <v>0</v>
      </c>
      <c r="AL86" s="176">
        <v>5655.75</v>
      </c>
      <c r="AM86" s="176">
        <v>0</v>
      </c>
      <c r="AN86" s="177">
        <v>0</v>
      </c>
      <c r="AO86" s="177">
        <v>0</v>
      </c>
      <c r="AP86" s="177">
        <v>72830.36</v>
      </c>
      <c r="AQ86" s="177">
        <v>0</v>
      </c>
      <c r="AR86" s="177">
        <v>25300.7</v>
      </c>
      <c r="AS86" s="177">
        <v>0</v>
      </c>
      <c r="AT86" s="178">
        <v>0</v>
      </c>
      <c r="AU86" s="178">
        <v>0</v>
      </c>
      <c r="AV86" s="178">
        <v>0</v>
      </c>
      <c r="AW86" s="179">
        <v>0</v>
      </c>
      <c r="AX86" s="180">
        <v>0</v>
      </c>
      <c r="AY86" s="180">
        <v>0</v>
      </c>
      <c r="AZ86" s="180">
        <v>0</v>
      </c>
      <c r="BA86" s="180">
        <v>0</v>
      </c>
      <c r="BB86" s="170">
        <f t="shared" si="38"/>
        <v>228383.6</v>
      </c>
      <c r="BC86" s="170">
        <v>228383.6</v>
      </c>
      <c r="BD86" s="2">
        <f t="shared" si="39"/>
        <v>0</v>
      </c>
    </row>
    <row r="87" spans="1:56" ht="12" x14ac:dyDescent="0.2">
      <c r="A87" s="4">
        <v>270</v>
      </c>
      <c r="B87" s="4">
        <v>1</v>
      </c>
      <c r="C87" s="2" t="s">
        <v>84</v>
      </c>
      <c r="D87" s="3">
        <v>0</v>
      </c>
      <c r="E87" s="3">
        <v>0</v>
      </c>
      <c r="F87" s="227">
        <f t="shared" si="22"/>
        <v>14518779.050000001</v>
      </c>
      <c r="G87" s="227">
        <f t="shared" si="23"/>
        <v>3540780.22</v>
      </c>
      <c r="H87" s="227">
        <f t="shared" si="24"/>
        <v>7697000</v>
      </c>
      <c r="I87" s="227">
        <f t="shared" si="25"/>
        <v>6124043.5700000003</v>
      </c>
      <c r="J87" s="227">
        <f t="shared" si="26"/>
        <v>1635003.06</v>
      </c>
      <c r="K87" s="227">
        <f t="shared" si="27"/>
        <v>6294542.0499999998</v>
      </c>
      <c r="L87" s="227">
        <f t="shared" si="28"/>
        <v>5504897.7400000002</v>
      </c>
      <c r="M87" s="3">
        <f t="shared" si="29"/>
        <v>0</v>
      </c>
      <c r="N87" s="227">
        <f t="shared" si="30"/>
        <v>2618836.27</v>
      </c>
      <c r="O87" s="142">
        <f t="shared" si="31"/>
        <v>47933881.960000001</v>
      </c>
      <c r="P87" s="3">
        <f t="shared" si="32"/>
        <v>29874322.690000001</v>
      </c>
      <c r="Q87" s="3">
        <f t="shared" si="33"/>
        <v>13821043.57</v>
      </c>
      <c r="R87" s="3">
        <f t="shared" si="34"/>
        <v>1635003.06</v>
      </c>
      <c r="S87" s="3">
        <f t="shared" si="35"/>
        <v>11799439.789999999</v>
      </c>
      <c r="T87" s="3">
        <f t="shared" si="36"/>
        <v>2618836.27</v>
      </c>
      <c r="U87" s="3">
        <f>IF($A$5=1,IF($P87=0,0,ROUND(Q87/$P87*$E87,2)),Credits!D86)+Credits!J86</f>
        <v>-309.10000000000002</v>
      </c>
      <c r="V87" s="3">
        <f>IF($A$5=1,IF($P87=0,0,ROUND(R87/$P87*$E87,2)),Credits!E86)+Credits!K86</f>
        <v>-36.57</v>
      </c>
      <c r="W87" s="3">
        <f>IF($A$5=1,IF($P87=0,0,ROUND(S87/$P87*$E87,2)),Credits!F86)+Credits!L86</f>
        <v>-263.88</v>
      </c>
      <c r="X87" s="3">
        <f>IF($A$5=1,IF($P87=0,0,ROUND(T87/$P87*$E87,2)),Credits!G86)+Credits!M86</f>
        <v>-58.58</v>
      </c>
      <c r="Y87" s="3">
        <f t="shared" si="37"/>
        <v>-668.13</v>
      </c>
      <c r="AC87" s="4"/>
      <c r="AD87" s="4"/>
      <c r="AE87" s="2">
        <f t="shared" si="21"/>
        <v>0</v>
      </c>
      <c r="AF87" s="170" t="s">
        <v>1120</v>
      </c>
      <c r="AG87" s="175">
        <v>270</v>
      </c>
      <c r="AH87" s="175">
        <v>1</v>
      </c>
      <c r="AI87" s="175">
        <v>1</v>
      </c>
      <c r="AJ87" s="176">
        <v>14518779.050000001</v>
      </c>
      <c r="AK87" s="176">
        <v>0</v>
      </c>
      <c r="AL87" s="176">
        <v>3540780.22</v>
      </c>
      <c r="AM87" s="176">
        <v>0</v>
      </c>
      <c r="AN87" s="177">
        <v>7697000</v>
      </c>
      <c r="AO87" s="177">
        <v>0</v>
      </c>
      <c r="AP87" s="177">
        <v>6124043.5700000003</v>
      </c>
      <c r="AQ87" s="177">
        <v>0</v>
      </c>
      <c r="AR87" s="177">
        <v>1635003.06</v>
      </c>
      <c r="AS87" s="177">
        <v>0</v>
      </c>
      <c r="AT87" s="178">
        <v>6294542.0499999998</v>
      </c>
      <c r="AU87" s="178">
        <v>0</v>
      </c>
      <c r="AV87" s="178">
        <v>5504897.7400000002</v>
      </c>
      <c r="AW87" s="179">
        <v>0</v>
      </c>
      <c r="AX87" s="180">
        <v>0</v>
      </c>
      <c r="AY87" s="180">
        <v>0</v>
      </c>
      <c r="AZ87" s="180">
        <v>2618836.27</v>
      </c>
      <c r="BA87" s="180">
        <v>0</v>
      </c>
      <c r="BB87" s="170">
        <f t="shared" si="38"/>
        <v>47933881.960000001</v>
      </c>
      <c r="BC87" s="170">
        <v>47933881.960000001</v>
      </c>
      <c r="BD87" s="2">
        <f t="shared" si="39"/>
        <v>0</v>
      </c>
    </row>
    <row r="88" spans="1:56" ht="12" x14ac:dyDescent="0.2">
      <c r="A88" s="4">
        <v>271</v>
      </c>
      <c r="B88" s="4">
        <v>1</v>
      </c>
      <c r="C88" s="2" t="s">
        <v>85</v>
      </c>
      <c r="D88" s="3">
        <v>0</v>
      </c>
      <c r="E88" s="3">
        <v>0</v>
      </c>
      <c r="F88" s="227">
        <f t="shared" si="22"/>
        <v>12373732.83</v>
      </c>
      <c r="G88" s="227">
        <f t="shared" si="23"/>
        <v>8881360.1099999994</v>
      </c>
      <c r="H88" s="227">
        <f t="shared" si="24"/>
        <v>6000000</v>
      </c>
      <c r="I88" s="227">
        <f t="shared" si="25"/>
        <v>10506630.529999999</v>
      </c>
      <c r="J88" s="227">
        <f t="shared" si="26"/>
        <v>1599134.55</v>
      </c>
      <c r="K88" s="227">
        <f t="shared" si="27"/>
        <v>8289672.5800000001</v>
      </c>
      <c r="L88" s="227">
        <f t="shared" si="28"/>
        <v>110794.15</v>
      </c>
      <c r="M88" s="3">
        <f t="shared" si="29"/>
        <v>0</v>
      </c>
      <c r="N88" s="227">
        <f t="shared" si="30"/>
        <v>929954.3</v>
      </c>
      <c r="O88" s="142">
        <f t="shared" si="31"/>
        <v>48691279.04999999</v>
      </c>
      <c r="P88" s="3">
        <f t="shared" si="32"/>
        <v>27436186.109999996</v>
      </c>
      <c r="Q88" s="3">
        <f t="shared" si="33"/>
        <v>16506630.529999999</v>
      </c>
      <c r="R88" s="3">
        <f t="shared" si="34"/>
        <v>1599134.55</v>
      </c>
      <c r="S88" s="3">
        <f t="shared" si="35"/>
        <v>8400466.7300000004</v>
      </c>
      <c r="T88" s="3">
        <f t="shared" si="36"/>
        <v>929954.3</v>
      </c>
      <c r="U88" s="3">
        <f>IF($A$5=1,IF($P88=0,0,ROUND(Q88/$P88*$E88,2)),Credits!D87)+Credits!J87</f>
        <v>40.93</v>
      </c>
      <c r="V88" s="3">
        <f>IF($A$5=1,IF($P88=0,0,ROUND(R88/$P88*$E88,2)),Credits!E87)+Credits!K87</f>
        <v>3.97</v>
      </c>
      <c r="W88" s="3">
        <f>IF($A$5=1,IF($P88=0,0,ROUND(S88/$P88*$E88,2)),Credits!F87)+Credits!L87</f>
        <v>20.83</v>
      </c>
      <c r="X88" s="3">
        <f>IF($A$5=1,IF($P88=0,0,ROUND(T88/$P88*$E88,2)),Credits!G87)+Credits!M87</f>
        <v>2.31</v>
      </c>
      <c r="Y88" s="3">
        <f t="shared" si="37"/>
        <v>68.039999999999992</v>
      </c>
      <c r="AC88" s="4"/>
      <c r="AD88" s="4"/>
      <c r="AE88" s="2">
        <f t="shared" si="21"/>
        <v>0</v>
      </c>
      <c r="AF88" s="170" t="s">
        <v>1120</v>
      </c>
      <c r="AG88" s="175">
        <v>271</v>
      </c>
      <c r="AH88" s="175">
        <v>1</v>
      </c>
      <c r="AI88" s="175">
        <v>1</v>
      </c>
      <c r="AJ88" s="176">
        <v>12373732.83</v>
      </c>
      <c r="AK88" s="176">
        <v>0</v>
      </c>
      <c r="AL88" s="176">
        <v>8881360.1099999994</v>
      </c>
      <c r="AM88" s="176">
        <v>0</v>
      </c>
      <c r="AN88" s="177">
        <v>6000000</v>
      </c>
      <c r="AO88" s="177">
        <v>0</v>
      </c>
      <c r="AP88" s="177">
        <v>10506630.529999999</v>
      </c>
      <c r="AQ88" s="177">
        <v>0</v>
      </c>
      <c r="AR88" s="177">
        <v>1599134.55</v>
      </c>
      <c r="AS88" s="177">
        <v>0</v>
      </c>
      <c r="AT88" s="178">
        <v>8289672.5800000001</v>
      </c>
      <c r="AU88" s="178">
        <v>0</v>
      </c>
      <c r="AV88" s="178">
        <v>110794.15</v>
      </c>
      <c r="AW88" s="179">
        <v>0</v>
      </c>
      <c r="AX88" s="180">
        <v>0</v>
      </c>
      <c r="AY88" s="180">
        <v>0</v>
      </c>
      <c r="AZ88" s="180">
        <v>929954.3</v>
      </c>
      <c r="BA88" s="180">
        <v>0</v>
      </c>
      <c r="BB88" s="170">
        <f t="shared" si="38"/>
        <v>48691279.04999999</v>
      </c>
      <c r="BC88" s="170">
        <v>48691279.049999997</v>
      </c>
      <c r="BD88" s="2">
        <f t="shared" si="39"/>
        <v>0</v>
      </c>
    </row>
    <row r="89" spans="1:56" ht="12" x14ac:dyDescent="0.2">
      <c r="A89" s="4">
        <v>272</v>
      </c>
      <c r="B89" s="4">
        <v>1</v>
      </c>
      <c r="C89" s="2" t="s">
        <v>86</v>
      </c>
      <c r="D89" s="3">
        <v>0</v>
      </c>
      <c r="E89" s="3">
        <v>0</v>
      </c>
      <c r="F89" s="227">
        <f t="shared" si="22"/>
        <v>9010603.5999999996</v>
      </c>
      <c r="G89" s="227">
        <f t="shared" si="23"/>
        <v>5439843.6100000003</v>
      </c>
      <c r="H89" s="227">
        <f t="shared" si="24"/>
        <v>5714475</v>
      </c>
      <c r="I89" s="227">
        <f t="shared" si="25"/>
        <v>5364421.74</v>
      </c>
      <c r="J89" s="227">
        <f t="shared" si="26"/>
        <v>1175946.28</v>
      </c>
      <c r="K89" s="227">
        <f t="shared" si="27"/>
        <v>10252070.24</v>
      </c>
      <c r="L89" s="227">
        <f t="shared" si="28"/>
        <v>1321806.76</v>
      </c>
      <c r="M89" s="3">
        <f t="shared" si="29"/>
        <v>0</v>
      </c>
      <c r="N89" s="227">
        <f t="shared" si="30"/>
        <v>798299.53</v>
      </c>
      <c r="O89" s="142">
        <f t="shared" si="31"/>
        <v>39077466.760000005</v>
      </c>
      <c r="P89" s="3">
        <f t="shared" si="32"/>
        <v>24627019.550000001</v>
      </c>
      <c r="Q89" s="3">
        <f t="shared" si="33"/>
        <v>11078896.74</v>
      </c>
      <c r="R89" s="3">
        <f t="shared" si="34"/>
        <v>1175946.28</v>
      </c>
      <c r="S89" s="3">
        <f t="shared" si="35"/>
        <v>11573877</v>
      </c>
      <c r="T89" s="3">
        <f t="shared" si="36"/>
        <v>798299.53</v>
      </c>
      <c r="U89" s="3">
        <f>IF($A$5=1,IF($P89=0,0,ROUND(Q89/$P89*$E89,2)),Credits!D88)+Credits!J88</f>
        <v>161.59</v>
      </c>
      <c r="V89" s="3">
        <f>IF($A$5=1,IF($P89=0,0,ROUND(R89/$P89*$E89,2)),Credits!E88)+Credits!K88</f>
        <v>17.16</v>
      </c>
      <c r="W89" s="3">
        <f>IF($A$5=1,IF($P89=0,0,ROUND(S89/$P89*$E89,2)),Credits!F88)+Credits!L88</f>
        <v>168.79</v>
      </c>
      <c r="X89" s="3">
        <f>IF($A$5=1,IF($P89=0,0,ROUND(T89/$P89*$E89,2)),Credits!G88)+Credits!M88</f>
        <v>11.65</v>
      </c>
      <c r="Y89" s="3">
        <f t="shared" si="37"/>
        <v>359.18999999999994</v>
      </c>
      <c r="AC89" s="4"/>
      <c r="AD89" s="4"/>
      <c r="AE89" s="2">
        <f t="shared" si="21"/>
        <v>0</v>
      </c>
      <c r="AF89" s="170" t="s">
        <v>1120</v>
      </c>
      <c r="AG89" s="175">
        <v>272</v>
      </c>
      <c r="AH89" s="175">
        <v>1</v>
      </c>
      <c r="AI89" s="175">
        <v>1</v>
      </c>
      <c r="AJ89" s="176">
        <v>9010603.5999999996</v>
      </c>
      <c r="AK89" s="176">
        <v>0</v>
      </c>
      <c r="AL89" s="176">
        <v>5439843.6100000003</v>
      </c>
      <c r="AM89" s="176">
        <v>0</v>
      </c>
      <c r="AN89" s="177">
        <v>5714475</v>
      </c>
      <c r="AO89" s="177">
        <v>0</v>
      </c>
      <c r="AP89" s="177">
        <v>5364421.74</v>
      </c>
      <c r="AQ89" s="177">
        <v>0</v>
      </c>
      <c r="AR89" s="177">
        <v>1175946.28</v>
      </c>
      <c r="AS89" s="177">
        <v>0</v>
      </c>
      <c r="AT89" s="178">
        <v>10252070.24</v>
      </c>
      <c r="AU89" s="178">
        <v>0</v>
      </c>
      <c r="AV89" s="178">
        <v>1321806.76</v>
      </c>
      <c r="AW89" s="179">
        <v>0</v>
      </c>
      <c r="AX89" s="180">
        <v>0</v>
      </c>
      <c r="AY89" s="180">
        <v>0</v>
      </c>
      <c r="AZ89" s="180">
        <v>798299.53</v>
      </c>
      <c r="BA89" s="180">
        <v>0</v>
      </c>
      <c r="BB89" s="170">
        <f t="shared" si="38"/>
        <v>39077466.760000005</v>
      </c>
      <c r="BC89" s="170">
        <v>39077466.759999998</v>
      </c>
      <c r="BD89" s="2">
        <f t="shared" si="39"/>
        <v>0</v>
      </c>
    </row>
    <row r="90" spans="1:56" ht="12" x14ac:dyDescent="0.2">
      <c r="A90" s="4">
        <v>273</v>
      </c>
      <c r="B90" s="4">
        <v>1</v>
      </c>
      <c r="C90" s="2" t="s">
        <v>87</v>
      </c>
      <c r="D90" s="3">
        <v>0</v>
      </c>
      <c r="E90" s="3">
        <v>0</v>
      </c>
      <c r="F90" s="227">
        <f t="shared" si="22"/>
        <v>12646480.02</v>
      </c>
      <c r="G90" s="227">
        <f t="shared" si="23"/>
        <v>4592848.32</v>
      </c>
      <c r="H90" s="227">
        <f t="shared" si="24"/>
        <v>4558717</v>
      </c>
      <c r="I90" s="227">
        <f t="shared" si="25"/>
        <v>9924678.5800000001</v>
      </c>
      <c r="J90" s="227">
        <f t="shared" si="26"/>
        <v>1142249.21</v>
      </c>
      <c r="K90" s="227">
        <f t="shared" si="27"/>
        <v>6235563.2699999996</v>
      </c>
      <c r="L90" s="227">
        <f t="shared" si="28"/>
        <v>857618</v>
      </c>
      <c r="M90" s="3">
        <f t="shared" si="29"/>
        <v>0</v>
      </c>
      <c r="N90" s="227">
        <f t="shared" si="30"/>
        <v>0</v>
      </c>
      <c r="O90" s="142">
        <f t="shared" si="31"/>
        <v>39958154.400000006</v>
      </c>
      <c r="P90" s="3">
        <f t="shared" si="32"/>
        <v>22718826.059999999</v>
      </c>
      <c r="Q90" s="3">
        <f t="shared" si="33"/>
        <v>14483395.58</v>
      </c>
      <c r="R90" s="3">
        <f t="shared" si="34"/>
        <v>1142249.21</v>
      </c>
      <c r="S90" s="3">
        <f t="shared" si="35"/>
        <v>7093181.2699999996</v>
      </c>
      <c r="T90" s="3">
        <f t="shared" si="36"/>
        <v>0</v>
      </c>
      <c r="U90" s="3">
        <f>IF($A$5=1,IF($P90=0,0,ROUND(Q90/$P90*$E90,2)),Credits!D89)+Credits!J89</f>
        <v>0</v>
      </c>
      <c r="V90" s="3">
        <f>IF($A$5=1,IF($P90=0,0,ROUND(R90/$P90*$E90,2)),Credits!E89)+Credits!K89</f>
        <v>0</v>
      </c>
      <c r="W90" s="3">
        <f>IF($A$5=1,IF($P90=0,0,ROUND(S90/$P90*$E90,2)),Credits!F89)+Credits!L89</f>
        <v>0</v>
      </c>
      <c r="X90" s="3">
        <f>IF($A$5=1,IF($P90=0,0,ROUND(T90/$P90*$E90,2)),Credits!G89)+Credits!M89</f>
        <v>0</v>
      </c>
      <c r="Y90" s="3">
        <f t="shared" si="37"/>
        <v>0</v>
      </c>
      <c r="AC90" s="4"/>
      <c r="AD90" s="4"/>
      <c r="AE90" s="2">
        <f t="shared" si="21"/>
        <v>0</v>
      </c>
      <c r="AF90" s="170" t="s">
        <v>1120</v>
      </c>
      <c r="AG90" s="175">
        <v>273</v>
      </c>
      <c r="AH90" s="175">
        <v>1</v>
      </c>
      <c r="AI90" s="175">
        <v>1</v>
      </c>
      <c r="AJ90" s="176">
        <v>12646480.02</v>
      </c>
      <c r="AK90" s="176">
        <v>0</v>
      </c>
      <c r="AL90" s="176">
        <v>4592848.32</v>
      </c>
      <c r="AM90" s="176">
        <v>0</v>
      </c>
      <c r="AN90" s="177">
        <v>4558717</v>
      </c>
      <c r="AO90" s="177">
        <v>0</v>
      </c>
      <c r="AP90" s="177">
        <v>9924678.5800000001</v>
      </c>
      <c r="AQ90" s="177">
        <v>0</v>
      </c>
      <c r="AR90" s="177">
        <v>1142249.21</v>
      </c>
      <c r="AS90" s="177">
        <v>0</v>
      </c>
      <c r="AT90" s="178">
        <v>6235563.2699999996</v>
      </c>
      <c r="AU90" s="178">
        <v>0</v>
      </c>
      <c r="AV90" s="178">
        <v>857618</v>
      </c>
      <c r="AW90" s="179">
        <v>0</v>
      </c>
      <c r="AX90" s="180">
        <v>0</v>
      </c>
      <c r="AY90" s="180">
        <v>0</v>
      </c>
      <c r="AZ90" s="180">
        <v>0</v>
      </c>
      <c r="BA90" s="180">
        <v>0</v>
      </c>
      <c r="BB90" s="170">
        <f t="shared" si="38"/>
        <v>39958154.400000006</v>
      </c>
      <c r="BC90" s="170">
        <v>39958154.399999999</v>
      </c>
      <c r="BD90" s="2">
        <f t="shared" si="39"/>
        <v>0</v>
      </c>
    </row>
    <row r="91" spans="1:56" ht="12" x14ac:dyDescent="0.2">
      <c r="A91" s="4">
        <v>276</v>
      </c>
      <c r="B91" s="4">
        <v>1</v>
      </c>
      <c r="C91" s="2" t="s">
        <v>88</v>
      </c>
      <c r="D91" s="3">
        <v>0</v>
      </c>
      <c r="E91" s="3">
        <v>0</v>
      </c>
      <c r="F91" s="227">
        <f t="shared" si="22"/>
        <v>13408763.52</v>
      </c>
      <c r="G91" s="227">
        <f t="shared" si="23"/>
        <v>5537337.6600000001</v>
      </c>
      <c r="H91" s="227">
        <f t="shared" si="24"/>
        <v>4861449</v>
      </c>
      <c r="I91" s="227">
        <f t="shared" si="25"/>
        <v>5345495.32</v>
      </c>
      <c r="J91" s="227">
        <f t="shared" si="26"/>
        <v>1016937.02</v>
      </c>
      <c r="K91" s="227">
        <f t="shared" si="27"/>
        <v>2382573.62</v>
      </c>
      <c r="L91" s="227">
        <f t="shared" si="28"/>
        <v>3686655.1</v>
      </c>
      <c r="M91" s="3">
        <f t="shared" si="29"/>
        <v>0</v>
      </c>
      <c r="N91" s="227">
        <f t="shared" si="30"/>
        <v>745157.98</v>
      </c>
      <c r="O91" s="142">
        <f t="shared" si="31"/>
        <v>36984369.219999999</v>
      </c>
      <c r="P91" s="3">
        <f t="shared" si="32"/>
        <v>18038268.040000003</v>
      </c>
      <c r="Q91" s="3">
        <f t="shared" si="33"/>
        <v>10206944.32</v>
      </c>
      <c r="R91" s="3">
        <f t="shared" si="34"/>
        <v>1016937.02</v>
      </c>
      <c r="S91" s="3">
        <f t="shared" si="35"/>
        <v>6069228.7200000007</v>
      </c>
      <c r="T91" s="3">
        <f t="shared" si="36"/>
        <v>745157.98</v>
      </c>
      <c r="U91" s="3">
        <f>IF($A$5=1,IF($P91=0,0,ROUND(Q91/$P91*$E91,2)),Credits!D90)+Credits!J90</f>
        <v>67.33</v>
      </c>
      <c r="V91" s="3">
        <f>IF($A$5=1,IF($P91=0,0,ROUND(R91/$P91*$E91,2)),Credits!E90)+Credits!K90</f>
        <v>6.7</v>
      </c>
      <c r="W91" s="3">
        <f>IF($A$5=1,IF($P91=0,0,ROUND(S91/$P91*$E91,2)),Credits!F90)+Credits!L90</f>
        <v>40.04</v>
      </c>
      <c r="X91" s="3">
        <f>IF($A$5=1,IF($P91=0,0,ROUND(T91/$P91*$E91,2)),Credits!G90)+Credits!M90</f>
        <v>4.92</v>
      </c>
      <c r="Y91" s="3">
        <f t="shared" si="37"/>
        <v>118.99</v>
      </c>
      <c r="AC91" s="4"/>
      <c r="AD91" s="4"/>
      <c r="AE91" s="2">
        <f t="shared" si="21"/>
        <v>0</v>
      </c>
      <c r="AF91" s="170" t="s">
        <v>1120</v>
      </c>
      <c r="AG91" s="175">
        <v>276</v>
      </c>
      <c r="AH91" s="175">
        <v>1</v>
      </c>
      <c r="AI91" s="175">
        <v>1</v>
      </c>
      <c r="AJ91" s="176">
        <v>13408763.52</v>
      </c>
      <c r="AK91" s="176">
        <v>0</v>
      </c>
      <c r="AL91" s="176">
        <v>5537337.6600000001</v>
      </c>
      <c r="AM91" s="176">
        <v>0</v>
      </c>
      <c r="AN91" s="177">
        <v>4861449</v>
      </c>
      <c r="AO91" s="177">
        <v>0</v>
      </c>
      <c r="AP91" s="177">
        <v>5345495.32</v>
      </c>
      <c r="AQ91" s="177">
        <v>0</v>
      </c>
      <c r="AR91" s="177">
        <v>1016937.02</v>
      </c>
      <c r="AS91" s="177">
        <v>0</v>
      </c>
      <c r="AT91" s="178">
        <v>2382573.62</v>
      </c>
      <c r="AU91" s="178">
        <v>0</v>
      </c>
      <c r="AV91" s="178">
        <v>3686655.1</v>
      </c>
      <c r="AW91" s="179">
        <v>0</v>
      </c>
      <c r="AX91" s="180">
        <v>0</v>
      </c>
      <c r="AY91" s="180">
        <v>0</v>
      </c>
      <c r="AZ91" s="180">
        <v>745157.98</v>
      </c>
      <c r="BA91" s="180">
        <v>0</v>
      </c>
      <c r="BB91" s="170">
        <f t="shared" si="38"/>
        <v>36984369.219999999</v>
      </c>
      <c r="BC91" s="170">
        <v>36984369.219999999</v>
      </c>
      <c r="BD91" s="2">
        <f t="shared" si="39"/>
        <v>0</v>
      </c>
    </row>
    <row r="92" spans="1:56" ht="12" x14ac:dyDescent="0.2">
      <c r="A92" s="4">
        <v>277</v>
      </c>
      <c r="B92" s="4">
        <v>1</v>
      </c>
      <c r="C92" s="2" t="s">
        <v>89</v>
      </c>
      <c r="D92" s="3">
        <v>0</v>
      </c>
      <c r="E92" s="3">
        <v>0</v>
      </c>
      <c r="F92" s="227">
        <f t="shared" si="22"/>
        <v>3270908.39</v>
      </c>
      <c r="G92" s="227">
        <f t="shared" si="23"/>
        <v>1139178.28</v>
      </c>
      <c r="H92" s="227">
        <f t="shared" si="24"/>
        <v>750000</v>
      </c>
      <c r="I92" s="227">
        <f t="shared" si="25"/>
        <v>1524392.11</v>
      </c>
      <c r="J92" s="227">
        <f t="shared" si="26"/>
        <v>503832.17</v>
      </c>
      <c r="K92" s="227">
        <f t="shared" si="27"/>
        <v>2540585.31</v>
      </c>
      <c r="L92" s="227">
        <f t="shared" si="28"/>
        <v>0</v>
      </c>
      <c r="M92" s="3">
        <f t="shared" si="29"/>
        <v>0</v>
      </c>
      <c r="N92" s="227">
        <f t="shared" si="30"/>
        <v>551847.6</v>
      </c>
      <c r="O92" s="142">
        <f t="shared" si="31"/>
        <v>10280743.859999999</v>
      </c>
      <c r="P92" s="3">
        <f t="shared" si="32"/>
        <v>5870657.1899999995</v>
      </c>
      <c r="Q92" s="3">
        <f t="shared" si="33"/>
        <v>2274392.1100000003</v>
      </c>
      <c r="R92" s="3">
        <f t="shared" si="34"/>
        <v>503832.17</v>
      </c>
      <c r="S92" s="3">
        <f t="shared" si="35"/>
        <v>2540585.31</v>
      </c>
      <c r="T92" s="3">
        <f t="shared" si="36"/>
        <v>551847.6</v>
      </c>
      <c r="U92" s="3">
        <f>IF($A$5=1,IF($P92=0,0,ROUND(Q92/$P92*$E92,2)),Credits!D91)+Credits!J91</f>
        <v>382.86</v>
      </c>
      <c r="V92" s="3">
        <f>IF($A$5=1,IF($P92=0,0,ROUND(R92/$P92*$E92,2)),Credits!E91)+Credits!K91</f>
        <v>84.81</v>
      </c>
      <c r="W92" s="3">
        <f>IF($A$5=1,IF($P92=0,0,ROUND(S92/$P92*$E92,2)),Credits!F91)+Credits!L91</f>
        <v>427.66999999999996</v>
      </c>
      <c r="X92" s="3">
        <f>IF($A$5=1,IF($P92=0,0,ROUND(T92/$P92*$E92,2)),Credits!G91)+Credits!M91</f>
        <v>92.89</v>
      </c>
      <c r="Y92" s="3">
        <f t="shared" si="37"/>
        <v>988.2299999999999</v>
      </c>
      <c r="AC92" s="4"/>
      <c r="AD92" s="4"/>
      <c r="AE92" s="2">
        <f t="shared" si="21"/>
        <v>0</v>
      </c>
      <c r="AF92" s="170" t="s">
        <v>1120</v>
      </c>
      <c r="AG92" s="175">
        <v>277</v>
      </c>
      <c r="AH92" s="175">
        <v>1</v>
      </c>
      <c r="AI92" s="175">
        <v>1</v>
      </c>
      <c r="AJ92" s="176">
        <v>3270908.39</v>
      </c>
      <c r="AK92" s="176">
        <v>0</v>
      </c>
      <c r="AL92" s="176">
        <v>1139178.28</v>
      </c>
      <c r="AM92" s="176">
        <v>0</v>
      </c>
      <c r="AN92" s="177">
        <v>750000</v>
      </c>
      <c r="AO92" s="177">
        <v>0</v>
      </c>
      <c r="AP92" s="177">
        <v>1524392.11</v>
      </c>
      <c r="AQ92" s="177">
        <v>0</v>
      </c>
      <c r="AR92" s="177">
        <v>503832.17</v>
      </c>
      <c r="AS92" s="177">
        <v>0</v>
      </c>
      <c r="AT92" s="178">
        <v>2540585.31</v>
      </c>
      <c r="AU92" s="178">
        <v>0</v>
      </c>
      <c r="AV92" s="178">
        <v>0</v>
      </c>
      <c r="AW92" s="179">
        <v>0</v>
      </c>
      <c r="AX92" s="180">
        <v>0</v>
      </c>
      <c r="AY92" s="180">
        <v>0</v>
      </c>
      <c r="AZ92" s="180">
        <v>551847.6</v>
      </c>
      <c r="BA92" s="180">
        <v>0</v>
      </c>
      <c r="BB92" s="170">
        <f t="shared" si="38"/>
        <v>10280743.859999999</v>
      </c>
      <c r="BC92" s="170">
        <v>10280743.859999999</v>
      </c>
      <c r="BD92" s="2">
        <f t="shared" si="39"/>
        <v>0</v>
      </c>
    </row>
    <row r="93" spans="1:56" ht="12" x14ac:dyDescent="0.2">
      <c r="A93" s="4">
        <v>278</v>
      </c>
      <c r="B93" s="4">
        <v>1</v>
      </c>
      <c r="C93" s="2" t="s">
        <v>90</v>
      </c>
      <c r="D93" s="3">
        <v>0</v>
      </c>
      <c r="E93" s="3">
        <v>0</v>
      </c>
      <c r="F93" s="227">
        <f t="shared" si="22"/>
        <v>4076495.52</v>
      </c>
      <c r="G93" s="227">
        <f t="shared" si="23"/>
        <v>1456036.11</v>
      </c>
      <c r="H93" s="227">
        <f t="shared" si="24"/>
        <v>839939</v>
      </c>
      <c r="I93" s="227">
        <f t="shared" si="25"/>
        <v>1794467.8</v>
      </c>
      <c r="J93" s="227">
        <f t="shared" si="26"/>
        <v>267402.23999999999</v>
      </c>
      <c r="K93" s="227">
        <f t="shared" si="27"/>
        <v>4045581.14</v>
      </c>
      <c r="L93" s="227">
        <f t="shared" si="28"/>
        <v>0</v>
      </c>
      <c r="M93" s="3">
        <f t="shared" si="29"/>
        <v>0</v>
      </c>
      <c r="N93" s="227">
        <f t="shared" si="30"/>
        <v>434052.88</v>
      </c>
      <c r="O93" s="142">
        <f t="shared" si="31"/>
        <v>12913974.690000001</v>
      </c>
      <c r="P93" s="3">
        <f t="shared" si="32"/>
        <v>7381443.0599999996</v>
      </c>
      <c r="Q93" s="3">
        <f t="shared" si="33"/>
        <v>2634406.7999999998</v>
      </c>
      <c r="R93" s="3">
        <f t="shared" si="34"/>
        <v>267402.23999999999</v>
      </c>
      <c r="S93" s="3">
        <f t="shared" si="35"/>
        <v>4045581.14</v>
      </c>
      <c r="T93" s="3">
        <f t="shared" si="36"/>
        <v>434052.88</v>
      </c>
      <c r="U93" s="3">
        <f>IF($A$5=1,IF($P93=0,0,ROUND(Q93/$P93*$E93,2)),Credits!D92)+Credits!J92</f>
        <v>1392.2499999999998</v>
      </c>
      <c r="V93" s="3">
        <f>IF($A$5=1,IF($P93=0,0,ROUND(R93/$P93*$E93,2)),Credits!E92)+Credits!K92</f>
        <v>141.47</v>
      </c>
      <c r="W93" s="3">
        <f>IF($A$5=1,IF($P93=0,0,ROUND(S93/$P93*$E93,2)),Credits!F92)+Credits!L92</f>
        <v>2138.0500000000002</v>
      </c>
      <c r="X93" s="3">
        <f>IF($A$5=1,IF($P93=0,0,ROUND(T93/$P93*$E93,2)),Credits!G92)+Credits!M92</f>
        <v>229.44</v>
      </c>
      <c r="Y93" s="3">
        <f t="shared" si="37"/>
        <v>3901.21</v>
      </c>
      <c r="AC93" s="4"/>
      <c r="AD93" s="4"/>
      <c r="AE93" s="2">
        <f t="shared" si="21"/>
        <v>0</v>
      </c>
      <c r="AF93" s="170" t="s">
        <v>1120</v>
      </c>
      <c r="AG93" s="175">
        <v>278</v>
      </c>
      <c r="AH93" s="175">
        <v>1</v>
      </c>
      <c r="AI93" s="175">
        <v>1</v>
      </c>
      <c r="AJ93" s="176">
        <v>4076495.52</v>
      </c>
      <c r="AK93" s="176">
        <v>0</v>
      </c>
      <c r="AL93" s="176">
        <v>1456036.11</v>
      </c>
      <c r="AM93" s="176">
        <v>0</v>
      </c>
      <c r="AN93" s="177">
        <v>839939</v>
      </c>
      <c r="AO93" s="177">
        <v>0</v>
      </c>
      <c r="AP93" s="177">
        <v>1794467.8</v>
      </c>
      <c r="AQ93" s="177">
        <v>0</v>
      </c>
      <c r="AR93" s="177">
        <v>267402.23999999999</v>
      </c>
      <c r="AS93" s="177">
        <v>0</v>
      </c>
      <c r="AT93" s="178">
        <v>4045581.14</v>
      </c>
      <c r="AU93" s="178">
        <v>0</v>
      </c>
      <c r="AV93" s="178">
        <v>0</v>
      </c>
      <c r="AW93" s="179">
        <v>0</v>
      </c>
      <c r="AX93" s="180">
        <v>0</v>
      </c>
      <c r="AY93" s="180">
        <v>0</v>
      </c>
      <c r="AZ93" s="180">
        <v>434052.88</v>
      </c>
      <c r="BA93" s="180">
        <v>0</v>
      </c>
      <c r="BB93" s="170">
        <f t="shared" si="38"/>
        <v>12913974.690000001</v>
      </c>
      <c r="BC93" s="170">
        <v>12913974.689999999</v>
      </c>
      <c r="BD93" s="2">
        <f t="shared" si="39"/>
        <v>0</v>
      </c>
    </row>
    <row r="94" spans="1:56" ht="12" x14ac:dyDescent="0.2">
      <c r="A94" s="4">
        <v>279</v>
      </c>
      <c r="B94" s="4">
        <v>1</v>
      </c>
      <c r="C94" s="2" t="s">
        <v>91</v>
      </c>
      <c r="D94" s="3">
        <v>0</v>
      </c>
      <c r="E94" s="3">
        <v>0</v>
      </c>
      <c r="F94" s="227">
        <f t="shared" si="22"/>
        <v>31521794.760000002</v>
      </c>
      <c r="G94" s="227">
        <f t="shared" si="23"/>
        <v>10299600.65</v>
      </c>
      <c r="H94" s="227">
        <f t="shared" si="24"/>
        <v>5000000</v>
      </c>
      <c r="I94" s="227">
        <f t="shared" si="25"/>
        <v>14801300.560000001</v>
      </c>
      <c r="J94" s="227">
        <f t="shared" si="26"/>
        <v>1836866.92</v>
      </c>
      <c r="K94" s="227">
        <f t="shared" si="27"/>
        <v>14406450.25</v>
      </c>
      <c r="L94" s="227">
        <f t="shared" si="28"/>
        <v>1477894.13</v>
      </c>
      <c r="M94" s="3">
        <f t="shared" si="29"/>
        <v>0</v>
      </c>
      <c r="N94" s="227">
        <f t="shared" si="30"/>
        <v>2310723.98</v>
      </c>
      <c r="O94" s="142">
        <f t="shared" si="31"/>
        <v>81654631.250000015</v>
      </c>
      <c r="P94" s="3">
        <f t="shared" si="32"/>
        <v>39833235.840000004</v>
      </c>
      <c r="Q94" s="3">
        <f t="shared" si="33"/>
        <v>19801300.560000002</v>
      </c>
      <c r="R94" s="3">
        <f t="shared" si="34"/>
        <v>1836866.92</v>
      </c>
      <c r="S94" s="3">
        <f t="shared" si="35"/>
        <v>15884344.379999999</v>
      </c>
      <c r="T94" s="3">
        <f t="shared" si="36"/>
        <v>2310723.98</v>
      </c>
      <c r="U94" s="3">
        <f>IF($A$5=1,IF($P94=0,0,ROUND(Q94/$P94*$E94,2)),Credits!D93)+Credits!J93</f>
        <v>718.99</v>
      </c>
      <c r="V94" s="3">
        <f>IF($A$5=1,IF($P94=0,0,ROUND(R94/$P94*$E94,2)),Credits!E93)+Credits!K93</f>
        <v>66.7</v>
      </c>
      <c r="W94" s="3">
        <f>IF($A$5=1,IF($P94=0,0,ROUND(S94/$P94*$E94,2)),Credits!F93)+Credits!L93</f>
        <v>576.76</v>
      </c>
      <c r="X94" s="3">
        <f>IF($A$5=1,IF($P94=0,0,ROUND(T94/$P94*$E94,2)),Credits!G93)+Credits!M93</f>
        <v>83.91</v>
      </c>
      <c r="Y94" s="3">
        <f t="shared" si="37"/>
        <v>1446.3600000000001</v>
      </c>
      <c r="AC94" s="4"/>
      <c r="AD94" s="4"/>
      <c r="AE94" s="2">
        <f t="shared" si="21"/>
        <v>0</v>
      </c>
      <c r="AF94" s="170" t="s">
        <v>1120</v>
      </c>
      <c r="AG94" s="175">
        <v>279</v>
      </c>
      <c r="AH94" s="175">
        <v>1</v>
      </c>
      <c r="AI94" s="175">
        <v>1</v>
      </c>
      <c r="AJ94" s="176">
        <v>31521794.760000002</v>
      </c>
      <c r="AK94" s="176">
        <v>0</v>
      </c>
      <c r="AL94" s="176">
        <v>10299600.65</v>
      </c>
      <c r="AM94" s="176">
        <v>0</v>
      </c>
      <c r="AN94" s="177">
        <v>5000000</v>
      </c>
      <c r="AO94" s="177">
        <v>0</v>
      </c>
      <c r="AP94" s="177">
        <v>14801300.560000001</v>
      </c>
      <c r="AQ94" s="177">
        <v>0</v>
      </c>
      <c r="AR94" s="177">
        <v>1836866.92</v>
      </c>
      <c r="AS94" s="177">
        <v>0</v>
      </c>
      <c r="AT94" s="178">
        <v>14406450.25</v>
      </c>
      <c r="AU94" s="178">
        <v>0</v>
      </c>
      <c r="AV94" s="178">
        <v>1477894.13</v>
      </c>
      <c r="AW94" s="179">
        <v>0</v>
      </c>
      <c r="AX94" s="180">
        <v>0</v>
      </c>
      <c r="AY94" s="180">
        <v>0</v>
      </c>
      <c r="AZ94" s="180">
        <v>2310723.98</v>
      </c>
      <c r="BA94" s="180">
        <v>0</v>
      </c>
      <c r="BB94" s="170">
        <f t="shared" si="38"/>
        <v>81654631.250000015</v>
      </c>
      <c r="BC94" s="170">
        <v>81654631.25</v>
      </c>
      <c r="BD94" s="2">
        <f t="shared" si="39"/>
        <v>0</v>
      </c>
    </row>
    <row r="95" spans="1:56" ht="12" x14ac:dyDescent="0.2">
      <c r="A95" s="4">
        <v>280</v>
      </c>
      <c r="B95" s="4">
        <v>1</v>
      </c>
      <c r="C95" s="2" t="s">
        <v>92</v>
      </c>
      <c r="D95" s="3">
        <v>0</v>
      </c>
      <c r="E95" s="3">
        <v>0</v>
      </c>
      <c r="F95" s="227">
        <f t="shared" si="22"/>
        <v>3902505.45</v>
      </c>
      <c r="G95" s="227">
        <f t="shared" si="23"/>
        <v>2720620.42</v>
      </c>
      <c r="H95" s="227">
        <f t="shared" si="24"/>
        <v>2260000</v>
      </c>
      <c r="I95" s="227">
        <f t="shared" si="25"/>
        <v>3528485.05</v>
      </c>
      <c r="J95" s="227">
        <f t="shared" si="26"/>
        <v>439916.99</v>
      </c>
      <c r="K95" s="227">
        <f t="shared" si="27"/>
        <v>3101896.63</v>
      </c>
      <c r="L95" s="227">
        <f t="shared" si="28"/>
        <v>1217795.3600000001</v>
      </c>
      <c r="M95" s="3">
        <f t="shared" si="29"/>
        <v>0</v>
      </c>
      <c r="N95" s="227">
        <f t="shared" si="30"/>
        <v>1189820.8799999999</v>
      </c>
      <c r="O95" s="142">
        <f t="shared" si="31"/>
        <v>18361040.780000001</v>
      </c>
      <c r="P95" s="3">
        <f t="shared" si="32"/>
        <v>11737914.91</v>
      </c>
      <c r="Q95" s="3">
        <f t="shared" si="33"/>
        <v>5788485.0499999998</v>
      </c>
      <c r="R95" s="3">
        <f t="shared" si="34"/>
        <v>439916.99</v>
      </c>
      <c r="S95" s="3">
        <f t="shared" si="35"/>
        <v>4319691.99</v>
      </c>
      <c r="T95" s="3">
        <f t="shared" si="36"/>
        <v>1189820.8799999999</v>
      </c>
      <c r="U95" s="3">
        <f>IF($A$5=1,IF($P95=0,0,ROUND(Q95/$P95*$E95,2)),Credits!D94)+Credits!J94</f>
        <v>0</v>
      </c>
      <c r="V95" s="3">
        <f>IF($A$5=1,IF($P95=0,0,ROUND(R95/$P95*$E95,2)),Credits!E94)+Credits!K94</f>
        <v>0</v>
      </c>
      <c r="W95" s="3">
        <f>IF($A$5=1,IF($P95=0,0,ROUND(S95/$P95*$E95,2)),Credits!F94)+Credits!L94</f>
        <v>0</v>
      </c>
      <c r="X95" s="3">
        <f>IF($A$5=1,IF($P95=0,0,ROUND(T95/$P95*$E95,2)),Credits!G94)+Credits!M94</f>
        <v>0</v>
      </c>
      <c r="Y95" s="3">
        <f t="shared" si="37"/>
        <v>0</v>
      </c>
      <c r="AC95" s="4"/>
      <c r="AD95" s="4"/>
      <c r="AE95" s="2">
        <f t="shared" si="21"/>
        <v>0</v>
      </c>
      <c r="AF95" s="173" t="s">
        <v>1120</v>
      </c>
      <c r="AG95" s="175">
        <v>280</v>
      </c>
      <c r="AH95" s="175">
        <v>1</v>
      </c>
      <c r="AI95" s="175">
        <v>1</v>
      </c>
      <c r="AJ95" s="176">
        <v>3902505.45</v>
      </c>
      <c r="AK95" s="176">
        <v>0</v>
      </c>
      <c r="AL95" s="176">
        <v>2720620.42</v>
      </c>
      <c r="AM95" s="176">
        <v>0</v>
      </c>
      <c r="AN95" s="177">
        <v>2260000</v>
      </c>
      <c r="AO95" s="177">
        <v>0</v>
      </c>
      <c r="AP95" s="177">
        <v>3528485.05</v>
      </c>
      <c r="AQ95" s="177">
        <v>0</v>
      </c>
      <c r="AR95" s="177">
        <v>439916.99</v>
      </c>
      <c r="AS95" s="177">
        <v>0</v>
      </c>
      <c r="AT95" s="178">
        <v>3101896.63</v>
      </c>
      <c r="AU95" s="178">
        <v>0</v>
      </c>
      <c r="AV95" s="178">
        <v>1217795.3600000001</v>
      </c>
      <c r="AW95" s="179">
        <v>0</v>
      </c>
      <c r="AX95" s="180">
        <v>0</v>
      </c>
      <c r="AY95" s="180">
        <v>0</v>
      </c>
      <c r="AZ95" s="180">
        <v>1189820.8799999999</v>
      </c>
      <c r="BA95" s="180">
        <v>0</v>
      </c>
      <c r="BB95" s="170">
        <f t="shared" si="38"/>
        <v>18361040.780000001</v>
      </c>
      <c r="BC95" s="170">
        <v>18361040.780000001</v>
      </c>
      <c r="BD95" s="2">
        <f t="shared" si="39"/>
        <v>0</v>
      </c>
    </row>
    <row r="96" spans="1:56" ht="12" x14ac:dyDescent="0.2">
      <c r="A96" s="4">
        <v>281</v>
      </c>
      <c r="B96" s="4">
        <v>1</v>
      </c>
      <c r="C96" s="2" t="s">
        <v>93</v>
      </c>
      <c r="D96" s="3">
        <v>0</v>
      </c>
      <c r="E96" s="3">
        <v>0</v>
      </c>
      <c r="F96" s="227">
        <f t="shared" si="22"/>
        <v>19802040.91</v>
      </c>
      <c r="G96" s="227">
        <f t="shared" si="23"/>
        <v>6382430.2400000002</v>
      </c>
      <c r="H96" s="227">
        <f t="shared" si="24"/>
        <v>0</v>
      </c>
      <c r="I96" s="227">
        <f t="shared" si="25"/>
        <v>8184885.6200000001</v>
      </c>
      <c r="J96" s="227">
        <f t="shared" si="26"/>
        <v>1793113.08</v>
      </c>
      <c r="K96" s="227">
        <f t="shared" si="27"/>
        <v>927060.78</v>
      </c>
      <c r="L96" s="227">
        <f t="shared" si="28"/>
        <v>15857472.449999999</v>
      </c>
      <c r="M96" s="3">
        <f t="shared" si="29"/>
        <v>0</v>
      </c>
      <c r="N96" s="227">
        <f t="shared" si="30"/>
        <v>1930733.68</v>
      </c>
      <c r="O96" s="142">
        <f t="shared" si="31"/>
        <v>54877736.759999998</v>
      </c>
      <c r="P96" s="3">
        <f t="shared" si="32"/>
        <v>28693265.609999999</v>
      </c>
      <c r="Q96" s="3">
        <f t="shared" si="33"/>
        <v>8184885.6200000001</v>
      </c>
      <c r="R96" s="3">
        <f t="shared" si="34"/>
        <v>1793113.08</v>
      </c>
      <c r="S96" s="3">
        <f t="shared" si="35"/>
        <v>16784533.23</v>
      </c>
      <c r="T96" s="3">
        <f t="shared" si="36"/>
        <v>1930733.68</v>
      </c>
      <c r="U96" s="3">
        <f>IF($A$5=1,IF($P96=0,0,ROUND(Q96/$P96*$E96,2)),Credits!D95)+Credits!J95</f>
        <v>22.02</v>
      </c>
      <c r="V96" s="3">
        <f>IF($A$5=1,IF($P96=0,0,ROUND(R96/$P96*$E96,2)),Credits!E95)+Credits!K95</f>
        <v>4.83</v>
      </c>
      <c r="W96" s="3">
        <f>IF($A$5=1,IF($P96=0,0,ROUND(S96/$P96*$E96,2)),Credits!F95)+Credits!L95</f>
        <v>45.15</v>
      </c>
      <c r="X96" s="3">
        <f>IF($A$5=1,IF($P96=0,0,ROUND(T96/$P96*$E96,2)),Credits!G95)+Credits!M95</f>
        <v>5.19</v>
      </c>
      <c r="Y96" s="3">
        <f t="shared" si="37"/>
        <v>77.19</v>
      </c>
      <c r="AC96" s="4"/>
      <c r="AD96" s="4"/>
      <c r="AE96" s="2">
        <f t="shared" si="21"/>
        <v>0</v>
      </c>
      <c r="AF96" s="170" t="s">
        <v>1120</v>
      </c>
      <c r="AG96" s="175">
        <v>281</v>
      </c>
      <c r="AH96" s="175">
        <v>1</v>
      </c>
      <c r="AI96" s="175">
        <v>1</v>
      </c>
      <c r="AJ96" s="176">
        <v>19802040.91</v>
      </c>
      <c r="AK96" s="176">
        <v>0</v>
      </c>
      <c r="AL96" s="176">
        <v>6382430.2400000002</v>
      </c>
      <c r="AM96" s="176">
        <v>0</v>
      </c>
      <c r="AN96" s="177">
        <v>0</v>
      </c>
      <c r="AO96" s="177">
        <v>0</v>
      </c>
      <c r="AP96" s="177">
        <v>8184885.6200000001</v>
      </c>
      <c r="AQ96" s="177">
        <v>0</v>
      </c>
      <c r="AR96" s="177">
        <v>1793113.08</v>
      </c>
      <c r="AS96" s="177">
        <v>0</v>
      </c>
      <c r="AT96" s="178">
        <v>927060.78</v>
      </c>
      <c r="AU96" s="178">
        <v>0</v>
      </c>
      <c r="AV96" s="178">
        <v>15857472.449999999</v>
      </c>
      <c r="AW96" s="179">
        <v>0</v>
      </c>
      <c r="AX96" s="180">
        <v>0</v>
      </c>
      <c r="AY96" s="180">
        <v>0</v>
      </c>
      <c r="AZ96" s="180">
        <v>1930733.68</v>
      </c>
      <c r="BA96" s="180">
        <v>0</v>
      </c>
      <c r="BB96" s="170">
        <f t="shared" si="38"/>
        <v>54877736.759999998</v>
      </c>
      <c r="BC96" s="170">
        <v>54877736.759999998</v>
      </c>
      <c r="BD96" s="2">
        <f t="shared" si="39"/>
        <v>0</v>
      </c>
    </row>
    <row r="97" spans="1:56" ht="12" x14ac:dyDescent="0.2">
      <c r="A97" s="4">
        <v>282</v>
      </c>
      <c r="B97" s="4">
        <v>1</v>
      </c>
      <c r="C97" s="2" t="s">
        <v>1176</v>
      </c>
      <c r="D97" s="3">
        <v>0</v>
      </c>
      <c r="E97" s="3">
        <v>0</v>
      </c>
      <c r="F97" s="227">
        <f t="shared" si="22"/>
        <v>1782164.63</v>
      </c>
      <c r="G97" s="227">
        <f t="shared" si="23"/>
        <v>971975.2</v>
      </c>
      <c r="H97" s="227">
        <f t="shared" si="24"/>
        <v>0</v>
      </c>
      <c r="I97" s="227">
        <f t="shared" si="25"/>
        <v>811861.4</v>
      </c>
      <c r="J97" s="227">
        <f t="shared" si="26"/>
        <v>89021.67</v>
      </c>
      <c r="K97" s="227">
        <f t="shared" si="27"/>
        <v>1272996.6399999999</v>
      </c>
      <c r="L97" s="227">
        <f t="shared" si="28"/>
        <v>647353.02</v>
      </c>
      <c r="M97" s="3">
        <f t="shared" si="29"/>
        <v>0</v>
      </c>
      <c r="N97" s="227">
        <f t="shared" si="30"/>
        <v>0</v>
      </c>
      <c r="O97" s="142">
        <f t="shared" si="31"/>
        <v>5575372.5600000005</v>
      </c>
      <c r="P97" s="3">
        <f t="shared" si="32"/>
        <v>2821232.73</v>
      </c>
      <c r="Q97" s="3">
        <f t="shared" si="33"/>
        <v>811861.4</v>
      </c>
      <c r="R97" s="3">
        <f t="shared" si="34"/>
        <v>89021.67</v>
      </c>
      <c r="S97" s="3">
        <f t="shared" si="35"/>
        <v>1920349.66</v>
      </c>
      <c r="T97" s="3">
        <f t="shared" si="36"/>
        <v>0</v>
      </c>
      <c r="U97" s="3">
        <f>IF($A$5=1,IF($P97=0,0,ROUND(Q97/$P97*$E97,2)),Credits!D96)+Credits!J96</f>
        <v>0</v>
      </c>
      <c r="V97" s="3">
        <f>IF($A$5=1,IF($P97=0,0,ROUND(R97/$P97*$E97,2)),Credits!E96)+Credits!K96</f>
        <v>0</v>
      </c>
      <c r="W97" s="3">
        <f>IF($A$5=1,IF($P97=0,0,ROUND(S97/$P97*$E97,2)),Credits!F96)+Credits!L96</f>
        <v>0</v>
      </c>
      <c r="X97" s="3">
        <f>IF($A$5=1,IF($P97=0,0,ROUND(T97/$P97*$E97,2)),Credits!G96)+Credits!M96</f>
        <v>0</v>
      </c>
      <c r="Y97" s="3">
        <f t="shared" si="37"/>
        <v>0</v>
      </c>
      <c r="AC97" s="4"/>
      <c r="AD97" s="4"/>
      <c r="AE97" s="2">
        <f t="shared" si="21"/>
        <v>0</v>
      </c>
      <c r="AF97" s="170" t="s">
        <v>1120</v>
      </c>
      <c r="AG97" s="175">
        <v>282</v>
      </c>
      <c r="AH97" s="175">
        <v>1</v>
      </c>
      <c r="AI97" s="175">
        <v>1</v>
      </c>
      <c r="AJ97" s="176">
        <v>1782164.63</v>
      </c>
      <c r="AK97" s="176">
        <v>0</v>
      </c>
      <c r="AL97" s="176">
        <v>971975.2</v>
      </c>
      <c r="AM97" s="176">
        <v>0</v>
      </c>
      <c r="AN97" s="177">
        <v>0</v>
      </c>
      <c r="AO97" s="177">
        <v>0</v>
      </c>
      <c r="AP97" s="177">
        <v>811861.4</v>
      </c>
      <c r="AQ97" s="177">
        <v>0</v>
      </c>
      <c r="AR97" s="177">
        <v>89021.67</v>
      </c>
      <c r="AS97" s="177">
        <v>0</v>
      </c>
      <c r="AT97" s="178">
        <v>1272996.6399999999</v>
      </c>
      <c r="AU97" s="178">
        <v>0</v>
      </c>
      <c r="AV97" s="178">
        <v>647353.02</v>
      </c>
      <c r="AW97" s="179">
        <v>0</v>
      </c>
      <c r="AX97" s="180">
        <v>0</v>
      </c>
      <c r="AY97" s="180">
        <v>0</v>
      </c>
      <c r="AZ97" s="180">
        <v>0</v>
      </c>
      <c r="BA97" s="180">
        <v>0</v>
      </c>
      <c r="BB97" s="170">
        <f t="shared" si="38"/>
        <v>5575372.5600000005</v>
      </c>
      <c r="BC97" s="170">
        <v>5575372.5599999996</v>
      </c>
      <c r="BD97" s="2">
        <f t="shared" si="39"/>
        <v>0</v>
      </c>
    </row>
    <row r="98" spans="1:56" ht="12" x14ac:dyDescent="0.2">
      <c r="A98" s="4">
        <v>283</v>
      </c>
      <c r="B98" s="4">
        <v>1</v>
      </c>
      <c r="C98" s="2" t="s">
        <v>95</v>
      </c>
      <c r="D98" s="3">
        <v>0</v>
      </c>
      <c r="E98" s="3">
        <v>0</v>
      </c>
      <c r="F98" s="227">
        <f t="shared" si="22"/>
        <v>9521019.4900000002</v>
      </c>
      <c r="G98" s="227">
        <f t="shared" si="23"/>
        <v>2349469.29</v>
      </c>
      <c r="H98" s="227">
        <f t="shared" si="24"/>
        <v>1750000</v>
      </c>
      <c r="I98" s="227">
        <f t="shared" si="25"/>
        <v>2752754.6</v>
      </c>
      <c r="J98" s="227">
        <f t="shared" si="26"/>
        <v>919393.65</v>
      </c>
      <c r="K98" s="227">
        <f t="shared" si="27"/>
        <v>6177615.3499999996</v>
      </c>
      <c r="L98" s="227">
        <f t="shared" si="28"/>
        <v>60471.19</v>
      </c>
      <c r="M98" s="3">
        <f t="shared" si="29"/>
        <v>0</v>
      </c>
      <c r="N98" s="227">
        <f t="shared" si="30"/>
        <v>858489.39</v>
      </c>
      <c r="O98" s="142">
        <f t="shared" si="31"/>
        <v>24389212.960000005</v>
      </c>
      <c r="P98" s="3">
        <f t="shared" si="32"/>
        <v>12518724.18</v>
      </c>
      <c r="Q98" s="3">
        <f t="shared" si="33"/>
        <v>4502754.5999999996</v>
      </c>
      <c r="R98" s="3">
        <f t="shared" si="34"/>
        <v>919393.65</v>
      </c>
      <c r="S98" s="3">
        <f t="shared" si="35"/>
        <v>6238086.54</v>
      </c>
      <c r="T98" s="3">
        <f t="shared" si="36"/>
        <v>858489.39</v>
      </c>
      <c r="U98" s="3">
        <f>IF($A$5=1,IF($P98=0,0,ROUND(Q98/$P98*$E98,2)),Credits!D97)+Credits!J97</f>
        <v>0</v>
      </c>
      <c r="V98" s="3">
        <f>IF($A$5=1,IF($P98=0,0,ROUND(R98/$P98*$E98,2)),Credits!E97)+Credits!K97</f>
        <v>0</v>
      </c>
      <c r="W98" s="3">
        <f>IF($A$5=1,IF($P98=0,0,ROUND(S98/$P98*$E98,2)),Credits!F97)+Credits!L97</f>
        <v>0</v>
      </c>
      <c r="X98" s="3">
        <f>IF($A$5=1,IF($P98=0,0,ROUND(T98/$P98*$E98,2)),Credits!G97)+Credits!M97</f>
        <v>0</v>
      </c>
      <c r="Y98" s="3">
        <f t="shared" si="37"/>
        <v>0</v>
      </c>
      <c r="AC98" s="4"/>
      <c r="AD98" s="4"/>
      <c r="AE98" s="2">
        <f t="shared" si="21"/>
        <v>0</v>
      </c>
      <c r="AF98" s="170" t="s">
        <v>1120</v>
      </c>
      <c r="AG98" s="175">
        <v>283</v>
      </c>
      <c r="AH98" s="175">
        <v>1</v>
      </c>
      <c r="AI98" s="175">
        <v>1</v>
      </c>
      <c r="AJ98" s="176">
        <v>9521019.4900000002</v>
      </c>
      <c r="AK98" s="176">
        <v>0</v>
      </c>
      <c r="AL98" s="176">
        <v>2349469.29</v>
      </c>
      <c r="AM98" s="176">
        <v>0</v>
      </c>
      <c r="AN98" s="177">
        <v>1750000</v>
      </c>
      <c r="AO98" s="177">
        <v>0</v>
      </c>
      <c r="AP98" s="177">
        <v>2752754.6</v>
      </c>
      <c r="AQ98" s="177">
        <v>0</v>
      </c>
      <c r="AR98" s="177">
        <v>919393.65</v>
      </c>
      <c r="AS98" s="177">
        <v>0</v>
      </c>
      <c r="AT98" s="178">
        <v>6177615.3499999996</v>
      </c>
      <c r="AU98" s="178">
        <v>0</v>
      </c>
      <c r="AV98" s="178">
        <v>60471.19</v>
      </c>
      <c r="AW98" s="179">
        <v>0</v>
      </c>
      <c r="AX98" s="180">
        <v>0</v>
      </c>
      <c r="AY98" s="180">
        <v>0</v>
      </c>
      <c r="AZ98" s="180">
        <v>858489.39</v>
      </c>
      <c r="BA98" s="180">
        <v>0</v>
      </c>
      <c r="BB98" s="170">
        <f t="shared" si="38"/>
        <v>24389212.960000005</v>
      </c>
      <c r="BC98" s="170">
        <v>24389212.960000001</v>
      </c>
      <c r="BD98" s="2">
        <f t="shared" si="39"/>
        <v>0</v>
      </c>
    </row>
    <row r="99" spans="1:56" ht="12" x14ac:dyDescent="0.2">
      <c r="A99" s="4">
        <v>284</v>
      </c>
      <c r="B99" s="4">
        <v>1</v>
      </c>
      <c r="C99" s="2" t="s">
        <v>96</v>
      </c>
      <c r="D99" s="3">
        <v>0</v>
      </c>
      <c r="E99" s="3">
        <v>0</v>
      </c>
      <c r="F99" s="227">
        <f t="shared" si="22"/>
        <v>16574037.289999999</v>
      </c>
      <c r="G99" s="227">
        <f t="shared" si="23"/>
        <v>6120899.8099999996</v>
      </c>
      <c r="H99" s="227">
        <f t="shared" si="24"/>
        <v>5490968</v>
      </c>
      <c r="I99" s="227">
        <f t="shared" si="25"/>
        <v>8710751.2899999991</v>
      </c>
      <c r="J99" s="227">
        <f t="shared" si="26"/>
        <v>1546100.59</v>
      </c>
      <c r="K99" s="227">
        <f t="shared" si="27"/>
        <v>9021232.4499999993</v>
      </c>
      <c r="L99" s="227">
        <f t="shared" si="28"/>
        <v>1004943</v>
      </c>
      <c r="M99" s="3">
        <f t="shared" si="29"/>
        <v>0</v>
      </c>
      <c r="N99" s="227">
        <f t="shared" si="30"/>
        <v>1526203.77</v>
      </c>
      <c r="O99" s="142">
        <f t="shared" si="31"/>
        <v>49995136.20000001</v>
      </c>
      <c r="P99" s="3">
        <f t="shared" si="32"/>
        <v>27300199.099999998</v>
      </c>
      <c r="Q99" s="3">
        <f t="shared" si="33"/>
        <v>14201719.289999999</v>
      </c>
      <c r="R99" s="3">
        <f t="shared" si="34"/>
        <v>1546100.59</v>
      </c>
      <c r="S99" s="3">
        <f t="shared" si="35"/>
        <v>10026175.449999999</v>
      </c>
      <c r="T99" s="3">
        <f t="shared" si="36"/>
        <v>1526203.77</v>
      </c>
      <c r="U99" s="3">
        <f>IF($A$5=1,IF($P99=0,0,ROUND(Q99/$P99*$E99,2)),Credits!D98)+Credits!J98</f>
        <v>648.7199999999998</v>
      </c>
      <c r="V99" s="3">
        <f>IF($A$5=1,IF($P99=0,0,ROUND(R99/$P99*$E99,2)),Credits!E98)+Credits!K98</f>
        <v>70.650000000000006</v>
      </c>
      <c r="W99" s="3">
        <f>IF($A$5=1,IF($P99=0,0,ROUND(S99/$P99*$E99,2)),Credits!F98)+Credits!L98</f>
        <v>458.05</v>
      </c>
      <c r="X99" s="3">
        <f>IF($A$5=1,IF($P99=0,0,ROUND(T99/$P99*$E99,2)),Credits!G98)+Credits!M98</f>
        <v>69.760000000000005</v>
      </c>
      <c r="Y99" s="3">
        <f t="shared" si="37"/>
        <v>1247.1799999999998</v>
      </c>
      <c r="AC99" s="4"/>
      <c r="AD99" s="4"/>
      <c r="AE99" s="2">
        <f t="shared" si="21"/>
        <v>0</v>
      </c>
      <c r="AF99" s="173" t="s">
        <v>1120</v>
      </c>
      <c r="AG99" s="175">
        <v>284</v>
      </c>
      <c r="AH99" s="175">
        <v>1</v>
      </c>
      <c r="AI99" s="175">
        <v>1</v>
      </c>
      <c r="AJ99" s="176">
        <v>16574037.289999999</v>
      </c>
      <c r="AK99" s="176">
        <v>0</v>
      </c>
      <c r="AL99" s="176">
        <v>6120899.8099999996</v>
      </c>
      <c r="AM99" s="176">
        <v>0</v>
      </c>
      <c r="AN99" s="177">
        <v>5490968</v>
      </c>
      <c r="AO99" s="177">
        <v>0</v>
      </c>
      <c r="AP99" s="177">
        <v>8710751.2899999991</v>
      </c>
      <c r="AQ99" s="177">
        <v>0</v>
      </c>
      <c r="AR99" s="177">
        <v>1546100.59</v>
      </c>
      <c r="AS99" s="177">
        <v>0</v>
      </c>
      <c r="AT99" s="178">
        <v>9021232.4499999993</v>
      </c>
      <c r="AU99" s="178">
        <v>0</v>
      </c>
      <c r="AV99" s="178">
        <v>1004943</v>
      </c>
      <c r="AW99" s="179">
        <v>0</v>
      </c>
      <c r="AX99" s="180">
        <v>0</v>
      </c>
      <c r="AY99" s="180">
        <v>0</v>
      </c>
      <c r="AZ99" s="180">
        <v>1526203.77</v>
      </c>
      <c r="BA99" s="180">
        <v>0</v>
      </c>
      <c r="BB99" s="170">
        <f t="shared" si="38"/>
        <v>49995136.20000001</v>
      </c>
      <c r="BC99" s="170">
        <v>49995136.200000003</v>
      </c>
      <c r="BD99" s="2">
        <f t="shared" si="39"/>
        <v>0</v>
      </c>
    </row>
    <row r="100" spans="1:56" ht="12" x14ac:dyDescent="0.2">
      <c r="A100" s="4">
        <v>286</v>
      </c>
      <c r="B100" s="4">
        <v>1</v>
      </c>
      <c r="C100" s="2" t="s">
        <v>97</v>
      </c>
      <c r="D100" s="3">
        <v>0</v>
      </c>
      <c r="E100" s="3">
        <v>0</v>
      </c>
      <c r="F100" s="227">
        <f t="shared" si="22"/>
        <v>0</v>
      </c>
      <c r="G100" s="227">
        <f t="shared" si="23"/>
        <v>1047980.11</v>
      </c>
      <c r="H100" s="227">
        <f t="shared" si="24"/>
        <v>0</v>
      </c>
      <c r="I100" s="227">
        <f t="shared" si="25"/>
        <v>989699.72</v>
      </c>
      <c r="J100" s="227">
        <f t="shared" si="26"/>
        <v>147637.64000000001</v>
      </c>
      <c r="K100" s="227">
        <f t="shared" si="27"/>
        <v>1772558.13</v>
      </c>
      <c r="L100" s="227">
        <f t="shared" si="28"/>
        <v>333792.86</v>
      </c>
      <c r="M100" s="3">
        <f t="shared" si="29"/>
        <v>0</v>
      </c>
      <c r="N100" s="227">
        <f t="shared" si="30"/>
        <v>362731.81</v>
      </c>
      <c r="O100" s="142">
        <f t="shared" si="31"/>
        <v>4654400.2699999996</v>
      </c>
      <c r="P100" s="3">
        <f t="shared" si="32"/>
        <v>3606420.1599999997</v>
      </c>
      <c r="Q100" s="3">
        <f t="shared" si="33"/>
        <v>989699.72</v>
      </c>
      <c r="R100" s="3">
        <f t="shared" si="34"/>
        <v>147637.64000000001</v>
      </c>
      <c r="S100" s="3">
        <f t="shared" si="35"/>
        <v>2106350.9899999998</v>
      </c>
      <c r="T100" s="3">
        <f t="shared" si="36"/>
        <v>362731.81</v>
      </c>
      <c r="U100" s="3">
        <f>IF($A$5=1,IF($P100=0,0,ROUND(Q100/$P100*$E100,2)),Credits!D99)+Credits!J99</f>
        <v>0</v>
      </c>
      <c r="V100" s="3">
        <f>IF($A$5=1,IF($P100=0,0,ROUND(R100/$P100*$E100,2)),Credits!E99)+Credits!K99</f>
        <v>0</v>
      </c>
      <c r="W100" s="3">
        <f>IF($A$5=1,IF($P100=0,0,ROUND(S100/$P100*$E100,2)),Credits!F99)+Credits!L99</f>
        <v>0</v>
      </c>
      <c r="X100" s="3">
        <f>IF($A$5=1,IF($P100=0,0,ROUND(T100/$P100*$E100,2)),Credits!G99)+Credits!M99</f>
        <v>0</v>
      </c>
      <c r="Y100" s="3">
        <f t="shared" si="37"/>
        <v>0</v>
      </c>
      <c r="AC100" s="4"/>
      <c r="AD100" s="4"/>
      <c r="AE100" s="2">
        <f t="shared" si="21"/>
        <v>0</v>
      </c>
      <c r="AF100" s="170" t="s">
        <v>1120</v>
      </c>
      <c r="AG100" s="175">
        <v>286</v>
      </c>
      <c r="AH100" s="175">
        <v>1</v>
      </c>
      <c r="AI100" s="175">
        <v>1</v>
      </c>
      <c r="AJ100" s="176">
        <v>0</v>
      </c>
      <c r="AK100" s="176">
        <v>0</v>
      </c>
      <c r="AL100" s="176">
        <v>1047980.11</v>
      </c>
      <c r="AM100" s="176">
        <v>0</v>
      </c>
      <c r="AN100" s="177">
        <v>0</v>
      </c>
      <c r="AO100" s="177">
        <v>0</v>
      </c>
      <c r="AP100" s="177">
        <v>989699.72</v>
      </c>
      <c r="AQ100" s="177">
        <v>0</v>
      </c>
      <c r="AR100" s="177">
        <v>147637.64000000001</v>
      </c>
      <c r="AS100" s="177">
        <v>0</v>
      </c>
      <c r="AT100" s="178">
        <v>1772558.13</v>
      </c>
      <c r="AU100" s="178">
        <v>0</v>
      </c>
      <c r="AV100" s="178">
        <v>333792.86</v>
      </c>
      <c r="AW100" s="179">
        <v>0</v>
      </c>
      <c r="AX100" s="180">
        <v>0</v>
      </c>
      <c r="AY100" s="180">
        <v>0</v>
      </c>
      <c r="AZ100" s="180">
        <v>362731.81</v>
      </c>
      <c r="BA100" s="180">
        <v>0</v>
      </c>
      <c r="BB100" s="170">
        <f t="shared" si="38"/>
        <v>4654400.2699999996</v>
      </c>
      <c r="BC100" s="170">
        <v>4654400.2699999996</v>
      </c>
      <c r="BD100" s="2">
        <f t="shared" si="39"/>
        <v>0</v>
      </c>
    </row>
    <row r="101" spans="1:56" ht="12" x14ac:dyDescent="0.2">
      <c r="A101" s="4">
        <v>294</v>
      </c>
      <c r="B101" s="4">
        <v>1</v>
      </c>
      <c r="C101" s="2" t="s">
        <v>98</v>
      </c>
      <c r="D101" s="3">
        <v>0</v>
      </c>
      <c r="E101" s="3">
        <v>0</v>
      </c>
      <c r="F101" s="227">
        <f t="shared" si="22"/>
        <v>70343</v>
      </c>
      <c r="G101" s="227">
        <f t="shared" si="23"/>
        <v>718158</v>
      </c>
      <c r="H101" s="227">
        <f t="shared" si="24"/>
        <v>0</v>
      </c>
      <c r="I101" s="227">
        <f t="shared" si="25"/>
        <v>109613</v>
      </c>
      <c r="J101" s="227">
        <f t="shared" si="26"/>
        <v>34559</v>
      </c>
      <c r="K101" s="227">
        <f t="shared" si="27"/>
        <v>0</v>
      </c>
      <c r="L101" s="227">
        <f t="shared" si="28"/>
        <v>107349</v>
      </c>
      <c r="M101" s="3">
        <f t="shared" si="29"/>
        <v>0</v>
      </c>
      <c r="N101" s="227">
        <f t="shared" si="30"/>
        <v>0</v>
      </c>
      <c r="O101" s="142">
        <f t="shared" si="31"/>
        <v>1040022</v>
      </c>
      <c r="P101" s="3">
        <f t="shared" si="32"/>
        <v>251521</v>
      </c>
      <c r="Q101" s="3">
        <f t="shared" si="33"/>
        <v>109613</v>
      </c>
      <c r="R101" s="3">
        <f t="shared" si="34"/>
        <v>34559</v>
      </c>
      <c r="S101" s="3">
        <f t="shared" si="35"/>
        <v>107349</v>
      </c>
      <c r="T101" s="3">
        <f t="shared" si="36"/>
        <v>0</v>
      </c>
      <c r="U101" s="3">
        <f>IF($A$5=1,IF($P101=0,0,ROUND(Q101/$P101*$E101,2)),Credits!D100)+Credits!J100</f>
        <v>9652.01</v>
      </c>
      <c r="V101" s="3">
        <f>IF($A$5=1,IF($P101=0,0,ROUND(R101/$P101*$E101,2)),Credits!E100)+Credits!K100</f>
        <v>3042.1400000000003</v>
      </c>
      <c r="W101" s="3">
        <f>IF($A$5=1,IF($P101=0,0,ROUND(S101/$P101*$E101,2)),Credits!F100)+Credits!L100</f>
        <v>9453.2200000000012</v>
      </c>
      <c r="X101" s="3">
        <f>IF($A$5=1,IF($P101=0,0,ROUND(T101/$P101*$E101,2)),Credits!G100)+Credits!M100</f>
        <v>0</v>
      </c>
      <c r="Y101" s="3">
        <f t="shared" si="37"/>
        <v>22147.370000000003</v>
      </c>
      <c r="AC101" s="4"/>
      <c r="AD101" s="4"/>
      <c r="AE101" s="2">
        <f t="shared" si="21"/>
        <v>0</v>
      </c>
      <c r="AF101" s="170" t="s">
        <v>1120</v>
      </c>
      <c r="AG101" s="175">
        <v>294</v>
      </c>
      <c r="AH101" s="175">
        <v>1</v>
      </c>
      <c r="AI101" s="175">
        <v>1</v>
      </c>
      <c r="AJ101" s="176">
        <v>70343</v>
      </c>
      <c r="AK101" s="176">
        <v>0</v>
      </c>
      <c r="AL101" s="176">
        <v>718158</v>
      </c>
      <c r="AM101" s="176">
        <v>0</v>
      </c>
      <c r="AN101" s="177">
        <v>0</v>
      </c>
      <c r="AO101" s="177">
        <v>0</v>
      </c>
      <c r="AP101" s="177">
        <v>109613</v>
      </c>
      <c r="AQ101" s="177">
        <v>0</v>
      </c>
      <c r="AR101" s="177">
        <v>34559</v>
      </c>
      <c r="AS101" s="177">
        <v>0</v>
      </c>
      <c r="AT101" s="178">
        <v>0</v>
      </c>
      <c r="AU101" s="178">
        <v>0</v>
      </c>
      <c r="AV101" s="178">
        <v>107349</v>
      </c>
      <c r="AW101" s="179">
        <v>0</v>
      </c>
      <c r="AX101" s="180">
        <v>0</v>
      </c>
      <c r="AY101" s="180">
        <v>0</v>
      </c>
      <c r="AZ101" s="180">
        <v>0</v>
      </c>
      <c r="BA101" s="180">
        <v>0</v>
      </c>
      <c r="BB101" s="170">
        <f t="shared" si="38"/>
        <v>1040022</v>
      </c>
      <c r="BC101" s="170">
        <v>1040022.46</v>
      </c>
      <c r="BD101" s="2">
        <f t="shared" si="39"/>
        <v>-0.4599999999627471</v>
      </c>
    </row>
    <row r="102" spans="1:56" ht="12" x14ac:dyDescent="0.2">
      <c r="A102" s="4">
        <v>297</v>
      </c>
      <c r="B102" s="4">
        <v>1</v>
      </c>
      <c r="C102" s="2" t="s">
        <v>99</v>
      </c>
      <c r="D102" s="3">
        <v>0</v>
      </c>
      <c r="E102" s="3">
        <v>0</v>
      </c>
      <c r="F102" s="227">
        <f t="shared" si="22"/>
        <v>383978</v>
      </c>
      <c r="G102" s="227">
        <f t="shared" si="23"/>
        <v>17019</v>
      </c>
      <c r="H102" s="227">
        <f t="shared" si="24"/>
        <v>0</v>
      </c>
      <c r="I102" s="227">
        <f t="shared" si="25"/>
        <v>124585</v>
      </c>
      <c r="J102" s="227">
        <f t="shared" si="26"/>
        <v>25569</v>
      </c>
      <c r="K102" s="227">
        <f t="shared" si="27"/>
        <v>0</v>
      </c>
      <c r="L102" s="227">
        <f t="shared" si="28"/>
        <v>0</v>
      </c>
      <c r="M102" s="3">
        <f t="shared" si="29"/>
        <v>0</v>
      </c>
      <c r="N102" s="227">
        <f t="shared" si="30"/>
        <v>0</v>
      </c>
      <c r="O102" s="142">
        <f t="shared" si="31"/>
        <v>551151</v>
      </c>
      <c r="P102" s="3">
        <f t="shared" si="32"/>
        <v>150154</v>
      </c>
      <c r="Q102" s="3">
        <f t="shared" si="33"/>
        <v>124585</v>
      </c>
      <c r="R102" s="3">
        <f t="shared" si="34"/>
        <v>25569</v>
      </c>
      <c r="S102" s="3">
        <f t="shared" si="35"/>
        <v>0</v>
      </c>
      <c r="T102" s="3">
        <f t="shared" si="36"/>
        <v>0</v>
      </c>
      <c r="U102" s="3">
        <f>IF($A$5=1,IF($P102=0,0,ROUND(Q102/$P102*$E102,2)),Credits!D101)+Credits!J101</f>
        <v>29811.350000000002</v>
      </c>
      <c r="V102" s="3">
        <f>IF($A$5=1,IF($P102=0,0,ROUND(R102/$P102*$E102,2)),Credits!E101)+Credits!K101</f>
        <v>6116.57</v>
      </c>
      <c r="W102" s="3">
        <f>IF($A$5=1,IF($P102=0,0,ROUND(S102/$P102*$E102,2)),Credits!F101)+Credits!L101</f>
        <v>0</v>
      </c>
      <c r="X102" s="3">
        <f>IF($A$5=1,IF($P102=0,0,ROUND(T102/$P102*$E102,2)),Credits!G101)+Credits!M101</f>
        <v>0</v>
      </c>
      <c r="Y102" s="3">
        <f t="shared" si="37"/>
        <v>35927.919999999998</v>
      </c>
      <c r="AC102" s="4"/>
      <c r="AD102" s="4"/>
      <c r="AE102" s="2">
        <f t="shared" si="21"/>
        <v>0</v>
      </c>
      <c r="AF102" s="170" t="s">
        <v>1120</v>
      </c>
      <c r="AG102" s="175">
        <v>297</v>
      </c>
      <c r="AH102" s="175">
        <v>1</v>
      </c>
      <c r="AI102" s="175">
        <v>1</v>
      </c>
      <c r="AJ102" s="176">
        <v>383978</v>
      </c>
      <c r="AK102" s="176">
        <v>0</v>
      </c>
      <c r="AL102" s="176">
        <v>17019</v>
      </c>
      <c r="AM102" s="176">
        <v>0</v>
      </c>
      <c r="AN102" s="177">
        <v>0</v>
      </c>
      <c r="AO102" s="177">
        <v>0</v>
      </c>
      <c r="AP102" s="177">
        <v>124585</v>
      </c>
      <c r="AQ102" s="177">
        <v>0</v>
      </c>
      <c r="AR102" s="177">
        <v>25569</v>
      </c>
      <c r="AS102" s="177">
        <v>0</v>
      </c>
      <c r="AT102" s="178">
        <v>0</v>
      </c>
      <c r="AU102" s="178">
        <v>0</v>
      </c>
      <c r="AV102" s="178">
        <v>0</v>
      </c>
      <c r="AW102" s="179">
        <v>0</v>
      </c>
      <c r="AX102" s="180">
        <v>0</v>
      </c>
      <c r="AY102" s="180">
        <v>0</v>
      </c>
      <c r="AZ102" s="180">
        <v>0</v>
      </c>
      <c r="BA102" s="180">
        <v>0</v>
      </c>
      <c r="BB102" s="170">
        <f t="shared" si="38"/>
        <v>551151</v>
      </c>
      <c r="BC102" s="170">
        <v>551151.15</v>
      </c>
      <c r="BD102" s="2">
        <f t="shared" si="39"/>
        <v>-0.15000000002328306</v>
      </c>
    </row>
    <row r="103" spans="1:56" ht="12" x14ac:dyDescent="0.2">
      <c r="A103" s="4">
        <v>299</v>
      </c>
      <c r="B103" s="4">
        <v>1</v>
      </c>
      <c r="C103" s="2" t="s">
        <v>100</v>
      </c>
      <c r="D103" s="3">
        <v>0</v>
      </c>
      <c r="E103" s="3">
        <v>0</v>
      </c>
      <c r="F103" s="227">
        <f t="shared" si="22"/>
        <v>407602</v>
      </c>
      <c r="G103" s="227">
        <f t="shared" si="23"/>
        <v>71865</v>
      </c>
      <c r="H103" s="227">
        <f t="shared" si="24"/>
        <v>0</v>
      </c>
      <c r="I103" s="227">
        <f t="shared" si="25"/>
        <v>366922</v>
      </c>
      <c r="J103" s="227">
        <f t="shared" si="26"/>
        <v>74860</v>
      </c>
      <c r="K103" s="227">
        <f t="shared" si="27"/>
        <v>1554910</v>
      </c>
      <c r="L103" s="227">
        <f t="shared" si="28"/>
        <v>0</v>
      </c>
      <c r="M103" s="3">
        <f t="shared" si="29"/>
        <v>0</v>
      </c>
      <c r="N103" s="227">
        <f t="shared" si="30"/>
        <v>0</v>
      </c>
      <c r="O103" s="142">
        <f t="shared" si="31"/>
        <v>2476159</v>
      </c>
      <c r="P103" s="3">
        <f t="shared" si="32"/>
        <v>1996692</v>
      </c>
      <c r="Q103" s="3">
        <f t="shared" si="33"/>
        <v>366922</v>
      </c>
      <c r="R103" s="3">
        <f t="shared" si="34"/>
        <v>74860</v>
      </c>
      <c r="S103" s="3">
        <f t="shared" si="35"/>
        <v>1554910</v>
      </c>
      <c r="T103" s="3">
        <f t="shared" si="36"/>
        <v>0</v>
      </c>
      <c r="U103" s="3">
        <f>IF($A$5=1,IF($P103=0,0,ROUND(Q103/$P103*$E103,2)),Credits!D102)+Credits!J102</f>
        <v>14300.71</v>
      </c>
      <c r="V103" s="3">
        <f>IF($A$5=1,IF($P103=0,0,ROUND(R103/$P103*$E103,2)),Credits!E102)+Credits!K102</f>
        <v>2917.41</v>
      </c>
      <c r="W103" s="3">
        <f>IF($A$5=1,IF($P103=0,0,ROUND(S103/$P103*$E103,2)),Credits!F102)+Credits!L102</f>
        <v>60608.389999999992</v>
      </c>
      <c r="X103" s="3">
        <f>IF($A$5=1,IF($P103=0,0,ROUND(T103/$P103*$E103,2)),Credits!G102)+Credits!M102</f>
        <v>0</v>
      </c>
      <c r="Y103" s="3">
        <f t="shared" si="37"/>
        <v>77826.509999999995</v>
      </c>
      <c r="AC103" s="4"/>
      <c r="AD103" s="4"/>
      <c r="AE103" s="2">
        <f t="shared" si="21"/>
        <v>0</v>
      </c>
      <c r="AF103" s="170" t="s">
        <v>1120</v>
      </c>
      <c r="AG103" s="175">
        <v>299</v>
      </c>
      <c r="AH103" s="175">
        <v>1</v>
      </c>
      <c r="AI103" s="175">
        <v>1</v>
      </c>
      <c r="AJ103" s="176">
        <v>407602</v>
      </c>
      <c r="AK103" s="176">
        <v>0</v>
      </c>
      <c r="AL103" s="176">
        <v>71865</v>
      </c>
      <c r="AM103" s="176">
        <v>0</v>
      </c>
      <c r="AN103" s="177">
        <v>0</v>
      </c>
      <c r="AO103" s="177">
        <v>0</v>
      </c>
      <c r="AP103" s="177">
        <v>366922</v>
      </c>
      <c r="AQ103" s="177">
        <v>0</v>
      </c>
      <c r="AR103" s="177">
        <v>74860</v>
      </c>
      <c r="AS103" s="177">
        <v>0</v>
      </c>
      <c r="AT103" s="178">
        <v>1554910</v>
      </c>
      <c r="AU103" s="178">
        <v>0</v>
      </c>
      <c r="AV103" s="178">
        <v>0</v>
      </c>
      <c r="AW103" s="179">
        <v>0</v>
      </c>
      <c r="AX103" s="180">
        <v>0</v>
      </c>
      <c r="AY103" s="180">
        <v>0</v>
      </c>
      <c r="AZ103" s="180">
        <v>0</v>
      </c>
      <c r="BA103" s="180">
        <v>0</v>
      </c>
      <c r="BB103" s="170">
        <f t="shared" si="38"/>
        <v>2476159</v>
      </c>
      <c r="BC103" s="170">
        <v>2476159.4500000002</v>
      </c>
      <c r="BD103" s="2">
        <f t="shared" si="39"/>
        <v>-0.45000000018626451</v>
      </c>
    </row>
    <row r="104" spans="1:56" ht="12" x14ac:dyDescent="0.2">
      <c r="A104" s="4">
        <v>300</v>
      </c>
      <c r="B104" s="4">
        <v>1</v>
      </c>
      <c r="C104" s="2" t="s">
        <v>101</v>
      </c>
      <c r="D104" s="3">
        <v>0</v>
      </c>
      <c r="E104" s="3">
        <v>0</v>
      </c>
      <c r="F104" s="227">
        <f t="shared" si="22"/>
        <v>621359</v>
      </c>
      <c r="G104" s="227">
        <f t="shared" si="23"/>
        <v>150764</v>
      </c>
      <c r="H104" s="227">
        <f t="shared" si="24"/>
        <v>0</v>
      </c>
      <c r="I104" s="227">
        <f t="shared" si="25"/>
        <v>429629</v>
      </c>
      <c r="J104" s="227">
        <f t="shared" si="26"/>
        <v>149738</v>
      </c>
      <c r="K104" s="227">
        <f t="shared" si="27"/>
        <v>692167</v>
      </c>
      <c r="L104" s="227">
        <f t="shared" si="28"/>
        <v>0</v>
      </c>
      <c r="M104" s="3">
        <f t="shared" si="29"/>
        <v>0</v>
      </c>
      <c r="N104" s="227">
        <f t="shared" si="30"/>
        <v>163066</v>
      </c>
      <c r="O104" s="142">
        <f t="shared" si="31"/>
        <v>2206723</v>
      </c>
      <c r="P104" s="3">
        <f t="shared" si="32"/>
        <v>1434600</v>
      </c>
      <c r="Q104" s="3">
        <f t="shared" si="33"/>
        <v>429629</v>
      </c>
      <c r="R104" s="3">
        <f t="shared" si="34"/>
        <v>149738</v>
      </c>
      <c r="S104" s="3">
        <f t="shared" si="35"/>
        <v>692167</v>
      </c>
      <c r="T104" s="3">
        <f t="shared" si="36"/>
        <v>163066</v>
      </c>
      <c r="U104" s="3">
        <f>IF($A$5=1,IF($P104=0,0,ROUND(Q104/$P104*$E104,2)),Credits!D103)+Credits!J103</f>
        <v>13940.239999999998</v>
      </c>
      <c r="V104" s="3">
        <f>IF($A$5=1,IF($P104=0,0,ROUND(R104/$P104*$E104,2)),Credits!E103)+Credits!K103</f>
        <v>4858.6799999999994</v>
      </c>
      <c r="W104" s="3">
        <f>IF($A$5=1,IF($P104=0,0,ROUND(S104/$P104*$E104,2)),Credits!F103)+Credits!L103</f>
        <v>22459.72</v>
      </c>
      <c r="X104" s="3">
        <f>IF($A$5=1,IF($P104=0,0,ROUND(T104/$P104*$E104,2)),Credits!G103)+Credits!M103</f>
        <v>5291.13</v>
      </c>
      <c r="Y104" s="3">
        <f t="shared" si="37"/>
        <v>46549.77</v>
      </c>
      <c r="AC104" s="4"/>
      <c r="AD104" s="4"/>
      <c r="AE104" s="2">
        <f t="shared" si="21"/>
        <v>0</v>
      </c>
      <c r="AF104" s="170" t="s">
        <v>1120</v>
      </c>
      <c r="AG104" s="175">
        <v>300</v>
      </c>
      <c r="AH104" s="175">
        <v>1</v>
      </c>
      <c r="AI104" s="175">
        <v>1</v>
      </c>
      <c r="AJ104" s="176">
        <v>621359</v>
      </c>
      <c r="AK104" s="176">
        <v>0</v>
      </c>
      <c r="AL104" s="176">
        <v>150764</v>
      </c>
      <c r="AM104" s="176">
        <v>0</v>
      </c>
      <c r="AN104" s="177">
        <v>0</v>
      </c>
      <c r="AO104" s="177">
        <v>0</v>
      </c>
      <c r="AP104" s="177">
        <v>429629</v>
      </c>
      <c r="AQ104" s="177">
        <v>0</v>
      </c>
      <c r="AR104" s="177">
        <v>149738</v>
      </c>
      <c r="AS104" s="177">
        <v>0</v>
      </c>
      <c r="AT104" s="178">
        <v>692167</v>
      </c>
      <c r="AU104" s="178">
        <v>0</v>
      </c>
      <c r="AV104" s="178">
        <v>0</v>
      </c>
      <c r="AW104" s="179">
        <v>0</v>
      </c>
      <c r="AX104" s="180">
        <v>0</v>
      </c>
      <c r="AY104" s="180">
        <v>0</v>
      </c>
      <c r="AZ104" s="180">
        <v>163066</v>
      </c>
      <c r="BA104" s="180">
        <v>0</v>
      </c>
      <c r="BB104" s="170">
        <f t="shared" si="38"/>
        <v>2206723</v>
      </c>
      <c r="BC104" s="170">
        <v>2206723.04</v>
      </c>
      <c r="BD104" s="2">
        <f t="shared" si="39"/>
        <v>-4.0000000037252903E-2</v>
      </c>
    </row>
    <row r="105" spans="1:56" ht="12" x14ac:dyDescent="0.2">
      <c r="A105" s="4">
        <v>306</v>
      </c>
      <c r="B105" s="4">
        <v>1</v>
      </c>
      <c r="C105" s="2" t="s">
        <v>102</v>
      </c>
      <c r="D105" s="3">
        <v>0</v>
      </c>
      <c r="E105" s="3">
        <v>0</v>
      </c>
      <c r="F105" s="227">
        <f t="shared" si="22"/>
        <v>0</v>
      </c>
      <c r="G105" s="227">
        <f t="shared" si="23"/>
        <v>102335</v>
      </c>
      <c r="H105" s="227">
        <f t="shared" si="24"/>
        <v>0</v>
      </c>
      <c r="I105" s="227">
        <f t="shared" si="25"/>
        <v>133775</v>
      </c>
      <c r="J105" s="227">
        <f t="shared" si="26"/>
        <v>24653</v>
      </c>
      <c r="K105" s="227">
        <f t="shared" si="27"/>
        <v>806726</v>
      </c>
      <c r="L105" s="227">
        <f t="shared" si="28"/>
        <v>0</v>
      </c>
      <c r="M105" s="3">
        <f t="shared" si="29"/>
        <v>0</v>
      </c>
      <c r="N105" s="227">
        <f t="shared" si="30"/>
        <v>0</v>
      </c>
      <c r="O105" s="142">
        <f t="shared" si="31"/>
        <v>1067489</v>
      </c>
      <c r="P105" s="3">
        <f t="shared" si="32"/>
        <v>965154</v>
      </c>
      <c r="Q105" s="3">
        <f t="shared" si="33"/>
        <v>133775</v>
      </c>
      <c r="R105" s="3">
        <f t="shared" si="34"/>
        <v>24653</v>
      </c>
      <c r="S105" s="3">
        <f t="shared" si="35"/>
        <v>806726</v>
      </c>
      <c r="T105" s="3">
        <f t="shared" si="36"/>
        <v>0</v>
      </c>
      <c r="U105" s="3">
        <f>IF($A$5=1,IF($P105=0,0,ROUND(Q105/$P105*$E105,2)),Credits!D104)+Credits!J104</f>
        <v>971.48000000000013</v>
      </c>
      <c r="V105" s="3">
        <f>IF($A$5=1,IF($P105=0,0,ROUND(R105/$P105*$E105,2)),Credits!E104)+Credits!K104</f>
        <v>179.10000000000002</v>
      </c>
      <c r="W105" s="3">
        <f>IF($A$5=1,IF($P105=0,0,ROUND(S105/$P105*$E105,2)),Credits!F104)+Credits!L104</f>
        <v>5857.96</v>
      </c>
      <c r="X105" s="3">
        <f>IF($A$5=1,IF($P105=0,0,ROUND(T105/$P105*$E105,2)),Credits!G104)+Credits!M104</f>
        <v>0</v>
      </c>
      <c r="Y105" s="3">
        <f t="shared" si="37"/>
        <v>7008.54</v>
      </c>
      <c r="AC105" s="4"/>
      <c r="AD105" s="4"/>
      <c r="AE105" s="2">
        <f t="shared" si="21"/>
        <v>0</v>
      </c>
      <c r="AF105" s="170" t="s">
        <v>1120</v>
      </c>
      <c r="AG105" s="175">
        <v>306</v>
      </c>
      <c r="AH105" s="175">
        <v>1</v>
      </c>
      <c r="AI105" s="175">
        <v>1</v>
      </c>
      <c r="AJ105" s="176">
        <v>0</v>
      </c>
      <c r="AK105" s="176">
        <v>0</v>
      </c>
      <c r="AL105" s="176">
        <v>102335</v>
      </c>
      <c r="AM105" s="176">
        <v>0</v>
      </c>
      <c r="AN105" s="177">
        <v>0</v>
      </c>
      <c r="AO105" s="177">
        <v>0</v>
      </c>
      <c r="AP105" s="177">
        <v>133775</v>
      </c>
      <c r="AQ105" s="177">
        <v>0</v>
      </c>
      <c r="AR105" s="177">
        <v>24653</v>
      </c>
      <c r="AS105" s="177">
        <v>0</v>
      </c>
      <c r="AT105" s="178">
        <v>806726</v>
      </c>
      <c r="AU105" s="178">
        <v>0</v>
      </c>
      <c r="AV105" s="178">
        <v>0</v>
      </c>
      <c r="AW105" s="179">
        <v>0</v>
      </c>
      <c r="AX105" s="180">
        <v>0</v>
      </c>
      <c r="AY105" s="180">
        <v>0</v>
      </c>
      <c r="AZ105" s="180">
        <v>0</v>
      </c>
      <c r="BA105" s="180">
        <v>0</v>
      </c>
      <c r="BB105" s="170">
        <f t="shared" si="38"/>
        <v>1067489</v>
      </c>
      <c r="BC105" s="170">
        <v>1067487.3500000001</v>
      </c>
      <c r="BD105" s="2">
        <f t="shared" si="39"/>
        <v>1.6499999999068677</v>
      </c>
    </row>
    <row r="106" spans="1:56" ht="12" x14ac:dyDescent="0.2">
      <c r="A106" s="4">
        <v>308</v>
      </c>
      <c r="B106" s="4">
        <v>1</v>
      </c>
      <c r="C106" s="2" t="s">
        <v>103</v>
      </c>
      <c r="D106" s="3">
        <v>0</v>
      </c>
      <c r="E106" s="3">
        <v>0</v>
      </c>
      <c r="F106" s="227">
        <f t="shared" si="22"/>
        <v>81027</v>
      </c>
      <c r="G106" s="227">
        <f t="shared" si="23"/>
        <v>110538</v>
      </c>
      <c r="H106" s="227">
        <f t="shared" si="24"/>
        <v>0</v>
      </c>
      <c r="I106" s="227">
        <f t="shared" si="25"/>
        <v>292299</v>
      </c>
      <c r="J106" s="227">
        <f t="shared" si="26"/>
        <v>35323</v>
      </c>
      <c r="K106" s="227">
        <f t="shared" si="27"/>
        <v>299395</v>
      </c>
      <c r="L106" s="227">
        <f t="shared" si="28"/>
        <v>105000</v>
      </c>
      <c r="M106" s="3">
        <f t="shared" si="29"/>
        <v>0</v>
      </c>
      <c r="N106" s="227">
        <f t="shared" si="30"/>
        <v>0</v>
      </c>
      <c r="O106" s="142">
        <f t="shared" si="31"/>
        <v>923582</v>
      </c>
      <c r="P106" s="3">
        <f t="shared" si="32"/>
        <v>732017</v>
      </c>
      <c r="Q106" s="3">
        <f t="shared" si="33"/>
        <v>292299</v>
      </c>
      <c r="R106" s="3">
        <f t="shared" si="34"/>
        <v>35323</v>
      </c>
      <c r="S106" s="3">
        <f t="shared" si="35"/>
        <v>404395</v>
      </c>
      <c r="T106" s="3">
        <f t="shared" si="36"/>
        <v>0</v>
      </c>
      <c r="U106" s="3">
        <f>IF($A$5=1,IF($P106=0,0,ROUND(Q106/$P106*$E106,2)),Credits!D105)+Credits!J105</f>
        <v>1095.78</v>
      </c>
      <c r="V106" s="3">
        <f>IF($A$5=1,IF($P106=0,0,ROUND(R106/$P106*$E106,2)),Credits!E105)+Credits!K105</f>
        <v>132.49999999999997</v>
      </c>
      <c r="W106" s="3">
        <f>IF($A$5=1,IF($P106=0,0,ROUND(S106/$P106*$E106,2)),Credits!F105)+Credits!L105</f>
        <v>1516.22</v>
      </c>
      <c r="X106" s="3">
        <f>IF($A$5=1,IF($P106=0,0,ROUND(T106/$P106*$E106,2)),Credits!G105)+Credits!M105</f>
        <v>0</v>
      </c>
      <c r="Y106" s="3">
        <f t="shared" si="37"/>
        <v>2744.5</v>
      </c>
      <c r="AC106" s="4"/>
      <c r="AD106" s="4"/>
      <c r="AE106" s="2">
        <f t="shared" si="21"/>
        <v>0</v>
      </c>
      <c r="AF106" s="170" t="s">
        <v>1120</v>
      </c>
      <c r="AG106" s="175">
        <v>308</v>
      </c>
      <c r="AH106" s="175">
        <v>1</v>
      </c>
      <c r="AI106" s="175">
        <v>1</v>
      </c>
      <c r="AJ106" s="176">
        <v>81027</v>
      </c>
      <c r="AK106" s="176">
        <v>0</v>
      </c>
      <c r="AL106" s="176">
        <v>110538</v>
      </c>
      <c r="AM106" s="176">
        <v>0</v>
      </c>
      <c r="AN106" s="177">
        <v>0</v>
      </c>
      <c r="AO106" s="177">
        <v>0</v>
      </c>
      <c r="AP106" s="177">
        <v>292299</v>
      </c>
      <c r="AQ106" s="177">
        <v>0</v>
      </c>
      <c r="AR106" s="177">
        <v>35323</v>
      </c>
      <c r="AS106" s="177">
        <v>0</v>
      </c>
      <c r="AT106" s="178">
        <v>299395</v>
      </c>
      <c r="AU106" s="178">
        <v>0</v>
      </c>
      <c r="AV106" s="178">
        <v>105000</v>
      </c>
      <c r="AW106" s="179">
        <v>0</v>
      </c>
      <c r="AX106" s="180">
        <v>0</v>
      </c>
      <c r="AY106" s="180">
        <v>0</v>
      </c>
      <c r="AZ106" s="180">
        <v>0</v>
      </c>
      <c r="BA106" s="180">
        <v>0</v>
      </c>
      <c r="BB106" s="170">
        <f t="shared" si="38"/>
        <v>923582</v>
      </c>
      <c r="BC106" s="170">
        <v>923582.81</v>
      </c>
      <c r="BD106" s="2">
        <f t="shared" si="39"/>
        <v>-0.81000000005587935</v>
      </c>
    </row>
    <row r="107" spans="1:56" ht="12" x14ac:dyDescent="0.2">
      <c r="A107" s="4">
        <v>309</v>
      </c>
      <c r="B107" s="4">
        <v>1</v>
      </c>
      <c r="C107" s="2" t="s">
        <v>104</v>
      </c>
      <c r="D107" s="3">
        <v>0</v>
      </c>
      <c r="E107" s="3">
        <v>0</v>
      </c>
      <c r="F107" s="227">
        <f t="shared" si="22"/>
        <v>841289</v>
      </c>
      <c r="G107" s="227">
        <f t="shared" si="23"/>
        <v>485766</v>
      </c>
      <c r="H107" s="227">
        <f t="shared" si="24"/>
        <v>0</v>
      </c>
      <c r="I107" s="227">
        <f t="shared" si="25"/>
        <v>500212</v>
      </c>
      <c r="J107" s="227">
        <f t="shared" si="26"/>
        <v>192801</v>
      </c>
      <c r="K107" s="227">
        <f t="shared" si="27"/>
        <v>2424005</v>
      </c>
      <c r="L107" s="227">
        <f t="shared" si="28"/>
        <v>577473</v>
      </c>
      <c r="M107" s="3">
        <f t="shared" si="29"/>
        <v>0</v>
      </c>
      <c r="N107" s="227">
        <f t="shared" si="30"/>
        <v>0</v>
      </c>
      <c r="O107" s="142">
        <f t="shared" si="31"/>
        <v>5021546</v>
      </c>
      <c r="P107" s="3">
        <f t="shared" si="32"/>
        <v>3694491</v>
      </c>
      <c r="Q107" s="3">
        <f t="shared" si="33"/>
        <v>500212</v>
      </c>
      <c r="R107" s="3">
        <f t="shared" si="34"/>
        <v>192801</v>
      </c>
      <c r="S107" s="3">
        <f t="shared" si="35"/>
        <v>3001478</v>
      </c>
      <c r="T107" s="3">
        <f t="shared" si="36"/>
        <v>0</v>
      </c>
      <c r="U107" s="3">
        <f>IF($A$5=1,IF($P107=0,0,ROUND(Q107/$P107*$E107,2)),Credits!D106)+Credits!J106</f>
        <v>3012.55</v>
      </c>
      <c r="V107" s="3">
        <f>IF($A$5=1,IF($P107=0,0,ROUND(R107/$P107*$E107,2)),Credits!E106)+Credits!K106</f>
        <v>1161.6500000000001</v>
      </c>
      <c r="W107" s="3">
        <f>IF($A$5=1,IF($P107=0,0,ROUND(S107/$P107*$E107,2)),Credits!F106)+Credits!L106</f>
        <v>18077.690000000002</v>
      </c>
      <c r="X107" s="3">
        <f>IF($A$5=1,IF($P107=0,0,ROUND(T107/$P107*$E107,2)),Credits!G106)+Credits!M106</f>
        <v>0</v>
      </c>
      <c r="Y107" s="3">
        <f t="shared" si="37"/>
        <v>22251.890000000003</v>
      </c>
      <c r="AC107" s="4"/>
      <c r="AD107" s="4"/>
      <c r="AE107" s="2">
        <f t="shared" si="21"/>
        <v>0</v>
      </c>
      <c r="AF107" s="170" t="s">
        <v>1120</v>
      </c>
      <c r="AG107" s="175">
        <v>309</v>
      </c>
      <c r="AH107" s="175">
        <v>1</v>
      </c>
      <c r="AI107" s="175">
        <v>1</v>
      </c>
      <c r="AJ107" s="176">
        <v>841289</v>
      </c>
      <c r="AK107" s="176">
        <v>0</v>
      </c>
      <c r="AL107" s="176">
        <v>485766</v>
      </c>
      <c r="AM107" s="176">
        <v>0</v>
      </c>
      <c r="AN107" s="177">
        <v>0</v>
      </c>
      <c r="AO107" s="177">
        <v>0</v>
      </c>
      <c r="AP107" s="177">
        <v>500212</v>
      </c>
      <c r="AQ107" s="177">
        <v>0</v>
      </c>
      <c r="AR107" s="177">
        <v>192801</v>
      </c>
      <c r="AS107" s="177">
        <v>0</v>
      </c>
      <c r="AT107" s="178">
        <v>2424005</v>
      </c>
      <c r="AU107" s="178">
        <v>0</v>
      </c>
      <c r="AV107" s="178">
        <v>577473</v>
      </c>
      <c r="AW107" s="179">
        <v>0</v>
      </c>
      <c r="AX107" s="180">
        <v>0</v>
      </c>
      <c r="AY107" s="180">
        <v>0</v>
      </c>
      <c r="AZ107" s="180">
        <v>0</v>
      </c>
      <c r="BA107" s="180">
        <v>0</v>
      </c>
      <c r="BB107" s="170">
        <f t="shared" si="38"/>
        <v>5021546</v>
      </c>
      <c r="BC107" s="170">
        <v>5021545.3499999996</v>
      </c>
      <c r="BD107" s="2">
        <f t="shared" si="39"/>
        <v>0.65000000037252903</v>
      </c>
    </row>
    <row r="108" spans="1:56" ht="12" x14ac:dyDescent="0.2">
      <c r="A108" s="4">
        <v>314</v>
      </c>
      <c r="B108" s="4">
        <v>1</v>
      </c>
      <c r="C108" s="2" t="s">
        <v>105</v>
      </c>
      <c r="D108" s="3">
        <v>0</v>
      </c>
      <c r="E108" s="3">
        <v>0</v>
      </c>
      <c r="F108" s="227">
        <f t="shared" si="22"/>
        <v>128751.42</v>
      </c>
      <c r="G108" s="227">
        <f t="shared" si="23"/>
        <v>123459.73</v>
      </c>
      <c r="H108" s="227">
        <f t="shared" si="24"/>
        <v>0</v>
      </c>
      <c r="I108" s="227">
        <f t="shared" si="25"/>
        <v>224348.54</v>
      </c>
      <c r="J108" s="227">
        <f t="shared" si="26"/>
        <v>41242.339999999997</v>
      </c>
      <c r="K108" s="227">
        <f t="shared" si="27"/>
        <v>643507.29</v>
      </c>
      <c r="L108" s="227">
        <f t="shared" si="28"/>
        <v>153152.63</v>
      </c>
      <c r="M108" s="3">
        <f t="shared" si="29"/>
        <v>0</v>
      </c>
      <c r="N108" s="227">
        <f t="shared" si="30"/>
        <v>152735.10999999999</v>
      </c>
      <c r="O108" s="142">
        <f t="shared" si="31"/>
        <v>1467197.06</v>
      </c>
      <c r="P108" s="3">
        <f t="shared" si="32"/>
        <v>1214985.9100000001</v>
      </c>
      <c r="Q108" s="3">
        <f t="shared" si="33"/>
        <v>224348.54</v>
      </c>
      <c r="R108" s="3">
        <f t="shared" si="34"/>
        <v>41242.339999999997</v>
      </c>
      <c r="S108" s="3">
        <f t="shared" si="35"/>
        <v>796659.92</v>
      </c>
      <c r="T108" s="3">
        <f t="shared" si="36"/>
        <v>152735.10999999999</v>
      </c>
      <c r="U108" s="3">
        <f>IF($A$5=1,IF($P108=0,0,ROUND(Q108/$P108*$E108,2)),Credits!D107)+Credits!J107</f>
        <v>6292.7</v>
      </c>
      <c r="V108" s="3">
        <f>IF($A$5=1,IF($P108=0,0,ROUND(R108/$P108*$E108,2)),Credits!E107)+Credits!K107</f>
        <v>1156.5000000000002</v>
      </c>
      <c r="W108" s="3">
        <f>IF($A$5=1,IF($P108=0,0,ROUND(S108/$P108*$E108,2)),Credits!F107)+Credits!L107</f>
        <v>22344.5</v>
      </c>
      <c r="X108" s="3">
        <f>IF($A$5=1,IF($P108=0,0,ROUND(T108/$P108*$E108,2)),Credits!G107)+Credits!M107</f>
        <v>4283.880000000001</v>
      </c>
      <c r="Y108" s="3">
        <f t="shared" si="37"/>
        <v>34077.58</v>
      </c>
      <c r="AC108" s="4"/>
      <c r="AD108" s="4"/>
      <c r="AE108" s="2">
        <f t="shared" si="21"/>
        <v>0</v>
      </c>
      <c r="AF108" s="170" t="s">
        <v>1120</v>
      </c>
      <c r="AG108" s="175">
        <v>314</v>
      </c>
      <c r="AH108" s="175">
        <v>1</v>
      </c>
      <c r="AI108" s="175">
        <v>1</v>
      </c>
      <c r="AJ108" s="176">
        <v>128751.42</v>
      </c>
      <c r="AK108" s="176">
        <v>0</v>
      </c>
      <c r="AL108" s="176">
        <v>123459.73</v>
      </c>
      <c r="AM108" s="176">
        <v>0</v>
      </c>
      <c r="AN108" s="177">
        <v>0</v>
      </c>
      <c r="AO108" s="177">
        <v>0</v>
      </c>
      <c r="AP108" s="177">
        <v>224348.54</v>
      </c>
      <c r="AQ108" s="177">
        <v>0</v>
      </c>
      <c r="AR108" s="177">
        <v>41242.339999999997</v>
      </c>
      <c r="AS108" s="177">
        <v>0</v>
      </c>
      <c r="AT108" s="178">
        <v>643507.29</v>
      </c>
      <c r="AU108" s="178">
        <v>0</v>
      </c>
      <c r="AV108" s="178">
        <v>153152.63</v>
      </c>
      <c r="AW108" s="179">
        <v>0</v>
      </c>
      <c r="AX108" s="180">
        <v>0</v>
      </c>
      <c r="AY108" s="180">
        <v>0</v>
      </c>
      <c r="AZ108" s="180">
        <v>152735.10999999999</v>
      </c>
      <c r="BA108" s="180">
        <v>0</v>
      </c>
      <c r="BB108" s="170">
        <f t="shared" si="38"/>
        <v>1467197.06</v>
      </c>
      <c r="BC108" s="170">
        <v>1467197.06</v>
      </c>
      <c r="BD108" s="2">
        <f t="shared" si="39"/>
        <v>0</v>
      </c>
    </row>
    <row r="109" spans="1:56" ht="12" x14ac:dyDescent="0.2">
      <c r="A109" s="4">
        <v>316</v>
      </c>
      <c r="B109" s="4">
        <v>1</v>
      </c>
      <c r="C109" s="2" t="s">
        <v>106</v>
      </c>
      <c r="D109" s="3">
        <v>0</v>
      </c>
      <c r="E109" s="3">
        <v>0</v>
      </c>
      <c r="F109" s="227">
        <f t="shared" si="22"/>
        <v>0</v>
      </c>
      <c r="G109" s="227">
        <f t="shared" si="23"/>
        <v>298549.15000000002</v>
      </c>
      <c r="H109" s="227">
        <f t="shared" si="24"/>
        <v>0</v>
      </c>
      <c r="I109" s="227">
        <f t="shared" si="25"/>
        <v>101353.21</v>
      </c>
      <c r="J109" s="227">
        <f t="shared" si="26"/>
        <v>0</v>
      </c>
      <c r="K109" s="227">
        <f t="shared" si="27"/>
        <v>42073.97</v>
      </c>
      <c r="L109" s="227">
        <f t="shared" si="28"/>
        <v>699740.98</v>
      </c>
      <c r="M109" s="3">
        <f t="shared" si="29"/>
        <v>0</v>
      </c>
      <c r="N109" s="227">
        <f t="shared" si="30"/>
        <v>1709460.97</v>
      </c>
      <c r="O109" s="142">
        <f t="shared" si="31"/>
        <v>2851178.2800000003</v>
      </c>
      <c r="P109" s="3">
        <f t="shared" si="32"/>
        <v>2552629.13</v>
      </c>
      <c r="Q109" s="3">
        <f t="shared" si="33"/>
        <v>101353.21</v>
      </c>
      <c r="R109" s="3">
        <f t="shared" si="34"/>
        <v>0</v>
      </c>
      <c r="S109" s="3">
        <f t="shared" si="35"/>
        <v>741814.95</v>
      </c>
      <c r="T109" s="3">
        <f t="shared" si="36"/>
        <v>1709460.97</v>
      </c>
      <c r="U109" s="3">
        <f>IF($A$5=1,IF($P109=0,0,ROUND(Q109/$P109*$E109,2)),Credits!D108)+Credits!J108</f>
        <v>11232.58</v>
      </c>
      <c r="V109" s="3">
        <f>IF($A$5=1,IF($P109=0,0,ROUND(R109/$P109*$E109,2)),Credits!E108)+Credits!K108</f>
        <v>0</v>
      </c>
      <c r="W109" s="3">
        <f>IF($A$5=1,IF($P109=0,0,ROUND(S109/$P109*$E109,2)),Credits!F108)+Credits!L108</f>
        <v>81464.63</v>
      </c>
      <c r="X109" s="3">
        <f>IF($A$5=1,IF($P109=0,0,ROUND(T109/$P109*$E109,2)),Credits!G108)+Credits!M108</f>
        <v>187731.53</v>
      </c>
      <c r="Y109" s="3">
        <f t="shared" si="37"/>
        <v>280428.74</v>
      </c>
      <c r="AC109" s="4"/>
      <c r="AD109" s="4"/>
      <c r="AE109" s="2">
        <f t="shared" si="21"/>
        <v>0</v>
      </c>
      <c r="AF109" s="170" t="s">
        <v>1120</v>
      </c>
      <c r="AG109" s="175">
        <v>316</v>
      </c>
      <c r="AH109" s="175">
        <v>1</v>
      </c>
      <c r="AI109" s="175">
        <v>1</v>
      </c>
      <c r="AJ109" s="176">
        <v>0</v>
      </c>
      <c r="AK109" s="176">
        <v>0</v>
      </c>
      <c r="AL109" s="176">
        <v>298549.15000000002</v>
      </c>
      <c r="AM109" s="176">
        <v>0</v>
      </c>
      <c r="AN109" s="177">
        <v>0</v>
      </c>
      <c r="AO109" s="177">
        <v>0</v>
      </c>
      <c r="AP109" s="177">
        <v>101353.21</v>
      </c>
      <c r="AQ109" s="177">
        <v>0</v>
      </c>
      <c r="AR109" s="177">
        <v>0</v>
      </c>
      <c r="AS109" s="177">
        <v>0</v>
      </c>
      <c r="AT109" s="178">
        <v>42073.97</v>
      </c>
      <c r="AU109" s="178">
        <v>0</v>
      </c>
      <c r="AV109" s="178">
        <v>699740.98</v>
      </c>
      <c r="AW109" s="179">
        <v>0</v>
      </c>
      <c r="AX109" s="180">
        <v>0</v>
      </c>
      <c r="AY109" s="180">
        <v>0</v>
      </c>
      <c r="AZ109" s="180">
        <v>1709460.97</v>
      </c>
      <c r="BA109" s="180">
        <v>0</v>
      </c>
      <c r="BB109" s="170">
        <f t="shared" si="38"/>
        <v>2851178.2800000003</v>
      </c>
      <c r="BC109" s="170">
        <v>2851178.28</v>
      </c>
      <c r="BD109" s="2">
        <f t="shared" si="39"/>
        <v>0</v>
      </c>
    </row>
    <row r="110" spans="1:56" ht="12" x14ac:dyDescent="0.2">
      <c r="A110" s="4">
        <v>317</v>
      </c>
      <c r="B110" s="4">
        <v>1</v>
      </c>
      <c r="C110" s="2" t="s">
        <v>107</v>
      </c>
      <c r="D110" s="3">
        <v>0</v>
      </c>
      <c r="E110" s="3">
        <v>0</v>
      </c>
      <c r="F110" s="227">
        <f t="shared" si="22"/>
        <v>0</v>
      </c>
      <c r="G110" s="227">
        <f t="shared" si="23"/>
        <v>236956.59</v>
      </c>
      <c r="H110" s="227">
        <f t="shared" si="24"/>
        <v>0</v>
      </c>
      <c r="I110" s="227">
        <f t="shared" si="25"/>
        <v>0</v>
      </c>
      <c r="J110" s="227">
        <f t="shared" si="26"/>
        <v>0</v>
      </c>
      <c r="K110" s="227">
        <f t="shared" si="27"/>
        <v>528289.78</v>
      </c>
      <c r="L110" s="227">
        <f t="shared" si="28"/>
        <v>324336.94</v>
      </c>
      <c r="M110" s="3">
        <f t="shared" si="29"/>
        <v>0</v>
      </c>
      <c r="N110" s="227">
        <f t="shared" si="30"/>
        <v>168637.16</v>
      </c>
      <c r="O110" s="142">
        <f t="shared" si="31"/>
        <v>1258220.47</v>
      </c>
      <c r="P110" s="3">
        <f t="shared" si="32"/>
        <v>1021263.88</v>
      </c>
      <c r="Q110" s="3">
        <f t="shared" si="33"/>
        <v>0</v>
      </c>
      <c r="R110" s="3">
        <f t="shared" si="34"/>
        <v>0</v>
      </c>
      <c r="S110" s="3">
        <f t="shared" si="35"/>
        <v>852626.72</v>
      </c>
      <c r="T110" s="3">
        <f t="shared" si="36"/>
        <v>168637.16</v>
      </c>
      <c r="U110" s="3">
        <f>IF($A$5=1,IF($P110=0,0,ROUND(Q110/$P110*$E110,2)),Credits!D109)+Credits!J109</f>
        <v>28.37</v>
      </c>
      <c r="V110" s="3">
        <f>IF($A$5=1,IF($P110=0,0,ROUND(R110/$P110*$E110,2)),Credits!E109)+Credits!K109</f>
        <v>0</v>
      </c>
      <c r="W110" s="3">
        <f>IF($A$5=1,IF($P110=0,0,ROUND(S110/$P110*$E110,2)),Credits!F109)+Credits!L109</f>
        <v>61668.92</v>
      </c>
      <c r="X110" s="3">
        <f>IF($A$5=1,IF($P110=0,0,ROUND(T110/$P110*$E110,2)),Credits!G109)+Credits!M109</f>
        <v>12196.25</v>
      </c>
      <c r="Y110" s="3">
        <f t="shared" si="37"/>
        <v>73893.540000000008</v>
      </c>
      <c r="AC110" s="4"/>
      <c r="AD110" s="4"/>
      <c r="AE110" s="2">
        <f t="shared" si="21"/>
        <v>0</v>
      </c>
      <c r="AF110" s="170" t="s">
        <v>1120</v>
      </c>
      <c r="AG110" s="175">
        <v>317</v>
      </c>
      <c r="AH110" s="175">
        <v>1</v>
      </c>
      <c r="AI110" s="175">
        <v>1</v>
      </c>
      <c r="AJ110" s="176">
        <v>0</v>
      </c>
      <c r="AK110" s="176">
        <v>0</v>
      </c>
      <c r="AL110" s="176">
        <v>236956.59</v>
      </c>
      <c r="AM110" s="176">
        <v>0</v>
      </c>
      <c r="AN110" s="177">
        <v>0</v>
      </c>
      <c r="AO110" s="177">
        <v>0</v>
      </c>
      <c r="AP110" s="177">
        <v>0</v>
      </c>
      <c r="AQ110" s="177">
        <v>0</v>
      </c>
      <c r="AR110" s="177">
        <v>0</v>
      </c>
      <c r="AS110" s="177">
        <v>0</v>
      </c>
      <c r="AT110" s="178">
        <v>528289.78</v>
      </c>
      <c r="AU110" s="178">
        <v>0</v>
      </c>
      <c r="AV110" s="178">
        <v>324336.94</v>
      </c>
      <c r="AW110" s="179">
        <v>0</v>
      </c>
      <c r="AX110" s="180">
        <v>0</v>
      </c>
      <c r="AY110" s="180">
        <v>0</v>
      </c>
      <c r="AZ110" s="180">
        <v>168637.16</v>
      </c>
      <c r="BA110" s="180">
        <v>0</v>
      </c>
      <c r="BB110" s="170">
        <f t="shared" si="38"/>
        <v>1258220.47</v>
      </c>
      <c r="BC110" s="170">
        <v>1258220.47</v>
      </c>
      <c r="BD110" s="2">
        <f t="shared" si="39"/>
        <v>0</v>
      </c>
    </row>
    <row r="111" spans="1:56" ht="12" x14ac:dyDescent="0.2">
      <c r="A111" s="4">
        <v>318</v>
      </c>
      <c r="B111" s="4">
        <v>1</v>
      </c>
      <c r="C111" s="2" t="s">
        <v>108</v>
      </c>
      <c r="D111" s="3">
        <v>0</v>
      </c>
      <c r="E111" s="3">
        <v>0</v>
      </c>
      <c r="F111" s="227">
        <f t="shared" si="22"/>
        <v>0</v>
      </c>
      <c r="G111" s="227">
        <f t="shared" si="23"/>
        <v>2500894.46</v>
      </c>
      <c r="H111" s="227">
        <f t="shared" si="24"/>
        <v>0</v>
      </c>
      <c r="I111" s="227">
        <f t="shared" si="25"/>
        <v>2521956.02</v>
      </c>
      <c r="J111" s="227">
        <f t="shared" si="26"/>
        <v>0</v>
      </c>
      <c r="K111" s="227">
        <f t="shared" si="27"/>
        <v>2800602.78</v>
      </c>
      <c r="L111" s="227">
        <f t="shared" si="28"/>
        <v>0</v>
      </c>
      <c r="M111" s="3">
        <f t="shared" si="29"/>
        <v>0</v>
      </c>
      <c r="N111" s="227">
        <f t="shared" si="30"/>
        <v>2474049.7200000002</v>
      </c>
      <c r="O111" s="142">
        <f t="shared" si="31"/>
        <v>10297502.98</v>
      </c>
      <c r="P111" s="3">
        <f t="shared" si="32"/>
        <v>7796608.5199999996</v>
      </c>
      <c r="Q111" s="3">
        <f t="shared" si="33"/>
        <v>2521956.02</v>
      </c>
      <c r="R111" s="3">
        <f t="shared" si="34"/>
        <v>0</v>
      </c>
      <c r="S111" s="3">
        <f t="shared" si="35"/>
        <v>2800602.78</v>
      </c>
      <c r="T111" s="3">
        <f t="shared" si="36"/>
        <v>2474049.7200000002</v>
      </c>
      <c r="U111" s="3">
        <f>IF($A$5=1,IF($P111=0,0,ROUND(Q111/$P111*$E111,2)),Credits!D110)+Credits!J110</f>
        <v>170127.24</v>
      </c>
      <c r="V111" s="3">
        <f>IF($A$5=1,IF($P111=0,0,ROUND(R111/$P111*$E111,2)),Credits!E110)+Credits!K110</f>
        <v>0</v>
      </c>
      <c r="W111" s="3">
        <f>IF($A$5=1,IF($P111=0,0,ROUND(S111/$P111*$E111,2)),Credits!F110)+Credits!L110</f>
        <v>188036</v>
      </c>
      <c r="X111" s="3">
        <f>IF($A$5=1,IF($P111=0,0,ROUND(T111/$P111*$E111,2)),Credits!G110)+Credits!M110</f>
        <v>166120.51</v>
      </c>
      <c r="Y111" s="3">
        <f t="shared" si="37"/>
        <v>524283.75</v>
      </c>
      <c r="AC111" s="4"/>
      <c r="AD111" s="4"/>
      <c r="AE111" s="2">
        <f t="shared" si="21"/>
        <v>0</v>
      </c>
      <c r="AF111" s="170" t="s">
        <v>1120</v>
      </c>
      <c r="AG111" s="175">
        <v>318</v>
      </c>
      <c r="AH111" s="175">
        <v>1</v>
      </c>
      <c r="AI111" s="175">
        <v>1</v>
      </c>
      <c r="AJ111" s="176">
        <v>0</v>
      </c>
      <c r="AK111" s="176">
        <v>0</v>
      </c>
      <c r="AL111" s="176">
        <v>2500894.46</v>
      </c>
      <c r="AM111" s="176">
        <v>0</v>
      </c>
      <c r="AN111" s="177">
        <v>0</v>
      </c>
      <c r="AO111" s="177">
        <v>0</v>
      </c>
      <c r="AP111" s="177">
        <v>2521956.02</v>
      </c>
      <c r="AQ111" s="177">
        <v>0</v>
      </c>
      <c r="AR111" s="177">
        <v>0</v>
      </c>
      <c r="AS111" s="177">
        <v>0</v>
      </c>
      <c r="AT111" s="178">
        <v>2800602.78</v>
      </c>
      <c r="AU111" s="178">
        <v>0</v>
      </c>
      <c r="AV111" s="178">
        <v>0</v>
      </c>
      <c r="AW111" s="179">
        <v>0</v>
      </c>
      <c r="AX111" s="180">
        <v>0</v>
      </c>
      <c r="AY111" s="180">
        <v>0</v>
      </c>
      <c r="AZ111" s="180">
        <v>2474049.7200000002</v>
      </c>
      <c r="BA111" s="180">
        <v>0</v>
      </c>
      <c r="BB111" s="170">
        <f t="shared" si="38"/>
        <v>10297502.98</v>
      </c>
      <c r="BC111" s="170">
        <v>10297502.98</v>
      </c>
      <c r="BD111" s="2">
        <f t="shared" si="39"/>
        <v>0</v>
      </c>
    </row>
    <row r="112" spans="1:56" ht="12" x14ac:dyDescent="0.2">
      <c r="A112" s="4">
        <v>319</v>
      </c>
      <c r="B112" s="4">
        <v>1</v>
      </c>
      <c r="C112" s="2" t="s">
        <v>1177</v>
      </c>
      <c r="D112" s="3">
        <v>0</v>
      </c>
      <c r="E112" s="3">
        <v>0</v>
      </c>
      <c r="F112" s="227">
        <f t="shared" si="22"/>
        <v>246808.52</v>
      </c>
      <c r="G112" s="227">
        <f t="shared" si="23"/>
        <v>65552.92</v>
      </c>
      <c r="H112" s="227">
        <f t="shared" si="24"/>
        <v>0</v>
      </c>
      <c r="I112" s="227">
        <f t="shared" si="25"/>
        <v>101194.41</v>
      </c>
      <c r="J112" s="227">
        <f t="shared" si="26"/>
        <v>0</v>
      </c>
      <c r="K112" s="227">
        <f t="shared" si="27"/>
        <v>0</v>
      </c>
      <c r="L112" s="227">
        <f t="shared" si="28"/>
        <v>0</v>
      </c>
      <c r="M112" s="3">
        <f t="shared" si="29"/>
        <v>0</v>
      </c>
      <c r="N112" s="227">
        <f t="shared" si="30"/>
        <v>292798.25</v>
      </c>
      <c r="O112" s="142">
        <f t="shared" si="31"/>
        <v>706354.1</v>
      </c>
      <c r="P112" s="3">
        <f t="shared" si="32"/>
        <v>393992.66000000003</v>
      </c>
      <c r="Q112" s="3">
        <f t="shared" si="33"/>
        <v>101194.41</v>
      </c>
      <c r="R112" s="3">
        <f t="shared" si="34"/>
        <v>0</v>
      </c>
      <c r="S112" s="3">
        <f t="shared" si="35"/>
        <v>0</v>
      </c>
      <c r="T112" s="3">
        <f t="shared" si="36"/>
        <v>292798.25</v>
      </c>
      <c r="U112" s="3">
        <f>IF($A$5=1,IF($P112=0,0,ROUND(Q112/$P112*$E112,2)),Credits!D111)+Credits!J111</f>
        <v>19045.759999999998</v>
      </c>
      <c r="V112" s="3">
        <f>IF($A$5=1,IF($P112=0,0,ROUND(R112/$P112*$E112,2)),Credits!E111)+Credits!K111</f>
        <v>0</v>
      </c>
      <c r="W112" s="3">
        <f>IF($A$5=1,IF($P112=0,0,ROUND(S112/$P112*$E112,2)),Credits!F111)+Credits!L111</f>
        <v>0</v>
      </c>
      <c r="X112" s="3">
        <f>IF($A$5=1,IF($P112=0,0,ROUND(T112/$P112*$E112,2)),Credits!G111)+Credits!M111</f>
        <v>54269.1</v>
      </c>
      <c r="Y112" s="3">
        <f t="shared" si="37"/>
        <v>73314.86</v>
      </c>
      <c r="AC112" s="4"/>
      <c r="AD112" s="4"/>
      <c r="AE112" s="2">
        <f t="shared" si="21"/>
        <v>0</v>
      </c>
      <c r="AF112" s="170" t="s">
        <v>1120</v>
      </c>
      <c r="AG112" s="175">
        <v>319</v>
      </c>
      <c r="AH112" s="175">
        <v>1</v>
      </c>
      <c r="AI112" s="175">
        <v>1</v>
      </c>
      <c r="AJ112" s="176">
        <v>246808.52</v>
      </c>
      <c r="AK112" s="176">
        <v>0</v>
      </c>
      <c r="AL112" s="176">
        <v>65552.92</v>
      </c>
      <c r="AM112" s="176">
        <v>0</v>
      </c>
      <c r="AN112" s="177">
        <v>0</v>
      </c>
      <c r="AO112" s="177">
        <v>0</v>
      </c>
      <c r="AP112" s="177">
        <v>101194.41</v>
      </c>
      <c r="AQ112" s="177">
        <v>0</v>
      </c>
      <c r="AR112" s="177">
        <v>0</v>
      </c>
      <c r="AS112" s="177">
        <v>0</v>
      </c>
      <c r="AT112" s="178">
        <v>0</v>
      </c>
      <c r="AU112" s="178">
        <v>0</v>
      </c>
      <c r="AV112" s="178">
        <v>0</v>
      </c>
      <c r="AW112" s="179">
        <v>0</v>
      </c>
      <c r="AX112" s="180">
        <v>0</v>
      </c>
      <c r="AY112" s="180">
        <v>0</v>
      </c>
      <c r="AZ112" s="180">
        <v>292798.25</v>
      </c>
      <c r="BA112" s="180">
        <v>0</v>
      </c>
      <c r="BB112" s="170">
        <f t="shared" si="38"/>
        <v>706354.1</v>
      </c>
      <c r="BC112" s="170">
        <v>706354.1</v>
      </c>
      <c r="BD112" s="2">
        <f t="shared" si="39"/>
        <v>0</v>
      </c>
    </row>
    <row r="113" spans="1:56" ht="12" x14ac:dyDescent="0.2">
      <c r="A113" s="4">
        <v>323</v>
      </c>
      <c r="B113" s="4">
        <v>2</v>
      </c>
      <c r="C113" s="2" t="s">
        <v>110</v>
      </c>
      <c r="D113" s="3">
        <v>0</v>
      </c>
      <c r="E113" s="3">
        <v>0</v>
      </c>
      <c r="F113" s="227">
        <f t="shared" si="22"/>
        <v>52318.71</v>
      </c>
      <c r="G113" s="227">
        <f t="shared" si="23"/>
        <v>1017.49</v>
      </c>
      <c r="H113" s="227">
        <f t="shared" si="24"/>
        <v>0</v>
      </c>
      <c r="I113" s="227">
        <f t="shared" si="25"/>
        <v>4297.1099999999997</v>
      </c>
      <c r="J113" s="227">
        <f t="shared" si="26"/>
        <v>0</v>
      </c>
      <c r="K113" s="227">
        <f t="shared" si="27"/>
        <v>0</v>
      </c>
      <c r="L113" s="227">
        <f t="shared" si="28"/>
        <v>0</v>
      </c>
      <c r="M113" s="3">
        <f t="shared" si="29"/>
        <v>0</v>
      </c>
      <c r="N113" s="227">
        <f t="shared" si="30"/>
        <v>0</v>
      </c>
      <c r="O113" s="142">
        <f t="shared" si="31"/>
        <v>57633.31</v>
      </c>
      <c r="P113" s="3">
        <f t="shared" si="32"/>
        <v>4297.1099999999997</v>
      </c>
      <c r="Q113" s="3">
        <f t="shared" si="33"/>
        <v>4297.1099999999997</v>
      </c>
      <c r="R113" s="3">
        <f t="shared" si="34"/>
        <v>0</v>
      </c>
      <c r="S113" s="3">
        <f t="shared" si="35"/>
        <v>0</v>
      </c>
      <c r="T113" s="3">
        <f t="shared" si="36"/>
        <v>0</v>
      </c>
      <c r="U113" s="3">
        <f>IF($A$5=1,IF($P113=0,0,ROUND(Q113/$P113*$E113,2)),Credits!D112)+Credits!J112</f>
        <v>60.88</v>
      </c>
      <c r="V113" s="3">
        <f>IF($A$5=1,IF($P113=0,0,ROUND(R113/$P113*$E113,2)),Credits!E112)+Credits!K112</f>
        <v>0</v>
      </c>
      <c r="W113" s="3">
        <f>IF($A$5=1,IF($P113=0,0,ROUND(S113/$P113*$E113,2)),Credits!F112)+Credits!L112</f>
        <v>0</v>
      </c>
      <c r="X113" s="3">
        <f>IF($A$5=1,IF($P113=0,0,ROUND(T113/$P113*$E113,2)),Credits!G112)+Credits!M112</f>
        <v>0</v>
      </c>
      <c r="Y113" s="3">
        <f t="shared" si="37"/>
        <v>60.88</v>
      </c>
      <c r="AC113" s="4"/>
      <c r="AD113" s="4"/>
      <c r="AE113" s="2">
        <f t="shared" si="21"/>
        <v>0</v>
      </c>
      <c r="AF113" s="170" t="s">
        <v>1120</v>
      </c>
      <c r="AG113" s="175">
        <v>323</v>
      </c>
      <c r="AH113" s="175">
        <v>2</v>
      </c>
      <c r="AI113" s="175">
        <v>1</v>
      </c>
      <c r="AJ113" s="176">
        <v>52318.71</v>
      </c>
      <c r="AK113" s="176">
        <v>0</v>
      </c>
      <c r="AL113" s="176">
        <v>1017.49</v>
      </c>
      <c r="AM113" s="176">
        <v>0</v>
      </c>
      <c r="AN113" s="177">
        <v>0</v>
      </c>
      <c r="AO113" s="177">
        <v>0</v>
      </c>
      <c r="AP113" s="177">
        <v>4297.1099999999997</v>
      </c>
      <c r="AQ113" s="177">
        <v>0</v>
      </c>
      <c r="AR113" s="177">
        <v>0</v>
      </c>
      <c r="AS113" s="177">
        <v>0</v>
      </c>
      <c r="AT113" s="178">
        <v>0</v>
      </c>
      <c r="AU113" s="178">
        <v>0</v>
      </c>
      <c r="AV113" s="178">
        <v>0</v>
      </c>
      <c r="AW113" s="179">
        <v>0</v>
      </c>
      <c r="AX113" s="180">
        <v>0</v>
      </c>
      <c r="AY113" s="180">
        <v>0</v>
      </c>
      <c r="AZ113" s="180">
        <v>0</v>
      </c>
      <c r="BA113" s="180">
        <v>0</v>
      </c>
      <c r="BB113" s="170">
        <f t="shared" si="38"/>
        <v>57633.31</v>
      </c>
      <c r="BC113" s="170">
        <v>57633.31</v>
      </c>
      <c r="BD113" s="2">
        <f t="shared" si="39"/>
        <v>0</v>
      </c>
    </row>
    <row r="114" spans="1:56" ht="12" x14ac:dyDescent="0.2">
      <c r="A114" s="4">
        <v>330</v>
      </c>
      <c r="B114" s="4">
        <v>1</v>
      </c>
      <c r="C114" s="2" t="s">
        <v>1178</v>
      </c>
      <c r="D114" s="3">
        <v>0</v>
      </c>
      <c r="E114" s="3">
        <v>0</v>
      </c>
      <c r="F114" s="227">
        <f t="shared" si="22"/>
        <v>414883.48</v>
      </c>
      <c r="G114" s="227">
        <f t="shared" si="23"/>
        <v>20783.330000000002</v>
      </c>
      <c r="H114" s="227">
        <f t="shared" si="24"/>
        <v>0</v>
      </c>
      <c r="I114" s="227">
        <f t="shared" si="25"/>
        <v>222196.17</v>
      </c>
      <c r="J114" s="227">
        <f t="shared" si="26"/>
        <v>27103.23</v>
      </c>
      <c r="K114" s="227">
        <f t="shared" si="27"/>
        <v>242645.33</v>
      </c>
      <c r="L114" s="227">
        <f t="shared" si="28"/>
        <v>0</v>
      </c>
      <c r="M114" s="3">
        <f t="shared" si="29"/>
        <v>0</v>
      </c>
      <c r="N114" s="227">
        <f t="shared" si="30"/>
        <v>0</v>
      </c>
      <c r="O114" s="142">
        <f t="shared" si="31"/>
        <v>927611.53999999992</v>
      </c>
      <c r="P114" s="3">
        <f t="shared" si="32"/>
        <v>491944.73</v>
      </c>
      <c r="Q114" s="3">
        <f t="shared" si="33"/>
        <v>222196.17</v>
      </c>
      <c r="R114" s="3">
        <f t="shared" si="34"/>
        <v>27103.23</v>
      </c>
      <c r="S114" s="3">
        <f t="shared" si="35"/>
        <v>242645.33</v>
      </c>
      <c r="T114" s="3">
        <f t="shared" si="36"/>
        <v>0</v>
      </c>
      <c r="U114" s="3">
        <f>IF($A$5=1,IF($P114=0,0,ROUND(Q114/$P114*$E114,2)),Credits!D113)+Credits!J113</f>
        <v>8071.42</v>
      </c>
      <c r="V114" s="3">
        <f>IF($A$5=1,IF($P114=0,0,ROUND(R114/$P114*$E114,2)),Credits!E113)+Credits!K113</f>
        <v>985.19</v>
      </c>
      <c r="W114" s="3">
        <f>IF($A$5=1,IF($P114=0,0,ROUND(S114/$P114*$E114,2)),Credits!F113)+Credits!L113</f>
        <v>8511.11</v>
      </c>
      <c r="X114" s="3">
        <f>IF($A$5=1,IF($P114=0,0,ROUND(T114/$P114*$E114,2)),Credits!G113)+Credits!M113</f>
        <v>0</v>
      </c>
      <c r="Y114" s="3">
        <f t="shared" si="37"/>
        <v>17567.72</v>
      </c>
      <c r="AC114" s="4"/>
      <c r="AD114" s="4"/>
      <c r="AE114" s="2">
        <f t="shared" si="21"/>
        <v>0</v>
      </c>
      <c r="AF114" s="170" t="s">
        <v>1120</v>
      </c>
      <c r="AG114" s="175">
        <v>330</v>
      </c>
      <c r="AH114" s="175">
        <v>1</v>
      </c>
      <c r="AI114" s="175">
        <v>1</v>
      </c>
      <c r="AJ114" s="176">
        <v>414883.48</v>
      </c>
      <c r="AK114" s="176">
        <v>0</v>
      </c>
      <c r="AL114" s="176">
        <v>20783.330000000002</v>
      </c>
      <c r="AM114" s="176">
        <v>0</v>
      </c>
      <c r="AN114" s="177">
        <v>0</v>
      </c>
      <c r="AO114" s="177">
        <v>0</v>
      </c>
      <c r="AP114" s="177">
        <v>222196.17</v>
      </c>
      <c r="AQ114" s="177">
        <v>0</v>
      </c>
      <c r="AR114" s="177">
        <v>27103.23</v>
      </c>
      <c r="AS114" s="177">
        <v>0</v>
      </c>
      <c r="AT114" s="178">
        <v>242645.33</v>
      </c>
      <c r="AU114" s="178">
        <v>0</v>
      </c>
      <c r="AV114" s="178">
        <v>0</v>
      </c>
      <c r="AW114" s="179">
        <v>0</v>
      </c>
      <c r="AX114" s="180">
        <v>0</v>
      </c>
      <c r="AY114" s="180">
        <v>0</v>
      </c>
      <c r="AZ114" s="180">
        <v>0</v>
      </c>
      <c r="BA114" s="180">
        <v>0</v>
      </c>
      <c r="BB114" s="170">
        <f t="shared" si="38"/>
        <v>927611.53999999992</v>
      </c>
      <c r="BC114" s="170">
        <v>927611.54</v>
      </c>
      <c r="BD114" s="2">
        <f t="shared" si="39"/>
        <v>0</v>
      </c>
    </row>
    <row r="115" spans="1:56" ht="12" x14ac:dyDescent="0.2">
      <c r="A115" s="4">
        <v>332</v>
      </c>
      <c r="B115" s="4">
        <v>1</v>
      </c>
      <c r="C115" s="2" t="s">
        <v>112</v>
      </c>
      <c r="D115" s="3">
        <v>0</v>
      </c>
      <c r="E115" s="3">
        <v>0</v>
      </c>
      <c r="F115" s="227">
        <f t="shared" si="22"/>
        <v>0</v>
      </c>
      <c r="G115" s="227">
        <f t="shared" si="23"/>
        <v>330780.37</v>
      </c>
      <c r="H115" s="227">
        <f t="shared" si="24"/>
        <v>0</v>
      </c>
      <c r="I115" s="227">
        <f t="shared" si="25"/>
        <v>456055.61</v>
      </c>
      <c r="J115" s="227">
        <f t="shared" si="26"/>
        <v>85291.45</v>
      </c>
      <c r="K115" s="227">
        <f t="shared" si="27"/>
        <v>685566.29</v>
      </c>
      <c r="L115" s="227">
        <f t="shared" si="28"/>
        <v>0</v>
      </c>
      <c r="M115" s="3">
        <f t="shared" si="29"/>
        <v>0</v>
      </c>
      <c r="N115" s="227">
        <f t="shared" si="30"/>
        <v>0</v>
      </c>
      <c r="O115" s="142">
        <f t="shared" si="31"/>
        <v>1557693.72</v>
      </c>
      <c r="P115" s="3">
        <f t="shared" si="32"/>
        <v>1226913.3500000001</v>
      </c>
      <c r="Q115" s="3">
        <f t="shared" si="33"/>
        <v>456055.61</v>
      </c>
      <c r="R115" s="3">
        <f t="shared" si="34"/>
        <v>85291.45</v>
      </c>
      <c r="S115" s="3">
        <f t="shared" si="35"/>
        <v>685566.29</v>
      </c>
      <c r="T115" s="3">
        <f t="shared" si="36"/>
        <v>0</v>
      </c>
      <c r="U115" s="3">
        <f>IF($A$5=1,IF($P115=0,0,ROUND(Q115/$P115*$E115,2)),Credits!D114)+Credits!J114</f>
        <v>7528.1600000000008</v>
      </c>
      <c r="V115" s="3">
        <f>IF($A$5=1,IF($P115=0,0,ROUND(R115/$P115*$E115,2)),Credits!E114)+Credits!K114</f>
        <v>1401.3000000000002</v>
      </c>
      <c r="W115" s="3">
        <f>IF($A$5=1,IF($P115=0,0,ROUND(S115/$P115*$E115,2)),Credits!F114)+Credits!L114</f>
        <v>11265.650000000001</v>
      </c>
      <c r="X115" s="3">
        <f>IF($A$5=1,IF($P115=0,0,ROUND(T115/$P115*$E115,2)),Credits!G114)+Credits!M114</f>
        <v>0</v>
      </c>
      <c r="Y115" s="3">
        <f t="shared" si="37"/>
        <v>20195.11</v>
      </c>
      <c r="AC115" s="4"/>
      <c r="AD115" s="4"/>
      <c r="AE115" s="2">
        <f t="shared" si="21"/>
        <v>0</v>
      </c>
      <c r="AF115" s="170" t="s">
        <v>1120</v>
      </c>
      <c r="AG115" s="175">
        <v>332</v>
      </c>
      <c r="AH115" s="175">
        <v>1</v>
      </c>
      <c r="AI115" s="175">
        <v>1</v>
      </c>
      <c r="AJ115" s="176">
        <v>0</v>
      </c>
      <c r="AK115" s="176">
        <v>0</v>
      </c>
      <c r="AL115" s="176">
        <v>330780.37</v>
      </c>
      <c r="AM115" s="176">
        <v>0</v>
      </c>
      <c r="AN115" s="177">
        <v>0</v>
      </c>
      <c r="AO115" s="177">
        <v>0</v>
      </c>
      <c r="AP115" s="177">
        <v>456055.61</v>
      </c>
      <c r="AQ115" s="177">
        <v>0</v>
      </c>
      <c r="AR115" s="177">
        <v>85291.45</v>
      </c>
      <c r="AS115" s="177">
        <v>0</v>
      </c>
      <c r="AT115" s="178">
        <v>685566.29</v>
      </c>
      <c r="AU115" s="178">
        <v>0</v>
      </c>
      <c r="AV115" s="178">
        <v>0</v>
      </c>
      <c r="AW115" s="179">
        <v>0</v>
      </c>
      <c r="AX115" s="180">
        <v>0</v>
      </c>
      <c r="AY115" s="180">
        <v>0</v>
      </c>
      <c r="AZ115" s="180">
        <v>0</v>
      </c>
      <c r="BA115" s="180">
        <v>0</v>
      </c>
      <c r="BB115" s="170">
        <f t="shared" si="38"/>
        <v>1557693.72</v>
      </c>
      <c r="BC115" s="170">
        <v>1557693.72</v>
      </c>
      <c r="BD115" s="2">
        <f t="shared" si="39"/>
        <v>0</v>
      </c>
    </row>
    <row r="116" spans="1:56" ht="12" x14ac:dyDescent="0.2">
      <c r="A116" s="4">
        <v>333</v>
      </c>
      <c r="B116" s="4">
        <v>1</v>
      </c>
      <c r="C116" s="2" t="s">
        <v>113</v>
      </c>
      <c r="D116" s="3">
        <v>0</v>
      </c>
      <c r="E116" s="3">
        <v>0</v>
      </c>
      <c r="F116" s="227">
        <f t="shared" si="22"/>
        <v>0</v>
      </c>
      <c r="G116" s="227">
        <f t="shared" si="23"/>
        <v>84366.83</v>
      </c>
      <c r="H116" s="227">
        <f t="shared" si="24"/>
        <v>0</v>
      </c>
      <c r="I116" s="227">
        <f t="shared" si="25"/>
        <v>193580</v>
      </c>
      <c r="J116" s="227">
        <f t="shared" si="26"/>
        <v>27828.89</v>
      </c>
      <c r="K116" s="227">
        <f t="shared" si="27"/>
        <v>463475.49</v>
      </c>
      <c r="L116" s="227">
        <f t="shared" si="28"/>
        <v>54915</v>
      </c>
      <c r="M116" s="3">
        <f t="shared" si="29"/>
        <v>0</v>
      </c>
      <c r="N116" s="227">
        <f t="shared" si="30"/>
        <v>136113.24</v>
      </c>
      <c r="O116" s="142">
        <f t="shared" si="31"/>
        <v>960279.45</v>
      </c>
      <c r="P116" s="3">
        <f t="shared" si="32"/>
        <v>875912.62</v>
      </c>
      <c r="Q116" s="3">
        <f t="shared" si="33"/>
        <v>193580</v>
      </c>
      <c r="R116" s="3">
        <f t="shared" si="34"/>
        <v>27828.89</v>
      </c>
      <c r="S116" s="3">
        <f t="shared" si="35"/>
        <v>518390.49</v>
      </c>
      <c r="T116" s="3">
        <f t="shared" si="36"/>
        <v>136113.24</v>
      </c>
      <c r="U116" s="3">
        <f>IF($A$5=1,IF($P116=0,0,ROUND(Q116/$P116*$E116,2)),Credits!D115)+Credits!J115</f>
        <v>5806.59</v>
      </c>
      <c r="V116" s="3">
        <f>IF($A$5=1,IF($P116=0,0,ROUND(R116/$P116*$E116,2)),Credits!E115)+Credits!K115</f>
        <v>830.15</v>
      </c>
      <c r="W116" s="3">
        <f>IF($A$5=1,IF($P116=0,0,ROUND(S116/$P116*$E116,2)),Credits!F115)+Credits!L115</f>
        <v>15467.31</v>
      </c>
      <c r="X116" s="3">
        <f>IF($A$5=1,IF($P116=0,0,ROUND(T116/$P116*$E116,2)),Credits!G115)+Credits!M115</f>
        <v>4061.3300000000004</v>
      </c>
      <c r="Y116" s="3">
        <f t="shared" si="37"/>
        <v>26165.38</v>
      </c>
      <c r="AC116" s="4"/>
      <c r="AD116" s="4"/>
      <c r="AE116" s="2">
        <f t="shared" si="21"/>
        <v>0</v>
      </c>
      <c r="AF116" s="170" t="s">
        <v>1120</v>
      </c>
      <c r="AG116" s="175">
        <v>333</v>
      </c>
      <c r="AH116" s="175">
        <v>1</v>
      </c>
      <c r="AI116" s="175">
        <v>1</v>
      </c>
      <c r="AJ116" s="176">
        <v>0</v>
      </c>
      <c r="AK116" s="176">
        <v>0</v>
      </c>
      <c r="AL116" s="176">
        <v>84366.83</v>
      </c>
      <c r="AM116" s="176">
        <v>0</v>
      </c>
      <c r="AN116" s="177">
        <v>0</v>
      </c>
      <c r="AO116" s="177">
        <v>0</v>
      </c>
      <c r="AP116" s="177">
        <v>193580</v>
      </c>
      <c r="AQ116" s="177">
        <v>0</v>
      </c>
      <c r="AR116" s="177">
        <v>27828.89</v>
      </c>
      <c r="AS116" s="177">
        <v>0</v>
      </c>
      <c r="AT116" s="178">
        <v>463475.49</v>
      </c>
      <c r="AU116" s="178">
        <v>0</v>
      </c>
      <c r="AV116" s="178">
        <v>54915</v>
      </c>
      <c r="AW116" s="179">
        <v>0</v>
      </c>
      <c r="AX116" s="180">
        <v>0</v>
      </c>
      <c r="AY116" s="180">
        <v>0</v>
      </c>
      <c r="AZ116" s="180">
        <v>136113.24</v>
      </c>
      <c r="BA116" s="180">
        <v>0</v>
      </c>
      <c r="BB116" s="170">
        <f t="shared" si="38"/>
        <v>960279.45</v>
      </c>
      <c r="BC116" s="170">
        <v>960279.45</v>
      </c>
      <c r="BD116" s="2">
        <f t="shared" si="39"/>
        <v>0</v>
      </c>
    </row>
    <row r="117" spans="1:56" ht="12" x14ac:dyDescent="0.2">
      <c r="A117" s="4">
        <v>345</v>
      </c>
      <c r="B117" s="4">
        <v>1</v>
      </c>
      <c r="C117" s="2" t="s">
        <v>1179</v>
      </c>
      <c r="D117" s="3">
        <v>0</v>
      </c>
      <c r="E117" s="3">
        <v>0</v>
      </c>
      <c r="F117" s="227">
        <f t="shared" si="22"/>
        <v>692155.08</v>
      </c>
      <c r="G117" s="227">
        <f t="shared" si="23"/>
        <v>172701.69</v>
      </c>
      <c r="H117" s="227">
        <f t="shared" si="24"/>
        <v>469368</v>
      </c>
      <c r="I117" s="227">
        <f t="shared" si="25"/>
        <v>424879.49</v>
      </c>
      <c r="J117" s="227">
        <f t="shared" si="26"/>
        <v>150260.71</v>
      </c>
      <c r="K117" s="227">
        <f t="shared" si="27"/>
        <v>564296.43000000005</v>
      </c>
      <c r="L117" s="227">
        <f t="shared" si="28"/>
        <v>1215444</v>
      </c>
      <c r="M117" s="3">
        <f t="shared" si="29"/>
        <v>0</v>
      </c>
      <c r="N117" s="227">
        <f t="shared" si="30"/>
        <v>252914.25</v>
      </c>
      <c r="O117" s="142">
        <f t="shared" si="31"/>
        <v>3942019.65</v>
      </c>
      <c r="P117" s="3">
        <f t="shared" si="32"/>
        <v>3077162.88</v>
      </c>
      <c r="Q117" s="3">
        <f t="shared" si="33"/>
        <v>894247.49</v>
      </c>
      <c r="R117" s="3">
        <f t="shared" si="34"/>
        <v>150260.71</v>
      </c>
      <c r="S117" s="3">
        <f t="shared" si="35"/>
        <v>1779740.4300000002</v>
      </c>
      <c r="T117" s="3">
        <f t="shared" si="36"/>
        <v>252914.25</v>
      </c>
      <c r="U117" s="3">
        <f>IF($A$5=1,IF($P117=0,0,ROUND(Q117/$P117*$E117,2)),Credits!D116)+Credits!J116</f>
        <v>7267.6900000000005</v>
      </c>
      <c r="V117" s="3">
        <f>IF($A$5=1,IF($P117=0,0,ROUND(R117/$P117*$E117,2)),Credits!E116)+Credits!K116</f>
        <v>1222.3700000000001</v>
      </c>
      <c r="W117" s="3">
        <f>IF($A$5=1,IF($P117=0,0,ROUND(S117/$P117*$E117,2)),Credits!F116)+Credits!L116</f>
        <v>14468.79</v>
      </c>
      <c r="X117" s="3">
        <f>IF($A$5=1,IF($P117=0,0,ROUND(T117/$P117*$E117,2)),Credits!G116)+Credits!M116</f>
        <v>2057</v>
      </c>
      <c r="Y117" s="3">
        <f t="shared" si="37"/>
        <v>25015.850000000002</v>
      </c>
      <c r="AC117" s="4"/>
      <c r="AD117" s="4"/>
      <c r="AE117" s="2">
        <f t="shared" si="21"/>
        <v>0</v>
      </c>
      <c r="AF117" s="170" t="s">
        <v>1120</v>
      </c>
      <c r="AG117" s="175">
        <v>345</v>
      </c>
      <c r="AH117" s="175">
        <v>1</v>
      </c>
      <c r="AI117" s="175">
        <v>1</v>
      </c>
      <c r="AJ117" s="176">
        <v>692155.08</v>
      </c>
      <c r="AK117" s="176">
        <v>0</v>
      </c>
      <c r="AL117" s="176">
        <v>172701.69</v>
      </c>
      <c r="AM117" s="176">
        <v>0</v>
      </c>
      <c r="AN117" s="177">
        <v>469368</v>
      </c>
      <c r="AO117" s="177">
        <v>0</v>
      </c>
      <c r="AP117" s="177">
        <v>424879.49</v>
      </c>
      <c r="AQ117" s="177">
        <v>0</v>
      </c>
      <c r="AR117" s="177">
        <v>150260.71</v>
      </c>
      <c r="AS117" s="177">
        <v>0</v>
      </c>
      <c r="AT117" s="178">
        <v>564296.43000000005</v>
      </c>
      <c r="AU117" s="178">
        <v>0</v>
      </c>
      <c r="AV117" s="178">
        <v>1215444</v>
      </c>
      <c r="AW117" s="179">
        <v>0</v>
      </c>
      <c r="AX117" s="180">
        <v>0</v>
      </c>
      <c r="AY117" s="180">
        <v>0</v>
      </c>
      <c r="AZ117" s="180">
        <v>252914.25</v>
      </c>
      <c r="BA117" s="180">
        <v>0</v>
      </c>
      <c r="BB117" s="170">
        <f t="shared" si="38"/>
        <v>3942019.65</v>
      </c>
      <c r="BC117" s="170">
        <v>3942019.65</v>
      </c>
      <c r="BD117" s="2">
        <f t="shared" si="39"/>
        <v>0</v>
      </c>
    </row>
    <row r="118" spans="1:56" ht="12" x14ac:dyDescent="0.2">
      <c r="A118" s="4">
        <v>347</v>
      </c>
      <c r="B118" s="4">
        <v>1</v>
      </c>
      <c r="C118" s="2" t="s">
        <v>115</v>
      </c>
      <c r="D118" s="3">
        <v>0</v>
      </c>
      <c r="E118" s="3">
        <v>0</v>
      </c>
      <c r="F118" s="227">
        <f t="shared" si="22"/>
        <v>1171891.95</v>
      </c>
      <c r="G118" s="227">
        <f t="shared" si="23"/>
        <v>1008915.7</v>
      </c>
      <c r="H118" s="227">
        <f t="shared" si="24"/>
        <v>0</v>
      </c>
      <c r="I118" s="227">
        <f t="shared" si="25"/>
        <v>1476569.5</v>
      </c>
      <c r="J118" s="227">
        <f t="shared" si="26"/>
        <v>376896.61</v>
      </c>
      <c r="K118" s="227">
        <f t="shared" si="27"/>
        <v>893562.02</v>
      </c>
      <c r="L118" s="227">
        <f t="shared" si="28"/>
        <v>0</v>
      </c>
      <c r="M118" s="3">
        <f t="shared" si="29"/>
        <v>0</v>
      </c>
      <c r="N118" s="227">
        <f t="shared" si="30"/>
        <v>0</v>
      </c>
      <c r="O118" s="142">
        <f t="shared" si="31"/>
        <v>4927835.7799999993</v>
      </c>
      <c r="P118" s="3">
        <f t="shared" si="32"/>
        <v>2747028.13</v>
      </c>
      <c r="Q118" s="3">
        <f t="shared" si="33"/>
        <v>1476569.5</v>
      </c>
      <c r="R118" s="3">
        <f t="shared" si="34"/>
        <v>376896.61</v>
      </c>
      <c r="S118" s="3">
        <f t="shared" si="35"/>
        <v>893562.02</v>
      </c>
      <c r="T118" s="3">
        <f t="shared" si="36"/>
        <v>0</v>
      </c>
      <c r="U118" s="3">
        <f>IF($A$5=1,IF($P118=0,0,ROUND(Q118/$P118*$E118,2)),Credits!D117)+Credits!J117</f>
        <v>7513.63</v>
      </c>
      <c r="V118" s="3">
        <f>IF($A$5=1,IF($P118=0,0,ROUND(R118/$P118*$E118,2)),Credits!E117)+Credits!K117</f>
        <v>1917.63</v>
      </c>
      <c r="W118" s="3">
        <f>IF($A$5=1,IF($P118=0,0,ROUND(S118/$P118*$E118,2)),Credits!F117)+Credits!L117</f>
        <v>4509.4900000000007</v>
      </c>
      <c r="X118" s="3">
        <f>IF($A$5=1,IF($P118=0,0,ROUND(T118/$P118*$E118,2)),Credits!G117)+Credits!M117</f>
        <v>0</v>
      </c>
      <c r="Y118" s="3">
        <f t="shared" si="37"/>
        <v>13940.75</v>
      </c>
      <c r="AC118" s="4"/>
      <c r="AD118" s="4"/>
      <c r="AE118" s="2">
        <f t="shared" si="21"/>
        <v>0</v>
      </c>
      <c r="AF118" s="170" t="s">
        <v>1120</v>
      </c>
      <c r="AG118" s="175">
        <v>347</v>
      </c>
      <c r="AH118" s="175">
        <v>1</v>
      </c>
      <c r="AI118" s="175">
        <v>1</v>
      </c>
      <c r="AJ118" s="176">
        <v>1171891.95</v>
      </c>
      <c r="AK118" s="176">
        <v>0</v>
      </c>
      <c r="AL118" s="176">
        <v>1008915.7</v>
      </c>
      <c r="AM118" s="176">
        <v>0</v>
      </c>
      <c r="AN118" s="177">
        <v>0</v>
      </c>
      <c r="AO118" s="177">
        <v>0</v>
      </c>
      <c r="AP118" s="177">
        <v>1476569.5</v>
      </c>
      <c r="AQ118" s="177">
        <v>0</v>
      </c>
      <c r="AR118" s="177">
        <v>376896.61</v>
      </c>
      <c r="AS118" s="177">
        <v>0</v>
      </c>
      <c r="AT118" s="178">
        <v>893562.02</v>
      </c>
      <c r="AU118" s="178">
        <v>0</v>
      </c>
      <c r="AV118" s="178">
        <v>0</v>
      </c>
      <c r="AW118" s="179">
        <v>0</v>
      </c>
      <c r="AX118" s="180">
        <v>0</v>
      </c>
      <c r="AY118" s="180">
        <v>0</v>
      </c>
      <c r="AZ118" s="180">
        <v>0</v>
      </c>
      <c r="BA118" s="180">
        <v>0</v>
      </c>
      <c r="BB118" s="170">
        <f t="shared" si="38"/>
        <v>4927835.7799999993</v>
      </c>
      <c r="BC118" s="170">
        <v>4927835.78</v>
      </c>
      <c r="BD118" s="2">
        <f t="shared" si="39"/>
        <v>0</v>
      </c>
    </row>
    <row r="119" spans="1:56" ht="12" x14ac:dyDescent="0.2">
      <c r="A119" s="4">
        <v>356</v>
      </c>
      <c r="B119" s="4">
        <v>1</v>
      </c>
      <c r="C119" s="2" t="s">
        <v>116</v>
      </c>
      <c r="D119" s="3">
        <v>0</v>
      </c>
      <c r="E119" s="3">
        <v>0</v>
      </c>
      <c r="F119" s="227">
        <f t="shared" si="22"/>
        <v>252907</v>
      </c>
      <c r="G119" s="227">
        <f t="shared" si="23"/>
        <v>2740</v>
      </c>
      <c r="H119" s="227">
        <f t="shared" si="24"/>
        <v>0</v>
      </c>
      <c r="I119" s="227">
        <f t="shared" si="25"/>
        <v>110257</v>
      </c>
      <c r="J119" s="227">
        <f t="shared" si="26"/>
        <v>12151</v>
      </c>
      <c r="K119" s="227">
        <f t="shared" si="27"/>
        <v>0</v>
      </c>
      <c r="L119" s="227">
        <f t="shared" si="28"/>
        <v>0</v>
      </c>
      <c r="M119" s="3">
        <f t="shared" si="29"/>
        <v>0</v>
      </c>
      <c r="N119" s="227">
        <f t="shared" si="30"/>
        <v>0</v>
      </c>
      <c r="O119" s="142">
        <f t="shared" si="31"/>
        <v>378055</v>
      </c>
      <c r="P119" s="3">
        <f t="shared" si="32"/>
        <v>122408</v>
      </c>
      <c r="Q119" s="3">
        <f t="shared" si="33"/>
        <v>110257</v>
      </c>
      <c r="R119" s="3">
        <f t="shared" si="34"/>
        <v>12151</v>
      </c>
      <c r="S119" s="3">
        <f t="shared" si="35"/>
        <v>0</v>
      </c>
      <c r="T119" s="3">
        <f t="shared" si="36"/>
        <v>0</v>
      </c>
      <c r="U119" s="3">
        <f>IF($A$5=1,IF($P119=0,0,ROUND(Q119/$P119*$E119,2)),Credits!D118)+Credits!J118</f>
        <v>4958.32</v>
      </c>
      <c r="V119" s="3">
        <f>IF($A$5=1,IF($P119=0,0,ROUND(R119/$P119*$E119,2)),Credits!E118)+Credits!K118</f>
        <v>546.29</v>
      </c>
      <c r="W119" s="3">
        <f>IF($A$5=1,IF($P119=0,0,ROUND(S119/$P119*$E119,2)),Credits!F118)+Credits!L118</f>
        <v>0</v>
      </c>
      <c r="X119" s="3">
        <f>IF($A$5=1,IF($P119=0,0,ROUND(T119/$P119*$E119,2)),Credits!G118)+Credits!M118</f>
        <v>0</v>
      </c>
      <c r="Y119" s="3">
        <f t="shared" si="37"/>
        <v>5504.61</v>
      </c>
      <c r="AC119" s="4"/>
      <c r="AD119" s="4"/>
      <c r="AE119" s="2">
        <f t="shared" si="21"/>
        <v>0</v>
      </c>
      <c r="AF119" s="170" t="s">
        <v>1120</v>
      </c>
      <c r="AG119" s="175">
        <v>356</v>
      </c>
      <c r="AH119" s="175">
        <v>1</v>
      </c>
      <c r="AI119" s="175">
        <v>1</v>
      </c>
      <c r="AJ119" s="176">
        <v>252907</v>
      </c>
      <c r="AK119" s="176">
        <v>0</v>
      </c>
      <c r="AL119" s="176">
        <v>2740</v>
      </c>
      <c r="AM119" s="176">
        <v>0</v>
      </c>
      <c r="AN119" s="177">
        <v>0</v>
      </c>
      <c r="AO119" s="177">
        <v>0</v>
      </c>
      <c r="AP119" s="177">
        <v>110257</v>
      </c>
      <c r="AQ119" s="177">
        <v>0</v>
      </c>
      <c r="AR119" s="177">
        <v>12151</v>
      </c>
      <c r="AS119" s="177">
        <v>0</v>
      </c>
      <c r="AT119" s="178">
        <v>0</v>
      </c>
      <c r="AU119" s="178">
        <v>0</v>
      </c>
      <c r="AV119" s="178">
        <v>0</v>
      </c>
      <c r="AW119" s="179">
        <v>0</v>
      </c>
      <c r="AX119" s="180">
        <v>0</v>
      </c>
      <c r="AY119" s="180">
        <v>0</v>
      </c>
      <c r="AZ119" s="180">
        <v>0</v>
      </c>
      <c r="BA119" s="180">
        <v>0</v>
      </c>
      <c r="BB119" s="170">
        <f t="shared" si="38"/>
        <v>378055</v>
      </c>
      <c r="BC119" s="170">
        <v>378054.93</v>
      </c>
      <c r="BD119" s="2">
        <f t="shared" si="39"/>
        <v>7.0000000006984919E-2</v>
      </c>
    </row>
    <row r="120" spans="1:56" ht="12" x14ac:dyDescent="0.2">
      <c r="A120" s="4">
        <v>361</v>
      </c>
      <c r="B120" s="4">
        <v>1</v>
      </c>
      <c r="C120" s="2" t="s">
        <v>1180</v>
      </c>
      <c r="D120" s="3">
        <v>0</v>
      </c>
      <c r="E120" s="3">
        <v>0</v>
      </c>
      <c r="F120" s="227">
        <f t="shared" si="22"/>
        <v>541378.41</v>
      </c>
      <c r="G120" s="227">
        <f t="shared" si="23"/>
        <v>95866.74</v>
      </c>
      <c r="H120" s="227">
        <f t="shared" si="24"/>
        <v>0</v>
      </c>
      <c r="I120" s="227">
        <f t="shared" si="25"/>
        <v>1352124.95</v>
      </c>
      <c r="J120" s="227">
        <f t="shared" si="26"/>
        <v>129801.89</v>
      </c>
      <c r="K120" s="227">
        <f t="shared" si="27"/>
        <v>0</v>
      </c>
      <c r="L120" s="227">
        <f t="shared" si="28"/>
        <v>171631.07</v>
      </c>
      <c r="M120" s="3">
        <f t="shared" si="29"/>
        <v>0</v>
      </c>
      <c r="N120" s="227">
        <f t="shared" si="30"/>
        <v>0</v>
      </c>
      <c r="O120" s="142">
        <f t="shared" si="31"/>
        <v>2290803.06</v>
      </c>
      <c r="P120" s="3">
        <f t="shared" si="32"/>
        <v>1653557.91</v>
      </c>
      <c r="Q120" s="3">
        <f t="shared" si="33"/>
        <v>1352124.95</v>
      </c>
      <c r="R120" s="3">
        <f t="shared" si="34"/>
        <v>129801.89</v>
      </c>
      <c r="S120" s="3">
        <f t="shared" si="35"/>
        <v>171631.07</v>
      </c>
      <c r="T120" s="3">
        <f t="shared" si="36"/>
        <v>0</v>
      </c>
      <c r="U120" s="3">
        <f>IF($A$5=1,IF($P120=0,0,ROUND(Q120/$P120*$E120,2)),Credits!D119)+Credits!J119</f>
        <v>134024.01</v>
      </c>
      <c r="V120" s="3">
        <f>IF($A$5=1,IF($P120=0,0,ROUND(R120/$P120*$E120,2)),Credits!E119)+Credits!K119</f>
        <v>12863.43</v>
      </c>
      <c r="W120" s="3">
        <f>IF($A$5=1,IF($P120=0,0,ROUND(S120/$P120*$E120,2)),Credits!F119)+Credits!L119</f>
        <v>16975.82</v>
      </c>
      <c r="X120" s="3">
        <f>IF($A$5=1,IF($P120=0,0,ROUND(T120/$P120*$E120,2)),Credits!G119)+Credits!M119</f>
        <v>0</v>
      </c>
      <c r="Y120" s="3">
        <f t="shared" si="37"/>
        <v>163863.26</v>
      </c>
      <c r="AC120" s="4"/>
      <c r="AD120" s="4"/>
      <c r="AE120" s="2">
        <f t="shared" si="21"/>
        <v>0</v>
      </c>
      <c r="AF120" s="170" t="s">
        <v>1120</v>
      </c>
      <c r="AG120" s="175">
        <v>361</v>
      </c>
      <c r="AH120" s="175">
        <v>1</v>
      </c>
      <c r="AI120" s="175">
        <v>1</v>
      </c>
      <c r="AJ120" s="176">
        <v>541378.41</v>
      </c>
      <c r="AK120" s="176">
        <v>0</v>
      </c>
      <c r="AL120" s="176">
        <v>95866.74</v>
      </c>
      <c r="AM120" s="176">
        <v>0</v>
      </c>
      <c r="AN120" s="177">
        <v>0</v>
      </c>
      <c r="AO120" s="177">
        <v>0</v>
      </c>
      <c r="AP120" s="177">
        <v>1352124.95</v>
      </c>
      <c r="AQ120" s="177">
        <v>0</v>
      </c>
      <c r="AR120" s="177">
        <v>129801.89</v>
      </c>
      <c r="AS120" s="177">
        <v>0</v>
      </c>
      <c r="AT120" s="178">
        <v>0</v>
      </c>
      <c r="AU120" s="178">
        <v>0</v>
      </c>
      <c r="AV120" s="178">
        <v>171631.07</v>
      </c>
      <c r="AW120" s="179">
        <v>0</v>
      </c>
      <c r="AX120" s="180">
        <v>0</v>
      </c>
      <c r="AY120" s="180">
        <v>0</v>
      </c>
      <c r="AZ120" s="180">
        <v>0</v>
      </c>
      <c r="BA120" s="180">
        <v>0</v>
      </c>
      <c r="BB120" s="170">
        <f t="shared" si="38"/>
        <v>2290803.06</v>
      </c>
      <c r="BC120" s="170">
        <v>2290803.06</v>
      </c>
      <c r="BD120" s="2">
        <f t="shared" si="39"/>
        <v>0</v>
      </c>
    </row>
    <row r="121" spans="1:56" ht="12" x14ac:dyDescent="0.2">
      <c r="A121" s="4">
        <v>362</v>
      </c>
      <c r="B121" s="4">
        <v>1</v>
      </c>
      <c r="C121" s="2" t="s">
        <v>1181</v>
      </c>
      <c r="D121" s="3">
        <v>0</v>
      </c>
      <c r="E121" s="3">
        <v>0</v>
      </c>
      <c r="F121" s="227">
        <f t="shared" si="22"/>
        <v>0</v>
      </c>
      <c r="G121" s="227">
        <f t="shared" si="23"/>
        <v>26916.799999999999</v>
      </c>
      <c r="H121" s="227">
        <f t="shared" si="24"/>
        <v>0</v>
      </c>
      <c r="I121" s="227">
        <f t="shared" si="25"/>
        <v>147871.99</v>
      </c>
      <c r="J121" s="227">
        <f t="shared" si="26"/>
        <v>18237.88</v>
      </c>
      <c r="K121" s="227">
        <f t="shared" si="27"/>
        <v>397999.97</v>
      </c>
      <c r="L121" s="227">
        <f t="shared" si="28"/>
        <v>0</v>
      </c>
      <c r="M121" s="3">
        <f t="shared" si="29"/>
        <v>0</v>
      </c>
      <c r="N121" s="227">
        <f t="shared" si="30"/>
        <v>0</v>
      </c>
      <c r="O121" s="142">
        <f t="shared" si="31"/>
        <v>591026.6399999999</v>
      </c>
      <c r="P121" s="3">
        <f t="shared" si="32"/>
        <v>564109.84</v>
      </c>
      <c r="Q121" s="3">
        <f t="shared" si="33"/>
        <v>147871.99</v>
      </c>
      <c r="R121" s="3">
        <f t="shared" si="34"/>
        <v>18237.88</v>
      </c>
      <c r="S121" s="3">
        <f t="shared" si="35"/>
        <v>397999.97</v>
      </c>
      <c r="T121" s="3">
        <f t="shared" si="36"/>
        <v>0</v>
      </c>
      <c r="U121" s="3">
        <f>IF($A$5=1,IF($P121=0,0,ROUND(Q121/$P121*$E121,2)),Credits!D120)+Credits!J120</f>
        <v>5393.05</v>
      </c>
      <c r="V121" s="3">
        <f>IF($A$5=1,IF($P121=0,0,ROUND(R121/$P121*$E121,2)),Credits!E120)+Credits!K120</f>
        <v>665.35000000000014</v>
      </c>
      <c r="W121" s="3">
        <f>IF($A$5=1,IF($P121=0,0,ROUND(S121/$P121*$E121,2)),Credits!F120)+Credits!L120</f>
        <v>14515.970000000001</v>
      </c>
      <c r="X121" s="3">
        <f>IF($A$5=1,IF($P121=0,0,ROUND(T121/$P121*$E121,2)),Credits!G120)+Credits!M120</f>
        <v>0</v>
      </c>
      <c r="Y121" s="3">
        <f t="shared" si="37"/>
        <v>20574.370000000003</v>
      </c>
      <c r="AC121" s="4"/>
      <c r="AD121" s="4"/>
      <c r="AE121" s="2">
        <f t="shared" si="21"/>
        <v>0</v>
      </c>
      <c r="AF121" s="170" t="s">
        <v>1120</v>
      </c>
      <c r="AG121" s="175">
        <v>362</v>
      </c>
      <c r="AH121" s="175">
        <v>1</v>
      </c>
      <c r="AI121" s="175">
        <v>1</v>
      </c>
      <c r="AJ121" s="176">
        <v>0</v>
      </c>
      <c r="AK121" s="176">
        <v>0</v>
      </c>
      <c r="AL121" s="176">
        <v>26916.799999999999</v>
      </c>
      <c r="AM121" s="176">
        <v>0</v>
      </c>
      <c r="AN121" s="177">
        <v>0</v>
      </c>
      <c r="AO121" s="177">
        <v>0</v>
      </c>
      <c r="AP121" s="177">
        <v>147871.99</v>
      </c>
      <c r="AQ121" s="177">
        <v>0</v>
      </c>
      <c r="AR121" s="177">
        <v>18237.88</v>
      </c>
      <c r="AS121" s="177">
        <v>0</v>
      </c>
      <c r="AT121" s="178">
        <v>397999.97</v>
      </c>
      <c r="AU121" s="178">
        <v>0</v>
      </c>
      <c r="AV121" s="178">
        <v>0</v>
      </c>
      <c r="AW121" s="179">
        <v>0</v>
      </c>
      <c r="AX121" s="180">
        <v>0</v>
      </c>
      <c r="AY121" s="180">
        <v>0</v>
      </c>
      <c r="AZ121" s="180">
        <v>0</v>
      </c>
      <c r="BA121" s="180">
        <v>0</v>
      </c>
      <c r="BB121" s="170">
        <f t="shared" si="38"/>
        <v>591026.6399999999</v>
      </c>
      <c r="BC121" s="170">
        <v>591026.64</v>
      </c>
      <c r="BD121" s="2">
        <f t="shared" si="39"/>
        <v>0</v>
      </c>
    </row>
    <row r="122" spans="1:56" ht="12" x14ac:dyDescent="0.2">
      <c r="A122" s="4">
        <v>363</v>
      </c>
      <c r="B122" s="4">
        <v>1</v>
      </c>
      <c r="C122" s="2" t="s">
        <v>1182</v>
      </c>
      <c r="D122" s="3">
        <v>0</v>
      </c>
      <c r="E122" s="3">
        <v>0</v>
      </c>
      <c r="F122" s="227">
        <f t="shared" si="22"/>
        <v>0</v>
      </c>
      <c r="G122" s="227">
        <f t="shared" si="23"/>
        <v>20651.28</v>
      </c>
      <c r="H122" s="227">
        <f t="shared" si="24"/>
        <v>0</v>
      </c>
      <c r="I122" s="227">
        <f t="shared" si="25"/>
        <v>133742.81</v>
      </c>
      <c r="J122" s="227">
        <f t="shared" si="26"/>
        <v>7222.49</v>
      </c>
      <c r="K122" s="227">
        <f t="shared" si="27"/>
        <v>206825.27</v>
      </c>
      <c r="L122" s="227">
        <f t="shared" si="28"/>
        <v>0</v>
      </c>
      <c r="M122" s="3">
        <f t="shared" si="29"/>
        <v>0</v>
      </c>
      <c r="N122" s="227">
        <f t="shared" si="30"/>
        <v>0</v>
      </c>
      <c r="O122" s="142">
        <f t="shared" si="31"/>
        <v>368441.85</v>
      </c>
      <c r="P122" s="3">
        <f t="shared" si="32"/>
        <v>347790.56999999995</v>
      </c>
      <c r="Q122" s="3">
        <f t="shared" si="33"/>
        <v>133742.81</v>
      </c>
      <c r="R122" s="3">
        <f t="shared" si="34"/>
        <v>7222.49</v>
      </c>
      <c r="S122" s="3">
        <f t="shared" si="35"/>
        <v>206825.27</v>
      </c>
      <c r="T122" s="3">
        <f t="shared" si="36"/>
        <v>0</v>
      </c>
      <c r="U122" s="3">
        <f>IF($A$5=1,IF($P122=0,0,ROUND(Q122/$P122*$E122,2)),Credits!D121)+Credits!J121</f>
        <v>6564.6799999999994</v>
      </c>
      <c r="V122" s="3">
        <f>IF($A$5=1,IF($P122=0,0,ROUND(R122/$P122*$E122,2)),Credits!E121)+Credits!K121</f>
        <v>354.48000000000008</v>
      </c>
      <c r="W122" s="3">
        <f>IF($A$5=1,IF($P122=0,0,ROUND(S122/$P122*$E122,2)),Credits!F121)+Credits!L121</f>
        <v>10152.030000000001</v>
      </c>
      <c r="X122" s="3">
        <f>IF($A$5=1,IF($P122=0,0,ROUND(T122/$P122*$E122,2)),Credits!G121)+Credits!M121</f>
        <v>0</v>
      </c>
      <c r="Y122" s="3">
        <f t="shared" si="37"/>
        <v>17071.190000000002</v>
      </c>
      <c r="AC122" s="4"/>
      <c r="AD122" s="4"/>
      <c r="AE122" s="2">
        <f t="shared" si="21"/>
        <v>0</v>
      </c>
      <c r="AF122" s="170" t="s">
        <v>1120</v>
      </c>
      <c r="AG122" s="175">
        <v>363</v>
      </c>
      <c r="AH122" s="175">
        <v>1</v>
      </c>
      <c r="AI122" s="175">
        <v>1</v>
      </c>
      <c r="AJ122" s="176">
        <v>0</v>
      </c>
      <c r="AK122" s="176">
        <v>0</v>
      </c>
      <c r="AL122" s="176">
        <v>20651.28</v>
      </c>
      <c r="AM122" s="176">
        <v>0</v>
      </c>
      <c r="AN122" s="177">
        <v>0</v>
      </c>
      <c r="AO122" s="177">
        <v>0</v>
      </c>
      <c r="AP122" s="177">
        <v>133742.81</v>
      </c>
      <c r="AQ122" s="177">
        <v>0</v>
      </c>
      <c r="AR122" s="177">
        <v>7222.49</v>
      </c>
      <c r="AS122" s="177">
        <v>0</v>
      </c>
      <c r="AT122" s="178">
        <v>206825.27</v>
      </c>
      <c r="AU122" s="178">
        <v>0</v>
      </c>
      <c r="AV122" s="178">
        <v>0</v>
      </c>
      <c r="AW122" s="179">
        <v>0</v>
      </c>
      <c r="AX122" s="180">
        <v>0</v>
      </c>
      <c r="AY122" s="180">
        <v>0</v>
      </c>
      <c r="AZ122" s="180">
        <v>0</v>
      </c>
      <c r="BA122" s="180">
        <v>0</v>
      </c>
      <c r="BB122" s="170">
        <f t="shared" si="38"/>
        <v>368441.85</v>
      </c>
      <c r="BC122" s="170">
        <v>368441.85</v>
      </c>
      <c r="BD122" s="2">
        <f t="shared" si="39"/>
        <v>0</v>
      </c>
    </row>
    <row r="123" spans="1:56" ht="12" x14ac:dyDescent="0.2">
      <c r="A123" s="4">
        <v>378</v>
      </c>
      <c r="B123" s="4">
        <v>1</v>
      </c>
      <c r="C123" s="2" t="s">
        <v>120</v>
      </c>
      <c r="D123" s="3">
        <v>0</v>
      </c>
      <c r="E123" s="3">
        <v>0</v>
      </c>
      <c r="F123" s="227">
        <f t="shared" si="22"/>
        <v>255292</v>
      </c>
      <c r="G123" s="227">
        <f t="shared" si="23"/>
        <v>30946</v>
      </c>
      <c r="H123" s="227">
        <f t="shared" si="24"/>
        <v>0</v>
      </c>
      <c r="I123" s="227">
        <f t="shared" si="25"/>
        <v>339606.29</v>
      </c>
      <c r="J123" s="227">
        <f t="shared" si="26"/>
        <v>70299.23</v>
      </c>
      <c r="K123" s="227">
        <f t="shared" si="27"/>
        <v>300823.42</v>
      </c>
      <c r="L123" s="227">
        <f t="shared" si="28"/>
        <v>0</v>
      </c>
      <c r="M123" s="3">
        <f t="shared" si="29"/>
        <v>0</v>
      </c>
      <c r="N123" s="227">
        <f t="shared" si="30"/>
        <v>0</v>
      </c>
      <c r="O123" s="142">
        <f t="shared" si="31"/>
        <v>996966.94</v>
      </c>
      <c r="P123" s="3">
        <f t="shared" si="32"/>
        <v>710728.94</v>
      </c>
      <c r="Q123" s="3">
        <f t="shared" si="33"/>
        <v>339606.29</v>
      </c>
      <c r="R123" s="3">
        <f t="shared" si="34"/>
        <v>70299.23</v>
      </c>
      <c r="S123" s="3">
        <f t="shared" si="35"/>
        <v>300823.42</v>
      </c>
      <c r="T123" s="3">
        <f t="shared" si="36"/>
        <v>0</v>
      </c>
      <c r="U123" s="3">
        <f>IF($A$5=1,IF($P123=0,0,ROUND(Q123/$P123*$E123,2)),Credits!D122)+Credits!J122</f>
        <v>28857.890000000003</v>
      </c>
      <c r="V123" s="3">
        <f>IF($A$5=1,IF($P123=0,0,ROUND(R123/$P123*$E123,2)),Credits!E122)+Credits!K122</f>
        <v>5972.3499999999985</v>
      </c>
      <c r="W123" s="3">
        <f>IF($A$5=1,IF($P123=0,0,ROUND(S123/$P123*$E123,2)),Credits!F122)+Credits!L122</f>
        <v>25560.420000000002</v>
      </c>
      <c r="X123" s="3">
        <f>IF($A$5=1,IF($P123=0,0,ROUND(T123/$P123*$E123,2)),Credits!G122)+Credits!M122</f>
        <v>0</v>
      </c>
      <c r="Y123" s="3">
        <f t="shared" si="37"/>
        <v>60390.66</v>
      </c>
      <c r="AC123" s="4"/>
      <c r="AD123" s="4"/>
      <c r="AE123" s="2">
        <f t="shared" si="21"/>
        <v>0</v>
      </c>
      <c r="AF123" s="170" t="s">
        <v>1120</v>
      </c>
      <c r="AG123" s="175">
        <v>378</v>
      </c>
      <c r="AH123" s="175">
        <v>1</v>
      </c>
      <c r="AI123" s="175">
        <v>1</v>
      </c>
      <c r="AJ123" s="176">
        <v>255292</v>
      </c>
      <c r="AK123" s="176">
        <v>0</v>
      </c>
      <c r="AL123" s="176">
        <v>30946</v>
      </c>
      <c r="AM123" s="176">
        <v>0</v>
      </c>
      <c r="AN123" s="177">
        <v>0</v>
      </c>
      <c r="AO123" s="177">
        <v>0</v>
      </c>
      <c r="AP123" s="177">
        <v>339606.29</v>
      </c>
      <c r="AQ123" s="177">
        <v>0</v>
      </c>
      <c r="AR123" s="177">
        <v>70299.23</v>
      </c>
      <c r="AS123" s="177">
        <v>0</v>
      </c>
      <c r="AT123" s="178">
        <v>300823.42</v>
      </c>
      <c r="AU123" s="178">
        <v>0</v>
      </c>
      <c r="AV123" s="178">
        <v>0</v>
      </c>
      <c r="AW123" s="179">
        <v>0</v>
      </c>
      <c r="AX123" s="180">
        <v>0</v>
      </c>
      <c r="AY123" s="180">
        <v>0</v>
      </c>
      <c r="AZ123" s="180">
        <v>0</v>
      </c>
      <c r="BA123" s="180">
        <v>0</v>
      </c>
      <c r="BB123" s="170">
        <f t="shared" si="38"/>
        <v>996966.94</v>
      </c>
      <c r="BC123" s="170">
        <v>996967.05</v>
      </c>
      <c r="BD123" s="2">
        <f t="shared" si="39"/>
        <v>-0.11000000010244548</v>
      </c>
    </row>
    <row r="124" spans="1:56" ht="12" x14ac:dyDescent="0.2">
      <c r="A124" s="4">
        <v>381</v>
      </c>
      <c r="B124" s="4">
        <v>1</v>
      </c>
      <c r="C124" s="2" t="s">
        <v>121</v>
      </c>
      <c r="D124" s="3">
        <v>0</v>
      </c>
      <c r="E124" s="3">
        <v>0</v>
      </c>
      <c r="F124" s="227">
        <f t="shared" si="22"/>
        <v>0</v>
      </c>
      <c r="G124" s="227">
        <f t="shared" si="23"/>
        <v>546211.81000000006</v>
      </c>
      <c r="H124" s="227">
        <f t="shared" si="24"/>
        <v>0</v>
      </c>
      <c r="I124" s="227">
        <f t="shared" si="25"/>
        <v>222100.65</v>
      </c>
      <c r="J124" s="227">
        <f t="shared" si="26"/>
        <v>0</v>
      </c>
      <c r="K124" s="227">
        <f t="shared" si="27"/>
        <v>2528227.41</v>
      </c>
      <c r="L124" s="227">
        <f t="shared" si="28"/>
        <v>140882.97</v>
      </c>
      <c r="M124" s="3">
        <f t="shared" si="29"/>
        <v>0</v>
      </c>
      <c r="N124" s="227">
        <f t="shared" si="30"/>
        <v>786424.04</v>
      </c>
      <c r="O124" s="142">
        <f t="shared" si="31"/>
        <v>4223846.8800000008</v>
      </c>
      <c r="P124" s="3">
        <f t="shared" si="32"/>
        <v>3677635.0700000003</v>
      </c>
      <c r="Q124" s="3">
        <f t="shared" si="33"/>
        <v>222100.65</v>
      </c>
      <c r="R124" s="3">
        <f t="shared" si="34"/>
        <v>0</v>
      </c>
      <c r="S124" s="3">
        <f t="shared" si="35"/>
        <v>2669110.3800000004</v>
      </c>
      <c r="T124" s="3">
        <f t="shared" si="36"/>
        <v>786424.04</v>
      </c>
      <c r="U124" s="3">
        <f>IF($A$5=1,IF($P124=0,0,ROUND(Q124/$P124*$E124,2)),Credits!D123)+Credits!J123</f>
        <v>18538.04</v>
      </c>
      <c r="V124" s="3">
        <f>IF($A$5=1,IF($P124=0,0,ROUND(R124/$P124*$E124,2)),Credits!E123)+Credits!K123</f>
        <v>0</v>
      </c>
      <c r="W124" s="3">
        <f>IF($A$5=1,IF($P124=0,0,ROUND(S124/$P124*$E124,2)),Credits!F123)+Credits!L123</f>
        <v>222417.12999999998</v>
      </c>
      <c r="X124" s="3">
        <f>IF($A$5=1,IF($P124=0,0,ROUND(T124/$P124*$E124,2)),Credits!G123)+Credits!M123</f>
        <v>65540.09</v>
      </c>
      <c r="Y124" s="3">
        <f t="shared" si="37"/>
        <v>306495.26</v>
      </c>
      <c r="AC124" s="4"/>
      <c r="AD124" s="4"/>
      <c r="AE124" s="2">
        <f t="shared" si="21"/>
        <v>0</v>
      </c>
      <c r="AF124" s="170" t="s">
        <v>1120</v>
      </c>
      <c r="AG124" s="175">
        <v>381</v>
      </c>
      <c r="AH124" s="175">
        <v>1</v>
      </c>
      <c r="AI124" s="175">
        <v>1</v>
      </c>
      <c r="AJ124" s="176">
        <v>0</v>
      </c>
      <c r="AK124" s="176">
        <v>0</v>
      </c>
      <c r="AL124" s="176">
        <v>546211.81000000006</v>
      </c>
      <c r="AM124" s="176">
        <v>0</v>
      </c>
      <c r="AN124" s="177">
        <v>0</v>
      </c>
      <c r="AO124" s="177">
        <v>0</v>
      </c>
      <c r="AP124" s="177">
        <v>222100.65</v>
      </c>
      <c r="AQ124" s="177">
        <v>0</v>
      </c>
      <c r="AR124" s="177">
        <v>0</v>
      </c>
      <c r="AS124" s="177">
        <v>0</v>
      </c>
      <c r="AT124" s="178">
        <v>2528227.41</v>
      </c>
      <c r="AU124" s="178">
        <v>0</v>
      </c>
      <c r="AV124" s="178">
        <v>140882.97</v>
      </c>
      <c r="AW124" s="179">
        <v>0</v>
      </c>
      <c r="AX124" s="180">
        <v>0</v>
      </c>
      <c r="AY124" s="180">
        <v>0</v>
      </c>
      <c r="AZ124" s="180">
        <v>786424.04</v>
      </c>
      <c r="BA124" s="180">
        <v>0</v>
      </c>
      <c r="BB124" s="170">
        <f t="shared" si="38"/>
        <v>4223846.8800000008</v>
      </c>
      <c r="BC124" s="170">
        <v>4223846.88</v>
      </c>
      <c r="BD124" s="2">
        <f t="shared" si="39"/>
        <v>0</v>
      </c>
    </row>
    <row r="125" spans="1:56" ht="12" x14ac:dyDescent="0.2">
      <c r="A125" s="4">
        <v>390</v>
      </c>
      <c r="B125" s="4">
        <v>1</v>
      </c>
      <c r="C125" s="2" t="s">
        <v>1183</v>
      </c>
      <c r="D125" s="3">
        <v>0</v>
      </c>
      <c r="E125" s="3">
        <v>0</v>
      </c>
      <c r="F125" s="227">
        <f t="shared" si="22"/>
        <v>258261</v>
      </c>
      <c r="G125" s="227">
        <f t="shared" si="23"/>
        <v>51264</v>
      </c>
      <c r="H125" s="227">
        <f t="shared" si="24"/>
        <v>0</v>
      </c>
      <c r="I125" s="227">
        <f t="shared" si="25"/>
        <v>305760</v>
      </c>
      <c r="J125" s="227">
        <f t="shared" si="26"/>
        <v>48066</v>
      </c>
      <c r="K125" s="227">
        <f t="shared" si="27"/>
        <v>1148356</v>
      </c>
      <c r="L125" s="227">
        <f t="shared" si="28"/>
        <v>0</v>
      </c>
      <c r="M125" s="3">
        <f t="shared" si="29"/>
        <v>0</v>
      </c>
      <c r="N125" s="227">
        <f t="shared" si="30"/>
        <v>0</v>
      </c>
      <c r="O125" s="142">
        <f t="shared" si="31"/>
        <v>1811707</v>
      </c>
      <c r="P125" s="3">
        <f t="shared" si="32"/>
        <v>1502182</v>
      </c>
      <c r="Q125" s="3">
        <f t="shared" si="33"/>
        <v>305760</v>
      </c>
      <c r="R125" s="3">
        <f t="shared" si="34"/>
        <v>48066</v>
      </c>
      <c r="S125" s="3">
        <f t="shared" si="35"/>
        <v>1148356</v>
      </c>
      <c r="T125" s="3">
        <f t="shared" si="36"/>
        <v>0</v>
      </c>
      <c r="U125" s="3">
        <f>IF($A$5=1,IF($P125=0,0,ROUND(Q125/$P125*$E125,2)),Credits!D124)+Credits!J124</f>
        <v>5766.68</v>
      </c>
      <c r="V125" s="3">
        <f>IF($A$5=1,IF($P125=0,0,ROUND(R125/$P125*$E125,2)),Credits!E124)+Credits!K124</f>
        <v>906.68000000000018</v>
      </c>
      <c r="W125" s="3">
        <f>IF($A$5=1,IF($P125=0,0,ROUND(S125/$P125*$E125,2)),Credits!F124)+Credits!L124</f>
        <v>21657.81</v>
      </c>
      <c r="X125" s="3">
        <f>IF($A$5=1,IF($P125=0,0,ROUND(T125/$P125*$E125,2)),Credits!G124)+Credits!M124</f>
        <v>0</v>
      </c>
      <c r="Y125" s="3">
        <f t="shared" si="37"/>
        <v>28331.170000000002</v>
      </c>
      <c r="AC125" s="4"/>
      <c r="AD125" s="4"/>
      <c r="AE125" s="2">
        <f t="shared" si="21"/>
        <v>0</v>
      </c>
      <c r="AF125" s="170" t="s">
        <v>1120</v>
      </c>
      <c r="AG125" s="175">
        <v>390</v>
      </c>
      <c r="AH125" s="175">
        <v>1</v>
      </c>
      <c r="AI125" s="175">
        <v>1</v>
      </c>
      <c r="AJ125" s="176">
        <v>258261</v>
      </c>
      <c r="AK125" s="176">
        <v>0</v>
      </c>
      <c r="AL125" s="176">
        <v>51264</v>
      </c>
      <c r="AM125" s="176">
        <v>0</v>
      </c>
      <c r="AN125" s="177">
        <v>0</v>
      </c>
      <c r="AO125" s="177">
        <v>0</v>
      </c>
      <c r="AP125" s="177">
        <v>305760</v>
      </c>
      <c r="AQ125" s="177">
        <v>0</v>
      </c>
      <c r="AR125" s="177">
        <v>48066</v>
      </c>
      <c r="AS125" s="177">
        <v>0</v>
      </c>
      <c r="AT125" s="178">
        <v>1148356</v>
      </c>
      <c r="AU125" s="178">
        <v>0</v>
      </c>
      <c r="AV125" s="178">
        <v>0</v>
      </c>
      <c r="AW125" s="179">
        <v>0</v>
      </c>
      <c r="AX125" s="180">
        <v>0</v>
      </c>
      <c r="AY125" s="180">
        <v>0</v>
      </c>
      <c r="AZ125" s="180">
        <v>0</v>
      </c>
      <c r="BA125" s="180">
        <v>0</v>
      </c>
      <c r="BB125" s="170">
        <f t="shared" si="38"/>
        <v>1811707</v>
      </c>
      <c r="BC125" s="170">
        <v>1811706.38</v>
      </c>
      <c r="BD125" s="2">
        <f t="shared" si="39"/>
        <v>0.62000000011175871</v>
      </c>
    </row>
    <row r="126" spans="1:56" ht="12" x14ac:dyDescent="0.2">
      <c r="A126" s="4">
        <v>391</v>
      </c>
      <c r="B126" s="4">
        <v>1</v>
      </c>
      <c r="C126" s="2" t="s">
        <v>123</v>
      </c>
      <c r="D126" s="3">
        <v>0</v>
      </c>
      <c r="E126" s="3">
        <v>0</v>
      </c>
      <c r="F126" s="227">
        <f t="shared" si="22"/>
        <v>327200.55</v>
      </c>
      <c r="G126" s="227">
        <f t="shared" si="23"/>
        <v>58584.07</v>
      </c>
      <c r="H126" s="227">
        <f t="shared" si="24"/>
        <v>0</v>
      </c>
      <c r="I126" s="227">
        <f t="shared" si="25"/>
        <v>191361.69</v>
      </c>
      <c r="J126" s="227">
        <f t="shared" si="26"/>
        <v>38252.43</v>
      </c>
      <c r="K126" s="227">
        <f t="shared" si="27"/>
        <v>0</v>
      </c>
      <c r="L126" s="227">
        <f t="shared" si="28"/>
        <v>0</v>
      </c>
      <c r="M126" s="3">
        <f t="shared" si="29"/>
        <v>0</v>
      </c>
      <c r="N126" s="227">
        <f t="shared" si="30"/>
        <v>0</v>
      </c>
      <c r="O126" s="142">
        <f t="shared" si="31"/>
        <v>615398.74000000011</v>
      </c>
      <c r="P126" s="3">
        <f t="shared" si="32"/>
        <v>229614.12</v>
      </c>
      <c r="Q126" s="3">
        <f t="shared" si="33"/>
        <v>191361.69</v>
      </c>
      <c r="R126" s="3">
        <f t="shared" si="34"/>
        <v>38252.43</v>
      </c>
      <c r="S126" s="3">
        <f t="shared" si="35"/>
        <v>0</v>
      </c>
      <c r="T126" s="3">
        <f t="shared" si="36"/>
        <v>0</v>
      </c>
      <c r="U126" s="3">
        <f>IF($A$5=1,IF($P126=0,0,ROUND(Q126/$P126*$E126,2)),Credits!D125)+Credits!J125</f>
        <v>7862.82</v>
      </c>
      <c r="V126" s="3">
        <f>IF($A$5=1,IF($P126=0,0,ROUND(R126/$P126*$E126,2)),Credits!E125)+Credits!K125</f>
        <v>1571.75</v>
      </c>
      <c r="W126" s="3">
        <f>IF($A$5=1,IF($P126=0,0,ROUND(S126/$P126*$E126,2)),Credits!F125)+Credits!L125</f>
        <v>0</v>
      </c>
      <c r="X126" s="3">
        <f>IF($A$5=1,IF($P126=0,0,ROUND(T126/$P126*$E126,2)),Credits!G125)+Credits!M125</f>
        <v>0</v>
      </c>
      <c r="Y126" s="3">
        <f t="shared" si="37"/>
        <v>9434.57</v>
      </c>
      <c r="AC126" s="4"/>
      <c r="AD126" s="4"/>
      <c r="AE126" s="2">
        <f t="shared" si="21"/>
        <v>0</v>
      </c>
      <c r="AF126" s="170" t="s">
        <v>1120</v>
      </c>
      <c r="AG126" s="175">
        <v>391</v>
      </c>
      <c r="AH126" s="175">
        <v>1</v>
      </c>
      <c r="AI126" s="175">
        <v>1</v>
      </c>
      <c r="AJ126" s="176">
        <v>327200.55</v>
      </c>
      <c r="AK126" s="176">
        <v>0</v>
      </c>
      <c r="AL126" s="176">
        <v>58584.07</v>
      </c>
      <c r="AM126" s="176">
        <v>0</v>
      </c>
      <c r="AN126" s="177">
        <v>0</v>
      </c>
      <c r="AO126" s="177">
        <v>0</v>
      </c>
      <c r="AP126" s="177">
        <v>191361.69</v>
      </c>
      <c r="AQ126" s="177">
        <v>0</v>
      </c>
      <c r="AR126" s="177">
        <v>38252.43</v>
      </c>
      <c r="AS126" s="177">
        <v>0</v>
      </c>
      <c r="AT126" s="178">
        <v>0</v>
      </c>
      <c r="AU126" s="178">
        <v>0</v>
      </c>
      <c r="AV126" s="178">
        <v>0</v>
      </c>
      <c r="AW126" s="179">
        <v>0</v>
      </c>
      <c r="AX126" s="180">
        <v>0</v>
      </c>
      <c r="AY126" s="180">
        <v>0</v>
      </c>
      <c r="AZ126" s="180">
        <v>0</v>
      </c>
      <c r="BA126" s="180">
        <v>0</v>
      </c>
      <c r="BB126" s="170">
        <f t="shared" si="38"/>
        <v>615398.74000000011</v>
      </c>
      <c r="BC126" s="170">
        <v>615398.74</v>
      </c>
      <c r="BD126" s="2">
        <f t="shared" si="39"/>
        <v>0</v>
      </c>
    </row>
    <row r="127" spans="1:56" ht="12" x14ac:dyDescent="0.2">
      <c r="A127" s="4">
        <v>402</v>
      </c>
      <c r="B127" s="4">
        <v>1</v>
      </c>
      <c r="C127" s="2" t="s">
        <v>124</v>
      </c>
      <c r="D127" s="3">
        <v>0</v>
      </c>
      <c r="E127" s="3">
        <v>0</v>
      </c>
      <c r="F127" s="227">
        <f t="shared" si="22"/>
        <v>280502.03999999998</v>
      </c>
      <c r="G127" s="227">
        <f t="shared" si="23"/>
        <v>2439.42</v>
      </c>
      <c r="H127" s="227">
        <f t="shared" si="24"/>
        <v>0</v>
      </c>
      <c r="I127" s="227">
        <f t="shared" si="25"/>
        <v>101529.32</v>
      </c>
      <c r="J127" s="227">
        <f t="shared" si="26"/>
        <v>35582.68</v>
      </c>
      <c r="K127" s="227">
        <f t="shared" si="27"/>
        <v>0</v>
      </c>
      <c r="L127" s="227">
        <f t="shared" si="28"/>
        <v>0</v>
      </c>
      <c r="M127" s="3">
        <f t="shared" si="29"/>
        <v>0</v>
      </c>
      <c r="N127" s="227">
        <f t="shared" si="30"/>
        <v>0</v>
      </c>
      <c r="O127" s="142">
        <f t="shared" si="31"/>
        <v>420053.45999999996</v>
      </c>
      <c r="P127" s="3">
        <f t="shared" si="32"/>
        <v>137112</v>
      </c>
      <c r="Q127" s="3">
        <f t="shared" si="33"/>
        <v>101529.32</v>
      </c>
      <c r="R127" s="3">
        <f t="shared" si="34"/>
        <v>35582.68</v>
      </c>
      <c r="S127" s="3">
        <f t="shared" si="35"/>
        <v>0</v>
      </c>
      <c r="T127" s="3">
        <f t="shared" si="36"/>
        <v>0</v>
      </c>
      <c r="U127" s="3">
        <f>IF($A$5=1,IF($P127=0,0,ROUND(Q127/$P127*$E127,2)),Credits!D126)+Credits!J126</f>
        <v>2657.3</v>
      </c>
      <c r="V127" s="3">
        <f>IF($A$5=1,IF($P127=0,0,ROUND(R127/$P127*$E127,2)),Credits!E126)+Credits!K126</f>
        <v>931.68999999999994</v>
      </c>
      <c r="W127" s="3">
        <f>IF($A$5=1,IF($P127=0,0,ROUND(S127/$P127*$E127,2)),Credits!F126)+Credits!L126</f>
        <v>0</v>
      </c>
      <c r="X127" s="3">
        <f>IF($A$5=1,IF($P127=0,0,ROUND(T127/$P127*$E127,2)),Credits!G126)+Credits!M126</f>
        <v>0</v>
      </c>
      <c r="Y127" s="3">
        <f t="shared" si="37"/>
        <v>3588.9900000000002</v>
      </c>
      <c r="AC127" s="4"/>
      <c r="AD127" s="4"/>
      <c r="AE127" s="2">
        <f t="shared" si="21"/>
        <v>0</v>
      </c>
      <c r="AF127" s="170" t="s">
        <v>1120</v>
      </c>
      <c r="AG127" s="175">
        <v>402</v>
      </c>
      <c r="AH127" s="175">
        <v>1</v>
      </c>
      <c r="AI127" s="175">
        <v>1</v>
      </c>
      <c r="AJ127" s="176">
        <v>280502.03999999998</v>
      </c>
      <c r="AK127" s="176">
        <v>0</v>
      </c>
      <c r="AL127" s="176">
        <v>2439.42</v>
      </c>
      <c r="AM127" s="176">
        <v>0</v>
      </c>
      <c r="AN127" s="177">
        <v>0</v>
      </c>
      <c r="AO127" s="177">
        <v>0</v>
      </c>
      <c r="AP127" s="177">
        <v>101529.32</v>
      </c>
      <c r="AQ127" s="177">
        <v>0</v>
      </c>
      <c r="AR127" s="177">
        <v>35582.68</v>
      </c>
      <c r="AS127" s="177">
        <v>0</v>
      </c>
      <c r="AT127" s="178">
        <v>0</v>
      </c>
      <c r="AU127" s="178">
        <v>0</v>
      </c>
      <c r="AV127" s="178">
        <v>0</v>
      </c>
      <c r="AW127" s="179">
        <v>0</v>
      </c>
      <c r="AX127" s="180">
        <v>0</v>
      </c>
      <c r="AY127" s="180">
        <v>0</v>
      </c>
      <c r="AZ127" s="180">
        <v>0</v>
      </c>
      <c r="BA127" s="180">
        <v>0</v>
      </c>
      <c r="BB127" s="170">
        <f t="shared" si="38"/>
        <v>420053.45999999996</v>
      </c>
      <c r="BC127" s="170">
        <v>420053.46</v>
      </c>
      <c r="BD127" s="2">
        <f t="shared" si="39"/>
        <v>0</v>
      </c>
    </row>
    <row r="128" spans="1:56" ht="12" x14ac:dyDescent="0.2">
      <c r="A128" s="4">
        <v>403</v>
      </c>
      <c r="B128" s="4">
        <v>1</v>
      </c>
      <c r="C128" s="2" t="s">
        <v>125</v>
      </c>
      <c r="D128" s="3">
        <v>0</v>
      </c>
      <c r="E128" s="3">
        <v>0</v>
      </c>
      <c r="F128" s="227">
        <f t="shared" si="22"/>
        <v>240871.4</v>
      </c>
      <c r="G128" s="227">
        <f t="shared" si="23"/>
        <v>6343.2</v>
      </c>
      <c r="H128" s="227">
        <f t="shared" si="24"/>
        <v>0</v>
      </c>
      <c r="I128" s="227">
        <f t="shared" si="25"/>
        <v>122750.66</v>
      </c>
      <c r="J128" s="227">
        <f t="shared" si="26"/>
        <v>17568.98</v>
      </c>
      <c r="K128" s="227">
        <f t="shared" si="27"/>
        <v>632824.03</v>
      </c>
      <c r="L128" s="227">
        <f t="shared" si="28"/>
        <v>0</v>
      </c>
      <c r="M128" s="3">
        <f t="shared" si="29"/>
        <v>0</v>
      </c>
      <c r="N128" s="227">
        <f t="shared" si="30"/>
        <v>0</v>
      </c>
      <c r="O128" s="142">
        <f t="shared" si="31"/>
        <v>1020358.27</v>
      </c>
      <c r="P128" s="3">
        <f t="shared" si="32"/>
        <v>773143.67</v>
      </c>
      <c r="Q128" s="3">
        <f t="shared" si="33"/>
        <v>122750.66</v>
      </c>
      <c r="R128" s="3">
        <f t="shared" si="34"/>
        <v>17568.98</v>
      </c>
      <c r="S128" s="3">
        <f t="shared" si="35"/>
        <v>632824.03</v>
      </c>
      <c r="T128" s="3">
        <f t="shared" si="36"/>
        <v>0</v>
      </c>
      <c r="U128" s="3">
        <f>IF($A$5=1,IF($P128=0,0,ROUND(Q128/$P128*$E128,2)),Credits!D127)+Credits!J127</f>
        <v>3468.0899999999997</v>
      </c>
      <c r="V128" s="3">
        <f>IF($A$5=1,IF($P128=0,0,ROUND(R128/$P128*$E128,2)),Credits!E127)+Credits!K127</f>
        <v>497.40000000000003</v>
      </c>
      <c r="W128" s="3">
        <f>IF($A$5=1,IF($P128=0,0,ROUND(S128/$P128*$E128,2)),Credits!F127)+Credits!L127</f>
        <v>17888.550000000003</v>
      </c>
      <c r="X128" s="3">
        <f>IF($A$5=1,IF($P128=0,0,ROUND(T128/$P128*$E128,2)),Credits!G127)+Credits!M127</f>
        <v>0</v>
      </c>
      <c r="Y128" s="3">
        <f t="shared" si="37"/>
        <v>21854.04</v>
      </c>
      <c r="AC128" s="4"/>
      <c r="AD128" s="4"/>
      <c r="AE128" s="2">
        <f t="shared" si="21"/>
        <v>0</v>
      </c>
      <c r="AF128" s="170" t="s">
        <v>1120</v>
      </c>
      <c r="AG128" s="175">
        <v>403</v>
      </c>
      <c r="AH128" s="175">
        <v>1</v>
      </c>
      <c r="AI128" s="175">
        <v>1</v>
      </c>
      <c r="AJ128" s="176">
        <v>240871.4</v>
      </c>
      <c r="AK128" s="176">
        <v>0</v>
      </c>
      <c r="AL128" s="176">
        <v>6343.2</v>
      </c>
      <c r="AM128" s="176">
        <v>0</v>
      </c>
      <c r="AN128" s="177">
        <v>0</v>
      </c>
      <c r="AO128" s="177">
        <v>0</v>
      </c>
      <c r="AP128" s="177">
        <v>122750.66</v>
      </c>
      <c r="AQ128" s="177">
        <v>0</v>
      </c>
      <c r="AR128" s="177">
        <v>17568.98</v>
      </c>
      <c r="AS128" s="177">
        <v>0</v>
      </c>
      <c r="AT128" s="178">
        <v>632824.03</v>
      </c>
      <c r="AU128" s="178">
        <v>0</v>
      </c>
      <c r="AV128" s="178">
        <v>0</v>
      </c>
      <c r="AW128" s="179">
        <v>0</v>
      </c>
      <c r="AX128" s="180">
        <v>0</v>
      </c>
      <c r="AY128" s="180">
        <v>0</v>
      </c>
      <c r="AZ128" s="180">
        <v>0</v>
      </c>
      <c r="BA128" s="180">
        <v>0</v>
      </c>
      <c r="BB128" s="170">
        <f t="shared" si="38"/>
        <v>1020358.27</v>
      </c>
      <c r="BC128" s="170">
        <v>1020358.27</v>
      </c>
      <c r="BD128" s="2">
        <f t="shared" si="39"/>
        <v>0</v>
      </c>
    </row>
    <row r="129" spans="1:56" ht="12" x14ac:dyDescent="0.2">
      <c r="A129" s="4">
        <v>404</v>
      </c>
      <c r="B129" s="4">
        <v>1</v>
      </c>
      <c r="C129" s="2" t="s">
        <v>126</v>
      </c>
      <c r="D129" s="3">
        <v>0</v>
      </c>
      <c r="E129" s="3">
        <v>0</v>
      </c>
      <c r="F129" s="227">
        <f t="shared" si="22"/>
        <v>342740.39</v>
      </c>
      <c r="G129" s="227">
        <f t="shared" si="23"/>
        <v>5461.04</v>
      </c>
      <c r="H129" s="227">
        <f t="shared" si="24"/>
        <v>0</v>
      </c>
      <c r="I129" s="227">
        <f t="shared" si="25"/>
        <v>86569.14</v>
      </c>
      <c r="J129" s="227">
        <f t="shared" si="26"/>
        <v>14926.93</v>
      </c>
      <c r="K129" s="227">
        <f t="shared" si="27"/>
        <v>277447.62</v>
      </c>
      <c r="L129" s="227">
        <f t="shared" si="28"/>
        <v>0</v>
      </c>
      <c r="M129" s="3">
        <f t="shared" si="29"/>
        <v>0</v>
      </c>
      <c r="N129" s="227">
        <f t="shared" si="30"/>
        <v>0</v>
      </c>
      <c r="O129" s="142">
        <f t="shared" si="31"/>
        <v>727145.12</v>
      </c>
      <c r="P129" s="3">
        <f t="shared" si="32"/>
        <v>378943.69</v>
      </c>
      <c r="Q129" s="3">
        <f t="shared" si="33"/>
        <v>86569.14</v>
      </c>
      <c r="R129" s="3">
        <f t="shared" si="34"/>
        <v>14926.93</v>
      </c>
      <c r="S129" s="3">
        <f t="shared" si="35"/>
        <v>277447.62</v>
      </c>
      <c r="T129" s="3">
        <f t="shared" si="36"/>
        <v>0</v>
      </c>
      <c r="U129" s="3">
        <f>IF($A$5=1,IF($P129=0,0,ROUND(Q129/$P129*$E129,2)),Credits!D128)+Credits!J128</f>
        <v>3746.05</v>
      </c>
      <c r="V129" s="3">
        <f>IF($A$5=1,IF($P129=0,0,ROUND(R129/$P129*$E129,2)),Credits!E128)+Credits!K128</f>
        <v>646</v>
      </c>
      <c r="W129" s="3">
        <f>IF($A$5=1,IF($P129=0,0,ROUND(S129/$P129*$E129,2)),Credits!F128)+Credits!L128</f>
        <v>12002.420000000002</v>
      </c>
      <c r="X129" s="3">
        <f>IF($A$5=1,IF($P129=0,0,ROUND(T129/$P129*$E129,2)),Credits!G128)+Credits!M128</f>
        <v>0</v>
      </c>
      <c r="Y129" s="3">
        <f t="shared" si="37"/>
        <v>16394.47</v>
      </c>
      <c r="AC129" s="4"/>
      <c r="AD129" s="4"/>
      <c r="AE129" s="2">
        <f t="shared" si="21"/>
        <v>0</v>
      </c>
      <c r="AF129" s="170" t="s">
        <v>1120</v>
      </c>
      <c r="AG129" s="175">
        <v>404</v>
      </c>
      <c r="AH129" s="175">
        <v>1</v>
      </c>
      <c r="AI129" s="175">
        <v>1</v>
      </c>
      <c r="AJ129" s="176">
        <v>342740.39</v>
      </c>
      <c r="AK129" s="176">
        <v>0</v>
      </c>
      <c r="AL129" s="176">
        <v>5461.04</v>
      </c>
      <c r="AM129" s="176">
        <v>0</v>
      </c>
      <c r="AN129" s="177">
        <v>0</v>
      </c>
      <c r="AO129" s="177">
        <v>0</v>
      </c>
      <c r="AP129" s="177">
        <v>86569.14</v>
      </c>
      <c r="AQ129" s="177">
        <v>0</v>
      </c>
      <c r="AR129" s="177">
        <v>14926.93</v>
      </c>
      <c r="AS129" s="177">
        <v>0</v>
      </c>
      <c r="AT129" s="178">
        <v>277447.62</v>
      </c>
      <c r="AU129" s="178">
        <v>0</v>
      </c>
      <c r="AV129" s="178">
        <v>0</v>
      </c>
      <c r="AW129" s="179">
        <v>0</v>
      </c>
      <c r="AX129" s="180">
        <v>0</v>
      </c>
      <c r="AY129" s="180">
        <v>0</v>
      </c>
      <c r="AZ129" s="180">
        <v>0</v>
      </c>
      <c r="BA129" s="180">
        <v>0</v>
      </c>
      <c r="BB129" s="170">
        <f t="shared" si="38"/>
        <v>727145.12</v>
      </c>
      <c r="BC129" s="170">
        <v>727145.12</v>
      </c>
      <c r="BD129" s="2">
        <f t="shared" si="39"/>
        <v>0</v>
      </c>
    </row>
    <row r="130" spans="1:56" ht="12" x14ac:dyDescent="0.2">
      <c r="A130" s="4">
        <v>413</v>
      </c>
      <c r="B130" s="4">
        <v>1</v>
      </c>
      <c r="C130" s="2" t="s">
        <v>127</v>
      </c>
      <c r="D130" s="3">
        <v>0</v>
      </c>
      <c r="E130" s="3">
        <v>0</v>
      </c>
      <c r="F130" s="227">
        <f t="shared" si="22"/>
        <v>697615</v>
      </c>
      <c r="G130" s="227">
        <f t="shared" si="23"/>
        <v>678973</v>
      </c>
      <c r="H130" s="227">
        <f t="shared" si="24"/>
        <v>0</v>
      </c>
      <c r="I130" s="227">
        <f t="shared" si="25"/>
        <v>1315289</v>
      </c>
      <c r="J130" s="227">
        <f t="shared" si="26"/>
        <v>187118</v>
      </c>
      <c r="K130" s="227">
        <f t="shared" si="27"/>
        <v>2590060</v>
      </c>
      <c r="L130" s="227">
        <f t="shared" si="28"/>
        <v>0</v>
      </c>
      <c r="M130" s="3">
        <f t="shared" si="29"/>
        <v>0</v>
      </c>
      <c r="N130" s="227">
        <f t="shared" si="30"/>
        <v>130414</v>
      </c>
      <c r="O130" s="142">
        <f t="shared" si="31"/>
        <v>5599469</v>
      </c>
      <c r="P130" s="3">
        <f t="shared" si="32"/>
        <v>4222881</v>
      </c>
      <c r="Q130" s="3">
        <f t="shared" si="33"/>
        <v>1315289</v>
      </c>
      <c r="R130" s="3">
        <f t="shared" si="34"/>
        <v>187118</v>
      </c>
      <c r="S130" s="3">
        <f t="shared" si="35"/>
        <v>2590060</v>
      </c>
      <c r="T130" s="3">
        <f t="shared" si="36"/>
        <v>130414</v>
      </c>
      <c r="U130" s="3">
        <f>IF($A$5=1,IF($P130=0,0,ROUND(Q130/$P130*$E130,2)),Credits!D129)+Credits!J129</f>
        <v>7853.35</v>
      </c>
      <c r="V130" s="3">
        <f>IF($A$5=1,IF($P130=0,0,ROUND(R130/$P130*$E130,2)),Credits!E129)+Credits!K129</f>
        <v>1117.6199999999999</v>
      </c>
      <c r="W130" s="3">
        <f>IF($A$5=1,IF($P130=0,0,ROUND(S130/$P130*$E130,2)),Credits!F129)+Credits!L129</f>
        <v>15326.2</v>
      </c>
      <c r="X130" s="3">
        <f>IF($A$5=1,IF($P130=0,0,ROUND(T130/$P130*$E130,2)),Credits!G129)+Credits!M129</f>
        <v>772.29</v>
      </c>
      <c r="Y130" s="3">
        <f t="shared" si="37"/>
        <v>25069.460000000003</v>
      </c>
      <c r="AC130" s="4"/>
      <c r="AD130" s="4"/>
      <c r="AE130" s="2">
        <f t="shared" si="21"/>
        <v>0</v>
      </c>
      <c r="AF130" s="170" t="s">
        <v>1120</v>
      </c>
      <c r="AG130" s="175">
        <v>413</v>
      </c>
      <c r="AH130" s="175">
        <v>1</v>
      </c>
      <c r="AI130" s="175">
        <v>1</v>
      </c>
      <c r="AJ130" s="176">
        <v>697615</v>
      </c>
      <c r="AK130" s="176">
        <v>0</v>
      </c>
      <c r="AL130" s="176">
        <v>678973</v>
      </c>
      <c r="AM130" s="176">
        <v>0</v>
      </c>
      <c r="AN130" s="177">
        <v>0</v>
      </c>
      <c r="AO130" s="177">
        <v>0</v>
      </c>
      <c r="AP130" s="177">
        <v>1315289</v>
      </c>
      <c r="AQ130" s="177">
        <v>0</v>
      </c>
      <c r="AR130" s="177">
        <v>187118</v>
      </c>
      <c r="AS130" s="177">
        <v>0</v>
      </c>
      <c r="AT130" s="178">
        <v>2590060</v>
      </c>
      <c r="AU130" s="178">
        <v>0</v>
      </c>
      <c r="AV130" s="178">
        <v>0</v>
      </c>
      <c r="AW130" s="179">
        <v>0</v>
      </c>
      <c r="AX130" s="180">
        <v>0</v>
      </c>
      <c r="AY130" s="180">
        <v>0</v>
      </c>
      <c r="AZ130" s="180">
        <v>130414</v>
      </c>
      <c r="BA130" s="180">
        <v>0</v>
      </c>
      <c r="BB130" s="170">
        <f t="shared" si="38"/>
        <v>5599469</v>
      </c>
      <c r="BC130" s="170">
        <v>5599469.1799999997</v>
      </c>
      <c r="BD130" s="2">
        <f t="shared" si="39"/>
        <v>-0.17999999970197678</v>
      </c>
    </row>
    <row r="131" spans="1:56" ht="12" x14ac:dyDescent="0.2">
      <c r="A131" s="4">
        <v>414</v>
      </c>
      <c r="B131" s="4">
        <v>1</v>
      </c>
      <c r="C131" s="2" t="s">
        <v>128</v>
      </c>
      <c r="D131" s="3">
        <v>0</v>
      </c>
      <c r="E131" s="3">
        <v>0</v>
      </c>
      <c r="F131" s="227">
        <f t="shared" si="22"/>
        <v>146343</v>
      </c>
      <c r="G131" s="227">
        <f t="shared" si="23"/>
        <v>27240</v>
      </c>
      <c r="H131" s="227">
        <f t="shared" si="24"/>
        <v>0</v>
      </c>
      <c r="I131" s="227">
        <f t="shared" si="25"/>
        <v>314154</v>
      </c>
      <c r="J131" s="227">
        <f t="shared" si="26"/>
        <v>39065</v>
      </c>
      <c r="K131" s="227">
        <f t="shared" si="27"/>
        <v>190890</v>
      </c>
      <c r="L131" s="227">
        <f t="shared" si="28"/>
        <v>335681</v>
      </c>
      <c r="M131" s="3">
        <f t="shared" si="29"/>
        <v>0</v>
      </c>
      <c r="N131" s="227">
        <f t="shared" si="30"/>
        <v>0</v>
      </c>
      <c r="O131" s="142">
        <f t="shared" si="31"/>
        <v>1053373</v>
      </c>
      <c r="P131" s="3">
        <f t="shared" si="32"/>
        <v>879790</v>
      </c>
      <c r="Q131" s="3">
        <f t="shared" si="33"/>
        <v>314154</v>
      </c>
      <c r="R131" s="3">
        <f t="shared" si="34"/>
        <v>39065</v>
      </c>
      <c r="S131" s="3">
        <f t="shared" si="35"/>
        <v>526571</v>
      </c>
      <c r="T131" s="3">
        <f t="shared" si="36"/>
        <v>0</v>
      </c>
      <c r="U131" s="3">
        <f>IF($A$5=1,IF($P131=0,0,ROUND(Q131/$P131*$E131,2)),Credits!D130)+Credits!J130</f>
        <v>7073.85</v>
      </c>
      <c r="V131" s="3">
        <f>IF($A$5=1,IF($P131=0,0,ROUND(R131/$P131*$E131,2)),Credits!E130)+Credits!K130</f>
        <v>880.39999999999986</v>
      </c>
      <c r="W131" s="3">
        <f>IF($A$5=1,IF($P131=0,0,ROUND(S131/$P131*$E131,2)),Credits!F130)+Credits!L130</f>
        <v>11860.160000000002</v>
      </c>
      <c r="X131" s="3">
        <f>IF($A$5=1,IF($P131=0,0,ROUND(T131/$P131*$E131,2)),Credits!G130)+Credits!M130</f>
        <v>0</v>
      </c>
      <c r="Y131" s="3">
        <f t="shared" si="37"/>
        <v>19814.410000000003</v>
      </c>
      <c r="AC131" s="4"/>
      <c r="AD131" s="4"/>
      <c r="AE131" s="2">
        <f t="shared" si="21"/>
        <v>0</v>
      </c>
      <c r="AF131" s="170" t="s">
        <v>1120</v>
      </c>
      <c r="AG131" s="175">
        <v>414</v>
      </c>
      <c r="AH131" s="175">
        <v>1</v>
      </c>
      <c r="AI131" s="175">
        <v>1</v>
      </c>
      <c r="AJ131" s="176">
        <v>146343</v>
      </c>
      <c r="AK131" s="176">
        <v>0</v>
      </c>
      <c r="AL131" s="176">
        <v>27240</v>
      </c>
      <c r="AM131" s="176">
        <v>0</v>
      </c>
      <c r="AN131" s="177">
        <v>0</v>
      </c>
      <c r="AO131" s="177">
        <v>0</v>
      </c>
      <c r="AP131" s="177">
        <v>314154</v>
      </c>
      <c r="AQ131" s="177">
        <v>0</v>
      </c>
      <c r="AR131" s="177">
        <v>39065</v>
      </c>
      <c r="AS131" s="177">
        <v>0</v>
      </c>
      <c r="AT131" s="178">
        <v>190890</v>
      </c>
      <c r="AU131" s="178">
        <v>0</v>
      </c>
      <c r="AV131" s="178">
        <v>335681</v>
      </c>
      <c r="AW131" s="179">
        <v>0</v>
      </c>
      <c r="AX131" s="180">
        <v>0</v>
      </c>
      <c r="AY131" s="180">
        <v>0</v>
      </c>
      <c r="AZ131" s="180">
        <v>0</v>
      </c>
      <c r="BA131" s="180">
        <v>0</v>
      </c>
      <c r="BB131" s="170">
        <f t="shared" si="38"/>
        <v>1053373</v>
      </c>
      <c r="BC131" s="170">
        <v>1053373.6000000001</v>
      </c>
      <c r="BD131" s="2">
        <f t="shared" si="39"/>
        <v>-0.60000000009313226</v>
      </c>
    </row>
    <row r="132" spans="1:56" ht="12" x14ac:dyDescent="0.2">
      <c r="A132" s="4">
        <v>415</v>
      </c>
      <c r="B132" s="4">
        <v>1</v>
      </c>
      <c r="C132" s="2" t="s">
        <v>129</v>
      </c>
      <c r="D132" s="3">
        <v>0</v>
      </c>
      <c r="E132" s="3">
        <v>0</v>
      </c>
      <c r="F132" s="227">
        <f t="shared" si="22"/>
        <v>262584</v>
      </c>
      <c r="G132" s="227">
        <f t="shared" si="23"/>
        <v>15966</v>
      </c>
      <c r="H132" s="227">
        <f t="shared" si="24"/>
        <v>0</v>
      </c>
      <c r="I132" s="227">
        <f t="shared" si="25"/>
        <v>104496</v>
      </c>
      <c r="J132" s="227">
        <f t="shared" si="26"/>
        <v>48470</v>
      </c>
      <c r="K132" s="227">
        <f t="shared" si="27"/>
        <v>0</v>
      </c>
      <c r="L132" s="227">
        <f t="shared" si="28"/>
        <v>0</v>
      </c>
      <c r="M132" s="3">
        <f t="shared" si="29"/>
        <v>0</v>
      </c>
      <c r="N132" s="227">
        <f t="shared" si="30"/>
        <v>0</v>
      </c>
      <c r="O132" s="142">
        <f t="shared" si="31"/>
        <v>431516</v>
      </c>
      <c r="P132" s="3">
        <f t="shared" si="32"/>
        <v>152966</v>
      </c>
      <c r="Q132" s="3">
        <f t="shared" si="33"/>
        <v>104496</v>
      </c>
      <c r="R132" s="3">
        <f t="shared" si="34"/>
        <v>48470</v>
      </c>
      <c r="S132" s="3">
        <f t="shared" si="35"/>
        <v>0</v>
      </c>
      <c r="T132" s="3">
        <f t="shared" si="36"/>
        <v>0</v>
      </c>
      <c r="U132" s="3">
        <f>IF($A$5=1,IF($P132=0,0,ROUND(Q132/$P132*$E132,2)),Credits!D131)+Credits!J131</f>
        <v>3191.6499999999996</v>
      </c>
      <c r="V132" s="3">
        <f>IF($A$5=1,IF($P132=0,0,ROUND(R132/$P132*$E132,2)),Credits!E131)+Credits!K131</f>
        <v>1481.1799999999998</v>
      </c>
      <c r="W132" s="3">
        <f>IF($A$5=1,IF($P132=0,0,ROUND(S132/$P132*$E132,2)),Credits!F131)+Credits!L131</f>
        <v>0</v>
      </c>
      <c r="X132" s="3">
        <f>IF($A$5=1,IF($P132=0,0,ROUND(T132/$P132*$E132,2)),Credits!G131)+Credits!M131</f>
        <v>0</v>
      </c>
      <c r="Y132" s="3">
        <f t="shared" si="37"/>
        <v>4672.83</v>
      </c>
      <c r="AC132" s="4"/>
      <c r="AD132" s="4"/>
      <c r="AE132" s="2">
        <f t="shared" si="21"/>
        <v>0</v>
      </c>
      <c r="AF132" s="170" t="s">
        <v>1120</v>
      </c>
      <c r="AG132" s="175">
        <v>415</v>
      </c>
      <c r="AH132" s="175">
        <v>1</v>
      </c>
      <c r="AI132" s="175">
        <v>1</v>
      </c>
      <c r="AJ132" s="176">
        <v>262584</v>
      </c>
      <c r="AK132" s="176">
        <v>0</v>
      </c>
      <c r="AL132" s="176">
        <v>15966</v>
      </c>
      <c r="AM132" s="176">
        <v>0</v>
      </c>
      <c r="AN132" s="177">
        <v>0</v>
      </c>
      <c r="AO132" s="177">
        <v>0</v>
      </c>
      <c r="AP132" s="177">
        <v>104496</v>
      </c>
      <c r="AQ132" s="177">
        <v>0</v>
      </c>
      <c r="AR132" s="177">
        <v>48470</v>
      </c>
      <c r="AS132" s="177">
        <v>0</v>
      </c>
      <c r="AT132" s="178">
        <v>0</v>
      </c>
      <c r="AU132" s="178">
        <v>0</v>
      </c>
      <c r="AV132" s="178">
        <v>0</v>
      </c>
      <c r="AW132" s="179">
        <v>0</v>
      </c>
      <c r="AX132" s="180">
        <v>0</v>
      </c>
      <c r="AY132" s="180">
        <v>0</v>
      </c>
      <c r="AZ132" s="180">
        <v>0</v>
      </c>
      <c r="BA132" s="180">
        <v>0</v>
      </c>
      <c r="BB132" s="170">
        <f t="shared" si="38"/>
        <v>431516</v>
      </c>
      <c r="BC132" s="170">
        <v>431516.21</v>
      </c>
      <c r="BD132" s="2">
        <f t="shared" si="39"/>
        <v>-0.21000000002095476</v>
      </c>
    </row>
    <row r="133" spans="1:56" ht="12" x14ac:dyDescent="0.2">
      <c r="A133" s="4">
        <v>423</v>
      </c>
      <c r="B133" s="4">
        <v>1</v>
      </c>
      <c r="C133" s="2" t="s">
        <v>130</v>
      </c>
      <c r="D133" s="3">
        <v>0</v>
      </c>
      <c r="E133" s="3">
        <v>0</v>
      </c>
      <c r="F133" s="227">
        <f t="shared" si="22"/>
        <v>1613245</v>
      </c>
      <c r="G133" s="227">
        <f t="shared" si="23"/>
        <v>699838</v>
      </c>
      <c r="H133" s="227">
        <f t="shared" si="24"/>
        <v>0</v>
      </c>
      <c r="I133" s="227">
        <f t="shared" si="25"/>
        <v>1045574</v>
      </c>
      <c r="J133" s="227">
        <f t="shared" si="26"/>
        <v>195804</v>
      </c>
      <c r="K133" s="227">
        <f t="shared" si="27"/>
        <v>1084373</v>
      </c>
      <c r="L133" s="227">
        <f t="shared" si="28"/>
        <v>0</v>
      </c>
      <c r="M133" s="3">
        <f t="shared" si="29"/>
        <v>0</v>
      </c>
      <c r="N133" s="227">
        <f t="shared" si="30"/>
        <v>0</v>
      </c>
      <c r="O133" s="142">
        <f t="shared" si="31"/>
        <v>4638834</v>
      </c>
      <c r="P133" s="3">
        <f t="shared" si="32"/>
        <v>2325751</v>
      </c>
      <c r="Q133" s="3">
        <f t="shared" si="33"/>
        <v>1045574</v>
      </c>
      <c r="R133" s="3">
        <f t="shared" si="34"/>
        <v>195804</v>
      </c>
      <c r="S133" s="3">
        <f t="shared" si="35"/>
        <v>1084373</v>
      </c>
      <c r="T133" s="3">
        <f t="shared" si="36"/>
        <v>0</v>
      </c>
      <c r="U133" s="3">
        <f>IF($A$5=1,IF($P133=0,0,ROUND(Q133/$P133*$E133,2)),Credits!D132)+Credits!J132</f>
        <v>19214.600000000002</v>
      </c>
      <c r="V133" s="3">
        <f>IF($A$5=1,IF($P133=0,0,ROUND(R133/$P133*$E133,2)),Credits!E132)+Credits!K132</f>
        <v>3597.8500000000004</v>
      </c>
      <c r="W133" s="3">
        <f>IF($A$5=1,IF($P133=0,0,ROUND(S133/$P133*$E133,2)),Credits!F132)+Credits!L132</f>
        <v>19784.019999999997</v>
      </c>
      <c r="X133" s="3">
        <f>IF($A$5=1,IF($P133=0,0,ROUND(T133/$P133*$E133,2)),Credits!G132)+Credits!M132</f>
        <v>0</v>
      </c>
      <c r="Y133" s="3">
        <f t="shared" si="37"/>
        <v>42596.47</v>
      </c>
      <c r="AC133" s="4"/>
      <c r="AD133" s="4"/>
      <c r="AE133" s="2">
        <f t="shared" si="21"/>
        <v>0</v>
      </c>
      <c r="AF133" s="170" t="s">
        <v>1120</v>
      </c>
      <c r="AG133" s="175">
        <v>423</v>
      </c>
      <c r="AH133" s="175">
        <v>1</v>
      </c>
      <c r="AI133" s="175">
        <v>1</v>
      </c>
      <c r="AJ133" s="176">
        <v>1613245</v>
      </c>
      <c r="AK133" s="176">
        <v>0</v>
      </c>
      <c r="AL133" s="176">
        <v>699838</v>
      </c>
      <c r="AM133" s="176">
        <v>0</v>
      </c>
      <c r="AN133" s="177">
        <v>0</v>
      </c>
      <c r="AO133" s="177">
        <v>0</v>
      </c>
      <c r="AP133" s="177">
        <v>1045574</v>
      </c>
      <c r="AQ133" s="177">
        <v>0</v>
      </c>
      <c r="AR133" s="177">
        <v>195804</v>
      </c>
      <c r="AS133" s="177">
        <v>0</v>
      </c>
      <c r="AT133" s="178">
        <v>1084373</v>
      </c>
      <c r="AU133" s="178">
        <v>0</v>
      </c>
      <c r="AV133" s="178">
        <v>0</v>
      </c>
      <c r="AW133" s="179">
        <v>0</v>
      </c>
      <c r="AX133" s="180">
        <v>0</v>
      </c>
      <c r="AY133" s="180">
        <v>0</v>
      </c>
      <c r="AZ133" s="180">
        <v>0</v>
      </c>
      <c r="BA133" s="180">
        <v>0</v>
      </c>
      <c r="BB133" s="170">
        <f t="shared" si="38"/>
        <v>4638834</v>
      </c>
      <c r="BC133" s="170">
        <v>4638833.75</v>
      </c>
      <c r="BD133" s="2">
        <f t="shared" si="39"/>
        <v>0.25</v>
      </c>
    </row>
    <row r="134" spans="1:56" ht="12" x14ac:dyDescent="0.2">
      <c r="A134" s="4">
        <v>424</v>
      </c>
      <c r="B134" s="4">
        <v>1</v>
      </c>
      <c r="C134" s="2" t="s">
        <v>131</v>
      </c>
      <c r="D134" s="3">
        <v>0</v>
      </c>
      <c r="E134" s="3">
        <v>0</v>
      </c>
      <c r="F134" s="227">
        <f t="shared" si="22"/>
        <v>129445</v>
      </c>
      <c r="G134" s="227">
        <f t="shared" si="23"/>
        <v>228423</v>
      </c>
      <c r="H134" s="227">
        <f t="shared" si="24"/>
        <v>0</v>
      </c>
      <c r="I134" s="227">
        <f t="shared" si="25"/>
        <v>87750</v>
      </c>
      <c r="J134" s="227">
        <f t="shared" si="26"/>
        <v>22480</v>
      </c>
      <c r="K134" s="227">
        <f t="shared" si="27"/>
        <v>0</v>
      </c>
      <c r="L134" s="227">
        <f t="shared" si="28"/>
        <v>312615</v>
      </c>
      <c r="M134" s="3">
        <f t="shared" si="29"/>
        <v>0</v>
      </c>
      <c r="N134" s="227">
        <f t="shared" si="30"/>
        <v>0</v>
      </c>
      <c r="O134" s="142">
        <f t="shared" si="31"/>
        <v>780713</v>
      </c>
      <c r="P134" s="3">
        <f t="shared" si="32"/>
        <v>422845</v>
      </c>
      <c r="Q134" s="3">
        <f t="shared" si="33"/>
        <v>87750</v>
      </c>
      <c r="R134" s="3">
        <f t="shared" si="34"/>
        <v>22480</v>
      </c>
      <c r="S134" s="3">
        <f t="shared" si="35"/>
        <v>312615</v>
      </c>
      <c r="T134" s="3">
        <f t="shared" si="36"/>
        <v>0</v>
      </c>
      <c r="U134" s="3">
        <f>IF($A$5=1,IF($P134=0,0,ROUND(Q134/$P134*$E134,2)),Credits!D133)+Credits!J133</f>
        <v>2272.14</v>
      </c>
      <c r="V134" s="3">
        <f>IF($A$5=1,IF($P134=0,0,ROUND(R134/$P134*$E134,2)),Credits!E133)+Credits!K133</f>
        <v>581.8900000000001</v>
      </c>
      <c r="W134" s="3">
        <f>IF($A$5=1,IF($P134=0,0,ROUND(S134/$P134*$E134,2)),Credits!F133)+Credits!L133</f>
        <v>8029.42</v>
      </c>
      <c r="X134" s="3">
        <f>IF($A$5=1,IF($P134=0,0,ROUND(T134/$P134*$E134,2)),Credits!G133)+Credits!M133</f>
        <v>0</v>
      </c>
      <c r="Y134" s="3">
        <f t="shared" si="37"/>
        <v>10883.45</v>
      </c>
      <c r="AC134" s="4"/>
      <c r="AD134" s="4"/>
      <c r="AE134" s="2">
        <f t="shared" si="21"/>
        <v>0</v>
      </c>
      <c r="AF134" s="170" t="s">
        <v>1120</v>
      </c>
      <c r="AG134" s="175">
        <v>424</v>
      </c>
      <c r="AH134" s="175">
        <v>1</v>
      </c>
      <c r="AI134" s="175">
        <v>1</v>
      </c>
      <c r="AJ134" s="176">
        <v>129445</v>
      </c>
      <c r="AK134" s="176">
        <v>0</v>
      </c>
      <c r="AL134" s="176">
        <v>228423</v>
      </c>
      <c r="AM134" s="176">
        <v>0</v>
      </c>
      <c r="AN134" s="177">
        <v>0</v>
      </c>
      <c r="AO134" s="177">
        <v>0</v>
      </c>
      <c r="AP134" s="177">
        <v>87750</v>
      </c>
      <c r="AQ134" s="177">
        <v>0</v>
      </c>
      <c r="AR134" s="177">
        <v>22480</v>
      </c>
      <c r="AS134" s="177">
        <v>0</v>
      </c>
      <c r="AT134" s="178">
        <v>0</v>
      </c>
      <c r="AU134" s="178">
        <v>0</v>
      </c>
      <c r="AV134" s="178">
        <v>312615</v>
      </c>
      <c r="AW134" s="179">
        <v>0</v>
      </c>
      <c r="AX134" s="180">
        <v>0</v>
      </c>
      <c r="AY134" s="180">
        <v>0</v>
      </c>
      <c r="AZ134" s="180">
        <v>0</v>
      </c>
      <c r="BA134" s="180">
        <v>0</v>
      </c>
      <c r="BB134" s="170">
        <f t="shared" si="38"/>
        <v>780713</v>
      </c>
      <c r="BC134" s="170">
        <v>780713.01</v>
      </c>
      <c r="BD134" s="2">
        <f t="shared" si="39"/>
        <v>-1.0000000009313226E-2</v>
      </c>
    </row>
    <row r="135" spans="1:56" ht="12" x14ac:dyDescent="0.2">
      <c r="A135" s="4">
        <v>432</v>
      </c>
      <c r="B135" s="4">
        <v>1</v>
      </c>
      <c r="C135" s="2" t="s">
        <v>132</v>
      </c>
      <c r="D135" s="3">
        <v>0</v>
      </c>
      <c r="E135" s="3">
        <v>0</v>
      </c>
      <c r="F135" s="227">
        <f t="shared" si="22"/>
        <v>0</v>
      </c>
      <c r="G135" s="227">
        <f t="shared" si="23"/>
        <v>71550.64</v>
      </c>
      <c r="H135" s="227">
        <f t="shared" si="24"/>
        <v>0</v>
      </c>
      <c r="I135" s="227">
        <f t="shared" si="25"/>
        <v>87953.89</v>
      </c>
      <c r="J135" s="227">
        <f t="shared" si="26"/>
        <v>38722.81</v>
      </c>
      <c r="K135" s="227">
        <f t="shared" si="27"/>
        <v>0</v>
      </c>
      <c r="L135" s="227">
        <f t="shared" si="28"/>
        <v>366923</v>
      </c>
      <c r="M135" s="3">
        <f t="shared" si="29"/>
        <v>0</v>
      </c>
      <c r="N135" s="227">
        <f t="shared" si="30"/>
        <v>0</v>
      </c>
      <c r="O135" s="142">
        <f t="shared" si="31"/>
        <v>565150.34</v>
      </c>
      <c r="P135" s="3">
        <f t="shared" si="32"/>
        <v>493599.7</v>
      </c>
      <c r="Q135" s="3">
        <f t="shared" si="33"/>
        <v>87953.89</v>
      </c>
      <c r="R135" s="3">
        <f t="shared" si="34"/>
        <v>38722.81</v>
      </c>
      <c r="S135" s="3">
        <f t="shared" si="35"/>
        <v>366923</v>
      </c>
      <c r="T135" s="3">
        <f t="shared" si="36"/>
        <v>0</v>
      </c>
      <c r="U135" s="3">
        <f>IF($A$5=1,IF($P135=0,0,ROUND(Q135/$P135*$E135,2)),Credits!D134)+Credits!J134</f>
        <v>8477.43</v>
      </c>
      <c r="V135" s="3">
        <f>IF($A$5=1,IF($P135=0,0,ROUND(R135/$P135*$E135,2)),Credits!E134)+Credits!K134</f>
        <v>3731.45</v>
      </c>
      <c r="W135" s="3">
        <f>IF($A$5=1,IF($P135=0,0,ROUND(S135/$P135*$E135,2)),Credits!F134)+Credits!L134</f>
        <v>35370.620000000003</v>
      </c>
      <c r="X135" s="3">
        <f>IF($A$5=1,IF($P135=0,0,ROUND(T135/$P135*$E135,2)),Credits!G134)+Credits!M134</f>
        <v>0</v>
      </c>
      <c r="Y135" s="3">
        <f t="shared" si="37"/>
        <v>47579.5</v>
      </c>
      <c r="AC135" s="4"/>
      <c r="AD135" s="4"/>
      <c r="AE135" s="2">
        <f t="shared" si="21"/>
        <v>0</v>
      </c>
      <c r="AF135" s="170" t="s">
        <v>1120</v>
      </c>
      <c r="AG135" s="175">
        <v>432</v>
      </c>
      <c r="AH135" s="175">
        <v>1</v>
      </c>
      <c r="AI135" s="175">
        <v>1</v>
      </c>
      <c r="AJ135" s="176">
        <v>0</v>
      </c>
      <c r="AK135" s="176">
        <v>0</v>
      </c>
      <c r="AL135" s="176">
        <v>71550.64</v>
      </c>
      <c r="AM135" s="176">
        <v>0</v>
      </c>
      <c r="AN135" s="177">
        <v>0</v>
      </c>
      <c r="AO135" s="177">
        <v>0</v>
      </c>
      <c r="AP135" s="177">
        <v>87953.89</v>
      </c>
      <c r="AQ135" s="177">
        <v>0</v>
      </c>
      <c r="AR135" s="177">
        <v>38722.81</v>
      </c>
      <c r="AS135" s="177">
        <v>0</v>
      </c>
      <c r="AT135" s="178">
        <v>0</v>
      </c>
      <c r="AU135" s="178">
        <v>0</v>
      </c>
      <c r="AV135" s="178">
        <v>366923</v>
      </c>
      <c r="AW135" s="179">
        <v>0</v>
      </c>
      <c r="AX135" s="180">
        <v>0</v>
      </c>
      <c r="AY135" s="180">
        <v>0</v>
      </c>
      <c r="AZ135" s="180">
        <v>0</v>
      </c>
      <c r="BA135" s="180">
        <v>0</v>
      </c>
      <c r="BB135" s="170">
        <f t="shared" si="38"/>
        <v>565150.34</v>
      </c>
      <c r="BC135" s="170">
        <v>565150.34</v>
      </c>
      <c r="BD135" s="2">
        <f t="shared" si="39"/>
        <v>0</v>
      </c>
    </row>
    <row r="136" spans="1:56" ht="12" x14ac:dyDescent="0.2">
      <c r="A136" s="4">
        <v>435</v>
      </c>
      <c r="B136" s="4">
        <v>1</v>
      </c>
      <c r="C136" s="2" t="s">
        <v>1184</v>
      </c>
      <c r="D136" s="3">
        <v>0</v>
      </c>
      <c r="E136" s="3">
        <v>0</v>
      </c>
      <c r="F136" s="227">
        <f t="shared" si="22"/>
        <v>0</v>
      </c>
      <c r="G136" s="227">
        <f t="shared" si="23"/>
        <v>111592.53</v>
      </c>
      <c r="H136" s="227">
        <f t="shared" si="24"/>
        <v>0</v>
      </c>
      <c r="I136" s="227">
        <f t="shared" si="25"/>
        <v>154887.57999999999</v>
      </c>
      <c r="J136" s="227">
        <f t="shared" si="26"/>
        <v>35420.25</v>
      </c>
      <c r="K136" s="227">
        <f t="shared" si="27"/>
        <v>700084.57</v>
      </c>
      <c r="L136" s="227">
        <f t="shared" si="28"/>
        <v>46573.49</v>
      </c>
      <c r="M136" s="3">
        <f t="shared" si="29"/>
        <v>0</v>
      </c>
      <c r="N136" s="227">
        <f t="shared" si="30"/>
        <v>0</v>
      </c>
      <c r="O136" s="142">
        <f t="shared" si="31"/>
        <v>1048558.4199999999</v>
      </c>
      <c r="P136" s="3">
        <f t="shared" ref="P136:P199" si="40">SUM(H136:N136)</f>
        <v>936965.8899999999</v>
      </c>
      <c r="Q136" s="3">
        <f t="shared" ref="Q136:Q199" si="41">SUM(H136:I136)</f>
        <v>154887.57999999999</v>
      </c>
      <c r="R136" s="3">
        <f t="shared" ref="R136:R199" si="42">J136</f>
        <v>35420.25</v>
      </c>
      <c r="S136" s="3">
        <f t="shared" ref="S136:S199" si="43">K136+L136</f>
        <v>746658.05999999994</v>
      </c>
      <c r="T136" s="3">
        <f t="shared" ref="T136:T199" si="44">N136+M136</f>
        <v>0</v>
      </c>
      <c r="U136" s="3">
        <f>IF($A$5=1,IF($P136=0,0,ROUND(Q136/$P136*$E136,2)),Credits!D135)+Credits!J135</f>
        <v>3428.2499999999995</v>
      </c>
      <c r="V136" s="3">
        <f>IF($A$5=1,IF($P136=0,0,ROUND(R136/$P136*$E136,2)),Credits!E135)+Credits!K135</f>
        <v>783.61</v>
      </c>
      <c r="W136" s="3">
        <f>IF($A$5=1,IF($P136=0,0,ROUND(S136/$P136*$E136,2)),Credits!F135)+Credits!L135</f>
        <v>16524.3</v>
      </c>
      <c r="X136" s="3">
        <f>IF($A$5=1,IF($P136=0,0,ROUND(T136/$P136*$E136,2)),Credits!G135)+Credits!M135</f>
        <v>0</v>
      </c>
      <c r="Y136" s="3">
        <f t="shared" ref="Y136:Y199" si="45">SUM(U136:X136)</f>
        <v>20736.16</v>
      </c>
      <c r="AC136" s="4"/>
      <c r="AD136" s="4"/>
      <c r="AE136" s="2">
        <f t="shared" si="21"/>
        <v>0</v>
      </c>
      <c r="AF136" s="170" t="s">
        <v>1120</v>
      </c>
      <c r="AG136" s="175">
        <v>435</v>
      </c>
      <c r="AH136" s="175">
        <v>1</v>
      </c>
      <c r="AI136" s="175">
        <v>1</v>
      </c>
      <c r="AJ136" s="176">
        <v>0</v>
      </c>
      <c r="AK136" s="176">
        <v>0</v>
      </c>
      <c r="AL136" s="176">
        <v>111592.53</v>
      </c>
      <c r="AM136" s="176">
        <v>0</v>
      </c>
      <c r="AN136" s="177">
        <v>0</v>
      </c>
      <c r="AO136" s="177">
        <v>0</v>
      </c>
      <c r="AP136" s="177">
        <v>154887.57999999999</v>
      </c>
      <c r="AQ136" s="177">
        <v>0</v>
      </c>
      <c r="AR136" s="177">
        <v>35420.25</v>
      </c>
      <c r="AS136" s="177">
        <v>0</v>
      </c>
      <c r="AT136" s="178">
        <v>700084.57</v>
      </c>
      <c r="AU136" s="178">
        <v>0</v>
      </c>
      <c r="AV136" s="178">
        <v>46573.49</v>
      </c>
      <c r="AW136" s="179">
        <v>0</v>
      </c>
      <c r="AX136" s="180">
        <v>0</v>
      </c>
      <c r="AY136" s="180">
        <v>0</v>
      </c>
      <c r="AZ136" s="180">
        <v>0</v>
      </c>
      <c r="BA136" s="180">
        <v>0</v>
      </c>
      <c r="BB136" s="170">
        <f t="shared" si="38"/>
        <v>1048558.4199999999</v>
      </c>
      <c r="BC136" s="170">
        <v>1048558.42</v>
      </c>
      <c r="BD136" s="2">
        <f t="shared" si="39"/>
        <v>0</v>
      </c>
    </row>
    <row r="137" spans="1:56" ht="12" x14ac:dyDescent="0.2">
      <c r="A137" s="4">
        <v>441</v>
      </c>
      <c r="B137" s="4">
        <v>1</v>
      </c>
      <c r="C137" s="2" t="s">
        <v>134</v>
      </c>
      <c r="D137" s="3">
        <v>0</v>
      </c>
      <c r="E137" s="3">
        <v>0</v>
      </c>
      <c r="F137" s="227">
        <f t="shared" si="22"/>
        <v>518993.23</v>
      </c>
      <c r="G137" s="227">
        <f t="shared" si="23"/>
        <v>28646.67</v>
      </c>
      <c r="H137" s="227">
        <f t="shared" si="24"/>
        <v>0</v>
      </c>
      <c r="I137" s="227">
        <f t="shared" si="25"/>
        <v>248222.43</v>
      </c>
      <c r="J137" s="227">
        <f t="shared" si="26"/>
        <v>36217.480000000003</v>
      </c>
      <c r="K137" s="227">
        <f t="shared" si="27"/>
        <v>0</v>
      </c>
      <c r="L137" s="227">
        <f t="shared" si="28"/>
        <v>0</v>
      </c>
      <c r="M137" s="3">
        <f t="shared" si="29"/>
        <v>0</v>
      </c>
      <c r="N137" s="227">
        <f t="shared" si="30"/>
        <v>0</v>
      </c>
      <c r="O137" s="142">
        <f t="shared" si="31"/>
        <v>832079.81</v>
      </c>
      <c r="P137" s="3">
        <f t="shared" si="40"/>
        <v>284439.90999999997</v>
      </c>
      <c r="Q137" s="3">
        <f t="shared" si="41"/>
        <v>248222.43</v>
      </c>
      <c r="R137" s="3">
        <f t="shared" si="42"/>
        <v>36217.480000000003</v>
      </c>
      <c r="S137" s="3">
        <f t="shared" si="43"/>
        <v>0</v>
      </c>
      <c r="T137" s="3">
        <f t="shared" si="44"/>
        <v>0</v>
      </c>
      <c r="U137" s="3">
        <f>IF($A$5=1,IF($P137=0,0,ROUND(Q137/$P137*$E137,2)),Credits!D136)+Credits!J136</f>
        <v>10408.959999999999</v>
      </c>
      <c r="V137" s="3">
        <f>IF($A$5=1,IF($P137=0,0,ROUND(R137/$P137*$E137,2)),Credits!E136)+Credits!K136</f>
        <v>1517.91</v>
      </c>
      <c r="W137" s="3">
        <f>IF($A$5=1,IF($P137=0,0,ROUND(S137/$P137*$E137,2)),Credits!F136)+Credits!L136</f>
        <v>0</v>
      </c>
      <c r="X137" s="3">
        <f>IF($A$5=1,IF($P137=0,0,ROUND(T137/$P137*$E137,2)),Credits!G136)+Credits!M136</f>
        <v>0</v>
      </c>
      <c r="Y137" s="3">
        <f t="shared" si="45"/>
        <v>11926.869999999999</v>
      </c>
      <c r="AC137" s="4"/>
      <c r="AD137" s="4"/>
      <c r="AE137" s="2">
        <f t="shared" ref="AE137:AE200" si="46">+A137-AG137</f>
        <v>0</v>
      </c>
      <c r="AF137" s="170" t="s">
        <v>1120</v>
      </c>
      <c r="AG137" s="175">
        <v>441</v>
      </c>
      <c r="AH137" s="175">
        <v>1</v>
      </c>
      <c r="AI137" s="175">
        <v>1</v>
      </c>
      <c r="AJ137" s="176">
        <v>518993.23</v>
      </c>
      <c r="AK137" s="176">
        <v>0</v>
      </c>
      <c r="AL137" s="176">
        <v>28646.67</v>
      </c>
      <c r="AM137" s="176">
        <v>0</v>
      </c>
      <c r="AN137" s="177">
        <v>0</v>
      </c>
      <c r="AO137" s="177">
        <v>0</v>
      </c>
      <c r="AP137" s="177">
        <v>248222.43</v>
      </c>
      <c r="AQ137" s="177">
        <v>0</v>
      </c>
      <c r="AR137" s="177">
        <v>36217.480000000003</v>
      </c>
      <c r="AS137" s="177">
        <v>0</v>
      </c>
      <c r="AT137" s="178">
        <v>0</v>
      </c>
      <c r="AU137" s="178">
        <v>0</v>
      </c>
      <c r="AV137" s="178">
        <v>0</v>
      </c>
      <c r="AW137" s="179">
        <v>0</v>
      </c>
      <c r="AX137" s="180">
        <v>0</v>
      </c>
      <c r="AY137" s="180">
        <v>0</v>
      </c>
      <c r="AZ137" s="180">
        <v>0</v>
      </c>
      <c r="BA137" s="180">
        <v>0</v>
      </c>
      <c r="BB137" s="170">
        <f t="shared" si="38"/>
        <v>832079.81</v>
      </c>
      <c r="BC137" s="170">
        <v>832079.81</v>
      </c>
      <c r="BD137" s="2">
        <f t="shared" si="39"/>
        <v>0</v>
      </c>
    </row>
    <row r="138" spans="1:56" ht="12" x14ac:dyDescent="0.2">
      <c r="A138" s="4">
        <v>447</v>
      </c>
      <c r="B138" s="4">
        <v>1</v>
      </c>
      <c r="C138" s="2" t="s">
        <v>135</v>
      </c>
      <c r="D138" s="3">
        <v>0</v>
      </c>
      <c r="E138" s="3">
        <v>0</v>
      </c>
      <c r="F138" s="227">
        <f t="shared" ref="F138:F201" si="47">+AJ138+AK138</f>
        <v>67162.95</v>
      </c>
      <c r="G138" s="227">
        <f t="shared" ref="G138:G201" si="48">+AL138+AM138</f>
        <v>8225.18</v>
      </c>
      <c r="H138" s="227">
        <f t="shared" ref="H138:H201" si="49">+AN138+AO138</f>
        <v>0</v>
      </c>
      <c r="I138" s="227">
        <f t="shared" ref="I138:I201" si="50">+AP138+AQ138</f>
        <v>55869.41</v>
      </c>
      <c r="J138" s="227">
        <f t="shared" ref="J138:J201" si="51">+AR138+AS138</f>
        <v>14076.81</v>
      </c>
      <c r="K138" s="227">
        <f t="shared" ref="K138:K201" si="52">+AT138+AU138</f>
        <v>92085.6</v>
      </c>
      <c r="L138" s="227">
        <f t="shared" ref="L138:L201" si="53">+AV138+AW138</f>
        <v>0</v>
      </c>
      <c r="M138" s="3">
        <f t="shared" ref="M138:M201" si="54">+AX138+AY138</f>
        <v>0</v>
      </c>
      <c r="N138" s="227">
        <f t="shared" ref="N138:N201" si="55">+AZ138+BA138</f>
        <v>0</v>
      </c>
      <c r="O138" s="142">
        <f t="shared" ref="O138:O201" si="56">SUM(F138:N138)</f>
        <v>237419.95</v>
      </c>
      <c r="P138" s="3">
        <f t="shared" si="40"/>
        <v>162031.82</v>
      </c>
      <c r="Q138" s="3">
        <f t="shared" si="41"/>
        <v>55869.41</v>
      </c>
      <c r="R138" s="3">
        <f t="shared" si="42"/>
        <v>14076.81</v>
      </c>
      <c r="S138" s="3">
        <f t="shared" si="43"/>
        <v>92085.6</v>
      </c>
      <c r="T138" s="3">
        <f t="shared" si="44"/>
        <v>0</v>
      </c>
      <c r="U138" s="3">
        <f>IF($A$5=1,IF($P138=0,0,ROUND(Q138/$P138*$E138,2)),Credits!D137)+Credits!J137</f>
        <v>3257.4699999999993</v>
      </c>
      <c r="V138" s="3">
        <f>IF($A$5=1,IF($P138=0,0,ROUND(R138/$P138*$E138,2)),Credits!E137)+Credits!K137</f>
        <v>819.91000000000008</v>
      </c>
      <c r="W138" s="3">
        <f>IF($A$5=1,IF($P138=0,0,ROUND(S138/$P138*$E138,2)),Credits!F137)+Credits!L137</f>
        <v>5369.0700000000006</v>
      </c>
      <c r="X138" s="3">
        <f>IF($A$5=1,IF($P138=0,0,ROUND(T138/$P138*$E138,2)),Credits!G137)+Credits!M137</f>
        <v>0</v>
      </c>
      <c r="Y138" s="3">
        <f t="shared" si="45"/>
        <v>9446.4500000000007</v>
      </c>
      <c r="AC138" s="4"/>
      <c r="AD138" s="4"/>
      <c r="AE138" s="2">
        <f t="shared" si="46"/>
        <v>0</v>
      </c>
      <c r="AF138" s="170" t="s">
        <v>1120</v>
      </c>
      <c r="AG138" s="175">
        <v>447</v>
      </c>
      <c r="AH138" s="175">
        <v>1</v>
      </c>
      <c r="AI138" s="175">
        <v>1</v>
      </c>
      <c r="AJ138" s="176">
        <v>67162.95</v>
      </c>
      <c r="AK138" s="176">
        <v>0</v>
      </c>
      <c r="AL138" s="176">
        <v>8225.18</v>
      </c>
      <c r="AM138" s="176">
        <v>0</v>
      </c>
      <c r="AN138" s="177">
        <v>0</v>
      </c>
      <c r="AO138" s="177">
        <v>0</v>
      </c>
      <c r="AP138" s="177">
        <v>55869.41</v>
      </c>
      <c r="AQ138" s="177">
        <v>0</v>
      </c>
      <c r="AR138" s="177">
        <v>14076.81</v>
      </c>
      <c r="AS138" s="177">
        <v>0</v>
      </c>
      <c r="AT138" s="178">
        <v>92085.6</v>
      </c>
      <c r="AU138" s="178">
        <v>0</v>
      </c>
      <c r="AV138" s="178">
        <v>0</v>
      </c>
      <c r="AW138" s="179">
        <v>0</v>
      </c>
      <c r="AX138" s="180">
        <v>0</v>
      </c>
      <c r="AY138" s="180">
        <v>0</v>
      </c>
      <c r="AZ138" s="180">
        <v>0</v>
      </c>
      <c r="BA138" s="180">
        <v>0</v>
      </c>
      <c r="BB138" s="170">
        <f t="shared" ref="BB138:BB201" si="57">SUM(AJ138:BA138)</f>
        <v>237419.95</v>
      </c>
      <c r="BC138" s="170">
        <v>237419.95</v>
      </c>
      <c r="BD138" s="2">
        <f t="shared" ref="BD138:BD201" si="58">BB138-BC138</f>
        <v>0</v>
      </c>
    </row>
    <row r="139" spans="1:56" ht="12" x14ac:dyDescent="0.2">
      <c r="A139" s="4">
        <v>458</v>
      </c>
      <c r="B139" s="4">
        <v>1</v>
      </c>
      <c r="C139" s="2" t="s">
        <v>136</v>
      </c>
      <c r="D139" s="3">
        <v>0</v>
      </c>
      <c r="E139" s="3">
        <v>0</v>
      </c>
      <c r="F139" s="227">
        <f t="shared" si="47"/>
        <v>299430</v>
      </c>
      <c r="G139" s="227">
        <f t="shared" si="48"/>
        <v>9012</v>
      </c>
      <c r="H139" s="227">
        <f t="shared" si="49"/>
        <v>125000</v>
      </c>
      <c r="I139" s="227">
        <f t="shared" si="50"/>
        <v>207812</v>
      </c>
      <c r="J139" s="227">
        <f t="shared" si="51"/>
        <v>37141</v>
      </c>
      <c r="K139" s="227">
        <f t="shared" si="52"/>
        <v>95529</v>
      </c>
      <c r="L139" s="227">
        <f t="shared" si="53"/>
        <v>0</v>
      </c>
      <c r="M139" s="3">
        <f t="shared" si="54"/>
        <v>0</v>
      </c>
      <c r="N139" s="227">
        <f t="shared" si="55"/>
        <v>0</v>
      </c>
      <c r="O139" s="142">
        <f t="shared" si="56"/>
        <v>773924</v>
      </c>
      <c r="P139" s="3">
        <f t="shared" si="40"/>
        <v>465482</v>
      </c>
      <c r="Q139" s="3">
        <f t="shared" si="41"/>
        <v>332812</v>
      </c>
      <c r="R139" s="3">
        <f t="shared" si="42"/>
        <v>37141</v>
      </c>
      <c r="S139" s="3">
        <f t="shared" si="43"/>
        <v>95529</v>
      </c>
      <c r="T139" s="3">
        <f t="shared" si="44"/>
        <v>0</v>
      </c>
      <c r="U139" s="3">
        <f>IF($A$5=1,IF($P139=0,0,ROUND(Q139/$P139*$E139,2)),Credits!D138)+Credits!J138</f>
        <v>14917.169999999998</v>
      </c>
      <c r="V139" s="3">
        <f>IF($A$5=1,IF($P139=0,0,ROUND(R139/$P139*$E139,2)),Credits!E138)+Credits!K138</f>
        <v>1664.9699999999998</v>
      </c>
      <c r="W139" s="3">
        <f>IF($A$5=1,IF($P139=0,0,ROUND(S139/$P139*$E139,2)),Credits!F138)+Credits!L138</f>
        <v>4281.8499999999995</v>
      </c>
      <c r="X139" s="3">
        <f>IF($A$5=1,IF($P139=0,0,ROUND(T139/$P139*$E139,2)),Credits!G138)+Credits!M138</f>
        <v>0</v>
      </c>
      <c r="Y139" s="3">
        <f t="shared" si="45"/>
        <v>20863.989999999998</v>
      </c>
      <c r="AC139" s="4"/>
      <c r="AD139" s="4"/>
      <c r="AE139" s="2">
        <f t="shared" si="46"/>
        <v>0</v>
      </c>
      <c r="AF139" s="170" t="s">
        <v>1120</v>
      </c>
      <c r="AG139" s="175">
        <v>458</v>
      </c>
      <c r="AH139" s="175">
        <v>1</v>
      </c>
      <c r="AI139" s="175">
        <v>1</v>
      </c>
      <c r="AJ139" s="176">
        <v>299430</v>
      </c>
      <c r="AK139" s="176">
        <v>0</v>
      </c>
      <c r="AL139" s="176">
        <v>9012</v>
      </c>
      <c r="AM139" s="176">
        <v>0</v>
      </c>
      <c r="AN139" s="177">
        <v>125000</v>
      </c>
      <c r="AO139" s="177">
        <v>0</v>
      </c>
      <c r="AP139" s="177">
        <v>207812</v>
      </c>
      <c r="AQ139" s="177">
        <v>0</v>
      </c>
      <c r="AR139" s="177">
        <v>37141</v>
      </c>
      <c r="AS139" s="177">
        <v>0</v>
      </c>
      <c r="AT139" s="178">
        <v>95529</v>
      </c>
      <c r="AU139" s="178">
        <v>0</v>
      </c>
      <c r="AV139" s="178">
        <v>0</v>
      </c>
      <c r="AW139" s="179">
        <v>0</v>
      </c>
      <c r="AX139" s="180">
        <v>0</v>
      </c>
      <c r="AY139" s="180">
        <v>0</v>
      </c>
      <c r="AZ139" s="180">
        <v>0</v>
      </c>
      <c r="BA139" s="180">
        <v>0</v>
      </c>
      <c r="BB139" s="170">
        <f t="shared" si="57"/>
        <v>773924</v>
      </c>
      <c r="BC139" s="170">
        <v>773922.17</v>
      </c>
      <c r="BD139" s="2">
        <f t="shared" si="58"/>
        <v>1.8299999999580905</v>
      </c>
    </row>
    <row r="140" spans="1:56" ht="12" x14ac:dyDescent="0.2">
      <c r="A140" s="4">
        <v>463</v>
      </c>
      <c r="B140" s="4">
        <v>1</v>
      </c>
      <c r="C140" s="2" t="s">
        <v>1185</v>
      </c>
      <c r="D140" s="3">
        <v>0</v>
      </c>
      <c r="E140" s="3">
        <v>0</v>
      </c>
      <c r="F140" s="227">
        <f t="shared" si="47"/>
        <v>411763</v>
      </c>
      <c r="G140" s="227">
        <f t="shared" si="48"/>
        <v>75605</v>
      </c>
      <c r="H140" s="227">
        <f t="shared" si="49"/>
        <v>0</v>
      </c>
      <c r="I140" s="227">
        <f t="shared" si="50"/>
        <v>96977</v>
      </c>
      <c r="J140" s="227">
        <f t="shared" si="51"/>
        <v>60954</v>
      </c>
      <c r="K140" s="227">
        <f t="shared" si="52"/>
        <v>1104647</v>
      </c>
      <c r="L140" s="227">
        <f t="shared" si="53"/>
        <v>224121</v>
      </c>
      <c r="M140" s="3">
        <f t="shared" si="54"/>
        <v>0</v>
      </c>
      <c r="N140" s="227">
        <f t="shared" si="55"/>
        <v>0</v>
      </c>
      <c r="O140" s="142">
        <f t="shared" si="56"/>
        <v>1974067</v>
      </c>
      <c r="P140" s="3">
        <f t="shared" si="40"/>
        <v>1486699</v>
      </c>
      <c r="Q140" s="3">
        <f t="shared" si="41"/>
        <v>96977</v>
      </c>
      <c r="R140" s="3">
        <f t="shared" si="42"/>
        <v>60954</v>
      </c>
      <c r="S140" s="3">
        <f t="shared" si="43"/>
        <v>1328768</v>
      </c>
      <c r="T140" s="3">
        <f t="shared" si="44"/>
        <v>0</v>
      </c>
      <c r="U140" s="3">
        <f>IF($A$5=1,IF($P140=0,0,ROUND(Q140/$P140*$E140,2)),Credits!D139)+Credits!J139</f>
        <v>1744.41</v>
      </c>
      <c r="V140" s="3">
        <f>IF($A$5=1,IF($P140=0,0,ROUND(R140/$P140*$E140,2)),Credits!E139)+Credits!K139</f>
        <v>1096.9499999999998</v>
      </c>
      <c r="W140" s="3">
        <f>IF($A$5=1,IF($P140=0,0,ROUND(S140/$P140*$E140,2)),Credits!F139)+Credits!L139</f>
        <v>23906.78</v>
      </c>
      <c r="X140" s="3">
        <f>IF($A$5=1,IF($P140=0,0,ROUND(T140/$P140*$E140,2)),Credits!G139)+Credits!M139</f>
        <v>0</v>
      </c>
      <c r="Y140" s="3">
        <f t="shared" si="45"/>
        <v>26748.14</v>
      </c>
      <c r="AC140" s="4"/>
      <c r="AD140" s="4"/>
      <c r="AE140" s="2">
        <f t="shared" si="46"/>
        <v>0</v>
      </c>
      <c r="AF140" s="170" t="s">
        <v>1120</v>
      </c>
      <c r="AG140" s="175">
        <v>463</v>
      </c>
      <c r="AH140" s="175">
        <v>1</v>
      </c>
      <c r="AI140" s="175">
        <v>1</v>
      </c>
      <c r="AJ140" s="176">
        <v>411763</v>
      </c>
      <c r="AK140" s="176">
        <v>0</v>
      </c>
      <c r="AL140" s="176">
        <v>75605</v>
      </c>
      <c r="AM140" s="176">
        <v>0</v>
      </c>
      <c r="AN140" s="177">
        <v>0</v>
      </c>
      <c r="AO140" s="177">
        <v>0</v>
      </c>
      <c r="AP140" s="177">
        <v>96977</v>
      </c>
      <c r="AQ140" s="177">
        <v>0</v>
      </c>
      <c r="AR140" s="177">
        <v>60954</v>
      </c>
      <c r="AS140" s="177">
        <v>0</v>
      </c>
      <c r="AT140" s="178">
        <v>1104647</v>
      </c>
      <c r="AU140" s="178">
        <v>0</v>
      </c>
      <c r="AV140" s="178">
        <v>224121</v>
      </c>
      <c r="AW140" s="179">
        <v>0</v>
      </c>
      <c r="AX140" s="180">
        <v>0</v>
      </c>
      <c r="AY140" s="180">
        <v>0</v>
      </c>
      <c r="AZ140" s="180">
        <v>0</v>
      </c>
      <c r="BA140" s="180">
        <v>0</v>
      </c>
      <c r="BB140" s="170">
        <f t="shared" si="57"/>
        <v>1974067</v>
      </c>
      <c r="BC140" s="170">
        <v>1974067.06</v>
      </c>
      <c r="BD140" s="2">
        <f t="shared" si="58"/>
        <v>-6.0000000055879354E-2</v>
      </c>
    </row>
    <row r="141" spans="1:56" ht="12" x14ac:dyDescent="0.2">
      <c r="A141" s="4">
        <v>465</v>
      </c>
      <c r="B141" s="4">
        <v>1</v>
      </c>
      <c r="C141" s="2" t="s">
        <v>138</v>
      </c>
      <c r="D141" s="3">
        <v>0</v>
      </c>
      <c r="E141" s="3">
        <v>0</v>
      </c>
      <c r="F141" s="227">
        <f t="shared" si="47"/>
        <v>710040</v>
      </c>
      <c r="G141" s="227">
        <f t="shared" si="48"/>
        <v>161044</v>
      </c>
      <c r="H141" s="227">
        <f t="shared" si="49"/>
        <v>0</v>
      </c>
      <c r="I141" s="227">
        <f t="shared" si="50"/>
        <v>436637</v>
      </c>
      <c r="J141" s="227">
        <f t="shared" si="51"/>
        <v>143388</v>
      </c>
      <c r="K141" s="227">
        <f t="shared" si="52"/>
        <v>1223482</v>
      </c>
      <c r="L141" s="227">
        <f t="shared" si="53"/>
        <v>158140</v>
      </c>
      <c r="M141" s="3">
        <f t="shared" si="54"/>
        <v>0</v>
      </c>
      <c r="N141" s="227">
        <f t="shared" si="55"/>
        <v>0</v>
      </c>
      <c r="O141" s="142">
        <f t="shared" si="56"/>
        <v>2832731</v>
      </c>
      <c r="P141" s="3">
        <f t="shared" si="40"/>
        <v>1961647</v>
      </c>
      <c r="Q141" s="3">
        <f t="shared" si="41"/>
        <v>436637</v>
      </c>
      <c r="R141" s="3">
        <f t="shared" si="42"/>
        <v>143388</v>
      </c>
      <c r="S141" s="3">
        <f t="shared" si="43"/>
        <v>1381622</v>
      </c>
      <c r="T141" s="3">
        <f t="shared" si="44"/>
        <v>0</v>
      </c>
      <c r="U141" s="3">
        <f>IF($A$5=1,IF($P141=0,0,ROUND(Q141/$P141*$E141,2)),Credits!D140)+Credits!J140</f>
        <v>4763.03</v>
      </c>
      <c r="V141" s="3">
        <f>IF($A$5=1,IF($P141=0,0,ROUND(R141/$P141*$E141,2)),Credits!E140)+Credits!K140</f>
        <v>1563.8299999999997</v>
      </c>
      <c r="W141" s="3">
        <f>IF($A$5=1,IF($P141=0,0,ROUND(S141/$P141*$E141,2)),Credits!F140)+Credits!L140</f>
        <v>14912.11</v>
      </c>
      <c r="X141" s="3">
        <f>IF($A$5=1,IF($P141=0,0,ROUND(T141/$P141*$E141,2)),Credits!G140)+Credits!M140</f>
        <v>0</v>
      </c>
      <c r="Y141" s="3">
        <f t="shared" si="45"/>
        <v>21238.97</v>
      </c>
      <c r="AC141" s="4"/>
      <c r="AD141" s="4"/>
      <c r="AE141" s="2">
        <f t="shared" si="46"/>
        <v>0</v>
      </c>
      <c r="AF141" s="170" t="s">
        <v>1120</v>
      </c>
      <c r="AG141" s="175">
        <v>465</v>
      </c>
      <c r="AH141" s="175">
        <v>1</v>
      </c>
      <c r="AI141" s="175">
        <v>1</v>
      </c>
      <c r="AJ141" s="176">
        <v>710040</v>
      </c>
      <c r="AK141" s="176">
        <v>0</v>
      </c>
      <c r="AL141" s="176">
        <v>161044</v>
      </c>
      <c r="AM141" s="176">
        <v>0</v>
      </c>
      <c r="AN141" s="177">
        <v>0</v>
      </c>
      <c r="AO141" s="177">
        <v>0</v>
      </c>
      <c r="AP141" s="177">
        <v>436637</v>
      </c>
      <c r="AQ141" s="177">
        <v>0</v>
      </c>
      <c r="AR141" s="177">
        <v>143388</v>
      </c>
      <c r="AS141" s="177">
        <v>0</v>
      </c>
      <c r="AT141" s="178">
        <v>1223482</v>
      </c>
      <c r="AU141" s="178">
        <v>0</v>
      </c>
      <c r="AV141" s="178">
        <v>158140</v>
      </c>
      <c r="AW141" s="179">
        <v>0</v>
      </c>
      <c r="AX141" s="180">
        <v>0</v>
      </c>
      <c r="AY141" s="180">
        <v>0</v>
      </c>
      <c r="AZ141" s="180">
        <v>0</v>
      </c>
      <c r="BA141" s="180">
        <v>0</v>
      </c>
      <c r="BB141" s="170">
        <f t="shared" si="57"/>
        <v>2832731</v>
      </c>
      <c r="BC141" s="170">
        <v>2832730.45</v>
      </c>
      <c r="BD141" s="2">
        <f t="shared" si="58"/>
        <v>0.54999999981373549</v>
      </c>
    </row>
    <row r="142" spans="1:56" ht="12" x14ac:dyDescent="0.2">
      <c r="A142" s="4">
        <v>466</v>
      </c>
      <c r="B142" s="4">
        <v>1</v>
      </c>
      <c r="C142" s="2" t="s">
        <v>139</v>
      </c>
      <c r="D142" s="3">
        <v>0</v>
      </c>
      <c r="E142" s="3">
        <v>0</v>
      </c>
      <c r="F142" s="227">
        <f t="shared" si="47"/>
        <v>202033</v>
      </c>
      <c r="G142" s="227">
        <f t="shared" si="48"/>
        <v>474875</v>
      </c>
      <c r="H142" s="227">
        <f t="shared" si="49"/>
        <v>0</v>
      </c>
      <c r="I142" s="227">
        <f t="shared" si="50"/>
        <v>450210</v>
      </c>
      <c r="J142" s="227">
        <f t="shared" si="51"/>
        <v>123184</v>
      </c>
      <c r="K142" s="227">
        <f t="shared" si="52"/>
        <v>1186599</v>
      </c>
      <c r="L142" s="227">
        <f t="shared" si="53"/>
        <v>0</v>
      </c>
      <c r="M142" s="3">
        <f t="shared" si="54"/>
        <v>0</v>
      </c>
      <c r="N142" s="227">
        <f t="shared" si="55"/>
        <v>0</v>
      </c>
      <c r="O142" s="142">
        <f t="shared" si="56"/>
        <v>2436901</v>
      </c>
      <c r="P142" s="3">
        <f t="shared" si="40"/>
        <v>1759993</v>
      </c>
      <c r="Q142" s="3">
        <f t="shared" si="41"/>
        <v>450210</v>
      </c>
      <c r="R142" s="3">
        <f t="shared" si="42"/>
        <v>123184</v>
      </c>
      <c r="S142" s="3">
        <f t="shared" si="43"/>
        <v>1186599</v>
      </c>
      <c r="T142" s="3">
        <f t="shared" si="44"/>
        <v>0</v>
      </c>
      <c r="U142" s="3">
        <f>IF($A$5=1,IF($P142=0,0,ROUND(Q142/$P142*$E142,2)),Credits!D141)+Credits!J141</f>
        <v>7749.39</v>
      </c>
      <c r="V142" s="3">
        <f>IF($A$5=1,IF($P142=0,0,ROUND(R142/$P142*$E142,2)),Credits!E141)+Credits!K141</f>
        <v>2120.44</v>
      </c>
      <c r="W142" s="3">
        <f>IF($A$5=1,IF($P142=0,0,ROUND(S142/$P142*$E142,2)),Credits!F141)+Credits!L141</f>
        <v>20408.419999999998</v>
      </c>
      <c r="X142" s="3">
        <f>IF($A$5=1,IF($P142=0,0,ROUND(T142/$P142*$E142,2)),Credits!G141)+Credits!M141</f>
        <v>0</v>
      </c>
      <c r="Y142" s="3">
        <f t="shared" si="45"/>
        <v>30278.25</v>
      </c>
      <c r="AC142" s="4"/>
      <c r="AD142" s="4"/>
      <c r="AE142" s="2">
        <f t="shared" si="46"/>
        <v>0</v>
      </c>
      <c r="AF142" s="170" t="s">
        <v>1120</v>
      </c>
      <c r="AG142" s="175">
        <v>466</v>
      </c>
      <c r="AH142" s="175">
        <v>1</v>
      </c>
      <c r="AI142" s="175">
        <v>1</v>
      </c>
      <c r="AJ142" s="176">
        <v>202033</v>
      </c>
      <c r="AK142" s="176">
        <v>0</v>
      </c>
      <c r="AL142" s="176">
        <v>474875</v>
      </c>
      <c r="AM142" s="176">
        <v>0</v>
      </c>
      <c r="AN142" s="177">
        <v>0</v>
      </c>
      <c r="AO142" s="177">
        <v>0</v>
      </c>
      <c r="AP142" s="177">
        <v>450210</v>
      </c>
      <c r="AQ142" s="177">
        <v>0</v>
      </c>
      <c r="AR142" s="177">
        <v>123184</v>
      </c>
      <c r="AS142" s="177">
        <v>0</v>
      </c>
      <c r="AT142" s="178">
        <v>1186599</v>
      </c>
      <c r="AU142" s="178">
        <v>0</v>
      </c>
      <c r="AV142" s="178">
        <v>0</v>
      </c>
      <c r="AW142" s="179">
        <v>0</v>
      </c>
      <c r="AX142" s="180">
        <v>0</v>
      </c>
      <c r="AY142" s="180">
        <v>0</v>
      </c>
      <c r="AZ142" s="180">
        <v>0</v>
      </c>
      <c r="BA142" s="180">
        <v>0</v>
      </c>
      <c r="BB142" s="170">
        <f t="shared" si="57"/>
        <v>2436901</v>
      </c>
      <c r="BC142" s="170">
        <v>2436901.0099999998</v>
      </c>
      <c r="BD142" s="2">
        <f t="shared" si="58"/>
        <v>-9.9999997764825821E-3</v>
      </c>
    </row>
    <row r="143" spans="1:56" ht="12" x14ac:dyDescent="0.2">
      <c r="A143" s="4">
        <v>473</v>
      </c>
      <c r="B143" s="4">
        <v>1</v>
      </c>
      <c r="C143" s="2" t="s">
        <v>140</v>
      </c>
      <c r="D143" s="3">
        <v>0</v>
      </c>
      <c r="E143" s="3">
        <v>0</v>
      </c>
      <c r="F143" s="227">
        <f t="shared" si="47"/>
        <v>270.51</v>
      </c>
      <c r="G143" s="227">
        <f t="shared" si="48"/>
        <v>190917.73</v>
      </c>
      <c r="H143" s="227">
        <f t="shared" si="49"/>
        <v>0</v>
      </c>
      <c r="I143" s="227">
        <f t="shared" si="50"/>
        <v>181154.03</v>
      </c>
      <c r="J143" s="227">
        <f t="shared" si="51"/>
        <v>45244.959999999999</v>
      </c>
      <c r="K143" s="227">
        <f t="shared" si="52"/>
        <v>667891.93999999994</v>
      </c>
      <c r="L143" s="227">
        <f t="shared" si="53"/>
        <v>0</v>
      </c>
      <c r="M143" s="3">
        <f t="shared" si="54"/>
        <v>0</v>
      </c>
      <c r="N143" s="227">
        <f t="shared" si="55"/>
        <v>0</v>
      </c>
      <c r="O143" s="142">
        <f t="shared" si="56"/>
        <v>1085479.17</v>
      </c>
      <c r="P143" s="3">
        <f t="shared" si="40"/>
        <v>894290.92999999993</v>
      </c>
      <c r="Q143" s="3">
        <f t="shared" si="41"/>
        <v>181154.03</v>
      </c>
      <c r="R143" s="3">
        <f t="shared" si="42"/>
        <v>45244.959999999999</v>
      </c>
      <c r="S143" s="3">
        <f t="shared" si="43"/>
        <v>667891.93999999994</v>
      </c>
      <c r="T143" s="3">
        <f t="shared" si="44"/>
        <v>0</v>
      </c>
      <c r="U143" s="3">
        <f>IF($A$5=1,IF($P143=0,0,ROUND(Q143/$P143*$E143,2)),Credits!D142)+Credits!J142</f>
        <v>1431.44</v>
      </c>
      <c r="V143" s="3">
        <f>IF($A$5=1,IF($P143=0,0,ROUND(R143/$P143*$E143,2)),Credits!E142)+Credits!K142</f>
        <v>358.4</v>
      </c>
      <c r="W143" s="3">
        <f>IF($A$5=1,IF($P143=0,0,ROUND(S143/$P143*$E143,2)),Credits!F142)+Credits!L142</f>
        <v>5288.8499999999995</v>
      </c>
      <c r="X143" s="3">
        <f>IF($A$5=1,IF($P143=0,0,ROUND(T143/$P143*$E143,2)),Credits!G142)+Credits!M142</f>
        <v>0</v>
      </c>
      <c r="Y143" s="3">
        <f t="shared" si="45"/>
        <v>7078.69</v>
      </c>
      <c r="AC143" s="4"/>
      <c r="AD143" s="4"/>
      <c r="AE143" s="2">
        <f t="shared" si="46"/>
        <v>0</v>
      </c>
      <c r="AF143" s="170" t="s">
        <v>1120</v>
      </c>
      <c r="AG143" s="175">
        <v>473</v>
      </c>
      <c r="AH143" s="175">
        <v>1</v>
      </c>
      <c r="AI143" s="175">
        <v>1</v>
      </c>
      <c r="AJ143" s="176">
        <v>270.51</v>
      </c>
      <c r="AK143" s="176">
        <v>0</v>
      </c>
      <c r="AL143" s="176">
        <v>190917.73</v>
      </c>
      <c r="AM143" s="176">
        <v>0</v>
      </c>
      <c r="AN143" s="177">
        <v>0</v>
      </c>
      <c r="AO143" s="177">
        <v>0</v>
      </c>
      <c r="AP143" s="177">
        <v>181154.03</v>
      </c>
      <c r="AQ143" s="177">
        <v>0</v>
      </c>
      <c r="AR143" s="177">
        <v>45244.959999999999</v>
      </c>
      <c r="AS143" s="177">
        <v>0</v>
      </c>
      <c r="AT143" s="178">
        <v>667891.93999999994</v>
      </c>
      <c r="AU143" s="178">
        <v>0</v>
      </c>
      <c r="AV143" s="178">
        <v>0</v>
      </c>
      <c r="AW143" s="179">
        <v>0</v>
      </c>
      <c r="AX143" s="180">
        <v>0</v>
      </c>
      <c r="AY143" s="180">
        <v>0</v>
      </c>
      <c r="AZ143" s="180">
        <v>0</v>
      </c>
      <c r="BA143" s="180">
        <v>0</v>
      </c>
      <c r="BB143" s="170">
        <f t="shared" si="57"/>
        <v>1085479.17</v>
      </c>
      <c r="BC143" s="170">
        <v>1085479.17</v>
      </c>
      <c r="BD143" s="2">
        <f t="shared" si="58"/>
        <v>0</v>
      </c>
    </row>
    <row r="144" spans="1:56" ht="12" x14ac:dyDescent="0.2">
      <c r="A144" s="4">
        <v>477</v>
      </c>
      <c r="B144" s="4">
        <v>1</v>
      </c>
      <c r="C144" s="2" t="s">
        <v>141</v>
      </c>
      <c r="D144" s="3">
        <v>0</v>
      </c>
      <c r="E144" s="3">
        <v>0</v>
      </c>
      <c r="F144" s="227">
        <f t="shared" si="47"/>
        <v>170821.78</v>
      </c>
      <c r="G144" s="227">
        <f t="shared" si="48"/>
        <v>883131.09</v>
      </c>
      <c r="H144" s="227">
        <f t="shared" si="49"/>
        <v>0</v>
      </c>
      <c r="I144" s="227">
        <f t="shared" si="50"/>
        <v>1038417.71</v>
      </c>
      <c r="J144" s="227">
        <f t="shared" si="51"/>
        <v>239308.35</v>
      </c>
      <c r="K144" s="227">
        <f t="shared" si="52"/>
        <v>1504099.93</v>
      </c>
      <c r="L144" s="227">
        <f t="shared" si="53"/>
        <v>1031096.6</v>
      </c>
      <c r="M144" s="3">
        <f t="shared" si="54"/>
        <v>0</v>
      </c>
      <c r="N144" s="227">
        <f t="shared" si="55"/>
        <v>0</v>
      </c>
      <c r="O144" s="142">
        <f t="shared" si="56"/>
        <v>4866875.459999999</v>
      </c>
      <c r="P144" s="3">
        <f t="shared" si="40"/>
        <v>3812922.5900000003</v>
      </c>
      <c r="Q144" s="3">
        <f t="shared" si="41"/>
        <v>1038417.71</v>
      </c>
      <c r="R144" s="3">
        <f t="shared" si="42"/>
        <v>239308.35</v>
      </c>
      <c r="S144" s="3">
        <f t="shared" si="43"/>
        <v>2535196.5299999998</v>
      </c>
      <c r="T144" s="3">
        <f t="shared" si="44"/>
        <v>0</v>
      </c>
      <c r="U144" s="3">
        <f>IF($A$5=1,IF($P144=0,0,ROUND(Q144/$P144*$E144,2)),Credits!D143)+Credits!J143</f>
        <v>16722.900000000001</v>
      </c>
      <c r="V144" s="3">
        <f>IF($A$5=1,IF($P144=0,0,ROUND(R144/$P144*$E144,2)),Credits!E143)+Credits!K143</f>
        <v>3854.98</v>
      </c>
      <c r="W144" s="3">
        <f>IF($A$5=1,IF($P144=0,0,ROUND(S144/$P144*$E144,2)),Credits!F143)+Credits!L143</f>
        <v>40835.47</v>
      </c>
      <c r="X144" s="3">
        <f>IF($A$5=1,IF($P144=0,0,ROUND(T144/$P144*$E144,2)),Credits!G143)+Credits!M143</f>
        <v>0</v>
      </c>
      <c r="Y144" s="3">
        <f t="shared" si="45"/>
        <v>61413.350000000006</v>
      </c>
      <c r="AC144" s="4"/>
      <c r="AD144" s="4"/>
      <c r="AE144" s="2">
        <f t="shared" si="46"/>
        <v>0</v>
      </c>
      <c r="AF144" s="170" t="s">
        <v>1120</v>
      </c>
      <c r="AG144" s="175">
        <v>477</v>
      </c>
      <c r="AH144" s="175">
        <v>1</v>
      </c>
      <c r="AI144" s="175">
        <v>1</v>
      </c>
      <c r="AJ144" s="176">
        <v>170821.78</v>
      </c>
      <c r="AK144" s="176">
        <v>0</v>
      </c>
      <c r="AL144" s="176">
        <v>883131.09</v>
      </c>
      <c r="AM144" s="176">
        <v>0</v>
      </c>
      <c r="AN144" s="177">
        <v>0</v>
      </c>
      <c r="AO144" s="177">
        <v>0</v>
      </c>
      <c r="AP144" s="177">
        <v>1038417.71</v>
      </c>
      <c r="AQ144" s="177">
        <v>0</v>
      </c>
      <c r="AR144" s="177">
        <v>239308.35</v>
      </c>
      <c r="AS144" s="177">
        <v>0</v>
      </c>
      <c r="AT144" s="178">
        <v>1504099.93</v>
      </c>
      <c r="AU144" s="178">
        <v>0</v>
      </c>
      <c r="AV144" s="178">
        <v>1031096.6</v>
      </c>
      <c r="AW144" s="179">
        <v>0</v>
      </c>
      <c r="AX144" s="180">
        <v>0</v>
      </c>
      <c r="AY144" s="180">
        <v>0</v>
      </c>
      <c r="AZ144" s="180">
        <v>0</v>
      </c>
      <c r="BA144" s="180">
        <v>0</v>
      </c>
      <c r="BB144" s="170">
        <f t="shared" si="57"/>
        <v>4866875.459999999</v>
      </c>
      <c r="BC144" s="170">
        <v>4866875.46</v>
      </c>
      <c r="BD144" s="2">
        <f t="shared" si="58"/>
        <v>0</v>
      </c>
    </row>
    <row r="145" spans="1:56" ht="12" x14ac:dyDescent="0.2">
      <c r="A145" s="4">
        <v>480</v>
      </c>
      <c r="B145" s="4">
        <v>1</v>
      </c>
      <c r="C145" s="2" t="s">
        <v>142</v>
      </c>
      <c r="D145" s="3">
        <v>0</v>
      </c>
      <c r="E145" s="3">
        <v>0</v>
      </c>
      <c r="F145" s="227">
        <f t="shared" si="47"/>
        <v>334137.34000000003</v>
      </c>
      <c r="G145" s="227">
        <f t="shared" si="48"/>
        <v>99492.89</v>
      </c>
      <c r="H145" s="227">
        <f t="shared" si="49"/>
        <v>0</v>
      </c>
      <c r="I145" s="227">
        <f t="shared" si="50"/>
        <v>286227.48</v>
      </c>
      <c r="J145" s="227">
        <f t="shared" si="51"/>
        <v>73339.12</v>
      </c>
      <c r="K145" s="227">
        <f t="shared" si="52"/>
        <v>905261.62</v>
      </c>
      <c r="L145" s="227">
        <f t="shared" si="53"/>
        <v>0</v>
      </c>
      <c r="M145" s="3">
        <f t="shared" si="54"/>
        <v>0</v>
      </c>
      <c r="N145" s="227">
        <f t="shared" si="55"/>
        <v>0</v>
      </c>
      <c r="O145" s="142">
        <f t="shared" si="56"/>
        <v>1698458.45</v>
      </c>
      <c r="P145" s="3">
        <f t="shared" si="40"/>
        <v>1264828.22</v>
      </c>
      <c r="Q145" s="3">
        <f t="shared" si="41"/>
        <v>286227.48</v>
      </c>
      <c r="R145" s="3">
        <f t="shared" si="42"/>
        <v>73339.12</v>
      </c>
      <c r="S145" s="3">
        <f t="shared" si="43"/>
        <v>905261.62</v>
      </c>
      <c r="T145" s="3">
        <f t="shared" si="44"/>
        <v>0</v>
      </c>
      <c r="U145" s="3">
        <f>IF($A$5=1,IF($P145=0,0,ROUND(Q145/$P145*$E145,2)),Credits!D144)+Credits!J144</f>
        <v>2783.7299999999996</v>
      </c>
      <c r="V145" s="3">
        <f>IF($A$5=1,IF($P145=0,0,ROUND(R145/$P145*$E145,2)),Credits!E144)+Credits!K144</f>
        <v>713.52999999999986</v>
      </c>
      <c r="W145" s="3">
        <f>IF($A$5=1,IF($P145=0,0,ROUND(S145/$P145*$E145,2)),Credits!F144)+Credits!L144</f>
        <v>8805.5600000000013</v>
      </c>
      <c r="X145" s="3">
        <f>IF($A$5=1,IF($P145=0,0,ROUND(T145/$P145*$E145,2)),Credits!G144)+Credits!M144</f>
        <v>0</v>
      </c>
      <c r="Y145" s="3">
        <f t="shared" si="45"/>
        <v>12302.82</v>
      </c>
      <c r="AC145" s="4"/>
      <c r="AD145" s="4"/>
      <c r="AE145" s="2">
        <f t="shared" si="46"/>
        <v>0</v>
      </c>
      <c r="AF145" s="170" t="s">
        <v>1120</v>
      </c>
      <c r="AG145" s="175">
        <v>480</v>
      </c>
      <c r="AH145" s="175">
        <v>1</v>
      </c>
      <c r="AI145" s="175">
        <v>1</v>
      </c>
      <c r="AJ145" s="176">
        <v>334137.34000000003</v>
      </c>
      <c r="AK145" s="176">
        <v>0</v>
      </c>
      <c r="AL145" s="176">
        <v>99492.89</v>
      </c>
      <c r="AM145" s="176">
        <v>0</v>
      </c>
      <c r="AN145" s="177">
        <v>0</v>
      </c>
      <c r="AO145" s="177">
        <v>0</v>
      </c>
      <c r="AP145" s="177">
        <v>286227.48</v>
      </c>
      <c r="AQ145" s="177">
        <v>0</v>
      </c>
      <c r="AR145" s="177">
        <v>73339.12</v>
      </c>
      <c r="AS145" s="177">
        <v>0</v>
      </c>
      <c r="AT145" s="178">
        <v>905261.62</v>
      </c>
      <c r="AU145" s="178">
        <v>0</v>
      </c>
      <c r="AV145" s="178">
        <v>0</v>
      </c>
      <c r="AW145" s="179">
        <v>0</v>
      </c>
      <c r="AX145" s="180">
        <v>0</v>
      </c>
      <c r="AY145" s="180">
        <v>0</v>
      </c>
      <c r="AZ145" s="180">
        <v>0</v>
      </c>
      <c r="BA145" s="180">
        <v>0</v>
      </c>
      <c r="BB145" s="170">
        <f t="shared" si="57"/>
        <v>1698458.45</v>
      </c>
      <c r="BC145" s="170">
        <v>1698458.45</v>
      </c>
      <c r="BD145" s="2">
        <f t="shared" si="58"/>
        <v>0</v>
      </c>
    </row>
    <row r="146" spans="1:56" ht="12" x14ac:dyDescent="0.2">
      <c r="A146" s="4">
        <v>482</v>
      </c>
      <c r="B146" s="4">
        <v>1</v>
      </c>
      <c r="C146" s="2" t="s">
        <v>143</v>
      </c>
      <c r="D146" s="3">
        <v>0</v>
      </c>
      <c r="E146" s="3">
        <v>0</v>
      </c>
      <c r="F146" s="227">
        <f t="shared" si="47"/>
        <v>1021084.18</v>
      </c>
      <c r="G146" s="227">
        <f t="shared" si="48"/>
        <v>608000.80000000005</v>
      </c>
      <c r="H146" s="227">
        <f t="shared" si="49"/>
        <v>0</v>
      </c>
      <c r="I146" s="227">
        <f t="shared" si="50"/>
        <v>414774.92</v>
      </c>
      <c r="J146" s="227">
        <f t="shared" si="51"/>
        <v>169315.02</v>
      </c>
      <c r="K146" s="227">
        <f t="shared" si="52"/>
        <v>0</v>
      </c>
      <c r="L146" s="227">
        <f t="shared" si="53"/>
        <v>793024.58</v>
      </c>
      <c r="M146" s="3">
        <f t="shared" si="54"/>
        <v>0</v>
      </c>
      <c r="N146" s="227">
        <f t="shared" si="55"/>
        <v>267051.86</v>
      </c>
      <c r="O146" s="142">
        <f t="shared" si="56"/>
        <v>3273251.36</v>
      </c>
      <c r="P146" s="3">
        <f t="shared" si="40"/>
        <v>1644166.38</v>
      </c>
      <c r="Q146" s="3">
        <f t="shared" si="41"/>
        <v>414774.92</v>
      </c>
      <c r="R146" s="3">
        <f t="shared" si="42"/>
        <v>169315.02</v>
      </c>
      <c r="S146" s="3">
        <f t="shared" si="43"/>
        <v>793024.58</v>
      </c>
      <c r="T146" s="3">
        <f t="shared" si="44"/>
        <v>267051.86</v>
      </c>
      <c r="U146" s="3">
        <f>IF($A$5=1,IF($P146=0,0,ROUND(Q146/$P146*$E146,2)),Credits!D145)+Credits!J145</f>
        <v>18010.18</v>
      </c>
      <c r="V146" s="3">
        <f>IF($A$5=1,IF($P146=0,0,ROUND(R146/$P146*$E146,2)),Credits!E145)+Credits!K145</f>
        <v>7351.0700000000006</v>
      </c>
      <c r="W146" s="3">
        <f>IF($A$5=1,IF($P146=0,0,ROUND(S146/$P146*$E146,2)),Credits!F145)+Credits!L145</f>
        <v>34363.81</v>
      </c>
      <c r="X146" s="3">
        <f>IF($A$5=1,IF($P146=0,0,ROUND(T146/$P146*$E146,2)),Credits!G145)+Credits!M145</f>
        <v>11570.41</v>
      </c>
      <c r="Y146" s="3">
        <f t="shared" si="45"/>
        <v>71295.47</v>
      </c>
      <c r="AC146" s="4"/>
      <c r="AD146" s="4"/>
      <c r="AE146" s="2">
        <f t="shared" si="46"/>
        <v>0</v>
      </c>
      <c r="AF146" s="170" t="s">
        <v>1120</v>
      </c>
      <c r="AG146" s="175">
        <v>482</v>
      </c>
      <c r="AH146" s="175">
        <v>1</v>
      </c>
      <c r="AI146" s="175">
        <v>1</v>
      </c>
      <c r="AJ146" s="176">
        <v>1021084.18</v>
      </c>
      <c r="AK146" s="176">
        <v>0</v>
      </c>
      <c r="AL146" s="176">
        <v>608000.80000000005</v>
      </c>
      <c r="AM146" s="176">
        <v>0</v>
      </c>
      <c r="AN146" s="177">
        <v>0</v>
      </c>
      <c r="AO146" s="177">
        <v>0</v>
      </c>
      <c r="AP146" s="177">
        <v>414774.92</v>
      </c>
      <c r="AQ146" s="177">
        <v>0</v>
      </c>
      <c r="AR146" s="177">
        <v>169315.02</v>
      </c>
      <c r="AS146" s="177">
        <v>0</v>
      </c>
      <c r="AT146" s="178">
        <v>0</v>
      </c>
      <c r="AU146" s="178">
        <v>0</v>
      </c>
      <c r="AV146" s="178">
        <v>793024.58</v>
      </c>
      <c r="AW146" s="179">
        <v>0</v>
      </c>
      <c r="AX146" s="180">
        <v>0</v>
      </c>
      <c r="AY146" s="180">
        <v>0</v>
      </c>
      <c r="AZ146" s="180">
        <v>267051.86</v>
      </c>
      <c r="BA146" s="180">
        <v>0</v>
      </c>
      <c r="BB146" s="170">
        <f t="shared" si="57"/>
        <v>3273251.36</v>
      </c>
      <c r="BC146" s="170">
        <v>3273251.36</v>
      </c>
      <c r="BD146" s="2">
        <f t="shared" si="58"/>
        <v>0</v>
      </c>
    </row>
    <row r="147" spans="1:56" ht="12" x14ac:dyDescent="0.2">
      <c r="A147" s="4">
        <v>484</v>
      </c>
      <c r="B147" s="4">
        <v>1</v>
      </c>
      <c r="C147" s="2" t="s">
        <v>144</v>
      </c>
      <c r="D147" s="3">
        <v>0</v>
      </c>
      <c r="E147" s="3">
        <v>0</v>
      </c>
      <c r="F147" s="227">
        <f t="shared" si="47"/>
        <v>218426.34</v>
      </c>
      <c r="G147" s="227">
        <f t="shared" si="48"/>
        <v>76925.789999999994</v>
      </c>
      <c r="H147" s="227">
        <f t="shared" si="49"/>
        <v>0</v>
      </c>
      <c r="I147" s="227">
        <f t="shared" si="50"/>
        <v>490299.02</v>
      </c>
      <c r="J147" s="227">
        <f t="shared" si="51"/>
        <v>58965.72</v>
      </c>
      <c r="K147" s="227">
        <f t="shared" si="52"/>
        <v>346025.54</v>
      </c>
      <c r="L147" s="227">
        <f t="shared" si="53"/>
        <v>0</v>
      </c>
      <c r="M147" s="3">
        <f t="shared" si="54"/>
        <v>0</v>
      </c>
      <c r="N147" s="227">
        <f t="shared" si="55"/>
        <v>0</v>
      </c>
      <c r="O147" s="142">
        <f t="shared" si="56"/>
        <v>1190642.4099999999</v>
      </c>
      <c r="P147" s="3">
        <f t="shared" si="40"/>
        <v>895290.28</v>
      </c>
      <c r="Q147" s="3">
        <f t="shared" si="41"/>
        <v>490299.02</v>
      </c>
      <c r="R147" s="3">
        <f t="shared" si="42"/>
        <v>58965.72</v>
      </c>
      <c r="S147" s="3">
        <f t="shared" si="43"/>
        <v>346025.54</v>
      </c>
      <c r="T147" s="3">
        <f t="shared" si="44"/>
        <v>0</v>
      </c>
      <c r="U147" s="3">
        <f>IF($A$5=1,IF($P147=0,0,ROUND(Q147/$P147*$E147,2)),Credits!D146)+Credits!J146</f>
        <v>17756.21</v>
      </c>
      <c r="V147" s="3">
        <f>IF($A$5=1,IF($P147=0,0,ROUND(R147/$P147*$E147,2)),Credits!E146)+Credits!K146</f>
        <v>2135.54</v>
      </c>
      <c r="W147" s="3">
        <f>IF($A$5=1,IF($P147=0,0,ROUND(S147/$P147*$E147,2)),Credits!F146)+Credits!L146</f>
        <v>12531.890000000003</v>
      </c>
      <c r="X147" s="3">
        <f>IF($A$5=1,IF($P147=0,0,ROUND(T147/$P147*$E147,2)),Credits!G146)+Credits!M146</f>
        <v>0</v>
      </c>
      <c r="Y147" s="3">
        <f t="shared" si="45"/>
        <v>32423.640000000003</v>
      </c>
      <c r="AC147" s="4"/>
      <c r="AD147" s="4"/>
      <c r="AE147" s="2">
        <f t="shared" si="46"/>
        <v>0</v>
      </c>
      <c r="AF147" s="170" t="s">
        <v>1120</v>
      </c>
      <c r="AG147" s="175">
        <v>484</v>
      </c>
      <c r="AH147" s="175">
        <v>1</v>
      </c>
      <c r="AI147" s="175">
        <v>1</v>
      </c>
      <c r="AJ147" s="176">
        <v>218426.34</v>
      </c>
      <c r="AK147" s="176">
        <v>0</v>
      </c>
      <c r="AL147" s="176">
        <v>76925.789999999994</v>
      </c>
      <c r="AM147" s="176">
        <v>0</v>
      </c>
      <c r="AN147" s="177">
        <v>0</v>
      </c>
      <c r="AO147" s="177">
        <v>0</v>
      </c>
      <c r="AP147" s="177">
        <v>490299.02</v>
      </c>
      <c r="AQ147" s="177">
        <v>0</v>
      </c>
      <c r="AR147" s="177">
        <v>58965.72</v>
      </c>
      <c r="AS147" s="177">
        <v>0</v>
      </c>
      <c r="AT147" s="178">
        <v>346025.54</v>
      </c>
      <c r="AU147" s="178">
        <v>0</v>
      </c>
      <c r="AV147" s="178">
        <v>0</v>
      </c>
      <c r="AW147" s="179">
        <v>0</v>
      </c>
      <c r="AX147" s="180">
        <v>0</v>
      </c>
      <c r="AY147" s="180">
        <v>0</v>
      </c>
      <c r="AZ147" s="180">
        <v>0</v>
      </c>
      <c r="BA147" s="180">
        <v>0</v>
      </c>
      <c r="BB147" s="170">
        <f t="shared" si="57"/>
        <v>1190642.4099999999</v>
      </c>
      <c r="BC147" s="170">
        <v>1190642.4099999999</v>
      </c>
      <c r="BD147" s="2">
        <f t="shared" si="58"/>
        <v>0</v>
      </c>
    </row>
    <row r="148" spans="1:56" ht="12" x14ac:dyDescent="0.2">
      <c r="A148" s="4">
        <v>485</v>
      </c>
      <c r="B148" s="4">
        <v>1</v>
      </c>
      <c r="C148" s="2" t="s">
        <v>145</v>
      </c>
      <c r="D148" s="3">
        <v>0</v>
      </c>
      <c r="E148" s="3">
        <v>0</v>
      </c>
      <c r="F148" s="227">
        <f t="shared" si="47"/>
        <v>0</v>
      </c>
      <c r="G148" s="227">
        <f t="shared" si="48"/>
        <v>168072.5</v>
      </c>
      <c r="H148" s="227">
        <f t="shared" si="49"/>
        <v>0</v>
      </c>
      <c r="I148" s="227">
        <f t="shared" si="50"/>
        <v>126040.18</v>
      </c>
      <c r="J148" s="227">
        <f t="shared" si="51"/>
        <v>27114.21</v>
      </c>
      <c r="K148" s="227">
        <f t="shared" si="52"/>
        <v>803793.09</v>
      </c>
      <c r="L148" s="227">
        <f t="shared" si="53"/>
        <v>0</v>
      </c>
      <c r="M148" s="3">
        <f t="shared" si="54"/>
        <v>0</v>
      </c>
      <c r="N148" s="227">
        <f t="shared" si="55"/>
        <v>0</v>
      </c>
      <c r="O148" s="142">
        <f t="shared" si="56"/>
        <v>1125019.98</v>
      </c>
      <c r="P148" s="3">
        <f t="shared" si="40"/>
        <v>956947.48</v>
      </c>
      <c r="Q148" s="3">
        <f t="shared" si="41"/>
        <v>126040.18</v>
      </c>
      <c r="R148" s="3">
        <f t="shared" si="42"/>
        <v>27114.21</v>
      </c>
      <c r="S148" s="3">
        <f t="shared" si="43"/>
        <v>803793.09</v>
      </c>
      <c r="T148" s="3">
        <f t="shared" si="44"/>
        <v>0</v>
      </c>
      <c r="U148" s="3">
        <f>IF($A$5=1,IF($P148=0,0,ROUND(Q148/$P148*$E148,2)),Credits!D147)+Credits!J147</f>
        <v>2742.68</v>
      </c>
      <c r="V148" s="3">
        <f>IF($A$5=1,IF($P148=0,0,ROUND(R148/$P148*$E148,2)),Credits!E147)+Credits!K147</f>
        <v>589.67999999999995</v>
      </c>
      <c r="W148" s="3">
        <f>IF($A$5=1,IF($P148=0,0,ROUND(S148/$P148*$E148,2)),Credits!F147)+Credits!L147</f>
        <v>17488.859999999997</v>
      </c>
      <c r="X148" s="3">
        <f>IF($A$5=1,IF($P148=0,0,ROUND(T148/$P148*$E148,2)),Credits!G147)+Credits!M147</f>
        <v>0</v>
      </c>
      <c r="Y148" s="3">
        <f t="shared" si="45"/>
        <v>20821.219999999998</v>
      </c>
      <c r="AC148" s="4"/>
      <c r="AD148" s="4"/>
      <c r="AE148" s="2">
        <f t="shared" si="46"/>
        <v>0</v>
      </c>
      <c r="AF148" s="170" t="s">
        <v>1120</v>
      </c>
      <c r="AG148" s="175">
        <v>485</v>
      </c>
      <c r="AH148" s="175">
        <v>1</v>
      </c>
      <c r="AI148" s="175">
        <v>1</v>
      </c>
      <c r="AJ148" s="176">
        <v>0</v>
      </c>
      <c r="AK148" s="176">
        <v>0</v>
      </c>
      <c r="AL148" s="176">
        <v>168072.5</v>
      </c>
      <c r="AM148" s="176">
        <v>0</v>
      </c>
      <c r="AN148" s="177">
        <v>0</v>
      </c>
      <c r="AO148" s="177">
        <v>0</v>
      </c>
      <c r="AP148" s="177">
        <v>126040.18</v>
      </c>
      <c r="AQ148" s="177">
        <v>0</v>
      </c>
      <c r="AR148" s="177">
        <v>27114.21</v>
      </c>
      <c r="AS148" s="177">
        <v>0</v>
      </c>
      <c r="AT148" s="178">
        <v>803793.09</v>
      </c>
      <c r="AU148" s="178">
        <v>0</v>
      </c>
      <c r="AV148" s="178">
        <v>0</v>
      </c>
      <c r="AW148" s="179">
        <v>0</v>
      </c>
      <c r="AX148" s="180">
        <v>0</v>
      </c>
      <c r="AY148" s="180">
        <v>0</v>
      </c>
      <c r="AZ148" s="180">
        <v>0</v>
      </c>
      <c r="BA148" s="180">
        <v>0</v>
      </c>
      <c r="BB148" s="170">
        <f t="shared" si="57"/>
        <v>1125019.98</v>
      </c>
      <c r="BC148" s="170">
        <v>1125019.98</v>
      </c>
      <c r="BD148" s="2">
        <f t="shared" si="58"/>
        <v>0</v>
      </c>
    </row>
    <row r="149" spans="1:56" ht="12" x14ac:dyDescent="0.2">
      <c r="A149" s="4">
        <v>486</v>
      </c>
      <c r="B149" s="4">
        <v>1</v>
      </c>
      <c r="C149" s="2" t="s">
        <v>146</v>
      </c>
      <c r="D149" s="3">
        <v>0</v>
      </c>
      <c r="E149" s="3">
        <v>0</v>
      </c>
      <c r="F149" s="227">
        <f t="shared" si="47"/>
        <v>166958.06</v>
      </c>
      <c r="G149" s="227">
        <f t="shared" si="48"/>
        <v>24814.32</v>
      </c>
      <c r="H149" s="227">
        <f t="shared" si="49"/>
        <v>0</v>
      </c>
      <c r="I149" s="227">
        <f t="shared" si="50"/>
        <v>82394.600000000006</v>
      </c>
      <c r="J149" s="227">
        <f t="shared" si="51"/>
        <v>21799.98</v>
      </c>
      <c r="K149" s="227">
        <f t="shared" si="52"/>
        <v>421833.95</v>
      </c>
      <c r="L149" s="227">
        <f t="shared" si="53"/>
        <v>0</v>
      </c>
      <c r="M149" s="3">
        <f t="shared" si="54"/>
        <v>0</v>
      </c>
      <c r="N149" s="227">
        <f t="shared" si="55"/>
        <v>0</v>
      </c>
      <c r="O149" s="142">
        <f t="shared" si="56"/>
        <v>717800.90999999992</v>
      </c>
      <c r="P149" s="3">
        <f t="shared" si="40"/>
        <v>526028.53</v>
      </c>
      <c r="Q149" s="3">
        <f t="shared" si="41"/>
        <v>82394.600000000006</v>
      </c>
      <c r="R149" s="3">
        <f t="shared" si="42"/>
        <v>21799.98</v>
      </c>
      <c r="S149" s="3">
        <f t="shared" si="43"/>
        <v>421833.95</v>
      </c>
      <c r="T149" s="3">
        <f t="shared" si="44"/>
        <v>0</v>
      </c>
      <c r="U149" s="3">
        <f>IF($A$5=1,IF($P149=0,0,ROUND(Q149/$P149*$E149,2)),Credits!D148)+Credits!J148</f>
        <v>2326.2999999999997</v>
      </c>
      <c r="V149" s="3">
        <f>IF($A$5=1,IF($P149=0,0,ROUND(R149/$P149*$E149,2)),Credits!E148)+Credits!K148</f>
        <v>615.38999999999987</v>
      </c>
      <c r="W149" s="3">
        <f>IF($A$5=1,IF($P149=0,0,ROUND(S149/$P149*$E149,2)),Credits!F148)+Credits!L148</f>
        <v>11878.25</v>
      </c>
      <c r="X149" s="3">
        <f>IF($A$5=1,IF($P149=0,0,ROUND(T149/$P149*$E149,2)),Credits!G148)+Credits!M148</f>
        <v>0</v>
      </c>
      <c r="Y149" s="3">
        <f t="shared" si="45"/>
        <v>14819.939999999999</v>
      </c>
      <c r="AC149" s="4"/>
      <c r="AD149" s="4"/>
      <c r="AE149" s="2">
        <f t="shared" si="46"/>
        <v>0</v>
      </c>
      <c r="AF149" s="170" t="s">
        <v>1120</v>
      </c>
      <c r="AG149" s="175">
        <v>486</v>
      </c>
      <c r="AH149" s="175">
        <v>1</v>
      </c>
      <c r="AI149" s="175">
        <v>1</v>
      </c>
      <c r="AJ149" s="176">
        <v>166958.06</v>
      </c>
      <c r="AK149" s="176">
        <v>0</v>
      </c>
      <c r="AL149" s="176">
        <v>24814.32</v>
      </c>
      <c r="AM149" s="176">
        <v>0</v>
      </c>
      <c r="AN149" s="177">
        <v>0</v>
      </c>
      <c r="AO149" s="177">
        <v>0</v>
      </c>
      <c r="AP149" s="177">
        <v>82394.600000000006</v>
      </c>
      <c r="AQ149" s="177">
        <v>0</v>
      </c>
      <c r="AR149" s="177">
        <v>21799.98</v>
      </c>
      <c r="AS149" s="177">
        <v>0</v>
      </c>
      <c r="AT149" s="178">
        <v>421833.95</v>
      </c>
      <c r="AU149" s="178">
        <v>0</v>
      </c>
      <c r="AV149" s="178">
        <v>0</v>
      </c>
      <c r="AW149" s="179">
        <v>0</v>
      </c>
      <c r="AX149" s="180">
        <v>0</v>
      </c>
      <c r="AY149" s="180">
        <v>0</v>
      </c>
      <c r="AZ149" s="180">
        <v>0</v>
      </c>
      <c r="BA149" s="180">
        <v>0</v>
      </c>
      <c r="BB149" s="170">
        <f t="shared" si="57"/>
        <v>717800.90999999992</v>
      </c>
      <c r="BC149" s="170">
        <v>717800.91</v>
      </c>
      <c r="BD149" s="2">
        <f t="shared" si="58"/>
        <v>0</v>
      </c>
    </row>
    <row r="150" spans="1:56" ht="12" x14ac:dyDescent="0.2">
      <c r="A150" s="4">
        <v>487</v>
      </c>
      <c r="B150" s="4">
        <v>1</v>
      </c>
      <c r="C150" s="2" t="s">
        <v>147</v>
      </c>
      <c r="D150" s="3">
        <v>0</v>
      </c>
      <c r="E150" s="3">
        <v>0</v>
      </c>
      <c r="F150" s="227">
        <f t="shared" si="47"/>
        <v>188910.77</v>
      </c>
      <c r="G150" s="227">
        <f t="shared" si="48"/>
        <v>24937.32</v>
      </c>
      <c r="H150" s="227">
        <f t="shared" si="49"/>
        <v>0</v>
      </c>
      <c r="I150" s="227">
        <f t="shared" si="50"/>
        <v>72098.61</v>
      </c>
      <c r="J150" s="227">
        <f t="shared" si="51"/>
        <v>20421.099999999999</v>
      </c>
      <c r="K150" s="227">
        <f t="shared" si="52"/>
        <v>545844.92000000004</v>
      </c>
      <c r="L150" s="227">
        <f t="shared" si="53"/>
        <v>0</v>
      </c>
      <c r="M150" s="3">
        <f t="shared" si="54"/>
        <v>0</v>
      </c>
      <c r="N150" s="227">
        <f t="shared" si="55"/>
        <v>0</v>
      </c>
      <c r="O150" s="142">
        <f t="shared" si="56"/>
        <v>852212.72</v>
      </c>
      <c r="P150" s="3">
        <f t="shared" si="40"/>
        <v>638364.63</v>
      </c>
      <c r="Q150" s="3">
        <f t="shared" si="41"/>
        <v>72098.61</v>
      </c>
      <c r="R150" s="3">
        <f t="shared" si="42"/>
        <v>20421.099999999999</v>
      </c>
      <c r="S150" s="3">
        <f t="shared" si="43"/>
        <v>545844.92000000004</v>
      </c>
      <c r="T150" s="3">
        <f t="shared" si="44"/>
        <v>0</v>
      </c>
      <c r="U150" s="3">
        <f>IF($A$5=1,IF($P150=0,0,ROUND(Q150/$P150*$E150,2)),Credits!D149)+Credits!J149</f>
        <v>2934.6000000000004</v>
      </c>
      <c r="V150" s="3">
        <f>IF($A$5=1,IF($P150=0,0,ROUND(R150/$P150*$E150,2)),Credits!E149)+Credits!K149</f>
        <v>831.32</v>
      </c>
      <c r="W150" s="3">
        <f>IF($A$5=1,IF($P150=0,0,ROUND(S150/$P150*$E150,2)),Credits!F149)+Credits!L149</f>
        <v>22216.969999999998</v>
      </c>
      <c r="X150" s="3">
        <f>IF($A$5=1,IF($P150=0,0,ROUND(T150/$P150*$E150,2)),Credits!G149)+Credits!M149</f>
        <v>0</v>
      </c>
      <c r="Y150" s="3">
        <f t="shared" si="45"/>
        <v>25982.89</v>
      </c>
      <c r="AC150" s="4"/>
      <c r="AD150" s="4"/>
      <c r="AE150" s="2">
        <f t="shared" si="46"/>
        <v>0</v>
      </c>
      <c r="AF150" s="170" t="s">
        <v>1120</v>
      </c>
      <c r="AG150" s="175">
        <v>487</v>
      </c>
      <c r="AH150" s="175">
        <v>1</v>
      </c>
      <c r="AI150" s="175">
        <v>1</v>
      </c>
      <c r="AJ150" s="176">
        <v>188910.77</v>
      </c>
      <c r="AK150" s="176">
        <v>0</v>
      </c>
      <c r="AL150" s="176">
        <v>24937.32</v>
      </c>
      <c r="AM150" s="176">
        <v>0</v>
      </c>
      <c r="AN150" s="177">
        <v>0</v>
      </c>
      <c r="AO150" s="177">
        <v>0</v>
      </c>
      <c r="AP150" s="177">
        <v>72098.61</v>
      </c>
      <c r="AQ150" s="177">
        <v>0</v>
      </c>
      <c r="AR150" s="177">
        <v>20421.099999999999</v>
      </c>
      <c r="AS150" s="177">
        <v>0</v>
      </c>
      <c r="AT150" s="178">
        <v>545844.92000000004</v>
      </c>
      <c r="AU150" s="178">
        <v>0</v>
      </c>
      <c r="AV150" s="178">
        <v>0</v>
      </c>
      <c r="AW150" s="179">
        <v>0</v>
      </c>
      <c r="AX150" s="180">
        <v>0</v>
      </c>
      <c r="AY150" s="180">
        <v>0</v>
      </c>
      <c r="AZ150" s="180">
        <v>0</v>
      </c>
      <c r="BA150" s="180">
        <v>0</v>
      </c>
      <c r="BB150" s="170">
        <f t="shared" si="57"/>
        <v>852212.72</v>
      </c>
      <c r="BC150" s="170">
        <v>852212.72</v>
      </c>
      <c r="BD150" s="2">
        <f t="shared" si="58"/>
        <v>0</v>
      </c>
    </row>
    <row r="151" spans="1:56" ht="12" x14ac:dyDescent="0.2">
      <c r="A151" s="4">
        <v>492</v>
      </c>
      <c r="B151" s="4">
        <v>1</v>
      </c>
      <c r="C151" s="2" t="s">
        <v>148</v>
      </c>
      <c r="D151" s="3">
        <v>0</v>
      </c>
      <c r="E151" s="3">
        <v>0</v>
      </c>
      <c r="F151" s="227">
        <f t="shared" si="47"/>
        <v>623250</v>
      </c>
      <c r="G151" s="227">
        <f t="shared" si="48"/>
        <v>1343459</v>
      </c>
      <c r="H151" s="227">
        <f t="shared" si="49"/>
        <v>0</v>
      </c>
      <c r="I151" s="227">
        <f t="shared" si="50"/>
        <v>1643968</v>
      </c>
      <c r="J151" s="227">
        <f t="shared" si="51"/>
        <v>262637</v>
      </c>
      <c r="K151" s="227">
        <f t="shared" si="52"/>
        <v>1733755</v>
      </c>
      <c r="L151" s="227">
        <f t="shared" si="53"/>
        <v>908429</v>
      </c>
      <c r="M151" s="3">
        <f t="shared" si="54"/>
        <v>0</v>
      </c>
      <c r="N151" s="227">
        <f t="shared" si="55"/>
        <v>0</v>
      </c>
      <c r="O151" s="142">
        <f t="shared" si="56"/>
        <v>6515498</v>
      </c>
      <c r="P151" s="3">
        <f t="shared" si="40"/>
        <v>4548789</v>
      </c>
      <c r="Q151" s="3">
        <f t="shared" si="41"/>
        <v>1643968</v>
      </c>
      <c r="R151" s="3">
        <f t="shared" si="42"/>
        <v>262637</v>
      </c>
      <c r="S151" s="3">
        <f t="shared" si="43"/>
        <v>2642184</v>
      </c>
      <c r="T151" s="3">
        <f t="shared" si="44"/>
        <v>0</v>
      </c>
      <c r="U151" s="3">
        <f>IF($A$5=1,IF($P151=0,0,ROUND(Q151/$P151*$E151,2)),Credits!D150)+Credits!J150</f>
        <v>54982.680000000008</v>
      </c>
      <c r="V151" s="3">
        <f>IF($A$5=1,IF($P151=0,0,ROUND(R151/$P151*$E151,2)),Credits!E150)+Credits!K150</f>
        <v>8784.26</v>
      </c>
      <c r="W151" s="3">
        <f>IF($A$5=1,IF($P151=0,0,ROUND(S151/$P151*$E151,2)),Credits!F150)+Credits!L150</f>
        <v>88388.52</v>
      </c>
      <c r="X151" s="3">
        <f>IF($A$5=1,IF($P151=0,0,ROUND(T151/$P151*$E151,2)),Credits!G150)+Credits!M150</f>
        <v>0</v>
      </c>
      <c r="Y151" s="3">
        <f t="shared" si="45"/>
        <v>152155.46000000002</v>
      </c>
      <c r="AC151" s="4"/>
      <c r="AD151" s="4"/>
      <c r="AE151" s="2">
        <f t="shared" si="46"/>
        <v>0</v>
      </c>
      <c r="AF151" s="170" t="s">
        <v>1120</v>
      </c>
      <c r="AG151" s="175">
        <v>492</v>
      </c>
      <c r="AH151" s="175">
        <v>1</v>
      </c>
      <c r="AI151" s="175">
        <v>1</v>
      </c>
      <c r="AJ151" s="176">
        <v>623250</v>
      </c>
      <c r="AK151" s="176">
        <v>0</v>
      </c>
      <c r="AL151" s="176">
        <v>1343459</v>
      </c>
      <c r="AM151" s="176">
        <v>0</v>
      </c>
      <c r="AN151" s="177">
        <v>0</v>
      </c>
      <c r="AO151" s="177">
        <v>0</v>
      </c>
      <c r="AP151" s="177">
        <v>1643968</v>
      </c>
      <c r="AQ151" s="177">
        <v>0</v>
      </c>
      <c r="AR151" s="177">
        <v>262637</v>
      </c>
      <c r="AS151" s="177">
        <v>0</v>
      </c>
      <c r="AT151" s="178">
        <v>1733755</v>
      </c>
      <c r="AU151" s="178">
        <v>0</v>
      </c>
      <c r="AV151" s="178">
        <v>908429</v>
      </c>
      <c r="AW151" s="179">
        <v>0</v>
      </c>
      <c r="AX151" s="180">
        <v>0</v>
      </c>
      <c r="AY151" s="180">
        <v>0</v>
      </c>
      <c r="AZ151" s="180">
        <v>0</v>
      </c>
      <c r="BA151" s="180">
        <v>0</v>
      </c>
      <c r="BB151" s="170">
        <f t="shared" si="57"/>
        <v>6515498</v>
      </c>
      <c r="BC151" s="170">
        <v>6515498.9699999997</v>
      </c>
      <c r="BD151" s="2">
        <f t="shared" si="58"/>
        <v>-0.96999999973922968</v>
      </c>
    </row>
    <row r="152" spans="1:56" ht="12" x14ac:dyDescent="0.2">
      <c r="A152" s="4">
        <v>495</v>
      </c>
      <c r="B152" s="4">
        <v>1</v>
      </c>
      <c r="C152" s="2" t="s">
        <v>149</v>
      </c>
      <c r="D152" s="3">
        <v>0</v>
      </c>
      <c r="E152" s="3">
        <v>0</v>
      </c>
      <c r="F152" s="227">
        <f t="shared" si="47"/>
        <v>347748</v>
      </c>
      <c r="G152" s="227">
        <f t="shared" si="48"/>
        <v>17618</v>
      </c>
      <c r="H152" s="227">
        <f t="shared" si="49"/>
        <v>0</v>
      </c>
      <c r="I152" s="227">
        <f t="shared" si="50"/>
        <v>218319</v>
      </c>
      <c r="J152" s="227">
        <f t="shared" si="51"/>
        <v>33347</v>
      </c>
      <c r="K152" s="227">
        <f t="shared" si="52"/>
        <v>459074</v>
      </c>
      <c r="L152" s="227">
        <f t="shared" si="53"/>
        <v>0</v>
      </c>
      <c r="M152" s="3">
        <f t="shared" si="54"/>
        <v>0</v>
      </c>
      <c r="N152" s="227">
        <f t="shared" si="55"/>
        <v>0</v>
      </c>
      <c r="O152" s="142">
        <f t="shared" si="56"/>
        <v>1076106</v>
      </c>
      <c r="P152" s="3">
        <f t="shared" si="40"/>
        <v>710740</v>
      </c>
      <c r="Q152" s="3">
        <f t="shared" si="41"/>
        <v>218319</v>
      </c>
      <c r="R152" s="3">
        <f t="shared" si="42"/>
        <v>33347</v>
      </c>
      <c r="S152" s="3">
        <f t="shared" si="43"/>
        <v>459074</v>
      </c>
      <c r="T152" s="3">
        <f t="shared" si="44"/>
        <v>0</v>
      </c>
      <c r="U152" s="3">
        <f>IF($A$5=1,IF($P152=0,0,ROUND(Q152/$P152*$E152,2)),Credits!D151)+Credits!J151</f>
        <v>5572</v>
      </c>
      <c r="V152" s="3">
        <f>IF($A$5=1,IF($P152=0,0,ROUND(R152/$P152*$E152,2)),Credits!E151)+Credits!K151</f>
        <v>851.49</v>
      </c>
      <c r="W152" s="3">
        <f>IF($A$5=1,IF($P152=0,0,ROUND(S152/$P152*$E152,2)),Credits!F151)+Credits!L151</f>
        <v>11717.650000000001</v>
      </c>
      <c r="X152" s="3">
        <f>IF($A$5=1,IF($P152=0,0,ROUND(T152/$P152*$E152,2)),Credits!G151)+Credits!M151</f>
        <v>0</v>
      </c>
      <c r="Y152" s="3">
        <f t="shared" si="45"/>
        <v>18141.14</v>
      </c>
      <c r="AC152" s="4"/>
      <c r="AD152" s="4"/>
      <c r="AE152" s="2">
        <f t="shared" si="46"/>
        <v>0</v>
      </c>
      <c r="AF152" s="170" t="s">
        <v>1120</v>
      </c>
      <c r="AG152" s="175">
        <v>495</v>
      </c>
      <c r="AH152" s="175">
        <v>1</v>
      </c>
      <c r="AI152" s="175">
        <v>1</v>
      </c>
      <c r="AJ152" s="176">
        <v>347748</v>
      </c>
      <c r="AK152" s="176">
        <v>0</v>
      </c>
      <c r="AL152" s="176">
        <v>17618</v>
      </c>
      <c r="AM152" s="176">
        <v>0</v>
      </c>
      <c r="AN152" s="177">
        <v>0</v>
      </c>
      <c r="AO152" s="177">
        <v>0</v>
      </c>
      <c r="AP152" s="177">
        <v>218319</v>
      </c>
      <c r="AQ152" s="177">
        <v>0</v>
      </c>
      <c r="AR152" s="177">
        <v>33347</v>
      </c>
      <c r="AS152" s="177">
        <v>0</v>
      </c>
      <c r="AT152" s="178">
        <v>459074</v>
      </c>
      <c r="AU152" s="178">
        <v>0</v>
      </c>
      <c r="AV152" s="178">
        <v>0</v>
      </c>
      <c r="AW152" s="179">
        <v>0</v>
      </c>
      <c r="AX152" s="180">
        <v>0</v>
      </c>
      <c r="AY152" s="180">
        <v>0</v>
      </c>
      <c r="AZ152" s="180">
        <v>0</v>
      </c>
      <c r="BA152" s="180">
        <v>0</v>
      </c>
      <c r="BB152" s="170">
        <f t="shared" si="57"/>
        <v>1076106</v>
      </c>
      <c r="BC152" s="170">
        <v>1076105.3899999999</v>
      </c>
      <c r="BD152" s="2">
        <f t="shared" si="58"/>
        <v>0.61000000010244548</v>
      </c>
    </row>
    <row r="153" spans="1:56" ht="12" x14ac:dyDescent="0.2">
      <c r="A153" s="4">
        <v>497</v>
      </c>
      <c r="B153" s="4">
        <v>1</v>
      </c>
      <c r="C153" s="2" t="s">
        <v>150</v>
      </c>
      <c r="D153" s="3">
        <v>0</v>
      </c>
      <c r="E153" s="3">
        <v>0</v>
      </c>
      <c r="F153" s="227">
        <f t="shared" si="47"/>
        <v>70462</v>
      </c>
      <c r="G153" s="227">
        <f t="shared" si="48"/>
        <v>18341</v>
      </c>
      <c r="H153" s="227">
        <f t="shared" si="49"/>
        <v>0</v>
      </c>
      <c r="I153" s="227">
        <f t="shared" si="50"/>
        <v>73117</v>
      </c>
      <c r="J153" s="227">
        <f t="shared" si="51"/>
        <v>12512</v>
      </c>
      <c r="K153" s="227">
        <f t="shared" si="52"/>
        <v>462162</v>
      </c>
      <c r="L153" s="227">
        <f t="shared" si="53"/>
        <v>0</v>
      </c>
      <c r="M153" s="3">
        <f t="shared" si="54"/>
        <v>0</v>
      </c>
      <c r="N153" s="227">
        <f t="shared" si="55"/>
        <v>0</v>
      </c>
      <c r="O153" s="142">
        <f t="shared" si="56"/>
        <v>636594</v>
      </c>
      <c r="P153" s="3">
        <f t="shared" si="40"/>
        <v>547791</v>
      </c>
      <c r="Q153" s="3">
        <f t="shared" si="41"/>
        <v>73117</v>
      </c>
      <c r="R153" s="3">
        <f t="shared" si="42"/>
        <v>12512</v>
      </c>
      <c r="S153" s="3">
        <f t="shared" si="43"/>
        <v>462162</v>
      </c>
      <c r="T153" s="3">
        <f t="shared" si="44"/>
        <v>0</v>
      </c>
      <c r="U153" s="3">
        <f>IF($A$5=1,IF($P153=0,0,ROUND(Q153/$P153*$E153,2)),Credits!D152)+Credits!J152</f>
        <v>1911.5500000000002</v>
      </c>
      <c r="V153" s="3">
        <f>IF($A$5=1,IF($P153=0,0,ROUND(R153/$P153*$E153,2)),Credits!E152)+Credits!K152</f>
        <v>327.02999999999997</v>
      </c>
      <c r="W153" s="3">
        <f>IF($A$5=1,IF($P153=0,0,ROUND(S153/$P153*$E153,2)),Credits!F152)+Credits!L152</f>
        <v>12080.220000000001</v>
      </c>
      <c r="X153" s="3">
        <f>IF($A$5=1,IF($P153=0,0,ROUND(T153/$P153*$E153,2)),Credits!G152)+Credits!M152</f>
        <v>0</v>
      </c>
      <c r="Y153" s="3">
        <f t="shared" si="45"/>
        <v>14318.800000000001</v>
      </c>
      <c r="AC153" s="4"/>
      <c r="AD153" s="4"/>
      <c r="AE153" s="2">
        <f t="shared" si="46"/>
        <v>0</v>
      </c>
      <c r="AF153" s="170" t="s">
        <v>1120</v>
      </c>
      <c r="AG153" s="175">
        <v>497</v>
      </c>
      <c r="AH153" s="175">
        <v>1</v>
      </c>
      <c r="AI153" s="175">
        <v>1</v>
      </c>
      <c r="AJ153" s="176">
        <v>70462</v>
      </c>
      <c r="AK153" s="176">
        <v>0</v>
      </c>
      <c r="AL153" s="176">
        <v>18341</v>
      </c>
      <c r="AM153" s="176">
        <v>0</v>
      </c>
      <c r="AN153" s="177">
        <v>0</v>
      </c>
      <c r="AO153" s="177">
        <v>0</v>
      </c>
      <c r="AP153" s="177">
        <v>73117</v>
      </c>
      <c r="AQ153" s="177">
        <v>0</v>
      </c>
      <c r="AR153" s="177">
        <v>12512</v>
      </c>
      <c r="AS153" s="177">
        <v>0</v>
      </c>
      <c r="AT153" s="178">
        <v>462162</v>
      </c>
      <c r="AU153" s="178">
        <v>0</v>
      </c>
      <c r="AV153" s="178">
        <v>0</v>
      </c>
      <c r="AW153" s="179">
        <v>0</v>
      </c>
      <c r="AX153" s="180">
        <v>0</v>
      </c>
      <c r="AY153" s="180">
        <v>0</v>
      </c>
      <c r="AZ153" s="180">
        <v>0</v>
      </c>
      <c r="BA153" s="180">
        <v>0</v>
      </c>
      <c r="BB153" s="170">
        <f t="shared" si="57"/>
        <v>636594</v>
      </c>
      <c r="BC153" s="170">
        <v>636594.66</v>
      </c>
      <c r="BD153" s="2">
        <f t="shared" si="58"/>
        <v>-0.66000000003259629</v>
      </c>
    </row>
    <row r="154" spans="1:56" ht="12" x14ac:dyDescent="0.2">
      <c r="A154" s="4">
        <v>499</v>
      </c>
      <c r="B154" s="4">
        <v>1</v>
      </c>
      <c r="C154" s="2" t="s">
        <v>1186</v>
      </c>
      <c r="D154" s="3">
        <v>0</v>
      </c>
      <c r="E154" s="3">
        <v>0</v>
      </c>
      <c r="F154" s="227">
        <f t="shared" si="47"/>
        <v>358296</v>
      </c>
      <c r="G154" s="227">
        <f t="shared" si="48"/>
        <v>15749</v>
      </c>
      <c r="H154" s="227">
        <f t="shared" si="49"/>
        <v>0</v>
      </c>
      <c r="I154" s="227">
        <f t="shared" si="50"/>
        <v>193635</v>
      </c>
      <c r="J154" s="227">
        <f t="shared" si="51"/>
        <v>90473</v>
      </c>
      <c r="K154" s="227">
        <f t="shared" si="52"/>
        <v>215279</v>
      </c>
      <c r="L154" s="227">
        <f t="shared" si="53"/>
        <v>0</v>
      </c>
      <c r="M154" s="3">
        <f t="shared" si="54"/>
        <v>0</v>
      </c>
      <c r="N154" s="227">
        <f t="shared" si="55"/>
        <v>103743</v>
      </c>
      <c r="O154" s="142">
        <f t="shared" si="56"/>
        <v>977175</v>
      </c>
      <c r="P154" s="3">
        <f t="shared" si="40"/>
        <v>603130</v>
      </c>
      <c r="Q154" s="3">
        <f t="shared" si="41"/>
        <v>193635</v>
      </c>
      <c r="R154" s="3">
        <f t="shared" si="42"/>
        <v>90473</v>
      </c>
      <c r="S154" s="3">
        <f t="shared" si="43"/>
        <v>215279</v>
      </c>
      <c r="T154" s="3">
        <f t="shared" si="44"/>
        <v>103743</v>
      </c>
      <c r="U154" s="3">
        <f>IF($A$5=1,IF($P154=0,0,ROUND(Q154/$P154*$E154,2)),Credits!D153)+Credits!J153</f>
        <v>4558.0200000000004</v>
      </c>
      <c r="V154" s="3">
        <f>IF($A$5=1,IF($P154=0,0,ROUND(R154/$P154*$E154,2)),Credits!E153)+Credits!K153</f>
        <v>2129.06</v>
      </c>
      <c r="W154" s="3">
        <f>IF($A$5=1,IF($P154=0,0,ROUND(S154/$P154*$E154,2)),Credits!F153)+Credits!L153</f>
        <v>5067.42</v>
      </c>
      <c r="X154" s="3">
        <f>IF($A$5=1,IF($P154=0,0,ROUND(T154/$P154*$E154,2)),Credits!G153)+Credits!M153</f>
        <v>2441.7600000000002</v>
      </c>
      <c r="Y154" s="3">
        <f t="shared" si="45"/>
        <v>14196.26</v>
      </c>
      <c r="AC154" s="4"/>
      <c r="AD154" s="4"/>
      <c r="AE154" s="2">
        <f t="shared" si="46"/>
        <v>0</v>
      </c>
      <c r="AF154" s="170" t="s">
        <v>1120</v>
      </c>
      <c r="AG154" s="175">
        <v>499</v>
      </c>
      <c r="AH154" s="175">
        <v>1</v>
      </c>
      <c r="AI154" s="175">
        <v>1</v>
      </c>
      <c r="AJ154" s="176">
        <v>358296</v>
      </c>
      <c r="AK154" s="176">
        <v>0</v>
      </c>
      <c r="AL154" s="176">
        <v>15749</v>
      </c>
      <c r="AM154" s="176">
        <v>0</v>
      </c>
      <c r="AN154" s="177">
        <v>0</v>
      </c>
      <c r="AO154" s="177">
        <v>0</v>
      </c>
      <c r="AP154" s="177">
        <v>193635</v>
      </c>
      <c r="AQ154" s="177">
        <v>0</v>
      </c>
      <c r="AR154" s="177">
        <v>90473</v>
      </c>
      <c r="AS154" s="177">
        <v>0</v>
      </c>
      <c r="AT154" s="178">
        <v>215279</v>
      </c>
      <c r="AU154" s="178">
        <v>0</v>
      </c>
      <c r="AV154" s="178">
        <v>0</v>
      </c>
      <c r="AW154" s="179">
        <v>0</v>
      </c>
      <c r="AX154" s="180">
        <v>0</v>
      </c>
      <c r="AY154" s="180">
        <v>0</v>
      </c>
      <c r="AZ154" s="180">
        <v>103743</v>
      </c>
      <c r="BA154" s="180">
        <v>0</v>
      </c>
      <c r="BB154" s="170">
        <f t="shared" si="57"/>
        <v>977175</v>
      </c>
      <c r="BC154" s="170">
        <v>977175.06</v>
      </c>
      <c r="BD154" s="2">
        <f t="shared" si="58"/>
        <v>-6.0000000055879354E-2</v>
      </c>
    </row>
    <row r="155" spans="1:56" ht="12" x14ac:dyDescent="0.2">
      <c r="A155" s="4">
        <v>500</v>
      </c>
      <c r="B155" s="4">
        <v>1</v>
      </c>
      <c r="C155" s="2" t="s">
        <v>152</v>
      </c>
      <c r="D155" s="3">
        <v>0</v>
      </c>
      <c r="E155" s="3">
        <v>0</v>
      </c>
      <c r="F155" s="227">
        <f t="shared" si="47"/>
        <v>208472.76</v>
      </c>
      <c r="G155" s="227">
        <f t="shared" si="48"/>
        <v>42259.28</v>
      </c>
      <c r="H155" s="227">
        <f t="shared" si="49"/>
        <v>0</v>
      </c>
      <c r="I155" s="227">
        <f t="shared" si="50"/>
        <v>210275.62</v>
      </c>
      <c r="J155" s="227">
        <f t="shared" si="51"/>
        <v>47548.95</v>
      </c>
      <c r="K155" s="227">
        <f t="shared" si="52"/>
        <v>148688.76</v>
      </c>
      <c r="L155" s="227">
        <f t="shared" si="53"/>
        <v>0</v>
      </c>
      <c r="M155" s="3">
        <f t="shared" si="54"/>
        <v>0</v>
      </c>
      <c r="N155" s="227">
        <f t="shared" si="55"/>
        <v>0</v>
      </c>
      <c r="O155" s="142">
        <f t="shared" si="56"/>
        <v>657245.37000000011</v>
      </c>
      <c r="P155" s="3">
        <f t="shared" si="40"/>
        <v>406513.33</v>
      </c>
      <c r="Q155" s="3">
        <f t="shared" si="41"/>
        <v>210275.62</v>
      </c>
      <c r="R155" s="3">
        <f t="shared" si="42"/>
        <v>47548.95</v>
      </c>
      <c r="S155" s="3">
        <f t="shared" si="43"/>
        <v>148688.76</v>
      </c>
      <c r="T155" s="3">
        <f t="shared" si="44"/>
        <v>0</v>
      </c>
      <c r="U155" s="3">
        <f>IF($A$5=1,IF($P155=0,0,ROUND(Q155/$P155*$E155,2)),Credits!D154)+Credits!J154</f>
        <v>10811.6</v>
      </c>
      <c r="V155" s="3">
        <f>IF($A$5=1,IF($P155=0,0,ROUND(R155/$P155*$E155,2)),Credits!E154)+Credits!K154</f>
        <v>2445.02</v>
      </c>
      <c r="W155" s="3">
        <f>IF($A$5=1,IF($P155=0,0,ROUND(S155/$P155*$E155,2)),Credits!F154)+Credits!L154</f>
        <v>7645.48</v>
      </c>
      <c r="X155" s="3">
        <f>IF($A$5=1,IF($P155=0,0,ROUND(T155/$P155*$E155,2)),Credits!G154)+Credits!M154</f>
        <v>0</v>
      </c>
      <c r="Y155" s="3">
        <f t="shared" si="45"/>
        <v>20902.099999999999</v>
      </c>
      <c r="AC155" s="4"/>
      <c r="AD155" s="4"/>
      <c r="AE155" s="2">
        <f t="shared" si="46"/>
        <v>0</v>
      </c>
      <c r="AF155" s="170" t="s">
        <v>1120</v>
      </c>
      <c r="AG155" s="175">
        <v>500</v>
      </c>
      <c r="AH155" s="175">
        <v>1</v>
      </c>
      <c r="AI155" s="175">
        <v>1</v>
      </c>
      <c r="AJ155" s="176">
        <v>208472.76</v>
      </c>
      <c r="AK155" s="176">
        <v>0</v>
      </c>
      <c r="AL155" s="176">
        <v>42259.28</v>
      </c>
      <c r="AM155" s="176">
        <v>0</v>
      </c>
      <c r="AN155" s="177">
        <v>0</v>
      </c>
      <c r="AO155" s="177">
        <v>0</v>
      </c>
      <c r="AP155" s="177">
        <v>210274.97</v>
      </c>
      <c r="AQ155" s="177">
        <v>0.65</v>
      </c>
      <c r="AR155" s="177">
        <v>47548.95</v>
      </c>
      <c r="AS155" s="177">
        <v>0</v>
      </c>
      <c r="AT155" s="178">
        <v>148688.76</v>
      </c>
      <c r="AU155" s="178">
        <v>0</v>
      </c>
      <c r="AV155" s="178">
        <v>0</v>
      </c>
      <c r="AW155" s="179">
        <v>0</v>
      </c>
      <c r="AX155" s="180">
        <v>0</v>
      </c>
      <c r="AY155" s="180">
        <v>0</v>
      </c>
      <c r="AZ155" s="180">
        <v>0</v>
      </c>
      <c r="BA155" s="180">
        <v>0</v>
      </c>
      <c r="BB155" s="170">
        <f t="shared" si="57"/>
        <v>657245.37000000011</v>
      </c>
      <c r="BC155" s="170">
        <v>657244.72</v>
      </c>
      <c r="BD155" s="2">
        <f t="shared" si="58"/>
        <v>0.65000000013969839</v>
      </c>
    </row>
    <row r="156" spans="1:56" ht="12" x14ac:dyDescent="0.2">
      <c r="A156" s="4">
        <v>505</v>
      </c>
      <c r="B156" s="4">
        <v>1</v>
      </c>
      <c r="C156" s="2" t="s">
        <v>153</v>
      </c>
      <c r="D156" s="3">
        <v>0</v>
      </c>
      <c r="E156" s="3">
        <v>0</v>
      </c>
      <c r="F156" s="227">
        <f t="shared" si="47"/>
        <v>210599.22</v>
      </c>
      <c r="G156" s="227">
        <f t="shared" si="48"/>
        <v>17060.91</v>
      </c>
      <c r="H156" s="227">
        <f t="shared" si="49"/>
        <v>0</v>
      </c>
      <c r="I156" s="227">
        <f t="shared" si="50"/>
        <v>152780.68</v>
      </c>
      <c r="J156" s="227">
        <f t="shared" si="51"/>
        <v>39053.49</v>
      </c>
      <c r="K156" s="227">
        <f t="shared" si="52"/>
        <v>0</v>
      </c>
      <c r="L156" s="227">
        <f t="shared" si="53"/>
        <v>0</v>
      </c>
      <c r="M156" s="3">
        <f t="shared" si="54"/>
        <v>0</v>
      </c>
      <c r="N156" s="227">
        <f t="shared" si="55"/>
        <v>0</v>
      </c>
      <c r="O156" s="142">
        <f t="shared" si="56"/>
        <v>419494.3</v>
      </c>
      <c r="P156" s="3">
        <f t="shared" si="40"/>
        <v>191834.16999999998</v>
      </c>
      <c r="Q156" s="3">
        <f t="shared" si="41"/>
        <v>152780.68</v>
      </c>
      <c r="R156" s="3">
        <f t="shared" si="42"/>
        <v>39053.49</v>
      </c>
      <c r="S156" s="3">
        <f t="shared" si="43"/>
        <v>0</v>
      </c>
      <c r="T156" s="3">
        <f t="shared" si="44"/>
        <v>0</v>
      </c>
      <c r="U156" s="3">
        <f>IF($A$5=1,IF($P156=0,0,ROUND(Q156/$P156*$E156,2)),Credits!D155)+Credits!J155</f>
        <v>7533.92</v>
      </c>
      <c r="V156" s="3">
        <f>IF($A$5=1,IF($P156=0,0,ROUND(R156/$P156*$E156,2)),Credits!E155)+Credits!K155</f>
        <v>1930.77</v>
      </c>
      <c r="W156" s="3">
        <f>IF($A$5=1,IF($P156=0,0,ROUND(S156/$P156*$E156,2)),Credits!F155)+Credits!L155</f>
        <v>0</v>
      </c>
      <c r="X156" s="3">
        <f>IF($A$5=1,IF($P156=0,0,ROUND(T156/$P156*$E156,2)),Credits!G155)+Credits!M155</f>
        <v>0</v>
      </c>
      <c r="Y156" s="3">
        <f t="shared" si="45"/>
        <v>9464.69</v>
      </c>
      <c r="AC156" s="4"/>
      <c r="AD156" s="4"/>
      <c r="AE156" s="2">
        <f t="shared" si="46"/>
        <v>0</v>
      </c>
      <c r="AF156" s="170" t="s">
        <v>1120</v>
      </c>
      <c r="AG156" s="175">
        <v>505</v>
      </c>
      <c r="AH156" s="175">
        <v>1</v>
      </c>
      <c r="AI156" s="175">
        <v>1</v>
      </c>
      <c r="AJ156" s="176">
        <v>210599.22</v>
      </c>
      <c r="AK156" s="176">
        <v>0</v>
      </c>
      <c r="AL156" s="176">
        <v>17060.91</v>
      </c>
      <c r="AM156" s="176">
        <v>0</v>
      </c>
      <c r="AN156" s="177">
        <v>0</v>
      </c>
      <c r="AO156" s="177">
        <v>0</v>
      </c>
      <c r="AP156" s="177">
        <v>152780.68</v>
      </c>
      <c r="AQ156" s="177">
        <v>0</v>
      </c>
      <c r="AR156" s="177">
        <v>39053.49</v>
      </c>
      <c r="AS156" s="177">
        <v>0</v>
      </c>
      <c r="AT156" s="178">
        <v>0</v>
      </c>
      <c r="AU156" s="178">
        <v>0</v>
      </c>
      <c r="AV156" s="178">
        <v>0</v>
      </c>
      <c r="AW156" s="179">
        <v>0</v>
      </c>
      <c r="AX156" s="180">
        <v>0</v>
      </c>
      <c r="AY156" s="180">
        <v>0</v>
      </c>
      <c r="AZ156" s="180">
        <v>0</v>
      </c>
      <c r="BA156" s="180">
        <v>0</v>
      </c>
      <c r="BB156" s="170">
        <f t="shared" si="57"/>
        <v>419494.3</v>
      </c>
      <c r="BC156" s="170">
        <v>419494.3</v>
      </c>
      <c r="BD156" s="2">
        <f t="shared" si="58"/>
        <v>0</v>
      </c>
    </row>
    <row r="157" spans="1:56" ht="12" x14ac:dyDescent="0.2">
      <c r="A157" s="4">
        <v>507</v>
      </c>
      <c r="B157" s="4">
        <v>1</v>
      </c>
      <c r="C157" s="2" t="s">
        <v>154</v>
      </c>
      <c r="D157" s="3">
        <v>0</v>
      </c>
      <c r="E157" s="3">
        <v>0</v>
      </c>
      <c r="F157" s="227">
        <f t="shared" si="47"/>
        <v>465639</v>
      </c>
      <c r="G157" s="227">
        <f t="shared" si="48"/>
        <v>27805</v>
      </c>
      <c r="H157" s="227">
        <f t="shared" si="49"/>
        <v>0</v>
      </c>
      <c r="I157" s="227">
        <f t="shared" si="50"/>
        <v>176944</v>
      </c>
      <c r="J157" s="227">
        <f t="shared" si="51"/>
        <v>38064</v>
      </c>
      <c r="K157" s="227">
        <f t="shared" si="52"/>
        <v>534346</v>
      </c>
      <c r="L157" s="227">
        <f t="shared" si="53"/>
        <v>0</v>
      </c>
      <c r="M157" s="3">
        <f t="shared" si="54"/>
        <v>0</v>
      </c>
      <c r="N157" s="227">
        <f t="shared" si="55"/>
        <v>0</v>
      </c>
      <c r="O157" s="142">
        <f t="shared" si="56"/>
        <v>1242798</v>
      </c>
      <c r="P157" s="3">
        <f t="shared" si="40"/>
        <v>749354</v>
      </c>
      <c r="Q157" s="3">
        <f t="shared" si="41"/>
        <v>176944</v>
      </c>
      <c r="R157" s="3">
        <f t="shared" si="42"/>
        <v>38064</v>
      </c>
      <c r="S157" s="3">
        <f t="shared" si="43"/>
        <v>534346</v>
      </c>
      <c r="T157" s="3">
        <f t="shared" si="44"/>
        <v>0</v>
      </c>
      <c r="U157" s="3">
        <f>IF($A$5=1,IF($P157=0,0,ROUND(Q157/$P157*$E157,2)),Credits!D156)+Credits!J156</f>
        <v>2608.0400000000004</v>
      </c>
      <c r="V157" s="3">
        <f>IF($A$5=1,IF($P157=0,0,ROUND(R157/$P157*$E157,2)),Credits!E156)+Credits!K156</f>
        <v>560.75</v>
      </c>
      <c r="W157" s="3">
        <f>IF($A$5=1,IF($P157=0,0,ROUND(S157/$P157*$E157,2)),Credits!F156)+Credits!L156</f>
        <v>7876.47</v>
      </c>
      <c r="X157" s="3">
        <f>IF($A$5=1,IF($P157=0,0,ROUND(T157/$P157*$E157,2)),Credits!G156)+Credits!M156</f>
        <v>0</v>
      </c>
      <c r="Y157" s="3">
        <f t="shared" si="45"/>
        <v>11045.26</v>
      </c>
      <c r="AC157" s="4"/>
      <c r="AD157" s="4"/>
      <c r="AE157" s="2">
        <f t="shared" si="46"/>
        <v>0</v>
      </c>
      <c r="AF157" s="170" t="s">
        <v>1120</v>
      </c>
      <c r="AG157" s="175">
        <v>507</v>
      </c>
      <c r="AH157" s="175">
        <v>1</v>
      </c>
      <c r="AI157" s="175">
        <v>1</v>
      </c>
      <c r="AJ157" s="176">
        <v>465639</v>
      </c>
      <c r="AK157" s="176">
        <v>0</v>
      </c>
      <c r="AL157" s="176">
        <v>27805</v>
      </c>
      <c r="AM157" s="176">
        <v>0</v>
      </c>
      <c r="AN157" s="177">
        <v>0</v>
      </c>
      <c r="AO157" s="177">
        <v>0</v>
      </c>
      <c r="AP157" s="177">
        <v>176944</v>
      </c>
      <c r="AQ157" s="177">
        <v>0</v>
      </c>
      <c r="AR157" s="177">
        <v>38064</v>
      </c>
      <c r="AS157" s="177">
        <v>0</v>
      </c>
      <c r="AT157" s="178">
        <v>534346</v>
      </c>
      <c r="AU157" s="178">
        <v>0</v>
      </c>
      <c r="AV157" s="178">
        <v>0</v>
      </c>
      <c r="AW157" s="179">
        <v>0</v>
      </c>
      <c r="AX157" s="180">
        <v>0</v>
      </c>
      <c r="AY157" s="180">
        <v>0</v>
      </c>
      <c r="AZ157" s="180">
        <v>0</v>
      </c>
      <c r="BA157" s="180">
        <v>0</v>
      </c>
      <c r="BB157" s="170">
        <f t="shared" si="57"/>
        <v>1242798</v>
      </c>
      <c r="BC157" s="170">
        <v>1242797.8899999999</v>
      </c>
      <c r="BD157" s="2">
        <f t="shared" si="58"/>
        <v>0.11000000010244548</v>
      </c>
    </row>
    <row r="158" spans="1:56" ht="12" x14ac:dyDescent="0.2">
      <c r="A158" s="4">
        <v>508</v>
      </c>
      <c r="B158" s="4">
        <v>1</v>
      </c>
      <c r="C158" s="2" t="s">
        <v>155</v>
      </c>
      <c r="D158" s="3">
        <v>0</v>
      </c>
      <c r="E158" s="3">
        <v>0</v>
      </c>
      <c r="F158" s="227">
        <f t="shared" si="47"/>
        <v>1256572</v>
      </c>
      <c r="G158" s="227">
        <f t="shared" si="48"/>
        <v>198917</v>
      </c>
      <c r="H158" s="227">
        <f t="shared" si="49"/>
        <v>460950</v>
      </c>
      <c r="I158" s="227">
        <f t="shared" si="50"/>
        <v>1028439</v>
      </c>
      <c r="J158" s="227">
        <f t="shared" si="51"/>
        <v>144829</v>
      </c>
      <c r="K158" s="227">
        <f t="shared" si="52"/>
        <v>0</v>
      </c>
      <c r="L158" s="227">
        <f t="shared" si="53"/>
        <v>190598</v>
      </c>
      <c r="M158" s="3">
        <f t="shared" si="54"/>
        <v>0</v>
      </c>
      <c r="N158" s="227">
        <f t="shared" si="55"/>
        <v>0</v>
      </c>
      <c r="O158" s="142">
        <f t="shared" si="56"/>
        <v>3280305</v>
      </c>
      <c r="P158" s="3">
        <f t="shared" si="40"/>
        <v>1824816</v>
      </c>
      <c r="Q158" s="3">
        <f t="shared" si="41"/>
        <v>1489389</v>
      </c>
      <c r="R158" s="3">
        <f t="shared" si="42"/>
        <v>144829</v>
      </c>
      <c r="S158" s="3">
        <f t="shared" si="43"/>
        <v>190598</v>
      </c>
      <c r="T158" s="3">
        <f t="shared" si="44"/>
        <v>0</v>
      </c>
      <c r="U158" s="3">
        <f>IF($A$5=1,IF($P158=0,0,ROUND(Q158/$P158*$E158,2)),Credits!D157)+Credits!J157</f>
        <v>11282.66</v>
      </c>
      <c r="V158" s="3">
        <f>IF($A$5=1,IF($P158=0,0,ROUND(R158/$P158*$E158,2)),Credits!E157)+Credits!K157</f>
        <v>1097.03</v>
      </c>
      <c r="W158" s="3">
        <f>IF($A$5=1,IF($P158=0,0,ROUND(S158/$P158*$E158,2)),Credits!F157)+Credits!L157</f>
        <v>1439.84</v>
      </c>
      <c r="X158" s="3">
        <f>IF($A$5=1,IF($P158=0,0,ROUND(T158/$P158*$E158,2)),Credits!G157)+Credits!M157</f>
        <v>0</v>
      </c>
      <c r="Y158" s="3">
        <f t="shared" si="45"/>
        <v>13819.53</v>
      </c>
      <c r="AC158" s="4"/>
      <c r="AD158" s="4"/>
      <c r="AE158" s="2">
        <f t="shared" si="46"/>
        <v>0</v>
      </c>
      <c r="AF158" s="170" t="s">
        <v>1120</v>
      </c>
      <c r="AG158" s="175">
        <v>508</v>
      </c>
      <c r="AH158" s="175">
        <v>1</v>
      </c>
      <c r="AI158" s="175">
        <v>1</v>
      </c>
      <c r="AJ158" s="176">
        <v>1256572</v>
      </c>
      <c r="AK158" s="176">
        <v>0</v>
      </c>
      <c r="AL158" s="176">
        <v>198917</v>
      </c>
      <c r="AM158" s="176">
        <v>0</v>
      </c>
      <c r="AN158" s="177">
        <v>460950</v>
      </c>
      <c r="AO158" s="177">
        <v>0</v>
      </c>
      <c r="AP158" s="177">
        <v>1028439</v>
      </c>
      <c r="AQ158" s="177">
        <v>0</v>
      </c>
      <c r="AR158" s="177">
        <v>144829</v>
      </c>
      <c r="AS158" s="177">
        <v>0</v>
      </c>
      <c r="AT158" s="178">
        <v>0</v>
      </c>
      <c r="AU158" s="178">
        <v>0</v>
      </c>
      <c r="AV158" s="178">
        <v>190598</v>
      </c>
      <c r="AW158" s="179">
        <v>0</v>
      </c>
      <c r="AX158" s="180">
        <v>0</v>
      </c>
      <c r="AY158" s="180">
        <v>0</v>
      </c>
      <c r="AZ158" s="180">
        <v>0</v>
      </c>
      <c r="BA158" s="180">
        <v>0</v>
      </c>
      <c r="BB158" s="170">
        <f t="shared" si="57"/>
        <v>3280305</v>
      </c>
      <c r="BC158" s="170">
        <v>3280305.22</v>
      </c>
      <c r="BD158" s="2">
        <f t="shared" si="58"/>
        <v>-0.22000000020489097</v>
      </c>
    </row>
    <row r="159" spans="1:56" ht="12" x14ac:dyDescent="0.2">
      <c r="A159" s="4">
        <v>511</v>
      </c>
      <c r="B159" s="4">
        <v>1</v>
      </c>
      <c r="C159" s="2" t="s">
        <v>156</v>
      </c>
      <c r="D159" s="3">
        <v>0</v>
      </c>
      <c r="E159" s="3">
        <v>0</v>
      </c>
      <c r="F159" s="227">
        <f t="shared" si="47"/>
        <v>359018.79</v>
      </c>
      <c r="G159" s="227">
        <f t="shared" si="48"/>
        <v>25785.25</v>
      </c>
      <c r="H159" s="227">
        <f t="shared" si="49"/>
        <v>0</v>
      </c>
      <c r="I159" s="227">
        <f t="shared" si="50"/>
        <v>304673.2</v>
      </c>
      <c r="J159" s="227">
        <f t="shared" si="51"/>
        <v>25265.14</v>
      </c>
      <c r="K159" s="227">
        <f t="shared" si="52"/>
        <v>580531.73</v>
      </c>
      <c r="L159" s="227">
        <f t="shared" si="53"/>
        <v>0</v>
      </c>
      <c r="M159" s="3">
        <f t="shared" si="54"/>
        <v>0</v>
      </c>
      <c r="N159" s="227">
        <f t="shared" si="55"/>
        <v>0</v>
      </c>
      <c r="O159" s="142">
        <f t="shared" si="56"/>
        <v>1295274.1099999999</v>
      </c>
      <c r="P159" s="3">
        <f t="shared" si="40"/>
        <v>910470.07000000007</v>
      </c>
      <c r="Q159" s="3">
        <f t="shared" si="41"/>
        <v>304673.2</v>
      </c>
      <c r="R159" s="3">
        <f t="shared" si="42"/>
        <v>25265.14</v>
      </c>
      <c r="S159" s="3">
        <f t="shared" si="43"/>
        <v>580531.73</v>
      </c>
      <c r="T159" s="3">
        <f t="shared" si="44"/>
        <v>0</v>
      </c>
      <c r="U159" s="3">
        <f>IF($A$5=1,IF($P159=0,0,ROUND(Q159/$P159*$E159,2)),Credits!D158)+Credits!J158</f>
        <v>9149.35</v>
      </c>
      <c r="V159" s="3">
        <f>IF($A$5=1,IF($P159=0,0,ROUND(R159/$P159*$E159,2)),Credits!E158)+Credits!K158</f>
        <v>761.06</v>
      </c>
      <c r="W159" s="3">
        <f>IF($A$5=1,IF($P159=0,0,ROUND(S159/$P159*$E159,2)),Credits!F158)+Credits!L158</f>
        <v>17436.57</v>
      </c>
      <c r="X159" s="3">
        <f>IF($A$5=1,IF($P159=0,0,ROUND(T159/$P159*$E159,2)),Credits!G158)+Credits!M158</f>
        <v>0</v>
      </c>
      <c r="Y159" s="3">
        <f t="shared" si="45"/>
        <v>27346.98</v>
      </c>
      <c r="AC159" s="4"/>
      <c r="AD159" s="4"/>
      <c r="AE159" s="2">
        <f t="shared" si="46"/>
        <v>0</v>
      </c>
      <c r="AF159" s="170" t="s">
        <v>1120</v>
      </c>
      <c r="AG159" s="175">
        <v>511</v>
      </c>
      <c r="AH159" s="175">
        <v>1</v>
      </c>
      <c r="AI159" s="175">
        <v>1</v>
      </c>
      <c r="AJ159" s="176">
        <v>359018.79</v>
      </c>
      <c r="AK159" s="176">
        <v>0</v>
      </c>
      <c r="AL159" s="176">
        <v>25785.25</v>
      </c>
      <c r="AM159" s="176">
        <v>0</v>
      </c>
      <c r="AN159" s="177">
        <v>0</v>
      </c>
      <c r="AO159" s="177">
        <v>0</v>
      </c>
      <c r="AP159" s="177">
        <v>304673.2</v>
      </c>
      <c r="AQ159" s="177">
        <v>0</v>
      </c>
      <c r="AR159" s="177">
        <v>25265.14</v>
      </c>
      <c r="AS159" s="177">
        <v>0</v>
      </c>
      <c r="AT159" s="178">
        <v>580531.73</v>
      </c>
      <c r="AU159" s="178">
        <v>0</v>
      </c>
      <c r="AV159" s="178">
        <v>0</v>
      </c>
      <c r="AW159" s="179">
        <v>0</v>
      </c>
      <c r="AX159" s="180">
        <v>0</v>
      </c>
      <c r="AY159" s="180">
        <v>0</v>
      </c>
      <c r="AZ159" s="180">
        <v>0</v>
      </c>
      <c r="BA159" s="180">
        <v>0</v>
      </c>
      <c r="BB159" s="170">
        <f t="shared" si="57"/>
        <v>1295274.1099999999</v>
      </c>
      <c r="BC159" s="170">
        <v>1295274.1100000001</v>
      </c>
      <c r="BD159" s="2">
        <f t="shared" si="58"/>
        <v>0</v>
      </c>
    </row>
    <row r="160" spans="1:56" ht="12" x14ac:dyDescent="0.2">
      <c r="A160" s="4">
        <v>514</v>
      </c>
      <c r="B160" s="4">
        <v>1</v>
      </c>
      <c r="C160" s="2" t="s">
        <v>158</v>
      </c>
      <c r="D160" s="3">
        <v>0</v>
      </c>
      <c r="E160" s="3">
        <v>0</v>
      </c>
      <c r="F160" s="227">
        <f t="shared" si="47"/>
        <v>215570.51</v>
      </c>
      <c r="G160" s="227">
        <f t="shared" si="48"/>
        <v>2413.87</v>
      </c>
      <c r="H160" s="227">
        <f t="shared" si="49"/>
        <v>0</v>
      </c>
      <c r="I160" s="227">
        <f t="shared" si="50"/>
        <v>124874.72</v>
      </c>
      <c r="J160" s="227">
        <f t="shared" si="51"/>
        <v>3701.12</v>
      </c>
      <c r="K160" s="227">
        <f t="shared" si="52"/>
        <v>0</v>
      </c>
      <c r="L160" s="227">
        <f t="shared" si="53"/>
        <v>0</v>
      </c>
      <c r="M160" s="3">
        <f t="shared" si="54"/>
        <v>0</v>
      </c>
      <c r="N160" s="227">
        <f t="shared" si="55"/>
        <v>0</v>
      </c>
      <c r="O160" s="142">
        <f t="shared" si="56"/>
        <v>346560.22</v>
      </c>
      <c r="P160" s="3">
        <f t="shared" si="40"/>
        <v>128575.84</v>
      </c>
      <c r="Q160" s="3">
        <f t="shared" si="41"/>
        <v>124874.72</v>
      </c>
      <c r="R160" s="3">
        <f t="shared" si="42"/>
        <v>3701.12</v>
      </c>
      <c r="S160" s="3">
        <f t="shared" si="43"/>
        <v>0</v>
      </c>
      <c r="T160" s="3">
        <f t="shared" si="44"/>
        <v>0</v>
      </c>
      <c r="U160" s="3">
        <f>IF($A$5=1,IF($P160=0,0,ROUND(Q160/$P160*$E160,2)),Credits!D159)+Credits!J159</f>
        <v>4400.95</v>
      </c>
      <c r="V160" s="3">
        <f>IF($A$5=1,IF($P160=0,0,ROUND(R160/$P160*$E160,2)),Credits!E159)+Credits!K159</f>
        <v>130.72999999999999</v>
      </c>
      <c r="W160" s="3">
        <f>IF($A$5=1,IF($P160=0,0,ROUND(S160/$P160*$E160,2)),Credits!F159)+Credits!L159</f>
        <v>0</v>
      </c>
      <c r="X160" s="3">
        <f>IF($A$5=1,IF($P160=0,0,ROUND(T160/$P160*$E160,2)),Credits!G159)+Credits!M159</f>
        <v>0</v>
      </c>
      <c r="Y160" s="3">
        <f t="shared" si="45"/>
        <v>4531.6799999999994</v>
      </c>
      <c r="AC160" s="4"/>
      <c r="AD160" s="4"/>
      <c r="AE160" s="2">
        <f t="shared" si="46"/>
        <v>0</v>
      </c>
      <c r="AF160" s="170" t="s">
        <v>1120</v>
      </c>
      <c r="AG160" s="175">
        <v>514</v>
      </c>
      <c r="AH160" s="175">
        <v>1</v>
      </c>
      <c r="AI160" s="175">
        <v>1</v>
      </c>
      <c r="AJ160" s="176">
        <v>215570.51</v>
      </c>
      <c r="AK160" s="176">
        <v>0</v>
      </c>
      <c r="AL160" s="176">
        <v>2413.87</v>
      </c>
      <c r="AM160" s="176">
        <v>0</v>
      </c>
      <c r="AN160" s="177">
        <v>0</v>
      </c>
      <c r="AO160" s="177">
        <v>0</v>
      </c>
      <c r="AP160" s="177">
        <v>124874.72</v>
      </c>
      <c r="AQ160" s="177">
        <v>0</v>
      </c>
      <c r="AR160" s="177">
        <v>3701.12</v>
      </c>
      <c r="AS160" s="177">
        <v>0</v>
      </c>
      <c r="AT160" s="178">
        <v>0</v>
      </c>
      <c r="AU160" s="178">
        <v>0</v>
      </c>
      <c r="AV160" s="178">
        <v>0</v>
      </c>
      <c r="AW160" s="179">
        <v>0</v>
      </c>
      <c r="AX160" s="180">
        <v>0</v>
      </c>
      <c r="AY160" s="180">
        <v>0</v>
      </c>
      <c r="AZ160" s="180">
        <v>0</v>
      </c>
      <c r="BA160" s="180">
        <v>0</v>
      </c>
      <c r="BB160" s="170">
        <f t="shared" si="57"/>
        <v>346560.22</v>
      </c>
      <c r="BC160" s="170">
        <v>346560.22</v>
      </c>
      <c r="BD160" s="2">
        <f t="shared" si="58"/>
        <v>0</v>
      </c>
    </row>
    <row r="161" spans="1:56" ht="12" x14ac:dyDescent="0.2">
      <c r="A161" s="4">
        <v>518</v>
      </c>
      <c r="B161" s="4">
        <v>1</v>
      </c>
      <c r="C161" s="2" t="s">
        <v>160</v>
      </c>
      <c r="D161" s="3">
        <v>0</v>
      </c>
      <c r="E161" s="3">
        <v>0</v>
      </c>
      <c r="F161" s="227">
        <f t="shared" si="47"/>
        <v>1141836.92</v>
      </c>
      <c r="G161" s="227">
        <f t="shared" si="48"/>
        <v>425418.7</v>
      </c>
      <c r="H161" s="227">
        <f t="shared" si="49"/>
        <v>0</v>
      </c>
      <c r="I161" s="227">
        <f t="shared" si="50"/>
        <v>807782.58</v>
      </c>
      <c r="J161" s="227">
        <f t="shared" si="51"/>
        <v>196603.46</v>
      </c>
      <c r="K161" s="227">
        <f t="shared" si="52"/>
        <v>1376950.37</v>
      </c>
      <c r="L161" s="227">
        <f t="shared" si="53"/>
        <v>682065.35</v>
      </c>
      <c r="M161" s="3">
        <f t="shared" si="54"/>
        <v>0</v>
      </c>
      <c r="N161" s="227">
        <f t="shared" si="55"/>
        <v>0</v>
      </c>
      <c r="O161" s="142">
        <f t="shared" si="56"/>
        <v>4630657.38</v>
      </c>
      <c r="P161" s="3">
        <f t="shared" si="40"/>
        <v>3063401.7600000002</v>
      </c>
      <c r="Q161" s="3">
        <f t="shared" si="41"/>
        <v>807782.58</v>
      </c>
      <c r="R161" s="3">
        <f t="shared" si="42"/>
        <v>196603.46</v>
      </c>
      <c r="S161" s="3">
        <f t="shared" si="43"/>
        <v>2059015.7200000002</v>
      </c>
      <c r="T161" s="3">
        <f t="shared" si="44"/>
        <v>0</v>
      </c>
      <c r="U161" s="3">
        <f>IF($A$5=1,IF($P161=0,0,ROUND(Q161/$P161*$E161,2)),Credits!D160)+Credits!J160</f>
        <v>27386.980000000003</v>
      </c>
      <c r="V161" s="3">
        <f>IF($A$5=1,IF($P161=0,0,ROUND(R161/$P161*$E161,2)),Credits!E160)+Credits!K160</f>
        <v>6667.54</v>
      </c>
      <c r="W161" s="3">
        <f>IF($A$5=1,IF($P161=0,0,ROUND(S161/$P161*$E161,2)),Credits!F160)+Credits!L160</f>
        <v>69629.070000000007</v>
      </c>
      <c r="X161" s="3">
        <f>IF($A$5=1,IF($P161=0,0,ROUND(T161/$P161*$E161,2)),Credits!G160)+Credits!M160</f>
        <v>0</v>
      </c>
      <c r="Y161" s="3">
        <f t="shared" si="45"/>
        <v>103683.59000000001</v>
      </c>
      <c r="AC161" s="4"/>
      <c r="AD161" s="4"/>
      <c r="AE161" s="2">
        <f t="shared" si="46"/>
        <v>0</v>
      </c>
      <c r="AF161" s="170" t="s">
        <v>1120</v>
      </c>
      <c r="AG161" s="175">
        <v>518</v>
      </c>
      <c r="AH161" s="175">
        <v>1</v>
      </c>
      <c r="AI161" s="175">
        <v>1</v>
      </c>
      <c r="AJ161" s="176">
        <v>1141836.92</v>
      </c>
      <c r="AK161" s="176">
        <v>0</v>
      </c>
      <c r="AL161" s="176">
        <v>425418.7</v>
      </c>
      <c r="AM161" s="176">
        <v>0</v>
      </c>
      <c r="AN161" s="177">
        <v>0</v>
      </c>
      <c r="AO161" s="177">
        <v>0</v>
      </c>
      <c r="AP161" s="177">
        <v>807782.58</v>
      </c>
      <c r="AQ161" s="177">
        <v>0</v>
      </c>
      <c r="AR161" s="177">
        <v>196603.46</v>
      </c>
      <c r="AS161" s="177">
        <v>0</v>
      </c>
      <c r="AT161" s="178">
        <v>1376950.37</v>
      </c>
      <c r="AU161" s="178">
        <v>0</v>
      </c>
      <c r="AV161" s="178">
        <v>682065.35</v>
      </c>
      <c r="AW161" s="179">
        <v>0</v>
      </c>
      <c r="AX161" s="180">
        <v>0</v>
      </c>
      <c r="AY161" s="180">
        <v>0</v>
      </c>
      <c r="AZ161" s="180">
        <v>0</v>
      </c>
      <c r="BA161" s="180">
        <v>0</v>
      </c>
      <c r="BB161" s="170">
        <f t="shared" si="57"/>
        <v>4630657.38</v>
      </c>
      <c r="BC161" s="170">
        <v>4630657.38</v>
      </c>
      <c r="BD161" s="2">
        <f t="shared" si="58"/>
        <v>0</v>
      </c>
    </row>
    <row r="162" spans="1:56" ht="12" x14ac:dyDescent="0.2">
      <c r="A162" s="4">
        <v>531</v>
      </c>
      <c r="B162" s="4">
        <v>1</v>
      </c>
      <c r="C162" s="2" t="s">
        <v>161</v>
      </c>
      <c r="D162" s="3">
        <v>0</v>
      </c>
      <c r="E162" s="3">
        <v>0</v>
      </c>
      <c r="F162" s="227">
        <f t="shared" si="47"/>
        <v>6225</v>
      </c>
      <c r="G162" s="227">
        <f t="shared" si="48"/>
        <v>426616</v>
      </c>
      <c r="H162" s="227">
        <f t="shared" si="49"/>
        <v>0</v>
      </c>
      <c r="I162" s="227">
        <f t="shared" si="50"/>
        <v>421026</v>
      </c>
      <c r="J162" s="227">
        <f t="shared" si="51"/>
        <v>102693</v>
      </c>
      <c r="K162" s="227">
        <f t="shared" si="52"/>
        <v>2301906</v>
      </c>
      <c r="L162" s="227">
        <f t="shared" si="53"/>
        <v>0</v>
      </c>
      <c r="M162" s="3">
        <f t="shared" si="54"/>
        <v>0</v>
      </c>
      <c r="N162" s="227">
        <f t="shared" si="55"/>
        <v>0</v>
      </c>
      <c r="O162" s="142">
        <f t="shared" si="56"/>
        <v>3258466</v>
      </c>
      <c r="P162" s="3">
        <f t="shared" si="40"/>
        <v>2825625</v>
      </c>
      <c r="Q162" s="3">
        <f t="shared" si="41"/>
        <v>421026</v>
      </c>
      <c r="R162" s="3">
        <f t="shared" si="42"/>
        <v>102693</v>
      </c>
      <c r="S162" s="3">
        <f t="shared" si="43"/>
        <v>2301906</v>
      </c>
      <c r="T162" s="3">
        <f t="shared" si="44"/>
        <v>0</v>
      </c>
      <c r="U162" s="3">
        <f>IF($A$5=1,IF($P162=0,0,ROUND(Q162/$P162*$E162,2)),Credits!D161)+Credits!J161</f>
        <v>3619.15</v>
      </c>
      <c r="V162" s="3">
        <f>IF($A$5=1,IF($P162=0,0,ROUND(R162/$P162*$E162,2)),Credits!E161)+Credits!K161</f>
        <v>882.86</v>
      </c>
      <c r="W162" s="3">
        <f>IF($A$5=1,IF($P162=0,0,ROUND(S162/$P162*$E162,2)),Credits!F161)+Credits!L161</f>
        <v>19620.550000000003</v>
      </c>
      <c r="X162" s="3">
        <f>IF($A$5=1,IF($P162=0,0,ROUND(T162/$P162*$E162,2)),Credits!G161)+Credits!M161</f>
        <v>0</v>
      </c>
      <c r="Y162" s="3">
        <f t="shared" si="45"/>
        <v>24122.560000000005</v>
      </c>
      <c r="AC162" s="4"/>
      <c r="AD162" s="4"/>
      <c r="AE162" s="2">
        <f t="shared" si="46"/>
        <v>0</v>
      </c>
      <c r="AF162" s="170" t="s">
        <v>1120</v>
      </c>
      <c r="AG162" s="175">
        <v>531</v>
      </c>
      <c r="AH162" s="175">
        <v>1</v>
      </c>
      <c r="AI162" s="175">
        <v>1</v>
      </c>
      <c r="AJ162" s="176">
        <v>6225</v>
      </c>
      <c r="AK162" s="176">
        <v>0</v>
      </c>
      <c r="AL162" s="176">
        <v>426616</v>
      </c>
      <c r="AM162" s="176">
        <v>0</v>
      </c>
      <c r="AN162" s="177">
        <v>0</v>
      </c>
      <c r="AO162" s="177">
        <v>0</v>
      </c>
      <c r="AP162" s="177">
        <v>421026</v>
      </c>
      <c r="AQ162" s="177">
        <v>0</v>
      </c>
      <c r="AR162" s="177">
        <v>102693</v>
      </c>
      <c r="AS162" s="177">
        <v>0</v>
      </c>
      <c r="AT162" s="178">
        <v>2301906</v>
      </c>
      <c r="AU162" s="178">
        <v>0</v>
      </c>
      <c r="AV162" s="178">
        <v>0</v>
      </c>
      <c r="AW162" s="179">
        <v>0</v>
      </c>
      <c r="AX162" s="180">
        <v>0</v>
      </c>
      <c r="AY162" s="180">
        <v>0</v>
      </c>
      <c r="AZ162" s="180">
        <v>0</v>
      </c>
      <c r="BA162" s="180">
        <v>0</v>
      </c>
      <c r="BB162" s="170">
        <f t="shared" si="57"/>
        <v>3258466</v>
      </c>
      <c r="BC162" s="170">
        <v>3258465.1</v>
      </c>
      <c r="BD162" s="2">
        <f t="shared" si="58"/>
        <v>0.89999999990686774</v>
      </c>
    </row>
    <row r="163" spans="1:56" ht="12" x14ac:dyDescent="0.2">
      <c r="A163" s="4">
        <v>533</v>
      </c>
      <c r="B163" s="4">
        <v>1</v>
      </c>
      <c r="C163" s="2" t="s">
        <v>162</v>
      </c>
      <c r="D163" s="3">
        <v>0</v>
      </c>
      <c r="E163" s="3">
        <v>0</v>
      </c>
      <c r="F163" s="227">
        <f t="shared" si="47"/>
        <v>0</v>
      </c>
      <c r="G163" s="227">
        <f t="shared" si="48"/>
        <v>233497</v>
      </c>
      <c r="H163" s="227">
        <f t="shared" si="49"/>
        <v>0</v>
      </c>
      <c r="I163" s="227">
        <f t="shared" si="50"/>
        <v>201713</v>
      </c>
      <c r="J163" s="227">
        <f t="shared" si="51"/>
        <v>53673</v>
      </c>
      <c r="K163" s="227">
        <f t="shared" si="52"/>
        <v>1068755</v>
      </c>
      <c r="L163" s="227">
        <f t="shared" si="53"/>
        <v>40711</v>
      </c>
      <c r="M163" s="3">
        <f t="shared" si="54"/>
        <v>0</v>
      </c>
      <c r="N163" s="227">
        <f t="shared" si="55"/>
        <v>0</v>
      </c>
      <c r="O163" s="142">
        <f t="shared" si="56"/>
        <v>1598349</v>
      </c>
      <c r="P163" s="3">
        <f t="shared" si="40"/>
        <v>1364852</v>
      </c>
      <c r="Q163" s="3">
        <f t="shared" si="41"/>
        <v>201713</v>
      </c>
      <c r="R163" s="3">
        <f t="shared" si="42"/>
        <v>53673</v>
      </c>
      <c r="S163" s="3">
        <f t="shared" si="43"/>
        <v>1109466</v>
      </c>
      <c r="T163" s="3">
        <f t="shared" si="44"/>
        <v>0</v>
      </c>
      <c r="U163" s="3">
        <f>IF($A$5=1,IF($P163=0,0,ROUND(Q163/$P163*$E163,2)),Credits!D162)+Credits!J162</f>
        <v>3222.24</v>
      </c>
      <c r="V163" s="3">
        <f>IF($A$5=1,IF($P163=0,0,ROUND(R163/$P163*$E163,2)),Credits!E162)+Credits!K162</f>
        <v>857.96</v>
      </c>
      <c r="W163" s="3">
        <f>IF($A$5=1,IF($P163=0,0,ROUND(S163/$P163*$E163,2)),Credits!F162)+Credits!L162</f>
        <v>17636.09</v>
      </c>
      <c r="X163" s="3">
        <f>IF($A$5=1,IF($P163=0,0,ROUND(T163/$P163*$E163,2)),Credits!G162)+Credits!M162</f>
        <v>0</v>
      </c>
      <c r="Y163" s="3">
        <f t="shared" si="45"/>
        <v>21716.29</v>
      </c>
      <c r="AC163" s="4"/>
      <c r="AD163" s="4"/>
      <c r="AE163" s="2">
        <f t="shared" si="46"/>
        <v>0</v>
      </c>
      <c r="AF163" s="170" t="s">
        <v>1120</v>
      </c>
      <c r="AG163" s="175">
        <v>533</v>
      </c>
      <c r="AH163" s="175">
        <v>1</v>
      </c>
      <c r="AI163" s="175">
        <v>1</v>
      </c>
      <c r="AJ163" s="176">
        <v>0</v>
      </c>
      <c r="AK163" s="176">
        <v>0</v>
      </c>
      <c r="AL163" s="176">
        <v>233497</v>
      </c>
      <c r="AM163" s="176">
        <v>0</v>
      </c>
      <c r="AN163" s="177">
        <v>0</v>
      </c>
      <c r="AO163" s="177">
        <v>0</v>
      </c>
      <c r="AP163" s="177">
        <v>201713</v>
      </c>
      <c r="AQ163" s="177">
        <v>0</v>
      </c>
      <c r="AR163" s="177">
        <v>53673</v>
      </c>
      <c r="AS163" s="177">
        <v>0</v>
      </c>
      <c r="AT163" s="178">
        <v>1068755</v>
      </c>
      <c r="AU163" s="178">
        <v>0</v>
      </c>
      <c r="AV163" s="178">
        <v>40711</v>
      </c>
      <c r="AW163" s="179">
        <v>0</v>
      </c>
      <c r="AX163" s="180">
        <v>0</v>
      </c>
      <c r="AY163" s="180">
        <v>0</v>
      </c>
      <c r="AZ163" s="180">
        <v>0</v>
      </c>
      <c r="BA163" s="180">
        <v>0</v>
      </c>
      <c r="BB163" s="170">
        <f t="shared" si="57"/>
        <v>1598349</v>
      </c>
      <c r="BC163" s="170">
        <v>1598349.31</v>
      </c>
      <c r="BD163" s="2">
        <f t="shared" si="58"/>
        <v>-0.31000000005587935</v>
      </c>
    </row>
    <row r="164" spans="1:56" ht="12" x14ac:dyDescent="0.2">
      <c r="A164" s="4">
        <v>534</v>
      </c>
      <c r="B164" s="4">
        <v>1</v>
      </c>
      <c r="C164" s="2" t="s">
        <v>163</v>
      </c>
      <c r="D164" s="3">
        <v>0</v>
      </c>
      <c r="E164" s="3">
        <v>0</v>
      </c>
      <c r="F164" s="227">
        <f t="shared" si="47"/>
        <v>930405</v>
      </c>
      <c r="G164" s="227">
        <f t="shared" si="48"/>
        <v>164422</v>
      </c>
      <c r="H164" s="227">
        <f t="shared" si="49"/>
        <v>0</v>
      </c>
      <c r="I164" s="227">
        <f t="shared" si="50"/>
        <v>850926</v>
      </c>
      <c r="J164" s="227">
        <f t="shared" si="51"/>
        <v>103883</v>
      </c>
      <c r="K164" s="227">
        <f t="shared" si="52"/>
        <v>1200198</v>
      </c>
      <c r="L164" s="227">
        <f t="shared" si="53"/>
        <v>369768</v>
      </c>
      <c r="M164" s="3">
        <f t="shared" si="54"/>
        <v>0</v>
      </c>
      <c r="N164" s="227">
        <f t="shared" si="55"/>
        <v>0</v>
      </c>
      <c r="O164" s="142">
        <f t="shared" si="56"/>
        <v>3619602</v>
      </c>
      <c r="P164" s="3">
        <f t="shared" si="40"/>
        <v>2524775</v>
      </c>
      <c r="Q164" s="3">
        <f t="shared" si="41"/>
        <v>850926</v>
      </c>
      <c r="R164" s="3">
        <f t="shared" si="42"/>
        <v>103883</v>
      </c>
      <c r="S164" s="3">
        <f t="shared" si="43"/>
        <v>1569966</v>
      </c>
      <c r="T164" s="3">
        <f t="shared" si="44"/>
        <v>0</v>
      </c>
      <c r="U164" s="3">
        <f>IF($A$5=1,IF($P164=0,0,ROUND(Q164/$P164*$E164,2)),Credits!D163)+Credits!J163</f>
        <v>8341.9399999999987</v>
      </c>
      <c r="V164" s="3">
        <f>IF($A$5=1,IF($P164=0,0,ROUND(R164/$P164*$E164,2)),Credits!E163)+Credits!K163</f>
        <v>1018.3900000000001</v>
      </c>
      <c r="W164" s="3">
        <f>IF($A$5=1,IF($P164=0,0,ROUND(S164/$P164*$E164,2)),Credits!F163)+Credits!L163</f>
        <v>15390.03</v>
      </c>
      <c r="X164" s="3">
        <f>IF($A$5=1,IF($P164=0,0,ROUND(T164/$P164*$E164,2)),Credits!G163)+Credits!M163</f>
        <v>0</v>
      </c>
      <c r="Y164" s="3">
        <f t="shared" si="45"/>
        <v>24750.36</v>
      </c>
      <c r="AC164" s="4"/>
      <c r="AD164" s="4"/>
      <c r="AE164" s="2">
        <f t="shared" si="46"/>
        <v>0</v>
      </c>
      <c r="AF164" s="170" t="s">
        <v>1120</v>
      </c>
      <c r="AG164" s="175">
        <v>534</v>
      </c>
      <c r="AH164" s="175">
        <v>1</v>
      </c>
      <c r="AI164" s="175">
        <v>1</v>
      </c>
      <c r="AJ164" s="176">
        <v>930405</v>
      </c>
      <c r="AK164" s="176">
        <v>0</v>
      </c>
      <c r="AL164" s="176">
        <v>164422</v>
      </c>
      <c r="AM164" s="176">
        <v>0</v>
      </c>
      <c r="AN164" s="177">
        <v>0</v>
      </c>
      <c r="AO164" s="177">
        <v>0</v>
      </c>
      <c r="AP164" s="177">
        <v>850926</v>
      </c>
      <c r="AQ164" s="177">
        <v>0</v>
      </c>
      <c r="AR164" s="177">
        <v>103883</v>
      </c>
      <c r="AS164" s="177">
        <v>0</v>
      </c>
      <c r="AT164" s="178">
        <v>1200198</v>
      </c>
      <c r="AU164" s="178">
        <v>0</v>
      </c>
      <c r="AV164" s="178">
        <v>369768</v>
      </c>
      <c r="AW164" s="179">
        <v>0</v>
      </c>
      <c r="AX164" s="180">
        <v>0</v>
      </c>
      <c r="AY164" s="180">
        <v>0</v>
      </c>
      <c r="AZ164" s="180">
        <v>0</v>
      </c>
      <c r="BA164" s="180">
        <v>0</v>
      </c>
      <c r="BB164" s="170">
        <f t="shared" si="57"/>
        <v>3619602</v>
      </c>
      <c r="BC164" s="170">
        <v>3619602.43</v>
      </c>
      <c r="BD164" s="2">
        <f t="shared" si="58"/>
        <v>-0.43000000016763806</v>
      </c>
    </row>
    <row r="165" spans="1:56" ht="12" x14ac:dyDescent="0.2">
      <c r="A165" s="4">
        <v>535</v>
      </c>
      <c r="B165" s="4">
        <v>1</v>
      </c>
      <c r="C165" s="2" t="s">
        <v>164</v>
      </c>
      <c r="D165" s="3">
        <v>0</v>
      </c>
      <c r="E165" s="3">
        <v>0</v>
      </c>
      <c r="F165" s="227">
        <f t="shared" si="47"/>
        <v>4184983</v>
      </c>
      <c r="G165" s="227">
        <f t="shared" si="48"/>
        <v>6577582</v>
      </c>
      <c r="H165" s="227">
        <f t="shared" si="49"/>
        <v>0</v>
      </c>
      <c r="I165" s="227">
        <f t="shared" si="50"/>
        <v>13779323</v>
      </c>
      <c r="J165" s="227">
        <f t="shared" si="51"/>
        <v>1820300</v>
      </c>
      <c r="K165" s="227">
        <f t="shared" si="52"/>
        <v>7385852</v>
      </c>
      <c r="L165" s="227">
        <f t="shared" si="53"/>
        <v>3400098</v>
      </c>
      <c r="M165" s="3">
        <f t="shared" si="54"/>
        <v>0</v>
      </c>
      <c r="N165" s="227">
        <f t="shared" si="55"/>
        <v>0</v>
      </c>
      <c r="O165" s="142">
        <f t="shared" si="56"/>
        <v>37148138</v>
      </c>
      <c r="P165" s="3">
        <f t="shared" si="40"/>
        <v>26385573</v>
      </c>
      <c r="Q165" s="3">
        <f t="shared" si="41"/>
        <v>13779323</v>
      </c>
      <c r="R165" s="3">
        <f t="shared" si="42"/>
        <v>1820300</v>
      </c>
      <c r="S165" s="3">
        <f t="shared" si="43"/>
        <v>10785950</v>
      </c>
      <c r="T165" s="3">
        <f t="shared" si="44"/>
        <v>0</v>
      </c>
      <c r="U165" s="3">
        <f>IF($A$5=1,IF($P165=0,0,ROUND(Q165/$P165*$E165,2)),Credits!D164)+Credits!J164</f>
        <v>14540.419999999996</v>
      </c>
      <c r="V165" s="3">
        <f>IF($A$5=1,IF($P165=0,0,ROUND(R165/$P165*$E165,2)),Credits!E164)+Credits!K164</f>
        <v>1921.81</v>
      </c>
      <c r="W165" s="3">
        <f>IF($A$5=1,IF($P165=0,0,ROUND(S165/$P165*$E165,2)),Credits!F164)+Credits!L164</f>
        <v>11351.649999999998</v>
      </c>
      <c r="X165" s="3">
        <f>IF($A$5=1,IF($P165=0,0,ROUND(T165/$P165*$E165,2)),Credits!G164)+Credits!M164</f>
        <v>0</v>
      </c>
      <c r="Y165" s="3">
        <f t="shared" si="45"/>
        <v>27813.879999999994</v>
      </c>
      <c r="AC165" s="4"/>
      <c r="AD165" s="4"/>
      <c r="AE165" s="2">
        <f t="shared" si="46"/>
        <v>0</v>
      </c>
      <c r="AF165" s="170" t="s">
        <v>1120</v>
      </c>
      <c r="AG165" s="175">
        <v>535</v>
      </c>
      <c r="AH165" s="175">
        <v>1</v>
      </c>
      <c r="AI165" s="175">
        <v>1</v>
      </c>
      <c r="AJ165" s="176">
        <v>4184983</v>
      </c>
      <c r="AK165" s="176">
        <v>0</v>
      </c>
      <c r="AL165" s="176">
        <v>6577582</v>
      </c>
      <c r="AM165" s="176">
        <v>0</v>
      </c>
      <c r="AN165" s="177">
        <v>0</v>
      </c>
      <c r="AO165" s="177">
        <v>0</v>
      </c>
      <c r="AP165" s="177">
        <v>13779323</v>
      </c>
      <c r="AQ165" s="177">
        <v>0</v>
      </c>
      <c r="AR165" s="177">
        <v>1820300</v>
      </c>
      <c r="AS165" s="177">
        <v>0</v>
      </c>
      <c r="AT165" s="178">
        <v>7385852</v>
      </c>
      <c r="AU165" s="178">
        <v>0</v>
      </c>
      <c r="AV165" s="178">
        <v>3400098</v>
      </c>
      <c r="AW165" s="179">
        <v>0</v>
      </c>
      <c r="AX165" s="180">
        <v>0</v>
      </c>
      <c r="AY165" s="180">
        <v>0</v>
      </c>
      <c r="AZ165" s="180">
        <v>0</v>
      </c>
      <c r="BA165" s="180">
        <v>0</v>
      </c>
      <c r="BB165" s="170">
        <f t="shared" si="57"/>
        <v>37148138</v>
      </c>
      <c r="BC165" s="170">
        <v>37148137.82</v>
      </c>
      <c r="BD165" s="2">
        <f t="shared" si="58"/>
        <v>0.17999999970197678</v>
      </c>
    </row>
    <row r="166" spans="1:56" ht="12" x14ac:dyDescent="0.2">
      <c r="A166" s="4">
        <v>542</v>
      </c>
      <c r="B166" s="4">
        <v>1</v>
      </c>
      <c r="C166" s="2" t="s">
        <v>165</v>
      </c>
      <c r="D166" s="3">
        <v>0</v>
      </c>
      <c r="E166" s="3">
        <v>0</v>
      </c>
      <c r="F166" s="227">
        <f t="shared" si="47"/>
        <v>282391.55</v>
      </c>
      <c r="G166" s="227">
        <f t="shared" si="48"/>
        <v>67667.47</v>
      </c>
      <c r="H166" s="227">
        <f t="shared" si="49"/>
        <v>275800</v>
      </c>
      <c r="I166" s="227">
        <f t="shared" si="50"/>
        <v>281063.84999999998</v>
      </c>
      <c r="J166" s="227">
        <f t="shared" si="51"/>
        <v>50101.46</v>
      </c>
      <c r="K166" s="227">
        <f t="shared" si="52"/>
        <v>585679.04</v>
      </c>
      <c r="L166" s="227">
        <f t="shared" si="53"/>
        <v>0</v>
      </c>
      <c r="M166" s="3">
        <f t="shared" si="54"/>
        <v>0</v>
      </c>
      <c r="N166" s="227">
        <f t="shared" si="55"/>
        <v>0</v>
      </c>
      <c r="O166" s="142">
        <f t="shared" si="56"/>
        <v>1542703.37</v>
      </c>
      <c r="P166" s="3">
        <f t="shared" si="40"/>
        <v>1192644.3500000001</v>
      </c>
      <c r="Q166" s="3">
        <f t="shared" si="41"/>
        <v>556863.85</v>
      </c>
      <c r="R166" s="3">
        <f t="shared" si="42"/>
        <v>50101.46</v>
      </c>
      <c r="S166" s="3">
        <f t="shared" si="43"/>
        <v>585679.04</v>
      </c>
      <c r="T166" s="3">
        <f t="shared" si="44"/>
        <v>0</v>
      </c>
      <c r="U166" s="3">
        <f>IF($A$5=1,IF($P166=0,0,ROUND(Q166/$P166*$E166,2)),Credits!D165)+Credits!J165</f>
        <v>4368.0600000000004</v>
      </c>
      <c r="V166" s="3">
        <f>IF($A$5=1,IF($P166=0,0,ROUND(R166/$P166*$E166,2)),Credits!E165)+Credits!K165</f>
        <v>393.06999999999994</v>
      </c>
      <c r="W166" s="3">
        <f>IF($A$5=1,IF($P166=0,0,ROUND(S166/$P166*$E166,2)),Credits!F165)+Credits!L165</f>
        <v>4593.7</v>
      </c>
      <c r="X166" s="3">
        <f>IF($A$5=1,IF($P166=0,0,ROUND(T166/$P166*$E166,2)),Credits!G165)+Credits!M165</f>
        <v>0</v>
      </c>
      <c r="Y166" s="3">
        <f t="shared" si="45"/>
        <v>9354.83</v>
      </c>
      <c r="AC166" s="4"/>
      <c r="AD166" s="4"/>
      <c r="AE166" s="2">
        <f t="shared" si="46"/>
        <v>0</v>
      </c>
      <c r="AF166" s="170" t="s">
        <v>1120</v>
      </c>
      <c r="AG166" s="175">
        <v>542</v>
      </c>
      <c r="AH166" s="175">
        <v>1</v>
      </c>
      <c r="AI166" s="175">
        <v>1</v>
      </c>
      <c r="AJ166" s="176">
        <v>282391.55</v>
      </c>
      <c r="AK166" s="176">
        <v>0</v>
      </c>
      <c r="AL166" s="176">
        <v>67667.47</v>
      </c>
      <c r="AM166" s="176">
        <v>0</v>
      </c>
      <c r="AN166" s="177">
        <v>275800</v>
      </c>
      <c r="AO166" s="177">
        <v>0</v>
      </c>
      <c r="AP166" s="177">
        <v>281063.84999999998</v>
      </c>
      <c r="AQ166" s="177">
        <v>0</v>
      </c>
      <c r="AR166" s="177">
        <v>50101.46</v>
      </c>
      <c r="AS166" s="177">
        <v>0</v>
      </c>
      <c r="AT166" s="178">
        <v>585679.04</v>
      </c>
      <c r="AU166" s="178">
        <v>0</v>
      </c>
      <c r="AV166" s="178">
        <v>0</v>
      </c>
      <c r="AW166" s="179">
        <v>0</v>
      </c>
      <c r="AX166" s="180">
        <v>0</v>
      </c>
      <c r="AY166" s="180">
        <v>0</v>
      </c>
      <c r="AZ166" s="180">
        <v>0</v>
      </c>
      <c r="BA166" s="180">
        <v>0</v>
      </c>
      <c r="BB166" s="170">
        <f t="shared" si="57"/>
        <v>1542703.37</v>
      </c>
      <c r="BC166" s="170">
        <v>1542703.37</v>
      </c>
      <c r="BD166" s="2">
        <f t="shared" si="58"/>
        <v>0</v>
      </c>
    </row>
    <row r="167" spans="1:56" ht="12" x14ac:dyDescent="0.2">
      <c r="A167" s="4">
        <v>544</v>
      </c>
      <c r="B167" s="4">
        <v>1</v>
      </c>
      <c r="C167" s="2" t="s">
        <v>166</v>
      </c>
      <c r="D167" s="3">
        <v>0</v>
      </c>
      <c r="E167" s="3">
        <v>0</v>
      </c>
      <c r="F167" s="227">
        <f t="shared" si="47"/>
        <v>0</v>
      </c>
      <c r="G167" s="227">
        <f t="shared" si="48"/>
        <v>1364240.49</v>
      </c>
      <c r="H167" s="227">
        <f t="shared" si="49"/>
        <v>0</v>
      </c>
      <c r="I167" s="227">
        <f t="shared" si="50"/>
        <v>938755.69</v>
      </c>
      <c r="J167" s="227">
        <f t="shared" si="51"/>
        <v>229733.84</v>
      </c>
      <c r="K167" s="227">
        <f t="shared" si="52"/>
        <v>2383218.29</v>
      </c>
      <c r="L167" s="227">
        <f t="shared" si="53"/>
        <v>0</v>
      </c>
      <c r="M167" s="3">
        <f t="shared" si="54"/>
        <v>0</v>
      </c>
      <c r="N167" s="227">
        <f t="shared" si="55"/>
        <v>0</v>
      </c>
      <c r="O167" s="142">
        <f t="shared" si="56"/>
        <v>4915948.3099999996</v>
      </c>
      <c r="P167" s="3">
        <f t="shared" si="40"/>
        <v>3551707.8200000003</v>
      </c>
      <c r="Q167" s="3">
        <f t="shared" si="41"/>
        <v>938755.69</v>
      </c>
      <c r="R167" s="3">
        <f t="shared" si="42"/>
        <v>229733.84</v>
      </c>
      <c r="S167" s="3">
        <f t="shared" si="43"/>
        <v>2383218.29</v>
      </c>
      <c r="T167" s="3">
        <f t="shared" si="44"/>
        <v>0</v>
      </c>
      <c r="U167" s="3">
        <f>IF($A$5=1,IF($P167=0,0,ROUND(Q167/$P167*$E167,2)),Credits!D166)+Credits!J166</f>
        <v>9355.869999999999</v>
      </c>
      <c r="V167" s="3">
        <f>IF($A$5=1,IF($P167=0,0,ROUND(R167/$P167*$E167,2)),Credits!E166)+Credits!K166</f>
        <v>2289.1</v>
      </c>
      <c r="W167" s="3">
        <f>IF($A$5=1,IF($P167=0,0,ROUND(S167/$P167*$E167,2)),Credits!F166)+Credits!L166</f>
        <v>23179.67</v>
      </c>
      <c r="X167" s="3">
        <f>IF($A$5=1,IF($P167=0,0,ROUND(T167/$P167*$E167,2)),Credits!G166)+Credits!M166</f>
        <v>0</v>
      </c>
      <c r="Y167" s="3">
        <f t="shared" si="45"/>
        <v>34824.639999999999</v>
      </c>
      <c r="AC167" s="4"/>
      <c r="AD167" s="4"/>
      <c r="AE167" s="2">
        <f t="shared" si="46"/>
        <v>0</v>
      </c>
      <c r="AF167" s="170" t="s">
        <v>1120</v>
      </c>
      <c r="AG167" s="175">
        <v>544</v>
      </c>
      <c r="AH167" s="175">
        <v>1</v>
      </c>
      <c r="AI167" s="175">
        <v>1</v>
      </c>
      <c r="AJ167" s="176">
        <v>0</v>
      </c>
      <c r="AK167" s="176">
        <v>0</v>
      </c>
      <c r="AL167" s="176">
        <v>1364240.49</v>
      </c>
      <c r="AM167" s="176">
        <v>0</v>
      </c>
      <c r="AN167" s="177">
        <v>0</v>
      </c>
      <c r="AO167" s="177">
        <v>0</v>
      </c>
      <c r="AP167" s="177">
        <v>938755.69</v>
      </c>
      <c r="AQ167" s="177">
        <v>0</v>
      </c>
      <c r="AR167" s="177">
        <v>229733.84</v>
      </c>
      <c r="AS167" s="177">
        <v>0</v>
      </c>
      <c r="AT167" s="178">
        <v>2383218.29</v>
      </c>
      <c r="AU167" s="178">
        <v>0</v>
      </c>
      <c r="AV167" s="178">
        <v>0</v>
      </c>
      <c r="AW167" s="179">
        <v>0</v>
      </c>
      <c r="AX167" s="180">
        <v>0</v>
      </c>
      <c r="AY167" s="180">
        <v>0</v>
      </c>
      <c r="AZ167" s="180">
        <v>0</v>
      </c>
      <c r="BA167" s="180">
        <v>0</v>
      </c>
      <c r="BB167" s="170">
        <f t="shared" si="57"/>
        <v>4915948.3099999996</v>
      </c>
      <c r="BC167" s="170">
        <v>4915948.3099999996</v>
      </c>
      <c r="BD167" s="2">
        <f t="shared" si="58"/>
        <v>0</v>
      </c>
    </row>
    <row r="168" spans="1:56" ht="12" x14ac:dyDescent="0.2">
      <c r="A168" s="4">
        <v>545</v>
      </c>
      <c r="B168" s="4">
        <v>1</v>
      </c>
      <c r="C168" s="2" t="s">
        <v>167</v>
      </c>
      <c r="D168" s="3">
        <v>0</v>
      </c>
      <c r="E168" s="3">
        <v>0</v>
      </c>
      <c r="F168" s="227">
        <f t="shared" si="47"/>
        <v>415392.92</v>
      </c>
      <c r="G168" s="227">
        <f t="shared" si="48"/>
        <v>28060.1</v>
      </c>
      <c r="H168" s="227">
        <f t="shared" si="49"/>
        <v>0</v>
      </c>
      <c r="I168" s="227">
        <f t="shared" si="50"/>
        <v>203994.81</v>
      </c>
      <c r="J168" s="227">
        <f t="shared" si="51"/>
        <v>40782.97</v>
      </c>
      <c r="K168" s="227">
        <f t="shared" si="52"/>
        <v>0</v>
      </c>
      <c r="L168" s="227">
        <f t="shared" si="53"/>
        <v>0</v>
      </c>
      <c r="M168" s="3">
        <f t="shared" si="54"/>
        <v>0</v>
      </c>
      <c r="N168" s="227">
        <f t="shared" si="55"/>
        <v>0</v>
      </c>
      <c r="O168" s="142">
        <f t="shared" si="56"/>
        <v>688230.79999999993</v>
      </c>
      <c r="P168" s="3">
        <f t="shared" si="40"/>
        <v>244777.78</v>
      </c>
      <c r="Q168" s="3">
        <f t="shared" si="41"/>
        <v>203994.81</v>
      </c>
      <c r="R168" s="3">
        <f t="shared" si="42"/>
        <v>40782.97</v>
      </c>
      <c r="S168" s="3">
        <f t="shared" si="43"/>
        <v>0</v>
      </c>
      <c r="T168" s="3">
        <f t="shared" si="44"/>
        <v>0</v>
      </c>
      <c r="U168" s="3">
        <f>IF($A$5=1,IF($P168=0,0,ROUND(Q168/$P168*$E168,2)),Credits!D167)+Credits!J167</f>
        <v>6251.5</v>
      </c>
      <c r="V168" s="3">
        <f>IF($A$5=1,IF($P168=0,0,ROUND(R168/$P168*$E168,2)),Credits!E167)+Credits!K167</f>
        <v>1249.51</v>
      </c>
      <c r="W168" s="3">
        <f>IF($A$5=1,IF($P168=0,0,ROUND(S168/$P168*$E168,2)),Credits!F167)+Credits!L167</f>
        <v>0</v>
      </c>
      <c r="X168" s="3">
        <f>IF($A$5=1,IF($P168=0,0,ROUND(T168/$P168*$E168,2)),Credits!G167)+Credits!M167</f>
        <v>0</v>
      </c>
      <c r="Y168" s="3">
        <f t="shared" si="45"/>
        <v>7501.01</v>
      </c>
      <c r="AC168" s="4"/>
      <c r="AD168" s="4"/>
      <c r="AE168" s="2">
        <f t="shared" si="46"/>
        <v>0</v>
      </c>
      <c r="AF168" s="170" t="s">
        <v>1120</v>
      </c>
      <c r="AG168" s="175">
        <v>545</v>
      </c>
      <c r="AH168" s="175">
        <v>1</v>
      </c>
      <c r="AI168" s="175">
        <v>1</v>
      </c>
      <c r="AJ168" s="176">
        <v>415392.92</v>
      </c>
      <c r="AK168" s="176">
        <v>0</v>
      </c>
      <c r="AL168" s="176">
        <v>28060.1</v>
      </c>
      <c r="AM168" s="176">
        <v>0</v>
      </c>
      <c r="AN168" s="177">
        <v>0</v>
      </c>
      <c r="AO168" s="177">
        <v>0</v>
      </c>
      <c r="AP168" s="177">
        <v>203994.81</v>
      </c>
      <c r="AQ168" s="177">
        <v>0</v>
      </c>
      <c r="AR168" s="177">
        <v>40782.97</v>
      </c>
      <c r="AS168" s="177">
        <v>0</v>
      </c>
      <c r="AT168" s="178">
        <v>0</v>
      </c>
      <c r="AU168" s="178">
        <v>0</v>
      </c>
      <c r="AV168" s="178">
        <v>0</v>
      </c>
      <c r="AW168" s="179">
        <v>0</v>
      </c>
      <c r="AX168" s="180">
        <v>0</v>
      </c>
      <c r="AY168" s="180">
        <v>0</v>
      </c>
      <c r="AZ168" s="180">
        <v>0</v>
      </c>
      <c r="BA168" s="180">
        <v>0</v>
      </c>
      <c r="BB168" s="170">
        <f t="shared" si="57"/>
        <v>688230.79999999993</v>
      </c>
      <c r="BC168" s="170">
        <v>688230.8</v>
      </c>
      <c r="BD168" s="2">
        <f t="shared" si="58"/>
        <v>0</v>
      </c>
    </row>
    <row r="169" spans="1:56" ht="12" x14ac:dyDescent="0.2">
      <c r="A169" s="4">
        <v>547</v>
      </c>
      <c r="B169" s="4">
        <v>1</v>
      </c>
      <c r="C169" s="2" t="s">
        <v>168</v>
      </c>
      <c r="D169" s="3">
        <v>0</v>
      </c>
      <c r="E169" s="3">
        <v>0</v>
      </c>
      <c r="F169" s="227">
        <f t="shared" si="47"/>
        <v>441183.81</v>
      </c>
      <c r="G169" s="227">
        <f t="shared" si="48"/>
        <v>39230.730000000003</v>
      </c>
      <c r="H169" s="227">
        <f t="shared" si="49"/>
        <v>100000</v>
      </c>
      <c r="I169" s="227">
        <f t="shared" si="50"/>
        <v>95183.32</v>
      </c>
      <c r="J169" s="227">
        <f t="shared" si="51"/>
        <v>39567.61</v>
      </c>
      <c r="K169" s="227">
        <f t="shared" si="52"/>
        <v>304216.03000000003</v>
      </c>
      <c r="L169" s="227">
        <f t="shared" si="53"/>
        <v>86065.08</v>
      </c>
      <c r="M169" s="3">
        <f t="shared" si="54"/>
        <v>0</v>
      </c>
      <c r="N169" s="227">
        <f t="shared" si="55"/>
        <v>0</v>
      </c>
      <c r="O169" s="142">
        <f t="shared" si="56"/>
        <v>1105446.58</v>
      </c>
      <c r="P169" s="3">
        <f t="shared" si="40"/>
        <v>625032.03999999992</v>
      </c>
      <c r="Q169" s="3">
        <f t="shared" si="41"/>
        <v>195183.32</v>
      </c>
      <c r="R169" s="3">
        <f t="shared" si="42"/>
        <v>39567.61</v>
      </c>
      <c r="S169" s="3">
        <f t="shared" si="43"/>
        <v>390281.11000000004</v>
      </c>
      <c r="T169" s="3">
        <f t="shared" si="44"/>
        <v>0</v>
      </c>
      <c r="U169" s="3">
        <f>IF($A$5=1,IF($P169=0,0,ROUND(Q169/$P169*$E169,2)),Credits!D168)+Credits!J168</f>
        <v>5526.8300000000008</v>
      </c>
      <c r="V169" s="3">
        <f>IF($A$5=1,IF($P169=0,0,ROUND(R169/$P169*$E169,2)),Credits!E168)+Credits!K168</f>
        <v>1120.7900000000002</v>
      </c>
      <c r="W169" s="3">
        <f>IF($A$5=1,IF($P169=0,0,ROUND(S169/$P169*$E169,2)),Credits!F168)+Credits!L168</f>
        <v>11021.34</v>
      </c>
      <c r="X169" s="3">
        <f>IF($A$5=1,IF($P169=0,0,ROUND(T169/$P169*$E169,2)),Credits!G168)+Credits!M168</f>
        <v>0</v>
      </c>
      <c r="Y169" s="3">
        <f t="shared" si="45"/>
        <v>17668.96</v>
      </c>
      <c r="AC169" s="4"/>
      <c r="AD169" s="4"/>
      <c r="AE169" s="2">
        <f t="shared" si="46"/>
        <v>0</v>
      </c>
      <c r="AF169" s="170" t="s">
        <v>1120</v>
      </c>
      <c r="AG169" s="175">
        <v>547</v>
      </c>
      <c r="AH169" s="175">
        <v>1</v>
      </c>
      <c r="AI169" s="175">
        <v>1</v>
      </c>
      <c r="AJ169" s="176">
        <v>441183.81</v>
      </c>
      <c r="AK169" s="176">
        <v>0</v>
      </c>
      <c r="AL169" s="176">
        <v>39230.730000000003</v>
      </c>
      <c r="AM169" s="176">
        <v>0</v>
      </c>
      <c r="AN169" s="177">
        <v>100000</v>
      </c>
      <c r="AO169" s="177">
        <v>0</v>
      </c>
      <c r="AP169" s="177">
        <v>95183.32</v>
      </c>
      <c r="AQ169" s="177">
        <v>0</v>
      </c>
      <c r="AR169" s="177">
        <v>39567.61</v>
      </c>
      <c r="AS169" s="177">
        <v>0</v>
      </c>
      <c r="AT169" s="178">
        <v>304216.03000000003</v>
      </c>
      <c r="AU169" s="178">
        <v>0</v>
      </c>
      <c r="AV169" s="178">
        <v>86065.08</v>
      </c>
      <c r="AW169" s="179">
        <v>0</v>
      </c>
      <c r="AX169" s="180">
        <v>0</v>
      </c>
      <c r="AY169" s="180">
        <v>0</v>
      </c>
      <c r="AZ169" s="180">
        <v>0</v>
      </c>
      <c r="BA169" s="180">
        <v>0</v>
      </c>
      <c r="BB169" s="170">
        <f t="shared" si="57"/>
        <v>1105446.58</v>
      </c>
      <c r="BC169" s="170">
        <v>1105446.58</v>
      </c>
      <c r="BD169" s="2">
        <f t="shared" si="58"/>
        <v>0</v>
      </c>
    </row>
    <row r="170" spans="1:56" ht="12" x14ac:dyDescent="0.2">
      <c r="A170" s="4">
        <v>548</v>
      </c>
      <c r="B170" s="4">
        <v>1</v>
      </c>
      <c r="C170" s="2" t="s">
        <v>169</v>
      </c>
      <c r="D170" s="3">
        <v>0</v>
      </c>
      <c r="E170" s="3">
        <v>0</v>
      </c>
      <c r="F170" s="227">
        <f t="shared" si="47"/>
        <v>614596.78</v>
      </c>
      <c r="G170" s="227">
        <f t="shared" si="48"/>
        <v>134285.38</v>
      </c>
      <c r="H170" s="227">
        <f t="shared" si="49"/>
        <v>0</v>
      </c>
      <c r="I170" s="227">
        <f t="shared" si="50"/>
        <v>418693.39</v>
      </c>
      <c r="J170" s="227">
        <f t="shared" si="51"/>
        <v>102054.47</v>
      </c>
      <c r="K170" s="227">
        <f t="shared" si="52"/>
        <v>1494280.04</v>
      </c>
      <c r="L170" s="227">
        <f t="shared" si="53"/>
        <v>613885</v>
      </c>
      <c r="M170" s="3">
        <f t="shared" si="54"/>
        <v>0</v>
      </c>
      <c r="N170" s="227">
        <f t="shared" si="55"/>
        <v>137281.29</v>
      </c>
      <c r="O170" s="142">
        <f t="shared" si="56"/>
        <v>3515076.35</v>
      </c>
      <c r="P170" s="3">
        <f t="shared" si="40"/>
        <v>2766194.19</v>
      </c>
      <c r="Q170" s="3">
        <f t="shared" si="41"/>
        <v>418693.39</v>
      </c>
      <c r="R170" s="3">
        <f t="shared" si="42"/>
        <v>102054.47</v>
      </c>
      <c r="S170" s="3">
        <f t="shared" si="43"/>
        <v>2108165.04</v>
      </c>
      <c r="T170" s="3">
        <f t="shared" si="44"/>
        <v>137281.29</v>
      </c>
      <c r="U170" s="3">
        <f>IF($A$5=1,IF($P170=0,0,ROUND(Q170/$P170*$E170,2)),Credits!D169)+Credits!J169</f>
        <v>3845.41</v>
      </c>
      <c r="V170" s="3">
        <f>IF($A$5=1,IF($P170=0,0,ROUND(R170/$P170*$E170,2)),Credits!E169)+Credits!K169</f>
        <v>937.69999999999993</v>
      </c>
      <c r="W170" s="3">
        <f>IF($A$5=1,IF($P170=0,0,ROUND(S170/$P170*$E170,2)),Credits!F169)+Credits!L169</f>
        <v>19360.68</v>
      </c>
      <c r="X170" s="3">
        <f>IF($A$5=1,IF($P170=0,0,ROUND(T170/$P170*$E170,2)),Credits!G169)+Credits!M169</f>
        <v>1260.4900000000002</v>
      </c>
      <c r="Y170" s="3">
        <f t="shared" si="45"/>
        <v>25404.280000000002</v>
      </c>
      <c r="AC170" s="4"/>
      <c r="AD170" s="4"/>
      <c r="AE170" s="2">
        <f t="shared" si="46"/>
        <v>0</v>
      </c>
      <c r="AF170" s="170" t="s">
        <v>1120</v>
      </c>
      <c r="AG170" s="175">
        <v>548</v>
      </c>
      <c r="AH170" s="175">
        <v>1</v>
      </c>
      <c r="AI170" s="175">
        <v>1</v>
      </c>
      <c r="AJ170" s="176">
        <v>614596.78</v>
      </c>
      <c r="AK170" s="176">
        <v>0</v>
      </c>
      <c r="AL170" s="176">
        <v>134285.38</v>
      </c>
      <c r="AM170" s="176">
        <v>0</v>
      </c>
      <c r="AN170" s="177">
        <v>0</v>
      </c>
      <c r="AO170" s="177">
        <v>0</v>
      </c>
      <c r="AP170" s="177">
        <v>418693.39</v>
      </c>
      <c r="AQ170" s="177">
        <v>0</v>
      </c>
      <c r="AR170" s="177">
        <v>102054.47</v>
      </c>
      <c r="AS170" s="177">
        <v>0</v>
      </c>
      <c r="AT170" s="178">
        <v>1494280.04</v>
      </c>
      <c r="AU170" s="178">
        <v>0</v>
      </c>
      <c r="AV170" s="178">
        <v>613885</v>
      </c>
      <c r="AW170" s="179">
        <v>0</v>
      </c>
      <c r="AX170" s="180">
        <v>0</v>
      </c>
      <c r="AY170" s="180">
        <v>0</v>
      </c>
      <c r="AZ170" s="180">
        <v>137281.29</v>
      </c>
      <c r="BA170" s="180">
        <v>0</v>
      </c>
      <c r="BB170" s="170">
        <f t="shared" si="57"/>
        <v>3515076.35</v>
      </c>
      <c r="BC170" s="170">
        <v>3515076.35</v>
      </c>
      <c r="BD170" s="2">
        <f t="shared" si="58"/>
        <v>0</v>
      </c>
    </row>
    <row r="171" spans="1:56" ht="12" x14ac:dyDescent="0.2">
      <c r="A171" s="4">
        <v>549</v>
      </c>
      <c r="B171" s="4">
        <v>1</v>
      </c>
      <c r="C171" s="2" t="s">
        <v>1187</v>
      </c>
      <c r="D171" s="3">
        <v>0</v>
      </c>
      <c r="E171" s="3">
        <v>0</v>
      </c>
      <c r="F171" s="227">
        <f t="shared" si="47"/>
        <v>2552.7199999999998</v>
      </c>
      <c r="G171" s="227">
        <f t="shared" si="48"/>
        <v>613282.76</v>
      </c>
      <c r="H171" s="227">
        <f t="shared" si="49"/>
        <v>416947</v>
      </c>
      <c r="I171" s="227">
        <f t="shared" si="50"/>
        <v>624881.56000000006</v>
      </c>
      <c r="J171" s="227">
        <f t="shared" si="51"/>
        <v>136526.75</v>
      </c>
      <c r="K171" s="227">
        <f t="shared" si="52"/>
        <v>0</v>
      </c>
      <c r="L171" s="227">
        <f t="shared" si="53"/>
        <v>93130.49</v>
      </c>
      <c r="M171" s="3">
        <f t="shared" si="54"/>
        <v>0</v>
      </c>
      <c r="N171" s="227">
        <f t="shared" si="55"/>
        <v>1137929.1299999999</v>
      </c>
      <c r="O171" s="142">
        <f t="shared" si="56"/>
        <v>3025250.41</v>
      </c>
      <c r="P171" s="3">
        <f t="shared" si="40"/>
        <v>2409414.9299999997</v>
      </c>
      <c r="Q171" s="3">
        <f t="shared" si="41"/>
        <v>1041828.56</v>
      </c>
      <c r="R171" s="3">
        <f t="shared" si="42"/>
        <v>136526.75</v>
      </c>
      <c r="S171" s="3">
        <f t="shared" si="43"/>
        <v>93130.49</v>
      </c>
      <c r="T171" s="3">
        <f t="shared" si="44"/>
        <v>1137929.1299999999</v>
      </c>
      <c r="U171" s="3">
        <f>IF($A$5=1,IF($P171=0,0,ROUND(Q171/$P171*$E171,2)),Credits!D170)+Credits!J170</f>
        <v>10185.460000000003</v>
      </c>
      <c r="V171" s="3">
        <f>IF($A$5=1,IF($P171=0,0,ROUND(R171/$P171*$E171,2)),Credits!E170)+Credits!K170</f>
        <v>1333.95</v>
      </c>
      <c r="W171" s="3">
        <f>IF($A$5=1,IF($P171=0,0,ROUND(S171/$P171*$E171,2)),Credits!F170)+Credits!L170</f>
        <v>899.29999999999984</v>
      </c>
      <c r="X171" s="3">
        <f>IF($A$5=1,IF($P171=0,0,ROUND(T171/$P171*$E171,2)),Credits!G170)+Credits!M170</f>
        <v>10994.83</v>
      </c>
      <c r="Y171" s="3">
        <f t="shared" si="45"/>
        <v>23413.54</v>
      </c>
      <c r="AC171" s="4"/>
      <c r="AD171" s="4"/>
      <c r="AE171" s="2">
        <f t="shared" si="46"/>
        <v>0</v>
      </c>
      <c r="AF171" s="170" t="s">
        <v>1120</v>
      </c>
      <c r="AG171" s="175">
        <v>549</v>
      </c>
      <c r="AH171" s="175">
        <v>1</v>
      </c>
      <c r="AI171" s="175">
        <v>1</v>
      </c>
      <c r="AJ171" s="176">
        <v>2552.7199999999998</v>
      </c>
      <c r="AK171" s="176">
        <v>0</v>
      </c>
      <c r="AL171" s="176">
        <v>613282.76</v>
      </c>
      <c r="AM171" s="176">
        <v>0</v>
      </c>
      <c r="AN171" s="177">
        <v>416947</v>
      </c>
      <c r="AO171" s="177">
        <v>0</v>
      </c>
      <c r="AP171" s="177">
        <v>624881.56000000006</v>
      </c>
      <c r="AQ171" s="177">
        <v>0</v>
      </c>
      <c r="AR171" s="177">
        <v>136526.75</v>
      </c>
      <c r="AS171" s="177">
        <v>0</v>
      </c>
      <c r="AT171" s="178">
        <v>0</v>
      </c>
      <c r="AU171" s="178">
        <v>0</v>
      </c>
      <c r="AV171" s="178">
        <v>93130.49</v>
      </c>
      <c r="AW171" s="179">
        <v>0</v>
      </c>
      <c r="AX171" s="180">
        <v>0</v>
      </c>
      <c r="AY171" s="180">
        <v>0</v>
      </c>
      <c r="AZ171" s="180">
        <v>1137929.1299999999</v>
      </c>
      <c r="BA171" s="180">
        <v>0</v>
      </c>
      <c r="BB171" s="170">
        <f t="shared" si="57"/>
        <v>3025250.41</v>
      </c>
      <c r="BC171" s="170">
        <v>3025250.41</v>
      </c>
      <c r="BD171" s="2">
        <f t="shared" si="58"/>
        <v>0</v>
      </c>
    </row>
    <row r="172" spans="1:56" ht="12" x14ac:dyDescent="0.2">
      <c r="A172" s="4">
        <v>550</v>
      </c>
      <c r="B172" s="4">
        <v>1</v>
      </c>
      <c r="C172" s="2" t="s">
        <v>171</v>
      </c>
      <c r="D172" s="3">
        <v>0</v>
      </c>
      <c r="E172" s="3">
        <v>0</v>
      </c>
      <c r="F172" s="227">
        <f t="shared" si="47"/>
        <v>0</v>
      </c>
      <c r="G172" s="227">
        <f t="shared" si="48"/>
        <v>73448.11</v>
      </c>
      <c r="H172" s="227">
        <f t="shared" si="49"/>
        <v>0</v>
      </c>
      <c r="I172" s="227">
        <f t="shared" si="50"/>
        <v>16502.93</v>
      </c>
      <c r="J172" s="227">
        <f t="shared" si="51"/>
        <v>31445.86</v>
      </c>
      <c r="K172" s="227">
        <f t="shared" si="52"/>
        <v>534768.21</v>
      </c>
      <c r="L172" s="227">
        <f t="shared" si="53"/>
        <v>106748.92</v>
      </c>
      <c r="M172" s="3">
        <f t="shared" si="54"/>
        <v>0</v>
      </c>
      <c r="N172" s="227">
        <f t="shared" si="55"/>
        <v>0</v>
      </c>
      <c r="O172" s="142">
        <f t="shared" si="56"/>
        <v>762914.03</v>
      </c>
      <c r="P172" s="3">
        <f t="shared" si="40"/>
        <v>689465.92</v>
      </c>
      <c r="Q172" s="3">
        <f t="shared" si="41"/>
        <v>16502.93</v>
      </c>
      <c r="R172" s="3">
        <f t="shared" si="42"/>
        <v>31445.86</v>
      </c>
      <c r="S172" s="3">
        <f t="shared" si="43"/>
        <v>641517.13</v>
      </c>
      <c r="T172" s="3">
        <f t="shared" si="44"/>
        <v>0</v>
      </c>
      <c r="U172" s="3">
        <f>IF($A$5=1,IF($P172=0,0,ROUND(Q172/$P172*$E172,2)),Credits!D171)+Credits!J171</f>
        <v>408.08000000000021</v>
      </c>
      <c r="V172" s="3">
        <f>IF($A$5=1,IF($P172=0,0,ROUND(R172/$P172*$E172,2)),Credits!E171)+Credits!K171</f>
        <v>778.3900000000001</v>
      </c>
      <c r="W172" s="3">
        <f>IF($A$5=1,IF($P172=0,0,ROUND(S172/$P172*$E172,2)),Credits!F171)+Credits!L171</f>
        <v>15873.840000000002</v>
      </c>
      <c r="X172" s="3">
        <f>IF($A$5=1,IF($P172=0,0,ROUND(T172/$P172*$E172,2)),Credits!G171)+Credits!M171</f>
        <v>0</v>
      </c>
      <c r="Y172" s="3">
        <f t="shared" si="45"/>
        <v>17060.310000000001</v>
      </c>
      <c r="AC172" s="4"/>
      <c r="AD172" s="4"/>
      <c r="AE172" s="2">
        <f t="shared" si="46"/>
        <v>0</v>
      </c>
      <c r="AF172" s="170" t="s">
        <v>1120</v>
      </c>
      <c r="AG172" s="175">
        <v>550</v>
      </c>
      <c r="AH172" s="175">
        <v>1</v>
      </c>
      <c r="AI172" s="175">
        <v>1</v>
      </c>
      <c r="AJ172" s="176">
        <v>0</v>
      </c>
      <c r="AK172" s="176">
        <v>0</v>
      </c>
      <c r="AL172" s="176">
        <v>73448.11</v>
      </c>
      <c r="AM172" s="176">
        <v>0</v>
      </c>
      <c r="AN172" s="177">
        <v>0</v>
      </c>
      <c r="AO172" s="177">
        <v>0</v>
      </c>
      <c r="AP172" s="177">
        <v>16502.93</v>
      </c>
      <c r="AQ172" s="177">
        <v>0</v>
      </c>
      <c r="AR172" s="177">
        <v>31445.86</v>
      </c>
      <c r="AS172" s="177">
        <v>0</v>
      </c>
      <c r="AT172" s="178">
        <v>534768.21</v>
      </c>
      <c r="AU172" s="178">
        <v>0</v>
      </c>
      <c r="AV172" s="178">
        <v>106748.92</v>
      </c>
      <c r="AW172" s="179">
        <v>0</v>
      </c>
      <c r="AX172" s="180">
        <v>0</v>
      </c>
      <c r="AY172" s="180">
        <v>0</v>
      </c>
      <c r="AZ172" s="180">
        <v>0</v>
      </c>
      <c r="BA172" s="180">
        <v>0</v>
      </c>
      <c r="BB172" s="170">
        <f t="shared" si="57"/>
        <v>762914.03</v>
      </c>
      <c r="BC172" s="170">
        <v>762914.03</v>
      </c>
      <c r="BD172" s="2">
        <f t="shared" si="58"/>
        <v>0</v>
      </c>
    </row>
    <row r="173" spans="1:56" ht="12" x14ac:dyDescent="0.2">
      <c r="A173" s="4">
        <v>553</v>
      </c>
      <c r="B173" s="4">
        <v>1</v>
      </c>
      <c r="C173" s="2" t="s">
        <v>172</v>
      </c>
      <c r="D173" s="3">
        <v>0</v>
      </c>
      <c r="E173" s="3">
        <v>0</v>
      </c>
      <c r="F173" s="227">
        <f t="shared" si="47"/>
        <v>151091.4</v>
      </c>
      <c r="G173" s="227">
        <f t="shared" si="48"/>
        <v>50782.77</v>
      </c>
      <c r="H173" s="227">
        <f t="shared" si="49"/>
        <v>0</v>
      </c>
      <c r="I173" s="227">
        <f t="shared" si="50"/>
        <v>51752.63</v>
      </c>
      <c r="J173" s="227">
        <f t="shared" si="51"/>
        <v>39099.01</v>
      </c>
      <c r="K173" s="227">
        <f t="shared" si="52"/>
        <v>565493.61</v>
      </c>
      <c r="L173" s="227">
        <f t="shared" si="53"/>
        <v>82570.960000000006</v>
      </c>
      <c r="M173" s="3">
        <f t="shared" si="54"/>
        <v>0</v>
      </c>
      <c r="N173" s="227">
        <f t="shared" si="55"/>
        <v>0</v>
      </c>
      <c r="O173" s="142">
        <f t="shared" si="56"/>
        <v>940790.37999999989</v>
      </c>
      <c r="P173" s="3">
        <f t="shared" si="40"/>
        <v>738916.21</v>
      </c>
      <c r="Q173" s="3">
        <f t="shared" si="41"/>
        <v>51752.63</v>
      </c>
      <c r="R173" s="3">
        <f t="shared" si="42"/>
        <v>39099.01</v>
      </c>
      <c r="S173" s="3">
        <f t="shared" si="43"/>
        <v>648064.56999999995</v>
      </c>
      <c r="T173" s="3">
        <f t="shared" si="44"/>
        <v>0</v>
      </c>
      <c r="U173" s="3">
        <f>IF($A$5=1,IF($P173=0,0,ROUND(Q173/$P173*$E173,2)),Credits!D172)+Credits!J172</f>
        <v>2707.4300000000003</v>
      </c>
      <c r="V173" s="3">
        <f>IF($A$5=1,IF($P173=0,0,ROUND(R173/$P173*$E173,2)),Credits!E172)+Credits!K172</f>
        <v>2045.0299999999997</v>
      </c>
      <c r="W173" s="3">
        <f>IF($A$5=1,IF($P173=0,0,ROUND(S173/$P173*$E173,2)),Credits!F172)+Credits!L172</f>
        <v>33761.089999999997</v>
      </c>
      <c r="X173" s="3">
        <f>IF($A$5=1,IF($P173=0,0,ROUND(T173/$P173*$E173,2)),Credits!G172)+Credits!M172</f>
        <v>0</v>
      </c>
      <c r="Y173" s="3">
        <f t="shared" si="45"/>
        <v>38513.549999999996</v>
      </c>
      <c r="AC173" s="4"/>
      <c r="AD173" s="4"/>
      <c r="AE173" s="2">
        <f t="shared" si="46"/>
        <v>0</v>
      </c>
      <c r="AF173" s="170" t="s">
        <v>1120</v>
      </c>
      <c r="AG173" s="175">
        <v>553</v>
      </c>
      <c r="AH173" s="175">
        <v>1</v>
      </c>
      <c r="AI173" s="175">
        <v>1</v>
      </c>
      <c r="AJ173" s="176">
        <v>151091.4</v>
      </c>
      <c r="AK173" s="176">
        <v>0</v>
      </c>
      <c r="AL173" s="176">
        <v>50782.77</v>
      </c>
      <c r="AM173" s="176">
        <v>0</v>
      </c>
      <c r="AN173" s="177">
        <v>0</v>
      </c>
      <c r="AO173" s="177">
        <v>0</v>
      </c>
      <c r="AP173" s="177">
        <v>51752.63</v>
      </c>
      <c r="AQ173" s="177">
        <v>0</v>
      </c>
      <c r="AR173" s="177">
        <v>39099.01</v>
      </c>
      <c r="AS173" s="177">
        <v>0</v>
      </c>
      <c r="AT173" s="178">
        <v>565493.61</v>
      </c>
      <c r="AU173" s="178">
        <v>0</v>
      </c>
      <c r="AV173" s="178">
        <v>82570.960000000006</v>
      </c>
      <c r="AW173" s="179">
        <v>0</v>
      </c>
      <c r="AX173" s="180">
        <v>0</v>
      </c>
      <c r="AY173" s="180">
        <v>0</v>
      </c>
      <c r="AZ173" s="180">
        <v>0</v>
      </c>
      <c r="BA173" s="180">
        <v>0</v>
      </c>
      <c r="BB173" s="170">
        <f t="shared" si="57"/>
        <v>940790.37999999989</v>
      </c>
      <c r="BC173" s="170">
        <v>940790.38</v>
      </c>
      <c r="BD173" s="2">
        <f t="shared" si="58"/>
        <v>0</v>
      </c>
    </row>
    <row r="174" spans="1:56" ht="12" x14ac:dyDescent="0.2">
      <c r="A174" s="4">
        <v>561</v>
      </c>
      <c r="B174" s="4">
        <v>1</v>
      </c>
      <c r="C174" s="2" t="s">
        <v>173</v>
      </c>
      <c r="D174" s="3">
        <v>0</v>
      </c>
      <c r="E174" s="3">
        <v>0</v>
      </c>
      <c r="F174" s="227">
        <f t="shared" si="47"/>
        <v>179271.11</v>
      </c>
      <c r="G174" s="227">
        <f t="shared" si="48"/>
        <v>3186.66</v>
      </c>
      <c r="H174" s="227">
        <f t="shared" si="49"/>
        <v>0</v>
      </c>
      <c r="I174" s="227">
        <f t="shared" si="50"/>
        <v>47480.93</v>
      </c>
      <c r="J174" s="227">
        <f t="shared" si="51"/>
        <v>13993.91</v>
      </c>
      <c r="K174" s="227">
        <f t="shared" si="52"/>
        <v>0</v>
      </c>
      <c r="L174" s="227">
        <f t="shared" si="53"/>
        <v>0</v>
      </c>
      <c r="M174" s="3">
        <f t="shared" si="54"/>
        <v>0</v>
      </c>
      <c r="N174" s="227">
        <f t="shared" si="55"/>
        <v>0</v>
      </c>
      <c r="O174" s="142">
        <f t="shared" si="56"/>
        <v>243932.61</v>
      </c>
      <c r="P174" s="3">
        <f t="shared" si="40"/>
        <v>61474.84</v>
      </c>
      <c r="Q174" s="3">
        <f t="shared" si="41"/>
        <v>47480.93</v>
      </c>
      <c r="R174" s="3">
        <f t="shared" si="42"/>
        <v>13993.91</v>
      </c>
      <c r="S174" s="3">
        <f t="shared" si="43"/>
        <v>0</v>
      </c>
      <c r="T174" s="3">
        <f t="shared" si="44"/>
        <v>0</v>
      </c>
      <c r="U174" s="3">
        <f>IF($A$5=1,IF($P174=0,0,ROUND(Q174/$P174*$E174,2)),Credits!D173)+Credits!J173</f>
        <v>10226.629999999999</v>
      </c>
      <c r="V174" s="3">
        <f>IF($A$5=1,IF($P174=0,0,ROUND(R174/$P174*$E174,2)),Credits!E173)+Credits!K173</f>
        <v>3014.14</v>
      </c>
      <c r="W174" s="3">
        <f>IF($A$5=1,IF($P174=0,0,ROUND(S174/$P174*$E174,2)),Credits!F173)+Credits!L173</f>
        <v>0</v>
      </c>
      <c r="X174" s="3">
        <f>IF($A$5=1,IF($P174=0,0,ROUND(T174/$P174*$E174,2)),Credits!G173)+Credits!M173</f>
        <v>0</v>
      </c>
      <c r="Y174" s="3">
        <f t="shared" si="45"/>
        <v>13240.769999999999</v>
      </c>
      <c r="AC174" s="4"/>
      <c r="AD174" s="4"/>
      <c r="AE174" s="2">
        <f t="shared" si="46"/>
        <v>0</v>
      </c>
      <c r="AF174" s="170" t="s">
        <v>1120</v>
      </c>
      <c r="AG174" s="175">
        <v>561</v>
      </c>
      <c r="AH174" s="175">
        <v>1</v>
      </c>
      <c r="AI174" s="175">
        <v>1</v>
      </c>
      <c r="AJ174" s="176">
        <v>179271.11</v>
      </c>
      <c r="AK174" s="176">
        <v>0</v>
      </c>
      <c r="AL174" s="176">
        <v>3186.66</v>
      </c>
      <c r="AM174" s="176">
        <v>0</v>
      </c>
      <c r="AN174" s="177">
        <v>0</v>
      </c>
      <c r="AO174" s="177">
        <v>0</v>
      </c>
      <c r="AP174" s="177">
        <v>47480.93</v>
      </c>
      <c r="AQ174" s="177">
        <v>0</v>
      </c>
      <c r="AR174" s="177">
        <v>13993.91</v>
      </c>
      <c r="AS174" s="177">
        <v>0</v>
      </c>
      <c r="AT174" s="178">
        <v>0</v>
      </c>
      <c r="AU174" s="178">
        <v>0</v>
      </c>
      <c r="AV174" s="178">
        <v>0</v>
      </c>
      <c r="AW174" s="179">
        <v>0</v>
      </c>
      <c r="AX174" s="180">
        <v>0</v>
      </c>
      <c r="AY174" s="180">
        <v>0</v>
      </c>
      <c r="AZ174" s="180">
        <v>0</v>
      </c>
      <c r="BA174" s="180">
        <v>0</v>
      </c>
      <c r="BB174" s="170">
        <f t="shared" si="57"/>
        <v>243932.61</v>
      </c>
      <c r="BC174" s="170">
        <v>243932.61</v>
      </c>
      <c r="BD174" s="2">
        <f t="shared" si="58"/>
        <v>0</v>
      </c>
    </row>
    <row r="175" spans="1:56" ht="12" x14ac:dyDescent="0.2">
      <c r="A175" s="4">
        <v>564</v>
      </c>
      <c r="B175" s="4">
        <v>1</v>
      </c>
      <c r="C175" s="2" t="s">
        <v>1188</v>
      </c>
      <c r="D175" s="3">
        <v>0</v>
      </c>
      <c r="E175" s="3">
        <v>0</v>
      </c>
      <c r="F175" s="227">
        <f t="shared" si="47"/>
        <v>952512.02</v>
      </c>
      <c r="G175" s="227">
        <f t="shared" si="48"/>
        <v>180768.04</v>
      </c>
      <c r="H175" s="227">
        <f t="shared" si="49"/>
        <v>0</v>
      </c>
      <c r="I175" s="227">
        <f t="shared" si="50"/>
        <v>629018.28</v>
      </c>
      <c r="J175" s="227">
        <f t="shared" si="51"/>
        <v>157272.51999999999</v>
      </c>
      <c r="K175" s="227">
        <f t="shared" si="52"/>
        <v>2639406.9500000002</v>
      </c>
      <c r="L175" s="227">
        <f t="shared" si="53"/>
        <v>0</v>
      </c>
      <c r="M175" s="3">
        <f t="shared" si="54"/>
        <v>0</v>
      </c>
      <c r="N175" s="227">
        <f t="shared" si="55"/>
        <v>232541.81</v>
      </c>
      <c r="O175" s="142">
        <f t="shared" si="56"/>
        <v>4791519.62</v>
      </c>
      <c r="P175" s="3">
        <f t="shared" si="40"/>
        <v>3658239.56</v>
      </c>
      <c r="Q175" s="3">
        <f t="shared" si="41"/>
        <v>629018.28</v>
      </c>
      <c r="R175" s="3">
        <f t="shared" si="42"/>
        <v>157272.51999999999</v>
      </c>
      <c r="S175" s="3">
        <f t="shared" si="43"/>
        <v>2639406.9500000002</v>
      </c>
      <c r="T175" s="3">
        <f t="shared" si="44"/>
        <v>232541.81</v>
      </c>
      <c r="U175" s="3">
        <f>IF($A$5=1,IF($P175=0,0,ROUND(Q175/$P175*$E175,2)),Credits!D174)+Credits!J174</f>
        <v>20541.5</v>
      </c>
      <c r="V175" s="3">
        <f>IF($A$5=1,IF($P175=0,0,ROUND(R175/$P175*$E175,2)),Credits!E174)+Credits!K174</f>
        <v>5135.41</v>
      </c>
      <c r="W175" s="3">
        <f>IF($A$5=1,IF($P175=0,0,ROUND(S175/$P175*$E175,2)),Credits!F174)+Credits!L174</f>
        <v>86204.840000000011</v>
      </c>
      <c r="X175" s="3">
        <f>IF($A$5=1,IF($P175=0,0,ROUND(T175/$P175*$E175,2)),Credits!G174)+Credits!M174</f>
        <v>7593.43</v>
      </c>
      <c r="Y175" s="3">
        <f t="shared" si="45"/>
        <v>119475.18000000002</v>
      </c>
      <c r="AC175" s="4"/>
      <c r="AD175" s="4"/>
      <c r="AE175" s="2">
        <f t="shared" si="46"/>
        <v>0</v>
      </c>
      <c r="AF175" s="170" t="s">
        <v>1120</v>
      </c>
      <c r="AG175" s="175">
        <v>564</v>
      </c>
      <c r="AH175" s="175">
        <v>1</v>
      </c>
      <c r="AI175" s="175">
        <v>1</v>
      </c>
      <c r="AJ175" s="176">
        <v>952512.02</v>
      </c>
      <c r="AK175" s="176">
        <v>0</v>
      </c>
      <c r="AL175" s="176">
        <v>180768.04</v>
      </c>
      <c r="AM175" s="176">
        <v>0</v>
      </c>
      <c r="AN175" s="177">
        <v>0</v>
      </c>
      <c r="AO175" s="177">
        <v>0</v>
      </c>
      <c r="AP175" s="177">
        <v>629018.28</v>
      </c>
      <c r="AQ175" s="177">
        <v>0</v>
      </c>
      <c r="AR175" s="177">
        <v>157272.51999999999</v>
      </c>
      <c r="AS175" s="177">
        <v>0</v>
      </c>
      <c r="AT175" s="178">
        <v>2639406.9500000002</v>
      </c>
      <c r="AU175" s="178">
        <v>0</v>
      </c>
      <c r="AV175" s="178">
        <v>0</v>
      </c>
      <c r="AW175" s="179">
        <v>0</v>
      </c>
      <c r="AX175" s="180">
        <v>0</v>
      </c>
      <c r="AY175" s="180">
        <v>0</v>
      </c>
      <c r="AZ175" s="180">
        <v>232541.81</v>
      </c>
      <c r="BA175" s="180">
        <v>0</v>
      </c>
      <c r="BB175" s="170">
        <f t="shared" si="57"/>
        <v>4791519.62</v>
      </c>
      <c r="BC175" s="170">
        <v>4791519.62</v>
      </c>
      <c r="BD175" s="2">
        <f t="shared" si="58"/>
        <v>0</v>
      </c>
    </row>
    <row r="176" spans="1:56" ht="12" x14ac:dyDescent="0.2">
      <c r="A176" s="4">
        <v>577</v>
      </c>
      <c r="B176" s="4">
        <v>1</v>
      </c>
      <c r="C176" s="2" t="s">
        <v>175</v>
      </c>
      <c r="D176" s="3">
        <v>0</v>
      </c>
      <c r="E176" s="3">
        <v>0</v>
      </c>
      <c r="F176" s="227">
        <f t="shared" si="47"/>
        <v>24369.02</v>
      </c>
      <c r="G176" s="227">
        <f t="shared" si="48"/>
        <v>79771.95</v>
      </c>
      <c r="H176" s="227">
        <f t="shared" si="49"/>
        <v>0</v>
      </c>
      <c r="I176" s="227">
        <f t="shared" si="50"/>
        <v>169536.54</v>
      </c>
      <c r="J176" s="227">
        <f t="shared" si="51"/>
        <v>41325.01</v>
      </c>
      <c r="K176" s="227">
        <f t="shared" si="52"/>
        <v>178974.14</v>
      </c>
      <c r="L176" s="227">
        <f t="shared" si="53"/>
        <v>0</v>
      </c>
      <c r="M176" s="3">
        <f t="shared" si="54"/>
        <v>0</v>
      </c>
      <c r="N176" s="227">
        <f t="shared" si="55"/>
        <v>0</v>
      </c>
      <c r="O176" s="142">
        <f t="shared" si="56"/>
        <v>493976.66000000003</v>
      </c>
      <c r="P176" s="3">
        <f t="shared" si="40"/>
        <v>389835.69000000006</v>
      </c>
      <c r="Q176" s="3">
        <f t="shared" si="41"/>
        <v>169536.54</v>
      </c>
      <c r="R176" s="3">
        <f t="shared" si="42"/>
        <v>41325.01</v>
      </c>
      <c r="S176" s="3">
        <f t="shared" si="43"/>
        <v>178974.14</v>
      </c>
      <c r="T176" s="3">
        <f t="shared" si="44"/>
        <v>0</v>
      </c>
      <c r="U176" s="3">
        <f>IF($A$5=1,IF($P176=0,0,ROUND(Q176/$P176*$E176,2)),Credits!D175)+Credits!J175</f>
        <v>2887.4200000000005</v>
      </c>
      <c r="V176" s="3">
        <f>IF($A$5=1,IF($P176=0,0,ROUND(R176/$P176*$E176,2)),Credits!E175)+Credits!K175</f>
        <v>703.73</v>
      </c>
      <c r="W176" s="3">
        <f>IF($A$5=1,IF($P176=0,0,ROUND(S176/$P176*$E176,2)),Credits!F175)+Credits!L175</f>
        <v>3048.2200000000003</v>
      </c>
      <c r="X176" s="3">
        <f>IF($A$5=1,IF($P176=0,0,ROUND(T176/$P176*$E176,2)),Credits!G175)+Credits!M175</f>
        <v>0</v>
      </c>
      <c r="Y176" s="3">
        <f t="shared" si="45"/>
        <v>6639.3700000000008</v>
      </c>
      <c r="AC176" s="4"/>
      <c r="AD176" s="4"/>
      <c r="AE176" s="2">
        <f t="shared" si="46"/>
        <v>0</v>
      </c>
      <c r="AF176" s="170" t="s">
        <v>1120</v>
      </c>
      <c r="AG176" s="175">
        <v>577</v>
      </c>
      <c r="AH176" s="175">
        <v>1</v>
      </c>
      <c r="AI176" s="175">
        <v>1</v>
      </c>
      <c r="AJ176" s="176">
        <v>24369.02</v>
      </c>
      <c r="AK176" s="176">
        <v>0</v>
      </c>
      <c r="AL176" s="176">
        <v>79771.95</v>
      </c>
      <c r="AM176" s="176">
        <v>0</v>
      </c>
      <c r="AN176" s="177">
        <v>0</v>
      </c>
      <c r="AO176" s="177">
        <v>0</v>
      </c>
      <c r="AP176" s="177">
        <v>169536.54</v>
      </c>
      <c r="AQ176" s="177">
        <v>0</v>
      </c>
      <c r="AR176" s="177">
        <v>41325.01</v>
      </c>
      <c r="AS176" s="177">
        <v>0</v>
      </c>
      <c r="AT176" s="178">
        <v>178974.14</v>
      </c>
      <c r="AU176" s="178">
        <v>0</v>
      </c>
      <c r="AV176" s="178">
        <v>0</v>
      </c>
      <c r="AW176" s="179">
        <v>0</v>
      </c>
      <c r="AX176" s="180">
        <v>0</v>
      </c>
      <c r="AY176" s="180">
        <v>0</v>
      </c>
      <c r="AZ176" s="180">
        <v>0</v>
      </c>
      <c r="BA176" s="180">
        <v>0</v>
      </c>
      <c r="BB176" s="170">
        <f t="shared" si="57"/>
        <v>493976.66000000003</v>
      </c>
      <c r="BC176" s="170">
        <v>493976.66</v>
      </c>
      <c r="BD176" s="2">
        <f t="shared" si="58"/>
        <v>0</v>
      </c>
    </row>
    <row r="177" spans="1:56" ht="12" x14ac:dyDescent="0.2">
      <c r="A177" s="4">
        <v>578</v>
      </c>
      <c r="B177" s="4">
        <v>1</v>
      </c>
      <c r="C177" s="2" t="s">
        <v>176</v>
      </c>
      <c r="D177" s="3">
        <v>0</v>
      </c>
      <c r="E177" s="3">
        <v>0</v>
      </c>
      <c r="F177" s="227">
        <f t="shared" si="47"/>
        <v>956261.68</v>
      </c>
      <c r="G177" s="227">
        <f t="shared" si="48"/>
        <v>126428.62</v>
      </c>
      <c r="H177" s="227">
        <f t="shared" si="49"/>
        <v>0</v>
      </c>
      <c r="I177" s="227">
        <f t="shared" si="50"/>
        <v>488056.72</v>
      </c>
      <c r="J177" s="227">
        <f t="shared" si="51"/>
        <v>107925.45</v>
      </c>
      <c r="K177" s="227">
        <f t="shared" si="52"/>
        <v>877651.15</v>
      </c>
      <c r="L177" s="227">
        <f t="shared" si="53"/>
        <v>459323.15</v>
      </c>
      <c r="M177" s="3">
        <f t="shared" si="54"/>
        <v>0</v>
      </c>
      <c r="N177" s="227">
        <f t="shared" si="55"/>
        <v>0</v>
      </c>
      <c r="O177" s="142">
        <f t="shared" si="56"/>
        <v>3015646.77</v>
      </c>
      <c r="P177" s="3">
        <f t="shared" si="40"/>
        <v>1932956.4699999997</v>
      </c>
      <c r="Q177" s="3">
        <f t="shared" si="41"/>
        <v>488056.72</v>
      </c>
      <c r="R177" s="3">
        <f t="shared" si="42"/>
        <v>107925.45</v>
      </c>
      <c r="S177" s="3">
        <f t="shared" si="43"/>
        <v>1336974.3</v>
      </c>
      <c r="T177" s="3">
        <f t="shared" si="44"/>
        <v>0</v>
      </c>
      <c r="U177" s="3">
        <f>IF($A$5=1,IF($P177=0,0,ROUND(Q177/$P177*$E177,2)),Credits!D176)+Credits!J176</f>
        <v>7092.119999999999</v>
      </c>
      <c r="V177" s="3">
        <f>IF($A$5=1,IF($P177=0,0,ROUND(R177/$P177*$E177,2)),Credits!E176)+Credits!K176</f>
        <v>1568.18</v>
      </c>
      <c r="W177" s="3">
        <f>IF($A$5=1,IF($P177=0,0,ROUND(S177/$P177*$E177,2)),Credits!F176)+Credits!L176</f>
        <v>19334.869999999995</v>
      </c>
      <c r="X177" s="3">
        <f>IF($A$5=1,IF($P177=0,0,ROUND(T177/$P177*$E177,2)),Credits!G176)+Credits!M176</f>
        <v>0</v>
      </c>
      <c r="Y177" s="3">
        <f t="shared" si="45"/>
        <v>27995.169999999995</v>
      </c>
      <c r="AC177" s="4"/>
      <c r="AD177" s="4"/>
      <c r="AE177" s="2">
        <f t="shared" si="46"/>
        <v>0</v>
      </c>
      <c r="AF177" s="170" t="s">
        <v>1120</v>
      </c>
      <c r="AG177" s="175">
        <v>578</v>
      </c>
      <c r="AH177" s="175">
        <v>1</v>
      </c>
      <c r="AI177" s="175">
        <v>1</v>
      </c>
      <c r="AJ177" s="176">
        <v>956261.68</v>
      </c>
      <c r="AK177" s="176">
        <v>0</v>
      </c>
      <c r="AL177" s="176">
        <v>126428.62</v>
      </c>
      <c r="AM177" s="176">
        <v>0</v>
      </c>
      <c r="AN177" s="177">
        <v>0</v>
      </c>
      <c r="AO177" s="177">
        <v>0</v>
      </c>
      <c r="AP177" s="177">
        <v>488056.72</v>
      </c>
      <c r="AQ177" s="177">
        <v>0</v>
      </c>
      <c r="AR177" s="177">
        <v>107925.45</v>
      </c>
      <c r="AS177" s="177">
        <v>0</v>
      </c>
      <c r="AT177" s="178">
        <v>877651.15</v>
      </c>
      <c r="AU177" s="178">
        <v>0</v>
      </c>
      <c r="AV177" s="178">
        <v>459323.15</v>
      </c>
      <c r="AW177" s="179">
        <v>0</v>
      </c>
      <c r="AX177" s="180">
        <v>0</v>
      </c>
      <c r="AY177" s="180">
        <v>0</v>
      </c>
      <c r="AZ177" s="180">
        <v>0</v>
      </c>
      <c r="BA177" s="180">
        <v>0</v>
      </c>
      <c r="BB177" s="170">
        <f t="shared" si="57"/>
        <v>3015646.77</v>
      </c>
      <c r="BC177" s="170">
        <v>3015646.77</v>
      </c>
      <c r="BD177" s="2">
        <f t="shared" si="58"/>
        <v>0</v>
      </c>
    </row>
    <row r="178" spans="1:56" ht="12" x14ac:dyDescent="0.2">
      <c r="A178" s="4">
        <v>581</v>
      </c>
      <c r="B178" s="4">
        <v>1</v>
      </c>
      <c r="C178" s="2" t="s">
        <v>177</v>
      </c>
      <c r="D178" s="3">
        <v>0</v>
      </c>
      <c r="E178" s="3">
        <v>0</v>
      </c>
      <c r="F178" s="227">
        <f t="shared" si="47"/>
        <v>274201.48</v>
      </c>
      <c r="G178" s="227">
        <f t="shared" si="48"/>
        <v>34798.51</v>
      </c>
      <c r="H178" s="227">
        <f t="shared" si="49"/>
        <v>0</v>
      </c>
      <c r="I178" s="227">
        <f t="shared" si="50"/>
        <v>162243.78</v>
      </c>
      <c r="J178" s="227">
        <f t="shared" si="51"/>
        <v>34366.33</v>
      </c>
      <c r="K178" s="227">
        <f t="shared" si="52"/>
        <v>62874.47</v>
      </c>
      <c r="L178" s="227">
        <f t="shared" si="53"/>
        <v>0</v>
      </c>
      <c r="M178" s="3">
        <f t="shared" si="54"/>
        <v>0</v>
      </c>
      <c r="N178" s="227">
        <f t="shared" si="55"/>
        <v>0</v>
      </c>
      <c r="O178" s="142">
        <f t="shared" si="56"/>
        <v>568484.57000000007</v>
      </c>
      <c r="P178" s="3">
        <f t="shared" si="40"/>
        <v>259484.58</v>
      </c>
      <c r="Q178" s="3">
        <f t="shared" si="41"/>
        <v>162243.78</v>
      </c>
      <c r="R178" s="3">
        <f t="shared" si="42"/>
        <v>34366.33</v>
      </c>
      <c r="S178" s="3">
        <f t="shared" si="43"/>
        <v>62874.47</v>
      </c>
      <c r="T178" s="3">
        <f t="shared" si="44"/>
        <v>0</v>
      </c>
      <c r="U178" s="3">
        <f>IF($A$5=1,IF($P178=0,0,ROUND(Q178/$P178*$E178,2)),Credits!D177)+Credits!J177</f>
        <v>11543.53</v>
      </c>
      <c r="V178" s="3">
        <f>IF($A$5=1,IF($P178=0,0,ROUND(R178/$P178*$E178,2)),Credits!E177)+Credits!K177</f>
        <v>2443.7199999999998</v>
      </c>
      <c r="W178" s="3">
        <f>IF($A$5=1,IF($P178=0,0,ROUND(S178/$P178*$E178,2)),Credits!F177)+Credits!L177</f>
        <v>4472.55</v>
      </c>
      <c r="X178" s="3">
        <f>IF($A$5=1,IF($P178=0,0,ROUND(T178/$P178*$E178,2)),Credits!G177)+Credits!M177</f>
        <v>0</v>
      </c>
      <c r="Y178" s="3">
        <f t="shared" si="45"/>
        <v>18459.8</v>
      </c>
      <c r="AC178" s="4"/>
      <c r="AD178" s="4"/>
      <c r="AE178" s="2">
        <f t="shared" si="46"/>
        <v>0</v>
      </c>
      <c r="AF178" s="170" t="s">
        <v>1120</v>
      </c>
      <c r="AG178" s="175">
        <v>581</v>
      </c>
      <c r="AH178" s="175">
        <v>1</v>
      </c>
      <c r="AI178" s="175">
        <v>1</v>
      </c>
      <c r="AJ178" s="176">
        <v>274201.48</v>
      </c>
      <c r="AK178" s="176">
        <v>0</v>
      </c>
      <c r="AL178" s="176">
        <v>34798.51</v>
      </c>
      <c r="AM178" s="176">
        <v>0</v>
      </c>
      <c r="AN178" s="177">
        <v>0</v>
      </c>
      <c r="AO178" s="177">
        <v>0</v>
      </c>
      <c r="AP178" s="177">
        <v>162243.78</v>
      </c>
      <c r="AQ178" s="177">
        <v>0</v>
      </c>
      <c r="AR178" s="177">
        <v>34366.33</v>
      </c>
      <c r="AS178" s="177">
        <v>0</v>
      </c>
      <c r="AT178" s="178">
        <v>62874.47</v>
      </c>
      <c r="AU178" s="178">
        <v>0</v>
      </c>
      <c r="AV178" s="178">
        <v>0</v>
      </c>
      <c r="AW178" s="179">
        <v>0</v>
      </c>
      <c r="AX178" s="180">
        <v>0</v>
      </c>
      <c r="AY178" s="180">
        <v>0</v>
      </c>
      <c r="AZ178" s="180">
        <v>0</v>
      </c>
      <c r="BA178" s="180">
        <v>0</v>
      </c>
      <c r="BB178" s="170">
        <f t="shared" si="57"/>
        <v>568484.57000000007</v>
      </c>
      <c r="BC178" s="170">
        <v>568484.56999999995</v>
      </c>
      <c r="BD178" s="2">
        <f t="shared" si="58"/>
        <v>0</v>
      </c>
    </row>
    <row r="179" spans="1:56" ht="12" x14ac:dyDescent="0.2">
      <c r="A179" s="4">
        <v>592</v>
      </c>
      <c r="B179" s="4">
        <v>1</v>
      </c>
      <c r="C179" s="2" t="s">
        <v>1189</v>
      </c>
      <c r="D179" s="3">
        <v>0</v>
      </c>
      <c r="E179" s="3">
        <v>0</v>
      </c>
      <c r="F179" s="227">
        <f t="shared" si="47"/>
        <v>143149.78</v>
      </c>
      <c r="G179" s="227">
        <f t="shared" si="48"/>
        <v>8534.7900000000009</v>
      </c>
      <c r="H179" s="227">
        <f t="shared" si="49"/>
        <v>0</v>
      </c>
      <c r="I179" s="227">
        <f t="shared" si="50"/>
        <v>110965.43</v>
      </c>
      <c r="J179" s="227">
        <f t="shared" si="51"/>
        <v>12047.07</v>
      </c>
      <c r="K179" s="227">
        <f t="shared" si="52"/>
        <v>59236</v>
      </c>
      <c r="L179" s="227">
        <f t="shared" si="53"/>
        <v>0</v>
      </c>
      <c r="M179" s="3">
        <f t="shared" si="54"/>
        <v>0</v>
      </c>
      <c r="N179" s="227">
        <f t="shared" si="55"/>
        <v>0</v>
      </c>
      <c r="O179" s="142">
        <f t="shared" si="56"/>
        <v>333933.07</v>
      </c>
      <c r="P179" s="3">
        <f t="shared" si="40"/>
        <v>182248.5</v>
      </c>
      <c r="Q179" s="3">
        <f t="shared" si="41"/>
        <v>110965.43</v>
      </c>
      <c r="R179" s="3">
        <f t="shared" si="42"/>
        <v>12047.07</v>
      </c>
      <c r="S179" s="3">
        <f t="shared" si="43"/>
        <v>59236</v>
      </c>
      <c r="T179" s="3">
        <f t="shared" si="44"/>
        <v>0</v>
      </c>
      <c r="U179" s="3">
        <f>IF($A$5=1,IF($P179=0,0,ROUND(Q179/$P179*$E179,2)),Credits!D178)+Credits!J178</f>
        <v>2768.08</v>
      </c>
      <c r="V179" s="3">
        <f>IF($A$5=1,IF($P179=0,0,ROUND(R179/$P179*$E179,2)),Credits!E178)+Credits!K178</f>
        <v>300.46000000000004</v>
      </c>
      <c r="W179" s="3">
        <f>IF($A$5=1,IF($P179=0,0,ROUND(S179/$P179*$E179,2)),Credits!F178)+Credits!L178</f>
        <v>1477.58</v>
      </c>
      <c r="X179" s="3">
        <f>IF($A$5=1,IF($P179=0,0,ROUND(T179/$P179*$E179,2)),Credits!G178)+Credits!M178</f>
        <v>0</v>
      </c>
      <c r="Y179" s="3">
        <f t="shared" si="45"/>
        <v>4546.12</v>
      </c>
      <c r="AC179" s="4"/>
      <c r="AD179" s="4"/>
      <c r="AE179" s="2">
        <f t="shared" si="46"/>
        <v>0</v>
      </c>
      <c r="AF179" s="170" t="s">
        <v>1120</v>
      </c>
      <c r="AG179" s="175">
        <v>592</v>
      </c>
      <c r="AH179" s="175">
        <v>1</v>
      </c>
      <c r="AI179" s="175">
        <v>1</v>
      </c>
      <c r="AJ179" s="176">
        <v>143149.78</v>
      </c>
      <c r="AK179" s="176">
        <v>0</v>
      </c>
      <c r="AL179" s="176">
        <v>8534.7900000000009</v>
      </c>
      <c r="AM179" s="176">
        <v>0</v>
      </c>
      <c r="AN179" s="177">
        <v>0</v>
      </c>
      <c r="AO179" s="177">
        <v>0</v>
      </c>
      <c r="AP179" s="177">
        <v>110965.43</v>
      </c>
      <c r="AQ179" s="177">
        <v>0</v>
      </c>
      <c r="AR179" s="177">
        <v>12047.07</v>
      </c>
      <c r="AS179" s="177">
        <v>0</v>
      </c>
      <c r="AT179" s="178">
        <v>59236</v>
      </c>
      <c r="AU179" s="178">
        <v>0</v>
      </c>
      <c r="AV179" s="178">
        <v>0</v>
      </c>
      <c r="AW179" s="179">
        <v>0</v>
      </c>
      <c r="AX179" s="180">
        <v>0</v>
      </c>
      <c r="AY179" s="180">
        <v>0</v>
      </c>
      <c r="AZ179" s="180">
        <v>0</v>
      </c>
      <c r="BA179" s="180">
        <v>0</v>
      </c>
      <c r="BB179" s="170">
        <f t="shared" si="57"/>
        <v>333933.07</v>
      </c>
      <c r="BC179" s="170">
        <v>333933.07</v>
      </c>
      <c r="BD179" s="2">
        <f t="shared" si="58"/>
        <v>0</v>
      </c>
    </row>
    <row r="180" spans="1:56" ht="12" x14ac:dyDescent="0.2">
      <c r="A180" s="4">
        <v>593</v>
      </c>
      <c r="B180" s="4">
        <v>1</v>
      </c>
      <c r="C180" s="2" t="s">
        <v>179</v>
      </c>
      <c r="D180" s="3">
        <v>0</v>
      </c>
      <c r="E180" s="3">
        <v>0</v>
      </c>
      <c r="F180" s="227">
        <f t="shared" si="47"/>
        <v>1316369.8400000001</v>
      </c>
      <c r="G180" s="227">
        <f t="shared" si="48"/>
        <v>76959.03</v>
      </c>
      <c r="H180" s="227">
        <f t="shared" si="49"/>
        <v>0</v>
      </c>
      <c r="I180" s="227">
        <f t="shared" si="50"/>
        <v>770870.29</v>
      </c>
      <c r="J180" s="227">
        <f t="shared" si="51"/>
        <v>149311.38</v>
      </c>
      <c r="K180" s="227">
        <f t="shared" si="52"/>
        <v>1015588.63</v>
      </c>
      <c r="L180" s="227">
        <f t="shared" si="53"/>
        <v>0</v>
      </c>
      <c r="M180" s="3">
        <f t="shared" si="54"/>
        <v>0</v>
      </c>
      <c r="N180" s="227">
        <f t="shared" si="55"/>
        <v>0</v>
      </c>
      <c r="O180" s="142">
        <f t="shared" si="56"/>
        <v>3329099.17</v>
      </c>
      <c r="P180" s="3">
        <f t="shared" si="40"/>
        <v>1935770.3</v>
      </c>
      <c r="Q180" s="3">
        <f t="shared" si="41"/>
        <v>770870.29</v>
      </c>
      <c r="R180" s="3">
        <f t="shared" si="42"/>
        <v>149311.38</v>
      </c>
      <c r="S180" s="3">
        <f t="shared" si="43"/>
        <v>1015588.63</v>
      </c>
      <c r="T180" s="3">
        <f t="shared" si="44"/>
        <v>0</v>
      </c>
      <c r="U180" s="3">
        <f>IF($A$5=1,IF($P180=0,0,ROUND(Q180/$P180*$E180,2)),Credits!D179)+Credits!J179</f>
        <v>26945.89</v>
      </c>
      <c r="V180" s="3">
        <f>IF($A$5=1,IF($P180=0,0,ROUND(R180/$P180*$E180,2)),Credits!E179)+Credits!K179</f>
        <v>5218.59</v>
      </c>
      <c r="W180" s="3">
        <f>IF($A$5=1,IF($P180=0,0,ROUND(S180/$P180*$E180,2)),Credits!F179)+Credits!L179</f>
        <v>35501.440000000002</v>
      </c>
      <c r="X180" s="3">
        <f>IF($A$5=1,IF($P180=0,0,ROUND(T180/$P180*$E180,2)),Credits!G179)+Credits!M179</f>
        <v>0</v>
      </c>
      <c r="Y180" s="3">
        <f t="shared" si="45"/>
        <v>67665.919999999998</v>
      </c>
      <c r="AC180" s="4"/>
      <c r="AD180" s="4"/>
      <c r="AE180" s="2">
        <f t="shared" si="46"/>
        <v>0</v>
      </c>
      <c r="AF180" s="170" t="s">
        <v>1120</v>
      </c>
      <c r="AG180" s="175">
        <v>593</v>
      </c>
      <c r="AH180" s="175">
        <v>1</v>
      </c>
      <c r="AI180" s="175">
        <v>1</v>
      </c>
      <c r="AJ180" s="176">
        <v>1316369.8400000001</v>
      </c>
      <c r="AK180" s="176">
        <v>0</v>
      </c>
      <c r="AL180" s="176">
        <v>76959.03</v>
      </c>
      <c r="AM180" s="176">
        <v>0</v>
      </c>
      <c r="AN180" s="177">
        <v>0</v>
      </c>
      <c r="AO180" s="177">
        <v>0</v>
      </c>
      <c r="AP180" s="177">
        <v>770870.29</v>
      </c>
      <c r="AQ180" s="177">
        <v>0</v>
      </c>
      <c r="AR180" s="177">
        <v>149311.38</v>
      </c>
      <c r="AS180" s="177">
        <v>0</v>
      </c>
      <c r="AT180" s="178">
        <v>1015588.63</v>
      </c>
      <c r="AU180" s="178">
        <v>0</v>
      </c>
      <c r="AV180" s="178">
        <v>0</v>
      </c>
      <c r="AW180" s="179">
        <v>0</v>
      </c>
      <c r="AX180" s="180">
        <v>0</v>
      </c>
      <c r="AY180" s="180">
        <v>0</v>
      </c>
      <c r="AZ180" s="180">
        <v>0</v>
      </c>
      <c r="BA180" s="180">
        <v>0</v>
      </c>
      <c r="BB180" s="170">
        <f t="shared" si="57"/>
        <v>3329099.17</v>
      </c>
      <c r="BC180" s="170">
        <v>3329099.17</v>
      </c>
      <c r="BD180" s="2">
        <f t="shared" si="58"/>
        <v>0</v>
      </c>
    </row>
    <row r="181" spans="1:56" ht="12" x14ac:dyDescent="0.2">
      <c r="A181" s="4">
        <v>595</v>
      </c>
      <c r="B181" s="4">
        <v>1</v>
      </c>
      <c r="C181" s="2" t="s">
        <v>180</v>
      </c>
      <c r="D181" s="3">
        <v>0</v>
      </c>
      <c r="E181" s="3">
        <v>0</v>
      </c>
      <c r="F181" s="227">
        <f t="shared" si="47"/>
        <v>614613.17000000004</v>
      </c>
      <c r="G181" s="227">
        <f t="shared" si="48"/>
        <v>113546.61</v>
      </c>
      <c r="H181" s="227">
        <f t="shared" si="49"/>
        <v>0</v>
      </c>
      <c r="I181" s="227">
        <f t="shared" si="50"/>
        <v>459552.34</v>
      </c>
      <c r="J181" s="227">
        <f t="shared" si="51"/>
        <v>110242.11</v>
      </c>
      <c r="K181" s="227">
        <f t="shared" si="52"/>
        <v>0</v>
      </c>
      <c r="L181" s="227">
        <f t="shared" si="53"/>
        <v>529668.06999999995</v>
      </c>
      <c r="M181" s="3">
        <f t="shared" si="54"/>
        <v>0</v>
      </c>
      <c r="N181" s="227">
        <f t="shared" si="55"/>
        <v>0</v>
      </c>
      <c r="O181" s="142">
        <f t="shared" si="56"/>
        <v>1827622.3000000003</v>
      </c>
      <c r="P181" s="3">
        <f t="shared" si="40"/>
        <v>1099462.52</v>
      </c>
      <c r="Q181" s="3">
        <f t="shared" si="41"/>
        <v>459552.34</v>
      </c>
      <c r="R181" s="3">
        <f t="shared" si="42"/>
        <v>110242.11</v>
      </c>
      <c r="S181" s="3">
        <f t="shared" si="43"/>
        <v>529668.06999999995</v>
      </c>
      <c r="T181" s="3">
        <f t="shared" si="44"/>
        <v>0</v>
      </c>
      <c r="U181" s="3">
        <f>IF($A$5=1,IF($P181=0,0,ROUND(Q181/$P181*$E181,2)),Credits!D180)+Credits!J180</f>
        <v>52295.689999999995</v>
      </c>
      <c r="V181" s="3">
        <f>IF($A$5=1,IF($P181=0,0,ROUND(R181/$P181*$E181,2)),Credits!E180)+Credits!K180</f>
        <v>12542.46</v>
      </c>
      <c r="W181" s="3">
        <f>IF($A$5=1,IF($P181=0,0,ROUND(S181/$P181*$E181,2)),Credits!F180)+Credits!L180</f>
        <v>60278.22</v>
      </c>
      <c r="X181" s="3">
        <f>IF($A$5=1,IF($P181=0,0,ROUND(T181/$P181*$E181,2)),Credits!G180)+Credits!M180</f>
        <v>0</v>
      </c>
      <c r="Y181" s="3">
        <f t="shared" si="45"/>
        <v>125116.37</v>
      </c>
      <c r="AC181" s="4"/>
      <c r="AD181" s="4"/>
      <c r="AE181" s="2">
        <f t="shared" si="46"/>
        <v>0</v>
      </c>
      <c r="AF181" s="170" t="s">
        <v>1120</v>
      </c>
      <c r="AG181" s="175">
        <v>595</v>
      </c>
      <c r="AH181" s="175">
        <v>1</v>
      </c>
      <c r="AI181" s="175">
        <v>1</v>
      </c>
      <c r="AJ181" s="176">
        <v>614613.17000000004</v>
      </c>
      <c r="AK181" s="176">
        <v>0</v>
      </c>
      <c r="AL181" s="176">
        <v>113546.61</v>
      </c>
      <c r="AM181" s="176">
        <v>0</v>
      </c>
      <c r="AN181" s="177">
        <v>0</v>
      </c>
      <c r="AO181" s="177">
        <v>0</v>
      </c>
      <c r="AP181" s="177">
        <v>459552.34</v>
      </c>
      <c r="AQ181" s="177">
        <v>0</v>
      </c>
      <c r="AR181" s="177">
        <v>110242.11</v>
      </c>
      <c r="AS181" s="177">
        <v>0</v>
      </c>
      <c r="AT181" s="178">
        <v>0</v>
      </c>
      <c r="AU181" s="178">
        <v>0</v>
      </c>
      <c r="AV181" s="178">
        <v>529668.06999999995</v>
      </c>
      <c r="AW181" s="179">
        <v>0</v>
      </c>
      <c r="AX181" s="180">
        <v>0</v>
      </c>
      <c r="AY181" s="180">
        <v>0</v>
      </c>
      <c r="AZ181" s="180">
        <v>0</v>
      </c>
      <c r="BA181" s="180">
        <v>0</v>
      </c>
      <c r="BB181" s="170">
        <f t="shared" si="57"/>
        <v>1827622.3000000003</v>
      </c>
      <c r="BC181" s="170">
        <v>1827622.3</v>
      </c>
      <c r="BD181" s="2">
        <f t="shared" si="58"/>
        <v>0</v>
      </c>
    </row>
    <row r="182" spans="1:56" ht="12" x14ac:dyDescent="0.2">
      <c r="A182" s="4">
        <v>599</v>
      </c>
      <c r="B182" s="4">
        <v>1</v>
      </c>
      <c r="C182" s="2" t="s">
        <v>181</v>
      </c>
      <c r="D182" s="3">
        <v>0</v>
      </c>
      <c r="E182" s="3">
        <v>0</v>
      </c>
      <c r="F182" s="227">
        <f t="shared" si="47"/>
        <v>421779.15</v>
      </c>
      <c r="G182" s="227">
        <f t="shared" si="48"/>
        <v>31495.91</v>
      </c>
      <c r="H182" s="227">
        <f t="shared" si="49"/>
        <v>0</v>
      </c>
      <c r="I182" s="227">
        <f t="shared" si="50"/>
        <v>189477.74</v>
      </c>
      <c r="J182" s="227">
        <f t="shared" si="51"/>
        <v>41781</v>
      </c>
      <c r="K182" s="227">
        <f t="shared" si="52"/>
        <v>0</v>
      </c>
      <c r="L182" s="227">
        <f t="shared" si="53"/>
        <v>0</v>
      </c>
      <c r="M182" s="3">
        <f t="shared" si="54"/>
        <v>0</v>
      </c>
      <c r="N182" s="227">
        <f t="shared" si="55"/>
        <v>0</v>
      </c>
      <c r="O182" s="142">
        <f t="shared" si="56"/>
        <v>684533.8</v>
      </c>
      <c r="P182" s="3">
        <f t="shared" si="40"/>
        <v>231258.74</v>
      </c>
      <c r="Q182" s="3">
        <f t="shared" si="41"/>
        <v>189477.74</v>
      </c>
      <c r="R182" s="3">
        <f t="shared" si="42"/>
        <v>41781</v>
      </c>
      <c r="S182" s="3">
        <f t="shared" si="43"/>
        <v>0</v>
      </c>
      <c r="T182" s="3">
        <f t="shared" si="44"/>
        <v>0</v>
      </c>
      <c r="U182" s="3">
        <f>IF($A$5=1,IF($P182=0,0,ROUND(Q182/$P182*$E182,2)),Credits!D181)+Credits!J181</f>
        <v>6519.59</v>
      </c>
      <c r="V182" s="3">
        <f>IF($A$5=1,IF($P182=0,0,ROUND(R182/$P182*$E182,2)),Credits!E181)+Credits!K181</f>
        <v>1438.04</v>
      </c>
      <c r="W182" s="3">
        <f>IF($A$5=1,IF($P182=0,0,ROUND(S182/$P182*$E182,2)),Credits!F181)+Credits!L181</f>
        <v>0</v>
      </c>
      <c r="X182" s="3">
        <f>IF($A$5=1,IF($P182=0,0,ROUND(T182/$P182*$E182,2)),Credits!G181)+Credits!M181</f>
        <v>0</v>
      </c>
      <c r="Y182" s="3">
        <f t="shared" si="45"/>
        <v>7957.63</v>
      </c>
      <c r="AC182" s="4"/>
      <c r="AD182" s="4"/>
      <c r="AE182" s="2">
        <f t="shared" si="46"/>
        <v>0</v>
      </c>
      <c r="AF182" s="170" t="s">
        <v>1120</v>
      </c>
      <c r="AG182" s="175">
        <v>599</v>
      </c>
      <c r="AH182" s="175">
        <v>1</v>
      </c>
      <c r="AI182" s="175">
        <v>1</v>
      </c>
      <c r="AJ182" s="176">
        <v>421779.15</v>
      </c>
      <c r="AK182" s="176">
        <v>0</v>
      </c>
      <c r="AL182" s="176">
        <v>31495.91</v>
      </c>
      <c r="AM182" s="176">
        <v>0</v>
      </c>
      <c r="AN182" s="177">
        <v>0</v>
      </c>
      <c r="AO182" s="177">
        <v>0</v>
      </c>
      <c r="AP182" s="177">
        <v>189477.74</v>
      </c>
      <c r="AQ182" s="177">
        <v>0</v>
      </c>
      <c r="AR182" s="177">
        <v>41781</v>
      </c>
      <c r="AS182" s="177">
        <v>0</v>
      </c>
      <c r="AT182" s="178">
        <v>0</v>
      </c>
      <c r="AU182" s="178">
        <v>0</v>
      </c>
      <c r="AV182" s="178">
        <v>0</v>
      </c>
      <c r="AW182" s="179">
        <v>0</v>
      </c>
      <c r="AX182" s="180">
        <v>0</v>
      </c>
      <c r="AY182" s="180">
        <v>0</v>
      </c>
      <c r="AZ182" s="180">
        <v>0</v>
      </c>
      <c r="BA182" s="180">
        <v>0</v>
      </c>
      <c r="BB182" s="170">
        <f t="shared" si="57"/>
        <v>684533.8</v>
      </c>
      <c r="BC182" s="170">
        <v>684533.8</v>
      </c>
      <c r="BD182" s="2">
        <f t="shared" si="58"/>
        <v>0</v>
      </c>
    </row>
    <row r="183" spans="1:56" ht="12" x14ac:dyDescent="0.2">
      <c r="A183" s="4">
        <v>600</v>
      </c>
      <c r="B183" s="4">
        <v>1</v>
      </c>
      <c r="C183" s="2" t="s">
        <v>182</v>
      </c>
      <c r="D183" s="3">
        <v>0</v>
      </c>
      <c r="E183" s="3">
        <v>0</v>
      </c>
      <c r="F183" s="227">
        <f t="shared" si="47"/>
        <v>90042.31</v>
      </c>
      <c r="G183" s="227">
        <f t="shared" si="48"/>
        <v>18112.439999999999</v>
      </c>
      <c r="H183" s="227">
        <f t="shared" si="49"/>
        <v>200000</v>
      </c>
      <c r="I183" s="227">
        <f t="shared" si="50"/>
        <v>110490.94</v>
      </c>
      <c r="J183" s="227">
        <f t="shared" si="51"/>
        <v>23752.59</v>
      </c>
      <c r="K183" s="227">
        <f t="shared" si="52"/>
        <v>260119.66</v>
      </c>
      <c r="L183" s="227">
        <f t="shared" si="53"/>
        <v>0</v>
      </c>
      <c r="M183" s="3">
        <f t="shared" si="54"/>
        <v>0</v>
      </c>
      <c r="N183" s="227">
        <f t="shared" si="55"/>
        <v>0</v>
      </c>
      <c r="O183" s="142">
        <f t="shared" si="56"/>
        <v>702517.94000000006</v>
      </c>
      <c r="P183" s="3">
        <f t="shared" si="40"/>
        <v>594363.19000000006</v>
      </c>
      <c r="Q183" s="3">
        <f t="shared" si="41"/>
        <v>310490.94</v>
      </c>
      <c r="R183" s="3">
        <f t="shared" si="42"/>
        <v>23752.59</v>
      </c>
      <c r="S183" s="3">
        <f t="shared" si="43"/>
        <v>260119.66</v>
      </c>
      <c r="T183" s="3">
        <f t="shared" si="44"/>
        <v>0</v>
      </c>
      <c r="U183" s="3">
        <f>IF($A$5=1,IF($P183=0,0,ROUND(Q183/$P183*$E183,2)),Credits!D182)+Credits!J182</f>
        <v>2908.54</v>
      </c>
      <c r="V183" s="3">
        <f>IF($A$5=1,IF($P183=0,0,ROUND(R183/$P183*$E183,2)),Credits!E182)+Credits!K182</f>
        <v>222.50000000000006</v>
      </c>
      <c r="W183" s="3">
        <f>IF($A$5=1,IF($P183=0,0,ROUND(S183/$P183*$E183,2)),Credits!F182)+Credits!L182</f>
        <v>2436.63</v>
      </c>
      <c r="X183" s="3">
        <f>IF($A$5=1,IF($P183=0,0,ROUND(T183/$P183*$E183,2)),Credits!G182)+Credits!M182</f>
        <v>0</v>
      </c>
      <c r="Y183" s="3">
        <f t="shared" si="45"/>
        <v>5567.67</v>
      </c>
      <c r="AC183" s="4"/>
      <c r="AD183" s="4"/>
      <c r="AE183" s="2">
        <f t="shared" si="46"/>
        <v>0</v>
      </c>
      <c r="AF183" s="170" t="s">
        <v>1120</v>
      </c>
      <c r="AG183" s="175">
        <v>600</v>
      </c>
      <c r="AH183" s="175">
        <v>1</v>
      </c>
      <c r="AI183" s="175">
        <v>1</v>
      </c>
      <c r="AJ183" s="176">
        <v>90042.31</v>
      </c>
      <c r="AK183" s="176">
        <v>0</v>
      </c>
      <c r="AL183" s="176">
        <v>18112.439999999999</v>
      </c>
      <c r="AM183" s="176">
        <v>0</v>
      </c>
      <c r="AN183" s="177">
        <v>200000</v>
      </c>
      <c r="AO183" s="177">
        <v>0</v>
      </c>
      <c r="AP183" s="177">
        <v>110490.94</v>
      </c>
      <c r="AQ183" s="177">
        <v>0</v>
      </c>
      <c r="AR183" s="177">
        <v>23752.59</v>
      </c>
      <c r="AS183" s="177">
        <v>0</v>
      </c>
      <c r="AT183" s="178">
        <v>260119.66</v>
      </c>
      <c r="AU183" s="178">
        <v>0</v>
      </c>
      <c r="AV183" s="178">
        <v>0</v>
      </c>
      <c r="AW183" s="179">
        <v>0</v>
      </c>
      <c r="AX183" s="180">
        <v>0</v>
      </c>
      <c r="AY183" s="180">
        <v>0</v>
      </c>
      <c r="AZ183" s="180">
        <v>0</v>
      </c>
      <c r="BA183" s="180">
        <v>0</v>
      </c>
      <c r="BB183" s="170">
        <f t="shared" si="57"/>
        <v>702517.94000000006</v>
      </c>
      <c r="BC183" s="170">
        <v>702517.94</v>
      </c>
      <c r="BD183" s="2">
        <f t="shared" si="58"/>
        <v>0</v>
      </c>
    </row>
    <row r="184" spans="1:56" ht="12" x14ac:dyDescent="0.2">
      <c r="A184" s="4">
        <v>601</v>
      </c>
      <c r="B184" s="4">
        <v>1</v>
      </c>
      <c r="C184" s="2" t="s">
        <v>183</v>
      </c>
      <c r="D184" s="3">
        <v>0</v>
      </c>
      <c r="E184" s="3">
        <v>0</v>
      </c>
      <c r="F184" s="227">
        <f t="shared" si="47"/>
        <v>459801.72</v>
      </c>
      <c r="G184" s="227">
        <f t="shared" si="48"/>
        <v>29835.13</v>
      </c>
      <c r="H184" s="227">
        <f t="shared" si="49"/>
        <v>0</v>
      </c>
      <c r="I184" s="227">
        <f t="shared" si="50"/>
        <v>268304.14</v>
      </c>
      <c r="J184" s="227">
        <f t="shared" si="51"/>
        <v>40968.910000000003</v>
      </c>
      <c r="K184" s="227">
        <f t="shared" si="52"/>
        <v>359481.94</v>
      </c>
      <c r="L184" s="227">
        <f t="shared" si="53"/>
        <v>0</v>
      </c>
      <c r="M184" s="3">
        <f t="shared" si="54"/>
        <v>0</v>
      </c>
      <c r="N184" s="227">
        <f t="shared" si="55"/>
        <v>0</v>
      </c>
      <c r="O184" s="142">
        <f t="shared" si="56"/>
        <v>1158391.8400000001</v>
      </c>
      <c r="P184" s="3">
        <f t="shared" si="40"/>
        <v>668754.99</v>
      </c>
      <c r="Q184" s="3">
        <f t="shared" si="41"/>
        <v>268304.14</v>
      </c>
      <c r="R184" s="3">
        <f t="shared" si="42"/>
        <v>40968.910000000003</v>
      </c>
      <c r="S184" s="3">
        <f t="shared" si="43"/>
        <v>359481.94</v>
      </c>
      <c r="T184" s="3">
        <f t="shared" si="44"/>
        <v>0</v>
      </c>
      <c r="U184" s="3">
        <f>IF($A$5=1,IF($P184=0,0,ROUND(Q184/$P184*$E184,2)),Credits!D183)+Credits!J183</f>
        <v>11028.07</v>
      </c>
      <c r="V184" s="3">
        <f>IF($A$5=1,IF($P184=0,0,ROUND(R184/$P184*$E184,2)),Credits!E183)+Credits!K183</f>
        <v>1684.3799999999999</v>
      </c>
      <c r="W184" s="3">
        <f>IF($A$5=1,IF($P184=0,0,ROUND(S184/$P184*$E184,2)),Credits!F183)+Credits!L183</f>
        <v>14735.56</v>
      </c>
      <c r="X184" s="3">
        <f>IF($A$5=1,IF($P184=0,0,ROUND(T184/$P184*$E184,2)),Credits!G183)+Credits!M183</f>
        <v>0</v>
      </c>
      <c r="Y184" s="3">
        <f t="shared" si="45"/>
        <v>27448.01</v>
      </c>
      <c r="AC184" s="4"/>
      <c r="AD184" s="4"/>
      <c r="AE184" s="2">
        <f t="shared" si="46"/>
        <v>0</v>
      </c>
      <c r="AF184" s="170" t="s">
        <v>1120</v>
      </c>
      <c r="AG184" s="175">
        <v>601</v>
      </c>
      <c r="AH184" s="175">
        <v>1</v>
      </c>
      <c r="AI184" s="175">
        <v>1</v>
      </c>
      <c r="AJ184" s="176">
        <v>459801.72</v>
      </c>
      <c r="AK184" s="176">
        <v>0</v>
      </c>
      <c r="AL184" s="176">
        <v>29835.13</v>
      </c>
      <c r="AM184" s="176">
        <v>0</v>
      </c>
      <c r="AN184" s="177">
        <v>0</v>
      </c>
      <c r="AO184" s="177">
        <v>0</v>
      </c>
      <c r="AP184" s="177">
        <v>268304.14</v>
      </c>
      <c r="AQ184" s="177">
        <v>0</v>
      </c>
      <c r="AR184" s="177">
        <v>40968.910000000003</v>
      </c>
      <c r="AS184" s="177">
        <v>0</v>
      </c>
      <c r="AT184" s="178">
        <v>359481.94</v>
      </c>
      <c r="AU184" s="178">
        <v>0</v>
      </c>
      <c r="AV184" s="178">
        <v>0</v>
      </c>
      <c r="AW184" s="179">
        <v>0</v>
      </c>
      <c r="AX184" s="180">
        <v>0</v>
      </c>
      <c r="AY184" s="180">
        <v>0</v>
      </c>
      <c r="AZ184" s="180">
        <v>0</v>
      </c>
      <c r="BA184" s="180">
        <v>0</v>
      </c>
      <c r="BB184" s="170">
        <f t="shared" si="57"/>
        <v>1158391.8400000001</v>
      </c>
      <c r="BC184" s="170">
        <v>1158391.8400000001</v>
      </c>
      <c r="BD184" s="2">
        <f t="shared" si="58"/>
        <v>0</v>
      </c>
    </row>
    <row r="185" spans="1:56" ht="12" x14ac:dyDescent="0.2">
      <c r="A185" s="4">
        <v>621</v>
      </c>
      <c r="B185" s="4">
        <v>1</v>
      </c>
      <c r="C185" s="2" t="s">
        <v>185</v>
      </c>
      <c r="D185" s="3">
        <v>0</v>
      </c>
      <c r="E185" s="3">
        <v>0</v>
      </c>
      <c r="F185" s="227">
        <f t="shared" si="47"/>
        <v>12125187</v>
      </c>
      <c r="G185" s="227">
        <f t="shared" si="48"/>
        <v>5926641</v>
      </c>
      <c r="H185" s="227">
        <f t="shared" si="49"/>
        <v>0</v>
      </c>
      <c r="I185" s="227">
        <f t="shared" si="50"/>
        <v>9122219</v>
      </c>
      <c r="J185" s="227">
        <f t="shared" si="51"/>
        <v>966550</v>
      </c>
      <c r="K185" s="227">
        <f t="shared" si="52"/>
        <v>6821835</v>
      </c>
      <c r="L185" s="227">
        <f t="shared" si="53"/>
        <v>3954363</v>
      </c>
      <c r="M185" s="3">
        <f t="shared" si="54"/>
        <v>0</v>
      </c>
      <c r="N185" s="227">
        <f t="shared" si="55"/>
        <v>2656737</v>
      </c>
      <c r="O185" s="142">
        <f t="shared" si="56"/>
        <v>41573532</v>
      </c>
      <c r="P185" s="3">
        <f t="shared" si="40"/>
        <v>23521704</v>
      </c>
      <c r="Q185" s="3">
        <f t="shared" si="41"/>
        <v>9122219</v>
      </c>
      <c r="R185" s="3">
        <f t="shared" si="42"/>
        <v>966550</v>
      </c>
      <c r="S185" s="3">
        <f t="shared" si="43"/>
        <v>10776198</v>
      </c>
      <c r="T185" s="3">
        <f t="shared" si="44"/>
        <v>2656737</v>
      </c>
      <c r="U185" s="3">
        <f>IF($A$5=1,IF($P185=0,0,ROUND(Q185/$P185*$E185,2)),Credits!D184)+Credits!J184</f>
        <v>19.740000000000002</v>
      </c>
      <c r="V185" s="3">
        <f>IF($A$5=1,IF($P185=0,0,ROUND(R185/$P185*$E185,2)),Credits!E184)+Credits!K184</f>
        <v>2.09</v>
      </c>
      <c r="W185" s="3">
        <f>IF($A$5=1,IF($P185=0,0,ROUND(S185/$P185*$E185,2)),Credits!F184)+Credits!L184</f>
        <v>23.32</v>
      </c>
      <c r="X185" s="3">
        <f>IF($A$5=1,IF($P185=0,0,ROUND(T185/$P185*$E185,2)),Credits!G184)+Credits!M184</f>
        <v>5.75</v>
      </c>
      <c r="Y185" s="3">
        <f t="shared" si="45"/>
        <v>50.900000000000006</v>
      </c>
      <c r="AC185" s="4"/>
      <c r="AD185" s="4"/>
      <c r="AE185" s="2">
        <f t="shared" si="46"/>
        <v>0</v>
      </c>
      <c r="AF185" s="170" t="s">
        <v>1120</v>
      </c>
      <c r="AG185" s="175">
        <v>621</v>
      </c>
      <c r="AH185" s="175">
        <v>1</v>
      </c>
      <c r="AI185" s="175">
        <v>1</v>
      </c>
      <c r="AJ185" s="176">
        <v>12125187</v>
      </c>
      <c r="AK185" s="176">
        <v>0</v>
      </c>
      <c r="AL185" s="176">
        <v>5926641</v>
      </c>
      <c r="AM185" s="176">
        <v>0</v>
      </c>
      <c r="AN185" s="177">
        <v>0</v>
      </c>
      <c r="AO185" s="177">
        <v>0</v>
      </c>
      <c r="AP185" s="177">
        <v>9122219</v>
      </c>
      <c r="AQ185" s="177">
        <v>0</v>
      </c>
      <c r="AR185" s="177">
        <v>966550</v>
      </c>
      <c r="AS185" s="177">
        <v>0</v>
      </c>
      <c r="AT185" s="178">
        <v>6821835</v>
      </c>
      <c r="AU185" s="178">
        <v>0</v>
      </c>
      <c r="AV185" s="178">
        <v>3954363</v>
      </c>
      <c r="AW185" s="179">
        <v>0</v>
      </c>
      <c r="AX185" s="180">
        <v>0</v>
      </c>
      <c r="AY185" s="180">
        <v>0</v>
      </c>
      <c r="AZ185" s="180">
        <v>2656737</v>
      </c>
      <c r="BA185" s="180">
        <v>0</v>
      </c>
      <c r="BB185" s="170">
        <f t="shared" si="57"/>
        <v>41573532</v>
      </c>
      <c r="BC185" s="170">
        <v>41573532.659999996</v>
      </c>
      <c r="BD185" s="2">
        <f t="shared" si="58"/>
        <v>-0.65999999642372131</v>
      </c>
    </row>
    <row r="186" spans="1:56" ht="12" x14ac:dyDescent="0.2">
      <c r="A186" s="4">
        <v>622</v>
      </c>
      <c r="B186" s="4">
        <v>1</v>
      </c>
      <c r="C186" s="2" t="s">
        <v>1190</v>
      </c>
      <c r="D186" s="3">
        <v>0</v>
      </c>
      <c r="E186" s="3">
        <v>0</v>
      </c>
      <c r="F186" s="227">
        <f t="shared" si="47"/>
        <v>2504202</v>
      </c>
      <c r="G186" s="227">
        <f t="shared" si="48"/>
        <v>9098932</v>
      </c>
      <c r="H186" s="227">
        <f t="shared" si="49"/>
        <v>0</v>
      </c>
      <c r="I186" s="227">
        <f t="shared" si="50"/>
        <v>11034976</v>
      </c>
      <c r="J186" s="227">
        <f t="shared" si="51"/>
        <v>1739488</v>
      </c>
      <c r="K186" s="227">
        <f t="shared" si="52"/>
        <v>4911862</v>
      </c>
      <c r="L186" s="227">
        <f t="shared" si="53"/>
        <v>7424640</v>
      </c>
      <c r="M186" s="3">
        <f t="shared" si="54"/>
        <v>0</v>
      </c>
      <c r="N186" s="227">
        <f t="shared" si="55"/>
        <v>2736414</v>
      </c>
      <c r="O186" s="142">
        <f t="shared" si="56"/>
        <v>39450514</v>
      </c>
      <c r="P186" s="3">
        <f t="shared" si="40"/>
        <v>27847380</v>
      </c>
      <c r="Q186" s="3">
        <f t="shared" si="41"/>
        <v>11034976</v>
      </c>
      <c r="R186" s="3">
        <f t="shared" si="42"/>
        <v>1739488</v>
      </c>
      <c r="S186" s="3">
        <f t="shared" si="43"/>
        <v>12336502</v>
      </c>
      <c r="T186" s="3">
        <f t="shared" si="44"/>
        <v>2736414</v>
      </c>
      <c r="U186" s="3">
        <f>IF($A$5=1,IF($P186=0,0,ROUND(Q186/$P186*$E186,2)),Credits!D185)+Credits!J185</f>
        <v>154.71</v>
      </c>
      <c r="V186" s="3">
        <f>IF($A$5=1,IF($P186=0,0,ROUND(R186/$P186*$E186,2)),Credits!E185)+Credits!K185</f>
        <v>24.380000000000003</v>
      </c>
      <c r="W186" s="3">
        <f>IF($A$5=1,IF($P186=0,0,ROUND(S186/$P186*$E186,2)),Credits!F185)+Credits!L185</f>
        <v>172.94000000000003</v>
      </c>
      <c r="X186" s="3">
        <f>IF($A$5=1,IF($P186=0,0,ROUND(T186/$P186*$E186,2)),Credits!G185)+Credits!M185</f>
        <v>38.36</v>
      </c>
      <c r="Y186" s="3">
        <f t="shared" si="45"/>
        <v>390.39000000000004</v>
      </c>
      <c r="AC186" s="4"/>
      <c r="AD186" s="4"/>
      <c r="AE186" s="2">
        <f t="shared" si="46"/>
        <v>0</v>
      </c>
      <c r="AF186" s="170" t="s">
        <v>1120</v>
      </c>
      <c r="AG186" s="175">
        <v>622</v>
      </c>
      <c r="AH186" s="175">
        <v>1</v>
      </c>
      <c r="AI186" s="175">
        <v>1</v>
      </c>
      <c r="AJ186" s="176">
        <v>2504202</v>
      </c>
      <c r="AK186" s="176">
        <v>0</v>
      </c>
      <c r="AL186" s="176">
        <v>9098932</v>
      </c>
      <c r="AM186" s="176">
        <v>0</v>
      </c>
      <c r="AN186" s="177">
        <v>0</v>
      </c>
      <c r="AO186" s="177">
        <v>0</v>
      </c>
      <c r="AP186" s="177">
        <v>11034976</v>
      </c>
      <c r="AQ186" s="177">
        <v>0</v>
      </c>
      <c r="AR186" s="177">
        <v>1739488</v>
      </c>
      <c r="AS186" s="177">
        <v>0</v>
      </c>
      <c r="AT186" s="178">
        <v>4911862</v>
      </c>
      <c r="AU186" s="178">
        <v>0</v>
      </c>
      <c r="AV186" s="178">
        <v>7424640</v>
      </c>
      <c r="AW186" s="179">
        <v>0</v>
      </c>
      <c r="AX186" s="180">
        <v>0</v>
      </c>
      <c r="AY186" s="180">
        <v>0</v>
      </c>
      <c r="AZ186" s="180">
        <v>2736414</v>
      </c>
      <c r="BA186" s="180">
        <v>0</v>
      </c>
      <c r="BB186" s="170">
        <f t="shared" si="57"/>
        <v>39450514</v>
      </c>
      <c r="BC186" s="170">
        <v>39450513.68</v>
      </c>
      <c r="BD186" s="2">
        <f t="shared" si="58"/>
        <v>0.32000000029802322</v>
      </c>
    </row>
    <row r="187" spans="1:56" ht="12" x14ac:dyDescent="0.2">
      <c r="A187" s="4">
        <v>623</v>
      </c>
      <c r="B187" s="4">
        <v>1</v>
      </c>
      <c r="C187" s="2" t="s">
        <v>187</v>
      </c>
      <c r="D187" s="3">
        <v>0</v>
      </c>
      <c r="E187" s="3">
        <v>0</v>
      </c>
      <c r="F187" s="227">
        <f t="shared" si="47"/>
        <v>10202073</v>
      </c>
      <c r="G187" s="227">
        <f t="shared" si="48"/>
        <v>4341488</v>
      </c>
      <c r="H187" s="227">
        <f t="shared" si="49"/>
        <v>0</v>
      </c>
      <c r="I187" s="227">
        <f t="shared" si="50"/>
        <v>3880600</v>
      </c>
      <c r="J187" s="227">
        <f t="shared" si="51"/>
        <v>924905</v>
      </c>
      <c r="K187" s="227">
        <f t="shared" si="52"/>
        <v>2995156</v>
      </c>
      <c r="L187" s="227">
        <f t="shared" si="53"/>
        <v>0</v>
      </c>
      <c r="M187" s="3">
        <f t="shared" si="54"/>
        <v>0</v>
      </c>
      <c r="N187" s="227">
        <f t="shared" si="55"/>
        <v>1435507</v>
      </c>
      <c r="O187" s="142">
        <f t="shared" si="56"/>
        <v>23779729</v>
      </c>
      <c r="P187" s="3">
        <f t="shared" si="40"/>
        <v>9236168</v>
      </c>
      <c r="Q187" s="3">
        <f t="shared" si="41"/>
        <v>3880600</v>
      </c>
      <c r="R187" s="3">
        <f t="shared" si="42"/>
        <v>924905</v>
      </c>
      <c r="S187" s="3">
        <f t="shared" si="43"/>
        <v>2995156</v>
      </c>
      <c r="T187" s="3">
        <f t="shared" si="44"/>
        <v>1435507</v>
      </c>
      <c r="U187" s="3">
        <f>IF($A$5=1,IF($P187=0,0,ROUND(Q187/$P187*$E187,2)),Credits!D186)+Credits!J186</f>
        <v>16.77</v>
      </c>
      <c r="V187" s="3">
        <f>IF($A$5=1,IF($P187=0,0,ROUND(R187/$P187*$E187,2)),Credits!E186)+Credits!K186</f>
        <v>4</v>
      </c>
      <c r="W187" s="3">
        <f>IF($A$5=1,IF($P187=0,0,ROUND(S187/$P187*$E187,2)),Credits!F186)+Credits!L186</f>
        <v>12.94</v>
      </c>
      <c r="X187" s="3">
        <f>IF($A$5=1,IF($P187=0,0,ROUND(T187/$P187*$E187,2)),Credits!G186)+Credits!M186</f>
        <v>6.2</v>
      </c>
      <c r="Y187" s="3">
        <f t="shared" si="45"/>
        <v>39.910000000000004</v>
      </c>
      <c r="AC187" s="4"/>
      <c r="AD187" s="4"/>
      <c r="AE187" s="2">
        <f t="shared" si="46"/>
        <v>0</v>
      </c>
      <c r="AF187" s="170" t="s">
        <v>1120</v>
      </c>
      <c r="AG187" s="175">
        <v>623</v>
      </c>
      <c r="AH187" s="175">
        <v>1</v>
      </c>
      <c r="AI187" s="175">
        <v>1</v>
      </c>
      <c r="AJ187" s="176">
        <v>10202073</v>
      </c>
      <c r="AK187" s="176">
        <v>0</v>
      </c>
      <c r="AL187" s="176">
        <v>4341488</v>
      </c>
      <c r="AM187" s="176">
        <v>0</v>
      </c>
      <c r="AN187" s="177">
        <v>0</v>
      </c>
      <c r="AO187" s="177">
        <v>0</v>
      </c>
      <c r="AP187" s="177">
        <v>3880600</v>
      </c>
      <c r="AQ187" s="177">
        <v>0</v>
      </c>
      <c r="AR187" s="177">
        <v>924905</v>
      </c>
      <c r="AS187" s="177">
        <v>0</v>
      </c>
      <c r="AT187" s="178">
        <v>2995156</v>
      </c>
      <c r="AU187" s="178">
        <v>0</v>
      </c>
      <c r="AV187" s="178">
        <v>0</v>
      </c>
      <c r="AW187" s="179">
        <v>0</v>
      </c>
      <c r="AX187" s="180">
        <v>0</v>
      </c>
      <c r="AY187" s="180">
        <v>0</v>
      </c>
      <c r="AZ187" s="180">
        <v>1435507</v>
      </c>
      <c r="BA187" s="180">
        <v>0</v>
      </c>
      <c r="BB187" s="170">
        <f t="shared" si="57"/>
        <v>23779729</v>
      </c>
      <c r="BC187" s="170">
        <v>23779729.09</v>
      </c>
      <c r="BD187" s="2">
        <f t="shared" si="58"/>
        <v>-8.9999999850988388E-2</v>
      </c>
    </row>
    <row r="188" spans="1:56" ht="12" x14ac:dyDescent="0.2">
      <c r="A188" s="4">
        <v>624</v>
      </c>
      <c r="B188" s="4">
        <v>1</v>
      </c>
      <c r="C188" s="2" t="s">
        <v>188</v>
      </c>
      <c r="D188" s="3">
        <v>0</v>
      </c>
      <c r="E188" s="3">
        <v>0</v>
      </c>
      <c r="F188" s="227">
        <f t="shared" si="47"/>
        <v>14162215</v>
      </c>
      <c r="G188" s="227">
        <f t="shared" si="48"/>
        <v>3907058</v>
      </c>
      <c r="H188" s="227">
        <f t="shared" si="49"/>
        <v>1374419</v>
      </c>
      <c r="I188" s="227">
        <f t="shared" si="50"/>
        <v>5025540</v>
      </c>
      <c r="J188" s="227">
        <f t="shared" si="51"/>
        <v>1089836</v>
      </c>
      <c r="K188" s="227">
        <f t="shared" si="52"/>
        <v>4087590</v>
      </c>
      <c r="L188" s="227">
        <f t="shared" si="53"/>
        <v>822644</v>
      </c>
      <c r="M188" s="3">
        <f t="shared" si="54"/>
        <v>0</v>
      </c>
      <c r="N188" s="227">
        <f t="shared" si="55"/>
        <v>5665560</v>
      </c>
      <c r="O188" s="142">
        <f t="shared" si="56"/>
        <v>36134862</v>
      </c>
      <c r="P188" s="3">
        <f t="shared" si="40"/>
        <v>18065589</v>
      </c>
      <c r="Q188" s="3">
        <f t="shared" si="41"/>
        <v>6399959</v>
      </c>
      <c r="R188" s="3">
        <f t="shared" si="42"/>
        <v>1089836</v>
      </c>
      <c r="S188" s="3">
        <f t="shared" si="43"/>
        <v>4910234</v>
      </c>
      <c r="T188" s="3">
        <f t="shared" si="44"/>
        <v>5665560</v>
      </c>
      <c r="U188" s="3">
        <f>IF($A$5=1,IF($P188=0,0,ROUND(Q188/$P188*$E188,2)),Credits!D187)+Credits!J187</f>
        <v>538.29</v>
      </c>
      <c r="V188" s="3">
        <f>IF($A$5=1,IF($P188=0,0,ROUND(R188/$P188*$E188,2)),Credits!E187)+Credits!K187</f>
        <v>91.679999999999993</v>
      </c>
      <c r="W188" s="3">
        <f>IF($A$5=1,IF($P188=0,0,ROUND(S188/$P188*$E188,2)),Credits!F187)+Credits!L187</f>
        <v>412.98999999999995</v>
      </c>
      <c r="X188" s="3">
        <f>IF($A$5=1,IF($P188=0,0,ROUND(T188/$P188*$E188,2)),Credits!G187)+Credits!M187</f>
        <v>476.53</v>
      </c>
      <c r="Y188" s="3">
        <f t="shared" si="45"/>
        <v>1519.4899999999998</v>
      </c>
      <c r="AC188" s="4"/>
      <c r="AD188" s="4"/>
      <c r="AE188" s="2">
        <f t="shared" si="46"/>
        <v>0</v>
      </c>
      <c r="AF188" s="170" t="s">
        <v>1120</v>
      </c>
      <c r="AG188" s="175">
        <v>624</v>
      </c>
      <c r="AH188" s="175">
        <v>1</v>
      </c>
      <c r="AI188" s="175">
        <v>1</v>
      </c>
      <c r="AJ188" s="176">
        <v>14162215</v>
      </c>
      <c r="AK188" s="176">
        <v>0</v>
      </c>
      <c r="AL188" s="176">
        <v>3907058</v>
      </c>
      <c r="AM188" s="176">
        <v>0</v>
      </c>
      <c r="AN188" s="177">
        <v>1374419</v>
      </c>
      <c r="AO188" s="177">
        <v>0</v>
      </c>
      <c r="AP188" s="177">
        <v>5025540</v>
      </c>
      <c r="AQ188" s="177">
        <v>0</v>
      </c>
      <c r="AR188" s="177">
        <v>1089836</v>
      </c>
      <c r="AS188" s="177">
        <v>0</v>
      </c>
      <c r="AT188" s="178">
        <v>4087590</v>
      </c>
      <c r="AU188" s="178">
        <v>0</v>
      </c>
      <c r="AV188" s="178">
        <v>822644</v>
      </c>
      <c r="AW188" s="179">
        <v>0</v>
      </c>
      <c r="AX188" s="180">
        <v>0</v>
      </c>
      <c r="AY188" s="180">
        <v>0</v>
      </c>
      <c r="AZ188" s="180">
        <v>5665560</v>
      </c>
      <c r="BA188" s="180">
        <v>0</v>
      </c>
      <c r="BB188" s="170">
        <f t="shared" si="57"/>
        <v>36134862</v>
      </c>
      <c r="BC188" s="170">
        <v>36134861.509999998</v>
      </c>
      <c r="BD188" s="2">
        <f t="shared" si="58"/>
        <v>0.49000000208616257</v>
      </c>
    </row>
    <row r="189" spans="1:56" ht="12" x14ac:dyDescent="0.2">
      <c r="A189" s="4">
        <v>625</v>
      </c>
      <c r="B189" s="4">
        <v>1</v>
      </c>
      <c r="C189" s="2" t="s">
        <v>189</v>
      </c>
      <c r="D189" s="3">
        <v>0</v>
      </c>
      <c r="E189" s="3">
        <v>0</v>
      </c>
      <c r="F189" s="227">
        <f t="shared" si="47"/>
        <v>13246481</v>
      </c>
      <c r="G189" s="227">
        <f t="shared" si="48"/>
        <v>21635011</v>
      </c>
      <c r="H189" s="227">
        <f t="shared" si="49"/>
        <v>0</v>
      </c>
      <c r="I189" s="227">
        <f t="shared" si="50"/>
        <v>56390617</v>
      </c>
      <c r="J189" s="227">
        <f t="shared" si="51"/>
        <v>3457227</v>
      </c>
      <c r="K189" s="227">
        <f t="shared" si="52"/>
        <v>0</v>
      </c>
      <c r="L189" s="227">
        <f t="shared" si="53"/>
        <v>40327197</v>
      </c>
      <c r="M189" s="3">
        <f t="shared" si="54"/>
        <v>0</v>
      </c>
      <c r="N189" s="227">
        <f t="shared" si="55"/>
        <v>0</v>
      </c>
      <c r="O189" s="142">
        <f t="shared" si="56"/>
        <v>135056533</v>
      </c>
      <c r="P189" s="3">
        <f t="shared" si="40"/>
        <v>100175041</v>
      </c>
      <c r="Q189" s="3">
        <f t="shared" si="41"/>
        <v>56390617</v>
      </c>
      <c r="R189" s="3">
        <f t="shared" si="42"/>
        <v>3457227</v>
      </c>
      <c r="S189" s="3">
        <f t="shared" si="43"/>
        <v>40327197</v>
      </c>
      <c r="T189" s="3">
        <f t="shared" si="44"/>
        <v>0</v>
      </c>
      <c r="U189" s="3">
        <f>IF($A$5=1,IF($P189=0,0,ROUND(Q189/$P189*$E189,2)),Credits!D188)+Credits!J188</f>
        <v>186539.71999999997</v>
      </c>
      <c r="V189" s="3">
        <f>IF($A$5=1,IF($P189=0,0,ROUND(R189/$P189*$E189,2)),Credits!E188)+Credits!K188</f>
        <v>11433.48</v>
      </c>
      <c r="W189" s="3">
        <f>IF($A$5=1,IF($P189=0,0,ROUND(S189/$P189*$E189,2)),Credits!F188)+Credits!L188</f>
        <v>133400.12999999998</v>
      </c>
      <c r="X189" s="3">
        <f>IF($A$5=1,IF($P189=0,0,ROUND(T189/$P189*$E189,2)),Credits!G188)+Credits!M188</f>
        <v>0</v>
      </c>
      <c r="Y189" s="3">
        <f t="shared" si="45"/>
        <v>331373.32999999996</v>
      </c>
      <c r="AC189" s="4"/>
      <c r="AD189" s="4"/>
      <c r="AE189" s="2">
        <f t="shared" si="46"/>
        <v>0</v>
      </c>
      <c r="AF189" s="170" t="s">
        <v>1120</v>
      </c>
      <c r="AG189" s="175">
        <v>625</v>
      </c>
      <c r="AH189" s="175">
        <v>1</v>
      </c>
      <c r="AI189" s="175">
        <v>1</v>
      </c>
      <c r="AJ189" s="176">
        <v>13246481</v>
      </c>
      <c r="AK189" s="176">
        <v>0</v>
      </c>
      <c r="AL189" s="176">
        <v>21635011</v>
      </c>
      <c r="AM189" s="176">
        <v>0</v>
      </c>
      <c r="AN189" s="177">
        <v>0</v>
      </c>
      <c r="AO189" s="177">
        <v>0</v>
      </c>
      <c r="AP189" s="177">
        <v>56390617</v>
      </c>
      <c r="AQ189" s="177">
        <v>0</v>
      </c>
      <c r="AR189" s="177">
        <v>3457227</v>
      </c>
      <c r="AS189" s="177">
        <v>0</v>
      </c>
      <c r="AT189" s="178">
        <v>0</v>
      </c>
      <c r="AU189" s="178">
        <v>0</v>
      </c>
      <c r="AV189" s="178">
        <v>40327197</v>
      </c>
      <c r="AW189" s="179">
        <v>0</v>
      </c>
      <c r="AX189" s="180">
        <v>0</v>
      </c>
      <c r="AY189" s="180">
        <v>0</v>
      </c>
      <c r="AZ189" s="180">
        <v>0</v>
      </c>
      <c r="BA189" s="180">
        <v>0</v>
      </c>
      <c r="BB189" s="170">
        <f t="shared" si="57"/>
        <v>135056533</v>
      </c>
      <c r="BC189" s="170">
        <v>135056533.71000001</v>
      </c>
      <c r="BD189" s="2">
        <f t="shared" si="58"/>
        <v>-0.71000000834465027</v>
      </c>
    </row>
    <row r="190" spans="1:56" ht="12" x14ac:dyDescent="0.2">
      <c r="A190" s="4">
        <v>630</v>
      </c>
      <c r="B190" s="4">
        <v>1</v>
      </c>
      <c r="C190" s="2" t="s">
        <v>192</v>
      </c>
      <c r="D190" s="3">
        <v>0</v>
      </c>
      <c r="E190" s="3">
        <v>0</v>
      </c>
      <c r="F190" s="227">
        <f t="shared" si="47"/>
        <v>317237</v>
      </c>
      <c r="G190" s="227">
        <f t="shared" si="48"/>
        <v>10661</v>
      </c>
      <c r="H190" s="227">
        <f t="shared" si="49"/>
        <v>0</v>
      </c>
      <c r="I190" s="227">
        <f t="shared" si="50"/>
        <v>134305</v>
      </c>
      <c r="J190" s="227">
        <f t="shared" si="51"/>
        <v>20601</v>
      </c>
      <c r="K190" s="227">
        <f t="shared" si="52"/>
        <v>402559</v>
      </c>
      <c r="L190" s="227">
        <f t="shared" si="53"/>
        <v>0</v>
      </c>
      <c r="M190" s="3">
        <f t="shared" si="54"/>
        <v>0</v>
      </c>
      <c r="N190" s="227">
        <f t="shared" si="55"/>
        <v>0</v>
      </c>
      <c r="O190" s="142">
        <f t="shared" si="56"/>
        <v>885363</v>
      </c>
      <c r="P190" s="3">
        <f t="shared" si="40"/>
        <v>557465</v>
      </c>
      <c r="Q190" s="3">
        <f t="shared" si="41"/>
        <v>134305</v>
      </c>
      <c r="R190" s="3">
        <f t="shared" si="42"/>
        <v>20601</v>
      </c>
      <c r="S190" s="3">
        <f t="shared" si="43"/>
        <v>402559</v>
      </c>
      <c r="T190" s="3">
        <f t="shared" si="44"/>
        <v>0</v>
      </c>
      <c r="U190" s="3">
        <f>IF($A$5=1,IF($P190=0,0,ROUND(Q190/$P190*$E190,2)),Credits!D189)+Credits!J189</f>
        <v>13898.75</v>
      </c>
      <c r="V190" s="3">
        <f>IF($A$5=1,IF($P190=0,0,ROUND(R190/$P190*$E190,2)),Credits!E189)+Credits!K189</f>
        <v>2131.84</v>
      </c>
      <c r="W190" s="3">
        <f>IF($A$5=1,IF($P190=0,0,ROUND(S190/$P190*$E190,2)),Credits!F189)+Credits!L189</f>
        <v>41649.81</v>
      </c>
      <c r="X190" s="3">
        <f>IF($A$5=1,IF($P190=0,0,ROUND(T190/$P190*$E190,2)),Credits!G189)+Credits!M189</f>
        <v>0</v>
      </c>
      <c r="Y190" s="3">
        <f t="shared" si="45"/>
        <v>57680.399999999994</v>
      </c>
      <c r="AC190" s="4"/>
      <c r="AD190" s="4"/>
      <c r="AE190" s="2">
        <f t="shared" si="46"/>
        <v>0</v>
      </c>
      <c r="AF190" s="170" t="s">
        <v>1120</v>
      </c>
      <c r="AG190" s="175">
        <v>630</v>
      </c>
      <c r="AH190" s="175">
        <v>1</v>
      </c>
      <c r="AI190" s="175">
        <v>1</v>
      </c>
      <c r="AJ190" s="176">
        <v>317237</v>
      </c>
      <c r="AK190" s="176">
        <v>0</v>
      </c>
      <c r="AL190" s="176">
        <v>10661</v>
      </c>
      <c r="AM190" s="176">
        <v>0</v>
      </c>
      <c r="AN190" s="177">
        <v>0</v>
      </c>
      <c r="AO190" s="177">
        <v>0</v>
      </c>
      <c r="AP190" s="177">
        <v>134305</v>
      </c>
      <c r="AQ190" s="177">
        <v>0</v>
      </c>
      <c r="AR190" s="177">
        <v>20601</v>
      </c>
      <c r="AS190" s="177">
        <v>0</v>
      </c>
      <c r="AT190" s="178">
        <v>402559</v>
      </c>
      <c r="AU190" s="178">
        <v>0</v>
      </c>
      <c r="AV190" s="178">
        <v>0</v>
      </c>
      <c r="AW190" s="179">
        <v>0</v>
      </c>
      <c r="AX190" s="180">
        <v>0</v>
      </c>
      <c r="AY190" s="180">
        <v>0</v>
      </c>
      <c r="AZ190" s="180">
        <v>0</v>
      </c>
      <c r="BA190" s="180">
        <v>0</v>
      </c>
      <c r="BB190" s="170">
        <f t="shared" si="57"/>
        <v>885363</v>
      </c>
      <c r="BC190" s="170">
        <v>885362.74</v>
      </c>
      <c r="BD190" s="2">
        <f t="shared" si="58"/>
        <v>0.26000000000931323</v>
      </c>
    </row>
    <row r="191" spans="1:56" ht="12" x14ac:dyDescent="0.2">
      <c r="A191" s="4">
        <v>635</v>
      </c>
      <c r="B191" s="4">
        <v>1</v>
      </c>
      <c r="C191" s="2" t="s">
        <v>193</v>
      </c>
      <c r="D191" s="3">
        <v>0</v>
      </c>
      <c r="E191" s="3">
        <v>0</v>
      </c>
      <c r="F191" s="227">
        <f t="shared" si="47"/>
        <v>145230</v>
      </c>
      <c r="G191" s="227">
        <f t="shared" si="48"/>
        <v>465</v>
      </c>
      <c r="H191" s="227">
        <f t="shared" si="49"/>
        <v>0</v>
      </c>
      <c r="I191" s="227">
        <f t="shared" si="50"/>
        <v>62568</v>
      </c>
      <c r="J191" s="227">
        <f t="shared" si="51"/>
        <v>16770</v>
      </c>
      <c r="K191" s="227">
        <f t="shared" si="52"/>
        <v>0</v>
      </c>
      <c r="L191" s="227">
        <f t="shared" si="53"/>
        <v>0</v>
      </c>
      <c r="M191" s="3">
        <f t="shared" si="54"/>
        <v>0</v>
      </c>
      <c r="N191" s="227">
        <f t="shared" si="55"/>
        <v>0</v>
      </c>
      <c r="O191" s="142">
        <f t="shared" si="56"/>
        <v>225033</v>
      </c>
      <c r="P191" s="3">
        <f t="shared" si="40"/>
        <v>79338</v>
      </c>
      <c r="Q191" s="3">
        <f t="shared" si="41"/>
        <v>62568</v>
      </c>
      <c r="R191" s="3">
        <f t="shared" si="42"/>
        <v>16770</v>
      </c>
      <c r="S191" s="3">
        <f t="shared" si="43"/>
        <v>0</v>
      </c>
      <c r="T191" s="3">
        <f t="shared" si="44"/>
        <v>0</v>
      </c>
      <c r="U191" s="3">
        <f>IF($A$5=1,IF($P191=0,0,ROUND(Q191/$P191*$E191,2)),Credits!D190)+Credits!J190</f>
        <v>2943.5</v>
      </c>
      <c r="V191" s="3">
        <f>IF($A$5=1,IF($P191=0,0,ROUND(R191/$P191*$E191,2)),Credits!E190)+Credits!K190</f>
        <v>789.42000000000007</v>
      </c>
      <c r="W191" s="3">
        <f>IF($A$5=1,IF($P191=0,0,ROUND(S191/$P191*$E191,2)),Credits!F190)+Credits!L190</f>
        <v>0</v>
      </c>
      <c r="X191" s="3">
        <f>IF($A$5=1,IF($P191=0,0,ROUND(T191/$P191*$E191,2)),Credits!G190)+Credits!M190</f>
        <v>0</v>
      </c>
      <c r="Y191" s="3">
        <f t="shared" si="45"/>
        <v>3732.92</v>
      </c>
      <c r="AC191" s="4"/>
      <c r="AD191" s="4"/>
      <c r="AE191" s="2">
        <f t="shared" si="46"/>
        <v>0</v>
      </c>
      <c r="AF191" s="170" t="s">
        <v>1120</v>
      </c>
      <c r="AG191" s="175">
        <v>635</v>
      </c>
      <c r="AH191" s="175">
        <v>1</v>
      </c>
      <c r="AI191" s="175">
        <v>1</v>
      </c>
      <c r="AJ191" s="176">
        <v>145230</v>
      </c>
      <c r="AK191" s="176">
        <v>0</v>
      </c>
      <c r="AL191" s="176">
        <v>465</v>
      </c>
      <c r="AM191" s="176">
        <v>0</v>
      </c>
      <c r="AN191" s="177">
        <v>0</v>
      </c>
      <c r="AO191" s="177">
        <v>0</v>
      </c>
      <c r="AP191" s="177">
        <v>62568</v>
      </c>
      <c r="AQ191" s="177">
        <v>0</v>
      </c>
      <c r="AR191" s="177">
        <v>16770</v>
      </c>
      <c r="AS191" s="177">
        <v>0</v>
      </c>
      <c r="AT191" s="178">
        <v>0</v>
      </c>
      <c r="AU191" s="178">
        <v>0</v>
      </c>
      <c r="AV191" s="178">
        <v>0</v>
      </c>
      <c r="AW191" s="179">
        <v>0</v>
      </c>
      <c r="AX191" s="180">
        <v>0</v>
      </c>
      <c r="AY191" s="180">
        <v>0</v>
      </c>
      <c r="AZ191" s="180">
        <v>0</v>
      </c>
      <c r="BA191" s="180">
        <v>0</v>
      </c>
      <c r="BB191" s="170">
        <f t="shared" si="57"/>
        <v>225033</v>
      </c>
      <c r="BC191" s="170">
        <v>225032.32000000001</v>
      </c>
      <c r="BD191" s="2">
        <f t="shared" si="58"/>
        <v>0.67999999999301508</v>
      </c>
    </row>
    <row r="192" spans="1:56" ht="12" x14ac:dyDescent="0.2">
      <c r="A192" s="4">
        <v>640</v>
      </c>
      <c r="B192" s="4">
        <v>1</v>
      </c>
      <c r="C192" s="2" t="s">
        <v>194</v>
      </c>
      <c r="D192" s="3">
        <v>0</v>
      </c>
      <c r="E192" s="3">
        <v>0</v>
      </c>
      <c r="F192" s="227">
        <f t="shared" si="47"/>
        <v>255259</v>
      </c>
      <c r="G192" s="227">
        <f t="shared" si="48"/>
        <v>23814</v>
      </c>
      <c r="H192" s="227">
        <f t="shared" si="49"/>
        <v>0</v>
      </c>
      <c r="I192" s="227">
        <f t="shared" si="50"/>
        <v>243228</v>
      </c>
      <c r="J192" s="227">
        <f t="shared" si="51"/>
        <v>28901</v>
      </c>
      <c r="K192" s="227">
        <f t="shared" si="52"/>
        <v>299696</v>
      </c>
      <c r="L192" s="227">
        <f t="shared" si="53"/>
        <v>0</v>
      </c>
      <c r="M192" s="3">
        <f t="shared" si="54"/>
        <v>0</v>
      </c>
      <c r="N192" s="227">
        <f t="shared" si="55"/>
        <v>0</v>
      </c>
      <c r="O192" s="142">
        <f t="shared" si="56"/>
        <v>850898</v>
      </c>
      <c r="P192" s="3">
        <f t="shared" si="40"/>
        <v>571825</v>
      </c>
      <c r="Q192" s="3">
        <f t="shared" si="41"/>
        <v>243228</v>
      </c>
      <c r="R192" s="3">
        <f t="shared" si="42"/>
        <v>28901</v>
      </c>
      <c r="S192" s="3">
        <f t="shared" si="43"/>
        <v>299696</v>
      </c>
      <c r="T192" s="3">
        <f t="shared" si="44"/>
        <v>0</v>
      </c>
      <c r="U192" s="3">
        <f>IF($A$5=1,IF($P192=0,0,ROUND(Q192/$P192*$E192,2)),Credits!D191)+Credits!J191</f>
        <v>8511.33</v>
      </c>
      <c r="V192" s="3">
        <f>IF($A$5=1,IF($P192=0,0,ROUND(R192/$P192*$E192,2)),Credits!E191)+Credits!K191</f>
        <v>1013.6800000000001</v>
      </c>
      <c r="W192" s="3">
        <f>IF($A$5=1,IF($P192=0,0,ROUND(S192/$P192*$E192,2)),Credits!F191)+Credits!L191</f>
        <v>10463.44</v>
      </c>
      <c r="X192" s="3">
        <f>IF($A$5=1,IF($P192=0,0,ROUND(T192/$P192*$E192,2)),Credits!G191)+Credits!M191</f>
        <v>0</v>
      </c>
      <c r="Y192" s="3">
        <f t="shared" si="45"/>
        <v>19988.45</v>
      </c>
      <c r="AC192" s="4"/>
      <c r="AD192" s="4"/>
      <c r="AE192" s="2">
        <f t="shared" si="46"/>
        <v>0</v>
      </c>
      <c r="AF192" s="170" t="s">
        <v>1120</v>
      </c>
      <c r="AG192" s="175">
        <v>640</v>
      </c>
      <c r="AH192" s="175">
        <v>1</v>
      </c>
      <c r="AI192" s="175">
        <v>1</v>
      </c>
      <c r="AJ192" s="176">
        <v>255259</v>
      </c>
      <c r="AK192" s="176">
        <v>0</v>
      </c>
      <c r="AL192" s="176">
        <v>23814</v>
      </c>
      <c r="AM192" s="176">
        <v>0</v>
      </c>
      <c r="AN192" s="177">
        <v>0</v>
      </c>
      <c r="AO192" s="177">
        <v>0</v>
      </c>
      <c r="AP192" s="177">
        <v>243228</v>
      </c>
      <c r="AQ192" s="177">
        <v>0</v>
      </c>
      <c r="AR192" s="177">
        <v>28901</v>
      </c>
      <c r="AS192" s="177">
        <v>0</v>
      </c>
      <c r="AT192" s="178">
        <v>299696</v>
      </c>
      <c r="AU192" s="178">
        <v>0</v>
      </c>
      <c r="AV192" s="178">
        <v>0</v>
      </c>
      <c r="AW192" s="179">
        <v>0</v>
      </c>
      <c r="AX192" s="180">
        <v>0</v>
      </c>
      <c r="AY192" s="180">
        <v>0</v>
      </c>
      <c r="AZ192" s="180">
        <v>0</v>
      </c>
      <c r="BA192" s="180">
        <v>0</v>
      </c>
      <c r="BB192" s="170">
        <f t="shared" si="57"/>
        <v>850898</v>
      </c>
      <c r="BC192" s="170">
        <v>850897.55</v>
      </c>
      <c r="BD192" s="2">
        <f t="shared" si="58"/>
        <v>0.44999999995343387</v>
      </c>
    </row>
    <row r="193" spans="1:56" ht="12" x14ac:dyDescent="0.2">
      <c r="A193" s="4">
        <v>656</v>
      </c>
      <c r="B193" s="4">
        <v>1</v>
      </c>
      <c r="C193" s="2" t="s">
        <v>195</v>
      </c>
      <c r="D193" s="3">
        <v>0</v>
      </c>
      <c r="E193" s="3">
        <v>0</v>
      </c>
      <c r="F193" s="227">
        <f t="shared" si="47"/>
        <v>2505990.41</v>
      </c>
      <c r="G193" s="227">
        <f t="shared" si="48"/>
        <v>1051889.6200000001</v>
      </c>
      <c r="H193" s="227">
        <f t="shared" si="49"/>
        <v>0</v>
      </c>
      <c r="I193" s="227">
        <f t="shared" si="50"/>
        <v>1960313.31</v>
      </c>
      <c r="J193" s="227">
        <f t="shared" si="51"/>
        <v>359499.85</v>
      </c>
      <c r="K193" s="227">
        <f t="shared" si="52"/>
        <v>3791664.52</v>
      </c>
      <c r="L193" s="227">
        <f t="shared" si="53"/>
        <v>1038590.53</v>
      </c>
      <c r="M193" s="3">
        <f t="shared" si="54"/>
        <v>0</v>
      </c>
      <c r="N193" s="227">
        <f t="shared" si="55"/>
        <v>0</v>
      </c>
      <c r="O193" s="142">
        <f t="shared" si="56"/>
        <v>10707948.239999998</v>
      </c>
      <c r="P193" s="3">
        <f t="shared" si="40"/>
        <v>7150068.21</v>
      </c>
      <c r="Q193" s="3">
        <f t="shared" si="41"/>
        <v>1960313.31</v>
      </c>
      <c r="R193" s="3">
        <f t="shared" si="42"/>
        <v>359499.85</v>
      </c>
      <c r="S193" s="3">
        <f t="shared" si="43"/>
        <v>4830255.05</v>
      </c>
      <c r="T193" s="3">
        <f t="shared" si="44"/>
        <v>0</v>
      </c>
      <c r="U193" s="3">
        <f>IF($A$5=1,IF($P193=0,0,ROUND(Q193/$P193*$E193,2)),Credits!D192)+Credits!J192</f>
        <v>20792.39</v>
      </c>
      <c r="V193" s="3">
        <f>IF($A$5=1,IF($P193=0,0,ROUND(R193/$P193*$E193,2)),Credits!E192)+Credits!K192</f>
        <v>3813.8199999999997</v>
      </c>
      <c r="W193" s="3">
        <f>IF($A$5=1,IF($P193=0,0,ROUND(S193/$P193*$E193,2)),Credits!F192)+Credits!L192</f>
        <v>49708.390000000007</v>
      </c>
      <c r="X193" s="3">
        <f>IF($A$5=1,IF($P193=0,0,ROUND(T193/$P193*$E193,2)),Credits!G192)+Credits!M192</f>
        <v>0</v>
      </c>
      <c r="Y193" s="3">
        <f t="shared" si="45"/>
        <v>74314.600000000006</v>
      </c>
      <c r="AC193" s="4"/>
      <c r="AD193" s="4"/>
      <c r="AE193" s="2">
        <f t="shared" si="46"/>
        <v>0</v>
      </c>
      <c r="AF193" s="170" t="s">
        <v>1120</v>
      </c>
      <c r="AG193" s="175">
        <v>656</v>
      </c>
      <c r="AH193" s="175">
        <v>1</v>
      </c>
      <c r="AI193" s="175">
        <v>1</v>
      </c>
      <c r="AJ193" s="176">
        <v>2505990.41</v>
      </c>
      <c r="AK193" s="176">
        <v>0</v>
      </c>
      <c r="AL193" s="176">
        <v>1051889.6200000001</v>
      </c>
      <c r="AM193" s="176">
        <v>0</v>
      </c>
      <c r="AN193" s="177">
        <v>0</v>
      </c>
      <c r="AO193" s="177">
        <v>0</v>
      </c>
      <c r="AP193" s="177">
        <v>1960313.31</v>
      </c>
      <c r="AQ193" s="177">
        <v>0</v>
      </c>
      <c r="AR193" s="177">
        <v>359499.85</v>
      </c>
      <c r="AS193" s="177">
        <v>0</v>
      </c>
      <c r="AT193" s="178">
        <v>3791664.52</v>
      </c>
      <c r="AU193" s="178">
        <v>0</v>
      </c>
      <c r="AV193" s="178">
        <v>1038590.53</v>
      </c>
      <c r="AW193" s="179">
        <v>0</v>
      </c>
      <c r="AX193" s="180">
        <v>0</v>
      </c>
      <c r="AY193" s="180">
        <v>0</v>
      </c>
      <c r="AZ193" s="180">
        <v>0</v>
      </c>
      <c r="BA193" s="180">
        <v>0</v>
      </c>
      <c r="BB193" s="170">
        <f t="shared" si="57"/>
        <v>10707948.239999998</v>
      </c>
      <c r="BC193" s="170">
        <v>10707948.24</v>
      </c>
      <c r="BD193" s="2">
        <f t="shared" si="58"/>
        <v>0</v>
      </c>
    </row>
    <row r="194" spans="1:56" ht="12" x14ac:dyDescent="0.2">
      <c r="A194" s="4">
        <v>659</v>
      </c>
      <c r="B194" s="4">
        <v>1</v>
      </c>
      <c r="C194" s="2" t="s">
        <v>196</v>
      </c>
      <c r="D194" s="3">
        <v>0</v>
      </c>
      <c r="E194" s="3">
        <v>0</v>
      </c>
      <c r="F194" s="227">
        <f t="shared" si="47"/>
        <v>5186009.97</v>
      </c>
      <c r="G194" s="227">
        <f t="shared" si="48"/>
        <v>1737222.09</v>
      </c>
      <c r="H194" s="227">
        <f t="shared" si="49"/>
        <v>750000</v>
      </c>
      <c r="I194" s="227">
        <f t="shared" si="50"/>
        <v>1612624.98</v>
      </c>
      <c r="J194" s="227">
        <f t="shared" si="51"/>
        <v>398416.9</v>
      </c>
      <c r="K194" s="227">
        <f t="shared" si="52"/>
        <v>4353418.03</v>
      </c>
      <c r="L194" s="227">
        <f t="shared" si="53"/>
        <v>1239918.47</v>
      </c>
      <c r="M194" s="3">
        <f t="shared" si="54"/>
        <v>0</v>
      </c>
      <c r="N194" s="227">
        <f t="shared" si="55"/>
        <v>0</v>
      </c>
      <c r="O194" s="142">
        <f t="shared" si="56"/>
        <v>15277610.439999999</v>
      </c>
      <c r="P194" s="3">
        <f t="shared" si="40"/>
        <v>8354378.3799999999</v>
      </c>
      <c r="Q194" s="3">
        <f t="shared" si="41"/>
        <v>2362624.98</v>
      </c>
      <c r="R194" s="3">
        <f t="shared" si="42"/>
        <v>398416.9</v>
      </c>
      <c r="S194" s="3">
        <f t="shared" si="43"/>
        <v>5593336.5</v>
      </c>
      <c r="T194" s="3">
        <f t="shared" si="44"/>
        <v>0</v>
      </c>
      <c r="U194" s="3">
        <f>IF($A$5=1,IF($P194=0,0,ROUND(Q194/$P194*$E194,2)),Credits!D193)+Credits!J193</f>
        <v>21937.360000000001</v>
      </c>
      <c r="V194" s="3">
        <f>IF($A$5=1,IF($P194=0,0,ROUND(R194/$P194*$E194,2)),Credits!E193)+Credits!K193</f>
        <v>3699.31</v>
      </c>
      <c r="W194" s="3">
        <f>IF($A$5=1,IF($P194=0,0,ROUND(S194/$P194*$E194,2)),Credits!F193)+Credits!L193</f>
        <v>51550.999999999993</v>
      </c>
      <c r="X194" s="3">
        <f>IF($A$5=1,IF($P194=0,0,ROUND(T194/$P194*$E194,2)),Credits!G193)+Credits!M193</f>
        <v>0</v>
      </c>
      <c r="Y194" s="3">
        <f t="shared" si="45"/>
        <v>77187.67</v>
      </c>
      <c r="AC194" s="4"/>
      <c r="AD194" s="4"/>
      <c r="AE194" s="2">
        <f t="shared" si="46"/>
        <v>0</v>
      </c>
      <c r="AF194" s="170" t="s">
        <v>1120</v>
      </c>
      <c r="AG194" s="175">
        <v>659</v>
      </c>
      <c r="AH194" s="175">
        <v>1</v>
      </c>
      <c r="AI194" s="175">
        <v>1</v>
      </c>
      <c r="AJ194" s="176">
        <v>5186009.97</v>
      </c>
      <c r="AK194" s="176">
        <v>0</v>
      </c>
      <c r="AL194" s="176">
        <v>1737222.09</v>
      </c>
      <c r="AM194" s="176">
        <v>0</v>
      </c>
      <c r="AN194" s="177">
        <v>750000</v>
      </c>
      <c r="AO194" s="177">
        <v>0</v>
      </c>
      <c r="AP194" s="177">
        <v>1612624.98</v>
      </c>
      <c r="AQ194" s="177">
        <v>0</v>
      </c>
      <c r="AR194" s="177">
        <v>398416.9</v>
      </c>
      <c r="AS194" s="177">
        <v>0</v>
      </c>
      <c r="AT194" s="178">
        <v>4353418.03</v>
      </c>
      <c r="AU194" s="178">
        <v>0</v>
      </c>
      <c r="AV194" s="178">
        <v>1239918.47</v>
      </c>
      <c r="AW194" s="179">
        <v>0</v>
      </c>
      <c r="AX194" s="180">
        <v>0</v>
      </c>
      <c r="AY194" s="180">
        <v>0</v>
      </c>
      <c r="AZ194" s="180">
        <v>0</v>
      </c>
      <c r="BA194" s="180">
        <v>0</v>
      </c>
      <c r="BB194" s="170">
        <f t="shared" si="57"/>
        <v>15277610.439999999</v>
      </c>
      <c r="BC194" s="170">
        <v>15277610.439999999</v>
      </c>
      <c r="BD194" s="2">
        <f t="shared" si="58"/>
        <v>0</v>
      </c>
    </row>
    <row r="195" spans="1:56" ht="12" x14ac:dyDescent="0.2">
      <c r="A195" s="4">
        <v>671</v>
      </c>
      <c r="B195" s="4">
        <v>1</v>
      </c>
      <c r="C195" s="2" t="s">
        <v>1191</v>
      </c>
      <c r="D195" s="3">
        <v>0</v>
      </c>
      <c r="E195" s="3">
        <v>0</v>
      </c>
      <c r="F195" s="227">
        <f t="shared" si="47"/>
        <v>365947.55</v>
      </c>
      <c r="G195" s="227">
        <f t="shared" si="48"/>
        <v>12261.18</v>
      </c>
      <c r="H195" s="227">
        <f t="shared" si="49"/>
        <v>0</v>
      </c>
      <c r="I195" s="227">
        <f t="shared" si="50"/>
        <v>52810.95</v>
      </c>
      <c r="J195" s="227">
        <f t="shared" si="51"/>
        <v>4468.9399999999996</v>
      </c>
      <c r="K195" s="227">
        <f t="shared" si="52"/>
        <v>767961.98</v>
      </c>
      <c r="L195" s="227">
        <f t="shared" si="53"/>
        <v>17345</v>
      </c>
      <c r="M195" s="3">
        <f t="shared" si="54"/>
        <v>0</v>
      </c>
      <c r="N195" s="227">
        <f t="shared" si="55"/>
        <v>0</v>
      </c>
      <c r="O195" s="142">
        <f t="shared" si="56"/>
        <v>1220795.6000000001</v>
      </c>
      <c r="P195" s="3">
        <f t="shared" si="40"/>
        <v>842586.87</v>
      </c>
      <c r="Q195" s="3">
        <f t="shared" si="41"/>
        <v>52810.95</v>
      </c>
      <c r="R195" s="3">
        <f t="shared" si="42"/>
        <v>4468.9399999999996</v>
      </c>
      <c r="S195" s="3">
        <f t="shared" si="43"/>
        <v>785306.98</v>
      </c>
      <c r="T195" s="3">
        <f t="shared" si="44"/>
        <v>0</v>
      </c>
      <c r="U195" s="3">
        <f>IF($A$5=1,IF($P195=0,0,ROUND(Q195/$P195*$E195,2)),Credits!D194)+Credits!J194</f>
        <v>1089.5799999999997</v>
      </c>
      <c r="V195" s="3">
        <f>IF($A$5=1,IF($P195=0,0,ROUND(R195/$P195*$E195,2)),Credits!E194)+Credits!K194</f>
        <v>92.539999999999992</v>
      </c>
      <c r="W195" s="3">
        <f>IF($A$5=1,IF($P195=0,0,ROUND(S195/$P195*$E195,2)),Credits!F194)+Credits!L194</f>
        <v>16220.130000000001</v>
      </c>
      <c r="X195" s="3">
        <f>IF($A$5=1,IF($P195=0,0,ROUND(T195/$P195*$E195,2)),Credits!G194)+Credits!M194</f>
        <v>0</v>
      </c>
      <c r="Y195" s="3">
        <f t="shared" si="45"/>
        <v>17402.25</v>
      </c>
      <c r="AC195" s="4"/>
      <c r="AD195" s="4"/>
      <c r="AE195" s="2">
        <f t="shared" si="46"/>
        <v>0</v>
      </c>
      <c r="AF195" s="170" t="s">
        <v>1120</v>
      </c>
      <c r="AG195" s="175">
        <v>671</v>
      </c>
      <c r="AH195" s="175">
        <v>1</v>
      </c>
      <c r="AI195" s="175">
        <v>1</v>
      </c>
      <c r="AJ195" s="176">
        <v>365947.55</v>
      </c>
      <c r="AK195" s="176">
        <v>0</v>
      </c>
      <c r="AL195" s="176">
        <v>12261.18</v>
      </c>
      <c r="AM195" s="176">
        <v>0</v>
      </c>
      <c r="AN195" s="177">
        <v>0</v>
      </c>
      <c r="AO195" s="177">
        <v>0</v>
      </c>
      <c r="AP195" s="177">
        <v>52810.95</v>
      </c>
      <c r="AQ195" s="177">
        <v>0</v>
      </c>
      <c r="AR195" s="177">
        <v>4468.9399999999996</v>
      </c>
      <c r="AS195" s="177">
        <v>0</v>
      </c>
      <c r="AT195" s="178">
        <v>767961.98</v>
      </c>
      <c r="AU195" s="178">
        <v>0</v>
      </c>
      <c r="AV195" s="178">
        <v>17345</v>
      </c>
      <c r="AW195" s="179">
        <v>0</v>
      </c>
      <c r="AX195" s="180">
        <v>0</v>
      </c>
      <c r="AY195" s="180">
        <v>0</v>
      </c>
      <c r="AZ195" s="180">
        <v>0</v>
      </c>
      <c r="BA195" s="180">
        <v>0</v>
      </c>
      <c r="BB195" s="170">
        <f t="shared" si="57"/>
        <v>1220795.6000000001</v>
      </c>
      <c r="BC195" s="170">
        <v>1220795.6000000001</v>
      </c>
      <c r="BD195" s="2">
        <f t="shared" si="58"/>
        <v>0</v>
      </c>
    </row>
    <row r="196" spans="1:56" ht="12" x14ac:dyDescent="0.2">
      <c r="A196" s="4">
        <v>676</v>
      </c>
      <c r="B196" s="4">
        <v>1</v>
      </c>
      <c r="C196" s="2" t="s">
        <v>198</v>
      </c>
      <c r="D196" s="3">
        <v>0</v>
      </c>
      <c r="E196" s="3">
        <v>0</v>
      </c>
      <c r="F196" s="227">
        <f t="shared" si="47"/>
        <v>201580</v>
      </c>
      <c r="G196" s="227">
        <f t="shared" si="48"/>
        <v>7045</v>
      </c>
      <c r="H196" s="227">
        <f t="shared" si="49"/>
        <v>0</v>
      </c>
      <c r="I196" s="227">
        <f t="shared" si="50"/>
        <v>40057</v>
      </c>
      <c r="J196" s="227">
        <f t="shared" si="51"/>
        <v>11976</v>
      </c>
      <c r="K196" s="227">
        <f t="shared" si="52"/>
        <v>0</v>
      </c>
      <c r="L196" s="227">
        <f t="shared" si="53"/>
        <v>0</v>
      </c>
      <c r="M196" s="3">
        <f t="shared" si="54"/>
        <v>0</v>
      </c>
      <c r="N196" s="227">
        <f t="shared" si="55"/>
        <v>0</v>
      </c>
      <c r="O196" s="142">
        <f t="shared" si="56"/>
        <v>260658</v>
      </c>
      <c r="P196" s="3">
        <f t="shared" si="40"/>
        <v>52033</v>
      </c>
      <c r="Q196" s="3">
        <f t="shared" si="41"/>
        <v>40057</v>
      </c>
      <c r="R196" s="3">
        <f t="shared" si="42"/>
        <v>11976</v>
      </c>
      <c r="S196" s="3">
        <f t="shared" si="43"/>
        <v>0</v>
      </c>
      <c r="T196" s="3">
        <f t="shared" si="44"/>
        <v>0</v>
      </c>
      <c r="U196" s="3">
        <f>IF($A$5=1,IF($P196=0,0,ROUND(Q196/$P196*$E196,2)),Credits!D195)+Credits!J195</f>
        <v>3997.98</v>
      </c>
      <c r="V196" s="3">
        <f>IF($A$5=1,IF($P196=0,0,ROUND(R196/$P196*$E196,2)),Credits!E195)+Credits!K195</f>
        <v>604.47</v>
      </c>
      <c r="W196" s="3">
        <f>IF($A$5=1,IF($P196=0,0,ROUND(S196/$P196*$E196,2)),Credits!F195)+Credits!L195</f>
        <v>0</v>
      </c>
      <c r="X196" s="3">
        <f>IF($A$5=1,IF($P196=0,0,ROUND(T196/$P196*$E196,2)),Credits!G195)+Credits!M195</f>
        <v>0</v>
      </c>
      <c r="Y196" s="3">
        <f t="shared" si="45"/>
        <v>4602.45</v>
      </c>
      <c r="AC196" s="4"/>
      <c r="AD196" s="4"/>
      <c r="AE196" s="2">
        <f t="shared" si="46"/>
        <v>0</v>
      </c>
      <c r="AF196" s="170" t="s">
        <v>1120</v>
      </c>
      <c r="AG196" s="175">
        <v>676</v>
      </c>
      <c r="AH196" s="175">
        <v>1</v>
      </c>
      <c r="AI196" s="175">
        <v>1</v>
      </c>
      <c r="AJ196" s="176">
        <v>201580</v>
      </c>
      <c r="AK196" s="176">
        <v>0</v>
      </c>
      <c r="AL196" s="176">
        <v>7045</v>
      </c>
      <c r="AM196" s="176">
        <v>0</v>
      </c>
      <c r="AN196" s="177">
        <v>0</v>
      </c>
      <c r="AO196" s="177">
        <v>0</v>
      </c>
      <c r="AP196" s="177">
        <v>40057</v>
      </c>
      <c r="AQ196" s="177">
        <v>0</v>
      </c>
      <c r="AR196" s="177">
        <v>11976</v>
      </c>
      <c r="AS196" s="177">
        <v>0</v>
      </c>
      <c r="AT196" s="178">
        <v>0</v>
      </c>
      <c r="AU196" s="178">
        <v>0</v>
      </c>
      <c r="AV196" s="178">
        <v>0</v>
      </c>
      <c r="AW196" s="179">
        <v>0</v>
      </c>
      <c r="AX196" s="180">
        <v>0</v>
      </c>
      <c r="AY196" s="180">
        <v>0</v>
      </c>
      <c r="AZ196" s="180">
        <v>0</v>
      </c>
      <c r="BA196" s="180">
        <v>0</v>
      </c>
      <c r="BB196" s="170">
        <f t="shared" si="57"/>
        <v>260658</v>
      </c>
      <c r="BC196" s="170">
        <v>260657.45</v>
      </c>
      <c r="BD196" s="2">
        <f t="shared" si="58"/>
        <v>0.54999999998835847</v>
      </c>
    </row>
    <row r="197" spans="1:56" ht="12" x14ac:dyDescent="0.2">
      <c r="A197" s="4">
        <v>682</v>
      </c>
      <c r="B197" s="4">
        <v>1</v>
      </c>
      <c r="C197" s="2" t="s">
        <v>199</v>
      </c>
      <c r="D197" s="3">
        <v>0</v>
      </c>
      <c r="E197" s="3">
        <v>0</v>
      </c>
      <c r="F197" s="227">
        <f t="shared" si="47"/>
        <v>344071</v>
      </c>
      <c r="G197" s="227">
        <f t="shared" si="48"/>
        <v>60669</v>
      </c>
      <c r="H197" s="227">
        <f t="shared" si="49"/>
        <v>0</v>
      </c>
      <c r="I197" s="227">
        <f t="shared" si="50"/>
        <v>378004</v>
      </c>
      <c r="J197" s="227">
        <f t="shared" si="51"/>
        <v>74327</v>
      </c>
      <c r="K197" s="227">
        <f t="shared" si="52"/>
        <v>1294817</v>
      </c>
      <c r="L197" s="227">
        <f t="shared" si="53"/>
        <v>0</v>
      </c>
      <c r="M197" s="3">
        <f t="shared" si="54"/>
        <v>0</v>
      </c>
      <c r="N197" s="227">
        <f t="shared" si="55"/>
        <v>0</v>
      </c>
      <c r="O197" s="142">
        <f t="shared" si="56"/>
        <v>2151888</v>
      </c>
      <c r="P197" s="3">
        <f t="shared" si="40"/>
        <v>1747148</v>
      </c>
      <c r="Q197" s="3">
        <f t="shared" si="41"/>
        <v>378004</v>
      </c>
      <c r="R197" s="3">
        <f t="shared" si="42"/>
        <v>74327</v>
      </c>
      <c r="S197" s="3">
        <f t="shared" si="43"/>
        <v>1294817</v>
      </c>
      <c r="T197" s="3">
        <f t="shared" si="44"/>
        <v>0</v>
      </c>
      <c r="U197" s="3">
        <f>IF($A$5=1,IF($P197=0,0,ROUND(Q197/$P197*$E197,2)),Credits!D196)+Credits!J196</f>
        <v>9661.92</v>
      </c>
      <c r="V197" s="3">
        <f>IF($A$5=1,IF($P197=0,0,ROUND(R197/$P197*$E197,2)),Credits!E196)+Credits!K196</f>
        <v>1899.9000000000003</v>
      </c>
      <c r="W197" s="3">
        <f>IF($A$5=1,IF($P197=0,0,ROUND(S197/$P197*$E197,2)),Credits!F196)+Credits!L196</f>
        <v>33020.559999999998</v>
      </c>
      <c r="X197" s="3">
        <f>IF($A$5=1,IF($P197=0,0,ROUND(T197/$P197*$E197,2)),Credits!G196)+Credits!M196</f>
        <v>0</v>
      </c>
      <c r="Y197" s="3">
        <f t="shared" si="45"/>
        <v>44582.38</v>
      </c>
      <c r="AC197" s="4"/>
      <c r="AD197" s="4"/>
      <c r="AE197" s="2">
        <f t="shared" si="46"/>
        <v>0</v>
      </c>
      <c r="AF197" s="170" t="s">
        <v>1120</v>
      </c>
      <c r="AG197" s="175">
        <v>682</v>
      </c>
      <c r="AH197" s="175">
        <v>1</v>
      </c>
      <c r="AI197" s="175">
        <v>1</v>
      </c>
      <c r="AJ197" s="176">
        <v>344071</v>
      </c>
      <c r="AK197" s="176">
        <v>0</v>
      </c>
      <c r="AL197" s="176">
        <v>60669</v>
      </c>
      <c r="AM197" s="176">
        <v>0</v>
      </c>
      <c r="AN197" s="177">
        <v>0</v>
      </c>
      <c r="AO197" s="177">
        <v>0</v>
      </c>
      <c r="AP197" s="177">
        <v>378004</v>
      </c>
      <c r="AQ197" s="177">
        <v>0</v>
      </c>
      <c r="AR197" s="177">
        <v>74327</v>
      </c>
      <c r="AS197" s="177">
        <v>0</v>
      </c>
      <c r="AT197" s="178">
        <v>1294817</v>
      </c>
      <c r="AU197" s="178">
        <v>0</v>
      </c>
      <c r="AV197" s="178">
        <v>0</v>
      </c>
      <c r="AW197" s="179">
        <v>0</v>
      </c>
      <c r="AX197" s="180">
        <v>0</v>
      </c>
      <c r="AY197" s="180">
        <v>0</v>
      </c>
      <c r="AZ197" s="180">
        <v>0</v>
      </c>
      <c r="BA197" s="180">
        <v>0</v>
      </c>
      <c r="BB197" s="170">
        <f t="shared" si="57"/>
        <v>2151888</v>
      </c>
      <c r="BC197" s="170">
        <v>2151887.77</v>
      </c>
      <c r="BD197" s="2">
        <f t="shared" si="58"/>
        <v>0.22999999998137355</v>
      </c>
    </row>
    <row r="198" spans="1:56" ht="12" x14ac:dyDescent="0.2">
      <c r="A198" s="4">
        <v>690</v>
      </c>
      <c r="B198" s="4">
        <v>1</v>
      </c>
      <c r="C198" s="2" t="s">
        <v>200</v>
      </c>
      <c r="D198" s="3">
        <v>0</v>
      </c>
      <c r="E198" s="3">
        <v>0</v>
      </c>
      <c r="F198" s="227">
        <f t="shared" si="47"/>
        <v>305216</v>
      </c>
      <c r="G198" s="227">
        <f t="shared" si="48"/>
        <v>61568</v>
      </c>
      <c r="H198" s="227">
        <f t="shared" si="49"/>
        <v>0</v>
      </c>
      <c r="I198" s="227">
        <f t="shared" si="50"/>
        <v>462216</v>
      </c>
      <c r="J198" s="227">
        <f t="shared" si="51"/>
        <v>95156</v>
      </c>
      <c r="K198" s="227">
        <f t="shared" si="52"/>
        <v>838223</v>
      </c>
      <c r="L198" s="227">
        <f t="shared" si="53"/>
        <v>0</v>
      </c>
      <c r="M198" s="3">
        <f t="shared" si="54"/>
        <v>0</v>
      </c>
      <c r="N198" s="227">
        <f t="shared" si="55"/>
        <v>475475</v>
      </c>
      <c r="O198" s="142">
        <f t="shared" si="56"/>
        <v>2237854</v>
      </c>
      <c r="P198" s="3">
        <f t="shared" si="40"/>
        <v>1871070</v>
      </c>
      <c r="Q198" s="3">
        <f t="shared" si="41"/>
        <v>462216</v>
      </c>
      <c r="R198" s="3">
        <f t="shared" si="42"/>
        <v>95156</v>
      </c>
      <c r="S198" s="3">
        <f t="shared" si="43"/>
        <v>838223</v>
      </c>
      <c r="T198" s="3">
        <f t="shared" si="44"/>
        <v>475475</v>
      </c>
      <c r="U198" s="3">
        <f>IF($A$5=1,IF($P198=0,0,ROUND(Q198/$P198*$E198,2)),Credits!D197)+Credits!J197</f>
        <v>4804.6099999999997</v>
      </c>
      <c r="V198" s="3">
        <f>IF($A$5=1,IF($P198=0,0,ROUND(R198/$P198*$E198,2)),Credits!E197)+Credits!K197</f>
        <v>989.22</v>
      </c>
      <c r="W198" s="3">
        <f>IF($A$5=1,IF($P198=0,0,ROUND(S198/$P198*$E198,2)),Credits!F197)+Credits!L197</f>
        <v>8712.91</v>
      </c>
      <c r="X198" s="3">
        <f>IF($A$5=1,IF($P198=0,0,ROUND(T198/$P198*$E198,2)),Credits!G197)+Credits!M197</f>
        <v>4942.46</v>
      </c>
      <c r="Y198" s="3">
        <f t="shared" si="45"/>
        <v>19449.2</v>
      </c>
      <c r="AC198" s="4"/>
      <c r="AD198" s="4"/>
      <c r="AE198" s="2">
        <f t="shared" si="46"/>
        <v>0</v>
      </c>
      <c r="AF198" s="170" t="s">
        <v>1120</v>
      </c>
      <c r="AG198" s="175">
        <v>690</v>
      </c>
      <c r="AH198" s="175">
        <v>1</v>
      </c>
      <c r="AI198" s="175">
        <v>1</v>
      </c>
      <c r="AJ198" s="176">
        <v>305216</v>
      </c>
      <c r="AK198" s="176">
        <v>0</v>
      </c>
      <c r="AL198" s="176">
        <v>61568</v>
      </c>
      <c r="AM198" s="176">
        <v>0</v>
      </c>
      <c r="AN198" s="177">
        <v>0</v>
      </c>
      <c r="AO198" s="177">
        <v>0</v>
      </c>
      <c r="AP198" s="177">
        <v>462216</v>
      </c>
      <c r="AQ198" s="177">
        <v>0</v>
      </c>
      <c r="AR198" s="177">
        <v>95156</v>
      </c>
      <c r="AS198" s="177">
        <v>0</v>
      </c>
      <c r="AT198" s="178">
        <v>838223</v>
      </c>
      <c r="AU198" s="178">
        <v>0</v>
      </c>
      <c r="AV198" s="178">
        <v>0</v>
      </c>
      <c r="AW198" s="179">
        <v>0</v>
      </c>
      <c r="AX198" s="180">
        <v>0</v>
      </c>
      <c r="AY198" s="180">
        <v>0</v>
      </c>
      <c r="AZ198" s="180">
        <v>475475</v>
      </c>
      <c r="BA198" s="180">
        <v>0</v>
      </c>
      <c r="BB198" s="170">
        <f t="shared" si="57"/>
        <v>2237854</v>
      </c>
      <c r="BC198" s="170">
        <v>2237854.5499999998</v>
      </c>
      <c r="BD198" s="2">
        <f t="shared" si="58"/>
        <v>-0.54999999981373549</v>
      </c>
    </row>
    <row r="199" spans="1:56" ht="12" x14ac:dyDescent="0.2">
      <c r="A199" s="4">
        <v>695</v>
      </c>
      <c r="B199" s="4">
        <v>1</v>
      </c>
      <c r="C199" s="2" t="s">
        <v>201</v>
      </c>
      <c r="D199" s="3">
        <v>0</v>
      </c>
      <c r="E199" s="3">
        <v>0</v>
      </c>
      <c r="F199" s="227">
        <f t="shared" si="47"/>
        <v>331002.39</v>
      </c>
      <c r="G199" s="227">
        <f t="shared" si="48"/>
        <v>33359.050000000003</v>
      </c>
      <c r="H199" s="227">
        <f t="shared" si="49"/>
        <v>0</v>
      </c>
      <c r="I199" s="227">
        <f t="shared" si="50"/>
        <v>199244.09</v>
      </c>
      <c r="J199" s="227">
        <f t="shared" si="51"/>
        <v>0</v>
      </c>
      <c r="K199" s="227">
        <f t="shared" si="52"/>
        <v>262245.71000000002</v>
      </c>
      <c r="L199" s="227">
        <f t="shared" si="53"/>
        <v>0</v>
      </c>
      <c r="M199" s="3">
        <f t="shared" si="54"/>
        <v>0</v>
      </c>
      <c r="N199" s="227">
        <f t="shared" si="55"/>
        <v>552393.51</v>
      </c>
      <c r="O199" s="142">
        <f t="shared" si="56"/>
        <v>1378244.75</v>
      </c>
      <c r="P199" s="3">
        <f t="shared" si="40"/>
        <v>1013883.31</v>
      </c>
      <c r="Q199" s="3">
        <f t="shared" si="41"/>
        <v>199244.09</v>
      </c>
      <c r="R199" s="3">
        <f t="shared" si="42"/>
        <v>0</v>
      </c>
      <c r="S199" s="3">
        <f t="shared" si="43"/>
        <v>262245.71000000002</v>
      </c>
      <c r="T199" s="3">
        <f t="shared" si="44"/>
        <v>552393.51</v>
      </c>
      <c r="U199" s="3">
        <f>IF($A$5=1,IF($P199=0,0,ROUND(Q199/$P199*$E199,2)),Credits!D198)+Credits!J198</f>
        <v>48460.920000000006</v>
      </c>
      <c r="V199" s="3">
        <f>IF($A$5=1,IF($P199=0,0,ROUND(R199/$P199*$E199,2)),Credits!E198)+Credits!K198</f>
        <v>0</v>
      </c>
      <c r="W199" s="3">
        <f>IF($A$5=1,IF($P199=0,0,ROUND(S199/$P199*$E199,2)),Credits!F198)+Credits!L198</f>
        <v>62110.619999999995</v>
      </c>
      <c r="X199" s="3">
        <f>IF($A$5=1,IF($P199=0,0,ROUND(T199/$P199*$E199,2)),Credits!G198)+Credits!M198</f>
        <v>130824.03</v>
      </c>
      <c r="Y199" s="3">
        <f t="shared" si="45"/>
        <v>241395.57</v>
      </c>
      <c r="AC199" s="4"/>
      <c r="AD199" s="4"/>
      <c r="AE199" s="2">
        <f t="shared" si="46"/>
        <v>0</v>
      </c>
      <c r="AF199" s="170" t="s">
        <v>1120</v>
      </c>
      <c r="AG199" s="175">
        <v>695</v>
      </c>
      <c r="AH199" s="175">
        <v>1</v>
      </c>
      <c r="AI199" s="175">
        <v>1</v>
      </c>
      <c r="AJ199" s="176">
        <v>331002.39</v>
      </c>
      <c r="AK199" s="176">
        <v>0</v>
      </c>
      <c r="AL199" s="176">
        <v>33359.050000000003</v>
      </c>
      <c r="AM199" s="176">
        <v>0</v>
      </c>
      <c r="AN199" s="177">
        <v>0</v>
      </c>
      <c r="AO199" s="177">
        <v>0</v>
      </c>
      <c r="AP199" s="177">
        <v>199244.09</v>
      </c>
      <c r="AQ199" s="177">
        <v>0</v>
      </c>
      <c r="AR199" s="177">
        <v>0</v>
      </c>
      <c r="AS199" s="177">
        <v>0</v>
      </c>
      <c r="AT199" s="178">
        <v>262245.71000000002</v>
      </c>
      <c r="AU199" s="178">
        <v>0</v>
      </c>
      <c r="AV199" s="178">
        <v>0</v>
      </c>
      <c r="AW199" s="179">
        <v>0</v>
      </c>
      <c r="AX199" s="180">
        <v>0</v>
      </c>
      <c r="AY199" s="180">
        <v>0</v>
      </c>
      <c r="AZ199" s="180">
        <v>552393.51</v>
      </c>
      <c r="BA199" s="180">
        <v>0</v>
      </c>
      <c r="BB199" s="170">
        <f t="shared" si="57"/>
        <v>1378244.75</v>
      </c>
      <c r="BC199" s="170">
        <v>1378244.75</v>
      </c>
      <c r="BD199" s="2">
        <f t="shared" si="58"/>
        <v>0</v>
      </c>
    </row>
    <row r="200" spans="1:56" ht="12" x14ac:dyDescent="0.2">
      <c r="A200" s="4">
        <v>696</v>
      </c>
      <c r="B200" s="4">
        <v>1</v>
      </c>
      <c r="C200" s="2" t="s">
        <v>202</v>
      </c>
      <c r="D200" s="3">
        <v>0</v>
      </c>
      <c r="E200" s="3">
        <v>0</v>
      </c>
      <c r="F200" s="227">
        <f t="shared" si="47"/>
        <v>559229.22</v>
      </c>
      <c r="G200" s="227">
        <f t="shared" si="48"/>
        <v>61560.72</v>
      </c>
      <c r="H200" s="227">
        <f t="shared" si="49"/>
        <v>0</v>
      </c>
      <c r="I200" s="227">
        <f t="shared" si="50"/>
        <v>805123.33</v>
      </c>
      <c r="J200" s="227">
        <f t="shared" si="51"/>
        <v>0</v>
      </c>
      <c r="K200" s="227">
        <f t="shared" si="52"/>
        <v>293984.03000000003</v>
      </c>
      <c r="L200" s="227">
        <f t="shared" si="53"/>
        <v>0</v>
      </c>
      <c r="M200" s="3">
        <f t="shared" si="54"/>
        <v>0</v>
      </c>
      <c r="N200" s="227">
        <f t="shared" si="55"/>
        <v>0</v>
      </c>
      <c r="O200" s="142">
        <f t="shared" si="56"/>
        <v>1719897.3</v>
      </c>
      <c r="P200" s="3">
        <f t="shared" ref="P200:P263" si="59">SUM(H200:N200)</f>
        <v>1099107.3599999999</v>
      </c>
      <c r="Q200" s="3">
        <f t="shared" ref="Q200:Q263" si="60">SUM(H200:I200)</f>
        <v>805123.33</v>
      </c>
      <c r="R200" s="3">
        <f t="shared" ref="R200:R263" si="61">J200</f>
        <v>0</v>
      </c>
      <c r="S200" s="3">
        <f t="shared" ref="S200:S263" si="62">K200+L200</f>
        <v>293984.03000000003</v>
      </c>
      <c r="T200" s="3">
        <f t="shared" ref="T200:T263" si="63">N200+M200</f>
        <v>0</v>
      </c>
      <c r="U200" s="3">
        <f>IF($A$5=1,IF($P200=0,0,ROUND(Q200/$P200*$E200,2)),Credits!D199)+Credits!J199</f>
        <v>109145.64000000001</v>
      </c>
      <c r="V200" s="3">
        <f>IF($A$5=1,IF($P200=0,0,ROUND(R200/$P200*$E200,2)),Credits!E199)+Credits!K199</f>
        <v>0</v>
      </c>
      <c r="W200" s="3">
        <f>IF($A$5=1,IF($P200=0,0,ROUND(S200/$P200*$E200,2)),Credits!F199)+Credits!L199</f>
        <v>39782.42</v>
      </c>
      <c r="X200" s="3">
        <f>IF($A$5=1,IF($P200=0,0,ROUND(T200/$P200*$E200,2)),Credits!G199)+Credits!M199</f>
        <v>0</v>
      </c>
      <c r="Y200" s="3">
        <f t="shared" ref="Y200:Y263" si="64">SUM(U200:X200)</f>
        <v>148928.06</v>
      </c>
      <c r="AC200" s="4"/>
      <c r="AD200" s="4"/>
      <c r="AE200" s="2">
        <f t="shared" si="46"/>
        <v>0</v>
      </c>
      <c r="AF200" s="170" t="s">
        <v>1120</v>
      </c>
      <c r="AG200" s="175">
        <v>696</v>
      </c>
      <c r="AH200" s="175">
        <v>1</v>
      </c>
      <c r="AI200" s="175">
        <v>1</v>
      </c>
      <c r="AJ200" s="176">
        <v>559229.22</v>
      </c>
      <c r="AK200" s="176">
        <v>0</v>
      </c>
      <c r="AL200" s="176">
        <v>61560.72</v>
      </c>
      <c r="AM200" s="176">
        <v>0</v>
      </c>
      <c r="AN200" s="177">
        <v>0</v>
      </c>
      <c r="AO200" s="177">
        <v>0</v>
      </c>
      <c r="AP200" s="177">
        <v>805123.33</v>
      </c>
      <c r="AQ200" s="177">
        <v>0</v>
      </c>
      <c r="AR200" s="177">
        <v>0</v>
      </c>
      <c r="AS200" s="177">
        <v>0</v>
      </c>
      <c r="AT200" s="178">
        <v>293984.03000000003</v>
      </c>
      <c r="AU200" s="178">
        <v>0</v>
      </c>
      <c r="AV200" s="178">
        <v>0</v>
      </c>
      <c r="AW200" s="179">
        <v>0</v>
      </c>
      <c r="AX200" s="180">
        <v>0</v>
      </c>
      <c r="AY200" s="180">
        <v>0</v>
      </c>
      <c r="AZ200" s="180">
        <v>0</v>
      </c>
      <c r="BA200" s="180">
        <v>0</v>
      </c>
      <c r="BB200" s="170">
        <f t="shared" si="57"/>
        <v>1719897.3</v>
      </c>
      <c r="BC200" s="170">
        <v>1719897.3</v>
      </c>
      <c r="BD200" s="2">
        <f t="shared" si="58"/>
        <v>0</v>
      </c>
    </row>
    <row r="201" spans="1:56" ht="12" x14ac:dyDescent="0.2">
      <c r="A201" s="4">
        <v>698</v>
      </c>
      <c r="B201" s="4">
        <v>1</v>
      </c>
      <c r="C201" s="2" t="s">
        <v>203</v>
      </c>
      <c r="D201" s="3">
        <v>0</v>
      </c>
      <c r="E201" s="3">
        <v>0</v>
      </c>
      <c r="F201" s="227">
        <f t="shared" si="47"/>
        <v>0</v>
      </c>
      <c r="G201" s="227">
        <f t="shared" si="48"/>
        <v>57724.03</v>
      </c>
      <c r="H201" s="227">
        <f t="shared" si="49"/>
        <v>0</v>
      </c>
      <c r="I201" s="227">
        <f t="shared" si="50"/>
        <v>171482.09</v>
      </c>
      <c r="J201" s="227">
        <f t="shared" si="51"/>
        <v>24217.200000000001</v>
      </c>
      <c r="K201" s="227">
        <f t="shared" si="52"/>
        <v>1030527.26</v>
      </c>
      <c r="L201" s="227">
        <f t="shared" si="53"/>
        <v>0</v>
      </c>
      <c r="M201" s="3">
        <f t="shared" si="54"/>
        <v>0</v>
      </c>
      <c r="N201" s="227">
        <f t="shared" si="55"/>
        <v>0</v>
      </c>
      <c r="O201" s="142">
        <f t="shared" si="56"/>
        <v>1283950.58</v>
      </c>
      <c r="P201" s="3">
        <f t="shared" si="59"/>
        <v>1226226.55</v>
      </c>
      <c r="Q201" s="3">
        <f t="shared" si="60"/>
        <v>171482.09</v>
      </c>
      <c r="R201" s="3">
        <f t="shared" si="61"/>
        <v>24217.200000000001</v>
      </c>
      <c r="S201" s="3">
        <f t="shared" si="62"/>
        <v>1030527.26</v>
      </c>
      <c r="T201" s="3">
        <f t="shared" si="63"/>
        <v>0</v>
      </c>
      <c r="U201" s="3">
        <f>IF($A$5=1,IF($P201=0,0,ROUND(Q201/$P201*$E201,2)),Credits!D200)+Credits!J200</f>
        <v>8267.0499999999993</v>
      </c>
      <c r="V201" s="3">
        <f>IF($A$5=1,IF($P201=0,0,ROUND(R201/$P201*$E201,2)),Credits!E200)+Credits!K200</f>
        <v>1165.58</v>
      </c>
      <c r="W201" s="3">
        <f>IF($A$5=1,IF($P201=0,0,ROUND(S201/$P201*$E201,2)),Credits!F200)+Credits!L200</f>
        <v>49576.69</v>
      </c>
      <c r="X201" s="3">
        <f>IF($A$5=1,IF($P201=0,0,ROUND(T201/$P201*$E201,2)),Credits!G200)+Credits!M200</f>
        <v>0</v>
      </c>
      <c r="Y201" s="3">
        <f t="shared" si="64"/>
        <v>59009.32</v>
      </c>
      <c r="AC201" s="4"/>
      <c r="AD201" s="4"/>
      <c r="AE201" s="2">
        <f t="shared" ref="AE201:AE264" si="65">+A201-AG201</f>
        <v>0</v>
      </c>
      <c r="AF201" s="170" t="s">
        <v>1120</v>
      </c>
      <c r="AG201" s="175">
        <v>698</v>
      </c>
      <c r="AH201" s="175">
        <v>1</v>
      </c>
      <c r="AI201" s="175">
        <v>1</v>
      </c>
      <c r="AJ201" s="176">
        <v>0</v>
      </c>
      <c r="AK201" s="176">
        <v>0</v>
      </c>
      <c r="AL201" s="176">
        <v>57724.03</v>
      </c>
      <c r="AM201" s="176">
        <v>0</v>
      </c>
      <c r="AN201" s="177">
        <v>0</v>
      </c>
      <c r="AO201" s="177">
        <v>0</v>
      </c>
      <c r="AP201" s="177">
        <v>171482.09</v>
      </c>
      <c r="AQ201" s="177">
        <v>0</v>
      </c>
      <c r="AR201" s="177">
        <v>24217.200000000001</v>
      </c>
      <c r="AS201" s="177">
        <v>0</v>
      </c>
      <c r="AT201" s="178">
        <v>1030527.26</v>
      </c>
      <c r="AU201" s="178">
        <v>0</v>
      </c>
      <c r="AV201" s="178">
        <v>0</v>
      </c>
      <c r="AW201" s="179">
        <v>0</v>
      </c>
      <c r="AX201" s="180">
        <v>0</v>
      </c>
      <c r="AY201" s="180">
        <v>0</v>
      </c>
      <c r="AZ201" s="180">
        <v>0</v>
      </c>
      <c r="BA201" s="180">
        <v>0</v>
      </c>
      <c r="BB201" s="170">
        <f t="shared" si="57"/>
        <v>1283950.58</v>
      </c>
      <c r="BC201" s="170">
        <v>1283950.58</v>
      </c>
      <c r="BD201" s="2">
        <f t="shared" si="58"/>
        <v>0</v>
      </c>
    </row>
    <row r="202" spans="1:56" ht="12" x14ac:dyDescent="0.2">
      <c r="A202" s="4">
        <v>700</v>
      </c>
      <c r="B202" s="4">
        <v>1</v>
      </c>
      <c r="C202" s="2" t="s">
        <v>204</v>
      </c>
      <c r="D202" s="3">
        <v>0</v>
      </c>
      <c r="E202" s="3">
        <v>0</v>
      </c>
      <c r="F202" s="227">
        <f t="shared" ref="F202:F265" si="66">+AJ202+AK202</f>
        <v>1199.8399999999999</v>
      </c>
      <c r="G202" s="227">
        <f t="shared" ref="G202:G265" si="67">+AL202+AM202</f>
        <v>394113.05</v>
      </c>
      <c r="H202" s="227">
        <f t="shared" ref="H202:H265" si="68">+AN202+AO202</f>
        <v>0</v>
      </c>
      <c r="I202" s="227">
        <f t="shared" ref="I202:I265" si="69">+AP202+AQ202</f>
        <v>969772.11</v>
      </c>
      <c r="J202" s="227">
        <f t="shared" ref="J202:J265" si="70">+AR202+AS202</f>
        <v>167789.9</v>
      </c>
      <c r="K202" s="227">
        <f t="shared" ref="K202:K265" si="71">+AT202+AU202</f>
        <v>3220827.5</v>
      </c>
      <c r="L202" s="227">
        <f t="shared" ref="L202:L265" si="72">+AV202+AW202</f>
        <v>0</v>
      </c>
      <c r="M202" s="3">
        <f t="shared" ref="M202:M265" si="73">+AX202+AY202</f>
        <v>0</v>
      </c>
      <c r="N202" s="227">
        <f t="shared" ref="N202:N265" si="74">+AZ202+BA202</f>
        <v>0</v>
      </c>
      <c r="O202" s="142">
        <f t="shared" ref="O202:O265" si="75">SUM(F202:N202)</f>
        <v>4753702.4000000004</v>
      </c>
      <c r="P202" s="3">
        <f t="shared" si="59"/>
        <v>4358389.51</v>
      </c>
      <c r="Q202" s="3">
        <f t="shared" si="60"/>
        <v>969772.11</v>
      </c>
      <c r="R202" s="3">
        <f t="shared" si="61"/>
        <v>167789.9</v>
      </c>
      <c r="S202" s="3">
        <f t="shared" si="62"/>
        <v>3220827.5</v>
      </c>
      <c r="T202" s="3">
        <f t="shared" si="63"/>
        <v>0</v>
      </c>
      <c r="U202" s="3">
        <f>IF($A$5=1,IF($P202=0,0,ROUND(Q202/$P202*$E202,2)),Credits!D201)+Credits!J201</f>
        <v>17728.23</v>
      </c>
      <c r="V202" s="3">
        <f>IF($A$5=1,IF($P202=0,0,ROUND(R202/$P202*$E202,2)),Credits!E201)+Credits!K201</f>
        <v>3066.4400000000005</v>
      </c>
      <c r="W202" s="3">
        <f>IF($A$5=1,IF($P202=0,0,ROUND(S202/$P202*$E202,2)),Credits!F201)+Credits!L201</f>
        <v>58876.55000000001</v>
      </c>
      <c r="X202" s="3">
        <f>IF($A$5=1,IF($P202=0,0,ROUND(T202/$P202*$E202,2)),Credits!G201)+Credits!M201</f>
        <v>0</v>
      </c>
      <c r="Y202" s="3">
        <f t="shared" si="64"/>
        <v>79671.22</v>
      </c>
      <c r="AC202" s="4"/>
      <c r="AD202" s="4"/>
      <c r="AE202" s="2">
        <f t="shared" si="65"/>
        <v>0</v>
      </c>
      <c r="AF202" s="170" t="s">
        <v>1120</v>
      </c>
      <c r="AG202" s="175">
        <v>700</v>
      </c>
      <c r="AH202" s="175">
        <v>1</v>
      </c>
      <c r="AI202" s="175">
        <v>1</v>
      </c>
      <c r="AJ202" s="176">
        <v>1199.8399999999999</v>
      </c>
      <c r="AK202" s="176">
        <v>0</v>
      </c>
      <c r="AL202" s="176">
        <v>394113.05</v>
      </c>
      <c r="AM202" s="176">
        <v>0</v>
      </c>
      <c r="AN202" s="177">
        <v>0</v>
      </c>
      <c r="AO202" s="177">
        <v>0</v>
      </c>
      <c r="AP202" s="177">
        <v>969772.11</v>
      </c>
      <c r="AQ202" s="177">
        <v>0</v>
      </c>
      <c r="AR202" s="177">
        <v>167789.9</v>
      </c>
      <c r="AS202" s="177">
        <v>0</v>
      </c>
      <c r="AT202" s="178">
        <v>3220827.5</v>
      </c>
      <c r="AU202" s="178">
        <v>0</v>
      </c>
      <c r="AV202" s="178">
        <v>0</v>
      </c>
      <c r="AW202" s="179">
        <v>0</v>
      </c>
      <c r="AX202" s="180">
        <v>0</v>
      </c>
      <c r="AY202" s="180">
        <v>0</v>
      </c>
      <c r="AZ202" s="180">
        <v>0</v>
      </c>
      <c r="BA202" s="180">
        <v>0</v>
      </c>
      <c r="BB202" s="170">
        <f t="shared" ref="BB202:BB265" si="76">SUM(AJ202:BA202)</f>
        <v>4753702.4000000004</v>
      </c>
      <c r="BC202" s="170">
        <v>4753702.4000000004</v>
      </c>
      <c r="BD202" s="2">
        <f t="shared" ref="BD202:BD265" si="77">BB202-BC202</f>
        <v>0</v>
      </c>
    </row>
    <row r="203" spans="1:56" ht="12" x14ac:dyDescent="0.2">
      <c r="A203" s="4">
        <v>701</v>
      </c>
      <c r="B203" s="4">
        <v>1</v>
      </c>
      <c r="C203" s="2" t="s">
        <v>205</v>
      </c>
      <c r="D203" s="3">
        <v>0</v>
      </c>
      <c r="E203" s="3">
        <v>0</v>
      </c>
      <c r="F203" s="227">
        <f t="shared" si="66"/>
        <v>333006.39</v>
      </c>
      <c r="G203" s="227">
        <f t="shared" si="67"/>
        <v>851258.55</v>
      </c>
      <c r="H203" s="227">
        <f t="shared" si="68"/>
        <v>0</v>
      </c>
      <c r="I203" s="227">
        <f t="shared" si="69"/>
        <v>809165.83</v>
      </c>
      <c r="J203" s="227">
        <f t="shared" si="70"/>
        <v>0</v>
      </c>
      <c r="K203" s="227">
        <f t="shared" si="71"/>
        <v>0</v>
      </c>
      <c r="L203" s="227">
        <f t="shared" si="72"/>
        <v>603274.06999999995</v>
      </c>
      <c r="M203" s="3">
        <f t="shared" si="73"/>
        <v>0</v>
      </c>
      <c r="N203" s="227">
        <f t="shared" si="74"/>
        <v>0</v>
      </c>
      <c r="O203" s="142">
        <f t="shared" si="75"/>
        <v>2596704.84</v>
      </c>
      <c r="P203" s="3">
        <f t="shared" si="59"/>
        <v>1412439.9</v>
      </c>
      <c r="Q203" s="3">
        <f t="shared" si="60"/>
        <v>809165.83</v>
      </c>
      <c r="R203" s="3">
        <f t="shared" si="61"/>
        <v>0</v>
      </c>
      <c r="S203" s="3">
        <f t="shared" si="62"/>
        <v>603274.06999999995</v>
      </c>
      <c r="T203" s="3">
        <f t="shared" si="63"/>
        <v>0</v>
      </c>
      <c r="U203" s="3">
        <f>IF($A$5=1,IF($P203=0,0,ROUND(Q203/$P203*$E203,2)),Credits!D202)+Credits!J202</f>
        <v>291690.13</v>
      </c>
      <c r="V203" s="3">
        <f>IF($A$5=1,IF($P203=0,0,ROUND(R203/$P203*$E203,2)),Credits!E202)+Credits!K202</f>
        <v>0</v>
      </c>
      <c r="W203" s="3">
        <f>IF($A$5=1,IF($P203=0,0,ROUND(S203/$P203*$E203,2)),Credits!F202)+Credits!L202</f>
        <v>214365.84000000003</v>
      </c>
      <c r="X203" s="3">
        <f>IF($A$5=1,IF($P203=0,0,ROUND(T203/$P203*$E203,2)),Credits!G202)+Credits!M202</f>
        <v>0</v>
      </c>
      <c r="Y203" s="3">
        <f t="shared" si="64"/>
        <v>506055.97000000003</v>
      </c>
      <c r="AC203" s="4"/>
      <c r="AD203" s="4"/>
      <c r="AE203" s="2">
        <f t="shared" si="65"/>
        <v>0</v>
      </c>
      <c r="AF203" s="170" t="s">
        <v>1120</v>
      </c>
      <c r="AG203" s="175">
        <v>701</v>
      </c>
      <c r="AH203" s="175">
        <v>1</v>
      </c>
      <c r="AI203" s="175">
        <v>1</v>
      </c>
      <c r="AJ203" s="176">
        <v>333006.39</v>
      </c>
      <c r="AK203" s="176">
        <v>0</v>
      </c>
      <c r="AL203" s="176">
        <v>851258.55</v>
      </c>
      <c r="AM203" s="176">
        <v>0</v>
      </c>
      <c r="AN203" s="177">
        <v>0</v>
      </c>
      <c r="AO203" s="177">
        <v>0</v>
      </c>
      <c r="AP203" s="177">
        <v>809165.83</v>
      </c>
      <c r="AQ203" s="177">
        <v>0</v>
      </c>
      <c r="AR203" s="177">
        <v>0</v>
      </c>
      <c r="AS203" s="177">
        <v>0</v>
      </c>
      <c r="AT203" s="178">
        <v>0</v>
      </c>
      <c r="AU203" s="178">
        <v>0</v>
      </c>
      <c r="AV203" s="178">
        <v>603274.06999999995</v>
      </c>
      <c r="AW203" s="179">
        <v>0</v>
      </c>
      <c r="AX203" s="180">
        <v>0</v>
      </c>
      <c r="AY203" s="180">
        <v>0</v>
      </c>
      <c r="AZ203" s="180">
        <v>0</v>
      </c>
      <c r="BA203" s="180">
        <v>0</v>
      </c>
      <c r="BB203" s="170">
        <f t="shared" si="76"/>
        <v>2596704.84</v>
      </c>
      <c r="BC203" s="170">
        <v>2596704.84</v>
      </c>
      <c r="BD203" s="2">
        <f t="shared" si="77"/>
        <v>0</v>
      </c>
    </row>
    <row r="204" spans="1:56" ht="12" x14ac:dyDescent="0.2">
      <c r="A204" s="4">
        <v>704</v>
      </c>
      <c r="B204" s="4">
        <v>1</v>
      </c>
      <c r="C204" s="2" t="s">
        <v>206</v>
      </c>
      <c r="D204" s="3">
        <v>0</v>
      </c>
      <c r="E204" s="3">
        <v>0</v>
      </c>
      <c r="F204" s="227">
        <f t="shared" si="66"/>
        <v>1065.56</v>
      </c>
      <c r="G204" s="227">
        <f t="shared" si="67"/>
        <v>581898.44999999995</v>
      </c>
      <c r="H204" s="227">
        <f t="shared" si="68"/>
        <v>0</v>
      </c>
      <c r="I204" s="227">
        <f t="shared" si="69"/>
        <v>737065.2</v>
      </c>
      <c r="J204" s="227">
        <f t="shared" si="70"/>
        <v>155120.35</v>
      </c>
      <c r="K204" s="227">
        <f t="shared" si="71"/>
        <v>1059843.71</v>
      </c>
      <c r="L204" s="227">
        <f t="shared" si="72"/>
        <v>0</v>
      </c>
      <c r="M204" s="3">
        <f t="shared" si="73"/>
        <v>0</v>
      </c>
      <c r="N204" s="227">
        <f t="shared" si="74"/>
        <v>426124.62</v>
      </c>
      <c r="O204" s="142">
        <f t="shared" si="75"/>
        <v>2961117.89</v>
      </c>
      <c r="P204" s="3">
        <f t="shared" si="59"/>
        <v>2378153.88</v>
      </c>
      <c r="Q204" s="3">
        <f t="shared" si="60"/>
        <v>737065.2</v>
      </c>
      <c r="R204" s="3">
        <f t="shared" si="61"/>
        <v>155120.35</v>
      </c>
      <c r="S204" s="3">
        <f t="shared" si="62"/>
        <v>1059843.71</v>
      </c>
      <c r="T204" s="3">
        <f t="shared" si="63"/>
        <v>426124.62</v>
      </c>
      <c r="U204" s="3">
        <f>IF($A$5=1,IF($P204=0,0,ROUND(Q204/$P204*$E204,2)),Credits!D203)+Credits!J203</f>
        <v>33117.549999999996</v>
      </c>
      <c r="V204" s="3">
        <f>IF($A$5=1,IF($P204=0,0,ROUND(R204/$P204*$E204,2)),Credits!E203)+Credits!K203</f>
        <v>6969.97</v>
      </c>
      <c r="W204" s="3">
        <f>IF($A$5=1,IF($P204=0,0,ROUND(S204/$P204*$E204,2)),Credits!F203)+Credits!L203</f>
        <v>47619.799999999996</v>
      </c>
      <c r="X204" s="3">
        <f>IF($A$5=1,IF($P204=0,0,ROUND(T204/$P204*$E204,2)),Credits!G203)+Credits!M203</f>
        <v>19145.87</v>
      </c>
      <c r="Y204" s="3">
        <f t="shared" si="64"/>
        <v>106853.18999999999</v>
      </c>
      <c r="AC204" s="4"/>
      <c r="AD204" s="4"/>
      <c r="AE204" s="2">
        <f t="shared" si="65"/>
        <v>0</v>
      </c>
      <c r="AF204" s="170" t="s">
        <v>1120</v>
      </c>
      <c r="AG204" s="175">
        <v>704</v>
      </c>
      <c r="AH204" s="175">
        <v>1</v>
      </c>
      <c r="AI204" s="175">
        <v>1</v>
      </c>
      <c r="AJ204" s="176">
        <v>1065.56</v>
      </c>
      <c r="AK204" s="176">
        <v>0</v>
      </c>
      <c r="AL204" s="176">
        <v>581898.44999999995</v>
      </c>
      <c r="AM204" s="176">
        <v>0</v>
      </c>
      <c r="AN204" s="177">
        <v>0</v>
      </c>
      <c r="AO204" s="177">
        <v>0</v>
      </c>
      <c r="AP204" s="177">
        <v>737065.2</v>
      </c>
      <c r="AQ204" s="177">
        <v>0</v>
      </c>
      <c r="AR204" s="177">
        <v>155120.35</v>
      </c>
      <c r="AS204" s="177">
        <v>0</v>
      </c>
      <c r="AT204" s="178">
        <v>1059843.71</v>
      </c>
      <c r="AU204" s="178">
        <v>0</v>
      </c>
      <c r="AV204" s="178">
        <v>0</v>
      </c>
      <c r="AW204" s="179">
        <v>0</v>
      </c>
      <c r="AX204" s="180">
        <v>0</v>
      </c>
      <c r="AY204" s="180">
        <v>0</v>
      </c>
      <c r="AZ204" s="180">
        <v>426124.62</v>
      </c>
      <c r="BA204" s="180">
        <v>0</v>
      </c>
      <c r="BB204" s="170">
        <f t="shared" si="76"/>
        <v>2961117.89</v>
      </c>
      <c r="BC204" s="170">
        <v>2961117.89</v>
      </c>
      <c r="BD204" s="2">
        <f t="shared" si="77"/>
        <v>0</v>
      </c>
    </row>
    <row r="205" spans="1:56" ht="12" x14ac:dyDescent="0.2">
      <c r="A205" s="4">
        <v>706</v>
      </c>
      <c r="B205" s="4">
        <v>1</v>
      </c>
      <c r="C205" s="2" t="s">
        <v>207</v>
      </c>
      <c r="D205" s="3">
        <v>0</v>
      </c>
      <c r="E205" s="3">
        <v>0</v>
      </c>
      <c r="F205" s="227">
        <f t="shared" si="66"/>
        <v>709703.64</v>
      </c>
      <c r="G205" s="227">
        <f t="shared" si="67"/>
        <v>150476.51999999999</v>
      </c>
      <c r="H205" s="227">
        <f t="shared" si="68"/>
        <v>0</v>
      </c>
      <c r="I205" s="227">
        <f t="shared" si="69"/>
        <v>412588.62</v>
      </c>
      <c r="J205" s="227">
        <f t="shared" si="70"/>
        <v>0</v>
      </c>
      <c r="K205" s="227">
        <f t="shared" si="71"/>
        <v>33226.769999999997</v>
      </c>
      <c r="L205" s="227">
        <f t="shared" si="72"/>
        <v>0</v>
      </c>
      <c r="M205" s="3">
        <f t="shared" si="73"/>
        <v>0</v>
      </c>
      <c r="N205" s="227">
        <f t="shared" si="74"/>
        <v>474781.63</v>
      </c>
      <c r="O205" s="142">
        <f t="shared" si="75"/>
        <v>1780777.1800000002</v>
      </c>
      <c r="P205" s="3">
        <f t="shared" si="59"/>
        <v>920597.02</v>
      </c>
      <c r="Q205" s="3">
        <f t="shared" si="60"/>
        <v>412588.62</v>
      </c>
      <c r="R205" s="3">
        <f t="shared" si="61"/>
        <v>0</v>
      </c>
      <c r="S205" s="3">
        <f t="shared" si="62"/>
        <v>33226.769999999997</v>
      </c>
      <c r="T205" s="3">
        <f t="shared" si="63"/>
        <v>474781.63</v>
      </c>
      <c r="U205" s="3">
        <f>IF($A$5=1,IF($P205=0,0,ROUND(Q205/$P205*$E205,2)),Credits!D204)+Credits!J204</f>
        <v>146932.60999999999</v>
      </c>
      <c r="V205" s="3">
        <f>IF($A$5=1,IF($P205=0,0,ROUND(R205/$P205*$E205,2)),Credits!E204)+Credits!K204</f>
        <v>0</v>
      </c>
      <c r="W205" s="3">
        <f>IF($A$5=1,IF($P205=0,0,ROUND(S205/$P205*$E205,2)),Credits!F204)+Credits!L204</f>
        <v>11580.89</v>
      </c>
      <c r="X205" s="3">
        <f>IF($A$5=1,IF($P205=0,0,ROUND(T205/$P205*$E205,2)),Credits!G204)+Credits!M204</f>
        <v>165309.69</v>
      </c>
      <c r="Y205" s="3">
        <f t="shared" si="64"/>
        <v>323823.19</v>
      </c>
      <c r="AC205" s="4"/>
      <c r="AD205" s="4"/>
      <c r="AE205" s="2">
        <f t="shared" si="65"/>
        <v>0</v>
      </c>
      <c r="AF205" s="170" t="s">
        <v>1120</v>
      </c>
      <c r="AG205" s="175">
        <v>706</v>
      </c>
      <c r="AH205" s="175">
        <v>1</v>
      </c>
      <c r="AI205" s="175">
        <v>1</v>
      </c>
      <c r="AJ205" s="176">
        <v>709703.64</v>
      </c>
      <c r="AK205" s="176">
        <v>0</v>
      </c>
      <c r="AL205" s="176">
        <v>150476.51999999999</v>
      </c>
      <c r="AM205" s="176">
        <v>0</v>
      </c>
      <c r="AN205" s="177">
        <v>0</v>
      </c>
      <c r="AO205" s="177">
        <v>0</v>
      </c>
      <c r="AP205" s="177">
        <v>412588.62</v>
      </c>
      <c r="AQ205" s="177">
        <v>0</v>
      </c>
      <c r="AR205" s="177">
        <v>0</v>
      </c>
      <c r="AS205" s="177">
        <v>0</v>
      </c>
      <c r="AT205" s="178">
        <v>33226.769999999997</v>
      </c>
      <c r="AU205" s="178">
        <v>0</v>
      </c>
      <c r="AV205" s="178">
        <v>0</v>
      </c>
      <c r="AW205" s="179">
        <v>0</v>
      </c>
      <c r="AX205" s="180">
        <v>0</v>
      </c>
      <c r="AY205" s="180">
        <v>0</v>
      </c>
      <c r="AZ205" s="180">
        <v>474781.63</v>
      </c>
      <c r="BA205" s="180">
        <v>0</v>
      </c>
      <c r="BB205" s="170">
        <f t="shared" si="76"/>
        <v>1780777.1800000002</v>
      </c>
      <c r="BC205" s="170">
        <v>1780777.18</v>
      </c>
      <c r="BD205" s="2">
        <f t="shared" si="77"/>
        <v>0</v>
      </c>
    </row>
    <row r="206" spans="1:56" ht="12" x14ac:dyDescent="0.2">
      <c r="A206" s="4">
        <v>707</v>
      </c>
      <c r="B206" s="4">
        <v>1</v>
      </c>
      <c r="C206" s="2" t="s">
        <v>208</v>
      </c>
      <c r="D206" s="3">
        <v>0</v>
      </c>
      <c r="E206" s="3">
        <v>0</v>
      </c>
      <c r="F206" s="227">
        <f t="shared" si="66"/>
        <v>477.47</v>
      </c>
      <c r="G206" s="227">
        <f t="shared" si="67"/>
        <v>190.03</v>
      </c>
      <c r="H206" s="227">
        <f t="shared" si="68"/>
        <v>0</v>
      </c>
      <c r="I206" s="227">
        <f t="shared" si="69"/>
        <v>40097.31</v>
      </c>
      <c r="J206" s="227">
        <f t="shared" si="70"/>
        <v>1424.41</v>
      </c>
      <c r="K206" s="227">
        <f t="shared" si="71"/>
        <v>35535.19</v>
      </c>
      <c r="L206" s="227">
        <f t="shared" si="72"/>
        <v>0</v>
      </c>
      <c r="M206" s="3">
        <f t="shared" si="73"/>
        <v>0</v>
      </c>
      <c r="N206" s="227">
        <f t="shared" si="74"/>
        <v>0</v>
      </c>
      <c r="O206" s="142">
        <f t="shared" si="75"/>
        <v>77724.41</v>
      </c>
      <c r="P206" s="3">
        <f t="shared" si="59"/>
        <v>77056.91</v>
      </c>
      <c r="Q206" s="3">
        <f t="shared" si="60"/>
        <v>40097.31</v>
      </c>
      <c r="R206" s="3">
        <f t="shared" si="61"/>
        <v>1424.41</v>
      </c>
      <c r="S206" s="3">
        <f t="shared" si="62"/>
        <v>35535.19</v>
      </c>
      <c r="T206" s="3">
        <f t="shared" si="63"/>
        <v>0</v>
      </c>
      <c r="U206" s="3">
        <f>IF($A$5=1,IF($P206=0,0,ROUND(Q206/$P206*$E206,2)),Credits!D205)+Credits!J205</f>
        <v>0</v>
      </c>
      <c r="V206" s="3">
        <f>IF($A$5=1,IF($P206=0,0,ROUND(R206/$P206*$E206,2)),Credits!E205)+Credits!K205</f>
        <v>0</v>
      </c>
      <c r="W206" s="3">
        <f>IF($A$5=1,IF($P206=0,0,ROUND(S206/$P206*$E206,2)),Credits!F205)+Credits!L205</f>
        <v>0</v>
      </c>
      <c r="X206" s="3">
        <f>IF($A$5=1,IF($P206=0,0,ROUND(T206/$P206*$E206,2)),Credits!G205)+Credits!M205</f>
        <v>0</v>
      </c>
      <c r="Y206" s="3">
        <f t="shared" si="64"/>
        <v>0</v>
      </c>
      <c r="AC206" s="4"/>
      <c r="AD206" s="4"/>
      <c r="AE206" s="2">
        <f t="shared" si="65"/>
        <v>0</v>
      </c>
      <c r="AF206" s="170" t="s">
        <v>1120</v>
      </c>
      <c r="AG206" s="175">
        <v>707</v>
      </c>
      <c r="AH206" s="175">
        <v>1</v>
      </c>
      <c r="AI206" s="175">
        <v>1</v>
      </c>
      <c r="AJ206" s="176">
        <v>477.47</v>
      </c>
      <c r="AK206" s="176">
        <v>0</v>
      </c>
      <c r="AL206" s="176">
        <v>190.03</v>
      </c>
      <c r="AM206" s="176">
        <v>0</v>
      </c>
      <c r="AN206" s="177">
        <v>0</v>
      </c>
      <c r="AO206" s="177">
        <v>0</v>
      </c>
      <c r="AP206" s="177">
        <v>40097.31</v>
      </c>
      <c r="AQ206" s="177">
        <v>0</v>
      </c>
      <c r="AR206" s="177">
        <v>1424.41</v>
      </c>
      <c r="AS206" s="177">
        <v>0</v>
      </c>
      <c r="AT206" s="178">
        <v>35535.19</v>
      </c>
      <c r="AU206" s="178">
        <v>0</v>
      </c>
      <c r="AV206" s="178">
        <v>0</v>
      </c>
      <c r="AW206" s="179">
        <v>0</v>
      </c>
      <c r="AX206" s="180">
        <v>0</v>
      </c>
      <c r="AY206" s="180">
        <v>0</v>
      </c>
      <c r="AZ206" s="180">
        <v>0</v>
      </c>
      <c r="BA206" s="180">
        <v>0</v>
      </c>
      <c r="BB206" s="170">
        <f t="shared" si="76"/>
        <v>77724.41</v>
      </c>
      <c r="BC206" s="170">
        <v>77725.53</v>
      </c>
      <c r="BD206" s="2">
        <f t="shared" si="77"/>
        <v>-1.1199999999953434</v>
      </c>
    </row>
    <row r="207" spans="1:56" ht="12" x14ac:dyDescent="0.2">
      <c r="A207" s="4">
        <v>709</v>
      </c>
      <c r="B207" s="4">
        <v>1</v>
      </c>
      <c r="C207" s="2" t="s">
        <v>209</v>
      </c>
      <c r="D207" s="3">
        <v>0</v>
      </c>
      <c r="E207" s="3">
        <v>0</v>
      </c>
      <c r="F207" s="227">
        <f t="shared" si="66"/>
        <v>4318011.1500000004</v>
      </c>
      <c r="G207" s="227">
        <f t="shared" si="67"/>
        <v>2796994.9</v>
      </c>
      <c r="H207" s="227">
        <f t="shared" si="68"/>
        <v>0</v>
      </c>
      <c r="I207" s="227">
        <f t="shared" si="69"/>
        <v>3772913.23</v>
      </c>
      <c r="J207" s="227">
        <f t="shared" si="70"/>
        <v>1029705.21</v>
      </c>
      <c r="K207" s="227">
        <f t="shared" si="71"/>
        <v>608296.43999999994</v>
      </c>
      <c r="L207" s="227">
        <f t="shared" si="72"/>
        <v>19837646</v>
      </c>
      <c r="M207" s="3">
        <f t="shared" si="73"/>
        <v>0</v>
      </c>
      <c r="N207" s="227">
        <f t="shared" si="74"/>
        <v>0</v>
      </c>
      <c r="O207" s="142">
        <f t="shared" si="75"/>
        <v>32363566.93</v>
      </c>
      <c r="P207" s="3">
        <f t="shared" si="59"/>
        <v>25248560.879999999</v>
      </c>
      <c r="Q207" s="3">
        <f t="shared" si="60"/>
        <v>3772913.23</v>
      </c>
      <c r="R207" s="3">
        <f t="shared" si="61"/>
        <v>1029705.21</v>
      </c>
      <c r="S207" s="3">
        <f t="shared" si="62"/>
        <v>20445942.440000001</v>
      </c>
      <c r="T207" s="3">
        <f t="shared" si="63"/>
        <v>0</v>
      </c>
      <c r="U207" s="3">
        <f>IF($A$5=1,IF($P207=0,0,ROUND(Q207/$P207*$E207,2)),Credits!D206)+Credits!J206</f>
        <v>278330.93</v>
      </c>
      <c r="V207" s="3">
        <f>IF($A$5=1,IF($P207=0,0,ROUND(R207/$P207*$E207,2)),Credits!E206)+Credits!K206</f>
        <v>75949.069999999992</v>
      </c>
      <c r="W207" s="3">
        <f>IF($A$5=1,IF($P207=0,0,ROUND(S207/$P207*$E207,2)),Credits!F206)+Credits!L206</f>
        <v>1506174.12</v>
      </c>
      <c r="X207" s="3">
        <f>IF($A$5=1,IF($P207=0,0,ROUND(T207/$P207*$E207,2)),Credits!G206)+Credits!M206</f>
        <v>0</v>
      </c>
      <c r="Y207" s="3">
        <f t="shared" si="64"/>
        <v>1860454.12</v>
      </c>
      <c r="AC207" s="4"/>
      <c r="AD207" s="4"/>
      <c r="AE207" s="2">
        <f t="shared" si="65"/>
        <v>0</v>
      </c>
      <c r="AF207" s="170" t="s">
        <v>1120</v>
      </c>
      <c r="AG207" s="175">
        <v>709</v>
      </c>
      <c r="AH207" s="175">
        <v>1</v>
      </c>
      <c r="AI207" s="175">
        <v>1</v>
      </c>
      <c r="AJ207" s="176">
        <v>4318011.1500000004</v>
      </c>
      <c r="AK207" s="176">
        <v>0</v>
      </c>
      <c r="AL207" s="176">
        <v>2796994.9</v>
      </c>
      <c r="AM207" s="176">
        <v>0</v>
      </c>
      <c r="AN207" s="177">
        <v>0</v>
      </c>
      <c r="AO207" s="177">
        <v>0</v>
      </c>
      <c r="AP207" s="177">
        <v>3772913.23</v>
      </c>
      <c r="AQ207" s="177">
        <v>0</v>
      </c>
      <c r="AR207" s="177">
        <v>1029705.21</v>
      </c>
      <c r="AS207" s="177">
        <v>0</v>
      </c>
      <c r="AT207" s="178">
        <v>608296.43999999994</v>
      </c>
      <c r="AU207" s="178">
        <v>0</v>
      </c>
      <c r="AV207" s="178">
        <v>19837646</v>
      </c>
      <c r="AW207" s="179">
        <v>0</v>
      </c>
      <c r="AX207" s="180">
        <v>0</v>
      </c>
      <c r="AY207" s="180">
        <v>0</v>
      </c>
      <c r="AZ207" s="180">
        <v>0</v>
      </c>
      <c r="BA207" s="180">
        <v>0</v>
      </c>
      <c r="BB207" s="170">
        <f t="shared" si="76"/>
        <v>32363566.93</v>
      </c>
      <c r="BC207" s="170">
        <v>32363566.93</v>
      </c>
      <c r="BD207" s="2">
        <f t="shared" si="77"/>
        <v>0</v>
      </c>
    </row>
    <row r="208" spans="1:56" ht="12" x14ac:dyDescent="0.2">
      <c r="A208" s="4">
        <v>712</v>
      </c>
      <c r="B208" s="4">
        <v>1</v>
      </c>
      <c r="C208" s="2" t="s">
        <v>1192</v>
      </c>
      <c r="D208" s="3">
        <v>0</v>
      </c>
      <c r="E208" s="3">
        <v>0</v>
      </c>
      <c r="F208" s="227">
        <f t="shared" si="66"/>
        <v>130899.53</v>
      </c>
      <c r="G208" s="227">
        <f t="shared" si="67"/>
        <v>0</v>
      </c>
      <c r="H208" s="227">
        <f t="shared" si="68"/>
        <v>0</v>
      </c>
      <c r="I208" s="227">
        <f t="shared" si="69"/>
        <v>0</v>
      </c>
      <c r="J208" s="227">
        <f t="shared" si="70"/>
        <v>0</v>
      </c>
      <c r="K208" s="227">
        <f t="shared" si="71"/>
        <v>88908.51</v>
      </c>
      <c r="L208" s="227">
        <f t="shared" si="72"/>
        <v>0</v>
      </c>
      <c r="M208" s="3">
        <f t="shared" si="73"/>
        <v>0</v>
      </c>
      <c r="N208" s="227">
        <f t="shared" si="74"/>
        <v>0</v>
      </c>
      <c r="O208" s="142">
        <f t="shared" si="75"/>
        <v>219808.03999999998</v>
      </c>
      <c r="P208" s="3">
        <f t="shared" si="59"/>
        <v>88908.51</v>
      </c>
      <c r="Q208" s="3">
        <f t="shared" si="60"/>
        <v>0</v>
      </c>
      <c r="R208" s="3">
        <f t="shared" si="61"/>
        <v>0</v>
      </c>
      <c r="S208" s="3">
        <f t="shared" si="62"/>
        <v>88908.51</v>
      </c>
      <c r="T208" s="3">
        <f t="shared" si="63"/>
        <v>0</v>
      </c>
      <c r="U208" s="3">
        <f>IF($A$5=1,IF($P208=0,0,ROUND(Q208/$P208*$E208,2)),Credits!D207)+Credits!J207</f>
        <v>0</v>
      </c>
      <c r="V208" s="3">
        <f>IF($A$5=1,IF($P208=0,0,ROUND(R208/$P208*$E208,2)),Credits!E207)+Credits!K207</f>
        <v>0</v>
      </c>
      <c r="W208" s="3">
        <f>IF($A$5=1,IF($P208=0,0,ROUND(S208/$P208*$E208,2)),Credits!F207)+Credits!L207</f>
        <v>22371.5</v>
      </c>
      <c r="X208" s="3">
        <f>IF($A$5=1,IF($P208=0,0,ROUND(T208/$P208*$E208,2)),Credits!G207)+Credits!M207</f>
        <v>0</v>
      </c>
      <c r="Y208" s="3">
        <f t="shared" si="64"/>
        <v>22371.5</v>
      </c>
      <c r="AC208" s="4"/>
      <c r="AD208" s="4"/>
      <c r="AE208" s="2">
        <f t="shared" si="65"/>
        <v>0</v>
      </c>
      <c r="AF208" s="170" t="s">
        <v>1120</v>
      </c>
      <c r="AG208" s="175">
        <v>712</v>
      </c>
      <c r="AH208" s="175">
        <v>1</v>
      </c>
      <c r="AI208" s="175">
        <v>1</v>
      </c>
      <c r="AJ208" s="176">
        <v>130899.53</v>
      </c>
      <c r="AK208" s="176">
        <v>0</v>
      </c>
      <c r="AL208" s="176">
        <v>0</v>
      </c>
      <c r="AM208" s="176">
        <v>0</v>
      </c>
      <c r="AN208" s="177">
        <v>0</v>
      </c>
      <c r="AO208" s="177">
        <v>0</v>
      </c>
      <c r="AP208" s="177">
        <v>0</v>
      </c>
      <c r="AQ208" s="177">
        <v>0</v>
      </c>
      <c r="AR208" s="177">
        <v>0</v>
      </c>
      <c r="AS208" s="177">
        <v>0</v>
      </c>
      <c r="AT208" s="178">
        <v>88908.51</v>
      </c>
      <c r="AU208" s="178">
        <v>0</v>
      </c>
      <c r="AV208" s="178">
        <v>0</v>
      </c>
      <c r="AW208" s="179">
        <v>0</v>
      </c>
      <c r="AX208" s="180">
        <v>0</v>
      </c>
      <c r="AY208" s="180">
        <v>0</v>
      </c>
      <c r="AZ208" s="180">
        <v>0</v>
      </c>
      <c r="BA208" s="180">
        <v>0</v>
      </c>
      <c r="BB208" s="170">
        <f t="shared" si="76"/>
        <v>219808.03999999998</v>
      </c>
      <c r="BC208" s="170">
        <v>219808.04</v>
      </c>
      <c r="BD208" s="2">
        <f t="shared" si="77"/>
        <v>0</v>
      </c>
    </row>
    <row r="209" spans="1:56" ht="12" x14ac:dyDescent="0.2">
      <c r="A209" s="4">
        <v>716</v>
      </c>
      <c r="B209" s="4">
        <v>1</v>
      </c>
      <c r="C209" s="2" t="s">
        <v>211</v>
      </c>
      <c r="D209" s="3">
        <v>0</v>
      </c>
      <c r="E209" s="3">
        <v>0</v>
      </c>
      <c r="F209" s="227">
        <f t="shared" si="66"/>
        <v>1360.02</v>
      </c>
      <c r="G209" s="227">
        <f t="shared" si="67"/>
        <v>911678.83</v>
      </c>
      <c r="H209" s="227">
        <f t="shared" si="68"/>
        <v>0</v>
      </c>
      <c r="I209" s="227">
        <f t="shared" si="69"/>
        <v>355074.83</v>
      </c>
      <c r="J209" s="227">
        <f t="shared" si="70"/>
        <v>115684.86</v>
      </c>
      <c r="K209" s="227">
        <f t="shared" si="71"/>
        <v>2780432.61</v>
      </c>
      <c r="L209" s="227">
        <f t="shared" si="72"/>
        <v>418135.33</v>
      </c>
      <c r="M209" s="3">
        <f t="shared" si="73"/>
        <v>0</v>
      </c>
      <c r="N209" s="227">
        <f t="shared" si="74"/>
        <v>0</v>
      </c>
      <c r="O209" s="142">
        <f t="shared" si="75"/>
        <v>4582366.4799999995</v>
      </c>
      <c r="P209" s="3">
        <f t="shared" si="59"/>
        <v>3669327.63</v>
      </c>
      <c r="Q209" s="3">
        <f t="shared" si="60"/>
        <v>355074.83</v>
      </c>
      <c r="R209" s="3">
        <f t="shared" si="61"/>
        <v>115684.86</v>
      </c>
      <c r="S209" s="3">
        <f t="shared" si="62"/>
        <v>3198567.94</v>
      </c>
      <c r="T209" s="3">
        <f t="shared" si="63"/>
        <v>0</v>
      </c>
      <c r="U209" s="3">
        <f>IF($A$5=1,IF($P209=0,0,ROUND(Q209/$P209*$E209,2)),Credits!D208)+Credits!J208</f>
        <v>5193.5600000000004</v>
      </c>
      <c r="V209" s="3">
        <f>IF($A$5=1,IF($P209=0,0,ROUND(R209/$P209*$E209,2)),Credits!E208)+Credits!K208</f>
        <v>1603.3199999999997</v>
      </c>
      <c r="W209" s="3">
        <f>IF($A$5=1,IF($P209=0,0,ROUND(S209/$P209*$E209,2)),Credits!F208)+Credits!L208</f>
        <v>44339.950000000004</v>
      </c>
      <c r="X209" s="3">
        <f>IF($A$5=1,IF($P209=0,0,ROUND(T209/$P209*$E209,2)),Credits!G208)+Credits!M208</f>
        <v>0</v>
      </c>
      <c r="Y209" s="3">
        <f t="shared" si="64"/>
        <v>51136.83</v>
      </c>
      <c r="AC209" s="4"/>
      <c r="AD209" s="4"/>
      <c r="AE209" s="2">
        <f t="shared" si="65"/>
        <v>0</v>
      </c>
      <c r="AF209" s="170" t="s">
        <v>1120</v>
      </c>
      <c r="AG209" s="175">
        <v>716</v>
      </c>
      <c r="AH209" s="175">
        <v>1</v>
      </c>
      <c r="AI209" s="175">
        <v>1</v>
      </c>
      <c r="AJ209" s="176">
        <v>1360.02</v>
      </c>
      <c r="AK209" s="176">
        <v>0</v>
      </c>
      <c r="AL209" s="176">
        <v>911678.83</v>
      </c>
      <c r="AM209" s="176">
        <v>0</v>
      </c>
      <c r="AN209" s="177">
        <v>0</v>
      </c>
      <c r="AO209" s="177">
        <v>0</v>
      </c>
      <c r="AP209" s="177">
        <v>355074.83</v>
      </c>
      <c r="AQ209" s="177">
        <v>0</v>
      </c>
      <c r="AR209" s="177">
        <v>115684.86</v>
      </c>
      <c r="AS209" s="177">
        <v>0</v>
      </c>
      <c r="AT209" s="178">
        <v>2780432.61</v>
      </c>
      <c r="AU209" s="178">
        <v>0</v>
      </c>
      <c r="AV209" s="178">
        <v>418135.33</v>
      </c>
      <c r="AW209" s="179">
        <v>0</v>
      </c>
      <c r="AX209" s="180">
        <v>0</v>
      </c>
      <c r="AY209" s="180">
        <v>0</v>
      </c>
      <c r="AZ209" s="180">
        <v>0</v>
      </c>
      <c r="BA209" s="180">
        <v>0</v>
      </c>
      <c r="BB209" s="170">
        <f t="shared" si="76"/>
        <v>4582366.4799999995</v>
      </c>
      <c r="BC209" s="170">
        <v>4582366.4800000004</v>
      </c>
      <c r="BD209" s="2">
        <f t="shared" si="77"/>
        <v>0</v>
      </c>
    </row>
    <row r="210" spans="1:56" ht="12" x14ac:dyDescent="0.2">
      <c r="A210" s="4">
        <v>717</v>
      </c>
      <c r="B210" s="4">
        <v>1</v>
      </c>
      <c r="C210" s="2" t="s">
        <v>212</v>
      </c>
      <c r="D210" s="3">
        <v>0</v>
      </c>
      <c r="E210" s="3">
        <v>0</v>
      </c>
      <c r="F210" s="227">
        <f t="shared" si="66"/>
        <v>0</v>
      </c>
      <c r="G210" s="227">
        <f t="shared" si="67"/>
        <v>804260.02</v>
      </c>
      <c r="H210" s="227">
        <f t="shared" si="68"/>
        <v>0</v>
      </c>
      <c r="I210" s="227">
        <f t="shared" si="69"/>
        <v>647760.93000000005</v>
      </c>
      <c r="J210" s="227">
        <f t="shared" si="70"/>
        <v>126304.82</v>
      </c>
      <c r="K210" s="227">
        <f t="shared" si="71"/>
        <v>1827438.4</v>
      </c>
      <c r="L210" s="227">
        <f t="shared" si="72"/>
        <v>0</v>
      </c>
      <c r="M210" s="3">
        <f t="shared" si="73"/>
        <v>0</v>
      </c>
      <c r="N210" s="227">
        <f t="shared" si="74"/>
        <v>0</v>
      </c>
      <c r="O210" s="142">
        <f t="shared" si="75"/>
        <v>3405764.17</v>
      </c>
      <c r="P210" s="3">
        <f t="shared" si="59"/>
        <v>2601504.15</v>
      </c>
      <c r="Q210" s="3">
        <f t="shared" si="60"/>
        <v>647760.93000000005</v>
      </c>
      <c r="R210" s="3">
        <f t="shared" si="61"/>
        <v>126304.82</v>
      </c>
      <c r="S210" s="3">
        <f t="shared" si="62"/>
        <v>1827438.4</v>
      </c>
      <c r="T210" s="3">
        <f t="shared" si="63"/>
        <v>0</v>
      </c>
      <c r="U210" s="3">
        <f>IF($A$5=1,IF($P210=0,0,ROUND(Q210/$P210*$E210,2)),Credits!D209)+Credits!J209</f>
        <v>4278.6699999999992</v>
      </c>
      <c r="V210" s="3">
        <f>IF($A$5=1,IF($P210=0,0,ROUND(R210/$P210*$E210,2)),Credits!E209)+Credits!K209</f>
        <v>834.05000000000007</v>
      </c>
      <c r="W210" s="3">
        <f>IF($A$5=1,IF($P210=0,0,ROUND(S210/$P210*$E210,2)),Credits!F209)+Credits!L209</f>
        <v>12070.079999999998</v>
      </c>
      <c r="X210" s="3">
        <f>IF($A$5=1,IF($P210=0,0,ROUND(T210/$P210*$E210,2)),Credits!G209)+Credits!M209</f>
        <v>0</v>
      </c>
      <c r="Y210" s="3">
        <f t="shared" si="64"/>
        <v>17182.799999999996</v>
      </c>
      <c r="AC210" s="4"/>
      <c r="AD210" s="4"/>
      <c r="AE210" s="2">
        <f t="shared" si="65"/>
        <v>0</v>
      </c>
      <c r="AF210" s="170" t="s">
        <v>1120</v>
      </c>
      <c r="AG210" s="175">
        <v>717</v>
      </c>
      <c r="AH210" s="175">
        <v>1</v>
      </c>
      <c r="AI210" s="175">
        <v>1</v>
      </c>
      <c r="AJ210" s="176">
        <v>0</v>
      </c>
      <c r="AK210" s="176">
        <v>0</v>
      </c>
      <c r="AL210" s="176">
        <v>804260.02</v>
      </c>
      <c r="AM210" s="176">
        <v>0</v>
      </c>
      <c r="AN210" s="177">
        <v>0</v>
      </c>
      <c r="AO210" s="177">
        <v>0</v>
      </c>
      <c r="AP210" s="177">
        <v>647760.93000000005</v>
      </c>
      <c r="AQ210" s="177">
        <v>0</v>
      </c>
      <c r="AR210" s="177">
        <v>126304.82</v>
      </c>
      <c r="AS210" s="177">
        <v>0</v>
      </c>
      <c r="AT210" s="178">
        <v>1827438.4</v>
      </c>
      <c r="AU210" s="178">
        <v>0</v>
      </c>
      <c r="AV210" s="178">
        <v>0</v>
      </c>
      <c r="AW210" s="179">
        <v>0</v>
      </c>
      <c r="AX210" s="180">
        <v>0</v>
      </c>
      <c r="AY210" s="180">
        <v>0</v>
      </c>
      <c r="AZ210" s="180">
        <v>0</v>
      </c>
      <c r="BA210" s="180">
        <v>0</v>
      </c>
      <c r="BB210" s="170">
        <f t="shared" si="76"/>
        <v>3405764.17</v>
      </c>
      <c r="BC210" s="170">
        <v>3405764.19</v>
      </c>
      <c r="BD210" s="2">
        <f t="shared" si="77"/>
        <v>-2.0000000018626451E-2</v>
      </c>
    </row>
    <row r="211" spans="1:56" ht="12" x14ac:dyDescent="0.2">
      <c r="A211" s="4">
        <v>719</v>
      </c>
      <c r="B211" s="4">
        <v>1</v>
      </c>
      <c r="C211" s="2" t="s">
        <v>1193</v>
      </c>
      <c r="D211" s="3">
        <v>0</v>
      </c>
      <c r="E211" s="3">
        <v>0</v>
      </c>
      <c r="F211" s="227">
        <f t="shared" si="66"/>
        <v>4759952</v>
      </c>
      <c r="G211" s="227">
        <f t="shared" si="67"/>
        <v>4283663</v>
      </c>
      <c r="H211" s="227">
        <f t="shared" si="68"/>
        <v>0</v>
      </c>
      <c r="I211" s="227">
        <f t="shared" si="69"/>
        <v>4044866</v>
      </c>
      <c r="J211" s="227">
        <f t="shared" si="70"/>
        <v>597882</v>
      </c>
      <c r="K211" s="227">
        <f t="shared" si="71"/>
        <v>10904929</v>
      </c>
      <c r="L211" s="227">
        <f t="shared" si="72"/>
        <v>700278</v>
      </c>
      <c r="M211" s="3">
        <f t="shared" si="73"/>
        <v>0</v>
      </c>
      <c r="N211" s="227">
        <f t="shared" si="74"/>
        <v>0</v>
      </c>
      <c r="O211" s="142">
        <f t="shared" si="75"/>
        <v>25291570</v>
      </c>
      <c r="P211" s="3">
        <f t="shared" si="59"/>
        <v>16247955</v>
      </c>
      <c r="Q211" s="3">
        <f t="shared" si="60"/>
        <v>4044866</v>
      </c>
      <c r="R211" s="3">
        <f t="shared" si="61"/>
        <v>597882</v>
      </c>
      <c r="S211" s="3">
        <f t="shared" si="62"/>
        <v>11605207</v>
      </c>
      <c r="T211" s="3">
        <f t="shared" si="63"/>
        <v>0</v>
      </c>
      <c r="U211" s="3">
        <f>IF($A$5=1,IF($P211=0,0,ROUND(Q211/$P211*$E211,2)),Credits!D210)+Credits!J210</f>
        <v>1827.66</v>
      </c>
      <c r="V211" s="3">
        <f>IF($A$5=1,IF($P211=0,0,ROUND(R211/$P211*$E211,2)),Credits!E210)+Credits!K210</f>
        <v>270.07</v>
      </c>
      <c r="W211" s="3">
        <f>IF($A$5=1,IF($P211=0,0,ROUND(S211/$P211*$E211,2)),Credits!F210)+Credits!L210</f>
        <v>5243.7900000000009</v>
      </c>
      <c r="X211" s="3">
        <f>IF($A$5=1,IF($P211=0,0,ROUND(T211/$P211*$E211,2)),Credits!G210)+Credits!M210</f>
        <v>0</v>
      </c>
      <c r="Y211" s="3">
        <f t="shared" si="64"/>
        <v>7341.52</v>
      </c>
      <c r="AC211" s="4"/>
      <c r="AD211" s="4"/>
      <c r="AE211" s="2">
        <f t="shared" si="65"/>
        <v>0</v>
      </c>
      <c r="AF211" s="170" t="s">
        <v>1120</v>
      </c>
      <c r="AG211" s="175">
        <v>719</v>
      </c>
      <c r="AH211" s="175">
        <v>1</v>
      </c>
      <c r="AI211" s="175">
        <v>1</v>
      </c>
      <c r="AJ211" s="176">
        <v>4759952</v>
      </c>
      <c r="AK211" s="176">
        <v>0</v>
      </c>
      <c r="AL211" s="176">
        <v>4283663</v>
      </c>
      <c r="AM211" s="176">
        <v>0</v>
      </c>
      <c r="AN211" s="177">
        <v>0</v>
      </c>
      <c r="AO211" s="177">
        <v>0</v>
      </c>
      <c r="AP211" s="177">
        <v>4044866</v>
      </c>
      <c r="AQ211" s="177">
        <v>0</v>
      </c>
      <c r="AR211" s="177">
        <v>597882</v>
      </c>
      <c r="AS211" s="177">
        <v>0</v>
      </c>
      <c r="AT211" s="178">
        <v>10904929</v>
      </c>
      <c r="AU211" s="178">
        <v>0</v>
      </c>
      <c r="AV211" s="178">
        <v>700278</v>
      </c>
      <c r="AW211" s="179">
        <v>0</v>
      </c>
      <c r="AX211" s="180">
        <v>0</v>
      </c>
      <c r="AY211" s="180">
        <v>0</v>
      </c>
      <c r="AZ211" s="180">
        <v>0</v>
      </c>
      <c r="BA211" s="180">
        <v>0</v>
      </c>
      <c r="BB211" s="170">
        <f t="shared" si="76"/>
        <v>25291570</v>
      </c>
      <c r="BC211" s="170">
        <v>25291569.190000001</v>
      </c>
      <c r="BD211" s="2">
        <f t="shared" si="77"/>
        <v>0.80999999865889549</v>
      </c>
    </row>
    <row r="212" spans="1:56" ht="12" x14ac:dyDescent="0.2">
      <c r="A212" s="4">
        <v>720</v>
      </c>
      <c r="B212" s="4">
        <v>1</v>
      </c>
      <c r="C212" s="2" t="s">
        <v>213</v>
      </c>
      <c r="D212" s="3">
        <v>0</v>
      </c>
      <c r="E212" s="3">
        <v>0</v>
      </c>
      <c r="F212" s="227">
        <f t="shared" si="66"/>
        <v>0</v>
      </c>
      <c r="G212" s="227">
        <f t="shared" si="67"/>
        <v>5565310</v>
      </c>
      <c r="H212" s="227">
        <f t="shared" si="68"/>
        <v>0</v>
      </c>
      <c r="I212" s="227">
        <f t="shared" si="69"/>
        <v>3429210</v>
      </c>
      <c r="J212" s="227">
        <f t="shared" si="70"/>
        <v>526412</v>
      </c>
      <c r="K212" s="227">
        <f t="shared" si="71"/>
        <v>12518345</v>
      </c>
      <c r="L212" s="227">
        <f t="shared" si="72"/>
        <v>0</v>
      </c>
      <c r="M212" s="3">
        <f t="shared" si="73"/>
        <v>0</v>
      </c>
      <c r="N212" s="227">
        <f t="shared" si="74"/>
        <v>0</v>
      </c>
      <c r="O212" s="142">
        <f t="shared" si="75"/>
        <v>22039277</v>
      </c>
      <c r="P212" s="3">
        <f t="shared" si="59"/>
        <v>16473967</v>
      </c>
      <c r="Q212" s="3">
        <f t="shared" si="60"/>
        <v>3429210</v>
      </c>
      <c r="R212" s="3">
        <f t="shared" si="61"/>
        <v>526412</v>
      </c>
      <c r="S212" s="3">
        <f t="shared" si="62"/>
        <v>12518345</v>
      </c>
      <c r="T212" s="3">
        <f t="shared" si="63"/>
        <v>0</v>
      </c>
      <c r="U212" s="3">
        <f>IF($A$5=1,IF($P212=0,0,ROUND(Q212/$P212*$E212,2)),Credits!D211)+Credits!J211</f>
        <v>1444.3000000000002</v>
      </c>
      <c r="V212" s="3">
        <f>IF($A$5=1,IF($P212=0,0,ROUND(R212/$P212*$E212,2)),Credits!E211)+Credits!K211</f>
        <v>221.68</v>
      </c>
      <c r="W212" s="3">
        <f>IF($A$5=1,IF($P212=0,0,ROUND(S212/$P212*$E212,2)),Credits!F211)+Credits!L211</f>
        <v>5272.59</v>
      </c>
      <c r="X212" s="3">
        <f>IF($A$5=1,IF($P212=0,0,ROUND(T212/$P212*$E212,2)),Credits!G211)+Credits!M211</f>
        <v>0</v>
      </c>
      <c r="Y212" s="3">
        <f t="shared" si="64"/>
        <v>6938.5700000000006</v>
      </c>
      <c r="AC212" s="4"/>
      <c r="AD212" s="4"/>
      <c r="AE212" s="2">
        <f t="shared" si="65"/>
        <v>0</v>
      </c>
      <c r="AF212" s="170" t="s">
        <v>1120</v>
      </c>
      <c r="AG212" s="175">
        <v>720</v>
      </c>
      <c r="AH212" s="175">
        <v>1</v>
      </c>
      <c r="AI212" s="175">
        <v>1</v>
      </c>
      <c r="AJ212" s="176">
        <v>0</v>
      </c>
      <c r="AK212" s="176">
        <v>0</v>
      </c>
      <c r="AL212" s="176">
        <v>5565310</v>
      </c>
      <c r="AM212" s="176">
        <v>0</v>
      </c>
      <c r="AN212" s="177">
        <v>0</v>
      </c>
      <c r="AO212" s="177">
        <v>0</v>
      </c>
      <c r="AP212" s="177">
        <v>3429210</v>
      </c>
      <c r="AQ212" s="177">
        <v>0</v>
      </c>
      <c r="AR212" s="177">
        <v>526412</v>
      </c>
      <c r="AS212" s="177">
        <v>0</v>
      </c>
      <c r="AT212" s="178">
        <v>12518345</v>
      </c>
      <c r="AU212" s="178">
        <v>0</v>
      </c>
      <c r="AV212" s="178">
        <v>0</v>
      </c>
      <c r="AW212" s="179">
        <v>0</v>
      </c>
      <c r="AX212" s="180">
        <v>0</v>
      </c>
      <c r="AY212" s="180">
        <v>0</v>
      </c>
      <c r="AZ212" s="180">
        <v>0</v>
      </c>
      <c r="BA212" s="180">
        <v>0</v>
      </c>
      <c r="BB212" s="170">
        <f t="shared" si="76"/>
        <v>22039277</v>
      </c>
      <c r="BC212" s="170">
        <v>22039276.760000002</v>
      </c>
      <c r="BD212" s="2">
        <f t="shared" si="77"/>
        <v>0.23999999836087227</v>
      </c>
    </row>
    <row r="213" spans="1:56" ht="12" x14ac:dyDescent="0.2">
      <c r="A213" s="4">
        <v>721</v>
      </c>
      <c r="B213" s="4">
        <v>1</v>
      </c>
      <c r="C213" s="2" t="s">
        <v>214</v>
      </c>
      <c r="D213" s="3">
        <v>0</v>
      </c>
      <c r="E213" s="3">
        <v>0</v>
      </c>
      <c r="F213" s="227">
        <f t="shared" si="66"/>
        <v>399511</v>
      </c>
      <c r="G213" s="227">
        <f t="shared" si="67"/>
        <v>2476384</v>
      </c>
      <c r="H213" s="227">
        <f t="shared" si="68"/>
        <v>0</v>
      </c>
      <c r="I213" s="227">
        <f t="shared" si="69"/>
        <v>924223</v>
      </c>
      <c r="J213" s="227">
        <f t="shared" si="70"/>
        <v>237882</v>
      </c>
      <c r="K213" s="227">
        <f t="shared" si="71"/>
        <v>5289075</v>
      </c>
      <c r="L213" s="227">
        <f t="shared" si="72"/>
        <v>47554</v>
      </c>
      <c r="M213" s="3">
        <f t="shared" si="73"/>
        <v>0</v>
      </c>
      <c r="N213" s="227">
        <f t="shared" si="74"/>
        <v>0</v>
      </c>
      <c r="O213" s="142">
        <f t="shared" si="75"/>
        <v>9374629</v>
      </c>
      <c r="P213" s="3">
        <f t="shared" si="59"/>
        <v>6498734</v>
      </c>
      <c r="Q213" s="3">
        <f t="shared" si="60"/>
        <v>924223</v>
      </c>
      <c r="R213" s="3">
        <f t="shared" si="61"/>
        <v>237882</v>
      </c>
      <c r="S213" s="3">
        <f t="shared" si="62"/>
        <v>5336629</v>
      </c>
      <c r="T213" s="3">
        <f t="shared" si="63"/>
        <v>0</v>
      </c>
      <c r="U213" s="3">
        <f>IF($A$5=1,IF($P213=0,0,ROUND(Q213/$P213*$E213,2)),Credits!D212)+Credits!J212</f>
        <v>9782.02</v>
      </c>
      <c r="V213" s="3">
        <f>IF($A$5=1,IF($P213=0,0,ROUND(R213/$P213*$E213,2)),Credits!E212)+Credits!K212</f>
        <v>2516.91</v>
      </c>
      <c r="W213" s="3">
        <f>IF($A$5=1,IF($P213=0,0,ROUND(S213/$P213*$E213,2)),Credits!F212)+Credits!L212</f>
        <v>56485.329999999994</v>
      </c>
      <c r="X213" s="3">
        <f>IF($A$5=1,IF($P213=0,0,ROUND(T213/$P213*$E213,2)),Credits!G212)+Credits!M212</f>
        <v>0</v>
      </c>
      <c r="Y213" s="3">
        <f t="shared" si="64"/>
        <v>68784.259999999995</v>
      </c>
      <c r="AC213" s="4"/>
      <c r="AD213" s="4"/>
      <c r="AE213" s="2">
        <f t="shared" si="65"/>
        <v>0</v>
      </c>
      <c r="AF213" s="170" t="s">
        <v>1120</v>
      </c>
      <c r="AG213" s="175">
        <v>721</v>
      </c>
      <c r="AH213" s="175">
        <v>1</v>
      </c>
      <c r="AI213" s="175">
        <v>1</v>
      </c>
      <c r="AJ213" s="176">
        <v>399511</v>
      </c>
      <c r="AK213" s="176">
        <v>0</v>
      </c>
      <c r="AL213" s="176">
        <v>2476384</v>
      </c>
      <c r="AM213" s="176">
        <v>0</v>
      </c>
      <c r="AN213" s="177">
        <v>0</v>
      </c>
      <c r="AO213" s="177">
        <v>0</v>
      </c>
      <c r="AP213" s="177">
        <v>924223</v>
      </c>
      <c r="AQ213" s="177">
        <v>0</v>
      </c>
      <c r="AR213" s="177">
        <v>237882</v>
      </c>
      <c r="AS213" s="177">
        <v>0</v>
      </c>
      <c r="AT213" s="178">
        <v>5289075</v>
      </c>
      <c r="AU213" s="178">
        <v>0</v>
      </c>
      <c r="AV213" s="178">
        <v>47554</v>
      </c>
      <c r="AW213" s="179">
        <v>0</v>
      </c>
      <c r="AX213" s="180">
        <v>0</v>
      </c>
      <c r="AY213" s="180">
        <v>0</v>
      </c>
      <c r="AZ213" s="180">
        <v>0</v>
      </c>
      <c r="BA213" s="180">
        <v>0</v>
      </c>
      <c r="BB213" s="170">
        <f t="shared" si="76"/>
        <v>9374629</v>
      </c>
      <c r="BC213" s="170">
        <v>9374629.0600000005</v>
      </c>
      <c r="BD213" s="2">
        <f t="shared" si="77"/>
        <v>-6.0000000521540642E-2</v>
      </c>
    </row>
    <row r="214" spans="1:56" ht="12" x14ac:dyDescent="0.2">
      <c r="A214" s="4">
        <v>726</v>
      </c>
      <c r="B214" s="4">
        <v>1</v>
      </c>
      <c r="C214" s="2" t="s">
        <v>215</v>
      </c>
      <c r="D214" s="3">
        <v>0</v>
      </c>
      <c r="E214" s="3">
        <v>0</v>
      </c>
      <c r="F214" s="227">
        <f t="shared" si="66"/>
        <v>1150316.03</v>
      </c>
      <c r="G214" s="227">
        <f t="shared" si="67"/>
        <v>976868.4</v>
      </c>
      <c r="H214" s="227">
        <f t="shared" si="68"/>
        <v>409231</v>
      </c>
      <c r="I214" s="227">
        <f t="shared" si="69"/>
        <v>960465.13</v>
      </c>
      <c r="J214" s="227">
        <f t="shared" si="70"/>
        <v>208739.20000000001</v>
      </c>
      <c r="K214" s="227">
        <f t="shared" si="71"/>
        <v>3079368.39</v>
      </c>
      <c r="L214" s="227">
        <f t="shared" si="72"/>
        <v>207820.11</v>
      </c>
      <c r="M214" s="3">
        <f t="shared" si="73"/>
        <v>0</v>
      </c>
      <c r="N214" s="227">
        <f t="shared" si="74"/>
        <v>0</v>
      </c>
      <c r="O214" s="142">
        <f t="shared" si="75"/>
        <v>6992808.2600000007</v>
      </c>
      <c r="P214" s="3">
        <f t="shared" si="59"/>
        <v>4865623.83</v>
      </c>
      <c r="Q214" s="3">
        <f t="shared" si="60"/>
        <v>1369696.13</v>
      </c>
      <c r="R214" s="3">
        <f t="shared" si="61"/>
        <v>208739.20000000001</v>
      </c>
      <c r="S214" s="3">
        <f t="shared" si="62"/>
        <v>3287188.5</v>
      </c>
      <c r="T214" s="3">
        <f t="shared" si="63"/>
        <v>0</v>
      </c>
      <c r="U214" s="3">
        <f>IF($A$5=1,IF($P214=0,0,ROUND(Q214/$P214*$E214,2)),Credits!D213)+Credits!J213</f>
        <v>2600.29</v>
      </c>
      <c r="V214" s="3">
        <f>IF($A$5=1,IF($P214=0,0,ROUND(R214/$P214*$E214,2)),Credits!E213)+Credits!K213</f>
        <v>396.26</v>
      </c>
      <c r="W214" s="3">
        <f>IF($A$5=1,IF($P214=0,0,ROUND(S214/$P214*$E214,2)),Credits!F213)+Credits!L213</f>
        <v>6240.3499999999995</v>
      </c>
      <c r="X214" s="3">
        <f>IF($A$5=1,IF($P214=0,0,ROUND(T214/$P214*$E214,2)),Credits!G213)+Credits!M213</f>
        <v>0</v>
      </c>
      <c r="Y214" s="3">
        <f t="shared" si="64"/>
        <v>9236.9</v>
      </c>
      <c r="AC214" s="4"/>
      <c r="AD214" s="4"/>
      <c r="AE214" s="2">
        <f t="shared" si="65"/>
        <v>0</v>
      </c>
      <c r="AF214" s="170" t="s">
        <v>1120</v>
      </c>
      <c r="AG214" s="175">
        <v>726</v>
      </c>
      <c r="AH214" s="175">
        <v>1</v>
      </c>
      <c r="AI214" s="175">
        <v>1</v>
      </c>
      <c r="AJ214" s="176">
        <v>1150316.03</v>
      </c>
      <c r="AK214" s="176">
        <v>0</v>
      </c>
      <c r="AL214" s="176">
        <v>976868.4</v>
      </c>
      <c r="AM214" s="176">
        <v>0</v>
      </c>
      <c r="AN214" s="177">
        <v>409231</v>
      </c>
      <c r="AO214" s="177">
        <v>0</v>
      </c>
      <c r="AP214" s="177">
        <v>960465.13</v>
      </c>
      <c r="AQ214" s="177">
        <v>0</v>
      </c>
      <c r="AR214" s="177">
        <v>208739.20000000001</v>
      </c>
      <c r="AS214" s="177">
        <v>0</v>
      </c>
      <c r="AT214" s="178">
        <v>3079368.39</v>
      </c>
      <c r="AU214" s="178">
        <v>0</v>
      </c>
      <c r="AV214" s="178">
        <v>207820.11</v>
      </c>
      <c r="AW214" s="179">
        <v>0</v>
      </c>
      <c r="AX214" s="180">
        <v>0</v>
      </c>
      <c r="AY214" s="180">
        <v>0</v>
      </c>
      <c r="AZ214" s="180">
        <v>0</v>
      </c>
      <c r="BA214" s="180">
        <v>0</v>
      </c>
      <c r="BB214" s="170">
        <f t="shared" si="76"/>
        <v>6992808.2600000007</v>
      </c>
      <c r="BC214" s="170">
        <v>6992808.2599999998</v>
      </c>
      <c r="BD214" s="2">
        <f t="shared" si="77"/>
        <v>0</v>
      </c>
    </row>
    <row r="215" spans="1:56" ht="12" x14ac:dyDescent="0.2">
      <c r="A215" s="4">
        <v>727</v>
      </c>
      <c r="B215" s="4">
        <v>1</v>
      </c>
      <c r="C215" s="2" t="s">
        <v>216</v>
      </c>
      <c r="D215" s="3">
        <v>0</v>
      </c>
      <c r="E215" s="3">
        <v>0</v>
      </c>
      <c r="F215" s="227">
        <f t="shared" si="66"/>
        <v>462106.6</v>
      </c>
      <c r="G215" s="227">
        <f t="shared" si="67"/>
        <v>685505.37</v>
      </c>
      <c r="H215" s="227">
        <f t="shared" si="68"/>
        <v>0</v>
      </c>
      <c r="I215" s="227">
        <f t="shared" si="69"/>
        <v>943118.95</v>
      </c>
      <c r="J215" s="227">
        <f t="shared" si="70"/>
        <v>267401.75</v>
      </c>
      <c r="K215" s="227">
        <f t="shared" si="71"/>
        <v>3726661.46</v>
      </c>
      <c r="L215" s="227">
        <f t="shared" si="72"/>
        <v>0</v>
      </c>
      <c r="M215" s="3">
        <f t="shared" si="73"/>
        <v>0</v>
      </c>
      <c r="N215" s="227">
        <f t="shared" si="74"/>
        <v>406017.68</v>
      </c>
      <c r="O215" s="142">
        <f t="shared" si="75"/>
        <v>6490811.8099999996</v>
      </c>
      <c r="P215" s="3">
        <f t="shared" si="59"/>
        <v>5343199.84</v>
      </c>
      <c r="Q215" s="3">
        <f t="shared" si="60"/>
        <v>943118.95</v>
      </c>
      <c r="R215" s="3">
        <f t="shared" si="61"/>
        <v>267401.75</v>
      </c>
      <c r="S215" s="3">
        <f t="shared" si="62"/>
        <v>3726661.46</v>
      </c>
      <c r="T215" s="3">
        <f t="shared" si="63"/>
        <v>406017.68</v>
      </c>
      <c r="U215" s="3">
        <f>IF($A$5=1,IF($P215=0,0,ROUND(Q215/$P215*$E215,2)),Credits!D214)+Credits!J214</f>
        <v>1521.7199999999998</v>
      </c>
      <c r="V215" s="3">
        <f>IF($A$5=1,IF($P215=0,0,ROUND(R215/$P215*$E215,2)),Credits!E214)+Credits!K214</f>
        <v>431.49</v>
      </c>
      <c r="W215" s="3">
        <f>IF($A$5=1,IF($P215=0,0,ROUND(S215/$P215*$E215,2)),Credits!F214)+Credits!L214</f>
        <v>6012.49</v>
      </c>
      <c r="X215" s="3">
        <f>IF($A$5=1,IF($P215=0,0,ROUND(T215/$P215*$E215,2)),Credits!G214)+Credits!M214</f>
        <v>655.03</v>
      </c>
      <c r="Y215" s="3">
        <f t="shared" si="64"/>
        <v>8620.73</v>
      </c>
      <c r="AC215" s="4"/>
      <c r="AD215" s="4"/>
      <c r="AE215" s="2">
        <f t="shared" si="65"/>
        <v>0</v>
      </c>
      <c r="AF215" s="170" t="s">
        <v>1120</v>
      </c>
      <c r="AG215" s="175">
        <v>727</v>
      </c>
      <c r="AH215" s="175">
        <v>1</v>
      </c>
      <c r="AI215" s="175">
        <v>1</v>
      </c>
      <c r="AJ215" s="176">
        <v>462106.6</v>
      </c>
      <c r="AK215" s="176">
        <v>0</v>
      </c>
      <c r="AL215" s="176">
        <v>685505.37</v>
      </c>
      <c r="AM215" s="176">
        <v>0</v>
      </c>
      <c r="AN215" s="177">
        <v>0</v>
      </c>
      <c r="AO215" s="177">
        <v>0</v>
      </c>
      <c r="AP215" s="177">
        <v>943118.95</v>
      </c>
      <c r="AQ215" s="177">
        <v>0</v>
      </c>
      <c r="AR215" s="177">
        <v>267401.75</v>
      </c>
      <c r="AS215" s="177">
        <v>0</v>
      </c>
      <c r="AT215" s="178">
        <v>3726661.46</v>
      </c>
      <c r="AU215" s="178">
        <v>0</v>
      </c>
      <c r="AV215" s="178">
        <v>0</v>
      </c>
      <c r="AW215" s="179">
        <v>0</v>
      </c>
      <c r="AX215" s="180">
        <v>0</v>
      </c>
      <c r="AY215" s="180">
        <v>0</v>
      </c>
      <c r="AZ215" s="180">
        <v>406017.68</v>
      </c>
      <c r="BA215" s="180">
        <v>0</v>
      </c>
      <c r="BB215" s="170">
        <f t="shared" si="76"/>
        <v>6490811.8099999996</v>
      </c>
      <c r="BC215" s="170">
        <v>6490811.8099999996</v>
      </c>
      <c r="BD215" s="2">
        <f t="shared" si="77"/>
        <v>0</v>
      </c>
    </row>
    <row r="216" spans="1:56" ht="12" x14ac:dyDescent="0.2">
      <c r="A216" s="4">
        <v>728</v>
      </c>
      <c r="B216" s="4">
        <v>1</v>
      </c>
      <c r="C216" s="2" t="s">
        <v>217</v>
      </c>
      <c r="D216" s="3">
        <v>0</v>
      </c>
      <c r="E216" s="3">
        <v>0</v>
      </c>
      <c r="F216" s="227">
        <f t="shared" si="66"/>
        <v>2152118.61</v>
      </c>
      <c r="G216" s="227">
        <f t="shared" si="67"/>
        <v>5620704.46</v>
      </c>
      <c r="H216" s="227">
        <f t="shared" si="68"/>
        <v>0</v>
      </c>
      <c r="I216" s="227">
        <f t="shared" si="69"/>
        <v>10585656.380000001</v>
      </c>
      <c r="J216" s="227">
        <f t="shared" si="70"/>
        <v>889609.65</v>
      </c>
      <c r="K216" s="227">
        <f t="shared" si="71"/>
        <v>16119803.550000001</v>
      </c>
      <c r="L216" s="227">
        <f t="shared" si="72"/>
        <v>2820677.45</v>
      </c>
      <c r="M216" s="3">
        <f t="shared" si="73"/>
        <v>0</v>
      </c>
      <c r="N216" s="227">
        <f t="shared" si="74"/>
        <v>309391.18</v>
      </c>
      <c r="O216" s="142">
        <f t="shared" si="75"/>
        <v>38497961.280000009</v>
      </c>
      <c r="P216" s="3">
        <f t="shared" si="59"/>
        <v>30725138.210000001</v>
      </c>
      <c r="Q216" s="3">
        <f t="shared" si="60"/>
        <v>10585656.380000001</v>
      </c>
      <c r="R216" s="3">
        <f t="shared" si="61"/>
        <v>889609.65</v>
      </c>
      <c r="S216" s="3">
        <f t="shared" si="62"/>
        <v>18940481</v>
      </c>
      <c r="T216" s="3">
        <f t="shared" si="63"/>
        <v>309391.18</v>
      </c>
      <c r="U216" s="3">
        <f>IF($A$5=1,IF($P216=0,0,ROUND(Q216/$P216*$E216,2)),Credits!D215)+Credits!J215</f>
        <v>10309.6</v>
      </c>
      <c r="V216" s="3">
        <f>IF($A$5=1,IF($P216=0,0,ROUND(R216/$P216*$E216,2)),Credits!E215)+Credits!K215</f>
        <v>866.44</v>
      </c>
      <c r="W216" s="3">
        <f>IF($A$5=1,IF($P216=0,0,ROUND(S216/$P216*$E216,2)),Credits!F215)+Credits!L215</f>
        <v>18445.909999999996</v>
      </c>
      <c r="X216" s="3">
        <f>IF($A$5=1,IF($P216=0,0,ROUND(T216/$P216*$E216,2)),Credits!G215)+Credits!M215</f>
        <v>301.06</v>
      </c>
      <c r="Y216" s="3">
        <f t="shared" si="64"/>
        <v>29923.01</v>
      </c>
      <c r="AC216" s="4"/>
      <c r="AD216" s="4"/>
      <c r="AE216" s="2">
        <f t="shared" si="65"/>
        <v>0</v>
      </c>
      <c r="AF216" s="170" t="s">
        <v>1120</v>
      </c>
      <c r="AG216" s="175">
        <v>728</v>
      </c>
      <c r="AH216" s="175">
        <v>1</v>
      </c>
      <c r="AI216" s="175">
        <v>1</v>
      </c>
      <c r="AJ216" s="176">
        <v>2152118.61</v>
      </c>
      <c r="AK216" s="176">
        <v>0</v>
      </c>
      <c r="AL216" s="176">
        <v>5620704.46</v>
      </c>
      <c r="AM216" s="176">
        <v>0</v>
      </c>
      <c r="AN216" s="177">
        <v>0</v>
      </c>
      <c r="AO216" s="177">
        <v>0</v>
      </c>
      <c r="AP216" s="177">
        <v>10585656.380000001</v>
      </c>
      <c r="AQ216" s="177">
        <v>0</v>
      </c>
      <c r="AR216" s="177">
        <v>889609.65</v>
      </c>
      <c r="AS216" s="177">
        <v>0</v>
      </c>
      <c r="AT216" s="178">
        <v>16119803.550000001</v>
      </c>
      <c r="AU216" s="178">
        <v>0</v>
      </c>
      <c r="AV216" s="178">
        <v>2820677.45</v>
      </c>
      <c r="AW216" s="179">
        <v>0</v>
      </c>
      <c r="AX216" s="180">
        <v>0</v>
      </c>
      <c r="AY216" s="180">
        <v>0</v>
      </c>
      <c r="AZ216" s="180">
        <v>309391.18</v>
      </c>
      <c r="BA216" s="180">
        <v>0</v>
      </c>
      <c r="BB216" s="170">
        <f t="shared" si="76"/>
        <v>38497961.280000009</v>
      </c>
      <c r="BC216" s="170">
        <v>38497961.280000001</v>
      </c>
      <c r="BD216" s="2">
        <f t="shared" si="77"/>
        <v>0</v>
      </c>
    </row>
    <row r="217" spans="1:56" ht="12" x14ac:dyDescent="0.2">
      <c r="A217" s="4">
        <v>738</v>
      </c>
      <c r="B217" s="4">
        <v>1</v>
      </c>
      <c r="C217" s="2" t="s">
        <v>218</v>
      </c>
      <c r="D217" s="3">
        <v>0</v>
      </c>
      <c r="E217" s="3">
        <v>0</v>
      </c>
      <c r="F217" s="227">
        <f t="shared" si="66"/>
        <v>234993</v>
      </c>
      <c r="G217" s="227">
        <f t="shared" si="67"/>
        <v>72196</v>
      </c>
      <c r="H217" s="227">
        <f t="shared" si="68"/>
        <v>0</v>
      </c>
      <c r="I217" s="227">
        <f t="shared" si="69"/>
        <v>169857</v>
      </c>
      <c r="J217" s="227">
        <f t="shared" si="70"/>
        <v>49482</v>
      </c>
      <c r="K217" s="227">
        <f t="shared" si="71"/>
        <v>601224</v>
      </c>
      <c r="L217" s="227">
        <f t="shared" si="72"/>
        <v>323830</v>
      </c>
      <c r="M217" s="3">
        <f t="shared" si="73"/>
        <v>0</v>
      </c>
      <c r="N217" s="227">
        <f t="shared" si="74"/>
        <v>176870</v>
      </c>
      <c r="O217" s="142">
        <f t="shared" si="75"/>
        <v>1628452</v>
      </c>
      <c r="P217" s="3">
        <f t="shared" si="59"/>
        <v>1321263</v>
      </c>
      <c r="Q217" s="3">
        <f t="shared" si="60"/>
        <v>169857</v>
      </c>
      <c r="R217" s="3">
        <f t="shared" si="61"/>
        <v>49482</v>
      </c>
      <c r="S217" s="3">
        <f t="shared" si="62"/>
        <v>925054</v>
      </c>
      <c r="T217" s="3">
        <f t="shared" si="63"/>
        <v>176870</v>
      </c>
      <c r="U217" s="3">
        <f>IF($A$5=1,IF($P217=0,0,ROUND(Q217/$P217*$E217,2)),Credits!D216)+Credits!J216</f>
        <v>5931.8100000000013</v>
      </c>
      <c r="V217" s="3">
        <f>IF($A$5=1,IF($P217=0,0,ROUND(R217/$P217*$E217,2)),Credits!E216)+Credits!K216</f>
        <v>1727.7199999999998</v>
      </c>
      <c r="W217" s="3">
        <f>IF($A$5=1,IF($P217=0,0,ROUND(S217/$P217*$E217,2)),Credits!F216)+Credits!L216</f>
        <v>32173.489999999998</v>
      </c>
      <c r="X217" s="3">
        <f>IF($A$5=1,IF($P217=0,0,ROUND(T217/$P217*$E217,2)),Credits!G216)+Credits!M216</f>
        <v>6151.7400000000007</v>
      </c>
      <c r="Y217" s="3">
        <f t="shared" si="64"/>
        <v>45984.759999999995</v>
      </c>
      <c r="AC217" s="4"/>
      <c r="AD217" s="4"/>
      <c r="AE217" s="2">
        <f t="shared" si="65"/>
        <v>0</v>
      </c>
      <c r="AF217" s="170" t="s">
        <v>1120</v>
      </c>
      <c r="AG217" s="175">
        <v>738</v>
      </c>
      <c r="AH217" s="175">
        <v>1</v>
      </c>
      <c r="AI217" s="175">
        <v>1</v>
      </c>
      <c r="AJ217" s="176">
        <v>234993</v>
      </c>
      <c r="AK217" s="176">
        <v>0</v>
      </c>
      <c r="AL217" s="176">
        <v>72196</v>
      </c>
      <c r="AM217" s="176">
        <v>0</v>
      </c>
      <c r="AN217" s="177">
        <v>0</v>
      </c>
      <c r="AO217" s="177">
        <v>0</v>
      </c>
      <c r="AP217" s="177">
        <v>169857</v>
      </c>
      <c r="AQ217" s="177">
        <v>0</v>
      </c>
      <c r="AR217" s="177">
        <v>49482</v>
      </c>
      <c r="AS217" s="177">
        <v>0</v>
      </c>
      <c r="AT217" s="178">
        <v>601224</v>
      </c>
      <c r="AU217" s="178">
        <v>0</v>
      </c>
      <c r="AV217" s="178">
        <v>323830</v>
      </c>
      <c r="AW217" s="179">
        <v>0</v>
      </c>
      <c r="AX217" s="180">
        <v>0</v>
      </c>
      <c r="AY217" s="180">
        <v>0</v>
      </c>
      <c r="AZ217" s="180">
        <v>176870</v>
      </c>
      <c r="BA217" s="180">
        <v>0</v>
      </c>
      <c r="BB217" s="170">
        <f t="shared" si="76"/>
        <v>1628452</v>
      </c>
      <c r="BC217" s="170">
        <v>1628451.33</v>
      </c>
      <c r="BD217" s="2">
        <f t="shared" si="77"/>
        <v>0.66999999992549419</v>
      </c>
    </row>
    <row r="218" spans="1:56" ht="12" x14ac:dyDescent="0.2">
      <c r="A218" s="4">
        <v>739</v>
      </c>
      <c r="B218" s="4">
        <v>1</v>
      </c>
      <c r="C218" s="2" t="s">
        <v>219</v>
      </c>
      <c r="D218" s="3">
        <v>0</v>
      </c>
      <c r="E218" s="3">
        <v>0</v>
      </c>
      <c r="F218" s="227">
        <f t="shared" si="66"/>
        <v>558022</v>
      </c>
      <c r="G218" s="227">
        <f t="shared" si="67"/>
        <v>61547</v>
      </c>
      <c r="H218" s="227">
        <f t="shared" si="68"/>
        <v>0</v>
      </c>
      <c r="I218" s="227">
        <f t="shared" si="69"/>
        <v>279600</v>
      </c>
      <c r="J218" s="227">
        <f t="shared" si="70"/>
        <v>68377</v>
      </c>
      <c r="K218" s="227">
        <f t="shared" si="71"/>
        <v>691103</v>
      </c>
      <c r="L218" s="227">
        <f t="shared" si="72"/>
        <v>0</v>
      </c>
      <c r="M218" s="3">
        <f t="shared" si="73"/>
        <v>0</v>
      </c>
      <c r="N218" s="227">
        <f t="shared" si="74"/>
        <v>0</v>
      </c>
      <c r="O218" s="142">
        <f t="shared" si="75"/>
        <v>1658649</v>
      </c>
      <c r="P218" s="3">
        <f t="shared" si="59"/>
        <v>1039080</v>
      </c>
      <c r="Q218" s="3">
        <f t="shared" si="60"/>
        <v>279600</v>
      </c>
      <c r="R218" s="3">
        <f t="shared" si="61"/>
        <v>68377</v>
      </c>
      <c r="S218" s="3">
        <f t="shared" si="62"/>
        <v>691103</v>
      </c>
      <c r="T218" s="3">
        <f t="shared" si="63"/>
        <v>0</v>
      </c>
      <c r="U218" s="3">
        <f>IF($A$5=1,IF($P218=0,0,ROUND(Q218/$P218*$E218,2)),Credits!D217)+Credits!J217</f>
        <v>6142.77</v>
      </c>
      <c r="V218" s="3">
        <f>IF($A$5=1,IF($P218=0,0,ROUND(R218/$P218*$E218,2)),Credits!E217)+Credits!K217</f>
        <v>1501.8999999999999</v>
      </c>
      <c r="W218" s="3">
        <f>IF($A$5=1,IF($P218=0,0,ROUND(S218/$P218*$E218,2)),Credits!F217)+Credits!L217</f>
        <v>15184.430000000004</v>
      </c>
      <c r="X218" s="3">
        <f>IF($A$5=1,IF($P218=0,0,ROUND(T218/$P218*$E218,2)),Credits!G217)+Credits!M217</f>
        <v>0</v>
      </c>
      <c r="Y218" s="3">
        <f t="shared" si="64"/>
        <v>22829.100000000006</v>
      </c>
      <c r="AC218" s="4"/>
      <c r="AD218" s="4"/>
      <c r="AE218" s="2">
        <f t="shared" si="65"/>
        <v>0</v>
      </c>
      <c r="AF218" s="170" t="s">
        <v>1120</v>
      </c>
      <c r="AG218" s="175">
        <v>739</v>
      </c>
      <c r="AH218" s="175">
        <v>1</v>
      </c>
      <c r="AI218" s="175">
        <v>1</v>
      </c>
      <c r="AJ218" s="176">
        <v>558022</v>
      </c>
      <c r="AK218" s="176">
        <v>0</v>
      </c>
      <c r="AL218" s="176">
        <v>61547</v>
      </c>
      <c r="AM218" s="176">
        <v>0</v>
      </c>
      <c r="AN218" s="177">
        <v>0</v>
      </c>
      <c r="AO218" s="177">
        <v>0</v>
      </c>
      <c r="AP218" s="177">
        <v>279600</v>
      </c>
      <c r="AQ218" s="177">
        <v>0</v>
      </c>
      <c r="AR218" s="177">
        <v>68377</v>
      </c>
      <c r="AS218" s="177">
        <v>0</v>
      </c>
      <c r="AT218" s="178">
        <v>691103</v>
      </c>
      <c r="AU218" s="178">
        <v>0</v>
      </c>
      <c r="AV218" s="178">
        <v>0</v>
      </c>
      <c r="AW218" s="179">
        <v>0</v>
      </c>
      <c r="AX218" s="180">
        <v>0</v>
      </c>
      <c r="AY218" s="180">
        <v>0</v>
      </c>
      <c r="AZ218" s="180">
        <v>0</v>
      </c>
      <c r="BA218" s="180">
        <v>0</v>
      </c>
      <c r="BB218" s="170">
        <f t="shared" si="76"/>
        <v>1658649</v>
      </c>
      <c r="BC218" s="170">
        <v>1658649.31</v>
      </c>
      <c r="BD218" s="2">
        <f t="shared" si="77"/>
        <v>-0.31000000005587935</v>
      </c>
    </row>
    <row r="219" spans="1:56" ht="12" x14ac:dyDescent="0.2">
      <c r="A219" s="4">
        <v>740</v>
      </c>
      <c r="B219" s="4">
        <v>1</v>
      </c>
      <c r="C219" s="2" t="s">
        <v>220</v>
      </c>
      <c r="D219" s="3">
        <v>0</v>
      </c>
      <c r="E219" s="3">
        <v>0</v>
      </c>
      <c r="F219" s="227">
        <f t="shared" si="66"/>
        <v>581003</v>
      </c>
      <c r="G219" s="227">
        <f t="shared" si="67"/>
        <v>104656</v>
      </c>
      <c r="H219" s="227">
        <f t="shared" si="68"/>
        <v>0</v>
      </c>
      <c r="I219" s="227">
        <f t="shared" si="69"/>
        <v>407634</v>
      </c>
      <c r="J219" s="227">
        <f t="shared" si="70"/>
        <v>99955</v>
      </c>
      <c r="K219" s="227">
        <f t="shared" si="71"/>
        <v>0</v>
      </c>
      <c r="L219" s="227">
        <f t="shared" si="72"/>
        <v>816956</v>
      </c>
      <c r="M219" s="3">
        <f t="shared" si="73"/>
        <v>0</v>
      </c>
      <c r="N219" s="227">
        <f t="shared" si="74"/>
        <v>0</v>
      </c>
      <c r="O219" s="142">
        <f t="shared" si="75"/>
        <v>2010204</v>
      </c>
      <c r="P219" s="3">
        <f t="shared" si="59"/>
        <v>1324545</v>
      </c>
      <c r="Q219" s="3">
        <f t="shared" si="60"/>
        <v>407634</v>
      </c>
      <c r="R219" s="3">
        <f t="shared" si="61"/>
        <v>99955</v>
      </c>
      <c r="S219" s="3">
        <f t="shared" si="62"/>
        <v>816956</v>
      </c>
      <c r="T219" s="3">
        <f t="shared" si="63"/>
        <v>0</v>
      </c>
      <c r="U219" s="3">
        <f>IF($A$5=1,IF($P219=0,0,ROUND(Q219/$P219*$E219,2)),Credits!D218)+Credits!J218</f>
        <v>10956.879999999996</v>
      </c>
      <c r="V219" s="3">
        <f>IF($A$5=1,IF($P219=0,0,ROUND(R219/$P219*$E219,2)),Credits!E218)+Credits!K218</f>
        <v>2686.64</v>
      </c>
      <c r="W219" s="3">
        <f>IF($A$5=1,IF($P219=0,0,ROUND(S219/$P219*$E219,2)),Credits!F218)+Credits!L218</f>
        <v>21823.600000000002</v>
      </c>
      <c r="X219" s="3">
        <f>IF($A$5=1,IF($P219=0,0,ROUND(T219/$P219*$E219,2)),Credits!G218)+Credits!M218</f>
        <v>0</v>
      </c>
      <c r="Y219" s="3">
        <f t="shared" si="64"/>
        <v>35467.119999999995</v>
      </c>
      <c r="AC219" s="4"/>
      <c r="AD219" s="4"/>
      <c r="AE219" s="2">
        <f t="shared" si="65"/>
        <v>0</v>
      </c>
      <c r="AF219" s="170" t="s">
        <v>1120</v>
      </c>
      <c r="AG219" s="175">
        <v>740</v>
      </c>
      <c r="AH219" s="175">
        <v>1</v>
      </c>
      <c r="AI219" s="175">
        <v>1</v>
      </c>
      <c r="AJ219" s="176">
        <v>581003</v>
      </c>
      <c r="AK219" s="176">
        <v>0</v>
      </c>
      <c r="AL219" s="176">
        <v>104656</v>
      </c>
      <c r="AM219" s="176">
        <v>0</v>
      </c>
      <c r="AN219" s="177">
        <v>0</v>
      </c>
      <c r="AO219" s="177">
        <v>0</v>
      </c>
      <c r="AP219" s="177">
        <v>407634</v>
      </c>
      <c r="AQ219" s="177">
        <v>0</v>
      </c>
      <c r="AR219" s="177">
        <v>99955</v>
      </c>
      <c r="AS219" s="177">
        <v>0</v>
      </c>
      <c r="AT219" s="178">
        <v>0</v>
      </c>
      <c r="AU219" s="178">
        <v>0</v>
      </c>
      <c r="AV219" s="178">
        <v>816956</v>
      </c>
      <c r="AW219" s="179">
        <v>0</v>
      </c>
      <c r="AX219" s="180">
        <v>0</v>
      </c>
      <c r="AY219" s="180">
        <v>0</v>
      </c>
      <c r="AZ219" s="180">
        <v>0</v>
      </c>
      <c r="BA219" s="180">
        <v>0</v>
      </c>
      <c r="BB219" s="170">
        <f t="shared" si="76"/>
        <v>2010204</v>
      </c>
      <c r="BC219" s="170">
        <v>2010203.17</v>
      </c>
      <c r="BD219" s="2">
        <f t="shared" si="77"/>
        <v>0.83000000007450581</v>
      </c>
    </row>
    <row r="220" spans="1:56" ht="12" x14ac:dyDescent="0.2">
      <c r="A220" s="4">
        <v>741</v>
      </c>
      <c r="B220" s="4">
        <v>1</v>
      </c>
      <c r="C220" s="2" t="s">
        <v>221</v>
      </c>
      <c r="D220" s="3">
        <v>0</v>
      </c>
      <c r="E220" s="3">
        <v>0</v>
      </c>
      <c r="F220" s="227">
        <f t="shared" si="66"/>
        <v>521672</v>
      </c>
      <c r="G220" s="227">
        <f t="shared" si="67"/>
        <v>92243</v>
      </c>
      <c r="H220" s="227">
        <f t="shared" si="68"/>
        <v>0</v>
      </c>
      <c r="I220" s="227">
        <f t="shared" si="69"/>
        <v>299205</v>
      </c>
      <c r="J220" s="227">
        <f t="shared" si="70"/>
        <v>76778</v>
      </c>
      <c r="K220" s="227">
        <f t="shared" si="71"/>
        <v>704325</v>
      </c>
      <c r="L220" s="227">
        <f t="shared" si="72"/>
        <v>58200</v>
      </c>
      <c r="M220" s="3">
        <f t="shared" si="73"/>
        <v>0</v>
      </c>
      <c r="N220" s="227">
        <f t="shared" si="74"/>
        <v>0</v>
      </c>
      <c r="O220" s="142">
        <f t="shared" si="75"/>
        <v>1752423</v>
      </c>
      <c r="P220" s="3">
        <f t="shared" si="59"/>
        <v>1138508</v>
      </c>
      <c r="Q220" s="3">
        <f t="shared" si="60"/>
        <v>299205</v>
      </c>
      <c r="R220" s="3">
        <f t="shared" si="61"/>
        <v>76778</v>
      </c>
      <c r="S220" s="3">
        <f t="shared" si="62"/>
        <v>762525</v>
      </c>
      <c r="T220" s="3">
        <f t="shared" si="63"/>
        <v>0</v>
      </c>
      <c r="U220" s="3">
        <f>IF($A$5=1,IF($P220=0,0,ROUND(Q220/$P220*$E220,2)),Credits!D219)+Credits!J219</f>
        <v>4904.6299999999992</v>
      </c>
      <c r="V220" s="3">
        <f>IF($A$5=1,IF($P220=0,0,ROUND(R220/$P220*$E220,2)),Credits!E219)+Credits!K219</f>
        <v>1258.0700000000004</v>
      </c>
      <c r="W220" s="3">
        <f>IF($A$5=1,IF($P220=0,0,ROUND(S220/$P220*$E220,2)),Credits!F219)+Credits!L219</f>
        <v>12496.32</v>
      </c>
      <c r="X220" s="3">
        <f>IF($A$5=1,IF($P220=0,0,ROUND(T220/$P220*$E220,2)),Credits!G219)+Credits!M219</f>
        <v>0</v>
      </c>
      <c r="Y220" s="3">
        <f t="shared" si="64"/>
        <v>18659.02</v>
      </c>
      <c r="AC220" s="4"/>
      <c r="AD220" s="4"/>
      <c r="AE220" s="2">
        <f t="shared" si="65"/>
        <v>0</v>
      </c>
      <c r="AF220" s="170" t="s">
        <v>1120</v>
      </c>
      <c r="AG220" s="175">
        <v>741</v>
      </c>
      <c r="AH220" s="175">
        <v>1</v>
      </c>
      <c r="AI220" s="175">
        <v>1</v>
      </c>
      <c r="AJ220" s="176">
        <v>521672</v>
      </c>
      <c r="AK220" s="176">
        <v>0</v>
      </c>
      <c r="AL220" s="176">
        <v>92243</v>
      </c>
      <c r="AM220" s="176">
        <v>0</v>
      </c>
      <c r="AN220" s="177">
        <v>0</v>
      </c>
      <c r="AO220" s="177">
        <v>0</v>
      </c>
      <c r="AP220" s="177">
        <v>299205</v>
      </c>
      <c r="AQ220" s="177">
        <v>0</v>
      </c>
      <c r="AR220" s="177">
        <v>76778</v>
      </c>
      <c r="AS220" s="177">
        <v>0</v>
      </c>
      <c r="AT220" s="178">
        <v>704325</v>
      </c>
      <c r="AU220" s="178">
        <v>0</v>
      </c>
      <c r="AV220" s="178">
        <v>58200</v>
      </c>
      <c r="AW220" s="179">
        <v>0</v>
      </c>
      <c r="AX220" s="180">
        <v>0</v>
      </c>
      <c r="AY220" s="180">
        <v>0</v>
      </c>
      <c r="AZ220" s="180">
        <v>0</v>
      </c>
      <c r="BA220" s="180">
        <v>0</v>
      </c>
      <c r="BB220" s="170">
        <f t="shared" si="76"/>
        <v>1752423</v>
      </c>
      <c r="BC220" s="170">
        <v>1752423.03</v>
      </c>
      <c r="BD220" s="2">
        <f t="shared" si="77"/>
        <v>-3.0000000027939677E-2</v>
      </c>
    </row>
    <row r="221" spans="1:56" ht="12" x14ac:dyDescent="0.2">
      <c r="A221" s="4">
        <v>742</v>
      </c>
      <c r="B221" s="4">
        <v>1</v>
      </c>
      <c r="C221" s="2" t="s">
        <v>222</v>
      </c>
      <c r="D221" s="3">
        <v>0</v>
      </c>
      <c r="E221" s="3">
        <v>0</v>
      </c>
      <c r="F221" s="227">
        <f t="shared" si="66"/>
        <v>3246523</v>
      </c>
      <c r="G221" s="227">
        <f t="shared" si="67"/>
        <v>5183662</v>
      </c>
      <c r="H221" s="227">
        <f t="shared" si="68"/>
        <v>0</v>
      </c>
      <c r="I221" s="227">
        <f t="shared" si="69"/>
        <v>10438703</v>
      </c>
      <c r="J221" s="227">
        <f t="shared" si="70"/>
        <v>1132374</v>
      </c>
      <c r="K221" s="227">
        <f t="shared" si="71"/>
        <v>2599844</v>
      </c>
      <c r="L221" s="227">
        <f t="shared" si="72"/>
        <v>0</v>
      </c>
      <c r="M221" s="3">
        <f t="shared" si="73"/>
        <v>0</v>
      </c>
      <c r="N221" s="227">
        <f t="shared" si="74"/>
        <v>0</v>
      </c>
      <c r="O221" s="142">
        <f t="shared" si="75"/>
        <v>22601106</v>
      </c>
      <c r="P221" s="3">
        <f t="shared" si="59"/>
        <v>14170921</v>
      </c>
      <c r="Q221" s="3">
        <f t="shared" si="60"/>
        <v>10438703</v>
      </c>
      <c r="R221" s="3">
        <f t="shared" si="61"/>
        <v>1132374</v>
      </c>
      <c r="S221" s="3">
        <f t="shared" si="62"/>
        <v>2599844</v>
      </c>
      <c r="T221" s="3">
        <f t="shared" si="63"/>
        <v>0</v>
      </c>
      <c r="U221" s="3">
        <f>IF($A$5=1,IF($P221=0,0,ROUND(Q221/$P221*$E221,2)),Credits!D220)+Credits!J220</f>
        <v>42376.61</v>
      </c>
      <c r="V221" s="3">
        <f>IF($A$5=1,IF($P221=0,0,ROUND(R221/$P221*$E221,2)),Credits!E220)+Credits!K220</f>
        <v>4598.07</v>
      </c>
      <c r="W221" s="3">
        <f>IF($A$5=1,IF($P221=0,0,ROUND(S221/$P221*$E221,2)),Credits!F220)+Credits!L220</f>
        <v>10535.46</v>
      </c>
      <c r="X221" s="3">
        <f>IF($A$5=1,IF($P221=0,0,ROUND(T221/$P221*$E221,2)),Credits!G220)+Credits!M220</f>
        <v>0</v>
      </c>
      <c r="Y221" s="3">
        <f t="shared" si="64"/>
        <v>57510.14</v>
      </c>
      <c r="AC221" s="4"/>
      <c r="AD221" s="4"/>
      <c r="AE221" s="2">
        <f t="shared" si="65"/>
        <v>0</v>
      </c>
      <c r="AF221" s="170" t="s">
        <v>1120</v>
      </c>
      <c r="AG221" s="175">
        <v>742</v>
      </c>
      <c r="AH221" s="175">
        <v>1</v>
      </c>
      <c r="AI221" s="175">
        <v>1</v>
      </c>
      <c r="AJ221" s="176">
        <v>3246523</v>
      </c>
      <c r="AK221" s="176">
        <v>0</v>
      </c>
      <c r="AL221" s="176">
        <v>5183662</v>
      </c>
      <c r="AM221" s="176">
        <v>0</v>
      </c>
      <c r="AN221" s="177">
        <v>0</v>
      </c>
      <c r="AO221" s="177">
        <v>0</v>
      </c>
      <c r="AP221" s="177">
        <v>10438703</v>
      </c>
      <c r="AQ221" s="177">
        <v>0</v>
      </c>
      <c r="AR221" s="177">
        <v>1132374</v>
      </c>
      <c r="AS221" s="177">
        <v>0</v>
      </c>
      <c r="AT221" s="178">
        <v>2599844</v>
      </c>
      <c r="AU221" s="178">
        <v>0</v>
      </c>
      <c r="AV221" s="178">
        <v>0</v>
      </c>
      <c r="AW221" s="179">
        <v>0</v>
      </c>
      <c r="AX221" s="180">
        <v>0</v>
      </c>
      <c r="AY221" s="180">
        <v>0</v>
      </c>
      <c r="AZ221" s="180">
        <v>0</v>
      </c>
      <c r="BA221" s="180">
        <v>0</v>
      </c>
      <c r="BB221" s="170">
        <f t="shared" si="76"/>
        <v>22601106</v>
      </c>
      <c r="BC221" s="170">
        <v>22601105.890000001</v>
      </c>
      <c r="BD221" s="2">
        <f t="shared" si="77"/>
        <v>0.10999999940395355</v>
      </c>
    </row>
    <row r="222" spans="1:56" ht="12" x14ac:dyDescent="0.2">
      <c r="A222" s="4">
        <v>743</v>
      </c>
      <c r="B222" s="4">
        <v>1</v>
      </c>
      <c r="C222" s="2" t="s">
        <v>223</v>
      </c>
      <c r="D222" s="3">
        <v>0</v>
      </c>
      <c r="E222" s="3">
        <v>0</v>
      </c>
      <c r="F222" s="227">
        <f t="shared" si="66"/>
        <v>1069369</v>
      </c>
      <c r="G222" s="227">
        <f t="shared" si="67"/>
        <v>76746</v>
      </c>
      <c r="H222" s="227">
        <f t="shared" si="68"/>
        <v>0</v>
      </c>
      <c r="I222" s="227">
        <f t="shared" si="69"/>
        <v>82109</v>
      </c>
      <c r="J222" s="227">
        <f t="shared" si="70"/>
        <v>93626</v>
      </c>
      <c r="K222" s="227">
        <f t="shared" si="71"/>
        <v>751112</v>
      </c>
      <c r="L222" s="227">
        <f t="shared" si="72"/>
        <v>206802</v>
      </c>
      <c r="M222" s="3">
        <f t="shared" si="73"/>
        <v>0</v>
      </c>
      <c r="N222" s="227">
        <f t="shared" si="74"/>
        <v>0</v>
      </c>
      <c r="O222" s="142">
        <f t="shared" si="75"/>
        <v>2279764</v>
      </c>
      <c r="P222" s="3">
        <f t="shared" si="59"/>
        <v>1133649</v>
      </c>
      <c r="Q222" s="3">
        <f t="shared" si="60"/>
        <v>82109</v>
      </c>
      <c r="R222" s="3">
        <f t="shared" si="61"/>
        <v>93626</v>
      </c>
      <c r="S222" s="3">
        <f t="shared" si="62"/>
        <v>957914</v>
      </c>
      <c r="T222" s="3">
        <f t="shared" si="63"/>
        <v>0</v>
      </c>
      <c r="U222" s="3">
        <f>IF($A$5=1,IF($P222=0,0,ROUND(Q222/$P222*$E222,2)),Credits!D221)+Credits!J221</f>
        <v>1464.2199999999993</v>
      </c>
      <c r="V222" s="3">
        <f>IF($A$5=1,IF($P222=0,0,ROUND(R222/$P222*$E222,2)),Credits!E221)+Credits!K221</f>
        <v>1669.32</v>
      </c>
      <c r="W222" s="3">
        <f>IF($A$5=1,IF($P222=0,0,ROUND(S222/$P222*$E222,2)),Credits!F221)+Credits!L221</f>
        <v>17025.379999999997</v>
      </c>
      <c r="X222" s="3">
        <f>IF($A$5=1,IF($P222=0,0,ROUND(T222/$P222*$E222,2)),Credits!G221)+Credits!M221</f>
        <v>0</v>
      </c>
      <c r="Y222" s="3">
        <f t="shared" si="64"/>
        <v>20158.919999999998</v>
      </c>
      <c r="AC222" s="4"/>
      <c r="AD222" s="4"/>
      <c r="AE222" s="2">
        <f t="shared" si="65"/>
        <v>0</v>
      </c>
      <c r="AF222" s="170" t="s">
        <v>1120</v>
      </c>
      <c r="AG222" s="175">
        <v>743</v>
      </c>
      <c r="AH222" s="175">
        <v>1</v>
      </c>
      <c r="AI222" s="175">
        <v>1</v>
      </c>
      <c r="AJ222" s="176">
        <v>1069369</v>
      </c>
      <c r="AK222" s="176">
        <v>0</v>
      </c>
      <c r="AL222" s="176">
        <v>76746</v>
      </c>
      <c r="AM222" s="176">
        <v>0</v>
      </c>
      <c r="AN222" s="177">
        <v>0</v>
      </c>
      <c r="AO222" s="177">
        <v>0</v>
      </c>
      <c r="AP222" s="177">
        <v>82109</v>
      </c>
      <c r="AQ222" s="177">
        <v>0</v>
      </c>
      <c r="AR222" s="177">
        <v>93626</v>
      </c>
      <c r="AS222" s="177">
        <v>0</v>
      </c>
      <c r="AT222" s="178">
        <v>751112</v>
      </c>
      <c r="AU222" s="178">
        <v>0</v>
      </c>
      <c r="AV222" s="178">
        <v>206802</v>
      </c>
      <c r="AW222" s="179">
        <v>0</v>
      </c>
      <c r="AX222" s="180">
        <v>0</v>
      </c>
      <c r="AY222" s="180">
        <v>0</v>
      </c>
      <c r="AZ222" s="180">
        <v>0</v>
      </c>
      <c r="BA222" s="180">
        <v>0</v>
      </c>
      <c r="BB222" s="170">
        <f t="shared" si="76"/>
        <v>2279764</v>
      </c>
      <c r="BC222" s="170">
        <v>2279763.83</v>
      </c>
      <c r="BD222" s="2">
        <f t="shared" si="77"/>
        <v>0.16999999992549419</v>
      </c>
    </row>
    <row r="223" spans="1:56" ht="12" x14ac:dyDescent="0.2">
      <c r="A223" s="4">
        <v>745</v>
      </c>
      <c r="B223" s="4">
        <v>1</v>
      </c>
      <c r="C223" s="2" t="s">
        <v>224</v>
      </c>
      <c r="D223" s="3">
        <v>0</v>
      </c>
      <c r="E223" s="3">
        <v>0</v>
      </c>
      <c r="F223" s="227">
        <f t="shared" si="66"/>
        <v>0</v>
      </c>
      <c r="G223" s="227">
        <f t="shared" si="67"/>
        <v>376610</v>
      </c>
      <c r="H223" s="227">
        <f t="shared" si="68"/>
        <v>0</v>
      </c>
      <c r="I223" s="227">
        <f t="shared" si="69"/>
        <v>609914</v>
      </c>
      <c r="J223" s="227">
        <f t="shared" si="70"/>
        <v>112337</v>
      </c>
      <c r="K223" s="227">
        <f t="shared" si="71"/>
        <v>1213286</v>
      </c>
      <c r="L223" s="227">
        <f t="shared" si="72"/>
        <v>450614</v>
      </c>
      <c r="M223" s="3">
        <f t="shared" si="73"/>
        <v>0</v>
      </c>
      <c r="N223" s="227">
        <f t="shared" si="74"/>
        <v>0</v>
      </c>
      <c r="O223" s="142">
        <f t="shared" si="75"/>
        <v>2762761</v>
      </c>
      <c r="P223" s="3">
        <f t="shared" si="59"/>
        <v>2386151</v>
      </c>
      <c r="Q223" s="3">
        <f t="shared" si="60"/>
        <v>609914</v>
      </c>
      <c r="R223" s="3">
        <f t="shared" si="61"/>
        <v>112337</v>
      </c>
      <c r="S223" s="3">
        <f t="shared" si="62"/>
        <v>1663900</v>
      </c>
      <c r="T223" s="3">
        <f t="shared" si="63"/>
        <v>0</v>
      </c>
      <c r="U223" s="3">
        <f>IF($A$5=1,IF($P223=0,0,ROUND(Q223/$P223*$E223,2)),Credits!D222)+Credits!J222</f>
        <v>10428.799999999999</v>
      </c>
      <c r="V223" s="3">
        <f>IF($A$5=1,IF($P223=0,0,ROUND(R223/$P223*$E223,2)),Credits!E222)+Credits!K222</f>
        <v>1920.6500000000003</v>
      </c>
      <c r="W223" s="3">
        <f>IF($A$5=1,IF($P223=0,0,ROUND(S223/$P223*$E223,2)),Credits!F222)+Credits!L222</f>
        <v>27324.7</v>
      </c>
      <c r="X223" s="3">
        <f>IF($A$5=1,IF($P223=0,0,ROUND(T223/$P223*$E223,2)),Credits!G222)+Credits!M222</f>
        <v>0</v>
      </c>
      <c r="Y223" s="3">
        <f t="shared" si="64"/>
        <v>39674.15</v>
      </c>
      <c r="AC223" s="4"/>
      <c r="AD223" s="4"/>
      <c r="AE223" s="2">
        <f t="shared" si="65"/>
        <v>0</v>
      </c>
      <c r="AF223" s="170" t="s">
        <v>1120</v>
      </c>
      <c r="AG223" s="175">
        <v>745</v>
      </c>
      <c r="AH223" s="175">
        <v>1</v>
      </c>
      <c r="AI223" s="175">
        <v>1</v>
      </c>
      <c r="AJ223" s="176">
        <v>0</v>
      </c>
      <c r="AK223" s="176">
        <v>0</v>
      </c>
      <c r="AL223" s="176">
        <v>376610</v>
      </c>
      <c r="AM223" s="176">
        <v>0</v>
      </c>
      <c r="AN223" s="177">
        <v>0</v>
      </c>
      <c r="AO223" s="177">
        <v>0</v>
      </c>
      <c r="AP223" s="177">
        <v>609914</v>
      </c>
      <c r="AQ223" s="177">
        <v>0</v>
      </c>
      <c r="AR223" s="177">
        <v>112337</v>
      </c>
      <c r="AS223" s="177">
        <v>0</v>
      </c>
      <c r="AT223" s="178">
        <v>1213286</v>
      </c>
      <c r="AU223" s="178">
        <v>0</v>
      </c>
      <c r="AV223" s="178">
        <v>450614</v>
      </c>
      <c r="AW223" s="179">
        <v>0</v>
      </c>
      <c r="AX223" s="180">
        <v>0</v>
      </c>
      <c r="AY223" s="180">
        <v>0</v>
      </c>
      <c r="AZ223" s="180">
        <v>0</v>
      </c>
      <c r="BA223" s="180">
        <v>0</v>
      </c>
      <c r="BB223" s="170">
        <f t="shared" si="76"/>
        <v>2762761</v>
      </c>
      <c r="BC223" s="170">
        <v>2762761.14</v>
      </c>
      <c r="BD223" s="2">
        <f t="shared" si="77"/>
        <v>-0.14000000013038516</v>
      </c>
    </row>
    <row r="224" spans="1:56" ht="12" x14ac:dyDescent="0.2">
      <c r="A224" s="4">
        <v>748</v>
      </c>
      <c r="B224" s="4">
        <v>1</v>
      </c>
      <c r="C224" s="2" t="s">
        <v>1194</v>
      </c>
      <c r="D224" s="3">
        <v>0</v>
      </c>
      <c r="E224" s="3">
        <v>0</v>
      </c>
      <c r="F224" s="227">
        <f t="shared" si="66"/>
        <v>964854</v>
      </c>
      <c r="G224" s="227">
        <f t="shared" si="67"/>
        <v>824301</v>
      </c>
      <c r="H224" s="227">
        <f t="shared" si="68"/>
        <v>0</v>
      </c>
      <c r="I224" s="227">
        <f t="shared" si="69"/>
        <v>841159</v>
      </c>
      <c r="J224" s="227">
        <f t="shared" si="70"/>
        <v>183592</v>
      </c>
      <c r="K224" s="227">
        <f t="shared" si="71"/>
        <v>4473068</v>
      </c>
      <c r="L224" s="227">
        <f t="shared" si="72"/>
        <v>0</v>
      </c>
      <c r="M224" s="3">
        <f t="shared" si="73"/>
        <v>0</v>
      </c>
      <c r="N224" s="227">
        <f t="shared" si="74"/>
        <v>0</v>
      </c>
      <c r="O224" s="142">
        <f t="shared" si="75"/>
        <v>7286974</v>
      </c>
      <c r="P224" s="3">
        <f t="shared" si="59"/>
        <v>5497819</v>
      </c>
      <c r="Q224" s="3">
        <f t="shared" si="60"/>
        <v>841159</v>
      </c>
      <c r="R224" s="3">
        <f t="shared" si="61"/>
        <v>183592</v>
      </c>
      <c r="S224" s="3">
        <f t="shared" si="62"/>
        <v>4473068</v>
      </c>
      <c r="T224" s="3">
        <f t="shared" si="63"/>
        <v>0</v>
      </c>
      <c r="U224" s="3">
        <f>IF($A$5=1,IF($P224=0,0,ROUND(Q224/$P224*$E224,2)),Credits!D223)+Credits!J223</f>
        <v>2765.9000000000005</v>
      </c>
      <c r="V224" s="3">
        <f>IF($A$5=1,IF($P224=0,0,ROUND(R224/$P224*$E224,2)),Credits!E223)+Credits!K223</f>
        <v>603.72</v>
      </c>
      <c r="W224" s="3">
        <f>IF($A$5=1,IF($P224=0,0,ROUND(S224/$P224*$E224,2)),Credits!F223)+Credits!L223</f>
        <v>14707.51</v>
      </c>
      <c r="X224" s="3">
        <f>IF($A$5=1,IF($P224=0,0,ROUND(T224/$P224*$E224,2)),Credits!G223)+Credits!M223</f>
        <v>0</v>
      </c>
      <c r="Y224" s="3">
        <f t="shared" si="64"/>
        <v>18077.13</v>
      </c>
      <c r="AC224" s="4"/>
      <c r="AD224" s="4"/>
      <c r="AE224" s="2">
        <f t="shared" si="65"/>
        <v>0</v>
      </c>
      <c r="AF224" s="170" t="s">
        <v>1120</v>
      </c>
      <c r="AG224" s="175">
        <v>748</v>
      </c>
      <c r="AH224" s="175">
        <v>1</v>
      </c>
      <c r="AI224" s="175">
        <v>1</v>
      </c>
      <c r="AJ224" s="176">
        <v>964854</v>
      </c>
      <c r="AK224" s="176">
        <v>0</v>
      </c>
      <c r="AL224" s="176">
        <v>824301</v>
      </c>
      <c r="AM224" s="176">
        <v>0</v>
      </c>
      <c r="AN224" s="177">
        <v>0</v>
      </c>
      <c r="AO224" s="177">
        <v>0</v>
      </c>
      <c r="AP224" s="177">
        <v>841159</v>
      </c>
      <c r="AQ224" s="177">
        <v>0</v>
      </c>
      <c r="AR224" s="177">
        <v>183592</v>
      </c>
      <c r="AS224" s="177">
        <v>0</v>
      </c>
      <c r="AT224" s="178">
        <v>4473068</v>
      </c>
      <c r="AU224" s="178">
        <v>0</v>
      </c>
      <c r="AV224" s="178">
        <v>0</v>
      </c>
      <c r="AW224" s="179">
        <v>0</v>
      </c>
      <c r="AX224" s="180">
        <v>0</v>
      </c>
      <c r="AY224" s="180">
        <v>0</v>
      </c>
      <c r="AZ224" s="180">
        <v>0</v>
      </c>
      <c r="BA224" s="180">
        <v>0</v>
      </c>
      <c r="BB224" s="170">
        <f t="shared" si="76"/>
        <v>7286974</v>
      </c>
      <c r="BC224" s="170">
        <v>7286973.5599999996</v>
      </c>
      <c r="BD224" s="2">
        <f t="shared" si="77"/>
        <v>0.44000000040978193</v>
      </c>
    </row>
    <row r="225" spans="1:56" ht="12" x14ac:dyDescent="0.2">
      <c r="A225" s="4">
        <v>750</v>
      </c>
      <c r="B225" s="4">
        <v>1</v>
      </c>
      <c r="C225" s="2" t="s">
        <v>226</v>
      </c>
      <c r="D225" s="3">
        <v>0</v>
      </c>
      <c r="E225" s="3">
        <v>0</v>
      </c>
      <c r="F225" s="227">
        <f t="shared" si="66"/>
        <v>202817</v>
      </c>
      <c r="G225" s="227">
        <f t="shared" si="67"/>
        <v>806128</v>
      </c>
      <c r="H225" s="227">
        <f t="shared" si="68"/>
        <v>0</v>
      </c>
      <c r="I225" s="227">
        <f t="shared" si="69"/>
        <v>851348</v>
      </c>
      <c r="J225" s="227">
        <f t="shared" si="70"/>
        <v>151944</v>
      </c>
      <c r="K225" s="227">
        <f t="shared" si="71"/>
        <v>2076367</v>
      </c>
      <c r="L225" s="227">
        <f t="shared" si="72"/>
        <v>432349</v>
      </c>
      <c r="M225" s="3">
        <f t="shared" si="73"/>
        <v>0</v>
      </c>
      <c r="N225" s="227">
        <f t="shared" si="74"/>
        <v>403655</v>
      </c>
      <c r="O225" s="142">
        <f t="shared" si="75"/>
        <v>4924608</v>
      </c>
      <c r="P225" s="3">
        <f t="shared" si="59"/>
        <v>3915663</v>
      </c>
      <c r="Q225" s="3">
        <f t="shared" si="60"/>
        <v>851348</v>
      </c>
      <c r="R225" s="3">
        <f t="shared" si="61"/>
        <v>151944</v>
      </c>
      <c r="S225" s="3">
        <f t="shared" si="62"/>
        <v>2508716</v>
      </c>
      <c r="T225" s="3">
        <f t="shared" si="63"/>
        <v>403655</v>
      </c>
      <c r="U225" s="3">
        <f>IF($A$5=1,IF($P225=0,0,ROUND(Q225/$P225*$E225,2)),Credits!D224)+Credits!J224</f>
        <v>6819.7000000000016</v>
      </c>
      <c r="V225" s="3">
        <f>IF($A$5=1,IF($P225=0,0,ROUND(R225/$P225*$E225,2)),Credits!E224)+Credits!K224</f>
        <v>1217.1199999999999</v>
      </c>
      <c r="W225" s="3">
        <f>IF($A$5=1,IF($P225=0,0,ROUND(S225/$P225*$E225,2)),Credits!F224)+Credits!L224</f>
        <v>19986.629999999997</v>
      </c>
      <c r="X225" s="3">
        <f>IF($A$5=1,IF($P225=0,0,ROUND(T225/$P225*$E225,2)),Credits!G224)+Credits!M224</f>
        <v>3216.1099999999997</v>
      </c>
      <c r="Y225" s="3">
        <f t="shared" si="64"/>
        <v>31239.559999999998</v>
      </c>
      <c r="AC225" s="4"/>
      <c r="AD225" s="4"/>
      <c r="AE225" s="2">
        <f t="shared" si="65"/>
        <v>0</v>
      </c>
      <c r="AF225" s="170" t="s">
        <v>1120</v>
      </c>
      <c r="AG225" s="175">
        <v>750</v>
      </c>
      <c r="AH225" s="175">
        <v>1</v>
      </c>
      <c r="AI225" s="175">
        <v>1</v>
      </c>
      <c r="AJ225" s="176">
        <v>202817</v>
      </c>
      <c r="AK225" s="176">
        <v>0</v>
      </c>
      <c r="AL225" s="176">
        <v>806128</v>
      </c>
      <c r="AM225" s="176">
        <v>0</v>
      </c>
      <c r="AN225" s="177">
        <v>0</v>
      </c>
      <c r="AO225" s="177">
        <v>0</v>
      </c>
      <c r="AP225" s="177">
        <v>851348</v>
      </c>
      <c r="AQ225" s="177">
        <v>0</v>
      </c>
      <c r="AR225" s="177">
        <v>151944</v>
      </c>
      <c r="AS225" s="177">
        <v>0</v>
      </c>
      <c r="AT225" s="178">
        <v>2076367</v>
      </c>
      <c r="AU225" s="178">
        <v>0</v>
      </c>
      <c r="AV225" s="178">
        <v>432349</v>
      </c>
      <c r="AW225" s="179">
        <v>0</v>
      </c>
      <c r="AX225" s="180">
        <v>0</v>
      </c>
      <c r="AY225" s="180">
        <v>0</v>
      </c>
      <c r="AZ225" s="180">
        <v>403655</v>
      </c>
      <c r="BA225" s="180">
        <v>0</v>
      </c>
      <c r="BB225" s="170">
        <f t="shared" si="76"/>
        <v>4924608</v>
      </c>
      <c r="BC225" s="170">
        <v>4924607.4400000004</v>
      </c>
      <c r="BD225" s="2">
        <f t="shared" si="77"/>
        <v>0.55999999959021807</v>
      </c>
    </row>
    <row r="226" spans="1:56" ht="12" x14ac:dyDescent="0.2">
      <c r="A226" s="4">
        <v>756</v>
      </c>
      <c r="B226" s="4">
        <v>1</v>
      </c>
      <c r="C226" s="2" t="s">
        <v>227</v>
      </c>
      <c r="D226" s="3">
        <v>0</v>
      </c>
      <c r="E226" s="3">
        <v>0</v>
      </c>
      <c r="F226" s="227">
        <f t="shared" si="66"/>
        <v>285293.15999999997</v>
      </c>
      <c r="G226" s="227">
        <f t="shared" si="67"/>
        <v>41810.480000000003</v>
      </c>
      <c r="H226" s="227">
        <f t="shared" si="68"/>
        <v>0</v>
      </c>
      <c r="I226" s="227">
        <f t="shared" si="69"/>
        <v>618492.09</v>
      </c>
      <c r="J226" s="227">
        <f t="shared" si="70"/>
        <v>48883.86</v>
      </c>
      <c r="K226" s="227">
        <f t="shared" si="71"/>
        <v>1138002.6299999999</v>
      </c>
      <c r="L226" s="227">
        <f t="shared" si="72"/>
        <v>0</v>
      </c>
      <c r="M226" s="3">
        <f t="shared" si="73"/>
        <v>0</v>
      </c>
      <c r="N226" s="227">
        <f t="shared" si="74"/>
        <v>0</v>
      </c>
      <c r="O226" s="142">
        <f t="shared" si="75"/>
        <v>2132482.2199999997</v>
      </c>
      <c r="P226" s="3">
        <f t="shared" si="59"/>
        <v>1805378.5799999998</v>
      </c>
      <c r="Q226" s="3">
        <f t="shared" si="60"/>
        <v>618492.09</v>
      </c>
      <c r="R226" s="3">
        <f t="shared" si="61"/>
        <v>48883.86</v>
      </c>
      <c r="S226" s="3">
        <f t="shared" si="62"/>
        <v>1138002.6299999999</v>
      </c>
      <c r="T226" s="3">
        <f t="shared" si="63"/>
        <v>0</v>
      </c>
      <c r="U226" s="3">
        <f>IF($A$5=1,IF($P226=0,0,ROUND(Q226/$P226*$E226,2)),Credits!D225)+Credits!J225</f>
        <v>9549.9800000000014</v>
      </c>
      <c r="V226" s="3">
        <f>IF($A$5=1,IF($P226=0,0,ROUND(R226/$P226*$E226,2)),Credits!E225)+Credits!K225</f>
        <v>755.98</v>
      </c>
      <c r="W226" s="3">
        <f>IF($A$5=1,IF($P226=0,0,ROUND(S226/$P226*$E226,2)),Credits!F225)+Credits!L225</f>
        <v>17576.550000000003</v>
      </c>
      <c r="X226" s="3">
        <f>IF($A$5=1,IF($P226=0,0,ROUND(T226/$P226*$E226,2)),Credits!G225)+Credits!M225</f>
        <v>0</v>
      </c>
      <c r="Y226" s="3">
        <f t="shared" si="64"/>
        <v>27882.510000000002</v>
      </c>
      <c r="AC226" s="4"/>
      <c r="AD226" s="4"/>
      <c r="AE226" s="2">
        <f t="shared" si="65"/>
        <v>0</v>
      </c>
      <c r="AF226" s="170" t="s">
        <v>1120</v>
      </c>
      <c r="AG226" s="175">
        <v>756</v>
      </c>
      <c r="AH226" s="175">
        <v>1</v>
      </c>
      <c r="AI226" s="175">
        <v>1</v>
      </c>
      <c r="AJ226" s="176">
        <v>285293.15999999997</v>
      </c>
      <c r="AK226" s="176">
        <v>0</v>
      </c>
      <c r="AL226" s="176">
        <v>41810.480000000003</v>
      </c>
      <c r="AM226" s="176">
        <v>0</v>
      </c>
      <c r="AN226" s="177">
        <v>0</v>
      </c>
      <c r="AO226" s="177">
        <v>0</v>
      </c>
      <c r="AP226" s="177">
        <v>618492.09</v>
      </c>
      <c r="AQ226" s="177">
        <v>0</v>
      </c>
      <c r="AR226" s="177">
        <v>48883.86</v>
      </c>
      <c r="AS226" s="177">
        <v>0</v>
      </c>
      <c r="AT226" s="178">
        <v>1138002.6299999999</v>
      </c>
      <c r="AU226" s="178">
        <v>0</v>
      </c>
      <c r="AV226" s="178">
        <v>0</v>
      </c>
      <c r="AW226" s="179">
        <v>0</v>
      </c>
      <c r="AX226" s="180">
        <v>0</v>
      </c>
      <c r="AY226" s="180">
        <v>0</v>
      </c>
      <c r="AZ226" s="180">
        <v>0</v>
      </c>
      <c r="BA226" s="180">
        <v>0</v>
      </c>
      <c r="BB226" s="170">
        <f t="shared" si="76"/>
        <v>2132482.2199999997</v>
      </c>
      <c r="BC226" s="170">
        <v>2132482.2200000002</v>
      </c>
      <c r="BD226" s="2">
        <f t="shared" si="77"/>
        <v>0</v>
      </c>
    </row>
    <row r="227" spans="1:56" ht="12" x14ac:dyDescent="0.2">
      <c r="A227" s="4">
        <v>761</v>
      </c>
      <c r="B227" s="4">
        <v>1</v>
      </c>
      <c r="C227" s="2" t="s">
        <v>228</v>
      </c>
      <c r="D227" s="3">
        <v>0</v>
      </c>
      <c r="E227" s="3">
        <v>0</v>
      </c>
      <c r="F227" s="227">
        <f t="shared" si="66"/>
        <v>2798200</v>
      </c>
      <c r="G227" s="227">
        <f t="shared" si="67"/>
        <v>1250073</v>
      </c>
      <c r="H227" s="227">
        <f t="shared" si="68"/>
        <v>0</v>
      </c>
      <c r="I227" s="227">
        <f t="shared" si="69"/>
        <v>1970750</v>
      </c>
      <c r="J227" s="227">
        <f t="shared" si="70"/>
        <v>319061</v>
      </c>
      <c r="K227" s="227">
        <f t="shared" si="71"/>
        <v>2168003</v>
      </c>
      <c r="L227" s="227">
        <f t="shared" si="72"/>
        <v>120488</v>
      </c>
      <c r="M227" s="3">
        <f t="shared" si="73"/>
        <v>0</v>
      </c>
      <c r="N227" s="227">
        <f t="shared" si="74"/>
        <v>0</v>
      </c>
      <c r="O227" s="142">
        <f t="shared" si="75"/>
        <v>8626575</v>
      </c>
      <c r="P227" s="3">
        <f t="shared" si="59"/>
        <v>4578302</v>
      </c>
      <c r="Q227" s="3">
        <f t="shared" si="60"/>
        <v>1970750</v>
      </c>
      <c r="R227" s="3">
        <f t="shared" si="61"/>
        <v>319061</v>
      </c>
      <c r="S227" s="3">
        <f t="shared" si="62"/>
        <v>2288491</v>
      </c>
      <c r="T227" s="3">
        <f t="shared" si="63"/>
        <v>0</v>
      </c>
      <c r="U227" s="3">
        <f>IF($A$5=1,IF($P227=0,0,ROUND(Q227/$P227*$E227,2)),Credits!D226)+Credits!J226</f>
        <v>24384.42</v>
      </c>
      <c r="V227" s="3">
        <f>IF($A$5=1,IF($P227=0,0,ROUND(R227/$P227*$E227,2)),Credits!E226)+Credits!K226</f>
        <v>3950.29</v>
      </c>
      <c r="W227" s="3">
        <f>IF($A$5=1,IF($P227=0,0,ROUND(S227/$P227*$E227,2)),Credits!F226)+Credits!L226</f>
        <v>28266.13</v>
      </c>
      <c r="X227" s="3">
        <f>IF($A$5=1,IF($P227=0,0,ROUND(T227/$P227*$E227,2)),Credits!G226)+Credits!M226</f>
        <v>0</v>
      </c>
      <c r="Y227" s="3">
        <f t="shared" si="64"/>
        <v>56600.84</v>
      </c>
      <c r="AC227" s="4"/>
      <c r="AD227" s="4"/>
      <c r="AE227" s="2">
        <f t="shared" si="65"/>
        <v>0</v>
      </c>
      <c r="AF227" s="170" t="s">
        <v>1120</v>
      </c>
      <c r="AG227" s="175">
        <v>761</v>
      </c>
      <c r="AH227" s="175">
        <v>1</v>
      </c>
      <c r="AI227" s="175">
        <v>1</v>
      </c>
      <c r="AJ227" s="176">
        <v>2798200</v>
      </c>
      <c r="AK227" s="176">
        <v>0</v>
      </c>
      <c r="AL227" s="176">
        <v>1250073</v>
      </c>
      <c r="AM227" s="176">
        <v>0</v>
      </c>
      <c r="AN227" s="177">
        <v>0</v>
      </c>
      <c r="AO227" s="177">
        <v>0</v>
      </c>
      <c r="AP227" s="177">
        <v>1970750</v>
      </c>
      <c r="AQ227" s="177">
        <v>0</v>
      </c>
      <c r="AR227" s="177">
        <v>319061</v>
      </c>
      <c r="AS227" s="177">
        <v>0</v>
      </c>
      <c r="AT227" s="178">
        <v>2168003</v>
      </c>
      <c r="AU227" s="178">
        <v>0</v>
      </c>
      <c r="AV227" s="178">
        <v>120488</v>
      </c>
      <c r="AW227" s="179">
        <v>0</v>
      </c>
      <c r="AX227" s="180">
        <v>0</v>
      </c>
      <c r="AY227" s="180">
        <v>0</v>
      </c>
      <c r="AZ227" s="180">
        <v>0</v>
      </c>
      <c r="BA227" s="180">
        <v>0</v>
      </c>
      <c r="BB227" s="170">
        <f t="shared" si="76"/>
        <v>8626575</v>
      </c>
      <c r="BC227" s="170">
        <v>8626575</v>
      </c>
      <c r="BD227" s="2">
        <f t="shared" si="77"/>
        <v>0</v>
      </c>
    </row>
    <row r="228" spans="1:56" ht="12" x14ac:dyDescent="0.2">
      <c r="A228" s="4">
        <v>763</v>
      </c>
      <c r="B228" s="4">
        <v>1</v>
      </c>
      <c r="C228" s="2" t="s">
        <v>229</v>
      </c>
      <c r="D228" s="3">
        <v>0</v>
      </c>
      <c r="E228" s="3">
        <v>0</v>
      </c>
      <c r="F228" s="227">
        <f t="shared" si="66"/>
        <v>0</v>
      </c>
      <c r="G228" s="227">
        <f t="shared" si="67"/>
        <v>171921</v>
      </c>
      <c r="H228" s="227">
        <f t="shared" si="68"/>
        <v>0</v>
      </c>
      <c r="I228" s="227">
        <f t="shared" si="69"/>
        <v>142566</v>
      </c>
      <c r="J228" s="227">
        <f t="shared" si="70"/>
        <v>37094</v>
      </c>
      <c r="K228" s="227">
        <f t="shared" si="71"/>
        <v>971564</v>
      </c>
      <c r="L228" s="227">
        <f t="shared" si="72"/>
        <v>0</v>
      </c>
      <c r="M228" s="3">
        <f t="shared" si="73"/>
        <v>0</v>
      </c>
      <c r="N228" s="227">
        <f t="shared" si="74"/>
        <v>0</v>
      </c>
      <c r="O228" s="142">
        <f t="shared" si="75"/>
        <v>1323145</v>
      </c>
      <c r="P228" s="3">
        <f t="shared" si="59"/>
        <v>1151224</v>
      </c>
      <c r="Q228" s="3">
        <f t="shared" si="60"/>
        <v>142566</v>
      </c>
      <c r="R228" s="3">
        <f t="shared" si="61"/>
        <v>37094</v>
      </c>
      <c r="S228" s="3">
        <f t="shared" si="62"/>
        <v>971564</v>
      </c>
      <c r="T228" s="3">
        <f t="shared" si="63"/>
        <v>0</v>
      </c>
      <c r="U228" s="3">
        <f>IF($A$5=1,IF($P228=0,0,ROUND(Q228/$P228*$E228,2)),Credits!D227)+Credits!J227</f>
        <v>2059.23</v>
      </c>
      <c r="V228" s="3">
        <f>IF($A$5=1,IF($P228=0,0,ROUND(R228/$P228*$E228,2)),Credits!E227)+Credits!K227</f>
        <v>535.93999999999994</v>
      </c>
      <c r="W228" s="3">
        <f>IF($A$5=1,IF($P228=0,0,ROUND(S228/$P228*$E228,2)),Credits!F227)+Credits!L227</f>
        <v>14034.330000000002</v>
      </c>
      <c r="X228" s="3">
        <f>IF($A$5=1,IF($P228=0,0,ROUND(T228/$P228*$E228,2)),Credits!G227)+Credits!M227</f>
        <v>0</v>
      </c>
      <c r="Y228" s="3">
        <f t="shared" si="64"/>
        <v>16629.5</v>
      </c>
      <c r="AC228" s="4"/>
      <c r="AD228" s="4"/>
      <c r="AE228" s="2">
        <f t="shared" si="65"/>
        <v>0</v>
      </c>
      <c r="AF228" s="170" t="s">
        <v>1120</v>
      </c>
      <c r="AG228" s="175">
        <v>763</v>
      </c>
      <c r="AH228" s="175">
        <v>1</v>
      </c>
      <c r="AI228" s="175">
        <v>1</v>
      </c>
      <c r="AJ228" s="176">
        <v>0</v>
      </c>
      <c r="AK228" s="176">
        <v>0</v>
      </c>
      <c r="AL228" s="176">
        <v>171921</v>
      </c>
      <c r="AM228" s="176">
        <v>0</v>
      </c>
      <c r="AN228" s="177">
        <v>0</v>
      </c>
      <c r="AO228" s="177">
        <v>0</v>
      </c>
      <c r="AP228" s="177">
        <v>142566</v>
      </c>
      <c r="AQ228" s="177">
        <v>0</v>
      </c>
      <c r="AR228" s="177">
        <v>37094</v>
      </c>
      <c r="AS228" s="177">
        <v>0</v>
      </c>
      <c r="AT228" s="178">
        <v>971564</v>
      </c>
      <c r="AU228" s="178">
        <v>0</v>
      </c>
      <c r="AV228" s="178">
        <v>0</v>
      </c>
      <c r="AW228" s="179">
        <v>0</v>
      </c>
      <c r="AX228" s="180">
        <v>0</v>
      </c>
      <c r="AY228" s="180">
        <v>0</v>
      </c>
      <c r="AZ228" s="180">
        <v>0</v>
      </c>
      <c r="BA228" s="180">
        <v>0</v>
      </c>
      <c r="BB228" s="170">
        <f t="shared" si="76"/>
        <v>1323145</v>
      </c>
      <c r="BC228" s="170">
        <v>1323144.46</v>
      </c>
      <c r="BD228" s="2">
        <f t="shared" si="77"/>
        <v>0.5400000000372529</v>
      </c>
    </row>
    <row r="229" spans="1:56" ht="12" x14ac:dyDescent="0.2">
      <c r="A229" s="4">
        <v>768</v>
      </c>
      <c r="B229" s="4">
        <v>1</v>
      </c>
      <c r="C229" s="2" t="s">
        <v>230</v>
      </c>
      <c r="D229" s="3">
        <v>0</v>
      </c>
      <c r="E229" s="3">
        <v>0</v>
      </c>
      <c r="F229" s="227">
        <f t="shared" si="66"/>
        <v>157129.76999999999</v>
      </c>
      <c r="G229" s="227">
        <f t="shared" si="67"/>
        <v>13610.07</v>
      </c>
      <c r="H229" s="227">
        <f t="shared" si="68"/>
        <v>0</v>
      </c>
      <c r="I229" s="227">
        <f t="shared" si="69"/>
        <v>108883.22</v>
      </c>
      <c r="J229" s="227">
        <f t="shared" si="70"/>
        <v>13657.64</v>
      </c>
      <c r="K229" s="227">
        <f t="shared" si="71"/>
        <v>388119.55</v>
      </c>
      <c r="L229" s="227">
        <f t="shared" si="72"/>
        <v>30049</v>
      </c>
      <c r="M229" s="3">
        <f t="shared" si="73"/>
        <v>0</v>
      </c>
      <c r="N229" s="227">
        <f t="shared" si="74"/>
        <v>0</v>
      </c>
      <c r="O229" s="142">
        <f t="shared" si="75"/>
        <v>711449.25</v>
      </c>
      <c r="P229" s="3">
        <f t="shared" si="59"/>
        <v>540709.40999999992</v>
      </c>
      <c r="Q229" s="3">
        <f t="shared" si="60"/>
        <v>108883.22</v>
      </c>
      <c r="R229" s="3">
        <f t="shared" si="61"/>
        <v>13657.64</v>
      </c>
      <c r="S229" s="3">
        <f t="shared" si="62"/>
        <v>418168.55</v>
      </c>
      <c r="T229" s="3">
        <f t="shared" si="63"/>
        <v>0</v>
      </c>
      <c r="U229" s="3">
        <f>IF($A$5=1,IF($P229=0,0,ROUND(Q229/$P229*$E229,2)),Credits!D228)+Credits!J228</f>
        <v>3077.95</v>
      </c>
      <c r="V229" s="3">
        <f>IF($A$5=1,IF($P229=0,0,ROUND(R229/$P229*$E229,2)),Credits!E228)+Credits!K228</f>
        <v>386.34</v>
      </c>
      <c r="W229" s="3">
        <f>IF($A$5=1,IF($P229=0,0,ROUND(S229/$P229*$E229,2)),Credits!F228)+Credits!L228</f>
        <v>11819.619999999999</v>
      </c>
      <c r="X229" s="3">
        <f>IF($A$5=1,IF($P229=0,0,ROUND(T229/$P229*$E229,2)),Credits!G228)+Credits!M228</f>
        <v>0</v>
      </c>
      <c r="Y229" s="3">
        <f t="shared" si="64"/>
        <v>15283.91</v>
      </c>
      <c r="AC229" s="4"/>
      <c r="AD229" s="4"/>
      <c r="AE229" s="2">
        <f t="shared" si="65"/>
        <v>0</v>
      </c>
      <c r="AF229" s="170" t="s">
        <v>1120</v>
      </c>
      <c r="AG229" s="175">
        <v>768</v>
      </c>
      <c r="AH229" s="175">
        <v>1</v>
      </c>
      <c r="AI229" s="175">
        <v>1</v>
      </c>
      <c r="AJ229" s="176">
        <v>157129.76999999999</v>
      </c>
      <c r="AK229" s="176">
        <v>0</v>
      </c>
      <c r="AL229" s="176">
        <v>13610.07</v>
      </c>
      <c r="AM229" s="176">
        <v>0</v>
      </c>
      <c r="AN229" s="177">
        <v>0</v>
      </c>
      <c r="AO229" s="177">
        <v>0</v>
      </c>
      <c r="AP229" s="177">
        <v>108883.22</v>
      </c>
      <c r="AQ229" s="177">
        <v>0</v>
      </c>
      <c r="AR229" s="177">
        <v>13657.64</v>
      </c>
      <c r="AS229" s="177">
        <v>0</v>
      </c>
      <c r="AT229" s="178">
        <v>388119.55</v>
      </c>
      <c r="AU229" s="178">
        <v>0</v>
      </c>
      <c r="AV229" s="178">
        <v>30049</v>
      </c>
      <c r="AW229" s="179">
        <v>0</v>
      </c>
      <c r="AX229" s="180">
        <v>0</v>
      </c>
      <c r="AY229" s="180">
        <v>0</v>
      </c>
      <c r="AZ229" s="180">
        <v>0</v>
      </c>
      <c r="BA229" s="180">
        <v>0</v>
      </c>
      <c r="BB229" s="170">
        <f t="shared" si="76"/>
        <v>711449.25</v>
      </c>
      <c r="BC229" s="170">
        <v>711449.25</v>
      </c>
      <c r="BD229" s="2">
        <f t="shared" si="77"/>
        <v>0</v>
      </c>
    </row>
    <row r="230" spans="1:56" ht="12" x14ac:dyDescent="0.2">
      <c r="A230" s="4">
        <v>771</v>
      </c>
      <c r="B230" s="4">
        <v>1</v>
      </c>
      <c r="C230" s="2" t="s">
        <v>232</v>
      </c>
      <c r="D230" s="3">
        <v>0</v>
      </c>
      <c r="E230" s="3">
        <v>0</v>
      </c>
      <c r="F230" s="227">
        <f t="shared" si="66"/>
        <v>497113.26</v>
      </c>
      <c r="G230" s="227">
        <f t="shared" si="67"/>
        <v>3459.54</v>
      </c>
      <c r="H230" s="227">
        <f t="shared" si="68"/>
        <v>0</v>
      </c>
      <c r="I230" s="227">
        <f t="shared" si="69"/>
        <v>102591.05</v>
      </c>
      <c r="J230" s="227">
        <f t="shared" si="70"/>
        <v>23100.49</v>
      </c>
      <c r="K230" s="227">
        <f t="shared" si="71"/>
        <v>0</v>
      </c>
      <c r="L230" s="227">
        <f t="shared" si="72"/>
        <v>0</v>
      </c>
      <c r="M230" s="3">
        <f t="shared" si="73"/>
        <v>0</v>
      </c>
      <c r="N230" s="227">
        <f t="shared" si="74"/>
        <v>0</v>
      </c>
      <c r="O230" s="142">
        <f t="shared" si="75"/>
        <v>626264.34</v>
      </c>
      <c r="P230" s="3">
        <f t="shared" si="59"/>
        <v>125691.54000000001</v>
      </c>
      <c r="Q230" s="3">
        <f t="shared" si="60"/>
        <v>102591.05</v>
      </c>
      <c r="R230" s="3">
        <f t="shared" si="61"/>
        <v>23100.49</v>
      </c>
      <c r="S230" s="3">
        <f t="shared" si="62"/>
        <v>0</v>
      </c>
      <c r="T230" s="3">
        <f t="shared" si="63"/>
        <v>0</v>
      </c>
      <c r="U230" s="3">
        <f>IF($A$5=1,IF($P230=0,0,ROUND(Q230/$P230*$E230,2)),Credits!D229)+Credits!J229</f>
        <v>4692.9599999999991</v>
      </c>
      <c r="V230" s="3">
        <f>IF($A$5=1,IF($P230=0,0,ROUND(R230/$P230*$E230,2)),Credits!E229)+Credits!K229</f>
        <v>1056.9299999999998</v>
      </c>
      <c r="W230" s="3">
        <f>IF($A$5=1,IF($P230=0,0,ROUND(S230/$P230*$E230,2)),Credits!F229)+Credits!L229</f>
        <v>0</v>
      </c>
      <c r="X230" s="3">
        <f>IF($A$5=1,IF($P230=0,0,ROUND(T230/$P230*$E230,2)),Credits!G229)+Credits!M229</f>
        <v>0</v>
      </c>
      <c r="Y230" s="3">
        <f t="shared" si="64"/>
        <v>5749.8899999999994</v>
      </c>
      <c r="AC230" s="4"/>
      <c r="AD230" s="4"/>
      <c r="AE230" s="2">
        <f t="shared" si="65"/>
        <v>0</v>
      </c>
      <c r="AF230" s="170" t="s">
        <v>1120</v>
      </c>
      <c r="AG230" s="175">
        <v>771</v>
      </c>
      <c r="AH230" s="175">
        <v>1</v>
      </c>
      <c r="AI230" s="175">
        <v>1</v>
      </c>
      <c r="AJ230" s="176">
        <v>497113.26</v>
      </c>
      <c r="AK230" s="176">
        <v>0</v>
      </c>
      <c r="AL230" s="176">
        <v>3459.54</v>
      </c>
      <c r="AM230" s="176">
        <v>0</v>
      </c>
      <c r="AN230" s="177">
        <v>0</v>
      </c>
      <c r="AO230" s="177">
        <v>0</v>
      </c>
      <c r="AP230" s="177">
        <v>102591.05</v>
      </c>
      <c r="AQ230" s="177">
        <v>0</v>
      </c>
      <c r="AR230" s="177">
        <v>23100.49</v>
      </c>
      <c r="AS230" s="177">
        <v>0</v>
      </c>
      <c r="AT230" s="178">
        <v>0</v>
      </c>
      <c r="AU230" s="178">
        <v>0</v>
      </c>
      <c r="AV230" s="178">
        <v>0</v>
      </c>
      <c r="AW230" s="179">
        <v>0</v>
      </c>
      <c r="AX230" s="180">
        <v>0</v>
      </c>
      <c r="AY230" s="180">
        <v>0</v>
      </c>
      <c r="AZ230" s="180">
        <v>0</v>
      </c>
      <c r="BA230" s="180">
        <v>0</v>
      </c>
      <c r="BB230" s="170">
        <f t="shared" si="76"/>
        <v>626264.34</v>
      </c>
      <c r="BC230" s="170">
        <v>626264.34</v>
      </c>
      <c r="BD230" s="2">
        <f t="shared" si="77"/>
        <v>0</v>
      </c>
    </row>
    <row r="231" spans="1:56" ht="12" x14ac:dyDescent="0.2">
      <c r="A231" s="4">
        <v>775</v>
      </c>
      <c r="B231" s="4">
        <v>1</v>
      </c>
      <c r="C231" s="2" t="s">
        <v>1195</v>
      </c>
      <c r="D231" s="3">
        <v>0</v>
      </c>
      <c r="E231" s="3">
        <v>0</v>
      </c>
      <c r="F231" s="227">
        <f t="shared" si="66"/>
        <v>79472</v>
      </c>
      <c r="G231" s="227">
        <f t="shared" si="67"/>
        <v>44734</v>
      </c>
      <c r="H231" s="227">
        <f t="shared" si="68"/>
        <v>0</v>
      </c>
      <c r="I231" s="227">
        <f t="shared" si="69"/>
        <v>302176</v>
      </c>
      <c r="J231" s="227">
        <f t="shared" si="70"/>
        <v>39420</v>
      </c>
      <c r="K231" s="227">
        <f t="shared" si="71"/>
        <v>799211</v>
      </c>
      <c r="L231" s="227">
        <f t="shared" si="72"/>
        <v>0</v>
      </c>
      <c r="M231" s="3">
        <f t="shared" si="73"/>
        <v>0</v>
      </c>
      <c r="N231" s="227">
        <f t="shared" si="74"/>
        <v>0</v>
      </c>
      <c r="O231" s="142">
        <f t="shared" si="75"/>
        <v>1265013</v>
      </c>
      <c r="P231" s="3">
        <f t="shared" si="59"/>
        <v>1140807</v>
      </c>
      <c r="Q231" s="3">
        <f t="shared" si="60"/>
        <v>302176</v>
      </c>
      <c r="R231" s="3">
        <f t="shared" si="61"/>
        <v>39420</v>
      </c>
      <c r="S231" s="3">
        <f t="shared" si="62"/>
        <v>799211</v>
      </c>
      <c r="T231" s="3">
        <f t="shared" si="63"/>
        <v>0</v>
      </c>
      <c r="U231" s="3">
        <f>IF($A$5=1,IF($P231=0,0,ROUND(Q231/$P231*$E231,2)),Credits!D230)+Credits!J230</f>
        <v>4650.8300000000017</v>
      </c>
      <c r="V231" s="3">
        <f>IF($A$5=1,IF($P231=0,0,ROUND(R231/$P231*$E231,2)),Credits!E230)+Credits!K230</f>
        <v>606.79999999999995</v>
      </c>
      <c r="W231" s="3">
        <f>IF($A$5=1,IF($P231=0,0,ROUND(S231/$P231*$E231,2)),Credits!F230)+Credits!L230</f>
        <v>12301.359999999999</v>
      </c>
      <c r="X231" s="3">
        <f>IF($A$5=1,IF($P231=0,0,ROUND(T231/$P231*$E231,2)),Credits!G230)+Credits!M230</f>
        <v>0</v>
      </c>
      <c r="Y231" s="3">
        <f t="shared" si="64"/>
        <v>17558.990000000002</v>
      </c>
      <c r="AC231" s="4"/>
      <c r="AD231" s="4"/>
      <c r="AE231" s="2">
        <f t="shared" si="65"/>
        <v>0</v>
      </c>
      <c r="AF231" s="170" t="s">
        <v>1120</v>
      </c>
      <c r="AG231" s="175">
        <v>775</v>
      </c>
      <c r="AH231" s="175">
        <v>1</v>
      </c>
      <c r="AI231" s="175">
        <v>1</v>
      </c>
      <c r="AJ231" s="176">
        <v>79472</v>
      </c>
      <c r="AK231" s="176">
        <v>0</v>
      </c>
      <c r="AL231" s="176">
        <v>44734</v>
      </c>
      <c r="AM231" s="176">
        <v>0</v>
      </c>
      <c r="AN231" s="177">
        <v>0</v>
      </c>
      <c r="AO231" s="177">
        <v>0</v>
      </c>
      <c r="AP231" s="177">
        <v>302176</v>
      </c>
      <c r="AQ231" s="177">
        <v>0</v>
      </c>
      <c r="AR231" s="177">
        <v>39420</v>
      </c>
      <c r="AS231" s="177">
        <v>0</v>
      </c>
      <c r="AT231" s="178">
        <v>799211</v>
      </c>
      <c r="AU231" s="178">
        <v>0</v>
      </c>
      <c r="AV231" s="178">
        <v>0</v>
      </c>
      <c r="AW231" s="179">
        <v>0</v>
      </c>
      <c r="AX231" s="180">
        <v>0</v>
      </c>
      <c r="AY231" s="180">
        <v>0</v>
      </c>
      <c r="AZ231" s="180">
        <v>0</v>
      </c>
      <c r="BA231" s="180">
        <v>0</v>
      </c>
      <c r="BB231" s="170">
        <f t="shared" si="76"/>
        <v>1265013</v>
      </c>
      <c r="BC231" s="170">
        <v>1265012.99</v>
      </c>
      <c r="BD231" s="2">
        <f t="shared" si="77"/>
        <v>1.0000000009313226E-2</v>
      </c>
    </row>
    <row r="232" spans="1:56" ht="12" x14ac:dyDescent="0.2">
      <c r="A232" s="4">
        <v>777</v>
      </c>
      <c r="B232" s="4">
        <v>1</v>
      </c>
      <c r="C232" s="2" t="s">
        <v>234</v>
      </c>
      <c r="D232" s="3">
        <v>0</v>
      </c>
      <c r="E232" s="3">
        <v>0</v>
      </c>
      <c r="F232" s="227">
        <f t="shared" si="66"/>
        <v>778241</v>
      </c>
      <c r="G232" s="227">
        <f t="shared" si="67"/>
        <v>54523</v>
      </c>
      <c r="H232" s="227">
        <f t="shared" si="68"/>
        <v>0</v>
      </c>
      <c r="I232" s="227">
        <f t="shared" si="69"/>
        <v>396554</v>
      </c>
      <c r="J232" s="227">
        <f t="shared" si="70"/>
        <v>71785</v>
      </c>
      <c r="K232" s="227">
        <f t="shared" si="71"/>
        <v>337892</v>
      </c>
      <c r="L232" s="227">
        <f t="shared" si="72"/>
        <v>0</v>
      </c>
      <c r="M232" s="3">
        <f t="shared" si="73"/>
        <v>0</v>
      </c>
      <c r="N232" s="227">
        <f t="shared" si="74"/>
        <v>0</v>
      </c>
      <c r="O232" s="142">
        <f t="shared" si="75"/>
        <v>1638995</v>
      </c>
      <c r="P232" s="3">
        <f t="shared" si="59"/>
        <v>806231</v>
      </c>
      <c r="Q232" s="3">
        <f t="shared" si="60"/>
        <v>396554</v>
      </c>
      <c r="R232" s="3">
        <f t="shared" si="61"/>
        <v>71785</v>
      </c>
      <c r="S232" s="3">
        <f t="shared" si="62"/>
        <v>337892</v>
      </c>
      <c r="T232" s="3">
        <f t="shared" si="63"/>
        <v>0</v>
      </c>
      <c r="U232" s="3">
        <f>IF($A$5=1,IF($P232=0,0,ROUND(Q232/$P232*$E232,2)),Credits!D231)+Credits!J231</f>
        <v>8096.64</v>
      </c>
      <c r="V232" s="3">
        <f>IF($A$5=1,IF($P232=0,0,ROUND(R232/$P232*$E232,2)),Credits!E231)+Credits!K231</f>
        <v>1466.4300000000003</v>
      </c>
      <c r="W232" s="3">
        <f>IF($A$5=1,IF($P232=0,0,ROUND(S232/$P232*$E232,2)),Credits!F231)+Credits!L231</f>
        <v>6900.5900000000011</v>
      </c>
      <c r="X232" s="3">
        <f>IF($A$5=1,IF($P232=0,0,ROUND(T232/$P232*$E232,2)),Credits!G231)+Credits!M231</f>
        <v>0</v>
      </c>
      <c r="Y232" s="3">
        <f t="shared" si="64"/>
        <v>16463.66</v>
      </c>
      <c r="AC232" s="4"/>
      <c r="AD232" s="4"/>
      <c r="AE232" s="2">
        <f t="shared" si="65"/>
        <v>0</v>
      </c>
      <c r="AF232" s="170" t="s">
        <v>1120</v>
      </c>
      <c r="AG232" s="175">
        <v>777</v>
      </c>
      <c r="AH232" s="175">
        <v>1</v>
      </c>
      <c r="AI232" s="175">
        <v>1</v>
      </c>
      <c r="AJ232" s="176">
        <v>778241</v>
      </c>
      <c r="AK232" s="176">
        <v>0</v>
      </c>
      <c r="AL232" s="176">
        <v>54523</v>
      </c>
      <c r="AM232" s="176">
        <v>0</v>
      </c>
      <c r="AN232" s="177">
        <v>0</v>
      </c>
      <c r="AO232" s="177">
        <v>0</v>
      </c>
      <c r="AP232" s="177">
        <v>396554</v>
      </c>
      <c r="AQ232" s="177">
        <v>0</v>
      </c>
      <c r="AR232" s="177">
        <v>71785</v>
      </c>
      <c r="AS232" s="177">
        <v>0</v>
      </c>
      <c r="AT232" s="178">
        <v>337892</v>
      </c>
      <c r="AU232" s="178">
        <v>0</v>
      </c>
      <c r="AV232" s="178">
        <v>0</v>
      </c>
      <c r="AW232" s="179">
        <v>0</v>
      </c>
      <c r="AX232" s="180">
        <v>0</v>
      </c>
      <c r="AY232" s="180">
        <v>0</v>
      </c>
      <c r="AZ232" s="180">
        <v>0</v>
      </c>
      <c r="BA232" s="180">
        <v>0</v>
      </c>
      <c r="BB232" s="170">
        <f t="shared" si="76"/>
        <v>1638995</v>
      </c>
      <c r="BC232" s="170">
        <v>1638994.33</v>
      </c>
      <c r="BD232" s="2">
        <f t="shared" si="77"/>
        <v>0.66999999992549419</v>
      </c>
    </row>
    <row r="233" spans="1:56" ht="12" x14ac:dyDescent="0.2">
      <c r="A233" s="4">
        <v>786</v>
      </c>
      <c r="B233" s="4">
        <v>1</v>
      </c>
      <c r="C233" s="2" t="s">
        <v>235</v>
      </c>
      <c r="D233" s="3">
        <v>0</v>
      </c>
      <c r="E233" s="3">
        <v>0</v>
      </c>
      <c r="F233" s="227">
        <f t="shared" si="66"/>
        <v>110110</v>
      </c>
      <c r="G233" s="227">
        <f t="shared" si="67"/>
        <v>13514</v>
      </c>
      <c r="H233" s="227">
        <f t="shared" si="68"/>
        <v>0</v>
      </c>
      <c r="I233" s="227">
        <f t="shared" si="69"/>
        <v>96211</v>
      </c>
      <c r="J233" s="227">
        <f t="shared" si="70"/>
        <v>49529</v>
      </c>
      <c r="K233" s="227">
        <f t="shared" si="71"/>
        <v>343264</v>
      </c>
      <c r="L233" s="227">
        <f t="shared" si="72"/>
        <v>0</v>
      </c>
      <c r="M233" s="3">
        <f t="shared" si="73"/>
        <v>0</v>
      </c>
      <c r="N233" s="227">
        <f t="shared" si="74"/>
        <v>0</v>
      </c>
      <c r="O233" s="142">
        <f t="shared" si="75"/>
        <v>612628</v>
      </c>
      <c r="P233" s="3">
        <f t="shared" si="59"/>
        <v>489004</v>
      </c>
      <c r="Q233" s="3">
        <f t="shared" si="60"/>
        <v>96211</v>
      </c>
      <c r="R233" s="3">
        <f t="shared" si="61"/>
        <v>49529</v>
      </c>
      <c r="S233" s="3">
        <f t="shared" si="62"/>
        <v>343264</v>
      </c>
      <c r="T233" s="3">
        <f t="shared" si="63"/>
        <v>0</v>
      </c>
      <c r="U233" s="3">
        <f>IF($A$5=1,IF($P233=0,0,ROUND(Q233/$P233*$E233,2)),Credits!D232)+Credits!J232</f>
        <v>6845.5599999999995</v>
      </c>
      <c r="V233" s="3">
        <f>IF($A$5=1,IF($P233=0,0,ROUND(R233/$P233*$E233,2)),Credits!E232)+Credits!K232</f>
        <v>3525.5</v>
      </c>
      <c r="W233" s="3">
        <f>IF($A$5=1,IF($P233=0,0,ROUND(S233/$P233*$E233,2)),Credits!F232)+Credits!L232</f>
        <v>24428.04</v>
      </c>
      <c r="X233" s="3">
        <f>IF($A$5=1,IF($P233=0,0,ROUND(T233/$P233*$E233,2)),Credits!G232)+Credits!M232</f>
        <v>0</v>
      </c>
      <c r="Y233" s="3">
        <f t="shared" si="64"/>
        <v>34799.1</v>
      </c>
      <c r="AC233" s="4"/>
      <c r="AD233" s="4"/>
      <c r="AE233" s="2">
        <f t="shared" si="65"/>
        <v>0</v>
      </c>
      <c r="AF233" s="170" t="s">
        <v>1120</v>
      </c>
      <c r="AG233" s="175">
        <v>786</v>
      </c>
      <c r="AH233" s="175">
        <v>1</v>
      </c>
      <c r="AI233" s="175">
        <v>1</v>
      </c>
      <c r="AJ233" s="176">
        <v>110110</v>
      </c>
      <c r="AK233" s="176">
        <v>0</v>
      </c>
      <c r="AL233" s="176">
        <v>13514</v>
      </c>
      <c r="AM233" s="176">
        <v>0</v>
      </c>
      <c r="AN233" s="177">
        <v>0</v>
      </c>
      <c r="AO233" s="177">
        <v>0</v>
      </c>
      <c r="AP233" s="177">
        <v>96211</v>
      </c>
      <c r="AQ233" s="177">
        <v>0</v>
      </c>
      <c r="AR233" s="177">
        <v>49529</v>
      </c>
      <c r="AS233" s="177">
        <v>0</v>
      </c>
      <c r="AT233" s="178">
        <v>343264</v>
      </c>
      <c r="AU233" s="178">
        <v>0</v>
      </c>
      <c r="AV233" s="178">
        <v>0</v>
      </c>
      <c r="AW233" s="179">
        <v>0</v>
      </c>
      <c r="AX233" s="180">
        <v>0</v>
      </c>
      <c r="AY233" s="180">
        <v>0</v>
      </c>
      <c r="AZ233" s="180">
        <v>0</v>
      </c>
      <c r="BA233" s="180">
        <v>0</v>
      </c>
      <c r="BB233" s="170">
        <f t="shared" si="76"/>
        <v>612628</v>
      </c>
      <c r="BC233" s="170">
        <v>612627.19999999995</v>
      </c>
      <c r="BD233" s="2">
        <f t="shared" si="77"/>
        <v>0.80000000004656613</v>
      </c>
    </row>
    <row r="234" spans="1:56" ht="12" x14ac:dyDescent="0.2">
      <c r="A234" s="4">
        <v>787</v>
      </c>
      <c r="B234" s="4">
        <v>1</v>
      </c>
      <c r="C234" s="2" t="s">
        <v>236</v>
      </c>
      <c r="D234" s="3">
        <v>0</v>
      </c>
      <c r="E234" s="3">
        <v>0</v>
      </c>
      <c r="F234" s="227">
        <f t="shared" si="66"/>
        <v>0</v>
      </c>
      <c r="G234" s="227">
        <f t="shared" si="67"/>
        <v>83134</v>
      </c>
      <c r="H234" s="227">
        <f t="shared" si="68"/>
        <v>0</v>
      </c>
      <c r="I234" s="227">
        <f t="shared" si="69"/>
        <v>123366</v>
      </c>
      <c r="J234" s="227">
        <f t="shared" si="70"/>
        <v>22887</v>
      </c>
      <c r="K234" s="227">
        <f t="shared" si="71"/>
        <v>196150</v>
      </c>
      <c r="L234" s="227">
        <f t="shared" si="72"/>
        <v>0</v>
      </c>
      <c r="M234" s="3">
        <f t="shared" si="73"/>
        <v>0</v>
      </c>
      <c r="N234" s="227">
        <f t="shared" si="74"/>
        <v>0</v>
      </c>
      <c r="O234" s="142">
        <f t="shared" si="75"/>
        <v>425537</v>
      </c>
      <c r="P234" s="3">
        <f t="shared" si="59"/>
        <v>342403</v>
      </c>
      <c r="Q234" s="3">
        <f t="shared" si="60"/>
        <v>123366</v>
      </c>
      <c r="R234" s="3">
        <f t="shared" si="61"/>
        <v>22887</v>
      </c>
      <c r="S234" s="3">
        <f t="shared" si="62"/>
        <v>196150</v>
      </c>
      <c r="T234" s="3">
        <f t="shared" si="63"/>
        <v>0</v>
      </c>
      <c r="U234" s="3">
        <f>IF($A$5=1,IF($P234=0,0,ROUND(Q234/$P234*$E234,2)),Credits!D233)+Credits!J233</f>
        <v>6639.0299999999988</v>
      </c>
      <c r="V234" s="3">
        <f>IF($A$5=1,IF($P234=0,0,ROUND(R234/$P234*$E234,2)),Credits!E233)+Credits!K233</f>
        <v>1231.81</v>
      </c>
      <c r="W234" s="3">
        <f>IF($A$5=1,IF($P234=0,0,ROUND(S234/$P234*$E234,2)),Credits!F233)+Credits!L233</f>
        <v>10556.41</v>
      </c>
      <c r="X234" s="3">
        <f>IF($A$5=1,IF($P234=0,0,ROUND(T234/$P234*$E234,2)),Credits!G233)+Credits!M233</f>
        <v>0</v>
      </c>
      <c r="Y234" s="3">
        <f t="shared" si="64"/>
        <v>18427.25</v>
      </c>
      <c r="AC234" s="4"/>
      <c r="AD234" s="4"/>
      <c r="AE234" s="2">
        <f t="shared" si="65"/>
        <v>0</v>
      </c>
      <c r="AF234" s="170" t="s">
        <v>1120</v>
      </c>
      <c r="AG234" s="175">
        <v>787</v>
      </c>
      <c r="AH234" s="175">
        <v>1</v>
      </c>
      <c r="AI234" s="175">
        <v>1</v>
      </c>
      <c r="AJ234" s="176">
        <v>0</v>
      </c>
      <c r="AK234" s="176">
        <v>0</v>
      </c>
      <c r="AL234" s="176">
        <v>83134</v>
      </c>
      <c r="AM234" s="176">
        <v>0</v>
      </c>
      <c r="AN234" s="177">
        <v>0</v>
      </c>
      <c r="AO234" s="177">
        <v>0</v>
      </c>
      <c r="AP234" s="177">
        <v>123366</v>
      </c>
      <c r="AQ234" s="177">
        <v>0</v>
      </c>
      <c r="AR234" s="177">
        <v>22887</v>
      </c>
      <c r="AS234" s="177">
        <v>0</v>
      </c>
      <c r="AT234" s="178">
        <v>196150</v>
      </c>
      <c r="AU234" s="178">
        <v>0</v>
      </c>
      <c r="AV234" s="178">
        <v>0</v>
      </c>
      <c r="AW234" s="179">
        <v>0</v>
      </c>
      <c r="AX234" s="180">
        <v>0</v>
      </c>
      <c r="AY234" s="180">
        <v>0</v>
      </c>
      <c r="AZ234" s="180">
        <v>0</v>
      </c>
      <c r="BA234" s="180">
        <v>0</v>
      </c>
      <c r="BB234" s="170">
        <f t="shared" si="76"/>
        <v>425537</v>
      </c>
      <c r="BC234" s="170">
        <v>425536.35</v>
      </c>
      <c r="BD234" s="2">
        <f t="shared" si="77"/>
        <v>0.65000000002328306</v>
      </c>
    </row>
    <row r="235" spans="1:56" ht="12" x14ac:dyDescent="0.2">
      <c r="A235" s="4">
        <v>801</v>
      </c>
      <c r="B235" s="4">
        <v>1</v>
      </c>
      <c r="C235" s="2" t="s">
        <v>237</v>
      </c>
      <c r="D235" s="3">
        <v>0</v>
      </c>
      <c r="E235" s="3">
        <v>0</v>
      </c>
      <c r="F235" s="227">
        <f t="shared" si="66"/>
        <v>76828.55</v>
      </c>
      <c r="G235" s="227">
        <f t="shared" si="67"/>
        <v>2654.94</v>
      </c>
      <c r="H235" s="227">
        <f t="shared" si="68"/>
        <v>0</v>
      </c>
      <c r="I235" s="227">
        <f t="shared" si="69"/>
        <v>36982.33</v>
      </c>
      <c r="J235" s="227">
        <f t="shared" si="70"/>
        <v>12755.24</v>
      </c>
      <c r="K235" s="227">
        <f t="shared" si="71"/>
        <v>0</v>
      </c>
      <c r="L235" s="227">
        <f t="shared" si="72"/>
        <v>0</v>
      </c>
      <c r="M235" s="3">
        <f t="shared" si="73"/>
        <v>0</v>
      </c>
      <c r="N235" s="227">
        <f t="shared" si="74"/>
        <v>0</v>
      </c>
      <c r="O235" s="142">
        <f t="shared" si="75"/>
        <v>129221.06000000001</v>
      </c>
      <c r="P235" s="3">
        <f t="shared" si="59"/>
        <v>49737.57</v>
      </c>
      <c r="Q235" s="3">
        <f t="shared" si="60"/>
        <v>36982.33</v>
      </c>
      <c r="R235" s="3">
        <f t="shared" si="61"/>
        <v>12755.24</v>
      </c>
      <c r="S235" s="3">
        <f t="shared" si="62"/>
        <v>0</v>
      </c>
      <c r="T235" s="3">
        <f t="shared" si="63"/>
        <v>0</v>
      </c>
      <c r="U235" s="3">
        <f>IF($A$5=1,IF($P235=0,0,ROUND(Q235/$P235*$E235,2)),Credits!D234)+Credits!J234</f>
        <v>3294.44</v>
      </c>
      <c r="V235" s="3">
        <f>IF($A$5=1,IF($P235=0,0,ROUND(R235/$P235*$E235,2)),Credits!E234)+Credits!K234</f>
        <v>1136.7</v>
      </c>
      <c r="W235" s="3">
        <f>IF($A$5=1,IF($P235=0,0,ROUND(S235/$P235*$E235,2)),Credits!F234)+Credits!L234</f>
        <v>0</v>
      </c>
      <c r="X235" s="3">
        <f>IF($A$5=1,IF($P235=0,0,ROUND(T235/$P235*$E235,2)),Credits!G234)+Credits!M234</f>
        <v>0</v>
      </c>
      <c r="Y235" s="3">
        <f t="shared" si="64"/>
        <v>4431.1400000000003</v>
      </c>
      <c r="AC235" s="4"/>
      <c r="AD235" s="4"/>
      <c r="AE235" s="2">
        <f t="shared" si="65"/>
        <v>0</v>
      </c>
      <c r="AF235" s="170" t="s">
        <v>1120</v>
      </c>
      <c r="AG235" s="175">
        <v>801</v>
      </c>
      <c r="AH235" s="175">
        <v>1</v>
      </c>
      <c r="AI235" s="175">
        <v>1</v>
      </c>
      <c r="AJ235" s="176">
        <v>76828.55</v>
      </c>
      <c r="AK235" s="176">
        <v>0</v>
      </c>
      <c r="AL235" s="176">
        <v>2654.94</v>
      </c>
      <c r="AM235" s="176">
        <v>0</v>
      </c>
      <c r="AN235" s="177">
        <v>0</v>
      </c>
      <c r="AO235" s="177">
        <v>0</v>
      </c>
      <c r="AP235" s="177">
        <v>36982.33</v>
      </c>
      <c r="AQ235" s="177">
        <v>0</v>
      </c>
      <c r="AR235" s="177">
        <v>12755.24</v>
      </c>
      <c r="AS235" s="177">
        <v>0</v>
      </c>
      <c r="AT235" s="178">
        <v>0</v>
      </c>
      <c r="AU235" s="178">
        <v>0</v>
      </c>
      <c r="AV235" s="178">
        <v>0</v>
      </c>
      <c r="AW235" s="179">
        <v>0</v>
      </c>
      <c r="AX235" s="180">
        <v>0</v>
      </c>
      <c r="AY235" s="180">
        <v>0</v>
      </c>
      <c r="AZ235" s="180">
        <v>0</v>
      </c>
      <c r="BA235" s="180">
        <v>0</v>
      </c>
      <c r="BB235" s="170">
        <f t="shared" si="76"/>
        <v>129221.06000000001</v>
      </c>
      <c r="BC235" s="170">
        <v>129221.06</v>
      </c>
      <c r="BD235" s="2">
        <f t="shared" si="77"/>
        <v>0</v>
      </c>
    </row>
    <row r="236" spans="1:56" ht="12" x14ac:dyDescent="0.2">
      <c r="A236" s="4">
        <v>803</v>
      </c>
      <c r="B236" s="4">
        <v>1</v>
      </c>
      <c r="C236" s="2" t="s">
        <v>238</v>
      </c>
      <c r="D236" s="3">
        <v>0</v>
      </c>
      <c r="E236" s="3">
        <v>0</v>
      </c>
      <c r="F236" s="227">
        <f t="shared" si="66"/>
        <v>399124.74</v>
      </c>
      <c r="G236" s="227">
        <f t="shared" si="67"/>
        <v>15599.39</v>
      </c>
      <c r="H236" s="227">
        <f t="shared" si="68"/>
        <v>0</v>
      </c>
      <c r="I236" s="227">
        <f t="shared" si="69"/>
        <v>143590.84</v>
      </c>
      <c r="J236" s="227">
        <f t="shared" si="70"/>
        <v>29949.7</v>
      </c>
      <c r="K236" s="227">
        <f t="shared" si="71"/>
        <v>0</v>
      </c>
      <c r="L236" s="227">
        <f t="shared" si="72"/>
        <v>0</v>
      </c>
      <c r="M236" s="3">
        <f t="shared" si="73"/>
        <v>0</v>
      </c>
      <c r="N236" s="227">
        <f t="shared" si="74"/>
        <v>0</v>
      </c>
      <c r="O236" s="142">
        <f t="shared" si="75"/>
        <v>588264.66999999993</v>
      </c>
      <c r="P236" s="3">
        <f t="shared" si="59"/>
        <v>173540.54</v>
      </c>
      <c r="Q236" s="3">
        <f t="shared" si="60"/>
        <v>143590.84</v>
      </c>
      <c r="R236" s="3">
        <f t="shared" si="61"/>
        <v>29949.7</v>
      </c>
      <c r="S236" s="3">
        <f t="shared" si="62"/>
        <v>0</v>
      </c>
      <c r="T236" s="3">
        <f t="shared" si="63"/>
        <v>0</v>
      </c>
      <c r="U236" s="3">
        <f>IF($A$5=1,IF($P236=0,0,ROUND(Q236/$P236*$E236,2)),Credits!D235)+Credits!J235</f>
        <v>11384.74</v>
      </c>
      <c r="V236" s="3">
        <f>IF($A$5=1,IF($P236=0,0,ROUND(R236/$P236*$E236,2)),Credits!E235)+Credits!K235</f>
        <v>2380.73</v>
      </c>
      <c r="W236" s="3">
        <f>IF($A$5=1,IF($P236=0,0,ROUND(S236/$P236*$E236,2)),Credits!F235)+Credits!L235</f>
        <v>0</v>
      </c>
      <c r="X236" s="3">
        <f>IF($A$5=1,IF($P236=0,0,ROUND(T236/$P236*$E236,2)),Credits!G235)+Credits!M235</f>
        <v>0</v>
      </c>
      <c r="Y236" s="3">
        <f t="shared" si="64"/>
        <v>13765.47</v>
      </c>
      <c r="AC236" s="4"/>
      <c r="AD236" s="4"/>
      <c r="AE236" s="2">
        <f t="shared" si="65"/>
        <v>0</v>
      </c>
      <c r="AF236" s="170" t="s">
        <v>1120</v>
      </c>
      <c r="AG236" s="175">
        <v>803</v>
      </c>
      <c r="AH236" s="175">
        <v>1</v>
      </c>
      <c r="AI236" s="175">
        <v>1</v>
      </c>
      <c r="AJ236" s="176">
        <v>399124.74</v>
      </c>
      <c r="AK236" s="176">
        <v>0</v>
      </c>
      <c r="AL236" s="176">
        <v>15599.39</v>
      </c>
      <c r="AM236" s="176">
        <v>0</v>
      </c>
      <c r="AN236" s="177">
        <v>0</v>
      </c>
      <c r="AO236" s="177">
        <v>0</v>
      </c>
      <c r="AP236" s="177">
        <v>143590.84</v>
      </c>
      <c r="AQ236" s="177">
        <v>0</v>
      </c>
      <c r="AR236" s="177">
        <v>29949.7</v>
      </c>
      <c r="AS236" s="177">
        <v>0</v>
      </c>
      <c r="AT236" s="178">
        <v>0</v>
      </c>
      <c r="AU236" s="178">
        <v>0</v>
      </c>
      <c r="AV236" s="178">
        <v>0</v>
      </c>
      <c r="AW236" s="179">
        <v>0</v>
      </c>
      <c r="AX236" s="180">
        <v>0</v>
      </c>
      <c r="AY236" s="180">
        <v>0</v>
      </c>
      <c r="AZ236" s="180">
        <v>0</v>
      </c>
      <c r="BA236" s="180">
        <v>0</v>
      </c>
      <c r="BB236" s="170">
        <f t="shared" si="76"/>
        <v>588264.66999999993</v>
      </c>
      <c r="BC236" s="170">
        <v>588264.67000000004</v>
      </c>
      <c r="BD236" s="2">
        <f t="shared" si="77"/>
        <v>0</v>
      </c>
    </row>
    <row r="237" spans="1:56" ht="12" x14ac:dyDescent="0.2">
      <c r="A237" s="4">
        <v>811</v>
      </c>
      <c r="B237" s="4">
        <v>1</v>
      </c>
      <c r="C237" s="2" t="s">
        <v>239</v>
      </c>
      <c r="D237" s="3">
        <v>0</v>
      </c>
      <c r="E237" s="3">
        <v>0</v>
      </c>
      <c r="F237" s="227">
        <f t="shared" si="66"/>
        <v>680704</v>
      </c>
      <c r="G237" s="227">
        <f t="shared" si="67"/>
        <v>60662</v>
      </c>
      <c r="H237" s="227">
        <f t="shared" si="68"/>
        <v>0</v>
      </c>
      <c r="I237" s="227">
        <f t="shared" si="69"/>
        <v>137678</v>
      </c>
      <c r="J237" s="227">
        <f t="shared" si="70"/>
        <v>72698</v>
      </c>
      <c r="K237" s="227">
        <f t="shared" si="71"/>
        <v>340357</v>
      </c>
      <c r="L237" s="227">
        <f t="shared" si="72"/>
        <v>90573</v>
      </c>
      <c r="M237" s="3">
        <f t="shared" si="73"/>
        <v>0</v>
      </c>
      <c r="N237" s="227">
        <f t="shared" si="74"/>
        <v>0</v>
      </c>
      <c r="O237" s="142">
        <f t="shared" si="75"/>
        <v>1382672</v>
      </c>
      <c r="P237" s="3">
        <f t="shared" si="59"/>
        <v>641306</v>
      </c>
      <c r="Q237" s="3">
        <f t="shared" si="60"/>
        <v>137678</v>
      </c>
      <c r="R237" s="3">
        <f t="shared" si="61"/>
        <v>72698</v>
      </c>
      <c r="S237" s="3">
        <f t="shared" si="62"/>
        <v>430930</v>
      </c>
      <c r="T237" s="3">
        <f t="shared" si="63"/>
        <v>0</v>
      </c>
      <c r="U237" s="3">
        <f>IF($A$5=1,IF($P237=0,0,ROUND(Q237/$P237*$E237,2)),Credits!D236)+Credits!J236</f>
        <v>2625.24</v>
      </c>
      <c r="V237" s="3">
        <f>IF($A$5=1,IF($P237=0,0,ROUND(R237/$P237*$E237,2)),Credits!E236)+Credits!K236</f>
        <v>1386.21</v>
      </c>
      <c r="W237" s="3">
        <f>IF($A$5=1,IF($P237=0,0,ROUND(S237/$P237*$E237,2)),Credits!F236)+Credits!L236</f>
        <v>8216.89</v>
      </c>
      <c r="X237" s="3">
        <f>IF($A$5=1,IF($P237=0,0,ROUND(T237/$P237*$E237,2)),Credits!G236)+Credits!M236</f>
        <v>0</v>
      </c>
      <c r="Y237" s="3">
        <f t="shared" si="64"/>
        <v>12228.34</v>
      </c>
      <c r="AC237" s="4"/>
      <c r="AD237" s="4"/>
      <c r="AE237" s="2">
        <f t="shared" si="65"/>
        <v>0</v>
      </c>
      <c r="AF237" s="170" t="s">
        <v>1120</v>
      </c>
      <c r="AG237" s="175">
        <v>811</v>
      </c>
      <c r="AH237" s="175">
        <v>1</v>
      </c>
      <c r="AI237" s="175">
        <v>1</v>
      </c>
      <c r="AJ237" s="176">
        <v>680704</v>
      </c>
      <c r="AK237" s="176">
        <v>0</v>
      </c>
      <c r="AL237" s="176">
        <v>60662</v>
      </c>
      <c r="AM237" s="176">
        <v>0</v>
      </c>
      <c r="AN237" s="177">
        <v>0</v>
      </c>
      <c r="AO237" s="177">
        <v>0</v>
      </c>
      <c r="AP237" s="177">
        <v>137678</v>
      </c>
      <c r="AQ237" s="177">
        <v>0</v>
      </c>
      <c r="AR237" s="177">
        <v>72698</v>
      </c>
      <c r="AS237" s="177">
        <v>0</v>
      </c>
      <c r="AT237" s="178">
        <v>340357</v>
      </c>
      <c r="AU237" s="178">
        <v>0</v>
      </c>
      <c r="AV237" s="178">
        <v>90573</v>
      </c>
      <c r="AW237" s="179">
        <v>0</v>
      </c>
      <c r="AX237" s="180">
        <v>0</v>
      </c>
      <c r="AY237" s="180">
        <v>0</v>
      </c>
      <c r="AZ237" s="180">
        <v>0</v>
      </c>
      <c r="BA237" s="180">
        <v>0</v>
      </c>
      <c r="BB237" s="170">
        <f t="shared" si="76"/>
        <v>1382672</v>
      </c>
      <c r="BC237" s="170">
        <v>1382671.79</v>
      </c>
      <c r="BD237" s="2">
        <f t="shared" si="77"/>
        <v>0.2099999999627471</v>
      </c>
    </row>
    <row r="238" spans="1:56" ht="12" x14ac:dyDescent="0.2">
      <c r="A238" s="4">
        <v>813</v>
      </c>
      <c r="B238" s="4">
        <v>1</v>
      </c>
      <c r="C238" s="2" t="s">
        <v>240</v>
      </c>
      <c r="D238" s="3">
        <v>0</v>
      </c>
      <c r="E238" s="3">
        <v>0</v>
      </c>
      <c r="F238" s="227">
        <f t="shared" si="66"/>
        <v>1200493</v>
      </c>
      <c r="G238" s="227">
        <f t="shared" si="67"/>
        <v>137945</v>
      </c>
      <c r="H238" s="227">
        <f t="shared" si="68"/>
        <v>0</v>
      </c>
      <c r="I238" s="227">
        <f t="shared" si="69"/>
        <v>205430</v>
      </c>
      <c r="J238" s="227">
        <f t="shared" si="70"/>
        <v>113866</v>
      </c>
      <c r="K238" s="227">
        <f t="shared" si="71"/>
        <v>349430</v>
      </c>
      <c r="L238" s="227">
        <f t="shared" si="72"/>
        <v>1017304</v>
      </c>
      <c r="M238" s="3">
        <f t="shared" si="73"/>
        <v>0</v>
      </c>
      <c r="N238" s="227">
        <f t="shared" si="74"/>
        <v>0</v>
      </c>
      <c r="O238" s="142">
        <f t="shared" si="75"/>
        <v>3024468</v>
      </c>
      <c r="P238" s="3">
        <f t="shared" si="59"/>
        <v>1686030</v>
      </c>
      <c r="Q238" s="3">
        <f t="shared" si="60"/>
        <v>205430</v>
      </c>
      <c r="R238" s="3">
        <f t="shared" si="61"/>
        <v>113866</v>
      </c>
      <c r="S238" s="3">
        <f t="shared" si="62"/>
        <v>1366734</v>
      </c>
      <c r="T238" s="3">
        <f t="shared" si="63"/>
        <v>0</v>
      </c>
      <c r="U238" s="3">
        <f>IF($A$5=1,IF($P238=0,0,ROUND(Q238/$P238*$E238,2)),Credits!D237)+Credits!J237</f>
        <v>2852.5600000000013</v>
      </c>
      <c r="V238" s="3">
        <f>IF($A$5=1,IF($P238=0,0,ROUND(R238/$P238*$E238,2)),Credits!E237)+Credits!K237</f>
        <v>1580.9999999999998</v>
      </c>
      <c r="W238" s="3">
        <f>IF($A$5=1,IF($P238=0,0,ROUND(S238/$P238*$E238,2)),Credits!F237)+Credits!L237</f>
        <v>18824.720000000005</v>
      </c>
      <c r="X238" s="3">
        <f>IF($A$5=1,IF($P238=0,0,ROUND(T238/$P238*$E238,2)),Credits!G237)+Credits!M237</f>
        <v>0</v>
      </c>
      <c r="Y238" s="3">
        <f t="shared" si="64"/>
        <v>23258.280000000006</v>
      </c>
      <c r="AC238" s="4"/>
      <c r="AD238" s="4"/>
      <c r="AE238" s="2">
        <f t="shared" si="65"/>
        <v>0</v>
      </c>
      <c r="AF238" s="170" t="s">
        <v>1120</v>
      </c>
      <c r="AG238" s="175">
        <v>813</v>
      </c>
      <c r="AH238" s="175">
        <v>1</v>
      </c>
      <c r="AI238" s="175">
        <v>1</v>
      </c>
      <c r="AJ238" s="176">
        <v>1200493</v>
      </c>
      <c r="AK238" s="176">
        <v>0</v>
      </c>
      <c r="AL238" s="176">
        <v>137945</v>
      </c>
      <c r="AM238" s="176">
        <v>0</v>
      </c>
      <c r="AN238" s="177">
        <v>0</v>
      </c>
      <c r="AO238" s="177">
        <v>0</v>
      </c>
      <c r="AP238" s="177">
        <v>205430</v>
      </c>
      <c r="AQ238" s="177">
        <v>0</v>
      </c>
      <c r="AR238" s="177">
        <v>113866</v>
      </c>
      <c r="AS238" s="177">
        <v>0</v>
      </c>
      <c r="AT238" s="178">
        <v>349430</v>
      </c>
      <c r="AU238" s="178">
        <v>0</v>
      </c>
      <c r="AV238" s="178">
        <v>1017304</v>
      </c>
      <c r="AW238" s="179">
        <v>0</v>
      </c>
      <c r="AX238" s="180">
        <v>0</v>
      </c>
      <c r="AY238" s="180">
        <v>0</v>
      </c>
      <c r="AZ238" s="180">
        <v>0</v>
      </c>
      <c r="BA238" s="180">
        <v>0</v>
      </c>
      <c r="BB238" s="170">
        <f t="shared" si="76"/>
        <v>3024468</v>
      </c>
      <c r="BC238" s="170">
        <v>3024469.08</v>
      </c>
      <c r="BD238" s="2">
        <f t="shared" si="77"/>
        <v>-1.0800000000745058</v>
      </c>
    </row>
    <row r="239" spans="1:56" ht="12" x14ac:dyDescent="0.2">
      <c r="A239" s="4">
        <v>815</v>
      </c>
      <c r="B239" s="4">
        <v>2</v>
      </c>
      <c r="C239" s="2" t="s">
        <v>241</v>
      </c>
      <c r="D239" s="3">
        <v>0</v>
      </c>
      <c r="E239" s="3">
        <v>0</v>
      </c>
      <c r="F239" s="227">
        <f t="shared" si="66"/>
        <v>16617.62</v>
      </c>
      <c r="G239" s="227">
        <f t="shared" si="67"/>
        <v>27.56</v>
      </c>
      <c r="H239" s="227">
        <f t="shared" si="68"/>
        <v>45500</v>
      </c>
      <c r="I239" s="227">
        <f t="shared" si="69"/>
        <v>301.02</v>
      </c>
      <c r="J239" s="227">
        <f t="shared" si="70"/>
        <v>7235.7</v>
      </c>
      <c r="K239" s="227">
        <f t="shared" si="71"/>
        <v>0</v>
      </c>
      <c r="L239" s="227">
        <f t="shared" si="72"/>
        <v>0</v>
      </c>
      <c r="M239" s="3">
        <f t="shared" si="73"/>
        <v>0</v>
      </c>
      <c r="N239" s="227">
        <f t="shared" si="74"/>
        <v>0</v>
      </c>
      <c r="O239" s="142">
        <f t="shared" si="75"/>
        <v>69681.899999999994</v>
      </c>
      <c r="P239" s="3">
        <f t="shared" si="59"/>
        <v>53036.719999999994</v>
      </c>
      <c r="Q239" s="3">
        <f t="shared" si="60"/>
        <v>45801.02</v>
      </c>
      <c r="R239" s="3">
        <f t="shared" si="61"/>
        <v>7235.7</v>
      </c>
      <c r="S239" s="3">
        <f t="shared" si="62"/>
        <v>0</v>
      </c>
      <c r="T239" s="3">
        <f t="shared" si="63"/>
        <v>0</v>
      </c>
      <c r="U239" s="3">
        <f>IF($A$5=1,IF($P239=0,0,ROUND(Q239/$P239*$E239,2)),Credits!D238)+Credits!J238</f>
        <v>814.01</v>
      </c>
      <c r="V239" s="3">
        <f>IF($A$5=1,IF($P239=0,0,ROUND(R239/$P239*$E239,2)),Credits!E238)+Credits!K238</f>
        <v>128.82</v>
      </c>
      <c r="W239" s="3">
        <f>IF($A$5=1,IF($P239=0,0,ROUND(S239/$P239*$E239,2)),Credits!F238)+Credits!L238</f>
        <v>0</v>
      </c>
      <c r="X239" s="3">
        <f>IF($A$5=1,IF($P239=0,0,ROUND(T239/$P239*$E239,2)),Credits!G238)+Credits!M238</f>
        <v>0</v>
      </c>
      <c r="Y239" s="3">
        <f t="shared" si="64"/>
        <v>942.82999999999993</v>
      </c>
      <c r="AC239" s="4"/>
      <c r="AD239" s="4"/>
      <c r="AE239" s="2">
        <f t="shared" si="65"/>
        <v>0</v>
      </c>
      <c r="AF239" s="170" t="s">
        <v>1120</v>
      </c>
      <c r="AG239" s="175">
        <v>815</v>
      </c>
      <c r="AH239" s="175">
        <v>2</v>
      </c>
      <c r="AI239" s="175">
        <v>1</v>
      </c>
      <c r="AJ239" s="176">
        <v>16617.62</v>
      </c>
      <c r="AK239" s="176">
        <v>0</v>
      </c>
      <c r="AL239" s="176">
        <v>27.56</v>
      </c>
      <c r="AM239" s="176">
        <v>0</v>
      </c>
      <c r="AN239" s="177">
        <v>45500</v>
      </c>
      <c r="AO239" s="177">
        <v>0</v>
      </c>
      <c r="AP239" s="177">
        <v>301.02</v>
      </c>
      <c r="AQ239" s="177">
        <v>0</v>
      </c>
      <c r="AR239" s="177">
        <v>7235.7</v>
      </c>
      <c r="AS239" s="177">
        <v>0</v>
      </c>
      <c r="AT239" s="178">
        <v>0</v>
      </c>
      <c r="AU239" s="178">
        <v>0</v>
      </c>
      <c r="AV239" s="178">
        <v>0</v>
      </c>
      <c r="AW239" s="179">
        <v>0</v>
      </c>
      <c r="AX239" s="180">
        <v>0</v>
      </c>
      <c r="AY239" s="180">
        <v>0</v>
      </c>
      <c r="AZ239" s="180">
        <v>0</v>
      </c>
      <c r="BA239" s="180">
        <v>0</v>
      </c>
      <c r="BB239" s="170">
        <f t="shared" si="76"/>
        <v>69681.899999999994</v>
      </c>
      <c r="BC239" s="170">
        <v>69681.899999999994</v>
      </c>
      <c r="BD239" s="2">
        <f t="shared" si="77"/>
        <v>0</v>
      </c>
    </row>
    <row r="240" spans="1:56" ht="12" x14ac:dyDescent="0.2">
      <c r="A240" s="4">
        <v>818</v>
      </c>
      <c r="B240" s="4">
        <v>1</v>
      </c>
      <c r="C240" s="2" t="s">
        <v>242</v>
      </c>
      <c r="D240" s="3">
        <v>0</v>
      </c>
      <c r="E240" s="3">
        <v>0</v>
      </c>
      <c r="F240" s="227">
        <f t="shared" si="66"/>
        <v>0</v>
      </c>
      <c r="G240" s="227">
        <f t="shared" si="67"/>
        <v>49611</v>
      </c>
      <c r="H240" s="227">
        <f t="shared" si="68"/>
        <v>0</v>
      </c>
      <c r="I240" s="227">
        <f t="shared" si="69"/>
        <v>0</v>
      </c>
      <c r="J240" s="227">
        <f t="shared" si="70"/>
        <v>18468</v>
      </c>
      <c r="K240" s="227">
        <f t="shared" si="71"/>
        <v>322772</v>
      </c>
      <c r="L240" s="227">
        <f t="shared" si="72"/>
        <v>77163</v>
      </c>
      <c r="M240" s="3">
        <f t="shared" si="73"/>
        <v>0</v>
      </c>
      <c r="N240" s="227">
        <f t="shared" si="74"/>
        <v>0</v>
      </c>
      <c r="O240" s="142">
        <f t="shared" si="75"/>
        <v>468014</v>
      </c>
      <c r="P240" s="3">
        <f t="shared" si="59"/>
        <v>418403</v>
      </c>
      <c r="Q240" s="3">
        <f t="shared" si="60"/>
        <v>0</v>
      </c>
      <c r="R240" s="3">
        <f t="shared" si="61"/>
        <v>18468</v>
      </c>
      <c r="S240" s="3">
        <f t="shared" si="62"/>
        <v>399935</v>
      </c>
      <c r="T240" s="3">
        <f t="shared" si="63"/>
        <v>0</v>
      </c>
      <c r="U240" s="3">
        <f>IF($A$5=1,IF($P240=0,0,ROUND(Q240/$P240*$E240,2)),Credits!D239)+Credits!J239</f>
        <v>0</v>
      </c>
      <c r="V240" s="3">
        <f>IF($A$5=1,IF($P240=0,0,ROUND(R240/$P240*$E240,2)),Credits!E239)+Credits!K239</f>
        <v>663.47</v>
      </c>
      <c r="W240" s="3">
        <f>IF($A$5=1,IF($P240=0,0,ROUND(S240/$P240*$E240,2)),Credits!F239)+Credits!L239</f>
        <v>14368.22</v>
      </c>
      <c r="X240" s="3">
        <f>IF($A$5=1,IF($P240=0,0,ROUND(T240/$P240*$E240,2)),Credits!G239)+Credits!M239</f>
        <v>0</v>
      </c>
      <c r="Y240" s="3">
        <f t="shared" si="64"/>
        <v>15031.689999999999</v>
      </c>
      <c r="AC240" s="4"/>
      <c r="AD240" s="4"/>
      <c r="AE240" s="2">
        <f t="shared" si="65"/>
        <v>0</v>
      </c>
      <c r="AF240" s="170" t="s">
        <v>1120</v>
      </c>
      <c r="AG240" s="175">
        <v>818</v>
      </c>
      <c r="AH240" s="175">
        <v>1</v>
      </c>
      <c r="AI240" s="175">
        <v>1</v>
      </c>
      <c r="AJ240" s="176">
        <v>0</v>
      </c>
      <c r="AK240" s="176">
        <v>0</v>
      </c>
      <c r="AL240" s="176">
        <v>49611</v>
      </c>
      <c r="AM240" s="176">
        <v>0</v>
      </c>
      <c r="AN240" s="177">
        <v>0</v>
      </c>
      <c r="AO240" s="177">
        <v>0</v>
      </c>
      <c r="AP240" s="177">
        <v>0</v>
      </c>
      <c r="AQ240" s="177">
        <v>0</v>
      </c>
      <c r="AR240" s="177">
        <v>18468</v>
      </c>
      <c r="AS240" s="177">
        <v>0</v>
      </c>
      <c r="AT240" s="178">
        <v>322772</v>
      </c>
      <c r="AU240" s="178">
        <v>0</v>
      </c>
      <c r="AV240" s="178">
        <v>77163</v>
      </c>
      <c r="AW240" s="179">
        <v>0</v>
      </c>
      <c r="AX240" s="180">
        <v>0</v>
      </c>
      <c r="AY240" s="180">
        <v>0</v>
      </c>
      <c r="AZ240" s="180">
        <v>0</v>
      </c>
      <c r="BA240" s="180">
        <v>0</v>
      </c>
      <c r="BB240" s="170">
        <f t="shared" si="76"/>
        <v>468014</v>
      </c>
      <c r="BC240" s="170">
        <v>468014.41</v>
      </c>
      <c r="BD240" s="2">
        <f t="shared" si="77"/>
        <v>-0.40999999997438863</v>
      </c>
    </row>
    <row r="241" spans="1:56" ht="12" x14ac:dyDescent="0.2">
      <c r="A241" s="4">
        <v>820</v>
      </c>
      <c r="B241" s="4">
        <v>1</v>
      </c>
      <c r="C241" s="2" t="s">
        <v>243</v>
      </c>
      <c r="D241" s="3">
        <v>0</v>
      </c>
      <c r="E241" s="3">
        <v>0</v>
      </c>
      <c r="F241" s="227">
        <f t="shared" si="66"/>
        <v>172161</v>
      </c>
      <c r="G241" s="227">
        <f t="shared" si="67"/>
        <v>24472</v>
      </c>
      <c r="H241" s="227">
        <f t="shared" si="68"/>
        <v>0</v>
      </c>
      <c r="I241" s="227">
        <f t="shared" si="69"/>
        <v>147264</v>
      </c>
      <c r="J241" s="227">
        <f t="shared" si="70"/>
        <v>30093</v>
      </c>
      <c r="K241" s="227">
        <f t="shared" si="71"/>
        <v>0</v>
      </c>
      <c r="L241" s="227">
        <f t="shared" si="72"/>
        <v>0</v>
      </c>
      <c r="M241" s="3">
        <f t="shared" si="73"/>
        <v>0</v>
      </c>
      <c r="N241" s="227">
        <f t="shared" si="74"/>
        <v>0</v>
      </c>
      <c r="O241" s="142">
        <f t="shared" si="75"/>
        <v>373990</v>
      </c>
      <c r="P241" s="3">
        <f t="shared" si="59"/>
        <v>177357</v>
      </c>
      <c r="Q241" s="3">
        <f t="shared" si="60"/>
        <v>147264</v>
      </c>
      <c r="R241" s="3">
        <f t="shared" si="61"/>
        <v>30093</v>
      </c>
      <c r="S241" s="3">
        <f t="shared" si="62"/>
        <v>0</v>
      </c>
      <c r="T241" s="3">
        <f t="shared" si="63"/>
        <v>0</v>
      </c>
      <c r="U241" s="3">
        <f>IF($A$5=1,IF($P241=0,0,ROUND(Q241/$P241*$E241,2)),Credits!D240)+Credits!J240</f>
        <v>12220.32</v>
      </c>
      <c r="V241" s="3">
        <f>IF($A$5=1,IF($P241=0,0,ROUND(R241/$P241*$E241,2)),Credits!E240)+Credits!K240</f>
        <v>2498.94</v>
      </c>
      <c r="W241" s="3">
        <f>IF($A$5=1,IF($P241=0,0,ROUND(S241/$P241*$E241,2)),Credits!F240)+Credits!L240</f>
        <v>0</v>
      </c>
      <c r="X241" s="3">
        <f>IF($A$5=1,IF($P241=0,0,ROUND(T241/$P241*$E241,2)),Credits!G240)+Credits!M240</f>
        <v>0</v>
      </c>
      <c r="Y241" s="3">
        <f t="shared" si="64"/>
        <v>14719.26</v>
      </c>
      <c r="AC241" s="4"/>
      <c r="AD241" s="4"/>
      <c r="AE241" s="2">
        <f t="shared" si="65"/>
        <v>0</v>
      </c>
      <c r="AF241" s="170" t="s">
        <v>1120</v>
      </c>
      <c r="AG241" s="175">
        <v>820</v>
      </c>
      <c r="AH241" s="175">
        <v>1</v>
      </c>
      <c r="AI241" s="175">
        <v>1</v>
      </c>
      <c r="AJ241" s="176">
        <v>172161</v>
      </c>
      <c r="AK241" s="176">
        <v>0</v>
      </c>
      <c r="AL241" s="176">
        <v>24472</v>
      </c>
      <c r="AM241" s="176">
        <v>0</v>
      </c>
      <c r="AN241" s="177">
        <v>0</v>
      </c>
      <c r="AO241" s="177">
        <v>0</v>
      </c>
      <c r="AP241" s="177">
        <v>147264</v>
      </c>
      <c r="AQ241" s="177">
        <v>0</v>
      </c>
      <c r="AR241" s="177">
        <v>30093</v>
      </c>
      <c r="AS241" s="177">
        <v>0</v>
      </c>
      <c r="AT241" s="178">
        <v>0</v>
      </c>
      <c r="AU241" s="178">
        <v>0</v>
      </c>
      <c r="AV241" s="178">
        <v>0</v>
      </c>
      <c r="AW241" s="179">
        <v>0</v>
      </c>
      <c r="AX241" s="180">
        <v>0</v>
      </c>
      <c r="AY241" s="180">
        <v>0</v>
      </c>
      <c r="AZ241" s="180">
        <v>0</v>
      </c>
      <c r="BA241" s="180">
        <v>0</v>
      </c>
      <c r="BB241" s="170">
        <f t="shared" si="76"/>
        <v>373990</v>
      </c>
      <c r="BC241" s="170">
        <v>373989.61</v>
      </c>
      <c r="BD241" s="2">
        <f t="shared" si="77"/>
        <v>0.39000000001396984</v>
      </c>
    </row>
    <row r="242" spans="1:56" ht="12" x14ac:dyDescent="0.2">
      <c r="A242" s="4">
        <v>821</v>
      </c>
      <c r="B242" s="4">
        <v>1</v>
      </c>
      <c r="C242" s="2" t="s">
        <v>244</v>
      </c>
      <c r="D242" s="3">
        <v>0</v>
      </c>
      <c r="E242" s="3">
        <v>0</v>
      </c>
      <c r="F242" s="227">
        <f t="shared" si="66"/>
        <v>0</v>
      </c>
      <c r="G242" s="227">
        <f t="shared" si="67"/>
        <v>128941</v>
      </c>
      <c r="H242" s="227">
        <f t="shared" si="68"/>
        <v>0</v>
      </c>
      <c r="I242" s="227">
        <f t="shared" si="69"/>
        <v>311467</v>
      </c>
      <c r="J242" s="227">
        <f t="shared" si="70"/>
        <v>38749</v>
      </c>
      <c r="K242" s="227">
        <f t="shared" si="71"/>
        <v>354559</v>
      </c>
      <c r="L242" s="227">
        <f t="shared" si="72"/>
        <v>124770</v>
      </c>
      <c r="M242" s="3">
        <f t="shared" si="73"/>
        <v>0</v>
      </c>
      <c r="N242" s="227">
        <f t="shared" si="74"/>
        <v>0</v>
      </c>
      <c r="O242" s="142">
        <f t="shared" si="75"/>
        <v>958486</v>
      </c>
      <c r="P242" s="3">
        <f t="shared" si="59"/>
        <v>829545</v>
      </c>
      <c r="Q242" s="3">
        <f t="shared" si="60"/>
        <v>311467</v>
      </c>
      <c r="R242" s="3">
        <f t="shared" si="61"/>
        <v>38749</v>
      </c>
      <c r="S242" s="3">
        <f t="shared" si="62"/>
        <v>479329</v>
      </c>
      <c r="T242" s="3">
        <f t="shared" si="63"/>
        <v>0</v>
      </c>
      <c r="U242" s="3">
        <f>IF($A$5=1,IF($P242=0,0,ROUND(Q242/$P242*$E242,2)),Credits!D241)+Credits!J241</f>
        <v>8941.2400000000016</v>
      </c>
      <c r="V242" s="3">
        <f>IF($A$5=1,IF($P242=0,0,ROUND(R242/$P242*$E242,2)),Credits!E241)+Credits!K241</f>
        <v>1113.1400000000001</v>
      </c>
      <c r="W242" s="3">
        <f>IF($A$5=1,IF($P242=0,0,ROUND(S242/$P242*$E242,2)),Credits!F241)+Credits!L241</f>
        <v>13761.890000000001</v>
      </c>
      <c r="X242" s="3">
        <f>IF($A$5=1,IF($P242=0,0,ROUND(T242/$P242*$E242,2)),Credits!G241)+Credits!M241</f>
        <v>0</v>
      </c>
      <c r="Y242" s="3">
        <f t="shared" si="64"/>
        <v>23816.270000000004</v>
      </c>
      <c r="AC242" s="4"/>
      <c r="AD242" s="4"/>
      <c r="AE242" s="2">
        <f t="shared" si="65"/>
        <v>0</v>
      </c>
      <c r="AF242" s="170" t="s">
        <v>1120</v>
      </c>
      <c r="AG242" s="175">
        <v>821</v>
      </c>
      <c r="AH242" s="175">
        <v>1</v>
      </c>
      <c r="AI242" s="175">
        <v>1</v>
      </c>
      <c r="AJ242" s="176">
        <v>0</v>
      </c>
      <c r="AK242" s="176">
        <v>0</v>
      </c>
      <c r="AL242" s="176">
        <v>128941</v>
      </c>
      <c r="AM242" s="176">
        <v>0</v>
      </c>
      <c r="AN242" s="177">
        <v>0</v>
      </c>
      <c r="AO242" s="177">
        <v>0</v>
      </c>
      <c r="AP242" s="177">
        <v>311467</v>
      </c>
      <c r="AQ242" s="177">
        <v>0</v>
      </c>
      <c r="AR242" s="177">
        <v>38749</v>
      </c>
      <c r="AS242" s="177">
        <v>0</v>
      </c>
      <c r="AT242" s="178">
        <v>354559</v>
      </c>
      <c r="AU242" s="178">
        <v>0</v>
      </c>
      <c r="AV242" s="178">
        <v>124770</v>
      </c>
      <c r="AW242" s="179">
        <v>0</v>
      </c>
      <c r="AX242" s="180">
        <v>0</v>
      </c>
      <c r="AY242" s="180">
        <v>0</v>
      </c>
      <c r="AZ242" s="180">
        <v>0</v>
      </c>
      <c r="BA242" s="180">
        <v>0</v>
      </c>
      <c r="BB242" s="170">
        <f t="shared" si="76"/>
        <v>958486</v>
      </c>
      <c r="BC242" s="170">
        <v>958485.4</v>
      </c>
      <c r="BD242" s="2">
        <f t="shared" si="77"/>
        <v>0.59999999997671694</v>
      </c>
    </row>
    <row r="243" spans="1:56" ht="12" x14ac:dyDescent="0.2">
      <c r="A243" s="4">
        <v>829</v>
      </c>
      <c r="B243" s="4">
        <v>1</v>
      </c>
      <c r="C243" s="2" t="s">
        <v>245</v>
      </c>
      <c r="D243" s="3">
        <v>0</v>
      </c>
      <c r="E243" s="3">
        <v>0</v>
      </c>
      <c r="F243" s="227">
        <f t="shared" si="66"/>
        <v>812660</v>
      </c>
      <c r="G243" s="227">
        <f t="shared" si="67"/>
        <v>154049</v>
      </c>
      <c r="H243" s="227">
        <f t="shared" si="68"/>
        <v>0</v>
      </c>
      <c r="I243" s="227">
        <f t="shared" si="69"/>
        <v>390750</v>
      </c>
      <c r="J243" s="227">
        <f t="shared" si="70"/>
        <v>175288</v>
      </c>
      <c r="K243" s="227">
        <f t="shared" si="71"/>
        <v>996547</v>
      </c>
      <c r="L243" s="227">
        <f t="shared" si="72"/>
        <v>397572</v>
      </c>
      <c r="M243" s="3">
        <f t="shared" si="73"/>
        <v>0</v>
      </c>
      <c r="N243" s="227">
        <f t="shared" si="74"/>
        <v>0</v>
      </c>
      <c r="O243" s="142">
        <f t="shared" si="75"/>
        <v>2926866</v>
      </c>
      <c r="P243" s="3">
        <f t="shared" si="59"/>
        <v>1960157</v>
      </c>
      <c r="Q243" s="3">
        <f t="shared" si="60"/>
        <v>390750</v>
      </c>
      <c r="R243" s="3">
        <f t="shared" si="61"/>
        <v>175288</v>
      </c>
      <c r="S243" s="3">
        <f t="shared" si="62"/>
        <v>1394119</v>
      </c>
      <c r="T243" s="3">
        <f t="shared" si="63"/>
        <v>0</v>
      </c>
      <c r="U243" s="3">
        <f>IF($A$5=1,IF($P243=0,0,ROUND(Q243/$P243*$E243,2)),Credits!D242)+Credits!J242</f>
        <v>6367.5599999999995</v>
      </c>
      <c r="V243" s="3">
        <f>IF($A$5=1,IF($P243=0,0,ROUND(R243/$P243*$E243,2)),Credits!E242)+Credits!K242</f>
        <v>2856.13</v>
      </c>
      <c r="W243" s="3">
        <f>IF($A$5=1,IF($P243=0,0,ROUND(S243/$P243*$E243,2)),Credits!F242)+Credits!L242</f>
        <v>22705.940000000002</v>
      </c>
      <c r="X243" s="3">
        <f>IF($A$5=1,IF($P243=0,0,ROUND(T243/$P243*$E243,2)),Credits!G242)+Credits!M242</f>
        <v>0</v>
      </c>
      <c r="Y243" s="3">
        <f t="shared" si="64"/>
        <v>31929.63</v>
      </c>
      <c r="AC243" s="4"/>
      <c r="AD243" s="4"/>
      <c r="AE243" s="2">
        <f t="shared" si="65"/>
        <v>0</v>
      </c>
      <c r="AF243" s="170" t="s">
        <v>1120</v>
      </c>
      <c r="AG243" s="175">
        <v>829</v>
      </c>
      <c r="AH243" s="175">
        <v>1</v>
      </c>
      <c r="AI243" s="175">
        <v>1</v>
      </c>
      <c r="AJ243" s="176">
        <v>812660</v>
      </c>
      <c r="AK243" s="176">
        <v>0</v>
      </c>
      <c r="AL243" s="176">
        <v>154049</v>
      </c>
      <c r="AM243" s="176">
        <v>0</v>
      </c>
      <c r="AN243" s="177">
        <v>0</v>
      </c>
      <c r="AO243" s="177">
        <v>0</v>
      </c>
      <c r="AP243" s="177">
        <v>390750</v>
      </c>
      <c r="AQ243" s="177">
        <v>0</v>
      </c>
      <c r="AR243" s="177">
        <v>175288</v>
      </c>
      <c r="AS243" s="177">
        <v>0</v>
      </c>
      <c r="AT243" s="178">
        <v>996547</v>
      </c>
      <c r="AU243" s="178">
        <v>0</v>
      </c>
      <c r="AV243" s="178">
        <v>397572</v>
      </c>
      <c r="AW243" s="179">
        <v>0</v>
      </c>
      <c r="AX243" s="180">
        <v>0</v>
      </c>
      <c r="AY243" s="180">
        <v>0</v>
      </c>
      <c r="AZ243" s="180">
        <v>0</v>
      </c>
      <c r="BA243" s="180">
        <v>0</v>
      </c>
      <c r="BB243" s="170">
        <f t="shared" si="76"/>
        <v>2926866</v>
      </c>
      <c r="BC243" s="170">
        <v>2926865.99</v>
      </c>
      <c r="BD243" s="2">
        <f t="shared" si="77"/>
        <v>9.9999997764825821E-3</v>
      </c>
    </row>
    <row r="244" spans="1:56" ht="12" x14ac:dyDescent="0.2">
      <c r="A244" s="4">
        <v>831</v>
      </c>
      <c r="B244" s="4">
        <v>1</v>
      </c>
      <c r="C244" s="2" t="s">
        <v>246</v>
      </c>
      <c r="D244" s="3">
        <v>0</v>
      </c>
      <c r="E244" s="3">
        <v>0</v>
      </c>
      <c r="F244" s="227">
        <f t="shared" si="66"/>
        <v>2441206</v>
      </c>
      <c r="G244" s="227">
        <f t="shared" si="67"/>
        <v>4128424</v>
      </c>
      <c r="H244" s="227">
        <f t="shared" si="68"/>
        <v>0</v>
      </c>
      <c r="I244" s="227">
        <f t="shared" si="69"/>
        <v>5010753</v>
      </c>
      <c r="J244" s="227">
        <f t="shared" si="70"/>
        <v>927694</v>
      </c>
      <c r="K244" s="227">
        <f t="shared" si="71"/>
        <v>4106920</v>
      </c>
      <c r="L244" s="227">
        <f t="shared" si="72"/>
        <v>0</v>
      </c>
      <c r="M244" s="3">
        <f t="shared" si="73"/>
        <v>0</v>
      </c>
      <c r="N244" s="227">
        <f t="shared" si="74"/>
        <v>533541</v>
      </c>
      <c r="O244" s="142">
        <f t="shared" si="75"/>
        <v>17148538</v>
      </c>
      <c r="P244" s="3">
        <f t="shared" si="59"/>
        <v>10578908</v>
      </c>
      <c r="Q244" s="3">
        <f t="shared" si="60"/>
        <v>5010753</v>
      </c>
      <c r="R244" s="3">
        <f t="shared" si="61"/>
        <v>927694</v>
      </c>
      <c r="S244" s="3">
        <f t="shared" si="62"/>
        <v>4106920</v>
      </c>
      <c r="T244" s="3">
        <f t="shared" si="63"/>
        <v>533541</v>
      </c>
      <c r="U244" s="3">
        <f>IF($A$5=1,IF($P244=0,0,ROUND(Q244/$P244*$E244,2)),Credits!D243)+Credits!J243</f>
        <v>9661.31</v>
      </c>
      <c r="V244" s="3">
        <f>IF($A$5=1,IF($P244=0,0,ROUND(R244/$P244*$E244,2)),Credits!E243)+Credits!K243</f>
        <v>1788.46</v>
      </c>
      <c r="W244" s="3">
        <f>IF($A$5=1,IF($P244=0,0,ROUND(S244/$P244*$E244,2)),Credits!F243)+Credits!L243</f>
        <v>7903.5200000000013</v>
      </c>
      <c r="X244" s="3">
        <f>IF($A$5=1,IF($P244=0,0,ROUND(T244/$P244*$E244,2)),Credits!G243)+Credits!M243</f>
        <v>1026.8500000000001</v>
      </c>
      <c r="Y244" s="3">
        <f t="shared" si="64"/>
        <v>20380.14</v>
      </c>
      <c r="AC244" s="4"/>
      <c r="AD244" s="4"/>
      <c r="AE244" s="2">
        <f t="shared" si="65"/>
        <v>0</v>
      </c>
      <c r="AF244" s="170" t="s">
        <v>1120</v>
      </c>
      <c r="AG244" s="175">
        <v>831</v>
      </c>
      <c r="AH244" s="175">
        <v>1</v>
      </c>
      <c r="AI244" s="175">
        <v>1</v>
      </c>
      <c r="AJ244" s="176">
        <v>2441206</v>
      </c>
      <c r="AK244" s="176">
        <v>0</v>
      </c>
      <c r="AL244" s="176">
        <v>4128424</v>
      </c>
      <c r="AM244" s="176">
        <v>0</v>
      </c>
      <c r="AN244" s="177">
        <v>0</v>
      </c>
      <c r="AO244" s="177">
        <v>0</v>
      </c>
      <c r="AP244" s="177">
        <v>5010753</v>
      </c>
      <c r="AQ244" s="177">
        <v>0</v>
      </c>
      <c r="AR244" s="177">
        <v>927694</v>
      </c>
      <c r="AS244" s="177">
        <v>0</v>
      </c>
      <c r="AT244" s="178">
        <v>4106920</v>
      </c>
      <c r="AU244" s="178">
        <v>0</v>
      </c>
      <c r="AV244" s="178">
        <v>0</v>
      </c>
      <c r="AW244" s="179">
        <v>0</v>
      </c>
      <c r="AX244" s="180">
        <v>0</v>
      </c>
      <c r="AY244" s="180">
        <v>0</v>
      </c>
      <c r="AZ244" s="180">
        <v>533541</v>
      </c>
      <c r="BA244" s="180">
        <v>0</v>
      </c>
      <c r="BB244" s="170">
        <f t="shared" si="76"/>
        <v>17148538</v>
      </c>
      <c r="BC244" s="170">
        <v>17148537.93</v>
      </c>
      <c r="BD244" s="2">
        <f t="shared" si="77"/>
        <v>7.0000000298023224E-2</v>
      </c>
    </row>
    <row r="245" spans="1:56" ht="12" x14ac:dyDescent="0.2">
      <c r="A245" s="4">
        <v>832</v>
      </c>
      <c r="B245" s="4">
        <v>1</v>
      </c>
      <c r="C245" s="2" t="s">
        <v>247</v>
      </c>
      <c r="D245" s="3">
        <v>0</v>
      </c>
      <c r="E245" s="3">
        <v>0</v>
      </c>
      <c r="F245" s="227">
        <f t="shared" si="66"/>
        <v>448456</v>
      </c>
      <c r="G245" s="227">
        <f t="shared" si="67"/>
        <v>2779140</v>
      </c>
      <c r="H245" s="227">
        <f t="shared" si="68"/>
        <v>537868</v>
      </c>
      <c r="I245" s="227">
        <f t="shared" si="69"/>
        <v>1593502</v>
      </c>
      <c r="J245" s="227">
        <f t="shared" si="70"/>
        <v>286893</v>
      </c>
      <c r="K245" s="227">
        <f t="shared" si="71"/>
        <v>5033540</v>
      </c>
      <c r="L245" s="227">
        <f t="shared" si="72"/>
        <v>53212</v>
      </c>
      <c r="M245" s="3">
        <f t="shared" si="73"/>
        <v>0</v>
      </c>
      <c r="N245" s="227">
        <f t="shared" si="74"/>
        <v>314259</v>
      </c>
      <c r="O245" s="142">
        <f t="shared" si="75"/>
        <v>11046870</v>
      </c>
      <c r="P245" s="3">
        <f t="shared" si="59"/>
        <v>7819274</v>
      </c>
      <c r="Q245" s="3">
        <f t="shared" si="60"/>
        <v>2131370</v>
      </c>
      <c r="R245" s="3">
        <f t="shared" si="61"/>
        <v>286893</v>
      </c>
      <c r="S245" s="3">
        <f t="shared" si="62"/>
        <v>5086752</v>
      </c>
      <c r="T245" s="3">
        <f t="shared" si="63"/>
        <v>314259</v>
      </c>
      <c r="U245" s="3">
        <f>IF($A$5=1,IF($P245=0,0,ROUND(Q245/$P245*$E245,2)),Credits!D244)+Credits!J244</f>
        <v>1366.07</v>
      </c>
      <c r="V245" s="3">
        <f>IF($A$5=1,IF($P245=0,0,ROUND(R245/$P245*$E245,2)),Credits!E244)+Credits!K244</f>
        <v>183.85</v>
      </c>
      <c r="W245" s="3">
        <f>IF($A$5=1,IF($P245=0,0,ROUND(S245/$P245*$E245,2)),Credits!F244)+Credits!L244</f>
        <v>3260.1099999999997</v>
      </c>
      <c r="X245" s="3">
        <f>IF($A$5=1,IF($P245=0,0,ROUND(T245/$P245*$E245,2)),Credits!G244)+Credits!M244</f>
        <v>201.36999999999995</v>
      </c>
      <c r="Y245" s="3">
        <f t="shared" si="64"/>
        <v>5011.3999999999996</v>
      </c>
      <c r="AC245" s="4"/>
      <c r="AD245" s="4"/>
      <c r="AE245" s="2">
        <f t="shared" si="65"/>
        <v>0</v>
      </c>
      <c r="AF245" s="170" t="s">
        <v>1120</v>
      </c>
      <c r="AG245" s="175">
        <v>832</v>
      </c>
      <c r="AH245" s="175">
        <v>1</v>
      </c>
      <c r="AI245" s="175">
        <v>1</v>
      </c>
      <c r="AJ245" s="176">
        <v>448456</v>
      </c>
      <c r="AK245" s="176">
        <v>0</v>
      </c>
      <c r="AL245" s="176">
        <v>2779140</v>
      </c>
      <c r="AM245" s="176">
        <v>0</v>
      </c>
      <c r="AN245" s="177">
        <v>537868</v>
      </c>
      <c r="AO245" s="177">
        <v>0</v>
      </c>
      <c r="AP245" s="177">
        <v>1593502</v>
      </c>
      <c r="AQ245" s="177">
        <v>0</v>
      </c>
      <c r="AR245" s="177">
        <v>286893</v>
      </c>
      <c r="AS245" s="177">
        <v>0</v>
      </c>
      <c r="AT245" s="178">
        <v>5033540</v>
      </c>
      <c r="AU245" s="178">
        <v>0</v>
      </c>
      <c r="AV245" s="178">
        <v>53212</v>
      </c>
      <c r="AW245" s="179">
        <v>0</v>
      </c>
      <c r="AX245" s="180">
        <v>0</v>
      </c>
      <c r="AY245" s="180">
        <v>0</v>
      </c>
      <c r="AZ245" s="180">
        <v>314259</v>
      </c>
      <c r="BA245" s="180">
        <v>0</v>
      </c>
      <c r="BB245" s="170">
        <f t="shared" si="76"/>
        <v>11046870</v>
      </c>
      <c r="BC245" s="170">
        <v>11046870.23</v>
      </c>
      <c r="BD245" s="2">
        <f t="shared" si="77"/>
        <v>-0.23000000044703484</v>
      </c>
    </row>
    <row r="246" spans="1:56" ht="12" x14ac:dyDescent="0.2">
      <c r="A246" s="4">
        <v>833</v>
      </c>
      <c r="B246" s="4">
        <v>1</v>
      </c>
      <c r="C246" s="2" t="s">
        <v>248</v>
      </c>
      <c r="D246" s="3">
        <v>0</v>
      </c>
      <c r="E246" s="3">
        <v>0</v>
      </c>
      <c r="F246" s="227">
        <f t="shared" si="66"/>
        <v>12427543</v>
      </c>
      <c r="G246" s="227">
        <f t="shared" si="67"/>
        <v>7955173</v>
      </c>
      <c r="H246" s="227">
        <f t="shared" si="68"/>
        <v>1002026</v>
      </c>
      <c r="I246" s="227">
        <f t="shared" si="69"/>
        <v>7174589</v>
      </c>
      <c r="J246" s="227">
        <f t="shared" si="70"/>
        <v>1347189</v>
      </c>
      <c r="K246" s="227">
        <f t="shared" si="71"/>
        <v>24153728</v>
      </c>
      <c r="L246" s="227">
        <f t="shared" si="72"/>
        <v>1881077</v>
      </c>
      <c r="M246" s="3">
        <f t="shared" si="73"/>
        <v>0</v>
      </c>
      <c r="N246" s="227">
        <f t="shared" si="74"/>
        <v>0</v>
      </c>
      <c r="O246" s="142">
        <f t="shared" si="75"/>
        <v>55941325</v>
      </c>
      <c r="P246" s="3">
        <f t="shared" si="59"/>
        <v>35558609</v>
      </c>
      <c r="Q246" s="3">
        <f t="shared" si="60"/>
        <v>8176615</v>
      </c>
      <c r="R246" s="3">
        <f t="shared" si="61"/>
        <v>1347189</v>
      </c>
      <c r="S246" s="3">
        <f t="shared" si="62"/>
        <v>26034805</v>
      </c>
      <c r="T246" s="3">
        <f t="shared" si="63"/>
        <v>0</v>
      </c>
      <c r="U246" s="3">
        <f>IF($A$5=1,IF($P246=0,0,ROUND(Q246/$P246*$E246,2)),Credits!D245)+Credits!J245</f>
        <v>1651.46</v>
      </c>
      <c r="V246" s="3">
        <f>IF($A$5=1,IF($P246=0,0,ROUND(R246/$P246*$E246,2)),Credits!E245)+Credits!K245</f>
        <v>272.06</v>
      </c>
      <c r="W246" s="3">
        <f>IF($A$5=1,IF($P246=0,0,ROUND(S246/$P246*$E246,2)),Credits!F245)+Credits!L245</f>
        <v>5258.0599999999986</v>
      </c>
      <c r="X246" s="3">
        <f>IF($A$5=1,IF($P246=0,0,ROUND(T246/$P246*$E246,2)),Credits!G245)+Credits!M245</f>
        <v>0</v>
      </c>
      <c r="Y246" s="3">
        <f t="shared" si="64"/>
        <v>7181.5799999999981</v>
      </c>
      <c r="AC246" s="4"/>
      <c r="AD246" s="4"/>
      <c r="AE246" s="2">
        <f t="shared" si="65"/>
        <v>0</v>
      </c>
      <c r="AF246" s="170" t="s">
        <v>1120</v>
      </c>
      <c r="AG246" s="175">
        <v>833</v>
      </c>
      <c r="AH246" s="175">
        <v>1</v>
      </c>
      <c r="AI246" s="175">
        <v>1</v>
      </c>
      <c r="AJ246" s="176">
        <v>12427543</v>
      </c>
      <c r="AK246" s="176">
        <v>0</v>
      </c>
      <c r="AL246" s="176">
        <v>7955173</v>
      </c>
      <c r="AM246" s="176">
        <v>0</v>
      </c>
      <c r="AN246" s="177">
        <v>1002026</v>
      </c>
      <c r="AO246" s="177">
        <v>0</v>
      </c>
      <c r="AP246" s="177">
        <v>7174589</v>
      </c>
      <c r="AQ246" s="177">
        <v>0</v>
      </c>
      <c r="AR246" s="177">
        <v>1347189</v>
      </c>
      <c r="AS246" s="177">
        <v>0</v>
      </c>
      <c r="AT246" s="178">
        <v>24153728</v>
      </c>
      <c r="AU246" s="178">
        <v>0</v>
      </c>
      <c r="AV246" s="178">
        <v>1881077</v>
      </c>
      <c r="AW246" s="179">
        <v>0</v>
      </c>
      <c r="AX246" s="180">
        <v>0</v>
      </c>
      <c r="AY246" s="180">
        <v>0</v>
      </c>
      <c r="AZ246" s="180">
        <v>0</v>
      </c>
      <c r="BA246" s="180">
        <v>0</v>
      </c>
      <c r="BB246" s="170">
        <f t="shared" si="76"/>
        <v>55941325</v>
      </c>
      <c r="BC246" s="170">
        <v>55941324.329999998</v>
      </c>
      <c r="BD246" s="2">
        <f t="shared" si="77"/>
        <v>0.67000000178813934</v>
      </c>
    </row>
    <row r="247" spans="1:56" ht="12" x14ac:dyDescent="0.2">
      <c r="A247" s="4">
        <v>834</v>
      </c>
      <c r="B247" s="4">
        <v>1</v>
      </c>
      <c r="C247" s="2" t="s">
        <v>249</v>
      </c>
      <c r="D247" s="3">
        <v>0</v>
      </c>
      <c r="E247" s="3">
        <v>0</v>
      </c>
      <c r="F247" s="227">
        <f t="shared" si="66"/>
        <v>14446217</v>
      </c>
      <c r="G247" s="227">
        <f t="shared" si="67"/>
        <v>2616128</v>
      </c>
      <c r="H247" s="227">
        <f t="shared" si="68"/>
        <v>0</v>
      </c>
      <c r="I247" s="227">
        <f t="shared" si="69"/>
        <v>7665791</v>
      </c>
      <c r="J247" s="227">
        <f t="shared" si="70"/>
        <v>899771</v>
      </c>
      <c r="K247" s="227">
        <f t="shared" si="71"/>
        <v>2811278</v>
      </c>
      <c r="L247" s="227">
        <f t="shared" si="72"/>
        <v>5466943</v>
      </c>
      <c r="M247" s="3">
        <f t="shared" si="73"/>
        <v>0</v>
      </c>
      <c r="N247" s="227">
        <f t="shared" si="74"/>
        <v>1426814</v>
      </c>
      <c r="O247" s="142">
        <f t="shared" si="75"/>
        <v>35332942</v>
      </c>
      <c r="P247" s="3">
        <f t="shared" si="59"/>
        <v>18270597</v>
      </c>
      <c r="Q247" s="3">
        <f t="shared" si="60"/>
        <v>7665791</v>
      </c>
      <c r="R247" s="3">
        <f t="shared" si="61"/>
        <v>899771</v>
      </c>
      <c r="S247" s="3">
        <f t="shared" si="62"/>
        <v>8278221</v>
      </c>
      <c r="T247" s="3">
        <f t="shared" si="63"/>
        <v>1426814</v>
      </c>
      <c r="U247" s="3">
        <f>IF($A$5=1,IF($P247=0,0,ROUND(Q247/$P247*$E247,2)),Credits!D246)+Credits!J246</f>
        <v>8216.380000000001</v>
      </c>
      <c r="V247" s="3">
        <f>IF($A$5=1,IF($P247=0,0,ROUND(R247/$P247*$E247,2)),Credits!E246)+Credits!K246</f>
        <v>964.33999999999992</v>
      </c>
      <c r="W247" s="3">
        <f>IF($A$5=1,IF($P247=0,0,ROUND(S247/$P247*$E247,2)),Credits!F246)+Credits!L246</f>
        <v>8872.8399999999965</v>
      </c>
      <c r="X247" s="3">
        <f>IF($A$5=1,IF($P247=0,0,ROUND(T247/$P247*$E247,2)),Credits!G246)+Credits!M246</f>
        <v>1529.4100000000003</v>
      </c>
      <c r="Y247" s="3">
        <f t="shared" si="64"/>
        <v>19582.969999999998</v>
      </c>
      <c r="AC247" s="4"/>
      <c r="AD247" s="4"/>
      <c r="AE247" s="2">
        <f t="shared" si="65"/>
        <v>0</v>
      </c>
      <c r="AF247" s="170" t="s">
        <v>1120</v>
      </c>
      <c r="AG247" s="175">
        <v>834</v>
      </c>
      <c r="AH247" s="175">
        <v>1</v>
      </c>
      <c r="AI247" s="175">
        <v>1</v>
      </c>
      <c r="AJ247" s="176">
        <v>14446217</v>
      </c>
      <c r="AK247" s="176">
        <v>0</v>
      </c>
      <c r="AL247" s="176">
        <v>2616128</v>
      </c>
      <c r="AM247" s="176">
        <v>0</v>
      </c>
      <c r="AN247" s="177">
        <v>0</v>
      </c>
      <c r="AO247" s="177">
        <v>0</v>
      </c>
      <c r="AP247" s="177">
        <v>7665791</v>
      </c>
      <c r="AQ247" s="177">
        <v>0</v>
      </c>
      <c r="AR247" s="177">
        <v>899771</v>
      </c>
      <c r="AS247" s="177">
        <v>0</v>
      </c>
      <c r="AT247" s="178">
        <v>2811278</v>
      </c>
      <c r="AU247" s="178">
        <v>0</v>
      </c>
      <c r="AV247" s="178">
        <v>5466943</v>
      </c>
      <c r="AW247" s="179">
        <v>0</v>
      </c>
      <c r="AX247" s="180">
        <v>0</v>
      </c>
      <c r="AY247" s="180">
        <v>0</v>
      </c>
      <c r="AZ247" s="180">
        <v>1426814</v>
      </c>
      <c r="BA247" s="180">
        <v>0</v>
      </c>
      <c r="BB247" s="170">
        <f t="shared" si="76"/>
        <v>35332942</v>
      </c>
      <c r="BC247" s="170">
        <v>35332943.229999997</v>
      </c>
      <c r="BD247" s="2">
        <f t="shared" si="77"/>
        <v>-1.2299999967217445</v>
      </c>
    </row>
    <row r="248" spans="1:56" ht="12" x14ac:dyDescent="0.2">
      <c r="A248" s="4">
        <v>836</v>
      </c>
      <c r="B248" s="4">
        <v>1</v>
      </c>
      <c r="C248" s="2" t="s">
        <v>250</v>
      </c>
      <c r="D248" s="3">
        <v>0</v>
      </c>
      <c r="E248" s="3">
        <v>0</v>
      </c>
      <c r="F248" s="227">
        <f t="shared" si="66"/>
        <v>226725</v>
      </c>
      <c r="G248" s="227">
        <f t="shared" si="67"/>
        <v>4787</v>
      </c>
      <c r="H248" s="227">
        <f t="shared" si="68"/>
        <v>0</v>
      </c>
      <c r="I248" s="227">
        <f t="shared" si="69"/>
        <v>175743</v>
      </c>
      <c r="J248" s="227">
        <f t="shared" si="70"/>
        <v>32745</v>
      </c>
      <c r="K248" s="227">
        <f t="shared" si="71"/>
        <v>0</v>
      </c>
      <c r="L248" s="227">
        <f t="shared" si="72"/>
        <v>0</v>
      </c>
      <c r="M248" s="3">
        <f t="shared" si="73"/>
        <v>0</v>
      </c>
      <c r="N248" s="227">
        <f t="shared" si="74"/>
        <v>0</v>
      </c>
      <c r="O248" s="142">
        <f t="shared" si="75"/>
        <v>440000</v>
      </c>
      <c r="P248" s="3">
        <f t="shared" si="59"/>
        <v>208488</v>
      </c>
      <c r="Q248" s="3">
        <f t="shared" si="60"/>
        <v>175743</v>
      </c>
      <c r="R248" s="3">
        <f t="shared" si="61"/>
        <v>32745</v>
      </c>
      <c r="S248" s="3">
        <f t="shared" si="62"/>
        <v>0</v>
      </c>
      <c r="T248" s="3">
        <f t="shared" si="63"/>
        <v>0</v>
      </c>
      <c r="U248" s="3">
        <f>IF($A$5=1,IF($P248=0,0,ROUND(Q248/$P248*$E248,2)),Credits!D247)+Credits!J247</f>
        <v>4099.79</v>
      </c>
      <c r="V248" s="3">
        <f>IF($A$5=1,IF($P248=0,0,ROUND(R248/$P248*$E248,2)),Credits!E247)+Credits!K247</f>
        <v>763.56999999999994</v>
      </c>
      <c r="W248" s="3">
        <f>IF($A$5=1,IF($P248=0,0,ROUND(S248/$P248*$E248,2)),Credits!F247)+Credits!L247</f>
        <v>0</v>
      </c>
      <c r="X248" s="3">
        <f>IF($A$5=1,IF($P248=0,0,ROUND(T248/$P248*$E248,2)),Credits!G247)+Credits!M247</f>
        <v>0</v>
      </c>
      <c r="Y248" s="3">
        <f t="shared" si="64"/>
        <v>4863.3599999999997</v>
      </c>
      <c r="AC248" s="4"/>
      <c r="AD248" s="4"/>
      <c r="AE248" s="2">
        <f t="shared" si="65"/>
        <v>0</v>
      </c>
      <c r="AF248" s="170" t="s">
        <v>1120</v>
      </c>
      <c r="AG248" s="175">
        <v>836</v>
      </c>
      <c r="AH248" s="175">
        <v>1</v>
      </c>
      <c r="AI248" s="175">
        <v>1</v>
      </c>
      <c r="AJ248" s="176">
        <v>226725</v>
      </c>
      <c r="AK248" s="176">
        <v>0</v>
      </c>
      <c r="AL248" s="176">
        <v>4787</v>
      </c>
      <c r="AM248" s="176">
        <v>0</v>
      </c>
      <c r="AN248" s="177">
        <v>0</v>
      </c>
      <c r="AO248" s="177">
        <v>0</v>
      </c>
      <c r="AP248" s="177">
        <v>175743</v>
      </c>
      <c r="AQ248" s="177">
        <v>0</v>
      </c>
      <c r="AR248" s="177">
        <v>32745</v>
      </c>
      <c r="AS248" s="177">
        <v>0</v>
      </c>
      <c r="AT248" s="178">
        <v>0</v>
      </c>
      <c r="AU248" s="178">
        <v>0</v>
      </c>
      <c r="AV248" s="178">
        <v>0</v>
      </c>
      <c r="AW248" s="179">
        <v>0</v>
      </c>
      <c r="AX248" s="180">
        <v>0</v>
      </c>
      <c r="AY248" s="180">
        <v>0</v>
      </c>
      <c r="AZ248" s="180">
        <v>0</v>
      </c>
      <c r="BA248" s="180">
        <v>0</v>
      </c>
      <c r="BB248" s="170">
        <f t="shared" si="76"/>
        <v>440000</v>
      </c>
      <c r="BC248" s="170">
        <v>440000</v>
      </c>
      <c r="BD248" s="2">
        <f t="shared" si="77"/>
        <v>0</v>
      </c>
    </row>
    <row r="249" spans="1:56" ht="12" x14ac:dyDescent="0.2">
      <c r="A249" s="4">
        <v>837</v>
      </c>
      <c r="B249" s="4">
        <v>1</v>
      </c>
      <c r="C249" s="2" t="s">
        <v>251</v>
      </c>
      <c r="D249" s="3">
        <v>0</v>
      </c>
      <c r="E249" s="3">
        <v>0</v>
      </c>
      <c r="F249" s="227">
        <f t="shared" si="66"/>
        <v>463731</v>
      </c>
      <c r="G249" s="227">
        <f t="shared" si="67"/>
        <v>37048</v>
      </c>
      <c r="H249" s="227">
        <f t="shared" si="68"/>
        <v>0</v>
      </c>
      <c r="I249" s="227">
        <f t="shared" si="69"/>
        <v>241400</v>
      </c>
      <c r="J249" s="227">
        <f t="shared" si="70"/>
        <v>52123</v>
      </c>
      <c r="K249" s="227">
        <f t="shared" si="71"/>
        <v>474563</v>
      </c>
      <c r="L249" s="227">
        <f t="shared" si="72"/>
        <v>253513</v>
      </c>
      <c r="M249" s="3">
        <f t="shared" si="73"/>
        <v>0</v>
      </c>
      <c r="N249" s="227">
        <f t="shared" si="74"/>
        <v>0</v>
      </c>
      <c r="O249" s="142">
        <f t="shared" si="75"/>
        <v>1522378</v>
      </c>
      <c r="P249" s="3">
        <f t="shared" si="59"/>
        <v>1021599</v>
      </c>
      <c r="Q249" s="3">
        <f t="shared" si="60"/>
        <v>241400</v>
      </c>
      <c r="R249" s="3">
        <f t="shared" si="61"/>
        <v>52123</v>
      </c>
      <c r="S249" s="3">
        <f t="shared" si="62"/>
        <v>728076</v>
      </c>
      <c r="T249" s="3">
        <f t="shared" si="63"/>
        <v>0</v>
      </c>
      <c r="U249" s="3">
        <f>IF($A$5=1,IF($P249=0,0,ROUND(Q249/$P249*$E249,2)),Credits!D248)+Credits!J248</f>
        <v>3563.7099999999996</v>
      </c>
      <c r="V249" s="3">
        <f>IF($A$5=1,IF($P249=0,0,ROUND(R249/$P249*$E249,2)),Credits!E248)+Credits!K248</f>
        <v>769.21999999999991</v>
      </c>
      <c r="W249" s="3">
        <f>IF($A$5=1,IF($P249=0,0,ROUND(S249/$P249*$E249,2)),Credits!F248)+Credits!L248</f>
        <v>10746.260000000002</v>
      </c>
      <c r="X249" s="3">
        <f>IF($A$5=1,IF($P249=0,0,ROUND(T249/$P249*$E249,2)),Credits!G248)+Credits!M248</f>
        <v>0</v>
      </c>
      <c r="Y249" s="3">
        <f t="shared" si="64"/>
        <v>15079.190000000002</v>
      </c>
      <c r="AC249" s="4"/>
      <c r="AD249" s="4"/>
      <c r="AE249" s="2">
        <f t="shared" si="65"/>
        <v>0</v>
      </c>
      <c r="AF249" s="170" t="s">
        <v>1120</v>
      </c>
      <c r="AG249" s="175">
        <v>837</v>
      </c>
      <c r="AH249" s="175">
        <v>1</v>
      </c>
      <c r="AI249" s="175">
        <v>1</v>
      </c>
      <c r="AJ249" s="176">
        <v>463731</v>
      </c>
      <c r="AK249" s="176">
        <v>0</v>
      </c>
      <c r="AL249" s="176">
        <v>37048</v>
      </c>
      <c r="AM249" s="176">
        <v>0</v>
      </c>
      <c r="AN249" s="177">
        <v>0</v>
      </c>
      <c r="AO249" s="177">
        <v>0</v>
      </c>
      <c r="AP249" s="177">
        <v>241400</v>
      </c>
      <c r="AQ249" s="177">
        <v>0</v>
      </c>
      <c r="AR249" s="177">
        <v>52123</v>
      </c>
      <c r="AS249" s="177">
        <v>0</v>
      </c>
      <c r="AT249" s="178">
        <v>474563</v>
      </c>
      <c r="AU249" s="178">
        <v>0</v>
      </c>
      <c r="AV249" s="178">
        <v>253513</v>
      </c>
      <c r="AW249" s="179">
        <v>0</v>
      </c>
      <c r="AX249" s="180">
        <v>0</v>
      </c>
      <c r="AY249" s="180">
        <v>0</v>
      </c>
      <c r="AZ249" s="180">
        <v>0</v>
      </c>
      <c r="BA249" s="180">
        <v>0</v>
      </c>
      <c r="BB249" s="170">
        <f t="shared" si="76"/>
        <v>1522378</v>
      </c>
      <c r="BC249" s="170">
        <v>1522377.99</v>
      </c>
      <c r="BD249" s="2">
        <f t="shared" si="77"/>
        <v>1.0000000009313226E-2</v>
      </c>
    </row>
    <row r="250" spans="1:56" ht="12" x14ac:dyDescent="0.2">
      <c r="A250" s="4">
        <v>840</v>
      </c>
      <c r="B250" s="4">
        <v>1</v>
      </c>
      <c r="C250" s="2" t="s">
        <v>252</v>
      </c>
      <c r="D250" s="3">
        <v>0</v>
      </c>
      <c r="E250" s="3">
        <v>0</v>
      </c>
      <c r="F250" s="227">
        <f t="shared" si="66"/>
        <v>473098</v>
      </c>
      <c r="G250" s="227">
        <f t="shared" si="67"/>
        <v>47976</v>
      </c>
      <c r="H250" s="227">
        <f t="shared" si="68"/>
        <v>0</v>
      </c>
      <c r="I250" s="227">
        <f t="shared" si="69"/>
        <v>681167</v>
      </c>
      <c r="J250" s="227">
        <f t="shared" si="70"/>
        <v>124377</v>
      </c>
      <c r="K250" s="227">
        <f t="shared" si="71"/>
        <v>0</v>
      </c>
      <c r="L250" s="227">
        <f t="shared" si="72"/>
        <v>352205</v>
      </c>
      <c r="M250" s="3">
        <f t="shared" si="73"/>
        <v>0</v>
      </c>
      <c r="N250" s="227">
        <f t="shared" si="74"/>
        <v>0</v>
      </c>
      <c r="O250" s="142">
        <f t="shared" si="75"/>
        <v>1678823</v>
      </c>
      <c r="P250" s="3">
        <f t="shared" si="59"/>
        <v>1157749</v>
      </c>
      <c r="Q250" s="3">
        <f t="shared" si="60"/>
        <v>681167</v>
      </c>
      <c r="R250" s="3">
        <f t="shared" si="61"/>
        <v>124377</v>
      </c>
      <c r="S250" s="3">
        <f t="shared" si="62"/>
        <v>352205</v>
      </c>
      <c r="T250" s="3">
        <f t="shared" si="63"/>
        <v>0</v>
      </c>
      <c r="U250" s="3">
        <f>IF($A$5=1,IF($P250=0,0,ROUND(Q250/$P250*$E250,2)),Credits!D249)+Credits!J249</f>
        <v>11085.680000000002</v>
      </c>
      <c r="V250" s="3">
        <f>IF($A$5=1,IF($P250=0,0,ROUND(R250/$P250*$E250,2)),Credits!E249)+Credits!K249</f>
        <v>2023.71</v>
      </c>
      <c r="W250" s="3">
        <f>IF($A$5=1,IF($P250=0,0,ROUND(S250/$P250*$E250,2)),Credits!F249)+Credits!L249</f>
        <v>5726.7999999999993</v>
      </c>
      <c r="X250" s="3">
        <f>IF($A$5=1,IF($P250=0,0,ROUND(T250/$P250*$E250,2)),Credits!G249)+Credits!M249</f>
        <v>0</v>
      </c>
      <c r="Y250" s="3">
        <f t="shared" si="64"/>
        <v>18836.190000000002</v>
      </c>
      <c r="AC250" s="4"/>
      <c r="AD250" s="4"/>
      <c r="AE250" s="2">
        <f t="shared" si="65"/>
        <v>0</v>
      </c>
      <c r="AF250" s="170" t="s">
        <v>1120</v>
      </c>
      <c r="AG250" s="175">
        <v>840</v>
      </c>
      <c r="AH250" s="175">
        <v>1</v>
      </c>
      <c r="AI250" s="175">
        <v>1</v>
      </c>
      <c r="AJ250" s="176">
        <v>473098</v>
      </c>
      <c r="AK250" s="176">
        <v>0</v>
      </c>
      <c r="AL250" s="176">
        <v>47976</v>
      </c>
      <c r="AM250" s="176">
        <v>0</v>
      </c>
      <c r="AN250" s="177">
        <v>0</v>
      </c>
      <c r="AO250" s="177">
        <v>0</v>
      </c>
      <c r="AP250" s="177">
        <v>681167</v>
      </c>
      <c r="AQ250" s="177">
        <v>0</v>
      </c>
      <c r="AR250" s="177">
        <v>124377</v>
      </c>
      <c r="AS250" s="177">
        <v>0</v>
      </c>
      <c r="AT250" s="178">
        <v>0</v>
      </c>
      <c r="AU250" s="178">
        <v>0</v>
      </c>
      <c r="AV250" s="178">
        <v>352205</v>
      </c>
      <c r="AW250" s="179">
        <v>0</v>
      </c>
      <c r="AX250" s="180">
        <v>0</v>
      </c>
      <c r="AY250" s="180">
        <v>0</v>
      </c>
      <c r="AZ250" s="180">
        <v>0</v>
      </c>
      <c r="BA250" s="180">
        <v>0</v>
      </c>
      <c r="BB250" s="170">
        <f t="shared" si="76"/>
        <v>1678823</v>
      </c>
      <c r="BC250" s="170">
        <v>1678823.44</v>
      </c>
      <c r="BD250" s="2">
        <f t="shared" si="77"/>
        <v>-0.43999999994412065</v>
      </c>
    </row>
    <row r="251" spans="1:56" ht="12" x14ac:dyDescent="0.2">
      <c r="A251" s="4">
        <v>846</v>
      </c>
      <c r="B251" s="4">
        <v>1</v>
      </c>
      <c r="C251" s="2" t="s">
        <v>253</v>
      </c>
      <c r="D251" s="3">
        <v>0</v>
      </c>
      <c r="E251" s="3">
        <v>0</v>
      </c>
      <c r="F251" s="227">
        <f t="shared" si="66"/>
        <v>585137.37</v>
      </c>
      <c r="G251" s="227">
        <f t="shared" si="67"/>
        <v>35857.42</v>
      </c>
      <c r="H251" s="227">
        <f t="shared" si="68"/>
        <v>0</v>
      </c>
      <c r="I251" s="227">
        <f t="shared" si="69"/>
        <v>373493.4</v>
      </c>
      <c r="J251" s="227">
        <f t="shared" si="70"/>
        <v>84021.63</v>
      </c>
      <c r="K251" s="227">
        <f t="shared" si="71"/>
        <v>306294.11</v>
      </c>
      <c r="L251" s="227">
        <f t="shared" si="72"/>
        <v>0</v>
      </c>
      <c r="M251" s="3">
        <f t="shared" si="73"/>
        <v>0</v>
      </c>
      <c r="N251" s="227">
        <f t="shared" si="74"/>
        <v>0</v>
      </c>
      <c r="O251" s="142">
        <f t="shared" si="75"/>
        <v>1384803.9300000002</v>
      </c>
      <c r="P251" s="3">
        <f t="shared" si="59"/>
        <v>763809.14</v>
      </c>
      <c r="Q251" s="3">
        <f t="shared" si="60"/>
        <v>373493.4</v>
      </c>
      <c r="R251" s="3">
        <f t="shared" si="61"/>
        <v>84021.63</v>
      </c>
      <c r="S251" s="3">
        <f t="shared" si="62"/>
        <v>306294.11</v>
      </c>
      <c r="T251" s="3">
        <f t="shared" si="63"/>
        <v>0</v>
      </c>
      <c r="U251" s="3">
        <f>IF($A$5=1,IF($P251=0,0,ROUND(Q251/$P251*$E251,2)),Credits!D250)+Credits!J250</f>
        <v>21102.71</v>
      </c>
      <c r="V251" s="3">
        <f>IF($A$5=1,IF($P251=0,0,ROUND(R251/$P251*$E251,2)),Credits!E250)+Credits!K250</f>
        <v>4751.4799999999996</v>
      </c>
      <c r="W251" s="3">
        <f>IF($A$5=1,IF($P251=0,0,ROUND(S251/$P251*$E251,2)),Credits!F250)+Credits!L250</f>
        <v>17306.72</v>
      </c>
      <c r="X251" s="3">
        <f>IF($A$5=1,IF($P251=0,0,ROUND(T251/$P251*$E251,2)),Credits!G250)+Credits!M250</f>
        <v>0</v>
      </c>
      <c r="Y251" s="3">
        <f t="shared" si="64"/>
        <v>43160.91</v>
      </c>
      <c r="AC251" s="4"/>
      <c r="AD251" s="4"/>
      <c r="AE251" s="2">
        <f t="shared" si="65"/>
        <v>0</v>
      </c>
      <c r="AF251" s="170" t="s">
        <v>1120</v>
      </c>
      <c r="AG251" s="175">
        <v>846</v>
      </c>
      <c r="AH251" s="175">
        <v>1</v>
      </c>
      <c r="AI251" s="175">
        <v>1</v>
      </c>
      <c r="AJ251" s="176">
        <v>585137.37</v>
      </c>
      <c r="AK251" s="176">
        <v>0</v>
      </c>
      <c r="AL251" s="176">
        <v>35857.42</v>
      </c>
      <c r="AM251" s="176">
        <v>0</v>
      </c>
      <c r="AN251" s="177">
        <v>0</v>
      </c>
      <c r="AO251" s="177">
        <v>0</v>
      </c>
      <c r="AP251" s="177">
        <v>373493.4</v>
      </c>
      <c r="AQ251" s="177">
        <v>0</v>
      </c>
      <c r="AR251" s="177">
        <v>84021.63</v>
      </c>
      <c r="AS251" s="177">
        <v>0</v>
      </c>
      <c r="AT251" s="178">
        <v>306294.11</v>
      </c>
      <c r="AU251" s="178">
        <v>0</v>
      </c>
      <c r="AV251" s="178">
        <v>0</v>
      </c>
      <c r="AW251" s="179">
        <v>0</v>
      </c>
      <c r="AX251" s="180">
        <v>0</v>
      </c>
      <c r="AY251" s="180">
        <v>0</v>
      </c>
      <c r="AZ251" s="180">
        <v>0</v>
      </c>
      <c r="BA251" s="180">
        <v>0</v>
      </c>
      <c r="BB251" s="170">
        <f t="shared" si="76"/>
        <v>1384803.9300000002</v>
      </c>
      <c r="BC251" s="170">
        <v>1384803.93</v>
      </c>
      <c r="BD251" s="2">
        <f t="shared" si="77"/>
        <v>0</v>
      </c>
    </row>
    <row r="252" spans="1:56" ht="12" x14ac:dyDescent="0.2">
      <c r="A252" s="4">
        <v>850</v>
      </c>
      <c r="B252" s="4">
        <v>1</v>
      </c>
      <c r="C252" s="2" t="s">
        <v>254</v>
      </c>
      <c r="D252" s="3">
        <v>0</v>
      </c>
      <c r="E252" s="3">
        <v>0</v>
      </c>
      <c r="F252" s="227">
        <f t="shared" si="66"/>
        <v>63432.01</v>
      </c>
      <c r="G252" s="227">
        <f t="shared" si="67"/>
        <v>10003.81</v>
      </c>
      <c r="H252" s="227">
        <f t="shared" si="68"/>
        <v>0</v>
      </c>
      <c r="I252" s="227">
        <f t="shared" si="69"/>
        <v>205069.61</v>
      </c>
      <c r="J252" s="227">
        <f t="shared" si="70"/>
        <v>22090.93</v>
      </c>
      <c r="K252" s="227">
        <f t="shared" si="71"/>
        <v>1254164</v>
      </c>
      <c r="L252" s="227">
        <f t="shared" si="72"/>
        <v>0</v>
      </c>
      <c r="M252" s="3">
        <f t="shared" si="73"/>
        <v>0</v>
      </c>
      <c r="N252" s="227">
        <f t="shared" si="74"/>
        <v>0</v>
      </c>
      <c r="O252" s="142">
        <f t="shared" si="75"/>
        <v>1554760.3599999999</v>
      </c>
      <c r="P252" s="3">
        <f t="shared" si="59"/>
        <v>1481324.54</v>
      </c>
      <c r="Q252" s="3">
        <f t="shared" si="60"/>
        <v>205069.61</v>
      </c>
      <c r="R252" s="3">
        <f t="shared" si="61"/>
        <v>22090.93</v>
      </c>
      <c r="S252" s="3">
        <f t="shared" si="62"/>
        <v>1254164</v>
      </c>
      <c r="T252" s="3">
        <f t="shared" si="63"/>
        <v>0</v>
      </c>
      <c r="U252" s="3">
        <f>IF($A$5=1,IF($P252=0,0,ROUND(Q252/$P252*$E252,2)),Credits!D251)+Credits!J251</f>
        <v>2394.4700000000003</v>
      </c>
      <c r="V252" s="3">
        <f>IF($A$5=1,IF($P252=0,0,ROUND(R252/$P252*$E252,2)),Credits!E251)+Credits!K251</f>
        <v>258.11999999999995</v>
      </c>
      <c r="W252" s="3">
        <f>IF($A$5=1,IF($P252=0,0,ROUND(S252/$P252*$E252,2)),Credits!F251)+Credits!L251</f>
        <v>14643.710000000001</v>
      </c>
      <c r="X252" s="3">
        <f>IF($A$5=1,IF($P252=0,0,ROUND(T252/$P252*$E252,2)),Credits!G251)+Credits!M251</f>
        <v>0</v>
      </c>
      <c r="Y252" s="3">
        <f t="shared" si="64"/>
        <v>17296.300000000003</v>
      </c>
      <c r="AC252" s="4"/>
      <c r="AD252" s="4"/>
      <c r="AE252" s="2">
        <f t="shared" si="65"/>
        <v>0</v>
      </c>
      <c r="AF252" s="170" t="s">
        <v>1120</v>
      </c>
      <c r="AG252" s="175">
        <v>850</v>
      </c>
      <c r="AH252" s="175">
        <v>1</v>
      </c>
      <c r="AI252" s="175">
        <v>1</v>
      </c>
      <c r="AJ252" s="176">
        <v>63432.01</v>
      </c>
      <c r="AK252" s="176">
        <v>0</v>
      </c>
      <c r="AL252" s="176">
        <v>10003.81</v>
      </c>
      <c r="AM252" s="176">
        <v>0</v>
      </c>
      <c r="AN252" s="177">
        <v>0</v>
      </c>
      <c r="AO252" s="177">
        <v>0</v>
      </c>
      <c r="AP252" s="177">
        <v>205069.61</v>
      </c>
      <c r="AQ252" s="177">
        <v>0</v>
      </c>
      <c r="AR252" s="177">
        <v>22090.93</v>
      </c>
      <c r="AS252" s="177">
        <v>0</v>
      </c>
      <c r="AT252" s="178">
        <v>1254164</v>
      </c>
      <c r="AU252" s="178">
        <v>0</v>
      </c>
      <c r="AV252" s="178">
        <v>0</v>
      </c>
      <c r="AW252" s="179">
        <v>0</v>
      </c>
      <c r="AX252" s="180">
        <v>0</v>
      </c>
      <c r="AY252" s="180">
        <v>0</v>
      </c>
      <c r="AZ252" s="180">
        <v>0</v>
      </c>
      <c r="BA252" s="180">
        <v>0</v>
      </c>
      <c r="BB252" s="170">
        <f t="shared" si="76"/>
        <v>1554760.3599999999</v>
      </c>
      <c r="BC252" s="170">
        <v>1554760.36</v>
      </c>
      <c r="BD252" s="2">
        <f t="shared" si="77"/>
        <v>0</v>
      </c>
    </row>
    <row r="253" spans="1:56" ht="12" x14ac:dyDescent="0.2">
      <c r="A253" s="4">
        <v>852</v>
      </c>
      <c r="B253" s="4">
        <v>1</v>
      </c>
      <c r="C253" s="2" t="s">
        <v>255</v>
      </c>
      <c r="D253" s="3">
        <v>0</v>
      </c>
      <c r="E253" s="3">
        <v>0</v>
      </c>
      <c r="F253" s="227">
        <f t="shared" si="66"/>
        <v>239501.02</v>
      </c>
      <c r="G253" s="227">
        <f t="shared" si="67"/>
        <v>3565.06</v>
      </c>
      <c r="H253" s="227">
        <f t="shared" si="68"/>
        <v>0</v>
      </c>
      <c r="I253" s="227">
        <f t="shared" si="69"/>
        <v>97620</v>
      </c>
      <c r="J253" s="227">
        <f t="shared" si="70"/>
        <v>21753.42</v>
      </c>
      <c r="K253" s="227">
        <f t="shared" si="71"/>
        <v>0</v>
      </c>
      <c r="L253" s="227">
        <f t="shared" si="72"/>
        <v>248003</v>
      </c>
      <c r="M253" s="3">
        <f t="shared" si="73"/>
        <v>0</v>
      </c>
      <c r="N253" s="227">
        <f t="shared" si="74"/>
        <v>0</v>
      </c>
      <c r="O253" s="142">
        <f t="shared" si="75"/>
        <v>610442.5</v>
      </c>
      <c r="P253" s="3">
        <f t="shared" si="59"/>
        <v>367376.42</v>
      </c>
      <c r="Q253" s="3">
        <f t="shared" si="60"/>
        <v>97620</v>
      </c>
      <c r="R253" s="3">
        <f t="shared" si="61"/>
        <v>21753.42</v>
      </c>
      <c r="S253" s="3">
        <f t="shared" si="62"/>
        <v>248003</v>
      </c>
      <c r="T253" s="3">
        <f t="shared" si="63"/>
        <v>0</v>
      </c>
      <c r="U253" s="3">
        <f>IF($A$5=1,IF($P253=0,0,ROUND(Q253/$P253*$E253,2)),Credits!D252)+Credits!J252</f>
        <v>738.25999999999988</v>
      </c>
      <c r="V253" s="3">
        <f>IF($A$5=1,IF($P253=0,0,ROUND(R253/$P253*$E253,2)),Credits!E252)+Credits!K252</f>
        <v>164.95000000000002</v>
      </c>
      <c r="W253" s="3">
        <f>IF($A$5=1,IF($P253=0,0,ROUND(S253/$P253*$E253,2)),Credits!F252)+Credits!L252</f>
        <v>1876.4000000000003</v>
      </c>
      <c r="X253" s="3">
        <f>IF($A$5=1,IF($P253=0,0,ROUND(T253/$P253*$E253,2)),Credits!G252)+Credits!M252</f>
        <v>0</v>
      </c>
      <c r="Y253" s="3">
        <f t="shared" si="64"/>
        <v>2779.61</v>
      </c>
      <c r="AC253" s="4"/>
      <c r="AD253" s="4"/>
      <c r="AE253" s="2">
        <f t="shared" si="65"/>
        <v>0</v>
      </c>
      <c r="AF253" s="170" t="s">
        <v>1120</v>
      </c>
      <c r="AG253" s="175">
        <v>852</v>
      </c>
      <c r="AH253" s="175">
        <v>1</v>
      </c>
      <c r="AI253" s="175">
        <v>1</v>
      </c>
      <c r="AJ253" s="176">
        <v>239501.02</v>
      </c>
      <c r="AK253" s="176">
        <v>0</v>
      </c>
      <c r="AL253" s="176">
        <v>3565.06</v>
      </c>
      <c r="AM253" s="176">
        <v>0</v>
      </c>
      <c r="AN253" s="177">
        <v>0</v>
      </c>
      <c r="AO253" s="177">
        <v>0</v>
      </c>
      <c r="AP253" s="177">
        <v>97620</v>
      </c>
      <c r="AQ253" s="177">
        <v>0</v>
      </c>
      <c r="AR253" s="177">
        <v>21753.42</v>
      </c>
      <c r="AS253" s="177">
        <v>0</v>
      </c>
      <c r="AT253" s="178">
        <v>0</v>
      </c>
      <c r="AU253" s="178">
        <v>0</v>
      </c>
      <c r="AV253" s="178">
        <v>248003</v>
      </c>
      <c r="AW253" s="179">
        <v>0</v>
      </c>
      <c r="AX253" s="180">
        <v>0</v>
      </c>
      <c r="AY253" s="180">
        <v>0</v>
      </c>
      <c r="AZ253" s="180">
        <v>0</v>
      </c>
      <c r="BA253" s="180">
        <v>0</v>
      </c>
      <c r="BB253" s="170">
        <f t="shared" si="76"/>
        <v>610442.5</v>
      </c>
      <c r="BC253" s="170">
        <v>610442.5</v>
      </c>
      <c r="BD253" s="2">
        <f t="shared" si="77"/>
        <v>0</v>
      </c>
    </row>
    <row r="254" spans="1:56" ht="12" x14ac:dyDescent="0.2">
      <c r="A254" s="4">
        <v>857</v>
      </c>
      <c r="B254" s="4">
        <v>1</v>
      </c>
      <c r="C254" s="2" t="s">
        <v>256</v>
      </c>
      <c r="D254" s="3">
        <v>0</v>
      </c>
      <c r="E254" s="3">
        <v>0</v>
      </c>
      <c r="F254" s="227">
        <f t="shared" si="66"/>
        <v>358863</v>
      </c>
      <c r="G254" s="227">
        <f t="shared" si="67"/>
        <v>48208</v>
      </c>
      <c r="H254" s="227">
        <f t="shared" si="68"/>
        <v>0</v>
      </c>
      <c r="I254" s="227">
        <f t="shared" si="69"/>
        <v>39194</v>
      </c>
      <c r="J254" s="227">
        <f t="shared" si="70"/>
        <v>64333</v>
      </c>
      <c r="K254" s="227">
        <f t="shared" si="71"/>
        <v>307659</v>
      </c>
      <c r="L254" s="227">
        <f t="shared" si="72"/>
        <v>106665</v>
      </c>
      <c r="M254" s="3">
        <f t="shared" si="73"/>
        <v>0</v>
      </c>
      <c r="N254" s="227">
        <f t="shared" si="74"/>
        <v>0</v>
      </c>
      <c r="O254" s="142">
        <f t="shared" si="75"/>
        <v>924922</v>
      </c>
      <c r="P254" s="3">
        <f t="shared" si="59"/>
        <v>517851</v>
      </c>
      <c r="Q254" s="3">
        <f t="shared" si="60"/>
        <v>39194</v>
      </c>
      <c r="R254" s="3">
        <f t="shared" si="61"/>
        <v>64333</v>
      </c>
      <c r="S254" s="3">
        <f t="shared" si="62"/>
        <v>414324</v>
      </c>
      <c r="T254" s="3">
        <f t="shared" si="63"/>
        <v>0</v>
      </c>
      <c r="U254" s="3">
        <f>IF($A$5=1,IF($P254=0,0,ROUND(Q254/$P254*$E254,2)),Credits!D253)+Credits!J253</f>
        <v>1215.02</v>
      </c>
      <c r="V254" s="3">
        <f>IF($A$5=1,IF($P254=0,0,ROUND(R254/$P254*$E254,2)),Credits!E253)+Credits!K253</f>
        <v>1992.8400000000001</v>
      </c>
      <c r="W254" s="3">
        <f>IF($A$5=1,IF($P254=0,0,ROUND(S254/$P254*$E254,2)),Credits!F253)+Credits!L253</f>
        <v>12829.9</v>
      </c>
      <c r="X254" s="3">
        <f>IF($A$5=1,IF($P254=0,0,ROUND(T254/$P254*$E254,2)),Credits!G253)+Credits!M253</f>
        <v>0</v>
      </c>
      <c r="Y254" s="3">
        <f t="shared" si="64"/>
        <v>16037.76</v>
      </c>
      <c r="AC254" s="4"/>
      <c r="AD254" s="4"/>
      <c r="AE254" s="2">
        <f t="shared" si="65"/>
        <v>0</v>
      </c>
      <c r="AF254" s="170" t="s">
        <v>1120</v>
      </c>
      <c r="AG254" s="175">
        <v>857</v>
      </c>
      <c r="AH254" s="175">
        <v>1</v>
      </c>
      <c r="AI254" s="175">
        <v>1</v>
      </c>
      <c r="AJ254" s="176">
        <v>358863</v>
      </c>
      <c r="AK254" s="176">
        <v>0</v>
      </c>
      <c r="AL254" s="176">
        <v>48208</v>
      </c>
      <c r="AM254" s="176">
        <v>0</v>
      </c>
      <c r="AN254" s="177">
        <v>0</v>
      </c>
      <c r="AO254" s="177">
        <v>0</v>
      </c>
      <c r="AP254" s="177">
        <v>39194</v>
      </c>
      <c r="AQ254" s="177">
        <v>0</v>
      </c>
      <c r="AR254" s="177">
        <v>64333</v>
      </c>
      <c r="AS254" s="177">
        <v>0</v>
      </c>
      <c r="AT254" s="178">
        <v>307659</v>
      </c>
      <c r="AU254" s="178">
        <v>0</v>
      </c>
      <c r="AV254" s="178">
        <v>106665</v>
      </c>
      <c r="AW254" s="179">
        <v>0</v>
      </c>
      <c r="AX254" s="180">
        <v>0</v>
      </c>
      <c r="AY254" s="180">
        <v>0</v>
      </c>
      <c r="AZ254" s="180">
        <v>0</v>
      </c>
      <c r="BA254" s="180">
        <v>0</v>
      </c>
      <c r="BB254" s="170">
        <f t="shared" si="76"/>
        <v>924922</v>
      </c>
      <c r="BC254" s="170">
        <v>924922.48</v>
      </c>
      <c r="BD254" s="2">
        <f t="shared" si="77"/>
        <v>-0.47999999998137355</v>
      </c>
    </row>
    <row r="255" spans="1:56" ht="12" x14ac:dyDescent="0.2">
      <c r="A255" s="4">
        <v>858</v>
      </c>
      <c r="B255" s="4">
        <v>1</v>
      </c>
      <c r="C255" s="2" t="s">
        <v>257</v>
      </c>
      <c r="D255" s="3">
        <v>0</v>
      </c>
      <c r="E255" s="3">
        <v>0</v>
      </c>
      <c r="F255" s="227">
        <f t="shared" si="66"/>
        <v>126790</v>
      </c>
      <c r="G255" s="227">
        <f t="shared" si="67"/>
        <v>85587</v>
      </c>
      <c r="H255" s="227">
        <f t="shared" si="68"/>
        <v>0</v>
      </c>
      <c r="I255" s="227">
        <f t="shared" si="69"/>
        <v>229262</v>
      </c>
      <c r="J255" s="227">
        <f t="shared" si="70"/>
        <v>66727</v>
      </c>
      <c r="K255" s="227">
        <f t="shared" si="71"/>
        <v>713051</v>
      </c>
      <c r="L255" s="227">
        <f t="shared" si="72"/>
        <v>0</v>
      </c>
      <c r="M255" s="3">
        <f t="shared" si="73"/>
        <v>0</v>
      </c>
      <c r="N255" s="227">
        <f t="shared" si="74"/>
        <v>0</v>
      </c>
      <c r="O255" s="142">
        <f t="shared" si="75"/>
        <v>1221417</v>
      </c>
      <c r="P255" s="3">
        <f t="shared" si="59"/>
        <v>1009040</v>
      </c>
      <c r="Q255" s="3">
        <f t="shared" si="60"/>
        <v>229262</v>
      </c>
      <c r="R255" s="3">
        <f t="shared" si="61"/>
        <v>66727</v>
      </c>
      <c r="S255" s="3">
        <f t="shared" si="62"/>
        <v>713051</v>
      </c>
      <c r="T255" s="3">
        <f t="shared" si="63"/>
        <v>0</v>
      </c>
      <c r="U255" s="3">
        <f>IF($A$5=1,IF($P255=0,0,ROUND(Q255/$P255*$E255,2)),Credits!D254)+Credits!J254</f>
        <v>4632.54</v>
      </c>
      <c r="V255" s="3">
        <f>IF($A$5=1,IF($P255=0,0,ROUND(R255/$P255*$E255,2)),Credits!E254)+Credits!K254</f>
        <v>1348.28</v>
      </c>
      <c r="W255" s="3">
        <f>IF($A$5=1,IF($P255=0,0,ROUND(S255/$P255*$E255,2)),Credits!F254)+Credits!L254</f>
        <v>14380.55</v>
      </c>
      <c r="X255" s="3">
        <f>IF($A$5=1,IF($P255=0,0,ROUND(T255/$P255*$E255,2)),Credits!G254)+Credits!M254</f>
        <v>0</v>
      </c>
      <c r="Y255" s="3">
        <f t="shared" si="64"/>
        <v>20361.37</v>
      </c>
      <c r="AC255" s="4"/>
      <c r="AD255" s="4"/>
      <c r="AE255" s="2">
        <f t="shared" si="65"/>
        <v>0</v>
      </c>
      <c r="AF255" s="170" t="s">
        <v>1120</v>
      </c>
      <c r="AG255" s="175">
        <v>858</v>
      </c>
      <c r="AH255" s="175">
        <v>1</v>
      </c>
      <c r="AI255" s="175">
        <v>1</v>
      </c>
      <c r="AJ255" s="176">
        <v>126790</v>
      </c>
      <c r="AK255" s="176">
        <v>0</v>
      </c>
      <c r="AL255" s="176">
        <v>85587</v>
      </c>
      <c r="AM255" s="176">
        <v>0</v>
      </c>
      <c r="AN255" s="177">
        <v>0</v>
      </c>
      <c r="AO255" s="177">
        <v>0</v>
      </c>
      <c r="AP255" s="177">
        <v>229262</v>
      </c>
      <c r="AQ255" s="177">
        <v>0</v>
      </c>
      <c r="AR255" s="177">
        <v>66727</v>
      </c>
      <c r="AS255" s="177">
        <v>0</v>
      </c>
      <c r="AT255" s="178">
        <v>713051</v>
      </c>
      <c r="AU255" s="178">
        <v>0</v>
      </c>
      <c r="AV255" s="178">
        <v>0</v>
      </c>
      <c r="AW255" s="179">
        <v>0</v>
      </c>
      <c r="AX255" s="180">
        <v>0</v>
      </c>
      <c r="AY255" s="180">
        <v>0</v>
      </c>
      <c r="AZ255" s="180">
        <v>0</v>
      </c>
      <c r="BA255" s="180">
        <v>0</v>
      </c>
      <c r="BB255" s="170">
        <f t="shared" si="76"/>
        <v>1221417</v>
      </c>
      <c r="BC255" s="170">
        <v>1221417.49</v>
      </c>
      <c r="BD255" s="2">
        <f t="shared" si="77"/>
        <v>-0.48999999999068677</v>
      </c>
    </row>
    <row r="256" spans="1:56" ht="12" x14ac:dyDescent="0.2">
      <c r="A256" s="4">
        <v>861</v>
      </c>
      <c r="B256" s="4">
        <v>1</v>
      </c>
      <c r="C256" s="2" t="s">
        <v>1196</v>
      </c>
      <c r="D256" s="3">
        <v>0</v>
      </c>
      <c r="E256" s="3">
        <v>0</v>
      </c>
      <c r="F256" s="227">
        <f t="shared" si="66"/>
        <v>6049234</v>
      </c>
      <c r="G256" s="227">
        <f t="shared" si="67"/>
        <v>1050376</v>
      </c>
      <c r="H256" s="227">
        <f t="shared" si="68"/>
        <v>0</v>
      </c>
      <c r="I256" s="227">
        <f t="shared" si="69"/>
        <v>1264792</v>
      </c>
      <c r="J256" s="227">
        <f t="shared" si="70"/>
        <v>361492</v>
      </c>
      <c r="K256" s="227">
        <f t="shared" si="71"/>
        <v>1577097</v>
      </c>
      <c r="L256" s="227">
        <f t="shared" si="72"/>
        <v>529367</v>
      </c>
      <c r="M256" s="3">
        <f t="shared" si="73"/>
        <v>0</v>
      </c>
      <c r="N256" s="227">
        <f t="shared" si="74"/>
        <v>750277</v>
      </c>
      <c r="O256" s="142">
        <f t="shared" si="75"/>
        <v>11582635</v>
      </c>
      <c r="P256" s="3">
        <f t="shared" si="59"/>
        <v>4483025</v>
      </c>
      <c r="Q256" s="3">
        <f t="shared" si="60"/>
        <v>1264792</v>
      </c>
      <c r="R256" s="3">
        <f t="shared" si="61"/>
        <v>361492</v>
      </c>
      <c r="S256" s="3">
        <f t="shared" si="62"/>
        <v>2106464</v>
      </c>
      <c r="T256" s="3">
        <f t="shared" si="63"/>
        <v>750277</v>
      </c>
      <c r="U256" s="3">
        <f>IF($A$5=1,IF($P256=0,0,ROUND(Q256/$P256*$E256,2)),Credits!D255)+Credits!J255</f>
        <v>22210.39</v>
      </c>
      <c r="V256" s="3">
        <f>IF($A$5=1,IF($P256=0,0,ROUND(R256/$P256*$E256,2)),Credits!E255)+Credits!K255</f>
        <v>6348.5999999999995</v>
      </c>
      <c r="W256" s="3">
        <f>IF($A$5=1,IF($P256=0,0,ROUND(S256/$P256*$E256,2)),Credits!F255)+Credits!L255</f>
        <v>36804.340000000004</v>
      </c>
      <c r="X256" s="3">
        <f>IF($A$5=1,IF($P256=0,0,ROUND(T256/$P256*$E256,2)),Credits!G255)+Credits!M255</f>
        <v>13109.99</v>
      </c>
      <c r="Y256" s="3">
        <f t="shared" si="64"/>
        <v>78473.320000000007</v>
      </c>
      <c r="AC256" s="4"/>
      <c r="AD256" s="4"/>
      <c r="AE256" s="2">
        <f t="shared" si="65"/>
        <v>0</v>
      </c>
      <c r="AF256" s="170" t="s">
        <v>1120</v>
      </c>
      <c r="AG256" s="175">
        <v>861</v>
      </c>
      <c r="AH256" s="175">
        <v>1</v>
      </c>
      <c r="AI256" s="175">
        <v>1</v>
      </c>
      <c r="AJ256" s="176">
        <v>6049234</v>
      </c>
      <c r="AK256" s="176">
        <v>0</v>
      </c>
      <c r="AL256" s="176">
        <v>1050376</v>
      </c>
      <c r="AM256" s="176">
        <v>0</v>
      </c>
      <c r="AN256" s="177">
        <v>0</v>
      </c>
      <c r="AO256" s="177">
        <v>0</v>
      </c>
      <c r="AP256" s="177">
        <v>1264792</v>
      </c>
      <c r="AQ256" s="177">
        <v>0</v>
      </c>
      <c r="AR256" s="177">
        <v>361492</v>
      </c>
      <c r="AS256" s="177">
        <v>0</v>
      </c>
      <c r="AT256" s="178">
        <v>1577097</v>
      </c>
      <c r="AU256" s="178">
        <v>0</v>
      </c>
      <c r="AV256" s="178">
        <v>529367</v>
      </c>
      <c r="AW256" s="179">
        <v>0</v>
      </c>
      <c r="AX256" s="180">
        <v>0</v>
      </c>
      <c r="AY256" s="180">
        <v>0</v>
      </c>
      <c r="AZ256" s="180">
        <v>750277</v>
      </c>
      <c r="BA256" s="180">
        <v>0</v>
      </c>
      <c r="BB256" s="170">
        <f t="shared" si="76"/>
        <v>11582635</v>
      </c>
      <c r="BC256" s="170">
        <v>11582636.380000001</v>
      </c>
      <c r="BD256" s="2">
        <f t="shared" si="77"/>
        <v>-1.3800000008195639</v>
      </c>
    </row>
    <row r="257" spans="1:56" ht="12" x14ac:dyDescent="0.2">
      <c r="A257" s="4">
        <v>876</v>
      </c>
      <c r="B257" s="4">
        <v>1</v>
      </c>
      <c r="C257" s="2" t="s">
        <v>259</v>
      </c>
      <c r="D257" s="3">
        <v>0</v>
      </c>
      <c r="E257" s="3">
        <v>0</v>
      </c>
      <c r="F257" s="227">
        <f t="shared" si="66"/>
        <v>1061712.8700000001</v>
      </c>
      <c r="G257" s="227">
        <f t="shared" si="67"/>
        <v>220678.2</v>
      </c>
      <c r="H257" s="227">
        <f t="shared" si="68"/>
        <v>0</v>
      </c>
      <c r="I257" s="227">
        <f t="shared" si="69"/>
        <v>775645.67</v>
      </c>
      <c r="J257" s="227">
        <f t="shared" si="70"/>
        <v>153758.47</v>
      </c>
      <c r="K257" s="227">
        <f t="shared" si="71"/>
        <v>2431298.64</v>
      </c>
      <c r="L257" s="227">
        <f t="shared" si="72"/>
        <v>0</v>
      </c>
      <c r="M257" s="3">
        <f t="shared" si="73"/>
        <v>0</v>
      </c>
      <c r="N257" s="227">
        <f t="shared" si="74"/>
        <v>0</v>
      </c>
      <c r="O257" s="142">
        <f t="shared" si="75"/>
        <v>4643093.8500000006</v>
      </c>
      <c r="P257" s="3">
        <f t="shared" si="59"/>
        <v>3360702.7800000003</v>
      </c>
      <c r="Q257" s="3">
        <f t="shared" si="60"/>
        <v>775645.67</v>
      </c>
      <c r="R257" s="3">
        <f t="shared" si="61"/>
        <v>153758.47</v>
      </c>
      <c r="S257" s="3">
        <f t="shared" si="62"/>
        <v>2431298.64</v>
      </c>
      <c r="T257" s="3">
        <f t="shared" si="63"/>
        <v>0</v>
      </c>
      <c r="U257" s="3">
        <f>IF($A$5=1,IF($P257=0,0,ROUND(Q257/$P257*$E257,2)),Credits!D256)+Credits!J256</f>
        <v>6252.59</v>
      </c>
      <c r="V257" s="3">
        <f>IF($A$5=1,IF($P257=0,0,ROUND(R257/$P257*$E257,2)),Credits!E256)+Credits!K256</f>
        <v>1239.9000000000003</v>
      </c>
      <c r="W257" s="3">
        <f>IF($A$5=1,IF($P257=0,0,ROUND(S257/$P257*$E257,2)),Credits!F256)+Credits!L256</f>
        <v>19600.019999999997</v>
      </c>
      <c r="X257" s="3">
        <f>IF($A$5=1,IF($P257=0,0,ROUND(T257/$P257*$E257,2)),Credits!G256)+Credits!M256</f>
        <v>0</v>
      </c>
      <c r="Y257" s="3">
        <f t="shared" si="64"/>
        <v>27092.51</v>
      </c>
      <c r="AC257" s="4"/>
      <c r="AD257" s="4"/>
      <c r="AE257" s="2">
        <f t="shared" si="65"/>
        <v>0</v>
      </c>
      <c r="AF257" s="170" t="s">
        <v>1120</v>
      </c>
      <c r="AG257" s="175">
        <v>876</v>
      </c>
      <c r="AH257" s="175">
        <v>1</v>
      </c>
      <c r="AI257" s="175">
        <v>1</v>
      </c>
      <c r="AJ257" s="176">
        <v>1061712.8700000001</v>
      </c>
      <c r="AK257" s="176">
        <v>0</v>
      </c>
      <c r="AL257" s="176">
        <v>220678.2</v>
      </c>
      <c r="AM257" s="176">
        <v>0</v>
      </c>
      <c r="AN257" s="177">
        <v>0</v>
      </c>
      <c r="AO257" s="177">
        <v>0</v>
      </c>
      <c r="AP257" s="177">
        <v>775645.67</v>
      </c>
      <c r="AQ257" s="177">
        <v>0</v>
      </c>
      <c r="AR257" s="177">
        <v>153758.47</v>
      </c>
      <c r="AS257" s="177">
        <v>0</v>
      </c>
      <c r="AT257" s="178">
        <v>2431298.64</v>
      </c>
      <c r="AU257" s="178">
        <v>0</v>
      </c>
      <c r="AV257" s="178">
        <v>0</v>
      </c>
      <c r="AW257" s="179">
        <v>0</v>
      </c>
      <c r="AX257" s="180">
        <v>0</v>
      </c>
      <c r="AY257" s="180">
        <v>0</v>
      </c>
      <c r="AZ257" s="180">
        <v>0</v>
      </c>
      <c r="BA257" s="180">
        <v>0</v>
      </c>
      <c r="BB257" s="170">
        <f t="shared" si="76"/>
        <v>4643093.8500000006</v>
      </c>
      <c r="BC257" s="170">
        <v>4643093.8499999996</v>
      </c>
      <c r="BD257" s="2">
        <f t="shared" si="77"/>
        <v>0</v>
      </c>
    </row>
    <row r="258" spans="1:56" ht="12" x14ac:dyDescent="0.2">
      <c r="A258" s="4">
        <v>877</v>
      </c>
      <c r="B258" s="4">
        <v>1</v>
      </c>
      <c r="C258" s="2" t="s">
        <v>1005</v>
      </c>
      <c r="D258" s="3">
        <v>0</v>
      </c>
      <c r="E258" s="3">
        <v>0</v>
      </c>
      <c r="F258" s="227">
        <f t="shared" si="66"/>
        <v>277276.26</v>
      </c>
      <c r="G258" s="227">
        <f t="shared" si="67"/>
        <v>2929317.2</v>
      </c>
      <c r="H258" s="227">
        <f t="shared" si="68"/>
        <v>0</v>
      </c>
      <c r="I258" s="227">
        <f t="shared" si="69"/>
        <v>1834058.44</v>
      </c>
      <c r="J258" s="227">
        <f t="shared" si="70"/>
        <v>479555.11</v>
      </c>
      <c r="K258" s="227">
        <f t="shared" si="71"/>
        <v>5323378.67</v>
      </c>
      <c r="L258" s="227">
        <f t="shared" si="72"/>
        <v>936617.22</v>
      </c>
      <c r="M258" s="3">
        <f t="shared" si="73"/>
        <v>0</v>
      </c>
      <c r="N258" s="227">
        <f t="shared" si="74"/>
        <v>492255.87</v>
      </c>
      <c r="O258" s="142">
        <f t="shared" si="75"/>
        <v>12272458.77</v>
      </c>
      <c r="P258" s="3">
        <f t="shared" si="59"/>
        <v>9065865.3099999987</v>
      </c>
      <c r="Q258" s="3">
        <f t="shared" si="60"/>
        <v>1834058.44</v>
      </c>
      <c r="R258" s="3">
        <f t="shared" si="61"/>
        <v>479555.11</v>
      </c>
      <c r="S258" s="3">
        <f t="shared" si="62"/>
        <v>6259995.8899999997</v>
      </c>
      <c r="T258" s="3">
        <f t="shared" si="63"/>
        <v>492255.87</v>
      </c>
      <c r="U258" s="3">
        <f>IF($A$5=1,IF($P258=0,0,ROUND(Q258/$P258*$E258,2)),Credits!D257)+Credits!J257</f>
        <v>9774.43</v>
      </c>
      <c r="V258" s="3">
        <f>IF($A$5=1,IF($P258=0,0,ROUND(R258/$P258*$E258,2)),Credits!E257)+Credits!K257</f>
        <v>2555.2100000000009</v>
      </c>
      <c r="W258" s="3">
        <f>IF($A$5=1,IF($P258=0,0,ROUND(S258/$P258*$E258,2)),Credits!F257)+Credits!L257</f>
        <v>33358.670000000006</v>
      </c>
      <c r="X258" s="3">
        <f>IF($A$5=1,IF($P258=0,0,ROUND(T258/$P258*$E258,2)),Credits!G257)+Credits!M257</f>
        <v>2623.6500000000005</v>
      </c>
      <c r="Y258" s="3">
        <f t="shared" si="64"/>
        <v>48311.960000000006</v>
      </c>
      <c r="AC258" s="4"/>
      <c r="AD258" s="4"/>
      <c r="AE258" s="2">
        <f t="shared" si="65"/>
        <v>0</v>
      </c>
      <c r="AF258" s="170" t="s">
        <v>1120</v>
      </c>
      <c r="AG258" s="175">
        <v>877</v>
      </c>
      <c r="AH258" s="175">
        <v>1</v>
      </c>
      <c r="AI258" s="175">
        <v>1</v>
      </c>
      <c r="AJ258" s="176">
        <v>277276.26</v>
      </c>
      <c r="AK258" s="176">
        <v>0</v>
      </c>
      <c r="AL258" s="176">
        <v>2929317.2</v>
      </c>
      <c r="AM258" s="176">
        <v>0</v>
      </c>
      <c r="AN258" s="177">
        <v>0</v>
      </c>
      <c r="AO258" s="177">
        <v>0</v>
      </c>
      <c r="AP258" s="177">
        <v>1834058.44</v>
      </c>
      <c r="AQ258" s="177">
        <v>0</v>
      </c>
      <c r="AR258" s="177">
        <v>479555.11</v>
      </c>
      <c r="AS258" s="177">
        <v>0</v>
      </c>
      <c r="AT258" s="178">
        <v>5323378.67</v>
      </c>
      <c r="AU258" s="178">
        <v>0</v>
      </c>
      <c r="AV258" s="178">
        <v>936617.22</v>
      </c>
      <c r="AW258" s="179">
        <v>0</v>
      </c>
      <c r="AX258" s="180">
        <v>0</v>
      </c>
      <c r="AY258" s="180">
        <v>0</v>
      </c>
      <c r="AZ258" s="180">
        <v>492255.87</v>
      </c>
      <c r="BA258" s="180">
        <v>0</v>
      </c>
      <c r="BB258" s="170">
        <f t="shared" si="76"/>
        <v>12272458.77</v>
      </c>
      <c r="BC258" s="170">
        <v>12272458.77</v>
      </c>
      <c r="BD258" s="2">
        <f t="shared" si="77"/>
        <v>0</v>
      </c>
    </row>
    <row r="259" spans="1:56" ht="12" x14ac:dyDescent="0.2">
      <c r="A259" s="4">
        <v>879</v>
      </c>
      <c r="B259" s="4">
        <v>1</v>
      </c>
      <c r="C259" s="2" t="s">
        <v>261</v>
      </c>
      <c r="D259" s="3">
        <v>0</v>
      </c>
      <c r="E259" s="3">
        <v>0</v>
      </c>
      <c r="F259" s="227">
        <f t="shared" si="66"/>
        <v>457119.38</v>
      </c>
      <c r="G259" s="227">
        <f t="shared" si="67"/>
        <v>1228067.22</v>
      </c>
      <c r="H259" s="227">
        <f t="shared" si="68"/>
        <v>0</v>
      </c>
      <c r="I259" s="227">
        <f t="shared" si="69"/>
        <v>746997.78</v>
      </c>
      <c r="J259" s="227">
        <f t="shared" si="70"/>
        <v>151534.94</v>
      </c>
      <c r="K259" s="227">
        <f t="shared" si="71"/>
        <v>1892150.59</v>
      </c>
      <c r="L259" s="227">
        <f t="shared" si="72"/>
        <v>433480.13</v>
      </c>
      <c r="M259" s="3">
        <f t="shared" si="73"/>
        <v>0</v>
      </c>
      <c r="N259" s="227">
        <f t="shared" si="74"/>
        <v>0</v>
      </c>
      <c r="O259" s="142">
        <f t="shared" si="75"/>
        <v>4909350.04</v>
      </c>
      <c r="P259" s="3">
        <f t="shared" si="59"/>
        <v>3224163.44</v>
      </c>
      <c r="Q259" s="3">
        <f t="shared" si="60"/>
        <v>746997.78</v>
      </c>
      <c r="R259" s="3">
        <f t="shared" si="61"/>
        <v>151534.94</v>
      </c>
      <c r="S259" s="3">
        <f t="shared" si="62"/>
        <v>2325630.7200000002</v>
      </c>
      <c r="T259" s="3">
        <f t="shared" si="63"/>
        <v>0</v>
      </c>
      <c r="U259" s="3">
        <f>IF($A$5=1,IF($P259=0,0,ROUND(Q259/$P259*$E259,2)),Credits!D258)+Credits!J258</f>
        <v>4285.2600000000011</v>
      </c>
      <c r="V259" s="3">
        <f>IF($A$5=1,IF($P259=0,0,ROUND(R259/$P259*$E259,2)),Credits!E258)+Credits!K258</f>
        <v>869.15</v>
      </c>
      <c r="W259" s="3">
        <f>IF($A$5=1,IF($P259=0,0,ROUND(S259/$P259*$E259,2)),Credits!F258)+Credits!L258</f>
        <v>13341.869999999999</v>
      </c>
      <c r="X259" s="3">
        <f>IF($A$5=1,IF($P259=0,0,ROUND(T259/$P259*$E259,2)),Credits!G258)+Credits!M258</f>
        <v>0</v>
      </c>
      <c r="Y259" s="3">
        <f t="shared" si="64"/>
        <v>18496.28</v>
      </c>
      <c r="AC259" s="4"/>
      <c r="AD259" s="4"/>
      <c r="AE259" s="2">
        <f t="shared" si="65"/>
        <v>0</v>
      </c>
      <c r="AF259" s="170" t="s">
        <v>1120</v>
      </c>
      <c r="AG259" s="175">
        <v>879</v>
      </c>
      <c r="AH259" s="175">
        <v>1</v>
      </c>
      <c r="AI259" s="175">
        <v>1</v>
      </c>
      <c r="AJ259" s="176">
        <v>457119.38</v>
      </c>
      <c r="AK259" s="176">
        <v>0</v>
      </c>
      <c r="AL259" s="176">
        <v>1228067.22</v>
      </c>
      <c r="AM259" s="176">
        <v>0</v>
      </c>
      <c r="AN259" s="177">
        <v>0</v>
      </c>
      <c r="AO259" s="177">
        <v>0</v>
      </c>
      <c r="AP259" s="177">
        <v>746997.78</v>
      </c>
      <c r="AQ259" s="177">
        <v>0</v>
      </c>
      <c r="AR259" s="177">
        <v>151534.94</v>
      </c>
      <c r="AS259" s="177">
        <v>0</v>
      </c>
      <c r="AT259" s="178">
        <v>1892150.59</v>
      </c>
      <c r="AU259" s="178">
        <v>0</v>
      </c>
      <c r="AV259" s="178">
        <v>433480.13</v>
      </c>
      <c r="AW259" s="179">
        <v>0</v>
      </c>
      <c r="AX259" s="180">
        <v>0</v>
      </c>
      <c r="AY259" s="180">
        <v>0</v>
      </c>
      <c r="AZ259" s="180">
        <v>0</v>
      </c>
      <c r="BA259" s="180">
        <v>0</v>
      </c>
      <c r="BB259" s="170">
        <f t="shared" si="76"/>
        <v>4909350.04</v>
      </c>
      <c r="BC259" s="170">
        <v>4909350.04</v>
      </c>
      <c r="BD259" s="2">
        <f t="shared" si="77"/>
        <v>0</v>
      </c>
    </row>
    <row r="260" spans="1:56" ht="12" x14ac:dyDescent="0.2">
      <c r="A260" s="4">
        <v>881</v>
      </c>
      <c r="B260" s="4">
        <v>1</v>
      </c>
      <c r="C260" s="2" t="s">
        <v>262</v>
      </c>
      <c r="D260" s="3">
        <v>0</v>
      </c>
      <c r="E260" s="3">
        <v>0</v>
      </c>
      <c r="F260" s="227">
        <f t="shared" si="66"/>
        <v>445558.11</v>
      </c>
      <c r="G260" s="227">
        <f t="shared" si="67"/>
        <v>85131.7</v>
      </c>
      <c r="H260" s="227">
        <f t="shared" si="68"/>
        <v>0</v>
      </c>
      <c r="I260" s="227">
        <f t="shared" si="69"/>
        <v>299105.42</v>
      </c>
      <c r="J260" s="227">
        <f t="shared" si="70"/>
        <v>66970.259999999995</v>
      </c>
      <c r="K260" s="227">
        <f t="shared" si="71"/>
        <v>1443248.57</v>
      </c>
      <c r="L260" s="227">
        <f t="shared" si="72"/>
        <v>44389</v>
      </c>
      <c r="M260" s="3">
        <f t="shared" si="73"/>
        <v>0</v>
      </c>
      <c r="N260" s="227">
        <f t="shared" si="74"/>
        <v>78522.679999999993</v>
      </c>
      <c r="O260" s="142">
        <f t="shared" si="75"/>
        <v>2462925.7400000002</v>
      </c>
      <c r="P260" s="3">
        <f t="shared" si="59"/>
        <v>1932235.93</v>
      </c>
      <c r="Q260" s="3">
        <f t="shared" si="60"/>
        <v>299105.42</v>
      </c>
      <c r="R260" s="3">
        <f t="shared" si="61"/>
        <v>66970.259999999995</v>
      </c>
      <c r="S260" s="3">
        <f t="shared" si="62"/>
        <v>1487637.57</v>
      </c>
      <c r="T260" s="3">
        <f t="shared" si="63"/>
        <v>78522.679999999993</v>
      </c>
      <c r="U260" s="3">
        <f>IF($A$5=1,IF($P260=0,0,ROUND(Q260/$P260*$E260,2)),Credits!D259)+Credits!J259</f>
        <v>2874.38</v>
      </c>
      <c r="V260" s="3">
        <f>IF($A$5=1,IF($P260=0,0,ROUND(R260/$P260*$E260,2)),Credits!E259)+Credits!K259</f>
        <v>643.73</v>
      </c>
      <c r="W260" s="3">
        <f>IF($A$5=1,IF($P260=0,0,ROUND(S260/$P260*$E260,2)),Credits!F259)+Credits!L259</f>
        <v>14296.97</v>
      </c>
      <c r="X260" s="3">
        <f>IF($A$5=1,IF($P260=0,0,ROUND(T260/$P260*$E260,2)),Credits!G259)+Credits!M259</f>
        <v>754.73</v>
      </c>
      <c r="Y260" s="3">
        <f t="shared" si="64"/>
        <v>18569.809999999998</v>
      </c>
      <c r="AC260" s="4"/>
      <c r="AD260" s="4"/>
      <c r="AE260" s="2">
        <f t="shared" si="65"/>
        <v>0</v>
      </c>
      <c r="AF260" s="170" t="s">
        <v>1120</v>
      </c>
      <c r="AG260" s="175">
        <v>881</v>
      </c>
      <c r="AH260" s="175">
        <v>1</v>
      </c>
      <c r="AI260" s="175">
        <v>1</v>
      </c>
      <c r="AJ260" s="176">
        <v>445558.11</v>
      </c>
      <c r="AK260" s="176">
        <v>0</v>
      </c>
      <c r="AL260" s="176">
        <v>85131.7</v>
      </c>
      <c r="AM260" s="176">
        <v>0</v>
      </c>
      <c r="AN260" s="177">
        <v>0</v>
      </c>
      <c r="AO260" s="177">
        <v>0</v>
      </c>
      <c r="AP260" s="177">
        <v>299105.42</v>
      </c>
      <c r="AQ260" s="177">
        <v>0</v>
      </c>
      <c r="AR260" s="177">
        <v>66970.259999999995</v>
      </c>
      <c r="AS260" s="177">
        <v>0</v>
      </c>
      <c r="AT260" s="178">
        <v>1443248.57</v>
      </c>
      <c r="AU260" s="178">
        <v>0</v>
      </c>
      <c r="AV260" s="178">
        <v>44389</v>
      </c>
      <c r="AW260" s="179">
        <v>0</v>
      </c>
      <c r="AX260" s="180">
        <v>0</v>
      </c>
      <c r="AY260" s="180">
        <v>0</v>
      </c>
      <c r="AZ260" s="180">
        <v>78522.679999999993</v>
      </c>
      <c r="BA260" s="180">
        <v>0</v>
      </c>
      <c r="BB260" s="170">
        <f t="shared" si="76"/>
        <v>2462925.7400000002</v>
      </c>
      <c r="BC260" s="170">
        <v>2462925.7400000002</v>
      </c>
      <c r="BD260" s="2">
        <f t="shared" si="77"/>
        <v>0</v>
      </c>
    </row>
    <row r="261" spans="1:56" ht="12" x14ac:dyDescent="0.2">
      <c r="A261" s="4">
        <v>882</v>
      </c>
      <c r="B261" s="4">
        <v>1</v>
      </c>
      <c r="C261" s="2" t="s">
        <v>263</v>
      </c>
      <c r="D261" s="3">
        <v>0</v>
      </c>
      <c r="E261" s="3">
        <v>0</v>
      </c>
      <c r="F261" s="227">
        <f t="shared" si="66"/>
        <v>2363734.25</v>
      </c>
      <c r="G261" s="227">
        <f t="shared" si="67"/>
        <v>1214893.3999999999</v>
      </c>
      <c r="H261" s="227">
        <f t="shared" si="68"/>
        <v>0</v>
      </c>
      <c r="I261" s="227">
        <f t="shared" si="69"/>
        <v>1815597.17</v>
      </c>
      <c r="J261" s="227">
        <f t="shared" si="70"/>
        <v>273726.53999999998</v>
      </c>
      <c r="K261" s="227">
        <f t="shared" si="71"/>
        <v>4463655.04</v>
      </c>
      <c r="L261" s="227">
        <f t="shared" si="72"/>
        <v>642114</v>
      </c>
      <c r="M261" s="3">
        <f t="shared" si="73"/>
        <v>0</v>
      </c>
      <c r="N261" s="227">
        <f t="shared" si="74"/>
        <v>0</v>
      </c>
      <c r="O261" s="142">
        <f t="shared" si="75"/>
        <v>10773720.4</v>
      </c>
      <c r="P261" s="3">
        <f t="shared" si="59"/>
        <v>7195092.75</v>
      </c>
      <c r="Q261" s="3">
        <f t="shared" si="60"/>
        <v>1815597.17</v>
      </c>
      <c r="R261" s="3">
        <f t="shared" si="61"/>
        <v>273726.53999999998</v>
      </c>
      <c r="S261" s="3">
        <f t="shared" si="62"/>
        <v>5105769.04</v>
      </c>
      <c r="T261" s="3">
        <f t="shared" si="63"/>
        <v>0</v>
      </c>
      <c r="U261" s="3">
        <f>IF($A$5=1,IF($P261=0,0,ROUND(Q261/$P261*$E261,2)),Credits!D260)+Credits!J260</f>
        <v>4932.5600000000004</v>
      </c>
      <c r="V261" s="3">
        <f>IF($A$5=1,IF($P261=0,0,ROUND(R261/$P261*$E261,2)),Credits!E260)+Credits!K260</f>
        <v>743.38</v>
      </c>
      <c r="W261" s="3">
        <f>IF($A$5=1,IF($P261=0,0,ROUND(S261/$P261*$E261,2)),Credits!F260)+Credits!L260</f>
        <v>13872.470000000001</v>
      </c>
      <c r="X261" s="3">
        <f>IF($A$5=1,IF($P261=0,0,ROUND(T261/$P261*$E261,2)),Credits!G260)+Credits!M260</f>
        <v>0</v>
      </c>
      <c r="Y261" s="3">
        <f t="shared" si="64"/>
        <v>19548.410000000003</v>
      </c>
      <c r="AC261" s="4"/>
      <c r="AD261" s="4"/>
      <c r="AE261" s="2">
        <f t="shared" si="65"/>
        <v>0</v>
      </c>
      <c r="AF261" s="170" t="s">
        <v>1120</v>
      </c>
      <c r="AG261" s="175">
        <v>882</v>
      </c>
      <c r="AH261" s="175">
        <v>1</v>
      </c>
      <c r="AI261" s="175">
        <v>1</v>
      </c>
      <c r="AJ261" s="176">
        <v>2363734.25</v>
      </c>
      <c r="AK261" s="176">
        <v>0</v>
      </c>
      <c r="AL261" s="176">
        <v>1214893.3999999999</v>
      </c>
      <c r="AM261" s="176">
        <v>0</v>
      </c>
      <c r="AN261" s="177">
        <v>0</v>
      </c>
      <c r="AO261" s="177">
        <v>0</v>
      </c>
      <c r="AP261" s="177">
        <v>1815597.17</v>
      </c>
      <c r="AQ261" s="177">
        <v>0</v>
      </c>
      <c r="AR261" s="177">
        <v>273726.53999999998</v>
      </c>
      <c r="AS261" s="177">
        <v>0</v>
      </c>
      <c r="AT261" s="178">
        <v>4463655.04</v>
      </c>
      <c r="AU261" s="178">
        <v>0</v>
      </c>
      <c r="AV261" s="178">
        <v>642114</v>
      </c>
      <c r="AW261" s="179">
        <v>0</v>
      </c>
      <c r="AX261" s="180">
        <v>0</v>
      </c>
      <c r="AY261" s="180">
        <v>0</v>
      </c>
      <c r="AZ261" s="180">
        <v>0</v>
      </c>
      <c r="BA261" s="180">
        <v>0</v>
      </c>
      <c r="BB261" s="170">
        <f t="shared" si="76"/>
        <v>10773720.4</v>
      </c>
      <c r="BC261" s="170">
        <v>10773720.4</v>
      </c>
      <c r="BD261" s="2">
        <f t="shared" si="77"/>
        <v>0</v>
      </c>
    </row>
    <row r="262" spans="1:56" ht="12" x14ac:dyDescent="0.2">
      <c r="A262" s="4">
        <v>883</v>
      </c>
      <c r="B262" s="4">
        <v>1</v>
      </c>
      <c r="C262" s="2" t="s">
        <v>264</v>
      </c>
      <c r="D262" s="3">
        <v>0</v>
      </c>
      <c r="E262" s="3">
        <v>0</v>
      </c>
      <c r="F262" s="227">
        <f t="shared" si="66"/>
        <v>0</v>
      </c>
      <c r="G262" s="227">
        <f t="shared" si="67"/>
        <v>1169032.82</v>
      </c>
      <c r="H262" s="227">
        <f t="shared" si="68"/>
        <v>0</v>
      </c>
      <c r="I262" s="227">
        <f t="shared" si="69"/>
        <v>346577.59</v>
      </c>
      <c r="J262" s="227">
        <f t="shared" si="70"/>
        <v>117252.85</v>
      </c>
      <c r="K262" s="227">
        <f t="shared" si="71"/>
        <v>3469170.91</v>
      </c>
      <c r="L262" s="227">
        <f t="shared" si="72"/>
        <v>150120.62</v>
      </c>
      <c r="M262" s="3">
        <f t="shared" si="73"/>
        <v>0</v>
      </c>
      <c r="N262" s="227">
        <f t="shared" si="74"/>
        <v>306381.24</v>
      </c>
      <c r="O262" s="142">
        <f t="shared" si="75"/>
        <v>5558536.0300000003</v>
      </c>
      <c r="P262" s="3">
        <f t="shared" si="59"/>
        <v>4389503.21</v>
      </c>
      <c r="Q262" s="3">
        <f t="shared" si="60"/>
        <v>346577.59</v>
      </c>
      <c r="R262" s="3">
        <f t="shared" si="61"/>
        <v>117252.85</v>
      </c>
      <c r="S262" s="3">
        <f t="shared" si="62"/>
        <v>3619291.5300000003</v>
      </c>
      <c r="T262" s="3">
        <f t="shared" si="63"/>
        <v>306381.24</v>
      </c>
      <c r="U262" s="3">
        <f>IF($A$5=1,IF($P262=0,0,ROUND(Q262/$P262*$E262,2)),Credits!D261)+Credits!J261</f>
        <v>1186.2399999999998</v>
      </c>
      <c r="V262" s="3">
        <f>IF($A$5=1,IF($P262=0,0,ROUND(R262/$P262*$E262,2)),Credits!E261)+Credits!K261</f>
        <v>401.51</v>
      </c>
      <c r="W262" s="3">
        <f>IF($A$5=1,IF($P262=0,0,ROUND(S262/$P262*$E262,2)),Credits!F261)+Credits!L261</f>
        <v>12388.390000000001</v>
      </c>
      <c r="X262" s="3">
        <f>IF($A$5=1,IF($P262=0,0,ROUND(T262/$P262*$E262,2)),Credits!G261)+Credits!M261</f>
        <v>1048.8399999999999</v>
      </c>
      <c r="Y262" s="3">
        <f t="shared" si="64"/>
        <v>15024.980000000001</v>
      </c>
      <c r="AC262" s="4"/>
      <c r="AD262" s="4"/>
      <c r="AE262" s="2">
        <f t="shared" si="65"/>
        <v>0</v>
      </c>
      <c r="AF262" s="170" t="s">
        <v>1120</v>
      </c>
      <c r="AG262" s="175">
        <v>883</v>
      </c>
      <c r="AH262" s="175">
        <v>1</v>
      </c>
      <c r="AI262" s="175">
        <v>1</v>
      </c>
      <c r="AJ262" s="176">
        <v>0</v>
      </c>
      <c r="AK262" s="176">
        <v>0</v>
      </c>
      <c r="AL262" s="176">
        <v>1169032.82</v>
      </c>
      <c r="AM262" s="176">
        <v>0</v>
      </c>
      <c r="AN262" s="177">
        <v>0</v>
      </c>
      <c r="AO262" s="177">
        <v>0</v>
      </c>
      <c r="AP262" s="177">
        <v>346577.59</v>
      </c>
      <c r="AQ262" s="177">
        <v>0</v>
      </c>
      <c r="AR262" s="177">
        <v>117252.85</v>
      </c>
      <c r="AS262" s="177">
        <v>0</v>
      </c>
      <c r="AT262" s="178">
        <v>3469170.91</v>
      </c>
      <c r="AU262" s="178">
        <v>0</v>
      </c>
      <c r="AV262" s="178">
        <v>150120.62</v>
      </c>
      <c r="AW262" s="179">
        <v>0</v>
      </c>
      <c r="AX262" s="180">
        <v>0</v>
      </c>
      <c r="AY262" s="180">
        <v>0</v>
      </c>
      <c r="AZ262" s="180">
        <v>306381.24</v>
      </c>
      <c r="BA262" s="180">
        <v>0</v>
      </c>
      <c r="BB262" s="170">
        <f t="shared" si="76"/>
        <v>5558536.0300000003</v>
      </c>
      <c r="BC262" s="170">
        <v>5558536.0300000003</v>
      </c>
      <c r="BD262" s="2">
        <f t="shared" si="77"/>
        <v>0</v>
      </c>
    </row>
    <row r="263" spans="1:56" ht="12" x14ac:dyDescent="0.2">
      <c r="A263" s="4">
        <v>885</v>
      </c>
      <c r="B263" s="4">
        <v>1</v>
      </c>
      <c r="C263" s="2" t="s">
        <v>1197</v>
      </c>
      <c r="D263" s="3">
        <v>0</v>
      </c>
      <c r="E263" s="3">
        <v>0</v>
      </c>
      <c r="F263" s="227">
        <f t="shared" si="66"/>
        <v>1142231.21</v>
      </c>
      <c r="G263" s="227">
        <f t="shared" si="67"/>
        <v>1053992.8899999999</v>
      </c>
      <c r="H263" s="227">
        <f t="shared" si="68"/>
        <v>0</v>
      </c>
      <c r="I263" s="227">
        <f t="shared" si="69"/>
        <v>1065641.31</v>
      </c>
      <c r="J263" s="227">
        <f t="shared" si="70"/>
        <v>249888.42</v>
      </c>
      <c r="K263" s="227">
        <f t="shared" si="71"/>
        <v>7048207.3399999999</v>
      </c>
      <c r="L263" s="227">
        <f t="shared" si="72"/>
        <v>0</v>
      </c>
      <c r="M263" s="3">
        <f t="shared" si="73"/>
        <v>0</v>
      </c>
      <c r="N263" s="227">
        <f t="shared" si="74"/>
        <v>0</v>
      </c>
      <c r="O263" s="142">
        <f t="shared" si="75"/>
        <v>10559961.17</v>
      </c>
      <c r="P263" s="3">
        <f t="shared" si="59"/>
        <v>8363737.0700000003</v>
      </c>
      <c r="Q263" s="3">
        <f t="shared" si="60"/>
        <v>1065641.31</v>
      </c>
      <c r="R263" s="3">
        <f t="shared" si="61"/>
        <v>249888.42</v>
      </c>
      <c r="S263" s="3">
        <f t="shared" si="62"/>
        <v>7048207.3399999999</v>
      </c>
      <c r="T263" s="3">
        <f t="shared" si="63"/>
        <v>0</v>
      </c>
      <c r="U263" s="3">
        <f>IF($A$5=1,IF($P263=0,0,ROUND(Q263/$P263*$E263,2)),Credits!D262)+Credits!J262</f>
        <v>1253.4900000000002</v>
      </c>
      <c r="V263" s="3">
        <f>IF($A$5=1,IF($P263=0,0,ROUND(R263/$P263*$E263,2)),Credits!E262)+Credits!K262</f>
        <v>293.96999999999997</v>
      </c>
      <c r="W263" s="3">
        <f>IF($A$5=1,IF($P263=0,0,ROUND(S263/$P263*$E263,2)),Credits!F262)+Credits!L262</f>
        <v>8290.119999999999</v>
      </c>
      <c r="X263" s="3">
        <f>IF($A$5=1,IF($P263=0,0,ROUND(T263/$P263*$E263,2)),Credits!G262)+Credits!M262</f>
        <v>0</v>
      </c>
      <c r="Y263" s="3">
        <f t="shared" si="64"/>
        <v>9837.58</v>
      </c>
      <c r="AC263" s="4"/>
      <c r="AD263" s="4"/>
      <c r="AE263" s="2">
        <f t="shared" si="65"/>
        <v>0</v>
      </c>
      <c r="AF263" s="170" t="s">
        <v>1120</v>
      </c>
      <c r="AG263" s="175">
        <v>885</v>
      </c>
      <c r="AH263" s="175">
        <v>1</v>
      </c>
      <c r="AI263" s="175">
        <v>1</v>
      </c>
      <c r="AJ263" s="176">
        <v>1142231.21</v>
      </c>
      <c r="AK263" s="176">
        <v>0</v>
      </c>
      <c r="AL263" s="176">
        <v>1053992.8899999999</v>
      </c>
      <c r="AM263" s="176">
        <v>0</v>
      </c>
      <c r="AN263" s="177">
        <v>0</v>
      </c>
      <c r="AO263" s="177">
        <v>0</v>
      </c>
      <c r="AP263" s="177">
        <v>1065641.31</v>
      </c>
      <c r="AQ263" s="177">
        <v>0</v>
      </c>
      <c r="AR263" s="177">
        <v>249888.42</v>
      </c>
      <c r="AS263" s="177">
        <v>0</v>
      </c>
      <c r="AT263" s="178">
        <v>7048207.3399999999</v>
      </c>
      <c r="AU263" s="178">
        <v>0</v>
      </c>
      <c r="AV263" s="178">
        <v>0</v>
      </c>
      <c r="AW263" s="179">
        <v>0</v>
      </c>
      <c r="AX263" s="180">
        <v>0</v>
      </c>
      <c r="AY263" s="180">
        <v>0</v>
      </c>
      <c r="AZ263" s="180">
        <v>0</v>
      </c>
      <c r="BA263" s="180">
        <v>0</v>
      </c>
      <c r="BB263" s="170">
        <f t="shared" si="76"/>
        <v>10559961.17</v>
      </c>
      <c r="BC263" s="170">
        <v>10559961.17</v>
      </c>
      <c r="BD263" s="2">
        <f t="shared" si="77"/>
        <v>0</v>
      </c>
    </row>
    <row r="264" spans="1:56" ht="12" x14ac:dyDescent="0.2">
      <c r="A264" s="4">
        <v>891</v>
      </c>
      <c r="B264" s="4">
        <v>1</v>
      </c>
      <c r="C264" s="2" t="s">
        <v>266</v>
      </c>
      <c r="D264" s="3">
        <v>0</v>
      </c>
      <c r="E264" s="3">
        <v>0</v>
      </c>
      <c r="F264" s="227">
        <f t="shared" si="66"/>
        <v>123820</v>
      </c>
      <c r="G264" s="227">
        <f t="shared" si="67"/>
        <v>79708</v>
      </c>
      <c r="H264" s="227">
        <f t="shared" si="68"/>
        <v>0</v>
      </c>
      <c r="I264" s="227">
        <f t="shared" si="69"/>
        <v>320492</v>
      </c>
      <c r="J264" s="227">
        <f t="shared" si="70"/>
        <v>31040</v>
      </c>
      <c r="K264" s="227">
        <f t="shared" si="71"/>
        <v>312922</v>
      </c>
      <c r="L264" s="227">
        <f t="shared" si="72"/>
        <v>0</v>
      </c>
      <c r="M264" s="3">
        <f t="shared" si="73"/>
        <v>0</v>
      </c>
      <c r="N264" s="227">
        <f t="shared" si="74"/>
        <v>0</v>
      </c>
      <c r="O264" s="142">
        <f t="shared" si="75"/>
        <v>867982</v>
      </c>
      <c r="P264" s="3">
        <f t="shared" ref="P264:P327" si="78">SUM(H264:N264)</f>
        <v>664454</v>
      </c>
      <c r="Q264" s="3">
        <f t="shared" ref="Q264:Q327" si="79">SUM(H264:I264)</f>
        <v>320492</v>
      </c>
      <c r="R264" s="3">
        <f t="shared" ref="R264:R327" si="80">J264</f>
        <v>31040</v>
      </c>
      <c r="S264" s="3">
        <f t="shared" ref="S264:S327" si="81">K264+L264</f>
        <v>312922</v>
      </c>
      <c r="T264" s="3">
        <f t="shared" ref="T264:T327" si="82">N264+M264</f>
        <v>0</v>
      </c>
      <c r="U264" s="3">
        <f>IF($A$5=1,IF($P264=0,0,ROUND(Q264/$P264*$E264,2)),Credits!D263)+Credits!J263</f>
        <v>19416.53</v>
      </c>
      <c r="V264" s="3">
        <f>IF($A$5=1,IF($P264=0,0,ROUND(R264/$P264*$E264,2)),Credits!E263)+Credits!K263</f>
        <v>1879.2</v>
      </c>
      <c r="W264" s="3">
        <f>IF($A$5=1,IF($P264=0,0,ROUND(S264/$P264*$E264,2)),Credits!F263)+Credits!L263</f>
        <v>18955.73</v>
      </c>
      <c r="X264" s="3">
        <f>IF($A$5=1,IF($P264=0,0,ROUND(T264/$P264*$E264,2)),Credits!G263)+Credits!M263</f>
        <v>0</v>
      </c>
      <c r="Y264" s="3">
        <f t="shared" ref="Y264:Y327" si="83">SUM(U264:X264)</f>
        <v>40251.46</v>
      </c>
      <c r="AC264" s="4"/>
      <c r="AD264" s="4"/>
      <c r="AE264" s="2">
        <f t="shared" si="65"/>
        <v>0</v>
      </c>
      <c r="AF264" s="170" t="s">
        <v>1120</v>
      </c>
      <c r="AG264" s="175">
        <v>891</v>
      </c>
      <c r="AH264" s="175">
        <v>1</v>
      </c>
      <c r="AI264" s="175">
        <v>1</v>
      </c>
      <c r="AJ264" s="176">
        <v>123820</v>
      </c>
      <c r="AK264" s="176">
        <v>0</v>
      </c>
      <c r="AL264" s="176">
        <v>79708</v>
      </c>
      <c r="AM264" s="176">
        <v>0</v>
      </c>
      <c r="AN264" s="177">
        <v>0</v>
      </c>
      <c r="AO264" s="177">
        <v>0</v>
      </c>
      <c r="AP264" s="177">
        <v>320492</v>
      </c>
      <c r="AQ264" s="177">
        <v>0</v>
      </c>
      <c r="AR264" s="177">
        <v>31040</v>
      </c>
      <c r="AS264" s="177">
        <v>0</v>
      </c>
      <c r="AT264" s="178">
        <v>312922</v>
      </c>
      <c r="AU264" s="178">
        <v>0</v>
      </c>
      <c r="AV264" s="178">
        <v>0</v>
      </c>
      <c r="AW264" s="179">
        <v>0</v>
      </c>
      <c r="AX264" s="180">
        <v>0</v>
      </c>
      <c r="AY264" s="180">
        <v>0</v>
      </c>
      <c r="AZ264" s="180">
        <v>0</v>
      </c>
      <c r="BA264" s="180">
        <v>0</v>
      </c>
      <c r="BB264" s="170">
        <f t="shared" si="76"/>
        <v>867982</v>
      </c>
      <c r="BC264" s="170">
        <v>867982.24</v>
      </c>
      <c r="BD264" s="2">
        <f t="shared" si="77"/>
        <v>-0.23999999999068677</v>
      </c>
    </row>
    <row r="265" spans="1:56" ht="12" x14ac:dyDescent="0.2">
      <c r="A265" s="4">
        <v>911</v>
      </c>
      <c r="B265" s="4">
        <v>1</v>
      </c>
      <c r="C265" s="2" t="s">
        <v>267</v>
      </c>
      <c r="D265" s="3">
        <v>0</v>
      </c>
      <c r="E265" s="3">
        <v>0</v>
      </c>
      <c r="F265" s="227">
        <f t="shared" si="66"/>
        <v>0</v>
      </c>
      <c r="G265" s="227">
        <f t="shared" si="67"/>
        <v>1768878.95</v>
      </c>
      <c r="H265" s="227">
        <f t="shared" si="68"/>
        <v>0</v>
      </c>
      <c r="I265" s="227">
        <f t="shared" si="69"/>
        <v>1304716.19</v>
      </c>
      <c r="J265" s="227">
        <f t="shared" si="70"/>
        <v>317098.03000000003</v>
      </c>
      <c r="K265" s="227">
        <f t="shared" si="71"/>
        <v>5177140.7</v>
      </c>
      <c r="L265" s="227">
        <f t="shared" si="72"/>
        <v>854035.23</v>
      </c>
      <c r="M265" s="3">
        <f t="shared" si="73"/>
        <v>0</v>
      </c>
      <c r="N265" s="227">
        <f t="shared" si="74"/>
        <v>0</v>
      </c>
      <c r="O265" s="142">
        <f t="shared" si="75"/>
        <v>9421869.1000000015</v>
      </c>
      <c r="P265" s="3">
        <f t="shared" si="78"/>
        <v>7652990.1500000004</v>
      </c>
      <c r="Q265" s="3">
        <f t="shared" si="79"/>
        <v>1304716.19</v>
      </c>
      <c r="R265" s="3">
        <f t="shared" si="80"/>
        <v>317098.03000000003</v>
      </c>
      <c r="S265" s="3">
        <f t="shared" si="81"/>
        <v>6031175.9299999997</v>
      </c>
      <c r="T265" s="3">
        <f t="shared" si="82"/>
        <v>0</v>
      </c>
      <c r="U265" s="3">
        <f>IF($A$5=1,IF($P265=0,0,ROUND(Q265/$P265*$E265,2)),Credits!D264)+Credits!J264</f>
        <v>17897.189999999995</v>
      </c>
      <c r="V265" s="3">
        <f>IF($A$5=1,IF($P265=0,0,ROUND(R265/$P265*$E265,2)),Credits!E264)+Credits!K264</f>
        <v>4350.3899999999994</v>
      </c>
      <c r="W265" s="3">
        <f>IF($A$5=1,IF($P265=0,0,ROUND(S265/$P265*$E265,2)),Credits!F264)+Credits!L264</f>
        <v>82297.100000000006</v>
      </c>
      <c r="X265" s="3">
        <f>IF($A$5=1,IF($P265=0,0,ROUND(T265/$P265*$E265,2)),Credits!G264)+Credits!M264</f>
        <v>0</v>
      </c>
      <c r="Y265" s="3">
        <f t="shared" si="83"/>
        <v>104544.68</v>
      </c>
      <c r="AC265" s="4"/>
      <c r="AD265" s="4"/>
      <c r="AE265" s="2">
        <f t="shared" ref="AE265:AE328" si="84">+A265-AG265</f>
        <v>0</v>
      </c>
      <c r="AF265" s="170" t="s">
        <v>1120</v>
      </c>
      <c r="AG265" s="175">
        <v>911</v>
      </c>
      <c r="AH265" s="175">
        <v>1</v>
      </c>
      <c r="AI265" s="175">
        <v>1</v>
      </c>
      <c r="AJ265" s="176">
        <v>0</v>
      </c>
      <c r="AK265" s="176">
        <v>0</v>
      </c>
      <c r="AL265" s="176">
        <v>1768878.95</v>
      </c>
      <c r="AM265" s="176">
        <v>0</v>
      </c>
      <c r="AN265" s="177">
        <v>0</v>
      </c>
      <c r="AO265" s="177">
        <v>0</v>
      </c>
      <c r="AP265" s="177">
        <v>1304716.19</v>
      </c>
      <c r="AQ265" s="177">
        <v>0</v>
      </c>
      <c r="AR265" s="177">
        <v>317098.03000000003</v>
      </c>
      <c r="AS265" s="177">
        <v>0</v>
      </c>
      <c r="AT265" s="178">
        <v>5177140.7</v>
      </c>
      <c r="AU265" s="178">
        <v>0</v>
      </c>
      <c r="AV265" s="178">
        <v>854035.23</v>
      </c>
      <c r="AW265" s="179">
        <v>0</v>
      </c>
      <c r="AX265" s="180">
        <v>0</v>
      </c>
      <c r="AY265" s="180">
        <v>0</v>
      </c>
      <c r="AZ265" s="180">
        <v>0</v>
      </c>
      <c r="BA265" s="180">
        <v>0</v>
      </c>
      <c r="BB265" s="170">
        <f t="shared" si="76"/>
        <v>9421869.1000000015</v>
      </c>
      <c r="BC265" s="170">
        <v>9421869.0999999996</v>
      </c>
      <c r="BD265" s="2">
        <f t="shared" si="77"/>
        <v>0</v>
      </c>
    </row>
    <row r="266" spans="1:56" ht="12" x14ac:dyDescent="0.2">
      <c r="A266" s="4">
        <v>912</v>
      </c>
      <c r="B266" s="4">
        <v>1</v>
      </c>
      <c r="C266" s="2" t="s">
        <v>268</v>
      </c>
      <c r="D266" s="3">
        <v>0</v>
      </c>
      <c r="E266" s="3">
        <v>0</v>
      </c>
      <c r="F266" s="227">
        <f t="shared" ref="F266:F329" si="85">+AJ266+AK266</f>
        <v>0</v>
      </c>
      <c r="G266" s="227">
        <f t="shared" ref="G266:G329" si="86">+AL266+AM266</f>
        <v>280547.28000000003</v>
      </c>
      <c r="H266" s="227">
        <f t="shared" ref="H266:H329" si="87">+AN266+AO266</f>
        <v>0</v>
      </c>
      <c r="I266" s="227">
        <f t="shared" ref="I266:I329" si="88">+AP266+AQ266</f>
        <v>201066.96</v>
      </c>
      <c r="J266" s="227">
        <f t="shared" ref="J266:J329" si="89">+AR266+AS266</f>
        <v>98338.07</v>
      </c>
      <c r="K266" s="227">
        <f t="shared" ref="K266:K329" si="90">+AT266+AU266</f>
        <v>934411.32</v>
      </c>
      <c r="L266" s="227">
        <f t="shared" ref="L266:L329" si="91">+AV266+AW266</f>
        <v>572284.73</v>
      </c>
      <c r="M266" s="3">
        <f t="shared" ref="M266:M329" si="92">+AX266+AY266</f>
        <v>0</v>
      </c>
      <c r="N266" s="227">
        <f t="shared" ref="N266:N329" si="93">+AZ266+BA266</f>
        <v>330574.92</v>
      </c>
      <c r="O266" s="142">
        <f t="shared" ref="O266:O329" si="94">SUM(F266:N266)</f>
        <v>2417223.2799999998</v>
      </c>
      <c r="P266" s="3">
        <f t="shared" si="78"/>
        <v>2136676</v>
      </c>
      <c r="Q266" s="3">
        <f t="shared" si="79"/>
        <v>201066.96</v>
      </c>
      <c r="R266" s="3">
        <f t="shared" si="80"/>
        <v>98338.07</v>
      </c>
      <c r="S266" s="3">
        <f t="shared" si="81"/>
        <v>1506696.0499999998</v>
      </c>
      <c r="T266" s="3">
        <f t="shared" si="82"/>
        <v>330574.92</v>
      </c>
      <c r="U266" s="3">
        <f>IF($A$5=1,IF($P266=0,0,ROUND(Q266/$P266*$E266,2)),Credits!D265)+Credits!J265</f>
        <v>4426.3399999999992</v>
      </c>
      <c r="V266" s="3">
        <f>IF($A$5=1,IF($P266=0,0,ROUND(R266/$P266*$E266,2)),Credits!E265)+Credits!K265</f>
        <v>2166.14</v>
      </c>
      <c r="W266" s="3">
        <f>IF($A$5=1,IF($P266=0,0,ROUND(S266/$P266*$E266,2)),Credits!F265)+Credits!L265</f>
        <v>33184.929999999993</v>
      </c>
      <c r="X266" s="3">
        <f>IF($A$5=1,IF($P266=0,0,ROUND(T266/$P266*$E266,2)),Credits!G265)+Credits!M265</f>
        <v>7281.3899999999985</v>
      </c>
      <c r="Y266" s="3">
        <f t="shared" si="83"/>
        <v>47058.799999999988</v>
      </c>
      <c r="AC266" s="4"/>
      <c r="AD266" s="4"/>
      <c r="AE266" s="2">
        <f t="shared" si="84"/>
        <v>0</v>
      </c>
      <c r="AF266" s="170" t="s">
        <v>1120</v>
      </c>
      <c r="AG266" s="175">
        <v>912</v>
      </c>
      <c r="AH266" s="175">
        <v>1</v>
      </c>
      <c r="AI266" s="175">
        <v>1</v>
      </c>
      <c r="AJ266" s="176">
        <v>0</v>
      </c>
      <c r="AK266" s="176">
        <v>0</v>
      </c>
      <c r="AL266" s="176">
        <v>280547.28000000003</v>
      </c>
      <c r="AM266" s="176">
        <v>0</v>
      </c>
      <c r="AN266" s="177">
        <v>0</v>
      </c>
      <c r="AO266" s="177">
        <v>0</v>
      </c>
      <c r="AP266" s="177">
        <v>201066.96</v>
      </c>
      <c r="AQ266" s="177">
        <v>0</v>
      </c>
      <c r="AR266" s="177">
        <v>98338.07</v>
      </c>
      <c r="AS266" s="177">
        <v>0</v>
      </c>
      <c r="AT266" s="178">
        <v>934411.32</v>
      </c>
      <c r="AU266" s="178">
        <v>0</v>
      </c>
      <c r="AV266" s="178">
        <v>572284.73</v>
      </c>
      <c r="AW266" s="179">
        <v>0</v>
      </c>
      <c r="AX266" s="180">
        <v>0</v>
      </c>
      <c r="AY266" s="180">
        <v>0</v>
      </c>
      <c r="AZ266" s="180">
        <v>330574.92</v>
      </c>
      <c r="BA266" s="180">
        <v>0</v>
      </c>
      <c r="BB266" s="170">
        <f t="shared" ref="BB266:BB329" si="95">SUM(AJ266:BA266)</f>
        <v>2417223.2799999998</v>
      </c>
      <c r="BC266" s="170">
        <v>2417223.2799999998</v>
      </c>
      <c r="BD266" s="2">
        <f t="shared" ref="BD266:BD329" si="96">BB266-BC266</f>
        <v>0</v>
      </c>
    </row>
    <row r="267" spans="1:56" ht="12" x14ac:dyDescent="0.2">
      <c r="A267" s="4">
        <v>914</v>
      </c>
      <c r="B267" s="4">
        <v>1</v>
      </c>
      <c r="C267" s="2" t="s">
        <v>269</v>
      </c>
      <c r="D267" s="3">
        <v>0</v>
      </c>
      <c r="E267" s="3">
        <v>0</v>
      </c>
      <c r="F267" s="227">
        <f t="shared" si="85"/>
        <v>381227.66</v>
      </c>
      <c r="G267" s="227">
        <f t="shared" si="86"/>
        <v>6994.4</v>
      </c>
      <c r="H267" s="227">
        <f t="shared" si="87"/>
        <v>0</v>
      </c>
      <c r="I267" s="227">
        <f t="shared" si="88"/>
        <v>108468.55</v>
      </c>
      <c r="J267" s="227">
        <f t="shared" si="89"/>
        <v>20518.04</v>
      </c>
      <c r="K267" s="227">
        <f t="shared" si="90"/>
        <v>627839.31999999995</v>
      </c>
      <c r="L267" s="227">
        <f t="shared" si="91"/>
        <v>0</v>
      </c>
      <c r="M267" s="3">
        <f t="shared" si="92"/>
        <v>0</v>
      </c>
      <c r="N267" s="227">
        <f t="shared" si="93"/>
        <v>0</v>
      </c>
      <c r="O267" s="142">
        <f t="shared" si="94"/>
        <v>1145047.97</v>
      </c>
      <c r="P267" s="3">
        <f t="shared" si="78"/>
        <v>756825.90999999992</v>
      </c>
      <c r="Q267" s="3">
        <f t="shared" si="79"/>
        <v>108468.55</v>
      </c>
      <c r="R267" s="3">
        <f t="shared" si="80"/>
        <v>20518.04</v>
      </c>
      <c r="S267" s="3">
        <f t="shared" si="81"/>
        <v>627839.31999999995</v>
      </c>
      <c r="T267" s="3">
        <f t="shared" si="82"/>
        <v>0</v>
      </c>
      <c r="U267" s="3">
        <f>IF($A$5=1,IF($P267=0,0,ROUND(Q267/$P267*$E267,2)),Credits!D266)+Credits!J266</f>
        <v>1926.3899999999999</v>
      </c>
      <c r="V267" s="3">
        <f>IF($A$5=1,IF($P267=0,0,ROUND(R267/$P267*$E267,2)),Credits!E266)+Credits!K266</f>
        <v>364.60999999999996</v>
      </c>
      <c r="W267" s="3">
        <f>IF($A$5=1,IF($P267=0,0,ROUND(S267/$P267*$E267,2)),Credits!F266)+Credits!L266</f>
        <v>11149.279999999999</v>
      </c>
      <c r="X267" s="3">
        <f>IF($A$5=1,IF($P267=0,0,ROUND(T267/$P267*$E267,2)),Credits!G266)+Credits!M266</f>
        <v>0</v>
      </c>
      <c r="Y267" s="3">
        <f t="shared" si="83"/>
        <v>13440.279999999999</v>
      </c>
      <c r="AC267" s="4"/>
      <c r="AD267" s="4"/>
      <c r="AE267" s="2">
        <f t="shared" si="84"/>
        <v>0</v>
      </c>
      <c r="AF267" s="170" t="s">
        <v>1120</v>
      </c>
      <c r="AG267" s="175">
        <v>914</v>
      </c>
      <c r="AH267" s="175">
        <v>1</v>
      </c>
      <c r="AI267" s="175">
        <v>1</v>
      </c>
      <c r="AJ267" s="176">
        <v>381227.66</v>
      </c>
      <c r="AK267" s="176">
        <v>0</v>
      </c>
      <c r="AL267" s="176">
        <v>6994.4</v>
      </c>
      <c r="AM267" s="176">
        <v>0</v>
      </c>
      <c r="AN267" s="177">
        <v>0</v>
      </c>
      <c r="AO267" s="177">
        <v>0</v>
      </c>
      <c r="AP267" s="177">
        <v>108468.55</v>
      </c>
      <c r="AQ267" s="177">
        <v>0</v>
      </c>
      <c r="AR267" s="177">
        <v>20518.04</v>
      </c>
      <c r="AS267" s="177">
        <v>0</v>
      </c>
      <c r="AT267" s="178">
        <v>627839.31999999995</v>
      </c>
      <c r="AU267" s="178">
        <v>0</v>
      </c>
      <c r="AV267" s="178">
        <v>0</v>
      </c>
      <c r="AW267" s="179">
        <v>0</v>
      </c>
      <c r="AX267" s="180">
        <v>0</v>
      </c>
      <c r="AY267" s="180">
        <v>0</v>
      </c>
      <c r="AZ267" s="180">
        <v>0</v>
      </c>
      <c r="BA267" s="180">
        <v>0</v>
      </c>
      <c r="BB267" s="170">
        <f t="shared" si="95"/>
        <v>1145047.97</v>
      </c>
      <c r="BC267" s="170">
        <v>1145047.97</v>
      </c>
      <c r="BD267" s="2">
        <f t="shared" si="96"/>
        <v>0</v>
      </c>
    </row>
    <row r="268" spans="1:56" ht="12" x14ac:dyDescent="0.2">
      <c r="A268" s="4">
        <v>2071</v>
      </c>
      <c r="B268" s="4">
        <v>1</v>
      </c>
      <c r="C268" s="2" t="s">
        <v>1166</v>
      </c>
      <c r="D268" s="3">
        <v>0</v>
      </c>
      <c r="E268" s="3">
        <v>0</v>
      </c>
      <c r="F268" s="227">
        <f t="shared" si="85"/>
        <v>306852.93</v>
      </c>
      <c r="G268" s="227">
        <f t="shared" si="86"/>
        <v>199382.47</v>
      </c>
      <c r="H268" s="227">
        <f t="shared" si="87"/>
        <v>175000</v>
      </c>
      <c r="I268" s="227">
        <f t="shared" si="88"/>
        <v>485365.91</v>
      </c>
      <c r="J268" s="227">
        <f t="shared" si="89"/>
        <v>90977.11</v>
      </c>
      <c r="K268" s="227">
        <f t="shared" si="90"/>
        <v>1174742.32</v>
      </c>
      <c r="L268" s="227">
        <f t="shared" si="91"/>
        <v>159537.56</v>
      </c>
      <c r="M268" s="3">
        <f t="shared" si="92"/>
        <v>0</v>
      </c>
      <c r="N268" s="227">
        <f t="shared" si="93"/>
        <v>189844.6</v>
      </c>
      <c r="O268" s="142">
        <f t="shared" si="94"/>
        <v>2781702.9000000004</v>
      </c>
      <c r="P268" s="3">
        <f t="shared" si="78"/>
        <v>2275467.5</v>
      </c>
      <c r="Q268" s="3">
        <f t="shared" si="79"/>
        <v>660365.90999999992</v>
      </c>
      <c r="R268" s="3">
        <f t="shared" si="80"/>
        <v>90977.11</v>
      </c>
      <c r="S268" s="3">
        <f t="shared" si="81"/>
        <v>1334279.8800000001</v>
      </c>
      <c r="T268" s="3">
        <f t="shared" si="82"/>
        <v>189844.6</v>
      </c>
      <c r="U268" s="3">
        <f>IF($A$5=1,IF($P268=0,0,ROUND(Q268/$P268*$E268,2)),Credits!D267)+Credits!J267</f>
        <v>9883.1499999999978</v>
      </c>
      <c r="V268" s="3">
        <f>IF($A$5=1,IF($P268=0,0,ROUND(R268/$P268*$E268,2)),Credits!E267)+Credits!K267</f>
        <v>1360.83</v>
      </c>
      <c r="W268" s="3">
        <f>IF($A$5=1,IF($P268=0,0,ROUND(S268/$P268*$E268,2)),Credits!F267)+Credits!L267</f>
        <v>19472.240000000002</v>
      </c>
      <c r="X268" s="3">
        <f>IF($A$5=1,IF($P268=0,0,ROUND(T268/$P268*$E268,2)),Credits!G267)+Credits!M267</f>
        <v>2771.25</v>
      </c>
      <c r="Y268" s="3">
        <f t="shared" si="83"/>
        <v>33487.47</v>
      </c>
      <c r="AC268" s="4"/>
      <c r="AD268" s="4"/>
      <c r="AE268" s="2">
        <f t="shared" si="84"/>
        <v>0</v>
      </c>
      <c r="AF268" s="170" t="s">
        <v>1120</v>
      </c>
      <c r="AG268" s="175">
        <v>2071</v>
      </c>
      <c r="AH268" s="175">
        <v>1</v>
      </c>
      <c r="AI268" s="175">
        <v>1</v>
      </c>
      <c r="AJ268" s="176">
        <v>306852.93</v>
      </c>
      <c r="AK268" s="176">
        <v>0</v>
      </c>
      <c r="AL268" s="176">
        <v>199382.47</v>
      </c>
      <c r="AM268" s="176">
        <v>0</v>
      </c>
      <c r="AN268" s="177">
        <v>175000</v>
      </c>
      <c r="AO268" s="177">
        <v>0</v>
      </c>
      <c r="AP268" s="177">
        <v>485365.91</v>
      </c>
      <c r="AQ268" s="177">
        <v>0</v>
      </c>
      <c r="AR268" s="177">
        <v>90977.11</v>
      </c>
      <c r="AS268" s="177">
        <v>0</v>
      </c>
      <c r="AT268" s="178">
        <v>1174742.32</v>
      </c>
      <c r="AU268" s="178">
        <v>0</v>
      </c>
      <c r="AV268" s="178">
        <v>159537.56</v>
      </c>
      <c r="AW268" s="179">
        <v>0</v>
      </c>
      <c r="AX268" s="180">
        <v>0</v>
      </c>
      <c r="AY268" s="180">
        <v>0</v>
      </c>
      <c r="AZ268" s="180">
        <v>189844.6</v>
      </c>
      <c r="BA268" s="180">
        <v>0</v>
      </c>
      <c r="BB268" s="170">
        <f t="shared" si="95"/>
        <v>2781702.9000000004</v>
      </c>
      <c r="BC268" s="170">
        <v>2781702.9</v>
      </c>
      <c r="BD268" s="2">
        <f t="shared" si="96"/>
        <v>0</v>
      </c>
    </row>
    <row r="269" spans="1:56" ht="12" x14ac:dyDescent="0.2">
      <c r="A269" s="4">
        <v>2125</v>
      </c>
      <c r="B269" s="4">
        <v>1</v>
      </c>
      <c r="C269" s="2" t="s">
        <v>271</v>
      </c>
      <c r="D269" s="3">
        <v>0</v>
      </c>
      <c r="E269" s="3">
        <v>0</v>
      </c>
      <c r="F269" s="227">
        <f t="shared" si="85"/>
        <v>174973.38</v>
      </c>
      <c r="G269" s="227">
        <f t="shared" si="86"/>
        <v>87942.04</v>
      </c>
      <c r="H269" s="227">
        <f t="shared" si="87"/>
        <v>0</v>
      </c>
      <c r="I269" s="227">
        <f t="shared" si="88"/>
        <v>516598.14</v>
      </c>
      <c r="J269" s="227">
        <f t="shared" si="89"/>
        <v>114642.32</v>
      </c>
      <c r="K269" s="227">
        <f t="shared" si="90"/>
        <v>786764.21</v>
      </c>
      <c r="L269" s="227">
        <f t="shared" si="91"/>
        <v>141330.98000000001</v>
      </c>
      <c r="M269" s="3">
        <f t="shared" si="92"/>
        <v>0</v>
      </c>
      <c r="N269" s="227">
        <f t="shared" si="93"/>
        <v>0</v>
      </c>
      <c r="O269" s="142">
        <f t="shared" si="94"/>
        <v>1822251.07</v>
      </c>
      <c r="P269" s="3">
        <f t="shared" si="78"/>
        <v>1559335.65</v>
      </c>
      <c r="Q269" s="3">
        <f t="shared" si="79"/>
        <v>516598.14</v>
      </c>
      <c r="R269" s="3">
        <f t="shared" si="80"/>
        <v>114642.32</v>
      </c>
      <c r="S269" s="3">
        <f t="shared" si="81"/>
        <v>928095.19</v>
      </c>
      <c r="T269" s="3">
        <f t="shared" si="82"/>
        <v>0</v>
      </c>
      <c r="U269" s="3">
        <f>IF($A$5=1,IF($P269=0,0,ROUND(Q269/$P269*$E269,2)),Credits!D268)+Credits!J268</f>
        <v>23128.3</v>
      </c>
      <c r="V269" s="3">
        <f>IF($A$5=1,IF($P269=0,0,ROUND(R269/$P269*$E269,2)),Credits!E268)+Credits!K268</f>
        <v>5134.7000000000007</v>
      </c>
      <c r="W269" s="3">
        <f>IF($A$5=1,IF($P269=0,0,ROUND(S269/$P269*$E269,2)),Credits!F268)+Credits!L268</f>
        <v>41176.449999999997</v>
      </c>
      <c r="X269" s="3">
        <f>IF($A$5=1,IF($P269=0,0,ROUND(T269/$P269*$E269,2)),Credits!G268)+Credits!M268</f>
        <v>0</v>
      </c>
      <c r="Y269" s="3">
        <f t="shared" si="83"/>
        <v>69439.45</v>
      </c>
      <c r="AC269" s="4"/>
      <c r="AD269" s="4"/>
      <c r="AE269" s="2">
        <f t="shared" si="84"/>
        <v>0</v>
      </c>
      <c r="AF269" s="170" t="s">
        <v>1120</v>
      </c>
      <c r="AG269" s="175">
        <v>2125</v>
      </c>
      <c r="AH269" s="175">
        <v>1</v>
      </c>
      <c r="AI269" s="175">
        <v>1</v>
      </c>
      <c r="AJ269" s="176">
        <v>174973.38</v>
      </c>
      <c r="AK269" s="176">
        <v>0</v>
      </c>
      <c r="AL269" s="176">
        <v>87942.04</v>
      </c>
      <c r="AM269" s="176">
        <v>0</v>
      </c>
      <c r="AN269" s="177">
        <v>0</v>
      </c>
      <c r="AO269" s="177">
        <v>0</v>
      </c>
      <c r="AP269" s="177">
        <v>516598.14</v>
      </c>
      <c r="AQ269" s="177">
        <v>0</v>
      </c>
      <c r="AR269" s="177">
        <v>114642.32</v>
      </c>
      <c r="AS269" s="177">
        <v>0</v>
      </c>
      <c r="AT269" s="178">
        <v>786764.21</v>
      </c>
      <c r="AU269" s="178">
        <v>0</v>
      </c>
      <c r="AV269" s="178">
        <v>141330.98000000001</v>
      </c>
      <c r="AW269" s="179">
        <v>0</v>
      </c>
      <c r="AX269" s="180">
        <v>0</v>
      </c>
      <c r="AY269" s="180">
        <v>0</v>
      </c>
      <c r="AZ269" s="180">
        <v>0</v>
      </c>
      <c r="BA269" s="180">
        <v>0</v>
      </c>
      <c r="BB269" s="170">
        <f t="shared" si="95"/>
        <v>1822251.07</v>
      </c>
      <c r="BC269" s="170">
        <v>1822251.07</v>
      </c>
      <c r="BD269" s="2">
        <f t="shared" si="96"/>
        <v>0</v>
      </c>
    </row>
    <row r="270" spans="1:56" ht="12" x14ac:dyDescent="0.2">
      <c r="A270" s="4">
        <v>2134</v>
      </c>
      <c r="B270" s="4">
        <v>1</v>
      </c>
      <c r="C270" s="2" t="s">
        <v>1165</v>
      </c>
      <c r="D270" s="3">
        <v>0</v>
      </c>
      <c r="E270" s="3">
        <v>0</v>
      </c>
      <c r="F270" s="227">
        <f t="shared" si="85"/>
        <v>866634.39</v>
      </c>
      <c r="G270" s="227">
        <f t="shared" si="86"/>
        <v>27084.240000000002</v>
      </c>
      <c r="H270" s="227">
        <f t="shared" si="87"/>
        <v>0</v>
      </c>
      <c r="I270" s="227">
        <f t="shared" si="88"/>
        <v>256626.27</v>
      </c>
      <c r="J270" s="227">
        <f t="shared" si="89"/>
        <v>84119.56</v>
      </c>
      <c r="K270" s="227">
        <f t="shared" si="90"/>
        <v>2051825</v>
      </c>
      <c r="L270" s="227">
        <f t="shared" si="91"/>
        <v>0</v>
      </c>
      <c r="M270" s="3">
        <f t="shared" si="92"/>
        <v>0</v>
      </c>
      <c r="N270" s="227">
        <f t="shared" si="93"/>
        <v>180221.3</v>
      </c>
      <c r="O270" s="142">
        <f t="shared" si="94"/>
        <v>3466510.76</v>
      </c>
      <c r="P270" s="3">
        <f t="shared" si="78"/>
        <v>2572792.13</v>
      </c>
      <c r="Q270" s="3">
        <f t="shared" si="79"/>
        <v>256626.27</v>
      </c>
      <c r="R270" s="3">
        <f t="shared" si="80"/>
        <v>84119.56</v>
      </c>
      <c r="S270" s="3">
        <f t="shared" si="81"/>
        <v>2051825</v>
      </c>
      <c r="T270" s="3">
        <f t="shared" si="82"/>
        <v>180221.3</v>
      </c>
      <c r="U270" s="3">
        <f>IF($A$5=1,IF($P270=0,0,ROUND(Q270/$P270*$E270,2)),Credits!D269)+Credits!J269</f>
        <v>5571.57</v>
      </c>
      <c r="V270" s="3">
        <f>IF($A$5=1,IF($P270=0,0,ROUND(R270/$P270*$E270,2)),Credits!E269)+Credits!K269</f>
        <v>1827.46</v>
      </c>
      <c r="W270" s="3">
        <f>IF($A$5=1,IF($P270=0,0,ROUND(S270/$P270*$E270,2)),Credits!F269)+Credits!L269</f>
        <v>44563.349999999991</v>
      </c>
      <c r="X270" s="3">
        <f>IF($A$5=1,IF($P270=0,0,ROUND(T270/$P270*$E270,2)),Credits!G269)+Credits!M269</f>
        <v>3913.3199999999997</v>
      </c>
      <c r="Y270" s="3">
        <f t="shared" si="83"/>
        <v>55875.69999999999</v>
      </c>
      <c r="AC270" s="4"/>
      <c r="AD270" s="4"/>
      <c r="AE270" s="2">
        <f t="shared" si="84"/>
        <v>0</v>
      </c>
      <c r="AF270" s="170" t="s">
        <v>1120</v>
      </c>
      <c r="AG270" s="175">
        <v>2134</v>
      </c>
      <c r="AH270" s="175">
        <v>1</v>
      </c>
      <c r="AI270" s="175">
        <v>1</v>
      </c>
      <c r="AJ270" s="176">
        <v>866634.39</v>
      </c>
      <c r="AK270" s="176">
        <v>0</v>
      </c>
      <c r="AL270" s="176">
        <v>27084.240000000002</v>
      </c>
      <c r="AM270" s="176">
        <v>0</v>
      </c>
      <c r="AN270" s="177">
        <v>0</v>
      </c>
      <c r="AO270" s="177">
        <v>0</v>
      </c>
      <c r="AP270" s="177">
        <v>256626.27</v>
      </c>
      <c r="AQ270" s="177">
        <v>0</v>
      </c>
      <c r="AR270" s="177">
        <v>84119.56</v>
      </c>
      <c r="AS270" s="177">
        <v>0</v>
      </c>
      <c r="AT270" s="178">
        <v>2051825</v>
      </c>
      <c r="AU270" s="178">
        <v>0</v>
      </c>
      <c r="AV270" s="178">
        <v>0</v>
      </c>
      <c r="AW270" s="179">
        <v>0</v>
      </c>
      <c r="AX270" s="180">
        <v>0</v>
      </c>
      <c r="AY270" s="180">
        <v>0</v>
      </c>
      <c r="AZ270" s="180">
        <v>180221.3</v>
      </c>
      <c r="BA270" s="180">
        <v>0</v>
      </c>
      <c r="BB270" s="170">
        <f t="shared" si="95"/>
        <v>3466510.76</v>
      </c>
      <c r="BC270" s="170">
        <v>3466510.76</v>
      </c>
      <c r="BD270" s="2">
        <f t="shared" si="96"/>
        <v>0</v>
      </c>
    </row>
    <row r="271" spans="1:56" ht="12" x14ac:dyDescent="0.2">
      <c r="A271" s="4">
        <v>2135</v>
      </c>
      <c r="B271" s="4">
        <v>1</v>
      </c>
      <c r="C271" s="2" t="s">
        <v>273</v>
      </c>
      <c r="D271" s="3">
        <v>0</v>
      </c>
      <c r="E271" s="3">
        <v>0</v>
      </c>
      <c r="F271" s="227">
        <f t="shared" si="85"/>
        <v>556785.54</v>
      </c>
      <c r="G271" s="227">
        <f t="shared" si="86"/>
        <v>179314.79</v>
      </c>
      <c r="H271" s="227">
        <f t="shared" si="87"/>
        <v>0</v>
      </c>
      <c r="I271" s="227">
        <f t="shared" si="88"/>
        <v>529273.99</v>
      </c>
      <c r="J271" s="227">
        <f t="shared" si="89"/>
        <v>93129.83</v>
      </c>
      <c r="K271" s="227">
        <f t="shared" si="90"/>
        <v>451760.31</v>
      </c>
      <c r="L271" s="227">
        <f t="shared" si="91"/>
        <v>0</v>
      </c>
      <c r="M271" s="3">
        <f t="shared" si="92"/>
        <v>0</v>
      </c>
      <c r="N271" s="227">
        <f t="shared" si="93"/>
        <v>0</v>
      </c>
      <c r="O271" s="142">
        <f t="shared" si="94"/>
        <v>1810264.4600000002</v>
      </c>
      <c r="P271" s="3">
        <f t="shared" si="78"/>
        <v>1074164.1299999999</v>
      </c>
      <c r="Q271" s="3">
        <f t="shared" si="79"/>
        <v>529273.99</v>
      </c>
      <c r="R271" s="3">
        <f t="shared" si="80"/>
        <v>93129.83</v>
      </c>
      <c r="S271" s="3">
        <f t="shared" si="81"/>
        <v>451760.31</v>
      </c>
      <c r="T271" s="3">
        <f t="shared" si="82"/>
        <v>0</v>
      </c>
      <c r="U271" s="3">
        <f>IF($A$5=1,IF($P271=0,0,ROUND(Q271/$P271*$E271,2)),Credits!D270)+Credits!J270</f>
        <v>32786.5</v>
      </c>
      <c r="V271" s="3">
        <f>IF($A$5=1,IF($P271=0,0,ROUND(R271/$P271*$E271,2)),Credits!E270)+Credits!K270</f>
        <v>5772.6299999999992</v>
      </c>
      <c r="W271" s="3">
        <f>IF($A$5=1,IF($P271=0,0,ROUND(S271/$P271*$E271,2)),Credits!F270)+Credits!L270</f>
        <v>27970.61</v>
      </c>
      <c r="X271" s="3">
        <f>IF($A$5=1,IF($P271=0,0,ROUND(T271/$P271*$E271,2)),Credits!G270)+Credits!M270</f>
        <v>0</v>
      </c>
      <c r="Y271" s="3">
        <f t="shared" si="83"/>
        <v>66529.739999999991</v>
      </c>
      <c r="AC271" s="4"/>
      <c r="AD271" s="4"/>
      <c r="AE271" s="2">
        <f t="shared" si="84"/>
        <v>0</v>
      </c>
      <c r="AF271" s="170" t="s">
        <v>1120</v>
      </c>
      <c r="AG271" s="175">
        <v>2135</v>
      </c>
      <c r="AH271" s="175">
        <v>1</v>
      </c>
      <c r="AI271" s="175">
        <v>1</v>
      </c>
      <c r="AJ271" s="176">
        <v>556785.54</v>
      </c>
      <c r="AK271" s="176">
        <v>0</v>
      </c>
      <c r="AL271" s="176">
        <v>179314.79</v>
      </c>
      <c r="AM271" s="176">
        <v>0</v>
      </c>
      <c r="AN271" s="177">
        <v>0</v>
      </c>
      <c r="AO271" s="177">
        <v>0</v>
      </c>
      <c r="AP271" s="177">
        <v>529273.99</v>
      </c>
      <c r="AQ271" s="177">
        <v>0</v>
      </c>
      <c r="AR271" s="177">
        <v>93129.83</v>
      </c>
      <c r="AS271" s="177">
        <v>0</v>
      </c>
      <c r="AT271" s="178">
        <v>451760.31</v>
      </c>
      <c r="AU271" s="178">
        <v>0</v>
      </c>
      <c r="AV271" s="178">
        <v>0</v>
      </c>
      <c r="AW271" s="179">
        <v>0</v>
      </c>
      <c r="AX271" s="180">
        <v>0</v>
      </c>
      <c r="AY271" s="180">
        <v>0</v>
      </c>
      <c r="AZ271" s="180">
        <v>0</v>
      </c>
      <c r="BA271" s="180">
        <v>0</v>
      </c>
      <c r="BB271" s="170">
        <f t="shared" si="95"/>
        <v>1810264.4600000002</v>
      </c>
      <c r="BC271" s="170">
        <v>1810264.46</v>
      </c>
      <c r="BD271" s="2">
        <f t="shared" si="96"/>
        <v>0</v>
      </c>
    </row>
    <row r="272" spans="1:56" ht="12" x14ac:dyDescent="0.2">
      <c r="A272" s="4">
        <v>2137</v>
      </c>
      <c r="B272" s="4">
        <v>1</v>
      </c>
      <c r="C272" s="2" t="s">
        <v>274</v>
      </c>
      <c r="D272" s="3">
        <v>0</v>
      </c>
      <c r="E272" s="3">
        <v>0</v>
      </c>
      <c r="F272" s="227">
        <f t="shared" si="85"/>
        <v>361193</v>
      </c>
      <c r="G272" s="227">
        <f t="shared" si="86"/>
        <v>50844</v>
      </c>
      <c r="H272" s="227">
        <f t="shared" si="87"/>
        <v>0</v>
      </c>
      <c r="I272" s="227">
        <f t="shared" si="88"/>
        <v>304337</v>
      </c>
      <c r="J272" s="227">
        <f t="shared" si="89"/>
        <v>73213</v>
      </c>
      <c r="K272" s="227">
        <f t="shared" si="90"/>
        <v>779715</v>
      </c>
      <c r="L272" s="227">
        <f t="shared" si="91"/>
        <v>260266</v>
      </c>
      <c r="M272" s="3">
        <f t="shared" si="92"/>
        <v>0</v>
      </c>
      <c r="N272" s="227">
        <f t="shared" si="93"/>
        <v>82834</v>
      </c>
      <c r="O272" s="142">
        <f t="shared" si="94"/>
        <v>1912402</v>
      </c>
      <c r="P272" s="3">
        <f t="shared" si="78"/>
        <v>1500365</v>
      </c>
      <c r="Q272" s="3">
        <f t="shared" si="79"/>
        <v>304337</v>
      </c>
      <c r="R272" s="3">
        <f t="shared" si="80"/>
        <v>73213</v>
      </c>
      <c r="S272" s="3">
        <f t="shared" si="81"/>
        <v>1039981</v>
      </c>
      <c r="T272" s="3">
        <f t="shared" si="82"/>
        <v>82834</v>
      </c>
      <c r="U272" s="3">
        <f>IF($A$5=1,IF($P272=0,0,ROUND(Q272/$P272*$E272,2)),Credits!D271)+Credits!J271</f>
        <v>17043.919999999998</v>
      </c>
      <c r="V272" s="3">
        <f>IF($A$5=1,IF($P272=0,0,ROUND(R272/$P272*$E272,2)),Credits!E271)+Credits!K271</f>
        <v>4098.7199999999993</v>
      </c>
      <c r="W272" s="3">
        <f>IF($A$5=1,IF($P272=0,0,ROUND(S272/$P272*$E272,2)),Credits!F271)+Credits!L271</f>
        <v>58246.110000000008</v>
      </c>
      <c r="X272" s="3">
        <f>IF($A$5=1,IF($P272=0,0,ROUND(T272/$P272*$E272,2)),Credits!G271)+Credits!M271</f>
        <v>4640.24</v>
      </c>
      <c r="Y272" s="3">
        <f t="shared" si="83"/>
        <v>84028.99</v>
      </c>
      <c r="AC272" s="4"/>
      <c r="AD272" s="4"/>
      <c r="AE272" s="2">
        <f t="shared" si="84"/>
        <v>0</v>
      </c>
      <c r="AF272" s="170" t="s">
        <v>1120</v>
      </c>
      <c r="AG272" s="175">
        <v>2137</v>
      </c>
      <c r="AH272" s="175">
        <v>1</v>
      </c>
      <c r="AI272" s="175">
        <v>1</v>
      </c>
      <c r="AJ272" s="176">
        <v>361193</v>
      </c>
      <c r="AK272" s="176">
        <v>0</v>
      </c>
      <c r="AL272" s="176">
        <v>50844</v>
      </c>
      <c r="AM272" s="176">
        <v>0</v>
      </c>
      <c r="AN272" s="177">
        <v>0</v>
      </c>
      <c r="AO272" s="177">
        <v>0</v>
      </c>
      <c r="AP272" s="177">
        <v>304337</v>
      </c>
      <c r="AQ272" s="177">
        <v>0</v>
      </c>
      <c r="AR272" s="177">
        <v>73213</v>
      </c>
      <c r="AS272" s="177">
        <v>0</v>
      </c>
      <c r="AT272" s="178">
        <v>779715</v>
      </c>
      <c r="AU272" s="178">
        <v>0</v>
      </c>
      <c r="AV272" s="178">
        <v>260266</v>
      </c>
      <c r="AW272" s="179">
        <v>0</v>
      </c>
      <c r="AX272" s="180">
        <v>0</v>
      </c>
      <c r="AY272" s="180">
        <v>0</v>
      </c>
      <c r="AZ272" s="180">
        <v>82834</v>
      </c>
      <c r="BA272" s="180">
        <v>0</v>
      </c>
      <c r="BB272" s="170">
        <f t="shared" si="95"/>
        <v>1912402</v>
      </c>
      <c r="BC272" s="170">
        <v>1912401.72</v>
      </c>
      <c r="BD272" s="2">
        <f t="shared" si="96"/>
        <v>0.28000000002793968</v>
      </c>
    </row>
    <row r="273" spans="1:56" ht="12" x14ac:dyDescent="0.2">
      <c r="A273" s="4">
        <v>2142</v>
      </c>
      <c r="B273" s="4">
        <v>1</v>
      </c>
      <c r="C273" s="2" t="s">
        <v>275</v>
      </c>
      <c r="D273" s="3">
        <v>0</v>
      </c>
      <c r="E273" s="3">
        <v>0</v>
      </c>
      <c r="F273" s="227">
        <f t="shared" si="85"/>
        <v>13652.55</v>
      </c>
      <c r="G273" s="227">
        <f t="shared" si="86"/>
        <v>650066.31000000006</v>
      </c>
      <c r="H273" s="227">
        <f t="shared" si="87"/>
        <v>0</v>
      </c>
      <c r="I273" s="227">
        <f t="shared" si="88"/>
        <v>1642480.44</v>
      </c>
      <c r="J273" s="227">
        <f t="shared" si="89"/>
        <v>0</v>
      </c>
      <c r="K273" s="227">
        <f t="shared" si="90"/>
        <v>5504465.0499999998</v>
      </c>
      <c r="L273" s="227">
        <f t="shared" si="91"/>
        <v>0</v>
      </c>
      <c r="M273" s="3">
        <f t="shared" si="92"/>
        <v>0</v>
      </c>
      <c r="N273" s="227">
        <f t="shared" si="93"/>
        <v>0</v>
      </c>
      <c r="O273" s="142">
        <f t="shared" si="94"/>
        <v>7810664.3499999996</v>
      </c>
      <c r="P273" s="3">
        <f t="shared" si="78"/>
        <v>7146945.4900000002</v>
      </c>
      <c r="Q273" s="3">
        <f t="shared" si="79"/>
        <v>1642480.44</v>
      </c>
      <c r="R273" s="3">
        <f t="shared" si="80"/>
        <v>0</v>
      </c>
      <c r="S273" s="3">
        <f t="shared" si="81"/>
        <v>5504465.0499999998</v>
      </c>
      <c r="T273" s="3">
        <f t="shared" si="82"/>
        <v>0</v>
      </c>
      <c r="U273" s="3">
        <f>IF($A$5=1,IF($P273=0,0,ROUND(Q273/$P273*$E273,2)),Credits!D272)+Credits!J272</f>
        <v>113549.57</v>
      </c>
      <c r="V273" s="3">
        <f>IF($A$5=1,IF($P273=0,0,ROUND(R273/$P273*$E273,2)),Credits!E272)+Credits!K272</f>
        <v>0</v>
      </c>
      <c r="W273" s="3">
        <f>IF($A$5=1,IF($P273=0,0,ROUND(S273/$P273*$E273,2)),Credits!F272)+Credits!L272</f>
        <v>379680</v>
      </c>
      <c r="X273" s="3">
        <f>IF($A$5=1,IF($P273=0,0,ROUND(T273/$P273*$E273,2)),Credits!G272)+Credits!M272</f>
        <v>0</v>
      </c>
      <c r="Y273" s="3">
        <f t="shared" si="83"/>
        <v>493229.57</v>
      </c>
      <c r="AC273" s="4"/>
      <c r="AD273" s="4"/>
      <c r="AE273" s="2">
        <f t="shared" si="84"/>
        <v>0</v>
      </c>
      <c r="AF273" s="170" t="s">
        <v>1120</v>
      </c>
      <c r="AG273" s="175">
        <v>2142</v>
      </c>
      <c r="AH273" s="175">
        <v>1</v>
      </c>
      <c r="AI273" s="175">
        <v>1</v>
      </c>
      <c r="AJ273" s="176">
        <v>13652.55</v>
      </c>
      <c r="AK273" s="176">
        <v>0</v>
      </c>
      <c r="AL273" s="176">
        <v>650066.31000000006</v>
      </c>
      <c r="AM273" s="176">
        <v>0</v>
      </c>
      <c r="AN273" s="177">
        <v>0</v>
      </c>
      <c r="AO273" s="177">
        <v>0</v>
      </c>
      <c r="AP273" s="177">
        <v>1642480.44</v>
      </c>
      <c r="AQ273" s="177">
        <v>0</v>
      </c>
      <c r="AR273" s="177">
        <v>0</v>
      </c>
      <c r="AS273" s="177">
        <v>0</v>
      </c>
      <c r="AT273" s="178">
        <v>5504465.0499999998</v>
      </c>
      <c r="AU273" s="178">
        <v>0</v>
      </c>
      <c r="AV273" s="178">
        <v>0</v>
      </c>
      <c r="AW273" s="179">
        <v>0</v>
      </c>
      <c r="AX273" s="180">
        <v>0</v>
      </c>
      <c r="AY273" s="180">
        <v>0</v>
      </c>
      <c r="AZ273" s="180">
        <v>0</v>
      </c>
      <c r="BA273" s="180">
        <v>0</v>
      </c>
      <c r="BB273" s="170">
        <f t="shared" si="95"/>
        <v>7810664.3499999996</v>
      </c>
      <c r="BC273" s="170">
        <v>7810664.3499999996</v>
      </c>
      <c r="BD273" s="2">
        <f t="shared" si="96"/>
        <v>0</v>
      </c>
    </row>
    <row r="274" spans="1:56" ht="12" x14ac:dyDescent="0.2">
      <c r="A274" s="4">
        <v>2143</v>
      </c>
      <c r="B274" s="4">
        <v>1</v>
      </c>
      <c r="C274" s="2" t="s">
        <v>1164</v>
      </c>
      <c r="D274" s="3">
        <v>0</v>
      </c>
      <c r="E274" s="3">
        <v>0</v>
      </c>
      <c r="F274" s="227">
        <f t="shared" si="85"/>
        <v>1224460.74</v>
      </c>
      <c r="G274" s="227">
        <f t="shared" si="86"/>
        <v>69723.92</v>
      </c>
      <c r="H274" s="227">
        <f t="shared" si="87"/>
        <v>0</v>
      </c>
      <c r="I274" s="227">
        <f t="shared" si="88"/>
        <v>299799.27</v>
      </c>
      <c r="J274" s="227">
        <f t="shared" si="89"/>
        <v>87489.51</v>
      </c>
      <c r="K274" s="227">
        <f t="shared" si="90"/>
        <v>0</v>
      </c>
      <c r="L274" s="227">
        <f t="shared" si="91"/>
        <v>0</v>
      </c>
      <c r="M274" s="3">
        <f t="shared" si="92"/>
        <v>0</v>
      </c>
      <c r="N274" s="227">
        <f t="shared" si="93"/>
        <v>0</v>
      </c>
      <c r="O274" s="142">
        <f t="shared" si="94"/>
        <v>1681473.44</v>
      </c>
      <c r="P274" s="3">
        <f t="shared" si="78"/>
        <v>387288.78</v>
      </c>
      <c r="Q274" s="3">
        <f t="shared" si="79"/>
        <v>299799.27</v>
      </c>
      <c r="R274" s="3">
        <f t="shared" si="80"/>
        <v>87489.51</v>
      </c>
      <c r="S274" s="3">
        <f t="shared" si="81"/>
        <v>0</v>
      </c>
      <c r="T274" s="3">
        <f t="shared" si="82"/>
        <v>0</v>
      </c>
      <c r="U274" s="3">
        <f>IF($A$5=1,IF($P274=0,0,ROUND(Q274/$P274*$E274,2)),Credits!D273)+Credits!J273</f>
        <v>21370.19</v>
      </c>
      <c r="V274" s="3">
        <f>IF($A$5=1,IF($P274=0,0,ROUND(R274/$P274*$E274,2)),Credits!E273)+Credits!K273</f>
        <v>6236.2900000000009</v>
      </c>
      <c r="W274" s="3">
        <f>IF($A$5=1,IF($P274=0,0,ROUND(S274/$P274*$E274,2)),Credits!F273)+Credits!L273</f>
        <v>0</v>
      </c>
      <c r="X274" s="3">
        <f>IF($A$5=1,IF($P274=0,0,ROUND(T274/$P274*$E274,2)),Credits!G273)+Credits!M273</f>
        <v>0</v>
      </c>
      <c r="Y274" s="3">
        <f t="shared" si="83"/>
        <v>27606.48</v>
      </c>
      <c r="AC274" s="4"/>
      <c r="AD274" s="4"/>
      <c r="AE274" s="2">
        <f t="shared" si="84"/>
        <v>0</v>
      </c>
      <c r="AF274" s="170" t="s">
        <v>1120</v>
      </c>
      <c r="AG274" s="175">
        <v>2143</v>
      </c>
      <c r="AH274" s="175">
        <v>1</v>
      </c>
      <c r="AI274" s="175">
        <v>1</v>
      </c>
      <c r="AJ274" s="176">
        <v>1224460.74</v>
      </c>
      <c r="AK274" s="176">
        <v>0</v>
      </c>
      <c r="AL274" s="176">
        <v>69723.92</v>
      </c>
      <c r="AM274" s="176">
        <v>0</v>
      </c>
      <c r="AN274" s="177">
        <v>0</v>
      </c>
      <c r="AO274" s="177">
        <v>0</v>
      </c>
      <c r="AP274" s="177">
        <v>299799.27</v>
      </c>
      <c r="AQ274" s="177">
        <v>0</v>
      </c>
      <c r="AR274" s="177">
        <v>87489.51</v>
      </c>
      <c r="AS274" s="177">
        <v>0</v>
      </c>
      <c r="AT274" s="178">
        <v>0</v>
      </c>
      <c r="AU274" s="178">
        <v>0</v>
      </c>
      <c r="AV274" s="178">
        <v>0</v>
      </c>
      <c r="AW274" s="179">
        <v>0</v>
      </c>
      <c r="AX274" s="180">
        <v>0</v>
      </c>
      <c r="AY274" s="180">
        <v>0</v>
      </c>
      <c r="AZ274" s="180">
        <v>0</v>
      </c>
      <c r="BA274" s="180">
        <v>0</v>
      </c>
      <c r="BB274" s="170">
        <f t="shared" si="95"/>
        <v>1681473.44</v>
      </c>
      <c r="BC274" s="170">
        <v>1681473.44</v>
      </c>
      <c r="BD274" s="2">
        <f t="shared" si="96"/>
        <v>0</v>
      </c>
    </row>
    <row r="275" spans="1:56" ht="12" x14ac:dyDescent="0.2">
      <c r="A275" s="4">
        <v>2144</v>
      </c>
      <c r="B275" s="4">
        <v>1</v>
      </c>
      <c r="C275" s="2" t="s">
        <v>277</v>
      </c>
      <c r="D275" s="3">
        <v>0</v>
      </c>
      <c r="E275" s="3">
        <v>0</v>
      </c>
      <c r="F275" s="227">
        <f t="shared" si="85"/>
        <v>677175.42</v>
      </c>
      <c r="G275" s="227">
        <f t="shared" si="86"/>
        <v>2151819.5499999998</v>
      </c>
      <c r="H275" s="227">
        <f t="shared" si="87"/>
        <v>0</v>
      </c>
      <c r="I275" s="227">
        <f t="shared" si="88"/>
        <v>1372160.38</v>
      </c>
      <c r="J275" s="227">
        <f t="shared" si="89"/>
        <v>280274.28000000003</v>
      </c>
      <c r="K275" s="227">
        <f t="shared" si="90"/>
        <v>3120144.56</v>
      </c>
      <c r="L275" s="227">
        <f t="shared" si="91"/>
        <v>0</v>
      </c>
      <c r="M275" s="3">
        <f t="shared" si="92"/>
        <v>0</v>
      </c>
      <c r="N275" s="227">
        <f t="shared" si="93"/>
        <v>0</v>
      </c>
      <c r="O275" s="142">
        <f t="shared" si="94"/>
        <v>7601574.1899999995</v>
      </c>
      <c r="P275" s="3">
        <f t="shared" si="78"/>
        <v>4772579.22</v>
      </c>
      <c r="Q275" s="3">
        <f t="shared" si="79"/>
        <v>1372160.38</v>
      </c>
      <c r="R275" s="3">
        <f t="shared" si="80"/>
        <v>280274.28000000003</v>
      </c>
      <c r="S275" s="3">
        <f t="shared" si="81"/>
        <v>3120144.56</v>
      </c>
      <c r="T275" s="3">
        <f t="shared" si="82"/>
        <v>0</v>
      </c>
      <c r="U275" s="3">
        <f>IF($A$5=1,IF($P275=0,0,ROUND(Q275/$P275*$E275,2)),Credits!D274)+Credits!J274</f>
        <v>8193.4399999999987</v>
      </c>
      <c r="V275" s="3">
        <f>IF($A$5=1,IF($P275=0,0,ROUND(R275/$P275*$E275,2)),Credits!E274)+Credits!K274</f>
        <v>1671.67</v>
      </c>
      <c r="W275" s="3">
        <f>IF($A$5=1,IF($P275=0,0,ROUND(S275/$P275*$E275,2)),Credits!F274)+Credits!L274</f>
        <v>18399.770000000004</v>
      </c>
      <c r="X275" s="3">
        <f>IF($A$5=1,IF($P275=0,0,ROUND(T275/$P275*$E275,2)),Credits!G274)+Credits!M274</f>
        <v>0</v>
      </c>
      <c r="Y275" s="3">
        <f t="shared" si="83"/>
        <v>28264.880000000005</v>
      </c>
      <c r="AC275" s="4"/>
      <c r="AD275" s="4"/>
      <c r="AE275" s="2">
        <f t="shared" si="84"/>
        <v>0</v>
      </c>
      <c r="AF275" s="170" t="s">
        <v>1120</v>
      </c>
      <c r="AG275" s="175">
        <v>2144</v>
      </c>
      <c r="AH275" s="175">
        <v>1</v>
      </c>
      <c r="AI275" s="175">
        <v>1</v>
      </c>
      <c r="AJ275" s="176">
        <v>677175.42</v>
      </c>
      <c r="AK275" s="176">
        <v>0</v>
      </c>
      <c r="AL275" s="176">
        <v>2151819.5499999998</v>
      </c>
      <c r="AM275" s="176">
        <v>0</v>
      </c>
      <c r="AN275" s="177">
        <v>0</v>
      </c>
      <c r="AO275" s="177">
        <v>0</v>
      </c>
      <c r="AP275" s="177">
        <v>1372160.38</v>
      </c>
      <c r="AQ275" s="177">
        <v>0</v>
      </c>
      <c r="AR275" s="177">
        <v>280274.28000000003</v>
      </c>
      <c r="AS275" s="177">
        <v>0</v>
      </c>
      <c r="AT275" s="178">
        <v>3120144.56</v>
      </c>
      <c r="AU275" s="178">
        <v>0</v>
      </c>
      <c r="AV275" s="178">
        <v>0</v>
      </c>
      <c r="AW275" s="179">
        <v>0</v>
      </c>
      <c r="AX275" s="180">
        <v>0</v>
      </c>
      <c r="AY275" s="180">
        <v>0</v>
      </c>
      <c r="AZ275" s="180">
        <v>0</v>
      </c>
      <c r="BA275" s="180">
        <v>0</v>
      </c>
      <c r="BB275" s="170">
        <f t="shared" si="95"/>
        <v>7601574.1899999995</v>
      </c>
      <c r="BC275" s="170">
        <v>7601574.1900000004</v>
      </c>
      <c r="BD275" s="2">
        <f t="shared" si="96"/>
        <v>0</v>
      </c>
    </row>
    <row r="276" spans="1:56" ht="12" x14ac:dyDescent="0.2">
      <c r="A276" s="4">
        <v>2149</v>
      </c>
      <c r="B276" s="4">
        <v>1</v>
      </c>
      <c r="C276" s="2" t="s">
        <v>278</v>
      </c>
      <c r="D276" s="3">
        <v>0</v>
      </c>
      <c r="E276" s="3">
        <v>0</v>
      </c>
      <c r="F276" s="227">
        <f t="shared" si="85"/>
        <v>831740</v>
      </c>
      <c r="G276" s="227">
        <f t="shared" si="86"/>
        <v>135060</v>
      </c>
      <c r="H276" s="227">
        <f t="shared" si="87"/>
        <v>0</v>
      </c>
      <c r="I276" s="227">
        <f t="shared" si="88"/>
        <v>664929</v>
      </c>
      <c r="J276" s="227">
        <f t="shared" si="89"/>
        <v>131878</v>
      </c>
      <c r="K276" s="227">
        <f t="shared" si="90"/>
        <v>95867</v>
      </c>
      <c r="L276" s="227">
        <f t="shared" si="91"/>
        <v>712256</v>
      </c>
      <c r="M276" s="3">
        <f t="shared" si="92"/>
        <v>0</v>
      </c>
      <c r="N276" s="227">
        <f t="shared" si="93"/>
        <v>501137</v>
      </c>
      <c r="O276" s="142">
        <f t="shared" si="94"/>
        <v>3072867</v>
      </c>
      <c r="P276" s="3">
        <f t="shared" si="78"/>
        <v>2106067</v>
      </c>
      <c r="Q276" s="3">
        <f t="shared" si="79"/>
        <v>664929</v>
      </c>
      <c r="R276" s="3">
        <f t="shared" si="80"/>
        <v>131878</v>
      </c>
      <c r="S276" s="3">
        <f t="shared" si="81"/>
        <v>808123</v>
      </c>
      <c r="T276" s="3">
        <f t="shared" si="82"/>
        <v>501137</v>
      </c>
      <c r="U276" s="3">
        <f>IF($A$5=1,IF($P276=0,0,ROUND(Q276/$P276*$E276,2)),Credits!D275)+Credits!J275</f>
        <v>17384.839999999997</v>
      </c>
      <c r="V276" s="3">
        <f>IF($A$5=1,IF($P276=0,0,ROUND(R276/$P276*$E276,2)),Credits!E275)+Credits!K275</f>
        <v>3452.0699999999997</v>
      </c>
      <c r="W276" s="3">
        <f>IF($A$5=1,IF($P276=0,0,ROUND(S276/$P276*$E276,2)),Credits!F275)+Credits!L275</f>
        <v>21144.35</v>
      </c>
      <c r="X276" s="3">
        <f>IF($A$5=1,IF($P276=0,0,ROUND(T276/$P276*$E276,2)),Credits!G275)+Credits!M275</f>
        <v>13109.079999999996</v>
      </c>
      <c r="Y276" s="3">
        <f t="shared" si="83"/>
        <v>55090.339999999989</v>
      </c>
      <c r="AC276" s="4"/>
      <c r="AD276" s="4"/>
      <c r="AE276" s="2">
        <f t="shared" si="84"/>
        <v>0</v>
      </c>
      <c r="AF276" s="170" t="s">
        <v>1120</v>
      </c>
      <c r="AG276" s="175">
        <v>2149</v>
      </c>
      <c r="AH276" s="175">
        <v>1</v>
      </c>
      <c r="AI276" s="175">
        <v>1</v>
      </c>
      <c r="AJ276" s="176">
        <v>831740</v>
      </c>
      <c r="AK276" s="176">
        <v>0</v>
      </c>
      <c r="AL276" s="176">
        <v>135060</v>
      </c>
      <c r="AM276" s="176">
        <v>0</v>
      </c>
      <c r="AN276" s="177">
        <v>0</v>
      </c>
      <c r="AO276" s="177">
        <v>0</v>
      </c>
      <c r="AP276" s="177">
        <v>664929</v>
      </c>
      <c r="AQ276" s="177">
        <v>0</v>
      </c>
      <c r="AR276" s="177">
        <v>131878</v>
      </c>
      <c r="AS276" s="177">
        <v>0</v>
      </c>
      <c r="AT276" s="178">
        <v>95867</v>
      </c>
      <c r="AU276" s="178">
        <v>0</v>
      </c>
      <c r="AV276" s="178">
        <v>712256</v>
      </c>
      <c r="AW276" s="179">
        <v>0</v>
      </c>
      <c r="AX276" s="180">
        <v>0</v>
      </c>
      <c r="AY276" s="180">
        <v>0</v>
      </c>
      <c r="AZ276" s="180">
        <v>501137</v>
      </c>
      <c r="BA276" s="180">
        <v>0</v>
      </c>
      <c r="BB276" s="170">
        <f t="shared" si="95"/>
        <v>3072867</v>
      </c>
      <c r="BC276" s="170">
        <v>3072866.3</v>
      </c>
      <c r="BD276" s="2">
        <f t="shared" si="96"/>
        <v>0.70000000018626451</v>
      </c>
    </row>
    <row r="277" spans="1:56" ht="12" x14ac:dyDescent="0.2">
      <c r="A277" s="4">
        <v>2154</v>
      </c>
      <c r="B277" s="4">
        <v>1</v>
      </c>
      <c r="C277" s="2" t="s">
        <v>279</v>
      </c>
      <c r="D277" s="3">
        <v>0</v>
      </c>
      <c r="E277" s="3">
        <v>0</v>
      </c>
      <c r="F277" s="227">
        <f t="shared" si="85"/>
        <v>456638.18</v>
      </c>
      <c r="G277" s="227">
        <f t="shared" si="86"/>
        <v>17189.73</v>
      </c>
      <c r="H277" s="227">
        <f t="shared" si="87"/>
        <v>0</v>
      </c>
      <c r="I277" s="227">
        <f t="shared" si="88"/>
        <v>0</v>
      </c>
      <c r="J277" s="227">
        <f t="shared" si="89"/>
        <v>0</v>
      </c>
      <c r="K277" s="227">
        <f t="shared" si="90"/>
        <v>79341.23</v>
      </c>
      <c r="L277" s="227">
        <f t="shared" si="91"/>
        <v>0</v>
      </c>
      <c r="M277" s="3">
        <f t="shared" si="92"/>
        <v>0</v>
      </c>
      <c r="N277" s="227">
        <f t="shared" si="93"/>
        <v>0</v>
      </c>
      <c r="O277" s="142">
        <f t="shared" si="94"/>
        <v>553169.14</v>
      </c>
      <c r="P277" s="3">
        <f t="shared" si="78"/>
        <v>79341.23</v>
      </c>
      <c r="Q277" s="3">
        <f t="shared" si="79"/>
        <v>0</v>
      </c>
      <c r="R277" s="3">
        <f t="shared" si="80"/>
        <v>0</v>
      </c>
      <c r="S277" s="3">
        <f t="shared" si="81"/>
        <v>79341.23</v>
      </c>
      <c r="T277" s="3">
        <f t="shared" si="82"/>
        <v>0</v>
      </c>
      <c r="U277" s="3">
        <f>IF($A$5=1,IF($P277=0,0,ROUND(Q277/$P277*$E277,2)),Credits!D276)+Credits!J276</f>
        <v>59.79</v>
      </c>
      <c r="V277" s="3">
        <f>IF($A$5=1,IF($P277=0,0,ROUND(R277/$P277*$E277,2)),Credits!E276)+Credits!K276</f>
        <v>0</v>
      </c>
      <c r="W277" s="3">
        <f>IF($A$5=1,IF($P277=0,0,ROUND(S277/$P277*$E277,2)),Credits!F276)+Credits!L276</f>
        <v>37832.410000000003</v>
      </c>
      <c r="X277" s="3">
        <f>IF($A$5=1,IF($P277=0,0,ROUND(T277/$P277*$E277,2)),Credits!G276)+Credits!M276</f>
        <v>0</v>
      </c>
      <c r="Y277" s="3">
        <f t="shared" si="83"/>
        <v>37892.200000000004</v>
      </c>
      <c r="AC277" s="4"/>
      <c r="AD277" s="4"/>
      <c r="AE277" s="2">
        <f t="shared" si="84"/>
        <v>0</v>
      </c>
      <c r="AF277" s="170" t="s">
        <v>1120</v>
      </c>
      <c r="AG277" s="175">
        <v>2154</v>
      </c>
      <c r="AH277" s="175">
        <v>1</v>
      </c>
      <c r="AI277" s="175">
        <v>1</v>
      </c>
      <c r="AJ277" s="176">
        <v>456638.18</v>
      </c>
      <c r="AK277" s="176">
        <v>0</v>
      </c>
      <c r="AL277" s="176">
        <v>17189.73</v>
      </c>
      <c r="AM277" s="176">
        <v>0</v>
      </c>
      <c r="AN277" s="177">
        <v>0</v>
      </c>
      <c r="AO277" s="177">
        <v>0</v>
      </c>
      <c r="AP277" s="177">
        <v>0</v>
      </c>
      <c r="AQ277" s="177">
        <v>0</v>
      </c>
      <c r="AR277" s="177">
        <v>0</v>
      </c>
      <c r="AS277" s="177">
        <v>0</v>
      </c>
      <c r="AT277" s="178">
        <v>79341.23</v>
      </c>
      <c r="AU277" s="178">
        <v>0</v>
      </c>
      <c r="AV277" s="178">
        <v>0</v>
      </c>
      <c r="AW277" s="179">
        <v>0</v>
      </c>
      <c r="AX277" s="180">
        <v>0</v>
      </c>
      <c r="AY277" s="180">
        <v>0</v>
      </c>
      <c r="AZ277" s="180">
        <v>0</v>
      </c>
      <c r="BA277" s="180">
        <v>0</v>
      </c>
      <c r="BB277" s="170">
        <f t="shared" si="95"/>
        <v>553169.14</v>
      </c>
      <c r="BC277" s="170">
        <v>553169.14</v>
      </c>
      <c r="BD277" s="2">
        <f t="shared" si="96"/>
        <v>0</v>
      </c>
    </row>
    <row r="278" spans="1:56" ht="12" x14ac:dyDescent="0.2">
      <c r="A278" s="4">
        <v>2155</v>
      </c>
      <c r="B278" s="4">
        <v>1</v>
      </c>
      <c r="C278" s="2" t="s">
        <v>1163</v>
      </c>
      <c r="D278" s="3">
        <v>0</v>
      </c>
      <c r="E278" s="3">
        <v>0</v>
      </c>
      <c r="F278" s="227">
        <f t="shared" si="85"/>
        <v>477732</v>
      </c>
      <c r="G278" s="227">
        <f t="shared" si="86"/>
        <v>60624</v>
      </c>
      <c r="H278" s="227">
        <f t="shared" si="87"/>
        <v>0</v>
      </c>
      <c r="I278" s="227">
        <f t="shared" si="88"/>
        <v>209507</v>
      </c>
      <c r="J278" s="227">
        <f t="shared" si="89"/>
        <v>27514</v>
      </c>
      <c r="K278" s="227">
        <f t="shared" si="90"/>
        <v>616512</v>
      </c>
      <c r="L278" s="227">
        <f t="shared" si="91"/>
        <v>0</v>
      </c>
      <c r="M278" s="3">
        <f t="shared" si="92"/>
        <v>0</v>
      </c>
      <c r="N278" s="227">
        <f t="shared" si="93"/>
        <v>0</v>
      </c>
      <c r="O278" s="142">
        <f t="shared" si="94"/>
        <v>1391889</v>
      </c>
      <c r="P278" s="3">
        <f t="shared" si="78"/>
        <v>853533</v>
      </c>
      <c r="Q278" s="3">
        <f t="shared" si="79"/>
        <v>209507</v>
      </c>
      <c r="R278" s="3">
        <f t="shared" si="80"/>
        <v>27514</v>
      </c>
      <c r="S278" s="3">
        <f t="shared" si="81"/>
        <v>616512</v>
      </c>
      <c r="T278" s="3">
        <f t="shared" si="82"/>
        <v>0</v>
      </c>
      <c r="U278" s="3">
        <f>IF($A$5=1,IF($P278=0,0,ROUND(Q278/$P278*$E278,2)),Credits!D277)+Credits!J277</f>
        <v>12155.649999999998</v>
      </c>
      <c r="V278" s="3">
        <f>IF($A$5=1,IF($P278=0,0,ROUND(R278/$P278*$E278,2)),Credits!E277)+Credits!K277</f>
        <v>1596.76</v>
      </c>
      <c r="W278" s="3">
        <f>IF($A$5=1,IF($P278=0,0,ROUND(S278/$P278*$E278,2)),Credits!F277)+Credits!L277</f>
        <v>33633.15</v>
      </c>
      <c r="X278" s="3">
        <f>IF($A$5=1,IF($P278=0,0,ROUND(T278/$P278*$E278,2)),Credits!G277)+Credits!M277</f>
        <v>0</v>
      </c>
      <c r="Y278" s="3">
        <f t="shared" si="83"/>
        <v>47385.56</v>
      </c>
      <c r="AC278" s="4"/>
      <c r="AD278" s="4"/>
      <c r="AE278" s="2">
        <f t="shared" si="84"/>
        <v>0</v>
      </c>
      <c r="AF278" s="170" t="s">
        <v>1120</v>
      </c>
      <c r="AG278" s="175">
        <v>2155</v>
      </c>
      <c r="AH278" s="175">
        <v>1</v>
      </c>
      <c r="AI278" s="175">
        <v>1</v>
      </c>
      <c r="AJ278" s="176">
        <v>477732</v>
      </c>
      <c r="AK278" s="176">
        <v>0</v>
      </c>
      <c r="AL278" s="176">
        <v>60624</v>
      </c>
      <c r="AM278" s="176">
        <v>0</v>
      </c>
      <c r="AN278" s="177">
        <v>0</v>
      </c>
      <c r="AO278" s="177">
        <v>0</v>
      </c>
      <c r="AP278" s="177">
        <v>209507</v>
      </c>
      <c r="AQ278" s="177">
        <v>0</v>
      </c>
      <c r="AR278" s="177">
        <v>27514</v>
      </c>
      <c r="AS278" s="177">
        <v>0</v>
      </c>
      <c r="AT278" s="178">
        <v>616512</v>
      </c>
      <c r="AU278" s="178">
        <v>0</v>
      </c>
      <c r="AV278" s="178">
        <v>0</v>
      </c>
      <c r="AW278" s="179">
        <v>0</v>
      </c>
      <c r="AX278" s="180">
        <v>0</v>
      </c>
      <c r="AY278" s="180">
        <v>0</v>
      </c>
      <c r="AZ278" s="180">
        <v>0</v>
      </c>
      <c r="BA278" s="180">
        <v>0</v>
      </c>
      <c r="BB278" s="170">
        <f t="shared" si="95"/>
        <v>1391889</v>
      </c>
      <c r="BC278" s="170">
        <v>1391889.14</v>
      </c>
      <c r="BD278" s="2">
        <f t="shared" si="96"/>
        <v>-0.13999999989755452</v>
      </c>
    </row>
    <row r="279" spans="1:56" ht="12" x14ac:dyDescent="0.2">
      <c r="A279" s="4">
        <v>2159</v>
      </c>
      <c r="B279" s="4">
        <v>1</v>
      </c>
      <c r="C279" s="2" t="s">
        <v>1162</v>
      </c>
      <c r="D279" s="3">
        <v>0</v>
      </c>
      <c r="E279" s="3">
        <v>0</v>
      </c>
      <c r="F279" s="227">
        <f t="shared" si="85"/>
        <v>504424.15</v>
      </c>
      <c r="G279" s="227">
        <f t="shared" si="86"/>
        <v>40192.76</v>
      </c>
      <c r="H279" s="227">
        <f t="shared" si="87"/>
        <v>0</v>
      </c>
      <c r="I279" s="227">
        <f t="shared" si="88"/>
        <v>357771.47</v>
      </c>
      <c r="J279" s="227">
        <f t="shared" si="89"/>
        <v>41811.47</v>
      </c>
      <c r="K279" s="227">
        <f t="shared" si="90"/>
        <v>0</v>
      </c>
      <c r="L279" s="227">
        <f t="shared" si="91"/>
        <v>0</v>
      </c>
      <c r="M279" s="3">
        <f t="shared" si="92"/>
        <v>0</v>
      </c>
      <c r="N279" s="227">
        <f t="shared" si="93"/>
        <v>0</v>
      </c>
      <c r="O279" s="142">
        <f t="shared" si="94"/>
        <v>944199.85</v>
      </c>
      <c r="P279" s="3">
        <f t="shared" si="78"/>
        <v>399582.93999999994</v>
      </c>
      <c r="Q279" s="3">
        <f t="shared" si="79"/>
        <v>357771.47</v>
      </c>
      <c r="R279" s="3">
        <f t="shared" si="80"/>
        <v>41811.47</v>
      </c>
      <c r="S279" s="3">
        <f t="shared" si="81"/>
        <v>0</v>
      </c>
      <c r="T279" s="3">
        <f t="shared" si="82"/>
        <v>0</v>
      </c>
      <c r="U279" s="3">
        <f>IF($A$5=1,IF($P279=0,0,ROUND(Q279/$P279*$E279,2)),Credits!D278)+Credits!J278</f>
        <v>26132.33</v>
      </c>
      <c r="V279" s="3">
        <f>IF($A$5=1,IF($P279=0,0,ROUND(R279/$P279*$E279,2)),Credits!E278)+Credits!K278</f>
        <v>3055.54</v>
      </c>
      <c r="W279" s="3">
        <f>IF($A$5=1,IF($P279=0,0,ROUND(S279/$P279*$E279,2)),Credits!F278)+Credits!L278</f>
        <v>0</v>
      </c>
      <c r="X279" s="3">
        <f>IF($A$5=1,IF($P279=0,0,ROUND(T279/$P279*$E279,2)),Credits!G278)+Credits!M278</f>
        <v>0</v>
      </c>
      <c r="Y279" s="3">
        <f t="shared" si="83"/>
        <v>29187.870000000003</v>
      </c>
      <c r="AC279" s="4"/>
      <c r="AD279" s="4"/>
      <c r="AE279" s="2">
        <f t="shared" si="84"/>
        <v>0</v>
      </c>
      <c r="AF279" s="170" t="s">
        <v>1120</v>
      </c>
      <c r="AG279" s="175">
        <v>2159</v>
      </c>
      <c r="AH279" s="175">
        <v>1</v>
      </c>
      <c r="AI279" s="175">
        <v>1</v>
      </c>
      <c r="AJ279" s="176">
        <v>504424.15</v>
      </c>
      <c r="AK279" s="176">
        <v>0</v>
      </c>
      <c r="AL279" s="176">
        <v>40192.76</v>
      </c>
      <c r="AM279" s="176">
        <v>0</v>
      </c>
      <c r="AN279" s="177">
        <v>0</v>
      </c>
      <c r="AO279" s="177">
        <v>0</v>
      </c>
      <c r="AP279" s="177">
        <v>357771.47</v>
      </c>
      <c r="AQ279" s="177">
        <v>0</v>
      </c>
      <c r="AR279" s="177">
        <v>41811.47</v>
      </c>
      <c r="AS279" s="177">
        <v>0</v>
      </c>
      <c r="AT279" s="178">
        <v>0</v>
      </c>
      <c r="AU279" s="178">
        <v>0</v>
      </c>
      <c r="AV279" s="178">
        <v>0</v>
      </c>
      <c r="AW279" s="179">
        <v>0</v>
      </c>
      <c r="AX279" s="180">
        <v>0</v>
      </c>
      <c r="AY279" s="180">
        <v>0</v>
      </c>
      <c r="AZ279" s="180">
        <v>0</v>
      </c>
      <c r="BA279" s="180">
        <v>0</v>
      </c>
      <c r="BB279" s="170">
        <f t="shared" si="95"/>
        <v>944199.85</v>
      </c>
      <c r="BC279" s="170">
        <v>944199.85</v>
      </c>
      <c r="BD279" s="2">
        <f t="shared" si="96"/>
        <v>0</v>
      </c>
    </row>
    <row r="280" spans="1:56" ht="12" x14ac:dyDescent="0.2">
      <c r="A280" s="4">
        <v>2164</v>
      </c>
      <c r="B280" s="4">
        <v>1</v>
      </c>
      <c r="C280" s="2" t="s">
        <v>1161</v>
      </c>
      <c r="D280" s="3">
        <v>0</v>
      </c>
      <c r="E280" s="3">
        <v>0</v>
      </c>
      <c r="F280" s="227">
        <f t="shared" si="85"/>
        <v>377065</v>
      </c>
      <c r="G280" s="227">
        <f t="shared" si="86"/>
        <v>115791</v>
      </c>
      <c r="H280" s="227">
        <f t="shared" si="87"/>
        <v>0</v>
      </c>
      <c r="I280" s="227">
        <f t="shared" si="88"/>
        <v>303023.90999999997</v>
      </c>
      <c r="J280" s="227">
        <f t="shared" si="89"/>
        <v>80525.36</v>
      </c>
      <c r="K280" s="227">
        <f t="shared" si="90"/>
        <v>887445.4</v>
      </c>
      <c r="L280" s="227">
        <f t="shared" si="91"/>
        <v>363465</v>
      </c>
      <c r="M280" s="3">
        <f t="shared" si="92"/>
        <v>0</v>
      </c>
      <c r="N280" s="227">
        <f t="shared" si="93"/>
        <v>54787.31</v>
      </c>
      <c r="O280" s="142">
        <f t="shared" si="94"/>
        <v>2182102.98</v>
      </c>
      <c r="P280" s="3">
        <f t="shared" si="78"/>
        <v>1689246.98</v>
      </c>
      <c r="Q280" s="3">
        <f t="shared" si="79"/>
        <v>303023.90999999997</v>
      </c>
      <c r="R280" s="3">
        <f t="shared" si="80"/>
        <v>80525.36</v>
      </c>
      <c r="S280" s="3">
        <f t="shared" si="81"/>
        <v>1250910.3999999999</v>
      </c>
      <c r="T280" s="3">
        <f t="shared" si="82"/>
        <v>54787.31</v>
      </c>
      <c r="U280" s="3">
        <f>IF($A$5=1,IF($P280=0,0,ROUND(Q280/$P280*$E280,2)),Credits!D279)+Credits!J279</f>
        <v>14180.83</v>
      </c>
      <c r="V280" s="3">
        <f>IF($A$5=1,IF($P280=0,0,ROUND(R280/$P280*$E280,2)),Credits!E279)+Credits!K279</f>
        <v>3766.26</v>
      </c>
      <c r="W280" s="3">
        <f>IF($A$5=1,IF($P280=0,0,ROUND(S280/$P280*$E280,2)),Credits!F279)+Credits!L279</f>
        <v>58532.600000000006</v>
      </c>
      <c r="X280" s="3">
        <f>IF($A$5=1,IF($P280=0,0,ROUND(T280/$P280*$E280,2)),Credits!G279)+Credits!M279</f>
        <v>2563.8900000000003</v>
      </c>
      <c r="Y280" s="3">
        <f t="shared" si="83"/>
        <v>79043.58</v>
      </c>
      <c r="AC280" s="4"/>
      <c r="AD280" s="4"/>
      <c r="AE280" s="2">
        <f t="shared" si="84"/>
        <v>0</v>
      </c>
      <c r="AF280" s="170" t="s">
        <v>1120</v>
      </c>
      <c r="AG280" s="175">
        <v>2164</v>
      </c>
      <c r="AH280" s="175">
        <v>1</v>
      </c>
      <c r="AI280" s="175">
        <v>1</v>
      </c>
      <c r="AJ280" s="176">
        <v>377065</v>
      </c>
      <c r="AK280" s="176">
        <v>0</v>
      </c>
      <c r="AL280" s="176">
        <v>115791</v>
      </c>
      <c r="AM280" s="176">
        <v>0</v>
      </c>
      <c r="AN280" s="177">
        <v>0</v>
      </c>
      <c r="AO280" s="177">
        <v>0</v>
      </c>
      <c r="AP280" s="177">
        <v>303023.90999999997</v>
      </c>
      <c r="AQ280" s="177">
        <v>0</v>
      </c>
      <c r="AR280" s="177">
        <v>80525.36</v>
      </c>
      <c r="AS280" s="177">
        <v>0</v>
      </c>
      <c r="AT280" s="178">
        <v>887445.4</v>
      </c>
      <c r="AU280" s="178">
        <v>0</v>
      </c>
      <c r="AV280" s="178">
        <v>363465</v>
      </c>
      <c r="AW280" s="179">
        <v>0</v>
      </c>
      <c r="AX280" s="180">
        <v>0</v>
      </c>
      <c r="AY280" s="180">
        <v>0</v>
      </c>
      <c r="AZ280" s="180">
        <v>54787.31</v>
      </c>
      <c r="BA280" s="180">
        <v>0</v>
      </c>
      <c r="BB280" s="170">
        <f t="shared" si="95"/>
        <v>2182102.98</v>
      </c>
      <c r="BC280" s="170">
        <v>2182102.96</v>
      </c>
      <c r="BD280" s="2">
        <f t="shared" si="96"/>
        <v>2.0000000018626451E-2</v>
      </c>
    </row>
    <row r="281" spans="1:56" ht="12" x14ac:dyDescent="0.2">
      <c r="A281" s="4">
        <v>2165</v>
      </c>
      <c r="B281" s="4">
        <v>1</v>
      </c>
      <c r="C281" s="2" t="s">
        <v>1160</v>
      </c>
      <c r="D281" s="3">
        <v>0</v>
      </c>
      <c r="E281" s="3">
        <v>0</v>
      </c>
      <c r="F281" s="227">
        <f t="shared" si="85"/>
        <v>146718.39000000001</v>
      </c>
      <c r="G281" s="227">
        <f t="shared" si="86"/>
        <v>89488.31</v>
      </c>
      <c r="H281" s="227">
        <f t="shared" si="87"/>
        <v>0</v>
      </c>
      <c r="I281" s="227">
        <f t="shared" si="88"/>
        <v>288512.3</v>
      </c>
      <c r="J281" s="227">
        <f t="shared" si="89"/>
        <v>83276.070000000007</v>
      </c>
      <c r="K281" s="227">
        <f t="shared" si="90"/>
        <v>466334.79</v>
      </c>
      <c r="L281" s="227">
        <f t="shared" si="91"/>
        <v>415535</v>
      </c>
      <c r="M281" s="3">
        <f t="shared" si="92"/>
        <v>0</v>
      </c>
      <c r="N281" s="227">
        <f t="shared" si="93"/>
        <v>0</v>
      </c>
      <c r="O281" s="142">
        <f t="shared" si="94"/>
        <v>1489864.86</v>
      </c>
      <c r="P281" s="3">
        <f t="shared" si="78"/>
        <v>1253658.1599999999</v>
      </c>
      <c r="Q281" s="3">
        <f t="shared" si="79"/>
        <v>288512.3</v>
      </c>
      <c r="R281" s="3">
        <f t="shared" si="80"/>
        <v>83276.070000000007</v>
      </c>
      <c r="S281" s="3">
        <f t="shared" si="81"/>
        <v>881869.79</v>
      </c>
      <c r="T281" s="3">
        <f t="shared" si="82"/>
        <v>0</v>
      </c>
      <c r="U281" s="3">
        <f>IF($A$5=1,IF($P281=0,0,ROUND(Q281/$P281*$E281,2)),Credits!D280)+Credits!J280</f>
        <v>5804.58</v>
      </c>
      <c r="V281" s="3">
        <f>IF($A$5=1,IF($P281=0,0,ROUND(R281/$P281*$E281,2)),Credits!E280)+Credits!K280</f>
        <v>1675.8899999999999</v>
      </c>
      <c r="W281" s="3">
        <f>IF($A$5=1,IF($P281=0,0,ROUND(S281/$P281*$E281,2)),Credits!F280)+Credits!L280</f>
        <v>17732.829999999998</v>
      </c>
      <c r="X281" s="3">
        <f>IF($A$5=1,IF($P281=0,0,ROUND(T281/$P281*$E281,2)),Credits!G280)+Credits!M280</f>
        <v>0</v>
      </c>
      <c r="Y281" s="3">
        <f t="shared" si="83"/>
        <v>25213.299999999996</v>
      </c>
      <c r="AC281" s="4"/>
      <c r="AD281" s="4"/>
      <c r="AE281" s="2">
        <f t="shared" si="84"/>
        <v>0</v>
      </c>
      <c r="AF281" s="170" t="s">
        <v>1120</v>
      </c>
      <c r="AG281" s="175">
        <v>2165</v>
      </c>
      <c r="AH281" s="175">
        <v>1</v>
      </c>
      <c r="AI281" s="175">
        <v>1</v>
      </c>
      <c r="AJ281" s="176">
        <v>146718.39000000001</v>
      </c>
      <c r="AK281" s="176">
        <v>0</v>
      </c>
      <c r="AL281" s="176">
        <v>89488.31</v>
      </c>
      <c r="AM281" s="176">
        <v>0</v>
      </c>
      <c r="AN281" s="177">
        <v>0</v>
      </c>
      <c r="AO281" s="177">
        <v>0</v>
      </c>
      <c r="AP281" s="177">
        <v>288512.3</v>
      </c>
      <c r="AQ281" s="177">
        <v>0</v>
      </c>
      <c r="AR281" s="177">
        <v>83276.070000000007</v>
      </c>
      <c r="AS281" s="177">
        <v>0</v>
      </c>
      <c r="AT281" s="178">
        <v>466334.79</v>
      </c>
      <c r="AU281" s="178">
        <v>0</v>
      </c>
      <c r="AV281" s="178">
        <v>415535</v>
      </c>
      <c r="AW281" s="179">
        <v>0</v>
      </c>
      <c r="AX281" s="180">
        <v>0</v>
      </c>
      <c r="AY281" s="180">
        <v>0</v>
      </c>
      <c r="AZ281" s="180">
        <v>0</v>
      </c>
      <c r="BA281" s="180">
        <v>0</v>
      </c>
      <c r="BB281" s="170">
        <f t="shared" si="95"/>
        <v>1489864.86</v>
      </c>
      <c r="BC281" s="170">
        <v>1489864.86</v>
      </c>
      <c r="BD281" s="2">
        <f t="shared" si="96"/>
        <v>0</v>
      </c>
    </row>
    <row r="282" spans="1:56" ht="12" x14ac:dyDescent="0.2">
      <c r="A282" s="4">
        <v>2167</v>
      </c>
      <c r="B282" s="4">
        <v>1</v>
      </c>
      <c r="C282" s="2" t="s">
        <v>284</v>
      </c>
      <c r="D282" s="3">
        <v>0</v>
      </c>
      <c r="E282" s="3">
        <v>0</v>
      </c>
      <c r="F282" s="227">
        <f t="shared" si="85"/>
        <v>214386</v>
      </c>
      <c r="G282" s="227">
        <f t="shared" si="86"/>
        <v>36594</v>
      </c>
      <c r="H282" s="227">
        <f t="shared" si="87"/>
        <v>0</v>
      </c>
      <c r="I282" s="227">
        <f t="shared" si="88"/>
        <v>279047</v>
      </c>
      <c r="J282" s="227">
        <f t="shared" si="89"/>
        <v>46931</v>
      </c>
      <c r="K282" s="227">
        <f t="shared" si="90"/>
        <v>814236</v>
      </c>
      <c r="L282" s="227">
        <f t="shared" si="91"/>
        <v>0</v>
      </c>
      <c r="M282" s="3">
        <f t="shared" si="92"/>
        <v>0</v>
      </c>
      <c r="N282" s="227">
        <f t="shared" si="93"/>
        <v>0</v>
      </c>
      <c r="O282" s="142">
        <f t="shared" si="94"/>
        <v>1391194</v>
      </c>
      <c r="P282" s="3">
        <f t="shared" si="78"/>
        <v>1140214</v>
      </c>
      <c r="Q282" s="3">
        <f t="shared" si="79"/>
        <v>279047</v>
      </c>
      <c r="R282" s="3">
        <f t="shared" si="80"/>
        <v>46931</v>
      </c>
      <c r="S282" s="3">
        <f t="shared" si="81"/>
        <v>814236</v>
      </c>
      <c r="T282" s="3">
        <f t="shared" si="82"/>
        <v>0</v>
      </c>
      <c r="U282" s="3">
        <f>IF($A$5=1,IF($P282=0,0,ROUND(Q282/$P282*$E282,2)),Credits!D281)+Credits!J281</f>
        <v>4900.8900000000003</v>
      </c>
      <c r="V282" s="3">
        <f>IF($A$5=1,IF($P282=0,0,ROUND(R282/$P282*$E282,2)),Credits!E281)+Credits!K281</f>
        <v>825.24</v>
      </c>
      <c r="W282" s="3">
        <f>IF($A$5=1,IF($P282=0,0,ROUND(S282/$P282*$E282,2)),Credits!F281)+Credits!L281</f>
        <v>14278.43</v>
      </c>
      <c r="X282" s="3">
        <f>IF($A$5=1,IF($P282=0,0,ROUND(T282/$P282*$E282,2)),Credits!G281)+Credits!M281</f>
        <v>0</v>
      </c>
      <c r="Y282" s="3">
        <f t="shared" si="83"/>
        <v>20004.560000000001</v>
      </c>
      <c r="AC282" s="4"/>
      <c r="AD282" s="4"/>
      <c r="AE282" s="2">
        <f t="shared" si="84"/>
        <v>0</v>
      </c>
      <c r="AF282" s="170" t="s">
        <v>1120</v>
      </c>
      <c r="AG282" s="175">
        <v>2167</v>
      </c>
      <c r="AH282" s="175">
        <v>1</v>
      </c>
      <c r="AI282" s="175">
        <v>1</v>
      </c>
      <c r="AJ282" s="176">
        <v>214386</v>
      </c>
      <c r="AK282" s="176">
        <v>0</v>
      </c>
      <c r="AL282" s="176">
        <v>36594</v>
      </c>
      <c r="AM282" s="176">
        <v>0</v>
      </c>
      <c r="AN282" s="177">
        <v>0</v>
      </c>
      <c r="AO282" s="177">
        <v>0</v>
      </c>
      <c r="AP282" s="177">
        <v>279047</v>
      </c>
      <c r="AQ282" s="177">
        <v>0</v>
      </c>
      <c r="AR282" s="177">
        <v>46931</v>
      </c>
      <c r="AS282" s="177">
        <v>0</v>
      </c>
      <c r="AT282" s="178">
        <v>814236</v>
      </c>
      <c r="AU282" s="178">
        <v>0</v>
      </c>
      <c r="AV282" s="178">
        <v>0</v>
      </c>
      <c r="AW282" s="179">
        <v>0</v>
      </c>
      <c r="AX282" s="180">
        <v>0</v>
      </c>
      <c r="AY282" s="180">
        <v>0</v>
      </c>
      <c r="AZ282" s="180">
        <v>0</v>
      </c>
      <c r="BA282" s="180">
        <v>0</v>
      </c>
      <c r="BB282" s="170">
        <f t="shared" si="95"/>
        <v>1391194</v>
      </c>
      <c r="BC282" s="170">
        <v>1391193.41</v>
      </c>
      <c r="BD282" s="2">
        <f t="shared" si="96"/>
        <v>0.59000000008381903</v>
      </c>
    </row>
    <row r="283" spans="1:56" ht="12" x14ac:dyDescent="0.2">
      <c r="A283" s="4">
        <v>2168</v>
      </c>
      <c r="B283" s="4">
        <v>1</v>
      </c>
      <c r="C283" s="2" t="s">
        <v>285</v>
      </c>
      <c r="D283" s="3">
        <v>0</v>
      </c>
      <c r="E283" s="3">
        <v>0</v>
      </c>
      <c r="F283" s="227">
        <f t="shared" si="85"/>
        <v>209738</v>
      </c>
      <c r="G283" s="227">
        <f t="shared" si="86"/>
        <v>83390</v>
      </c>
      <c r="H283" s="227">
        <f t="shared" si="87"/>
        <v>0</v>
      </c>
      <c r="I283" s="227">
        <f t="shared" si="88"/>
        <v>435540</v>
      </c>
      <c r="J283" s="227">
        <f t="shared" si="89"/>
        <v>61221</v>
      </c>
      <c r="K283" s="227">
        <f t="shared" si="90"/>
        <v>328145</v>
      </c>
      <c r="L283" s="227">
        <f t="shared" si="91"/>
        <v>455795</v>
      </c>
      <c r="M283" s="3">
        <f t="shared" si="92"/>
        <v>0</v>
      </c>
      <c r="N283" s="227">
        <f t="shared" si="93"/>
        <v>0</v>
      </c>
      <c r="O283" s="142">
        <f t="shared" si="94"/>
        <v>1573829</v>
      </c>
      <c r="P283" s="3">
        <f t="shared" si="78"/>
        <v>1280701</v>
      </c>
      <c r="Q283" s="3">
        <f t="shared" si="79"/>
        <v>435540</v>
      </c>
      <c r="R283" s="3">
        <f t="shared" si="80"/>
        <v>61221</v>
      </c>
      <c r="S283" s="3">
        <f t="shared" si="81"/>
        <v>783940</v>
      </c>
      <c r="T283" s="3">
        <f t="shared" si="82"/>
        <v>0</v>
      </c>
      <c r="U283" s="3">
        <f>IF($A$5=1,IF($P283=0,0,ROUND(Q283/$P283*$E283,2)),Credits!D282)+Credits!J282</f>
        <v>9006.8700000000008</v>
      </c>
      <c r="V283" s="3">
        <f>IF($A$5=1,IF($P283=0,0,ROUND(R283/$P283*$E283,2)),Credits!E282)+Credits!K282</f>
        <v>1266.0400000000002</v>
      </c>
      <c r="W283" s="3">
        <f>IF($A$5=1,IF($P283=0,0,ROUND(S283/$P283*$E283,2)),Credits!F282)+Credits!L282</f>
        <v>13548.469999999998</v>
      </c>
      <c r="X283" s="3">
        <f>IF($A$5=1,IF($P283=0,0,ROUND(T283/$P283*$E283,2)),Credits!G282)+Credits!M282</f>
        <v>0</v>
      </c>
      <c r="Y283" s="3">
        <f t="shared" si="83"/>
        <v>23821.379999999997</v>
      </c>
      <c r="AC283" s="4"/>
      <c r="AD283" s="4"/>
      <c r="AE283" s="2">
        <f t="shared" si="84"/>
        <v>0</v>
      </c>
      <c r="AF283" s="170" t="s">
        <v>1120</v>
      </c>
      <c r="AG283" s="175">
        <v>2168</v>
      </c>
      <c r="AH283" s="175">
        <v>1</v>
      </c>
      <c r="AI283" s="175">
        <v>1</v>
      </c>
      <c r="AJ283" s="176">
        <v>209738</v>
      </c>
      <c r="AK283" s="176">
        <v>0</v>
      </c>
      <c r="AL283" s="176">
        <v>83390</v>
      </c>
      <c r="AM283" s="176">
        <v>0</v>
      </c>
      <c r="AN283" s="177">
        <v>0</v>
      </c>
      <c r="AO283" s="177">
        <v>0</v>
      </c>
      <c r="AP283" s="177">
        <v>435540</v>
      </c>
      <c r="AQ283" s="177">
        <v>0</v>
      </c>
      <c r="AR283" s="177">
        <v>61221</v>
      </c>
      <c r="AS283" s="177">
        <v>0</v>
      </c>
      <c r="AT283" s="178">
        <v>328145</v>
      </c>
      <c r="AU283" s="178">
        <v>0</v>
      </c>
      <c r="AV283" s="178">
        <v>455795</v>
      </c>
      <c r="AW283" s="179">
        <v>0</v>
      </c>
      <c r="AX283" s="180">
        <v>0</v>
      </c>
      <c r="AY283" s="180">
        <v>0</v>
      </c>
      <c r="AZ283" s="180">
        <v>0</v>
      </c>
      <c r="BA283" s="180">
        <v>0</v>
      </c>
      <c r="BB283" s="170">
        <f t="shared" si="95"/>
        <v>1573829</v>
      </c>
      <c r="BC283" s="170">
        <v>1573829.45</v>
      </c>
      <c r="BD283" s="2">
        <f t="shared" si="96"/>
        <v>-0.44999999995343387</v>
      </c>
    </row>
    <row r="284" spans="1:56" ht="12" x14ac:dyDescent="0.2">
      <c r="A284" s="4">
        <v>2169</v>
      </c>
      <c r="B284" s="4">
        <v>1</v>
      </c>
      <c r="C284" s="2" t="s">
        <v>1159</v>
      </c>
      <c r="D284" s="3">
        <v>0</v>
      </c>
      <c r="E284" s="3">
        <v>0</v>
      </c>
      <c r="F284" s="227">
        <f t="shared" si="85"/>
        <v>766485.84</v>
      </c>
      <c r="G284" s="227">
        <f t="shared" si="86"/>
        <v>41862.28</v>
      </c>
      <c r="H284" s="227">
        <f t="shared" si="87"/>
        <v>0</v>
      </c>
      <c r="I284" s="227">
        <f t="shared" si="88"/>
        <v>353246.51</v>
      </c>
      <c r="J284" s="227">
        <f t="shared" si="89"/>
        <v>78566.61</v>
      </c>
      <c r="K284" s="227">
        <f t="shared" si="90"/>
        <v>0</v>
      </c>
      <c r="L284" s="227">
        <f t="shared" si="91"/>
        <v>655368.69999999995</v>
      </c>
      <c r="M284" s="3">
        <f t="shared" si="92"/>
        <v>0</v>
      </c>
      <c r="N284" s="227">
        <f t="shared" si="93"/>
        <v>0</v>
      </c>
      <c r="O284" s="142">
        <f t="shared" si="94"/>
        <v>1895529.94</v>
      </c>
      <c r="P284" s="3">
        <f t="shared" si="78"/>
        <v>1087181.8199999998</v>
      </c>
      <c r="Q284" s="3">
        <f t="shared" si="79"/>
        <v>353246.51</v>
      </c>
      <c r="R284" s="3">
        <f t="shared" si="80"/>
        <v>78566.61</v>
      </c>
      <c r="S284" s="3">
        <f t="shared" si="81"/>
        <v>655368.69999999995</v>
      </c>
      <c r="T284" s="3">
        <f t="shared" si="82"/>
        <v>0</v>
      </c>
      <c r="U284" s="3">
        <f>IF($A$5=1,IF($P284=0,0,ROUND(Q284/$P284*$E284,2)),Credits!D283)+Credits!J283</f>
        <v>16351.029999999999</v>
      </c>
      <c r="V284" s="3">
        <f>IF($A$5=1,IF($P284=0,0,ROUND(R284/$P284*$E284,2)),Credits!E283)+Credits!K283</f>
        <v>3628.78</v>
      </c>
      <c r="W284" s="3">
        <f>IF($A$5=1,IF($P284=0,0,ROUND(S284/$P284*$E284,2)),Credits!F283)+Credits!L283</f>
        <v>30213.279999999999</v>
      </c>
      <c r="X284" s="3">
        <f>IF($A$5=1,IF($P284=0,0,ROUND(T284/$P284*$E284,2)),Credits!G283)+Credits!M283</f>
        <v>0</v>
      </c>
      <c r="Y284" s="3">
        <f t="shared" si="83"/>
        <v>50193.09</v>
      </c>
      <c r="AC284" s="4"/>
      <c r="AD284" s="4"/>
      <c r="AE284" s="2">
        <f t="shared" si="84"/>
        <v>0</v>
      </c>
      <c r="AF284" s="170" t="s">
        <v>1120</v>
      </c>
      <c r="AG284" s="175">
        <v>2169</v>
      </c>
      <c r="AH284" s="175">
        <v>1</v>
      </c>
      <c r="AI284" s="175">
        <v>1</v>
      </c>
      <c r="AJ284" s="176">
        <v>766485.84</v>
      </c>
      <c r="AK284" s="176">
        <v>0</v>
      </c>
      <c r="AL284" s="176">
        <v>41862.28</v>
      </c>
      <c r="AM284" s="176">
        <v>0</v>
      </c>
      <c r="AN284" s="177">
        <v>0</v>
      </c>
      <c r="AO284" s="177">
        <v>0</v>
      </c>
      <c r="AP284" s="177">
        <v>353246.51</v>
      </c>
      <c r="AQ284" s="177">
        <v>0</v>
      </c>
      <c r="AR284" s="177">
        <v>78566.61</v>
      </c>
      <c r="AS284" s="177">
        <v>0</v>
      </c>
      <c r="AT284" s="178">
        <v>0</v>
      </c>
      <c r="AU284" s="178">
        <v>0</v>
      </c>
      <c r="AV284" s="178">
        <v>655368.69999999995</v>
      </c>
      <c r="AW284" s="179">
        <v>0</v>
      </c>
      <c r="AX284" s="180">
        <v>0</v>
      </c>
      <c r="AY284" s="180">
        <v>0</v>
      </c>
      <c r="AZ284" s="180">
        <v>0</v>
      </c>
      <c r="BA284" s="180">
        <v>0</v>
      </c>
      <c r="BB284" s="170">
        <f t="shared" si="95"/>
        <v>1895529.94</v>
      </c>
      <c r="BC284" s="170">
        <v>1895529.94</v>
      </c>
      <c r="BD284" s="2">
        <f t="shared" si="96"/>
        <v>0</v>
      </c>
    </row>
    <row r="285" spans="1:56" ht="12" x14ac:dyDescent="0.2">
      <c r="A285" s="4">
        <v>2170</v>
      </c>
      <c r="B285" s="4">
        <v>1</v>
      </c>
      <c r="C285" s="2" t="s">
        <v>287</v>
      </c>
      <c r="D285" s="3">
        <v>0</v>
      </c>
      <c r="E285" s="3">
        <v>0</v>
      </c>
      <c r="F285" s="227">
        <f t="shared" si="85"/>
        <v>502524</v>
      </c>
      <c r="G285" s="227">
        <f t="shared" si="86"/>
        <v>138425</v>
      </c>
      <c r="H285" s="227">
        <f t="shared" si="87"/>
        <v>0</v>
      </c>
      <c r="I285" s="227">
        <f t="shared" si="88"/>
        <v>414091</v>
      </c>
      <c r="J285" s="227">
        <f t="shared" si="89"/>
        <v>120939</v>
      </c>
      <c r="K285" s="227">
        <f t="shared" si="90"/>
        <v>0</v>
      </c>
      <c r="L285" s="227">
        <f t="shared" si="91"/>
        <v>295742</v>
      </c>
      <c r="M285" s="3">
        <f t="shared" si="92"/>
        <v>0</v>
      </c>
      <c r="N285" s="227">
        <f t="shared" si="93"/>
        <v>144560</v>
      </c>
      <c r="O285" s="142">
        <f t="shared" si="94"/>
        <v>1616281</v>
      </c>
      <c r="P285" s="3">
        <f t="shared" si="78"/>
        <v>975332</v>
      </c>
      <c r="Q285" s="3">
        <f t="shared" si="79"/>
        <v>414091</v>
      </c>
      <c r="R285" s="3">
        <f t="shared" si="80"/>
        <v>120939</v>
      </c>
      <c r="S285" s="3">
        <f t="shared" si="81"/>
        <v>295742</v>
      </c>
      <c r="T285" s="3">
        <f t="shared" si="82"/>
        <v>144560</v>
      </c>
      <c r="U285" s="3">
        <f>IF($A$5=1,IF($P285=0,0,ROUND(Q285/$P285*$E285,2)),Credits!D284)+Credits!J284</f>
        <v>30824.769999999997</v>
      </c>
      <c r="V285" s="3">
        <f>IF($A$5=1,IF($P285=0,0,ROUND(R285/$P285*$E285,2)),Credits!E284)+Credits!K284</f>
        <v>6442.26</v>
      </c>
      <c r="W285" s="3">
        <f>IF($A$5=1,IF($P285=0,0,ROUND(S285/$P285*$E285,2)),Credits!F284)+Credits!L284</f>
        <v>13314.310000000001</v>
      </c>
      <c r="X285" s="3">
        <f>IF($A$5=1,IF($P285=0,0,ROUND(T285/$P285*$E285,2)),Credits!G284)+Credits!M284</f>
        <v>6507.1500000000015</v>
      </c>
      <c r="Y285" s="3">
        <f t="shared" si="83"/>
        <v>57088.49</v>
      </c>
      <c r="AC285" s="4"/>
      <c r="AD285" s="4"/>
      <c r="AE285" s="2">
        <f t="shared" si="84"/>
        <v>0</v>
      </c>
      <c r="AF285" s="170" t="s">
        <v>1120</v>
      </c>
      <c r="AG285" s="175">
        <v>2170</v>
      </c>
      <c r="AH285" s="175">
        <v>1</v>
      </c>
      <c r="AI285" s="175">
        <v>1</v>
      </c>
      <c r="AJ285" s="176">
        <v>502524</v>
      </c>
      <c r="AK285" s="176">
        <v>0</v>
      </c>
      <c r="AL285" s="176">
        <v>138425</v>
      </c>
      <c r="AM285" s="176">
        <v>0</v>
      </c>
      <c r="AN285" s="177">
        <v>0</v>
      </c>
      <c r="AO285" s="177">
        <v>0</v>
      </c>
      <c r="AP285" s="177">
        <v>414091</v>
      </c>
      <c r="AQ285" s="177">
        <v>0</v>
      </c>
      <c r="AR285" s="177">
        <v>120939</v>
      </c>
      <c r="AS285" s="177">
        <v>0</v>
      </c>
      <c r="AT285" s="178">
        <v>0</v>
      </c>
      <c r="AU285" s="178">
        <v>0</v>
      </c>
      <c r="AV285" s="178">
        <v>295742</v>
      </c>
      <c r="AW285" s="179">
        <v>0</v>
      </c>
      <c r="AX285" s="180">
        <v>0</v>
      </c>
      <c r="AY285" s="180">
        <v>0</v>
      </c>
      <c r="AZ285" s="180">
        <v>144560</v>
      </c>
      <c r="BA285" s="180">
        <v>0</v>
      </c>
      <c r="BB285" s="170">
        <f t="shared" si="95"/>
        <v>1616281</v>
      </c>
      <c r="BC285" s="170">
        <v>1616280.63</v>
      </c>
      <c r="BD285" s="2">
        <f t="shared" si="96"/>
        <v>0.37000000011175871</v>
      </c>
    </row>
    <row r="286" spans="1:56" ht="12" x14ac:dyDescent="0.2">
      <c r="A286" s="4">
        <v>2171</v>
      </c>
      <c r="B286" s="4">
        <v>1</v>
      </c>
      <c r="C286" s="2" t="s">
        <v>288</v>
      </c>
      <c r="D286" s="3">
        <v>0</v>
      </c>
      <c r="E286" s="3">
        <v>0</v>
      </c>
      <c r="F286" s="227">
        <f t="shared" si="85"/>
        <v>380559</v>
      </c>
      <c r="G286" s="227">
        <f t="shared" si="86"/>
        <v>14929</v>
      </c>
      <c r="H286" s="227">
        <f t="shared" si="87"/>
        <v>0</v>
      </c>
      <c r="I286" s="227">
        <f t="shared" si="88"/>
        <v>208116</v>
      </c>
      <c r="J286" s="227">
        <f t="shared" si="89"/>
        <v>29111</v>
      </c>
      <c r="K286" s="227">
        <f t="shared" si="90"/>
        <v>372497</v>
      </c>
      <c r="L286" s="227">
        <f t="shared" si="91"/>
        <v>0</v>
      </c>
      <c r="M286" s="3">
        <f t="shared" si="92"/>
        <v>0</v>
      </c>
      <c r="N286" s="227">
        <f t="shared" si="93"/>
        <v>0</v>
      </c>
      <c r="O286" s="142">
        <f t="shared" si="94"/>
        <v>1005212</v>
      </c>
      <c r="P286" s="3">
        <f t="shared" si="78"/>
        <v>609724</v>
      </c>
      <c r="Q286" s="3">
        <f t="shared" si="79"/>
        <v>208116</v>
      </c>
      <c r="R286" s="3">
        <f t="shared" si="80"/>
        <v>29111</v>
      </c>
      <c r="S286" s="3">
        <f t="shared" si="81"/>
        <v>372497</v>
      </c>
      <c r="T286" s="3">
        <f t="shared" si="82"/>
        <v>0</v>
      </c>
      <c r="U286" s="3">
        <f>IF($A$5=1,IF($P286=0,0,ROUND(Q286/$P286*$E286,2)),Credits!D285)+Credits!J285</f>
        <v>3449.5900000000006</v>
      </c>
      <c r="V286" s="3">
        <f>IF($A$5=1,IF($P286=0,0,ROUND(R286/$P286*$E286,2)),Credits!E285)+Credits!K285</f>
        <v>482.65</v>
      </c>
      <c r="W286" s="3">
        <f>IF($A$5=1,IF($P286=0,0,ROUND(S286/$P286*$E286,2)),Credits!F285)+Credits!L285</f>
        <v>6174.52</v>
      </c>
      <c r="X286" s="3">
        <f>IF($A$5=1,IF($P286=0,0,ROUND(T286/$P286*$E286,2)),Credits!G285)+Credits!M285</f>
        <v>0</v>
      </c>
      <c r="Y286" s="3">
        <f t="shared" si="83"/>
        <v>10106.760000000002</v>
      </c>
      <c r="AC286" s="4"/>
      <c r="AD286" s="4"/>
      <c r="AE286" s="2">
        <f t="shared" si="84"/>
        <v>0</v>
      </c>
      <c r="AF286" s="170" t="s">
        <v>1120</v>
      </c>
      <c r="AG286" s="175">
        <v>2171</v>
      </c>
      <c r="AH286" s="175">
        <v>1</v>
      </c>
      <c r="AI286" s="175">
        <v>1</v>
      </c>
      <c r="AJ286" s="176">
        <v>380559</v>
      </c>
      <c r="AK286" s="176">
        <v>0</v>
      </c>
      <c r="AL286" s="176">
        <v>14929</v>
      </c>
      <c r="AM286" s="176">
        <v>0</v>
      </c>
      <c r="AN286" s="177">
        <v>0</v>
      </c>
      <c r="AO286" s="177">
        <v>0</v>
      </c>
      <c r="AP286" s="177">
        <v>208116</v>
      </c>
      <c r="AQ286" s="177">
        <v>0</v>
      </c>
      <c r="AR286" s="177">
        <v>29111</v>
      </c>
      <c r="AS286" s="177">
        <v>0</v>
      </c>
      <c r="AT286" s="178">
        <v>372497</v>
      </c>
      <c r="AU286" s="178">
        <v>0</v>
      </c>
      <c r="AV286" s="178">
        <v>0</v>
      </c>
      <c r="AW286" s="179">
        <v>0</v>
      </c>
      <c r="AX286" s="180">
        <v>0</v>
      </c>
      <c r="AY286" s="180">
        <v>0</v>
      </c>
      <c r="AZ286" s="180">
        <v>0</v>
      </c>
      <c r="BA286" s="180">
        <v>0</v>
      </c>
      <c r="BB286" s="170">
        <f t="shared" si="95"/>
        <v>1005212</v>
      </c>
      <c r="BC286" s="170">
        <v>1005212.16</v>
      </c>
      <c r="BD286" s="2">
        <f t="shared" si="96"/>
        <v>-0.16000000003259629</v>
      </c>
    </row>
    <row r="287" spans="1:56" ht="12" x14ac:dyDescent="0.2">
      <c r="A287" s="4">
        <v>2172</v>
      </c>
      <c r="B287" s="4">
        <v>1</v>
      </c>
      <c r="C287" s="2" t="s">
        <v>289</v>
      </c>
      <c r="D287" s="3">
        <v>0</v>
      </c>
      <c r="E287" s="3">
        <v>0</v>
      </c>
      <c r="F287" s="227">
        <f t="shared" si="85"/>
        <v>620502</v>
      </c>
      <c r="G287" s="227">
        <f t="shared" si="86"/>
        <v>64853</v>
      </c>
      <c r="H287" s="227">
        <f t="shared" si="87"/>
        <v>0</v>
      </c>
      <c r="I287" s="227">
        <f t="shared" si="88"/>
        <v>351720</v>
      </c>
      <c r="J287" s="227">
        <f t="shared" si="89"/>
        <v>130751</v>
      </c>
      <c r="K287" s="227">
        <f t="shared" si="90"/>
        <v>834196</v>
      </c>
      <c r="L287" s="227">
        <f t="shared" si="91"/>
        <v>244047</v>
      </c>
      <c r="M287" s="3">
        <f t="shared" si="92"/>
        <v>0</v>
      </c>
      <c r="N287" s="227">
        <f t="shared" si="93"/>
        <v>0</v>
      </c>
      <c r="O287" s="142">
        <f t="shared" si="94"/>
        <v>2246069</v>
      </c>
      <c r="P287" s="3">
        <f t="shared" si="78"/>
        <v>1560714</v>
      </c>
      <c r="Q287" s="3">
        <f t="shared" si="79"/>
        <v>351720</v>
      </c>
      <c r="R287" s="3">
        <f t="shared" si="80"/>
        <v>130751</v>
      </c>
      <c r="S287" s="3">
        <f t="shared" si="81"/>
        <v>1078243</v>
      </c>
      <c r="T287" s="3">
        <f t="shared" si="82"/>
        <v>0</v>
      </c>
      <c r="U287" s="3">
        <f>IF($A$5=1,IF($P287=0,0,ROUND(Q287/$P287*$E287,2)),Credits!D286)+Credits!J286</f>
        <v>7488.8199999999988</v>
      </c>
      <c r="V287" s="3">
        <f>IF($A$5=1,IF($P287=0,0,ROUND(R287/$P287*$E287,2)),Credits!E286)+Credits!K286</f>
        <v>2784.6499999999996</v>
      </c>
      <c r="W287" s="3">
        <f>IF($A$5=1,IF($P287=0,0,ROUND(S287/$P287*$E287,2)),Credits!F286)+Credits!L286</f>
        <v>22955.83</v>
      </c>
      <c r="X287" s="3">
        <f>IF($A$5=1,IF($P287=0,0,ROUND(T287/$P287*$E287,2)),Credits!G286)+Credits!M286</f>
        <v>0</v>
      </c>
      <c r="Y287" s="3">
        <f t="shared" si="83"/>
        <v>33229.300000000003</v>
      </c>
      <c r="AC287" s="4"/>
      <c r="AD287" s="4"/>
      <c r="AE287" s="2">
        <f t="shared" si="84"/>
        <v>0</v>
      </c>
      <c r="AF287" s="170" t="s">
        <v>1120</v>
      </c>
      <c r="AG287" s="175">
        <v>2172</v>
      </c>
      <c r="AH287" s="175">
        <v>1</v>
      </c>
      <c r="AI287" s="175">
        <v>1</v>
      </c>
      <c r="AJ287" s="176">
        <v>620502</v>
      </c>
      <c r="AK287" s="176">
        <v>0</v>
      </c>
      <c r="AL287" s="176">
        <v>64853</v>
      </c>
      <c r="AM287" s="176">
        <v>0</v>
      </c>
      <c r="AN287" s="177">
        <v>0</v>
      </c>
      <c r="AO287" s="177">
        <v>0</v>
      </c>
      <c r="AP287" s="177">
        <v>351720</v>
      </c>
      <c r="AQ287" s="177">
        <v>0</v>
      </c>
      <c r="AR287" s="177">
        <v>130751</v>
      </c>
      <c r="AS287" s="177">
        <v>0</v>
      </c>
      <c r="AT287" s="178">
        <v>834196</v>
      </c>
      <c r="AU287" s="178">
        <v>0</v>
      </c>
      <c r="AV287" s="178">
        <v>244047</v>
      </c>
      <c r="AW287" s="179">
        <v>0</v>
      </c>
      <c r="AX287" s="180">
        <v>0</v>
      </c>
      <c r="AY287" s="180">
        <v>0</v>
      </c>
      <c r="AZ287" s="180">
        <v>0</v>
      </c>
      <c r="BA287" s="180">
        <v>0</v>
      </c>
      <c r="BB287" s="170">
        <f t="shared" si="95"/>
        <v>2246069</v>
      </c>
      <c r="BC287" s="170">
        <v>2246069.4700000002</v>
      </c>
      <c r="BD287" s="2">
        <f t="shared" si="96"/>
        <v>-0.47000000020489097</v>
      </c>
    </row>
    <row r="288" spans="1:56" ht="12" x14ac:dyDescent="0.2">
      <c r="A288" s="4">
        <v>2174</v>
      </c>
      <c r="B288" s="4">
        <v>1</v>
      </c>
      <c r="C288" s="2" t="s">
        <v>1158</v>
      </c>
      <c r="D288" s="3">
        <v>0</v>
      </c>
      <c r="E288" s="3">
        <v>0</v>
      </c>
      <c r="F288" s="227">
        <f t="shared" si="85"/>
        <v>173.62</v>
      </c>
      <c r="G288" s="227">
        <f t="shared" si="86"/>
        <v>323519.31</v>
      </c>
      <c r="H288" s="227">
        <f t="shared" si="87"/>
        <v>0</v>
      </c>
      <c r="I288" s="227">
        <f t="shared" si="88"/>
        <v>326697.28000000003</v>
      </c>
      <c r="J288" s="227">
        <f t="shared" si="89"/>
        <v>120771.49</v>
      </c>
      <c r="K288" s="227">
        <f t="shared" si="90"/>
        <v>286121.62</v>
      </c>
      <c r="L288" s="227">
        <f t="shared" si="91"/>
        <v>135486.16</v>
      </c>
      <c r="M288" s="3">
        <f t="shared" si="92"/>
        <v>0</v>
      </c>
      <c r="N288" s="227">
        <f t="shared" si="93"/>
        <v>0</v>
      </c>
      <c r="O288" s="142">
        <f t="shared" si="94"/>
        <v>1192769.4799999997</v>
      </c>
      <c r="P288" s="3">
        <f t="shared" si="78"/>
        <v>869076.55</v>
      </c>
      <c r="Q288" s="3">
        <f t="shared" si="79"/>
        <v>326697.28000000003</v>
      </c>
      <c r="R288" s="3">
        <f t="shared" si="80"/>
        <v>120771.49</v>
      </c>
      <c r="S288" s="3">
        <f t="shared" si="81"/>
        <v>421607.78</v>
      </c>
      <c r="T288" s="3">
        <f t="shared" si="82"/>
        <v>0</v>
      </c>
      <c r="U288" s="3">
        <f>IF($A$5=1,IF($P288=0,0,ROUND(Q288/$P288*$E288,2)),Credits!D287)+Credits!J287</f>
        <v>3807.3600000000006</v>
      </c>
      <c r="V288" s="3">
        <f>IF($A$5=1,IF($P288=0,0,ROUND(R288/$P288*$E288,2)),Credits!E287)+Credits!K287</f>
        <v>1407.16</v>
      </c>
      <c r="W288" s="3">
        <f>IF($A$5=1,IF($P288=0,0,ROUND(S288/$P288*$E288,2)),Credits!F287)+Credits!L287</f>
        <v>4910.68</v>
      </c>
      <c r="X288" s="3">
        <f>IF($A$5=1,IF($P288=0,0,ROUND(T288/$P288*$E288,2)),Credits!G287)+Credits!M287</f>
        <v>0</v>
      </c>
      <c r="Y288" s="3">
        <f t="shared" si="83"/>
        <v>10125.200000000001</v>
      </c>
      <c r="AC288" s="4"/>
      <c r="AD288" s="4"/>
      <c r="AE288" s="2">
        <f t="shared" si="84"/>
        <v>0</v>
      </c>
      <c r="AF288" s="170" t="s">
        <v>1120</v>
      </c>
      <c r="AG288" s="175">
        <v>2174</v>
      </c>
      <c r="AH288" s="175">
        <v>1</v>
      </c>
      <c r="AI288" s="175">
        <v>1</v>
      </c>
      <c r="AJ288" s="176">
        <v>173.62</v>
      </c>
      <c r="AK288" s="176">
        <v>0</v>
      </c>
      <c r="AL288" s="176">
        <v>323519.31</v>
      </c>
      <c r="AM288" s="176">
        <v>0</v>
      </c>
      <c r="AN288" s="177">
        <v>0</v>
      </c>
      <c r="AO288" s="177">
        <v>0</v>
      </c>
      <c r="AP288" s="177">
        <v>326697.28000000003</v>
      </c>
      <c r="AQ288" s="177">
        <v>0</v>
      </c>
      <c r="AR288" s="177">
        <v>120771.49</v>
      </c>
      <c r="AS288" s="177">
        <v>0</v>
      </c>
      <c r="AT288" s="178">
        <v>286121.62</v>
      </c>
      <c r="AU288" s="178">
        <v>0</v>
      </c>
      <c r="AV288" s="178">
        <v>135486.16</v>
      </c>
      <c r="AW288" s="179">
        <v>0</v>
      </c>
      <c r="AX288" s="180">
        <v>0</v>
      </c>
      <c r="AY288" s="180">
        <v>0</v>
      </c>
      <c r="AZ288" s="180">
        <v>0</v>
      </c>
      <c r="BA288" s="180">
        <v>0</v>
      </c>
      <c r="BB288" s="170">
        <f t="shared" si="95"/>
        <v>1192769.4799999997</v>
      </c>
      <c r="BC288" s="170">
        <v>1192769.48</v>
      </c>
      <c r="BD288" s="2">
        <f t="shared" si="96"/>
        <v>0</v>
      </c>
    </row>
    <row r="289" spans="1:56" ht="12" x14ac:dyDescent="0.2">
      <c r="A289" s="4">
        <v>2176</v>
      </c>
      <c r="B289" s="4">
        <v>1</v>
      </c>
      <c r="C289" s="2" t="s">
        <v>1157</v>
      </c>
      <c r="D289" s="3">
        <v>0</v>
      </c>
      <c r="E289" s="3">
        <v>0</v>
      </c>
      <c r="F289" s="227">
        <f t="shared" si="85"/>
        <v>481645.19</v>
      </c>
      <c r="G289" s="227">
        <f t="shared" si="86"/>
        <v>12333.28</v>
      </c>
      <c r="H289" s="227">
        <f t="shared" si="87"/>
        <v>0</v>
      </c>
      <c r="I289" s="227">
        <f t="shared" si="88"/>
        <v>139990.51</v>
      </c>
      <c r="J289" s="227">
        <f t="shared" si="89"/>
        <v>57116.75</v>
      </c>
      <c r="K289" s="227">
        <f t="shared" si="90"/>
        <v>0</v>
      </c>
      <c r="L289" s="227">
        <f t="shared" si="91"/>
        <v>181388.74</v>
      </c>
      <c r="M289" s="3">
        <f t="shared" si="92"/>
        <v>0</v>
      </c>
      <c r="N289" s="227">
        <f t="shared" si="93"/>
        <v>0</v>
      </c>
      <c r="O289" s="142">
        <f t="shared" si="94"/>
        <v>872474.47</v>
      </c>
      <c r="P289" s="3">
        <f t="shared" si="78"/>
        <v>378496</v>
      </c>
      <c r="Q289" s="3">
        <f t="shared" si="79"/>
        <v>139990.51</v>
      </c>
      <c r="R289" s="3">
        <f t="shared" si="80"/>
        <v>57116.75</v>
      </c>
      <c r="S289" s="3">
        <f t="shared" si="81"/>
        <v>181388.74</v>
      </c>
      <c r="T289" s="3">
        <f t="shared" si="82"/>
        <v>0</v>
      </c>
      <c r="U289" s="3">
        <f>IF($A$5=1,IF($P289=0,0,ROUND(Q289/$P289*$E289,2)),Credits!D288)+Credits!J288</f>
        <v>4107.8600000000006</v>
      </c>
      <c r="V289" s="3">
        <f>IF($A$5=1,IF($P289=0,0,ROUND(R289/$P289*$E289,2)),Credits!E288)+Credits!K288</f>
        <v>1675.08</v>
      </c>
      <c r="W289" s="3">
        <f>IF($A$5=1,IF($P289=0,0,ROUND(S289/$P289*$E289,2)),Credits!F288)+Credits!L288</f>
        <v>5317.65</v>
      </c>
      <c r="X289" s="3">
        <f>IF($A$5=1,IF($P289=0,0,ROUND(T289/$P289*$E289,2)),Credits!G288)+Credits!M288</f>
        <v>0</v>
      </c>
      <c r="Y289" s="3">
        <f t="shared" si="83"/>
        <v>11100.59</v>
      </c>
      <c r="AC289" s="4"/>
      <c r="AD289" s="4"/>
      <c r="AE289" s="2">
        <f t="shared" si="84"/>
        <v>0</v>
      </c>
      <c r="AF289" s="170" t="s">
        <v>1120</v>
      </c>
      <c r="AG289" s="175">
        <v>2176</v>
      </c>
      <c r="AH289" s="175">
        <v>1</v>
      </c>
      <c r="AI289" s="175">
        <v>1</v>
      </c>
      <c r="AJ289" s="176">
        <v>481645.19</v>
      </c>
      <c r="AK289" s="176">
        <v>0</v>
      </c>
      <c r="AL289" s="176">
        <v>12333.28</v>
      </c>
      <c r="AM289" s="176">
        <v>0</v>
      </c>
      <c r="AN289" s="177">
        <v>0</v>
      </c>
      <c r="AO289" s="177">
        <v>0</v>
      </c>
      <c r="AP289" s="177">
        <v>139990.51</v>
      </c>
      <c r="AQ289" s="177">
        <v>0</v>
      </c>
      <c r="AR289" s="177">
        <v>57116.75</v>
      </c>
      <c r="AS289" s="177">
        <v>0</v>
      </c>
      <c r="AT289" s="178">
        <v>0</v>
      </c>
      <c r="AU289" s="178">
        <v>0</v>
      </c>
      <c r="AV289" s="178">
        <v>181388.74</v>
      </c>
      <c r="AW289" s="179">
        <v>0</v>
      </c>
      <c r="AX289" s="180">
        <v>0</v>
      </c>
      <c r="AY289" s="180">
        <v>0</v>
      </c>
      <c r="AZ289" s="180">
        <v>0</v>
      </c>
      <c r="BA289" s="180">
        <v>0</v>
      </c>
      <c r="BB289" s="170">
        <f t="shared" si="95"/>
        <v>872474.47</v>
      </c>
      <c r="BC289" s="170">
        <v>872474.47</v>
      </c>
      <c r="BD289" s="2">
        <f t="shared" si="96"/>
        <v>0</v>
      </c>
    </row>
    <row r="290" spans="1:56" ht="12" x14ac:dyDescent="0.2">
      <c r="A290" s="4">
        <v>2180</v>
      </c>
      <c r="B290" s="4">
        <v>1</v>
      </c>
      <c r="C290" s="2" t="s">
        <v>292</v>
      </c>
      <c r="D290" s="3">
        <v>0</v>
      </c>
      <c r="E290" s="3">
        <v>0</v>
      </c>
      <c r="F290" s="227">
        <f t="shared" si="85"/>
        <v>1042359.02</v>
      </c>
      <c r="G290" s="227">
        <f t="shared" si="86"/>
        <v>23621.57</v>
      </c>
      <c r="H290" s="227">
        <f t="shared" si="87"/>
        <v>0</v>
      </c>
      <c r="I290" s="227">
        <f t="shared" si="88"/>
        <v>424646.62</v>
      </c>
      <c r="J290" s="227">
        <f t="shared" si="89"/>
        <v>41552.51</v>
      </c>
      <c r="K290" s="227">
        <f t="shared" si="90"/>
        <v>621190.96</v>
      </c>
      <c r="L290" s="227">
        <f t="shared" si="91"/>
        <v>33761.440000000002</v>
      </c>
      <c r="M290" s="3">
        <f t="shared" si="92"/>
        <v>0</v>
      </c>
      <c r="N290" s="227">
        <f t="shared" si="93"/>
        <v>0</v>
      </c>
      <c r="O290" s="142">
        <f t="shared" si="94"/>
        <v>2187132.1199999996</v>
      </c>
      <c r="P290" s="3">
        <f t="shared" si="78"/>
        <v>1121151.5299999998</v>
      </c>
      <c r="Q290" s="3">
        <f t="shared" si="79"/>
        <v>424646.62</v>
      </c>
      <c r="R290" s="3">
        <f t="shared" si="80"/>
        <v>41552.51</v>
      </c>
      <c r="S290" s="3">
        <f t="shared" si="81"/>
        <v>654952.39999999991</v>
      </c>
      <c r="T290" s="3">
        <f t="shared" si="82"/>
        <v>0</v>
      </c>
      <c r="U290" s="3">
        <f>IF($A$5=1,IF($P290=0,0,ROUND(Q290/$P290*$E290,2)),Credits!D289)+Credits!J289</f>
        <v>11315.36</v>
      </c>
      <c r="V290" s="3">
        <f>IF($A$5=1,IF($P290=0,0,ROUND(R290/$P290*$E290,2)),Credits!E289)+Credits!K289</f>
        <v>1108.8499999999999</v>
      </c>
      <c r="W290" s="3">
        <f>IF($A$5=1,IF($P290=0,0,ROUND(S290/$P290*$E290,2)),Credits!F289)+Credits!L289</f>
        <v>17448.520000000004</v>
      </c>
      <c r="X290" s="3">
        <f>IF($A$5=1,IF($P290=0,0,ROUND(T290/$P290*$E290,2)),Credits!G289)+Credits!M289</f>
        <v>0</v>
      </c>
      <c r="Y290" s="3">
        <f t="shared" si="83"/>
        <v>29872.730000000003</v>
      </c>
      <c r="AC290" s="4"/>
      <c r="AD290" s="4"/>
      <c r="AE290" s="2">
        <f t="shared" si="84"/>
        <v>0</v>
      </c>
      <c r="AF290" s="170" t="s">
        <v>1120</v>
      </c>
      <c r="AG290" s="175">
        <v>2180</v>
      </c>
      <c r="AH290" s="175">
        <v>1</v>
      </c>
      <c r="AI290" s="175">
        <v>1</v>
      </c>
      <c r="AJ290" s="176">
        <v>1042359.02</v>
      </c>
      <c r="AK290" s="176">
        <v>0</v>
      </c>
      <c r="AL290" s="176">
        <v>23621.57</v>
      </c>
      <c r="AM290" s="176">
        <v>0</v>
      </c>
      <c r="AN290" s="177">
        <v>0</v>
      </c>
      <c r="AO290" s="177">
        <v>0</v>
      </c>
      <c r="AP290" s="177">
        <v>424646.62</v>
      </c>
      <c r="AQ290" s="177">
        <v>0</v>
      </c>
      <c r="AR290" s="177">
        <v>41552.51</v>
      </c>
      <c r="AS290" s="177">
        <v>0</v>
      </c>
      <c r="AT290" s="178">
        <v>621190.96</v>
      </c>
      <c r="AU290" s="178">
        <v>0</v>
      </c>
      <c r="AV290" s="178">
        <v>33761.440000000002</v>
      </c>
      <c r="AW290" s="179">
        <v>0</v>
      </c>
      <c r="AX290" s="180">
        <v>0</v>
      </c>
      <c r="AY290" s="180">
        <v>0</v>
      </c>
      <c r="AZ290" s="180">
        <v>0</v>
      </c>
      <c r="BA290" s="180">
        <v>0</v>
      </c>
      <c r="BB290" s="170">
        <f t="shared" si="95"/>
        <v>2187132.1199999996</v>
      </c>
      <c r="BC290" s="170">
        <v>2187132.12</v>
      </c>
      <c r="BD290" s="2">
        <f t="shared" si="96"/>
        <v>0</v>
      </c>
    </row>
    <row r="291" spans="1:56" ht="12" x14ac:dyDescent="0.2">
      <c r="A291" s="4">
        <v>2184</v>
      </c>
      <c r="B291" s="4">
        <v>1</v>
      </c>
      <c r="C291" s="2" t="s">
        <v>293</v>
      </c>
      <c r="D291" s="3">
        <v>0</v>
      </c>
      <c r="E291" s="3">
        <v>0</v>
      </c>
      <c r="F291" s="227">
        <f t="shared" si="85"/>
        <v>903388.27</v>
      </c>
      <c r="G291" s="227">
        <f t="shared" si="86"/>
        <v>59165.54</v>
      </c>
      <c r="H291" s="227">
        <f t="shared" si="87"/>
        <v>0</v>
      </c>
      <c r="I291" s="227">
        <f t="shared" si="88"/>
        <v>429940.5</v>
      </c>
      <c r="J291" s="227">
        <f t="shared" si="89"/>
        <v>97503.75</v>
      </c>
      <c r="K291" s="227">
        <f t="shared" si="90"/>
        <v>1012563.16</v>
      </c>
      <c r="L291" s="227">
        <f t="shared" si="91"/>
        <v>0</v>
      </c>
      <c r="M291" s="3">
        <f t="shared" si="92"/>
        <v>0</v>
      </c>
      <c r="N291" s="227">
        <f t="shared" si="93"/>
        <v>0</v>
      </c>
      <c r="O291" s="142">
        <f t="shared" si="94"/>
        <v>2502561.2200000002</v>
      </c>
      <c r="P291" s="3">
        <f t="shared" si="78"/>
        <v>1540007.4100000001</v>
      </c>
      <c r="Q291" s="3">
        <f t="shared" si="79"/>
        <v>429940.5</v>
      </c>
      <c r="R291" s="3">
        <f t="shared" si="80"/>
        <v>97503.75</v>
      </c>
      <c r="S291" s="3">
        <f t="shared" si="81"/>
        <v>1012563.16</v>
      </c>
      <c r="T291" s="3">
        <f t="shared" si="82"/>
        <v>0</v>
      </c>
      <c r="U291" s="3">
        <f>IF($A$5=1,IF($P291=0,0,ROUND(Q291/$P291*$E291,2)),Credits!D290)+Credits!J290</f>
        <v>8906.880000000001</v>
      </c>
      <c r="V291" s="3">
        <f>IF($A$5=1,IF($P291=0,0,ROUND(R291/$P291*$E291,2)),Credits!E290)+Credits!K290</f>
        <v>2021.5000000000002</v>
      </c>
      <c r="W291" s="3">
        <f>IF($A$5=1,IF($P291=0,0,ROUND(S291/$P291*$E291,2)),Credits!F290)+Credits!L290</f>
        <v>20962.86</v>
      </c>
      <c r="X291" s="3">
        <f>IF($A$5=1,IF($P291=0,0,ROUND(T291/$P291*$E291,2)),Credits!G290)+Credits!M290</f>
        <v>0</v>
      </c>
      <c r="Y291" s="3">
        <f t="shared" si="83"/>
        <v>31891.24</v>
      </c>
      <c r="AC291" s="4"/>
      <c r="AD291" s="4"/>
      <c r="AE291" s="2">
        <f t="shared" si="84"/>
        <v>0</v>
      </c>
      <c r="AF291" s="170" t="s">
        <v>1120</v>
      </c>
      <c r="AG291" s="175">
        <v>2184</v>
      </c>
      <c r="AH291" s="175">
        <v>1</v>
      </c>
      <c r="AI291" s="175">
        <v>1</v>
      </c>
      <c r="AJ291" s="176">
        <v>903388.27</v>
      </c>
      <c r="AK291" s="176">
        <v>0</v>
      </c>
      <c r="AL291" s="176">
        <v>59165.54</v>
      </c>
      <c r="AM291" s="176">
        <v>0</v>
      </c>
      <c r="AN291" s="177">
        <v>0</v>
      </c>
      <c r="AO291" s="177">
        <v>0</v>
      </c>
      <c r="AP291" s="177">
        <v>429940.5</v>
      </c>
      <c r="AQ291" s="177">
        <v>0</v>
      </c>
      <c r="AR291" s="177">
        <v>97503.75</v>
      </c>
      <c r="AS291" s="177">
        <v>0</v>
      </c>
      <c r="AT291" s="178">
        <v>1012563.16</v>
      </c>
      <c r="AU291" s="178">
        <v>0</v>
      </c>
      <c r="AV291" s="178">
        <v>0</v>
      </c>
      <c r="AW291" s="179">
        <v>0</v>
      </c>
      <c r="AX291" s="180">
        <v>0</v>
      </c>
      <c r="AY291" s="180">
        <v>0</v>
      </c>
      <c r="AZ291" s="180">
        <v>0</v>
      </c>
      <c r="BA291" s="180">
        <v>0</v>
      </c>
      <c r="BB291" s="170">
        <f t="shared" si="95"/>
        <v>2502561.2200000002</v>
      </c>
      <c r="BC291" s="170">
        <v>2502561.2200000002</v>
      </c>
      <c r="BD291" s="2">
        <f t="shared" si="96"/>
        <v>0</v>
      </c>
    </row>
    <row r="292" spans="1:56" ht="12" x14ac:dyDescent="0.2">
      <c r="A292" s="4">
        <v>2190</v>
      </c>
      <c r="B292" s="4">
        <v>1</v>
      </c>
      <c r="C292" s="2" t="s">
        <v>1156</v>
      </c>
      <c r="D292" s="3">
        <v>0</v>
      </c>
      <c r="E292" s="3">
        <v>0</v>
      </c>
      <c r="F292" s="227">
        <f t="shared" si="85"/>
        <v>813876</v>
      </c>
      <c r="G292" s="227">
        <f t="shared" si="86"/>
        <v>44973</v>
      </c>
      <c r="H292" s="227">
        <f t="shared" si="87"/>
        <v>0</v>
      </c>
      <c r="I292" s="227">
        <f t="shared" si="88"/>
        <v>259363</v>
      </c>
      <c r="J292" s="227">
        <f t="shared" si="89"/>
        <v>124843</v>
      </c>
      <c r="K292" s="227">
        <f t="shared" si="90"/>
        <v>0</v>
      </c>
      <c r="L292" s="227">
        <f t="shared" si="91"/>
        <v>680403</v>
      </c>
      <c r="M292" s="3">
        <f t="shared" si="92"/>
        <v>0</v>
      </c>
      <c r="N292" s="227">
        <f t="shared" si="93"/>
        <v>191232</v>
      </c>
      <c r="O292" s="142">
        <f t="shared" si="94"/>
        <v>2114690</v>
      </c>
      <c r="P292" s="3">
        <f t="shared" si="78"/>
        <v>1255841</v>
      </c>
      <c r="Q292" s="3">
        <f t="shared" si="79"/>
        <v>259363</v>
      </c>
      <c r="R292" s="3">
        <f t="shared" si="80"/>
        <v>124843</v>
      </c>
      <c r="S292" s="3">
        <f t="shared" si="81"/>
        <v>680403</v>
      </c>
      <c r="T292" s="3">
        <f t="shared" si="82"/>
        <v>191232</v>
      </c>
      <c r="U292" s="3">
        <f>IF($A$5=1,IF($P292=0,0,ROUND(Q292/$P292*$E292,2)),Credits!D291)+Credits!J291</f>
        <v>8015.7</v>
      </c>
      <c r="V292" s="3">
        <f>IF($A$5=1,IF($P292=0,0,ROUND(R292/$P292*$E292,2)),Credits!E291)+Credits!K291</f>
        <v>4132.5</v>
      </c>
      <c r="W292" s="3">
        <f>IF($A$5=1,IF($P292=0,0,ROUND(S292/$P292*$E292,2)),Credits!F291)+Credits!L291</f>
        <v>20730.580000000002</v>
      </c>
      <c r="X292" s="3">
        <f>IF($A$5=1,IF($P292=0,0,ROUND(T292/$P292*$E292,2)),Credits!G291)+Credits!M291</f>
        <v>5827.2100000000009</v>
      </c>
      <c r="Y292" s="3">
        <f t="shared" si="83"/>
        <v>38705.99</v>
      </c>
      <c r="AC292" s="4"/>
      <c r="AD292" s="4"/>
      <c r="AE292" s="2">
        <f t="shared" si="84"/>
        <v>0</v>
      </c>
      <c r="AF292" s="170" t="s">
        <v>1120</v>
      </c>
      <c r="AG292" s="175">
        <v>2190</v>
      </c>
      <c r="AH292" s="175">
        <v>1</v>
      </c>
      <c r="AI292" s="175">
        <v>1</v>
      </c>
      <c r="AJ292" s="176">
        <v>813876</v>
      </c>
      <c r="AK292" s="176">
        <v>0</v>
      </c>
      <c r="AL292" s="176">
        <v>44973</v>
      </c>
      <c r="AM292" s="176">
        <v>0</v>
      </c>
      <c r="AN292" s="177">
        <v>0</v>
      </c>
      <c r="AO292" s="177">
        <v>0</v>
      </c>
      <c r="AP292" s="177">
        <v>259363</v>
      </c>
      <c r="AQ292" s="177">
        <v>0</v>
      </c>
      <c r="AR292" s="177">
        <v>124843</v>
      </c>
      <c r="AS292" s="177">
        <v>0</v>
      </c>
      <c r="AT292" s="178">
        <v>0</v>
      </c>
      <c r="AU292" s="178">
        <v>0</v>
      </c>
      <c r="AV292" s="178">
        <v>680403</v>
      </c>
      <c r="AW292" s="179">
        <v>0</v>
      </c>
      <c r="AX292" s="180">
        <v>0</v>
      </c>
      <c r="AY292" s="180">
        <v>0</v>
      </c>
      <c r="AZ292" s="180">
        <v>191232</v>
      </c>
      <c r="BA292" s="180">
        <v>0</v>
      </c>
      <c r="BB292" s="170">
        <f t="shared" si="95"/>
        <v>2114690</v>
      </c>
      <c r="BC292" s="170">
        <v>2114689.15</v>
      </c>
      <c r="BD292" s="2">
        <f t="shared" si="96"/>
        <v>0.85000000009313226</v>
      </c>
    </row>
    <row r="293" spans="1:56" ht="12" x14ac:dyDescent="0.2">
      <c r="A293" s="4">
        <v>2198</v>
      </c>
      <c r="B293" s="4">
        <v>1</v>
      </c>
      <c r="C293" s="2" t="s">
        <v>295</v>
      </c>
      <c r="D293" s="3">
        <v>0</v>
      </c>
      <c r="E293" s="3">
        <v>0</v>
      </c>
      <c r="F293" s="227">
        <f t="shared" si="85"/>
        <v>531647</v>
      </c>
      <c r="G293" s="227">
        <f t="shared" si="86"/>
        <v>42242</v>
      </c>
      <c r="H293" s="227">
        <f t="shared" si="87"/>
        <v>0</v>
      </c>
      <c r="I293" s="227">
        <f t="shared" si="88"/>
        <v>572512</v>
      </c>
      <c r="J293" s="227">
        <f t="shared" si="89"/>
        <v>80873</v>
      </c>
      <c r="K293" s="227">
        <f t="shared" si="90"/>
        <v>238012</v>
      </c>
      <c r="L293" s="227">
        <f t="shared" si="91"/>
        <v>247987</v>
      </c>
      <c r="M293" s="3">
        <f t="shared" si="92"/>
        <v>0</v>
      </c>
      <c r="N293" s="227">
        <f t="shared" si="93"/>
        <v>108006</v>
      </c>
      <c r="O293" s="142">
        <f t="shared" si="94"/>
        <v>1821279</v>
      </c>
      <c r="P293" s="3">
        <f t="shared" si="78"/>
        <v>1247390</v>
      </c>
      <c r="Q293" s="3">
        <f t="shared" si="79"/>
        <v>572512</v>
      </c>
      <c r="R293" s="3">
        <f t="shared" si="80"/>
        <v>80873</v>
      </c>
      <c r="S293" s="3">
        <f t="shared" si="81"/>
        <v>485999</v>
      </c>
      <c r="T293" s="3">
        <f t="shared" si="82"/>
        <v>108006</v>
      </c>
      <c r="U293" s="3">
        <f>IF($A$5=1,IF($P293=0,0,ROUND(Q293/$P293*$E293,2)),Credits!D292)+Credits!J292</f>
        <v>34643.300000000003</v>
      </c>
      <c r="V293" s="3">
        <f>IF($A$5=1,IF($P293=0,0,ROUND(R293/$P293*$E293,2)),Credits!E292)+Credits!K292</f>
        <v>4894.99</v>
      </c>
      <c r="W293" s="3">
        <f>IF($A$5=1,IF($P293=0,0,ROUND(S293/$P293*$E293,2)),Credits!F292)+Credits!L292</f>
        <v>29409.170000000002</v>
      </c>
      <c r="X293" s="3">
        <f>IF($A$5=1,IF($P293=0,0,ROUND(T293/$P293*$E293,2)),Credits!G292)+Credits!M292</f>
        <v>6533.92</v>
      </c>
      <c r="Y293" s="3">
        <f t="shared" si="83"/>
        <v>75481.38</v>
      </c>
      <c r="AC293" s="4"/>
      <c r="AD293" s="4"/>
      <c r="AE293" s="2">
        <f t="shared" si="84"/>
        <v>0</v>
      </c>
      <c r="AF293" s="170" t="s">
        <v>1120</v>
      </c>
      <c r="AG293" s="175">
        <v>2198</v>
      </c>
      <c r="AH293" s="175">
        <v>1</v>
      </c>
      <c r="AI293" s="175">
        <v>1</v>
      </c>
      <c r="AJ293" s="176">
        <v>531647</v>
      </c>
      <c r="AK293" s="176">
        <v>0</v>
      </c>
      <c r="AL293" s="176">
        <v>42242</v>
      </c>
      <c r="AM293" s="176">
        <v>0</v>
      </c>
      <c r="AN293" s="177">
        <v>0</v>
      </c>
      <c r="AO293" s="177">
        <v>0</v>
      </c>
      <c r="AP293" s="177">
        <v>572512</v>
      </c>
      <c r="AQ293" s="177">
        <v>0</v>
      </c>
      <c r="AR293" s="177">
        <v>80873</v>
      </c>
      <c r="AS293" s="177">
        <v>0</v>
      </c>
      <c r="AT293" s="178">
        <v>238012</v>
      </c>
      <c r="AU293" s="178">
        <v>0</v>
      </c>
      <c r="AV293" s="178">
        <v>247987</v>
      </c>
      <c r="AW293" s="179">
        <v>0</v>
      </c>
      <c r="AX293" s="180">
        <v>0</v>
      </c>
      <c r="AY293" s="180">
        <v>0</v>
      </c>
      <c r="AZ293" s="180">
        <v>108006</v>
      </c>
      <c r="BA293" s="180">
        <v>0</v>
      </c>
      <c r="BB293" s="170">
        <f t="shared" si="95"/>
        <v>1821279</v>
      </c>
      <c r="BC293" s="170">
        <v>1821278.73</v>
      </c>
      <c r="BD293" s="2">
        <f t="shared" si="96"/>
        <v>0.27000000001862645</v>
      </c>
    </row>
    <row r="294" spans="1:56" ht="12" x14ac:dyDescent="0.2">
      <c r="A294" s="4">
        <v>2215</v>
      </c>
      <c r="B294" s="4">
        <v>1</v>
      </c>
      <c r="C294" s="2" t="s">
        <v>1155</v>
      </c>
      <c r="D294" s="3">
        <v>0</v>
      </c>
      <c r="E294" s="3">
        <v>0</v>
      </c>
      <c r="F294" s="227">
        <f t="shared" si="85"/>
        <v>271440.15000000002</v>
      </c>
      <c r="G294" s="227">
        <f t="shared" si="86"/>
        <v>7462.6</v>
      </c>
      <c r="H294" s="227">
        <f t="shared" si="87"/>
        <v>0</v>
      </c>
      <c r="I294" s="227">
        <f t="shared" si="88"/>
        <v>160905.42000000001</v>
      </c>
      <c r="J294" s="227">
        <f t="shared" si="89"/>
        <v>28508.7</v>
      </c>
      <c r="K294" s="227">
        <f t="shared" si="90"/>
        <v>359494</v>
      </c>
      <c r="L294" s="227">
        <f t="shared" si="91"/>
        <v>0</v>
      </c>
      <c r="M294" s="3">
        <f t="shared" si="92"/>
        <v>0</v>
      </c>
      <c r="N294" s="227">
        <f t="shared" si="93"/>
        <v>0</v>
      </c>
      <c r="O294" s="142">
        <f t="shared" si="94"/>
        <v>827810.87000000011</v>
      </c>
      <c r="P294" s="3">
        <f t="shared" si="78"/>
        <v>548908.12</v>
      </c>
      <c r="Q294" s="3">
        <f t="shared" si="79"/>
        <v>160905.42000000001</v>
      </c>
      <c r="R294" s="3">
        <f t="shared" si="80"/>
        <v>28508.7</v>
      </c>
      <c r="S294" s="3">
        <f t="shared" si="81"/>
        <v>359494</v>
      </c>
      <c r="T294" s="3">
        <f t="shared" si="82"/>
        <v>0</v>
      </c>
      <c r="U294" s="3">
        <f>IF($A$5=1,IF($P294=0,0,ROUND(Q294/$P294*$E294,2)),Credits!D293)+Credits!J293</f>
        <v>7720.2800000000007</v>
      </c>
      <c r="V294" s="3">
        <f>IF($A$5=1,IF($P294=0,0,ROUND(R294/$P294*$E294,2)),Credits!E293)+Credits!K293</f>
        <v>1369.1799999999998</v>
      </c>
      <c r="W294" s="3">
        <f>IF($A$5=1,IF($P294=0,0,ROUND(S294/$P294*$E294,2)),Credits!F293)+Credits!L293</f>
        <v>17251.440000000002</v>
      </c>
      <c r="X294" s="3">
        <f>IF($A$5=1,IF($P294=0,0,ROUND(T294/$P294*$E294,2)),Credits!G293)+Credits!M293</f>
        <v>0</v>
      </c>
      <c r="Y294" s="3">
        <f t="shared" si="83"/>
        <v>26340.9</v>
      </c>
      <c r="AC294" s="4"/>
      <c r="AD294" s="4"/>
      <c r="AE294" s="2">
        <f t="shared" si="84"/>
        <v>0</v>
      </c>
      <c r="AF294" s="170" t="s">
        <v>1120</v>
      </c>
      <c r="AG294" s="175">
        <v>2215</v>
      </c>
      <c r="AH294" s="175">
        <v>1</v>
      </c>
      <c r="AI294" s="175">
        <v>1</v>
      </c>
      <c r="AJ294" s="176">
        <v>271440.15000000002</v>
      </c>
      <c r="AK294" s="176">
        <v>0</v>
      </c>
      <c r="AL294" s="176">
        <v>7462.6</v>
      </c>
      <c r="AM294" s="176">
        <v>0</v>
      </c>
      <c r="AN294" s="177">
        <v>0</v>
      </c>
      <c r="AO294" s="177">
        <v>0</v>
      </c>
      <c r="AP294" s="177">
        <v>160905.42000000001</v>
      </c>
      <c r="AQ294" s="177">
        <v>0</v>
      </c>
      <c r="AR294" s="177">
        <v>28508.7</v>
      </c>
      <c r="AS294" s="177">
        <v>0</v>
      </c>
      <c r="AT294" s="178">
        <v>359494</v>
      </c>
      <c r="AU294" s="178">
        <v>0</v>
      </c>
      <c r="AV294" s="178">
        <v>0</v>
      </c>
      <c r="AW294" s="179">
        <v>0</v>
      </c>
      <c r="AX294" s="180">
        <v>0</v>
      </c>
      <c r="AY294" s="180">
        <v>0</v>
      </c>
      <c r="AZ294" s="180">
        <v>0</v>
      </c>
      <c r="BA294" s="180">
        <v>0</v>
      </c>
      <c r="BB294" s="170">
        <f t="shared" si="95"/>
        <v>827810.87000000011</v>
      </c>
      <c r="BC294" s="170">
        <v>827810.87</v>
      </c>
      <c r="BD294" s="2">
        <f t="shared" si="96"/>
        <v>0</v>
      </c>
    </row>
    <row r="295" spans="1:56" ht="12" x14ac:dyDescent="0.2">
      <c r="A295" s="4">
        <v>2310</v>
      </c>
      <c r="B295" s="4">
        <v>1</v>
      </c>
      <c r="C295" s="2" t="s">
        <v>297</v>
      </c>
      <c r="D295" s="3">
        <v>0</v>
      </c>
      <c r="E295" s="3">
        <v>0</v>
      </c>
      <c r="F295" s="227">
        <f t="shared" si="85"/>
        <v>331174.02</v>
      </c>
      <c r="G295" s="227">
        <f t="shared" si="86"/>
        <v>70893.94</v>
      </c>
      <c r="H295" s="227">
        <f t="shared" si="87"/>
        <v>0</v>
      </c>
      <c r="I295" s="227">
        <f t="shared" si="88"/>
        <v>574552.18000000005</v>
      </c>
      <c r="J295" s="227">
        <f t="shared" si="89"/>
        <v>107375</v>
      </c>
      <c r="K295" s="227">
        <f t="shared" si="90"/>
        <v>0</v>
      </c>
      <c r="L295" s="227">
        <f t="shared" si="91"/>
        <v>0</v>
      </c>
      <c r="M295" s="3">
        <f t="shared" si="92"/>
        <v>0</v>
      </c>
      <c r="N295" s="227">
        <f t="shared" si="93"/>
        <v>0</v>
      </c>
      <c r="O295" s="142">
        <f t="shared" si="94"/>
        <v>1083995.1400000001</v>
      </c>
      <c r="P295" s="3">
        <f t="shared" si="78"/>
        <v>681927.18</v>
      </c>
      <c r="Q295" s="3">
        <f t="shared" si="79"/>
        <v>574552.18000000005</v>
      </c>
      <c r="R295" s="3">
        <f t="shared" si="80"/>
        <v>107375</v>
      </c>
      <c r="S295" s="3">
        <f t="shared" si="81"/>
        <v>0</v>
      </c>
      <c r="T295" s="3">
        <f t="shared" si="82"/>
        <v>0</v>
      </c>
      <c r="U295" s="3">
        <f>IF($A$5=1,IF($P295=0,0,ROUND(Q295/$P295*$E295,2)),Credits!D294)+Credits!J294</f>
        <v>39074.310000000005</v>
      </c>
      <c r="V295" s="3">
        <f>IF($A$5=1,IF($P295=0,0,ROUND(R295/$P295*$E295,2)),Credits!E294)+Credits!K294</f>
        <v>7300.9600000000009</v>
      </c>
      <c r="W295" s="3">
        <f>IF($A$5=1,IF($P295=0,0,ROUND(S295/$P295*$E295,2)),Credits!F294)+Credits!L294</f>
        <v>0</v>
      </c>
      <c r="X295" s="3">
        <f>IF($A$5=1,IF($P295=0,0,ROUND(T295/$P295*$E295,2)),Credits!G294)+Credits!M294</f>
        <v>0</v>
      </c>
      <c r="Y295" s="3">
        <f t="shared" si="83"/>
        <v>46375.270000000004</v>
      </c>
      <c r="AC295" s="4"/>
      <c r="AD295" s="4"/>
      <c r="AE295" s="2">
        <f t="shared" si="84"/>
        <v>0</v>
      </c>
      <c r="AF295" s="170" t="s">
        <v>1120</v>
      </c>
      <c r="AG295" s="175">
        <v>2310</v>
      </c>
      <c r="AH295" s="175">
        <v>1</v>
      </c>
      <c r="AI295" s="175">
        <v>1</v>
      </c>
      <c r="AJ295" s="176">
        <v>331174.02</v>
      </c>
      <c r="AK295" s="176">
        <v>0</v>
      </c>
      <c r="AL295" s="176">
        <v>70893.94</v>
      </c>
      <c r="AM295" s="176">
        <v>0</v>
      </c>
      <c r="AN295" s="177">
        <v>0</v>
      </c>
      <c r="AO295" s="177">
        <v>0</v>
      </c>
      <c r="AP295" s="177">
        <v>574552.18000000005</v>
      </c>
      <c r="AQ295" s="177">
        <v>0</v>
      </c>
      <c r="AR295" s="177">
        <v>107375</v>
      </c>
      <c r="AS295" s="177">
        <v>0</v>
      </c>
      <c r="AT295" s="178">
        <v>0</v>
      </c>
      <c r="AU295" s="178">
        <v>0</v>
      </c>
      <c r="AV295" s="178">
        <v>0</v>
      </c>
      <c r="AW295" s="179">
        <v>0</v>
      </c>
      <c r="AX295" s="180">
        <v>0</v>
      </c>
      <c r="AY295" s="180">
        <v>0</v>
      </c>
      <c r="AZ295" s="180">
        <v>0</v>
      </c>
      <c r="BA295" s="180">
        <v>0</v>
      </c>
      <c r="BB295" s="170">
        <f t="shared" si="95"/>
        <v>1083995.1400000001</v>
      </c>
      <c r="BC295" s="170">
        <v>1083995.1399999999</v>
      </c>
      <c r="BD295" s="2">
        <f t="shared" si="96"/>
        <v>0</v>
      </c>
    </row>
    <row r="296" spans="1:56" ht="12" x14ac:dyDescent="0.2">
      <c r="A296" s="4">
        <v>2311</v>
      </c>
      <c r="B296" s="4">
        <v>1</v>
      </c>
      <c r="C296" s="2" t="s">
        <v>1154</v>
      </c>
      <c r="D296" s="3">
        <v>0</v>
      </c>
      <c r="E296" s="3">
        <v>0</v>
      </c>
      <c r="F296" s="227">
        <f t="shared" si="85"/>
        <v>197864</v>
      </c>
      <c r="G296" s="227">
        <f t="shared" si="86"/>
        <v>69115</v>
      </c>
      <c r="H296" s="227">
        <f t="shared" si="87"/>
        <v>0</v>
      </c>
      <c r="I296" s="227">
        <f t="shared" si="88"/>
        <v>125475</v>
      </c>
      <c r="J296" s="227">
        <f t="shared" si="89"/>
        <v>48507</v>
      </c>
      <c r="K296" s="227">
        <f t="shared" si="90"/>
        <v>813067</v>
      </c>
      <c r="L296" s="227">
        <f t="shared" si="91"/>
        <v>0</v>
      </c>
      <c r="M296" s="3">
        <f t="shared" si="92"/>
        <v>0</v>
      </c>
      <c r="N296" s="227">
        <f t="shared" si="93"/>
        <v>0</v>
      </c>
      <c r="O296" s="142">
        <f t="shared" si="94"/>
        <v>1254028</v>
      </c>
      <c r="P296" s="3">
        <f t="shared" si="78"/>
        <v>987049</v>
      </c>
      <c r="Q296" s="3">
        <f t="shared" si="79"/>
        <v>125475</v>
      </c>
      <c r="R296" s="3">
        <f t="shared" si="80"/>
        <v>48507</v>
      </c>
      <c r="S296" s="3">
        <f t="shared" si="81"/>
        <v>813067</v>
      </c>
      <c r="T296" s="3">
        <f t="shared" si="82"/>
        <v>0</v>
      </c>
      <c r="U296" s="3">
        <f>IF($A$5=1,IF($P296=0,0,ROUND(Q296/$P296*$E296,2)),Credits!D295)+Credits!J295</f>
        <v>3634.25</v>
      </c>
      <c r="V296" s="3">
        <f>IF($A$5=1,IF($P296=0,0,ROUND(R296/$P296*$E296,2)),Credits!E295)+Credits!K295</f>
        <v>1405.4899999999998</v>
      </c>
      <c r="W296" s="3">
        <f>IF($A$5=1,IF($P296=0,0,ROUND(S296/$P296*$E296,2)),Credits!F295)+Credits!L295</f>
        <v>23550.03</v>
      </c>
      <c r="X296" s="3">
        <f>IF($A$5=1,IF($P296=0,0,ROUND(T296/$P296*$E296,2)),Credits!G295)+Credits!M295</f>
        <v>0</v>
      </c>
      <c r="Y296" s="3">
        <f t="shared" si="83"/>
        <v>28589.769999999997</v>
      </c>
      <c r="AC296" s="4"/>
      <c r="AD296" s="4"/>
      <c r="AE296" s="2">
        <f t="shared" si="84"/>
        <v>0</v>
      </c>
      <c r="AF296" s="170" t="s">
        <v>1120</v>
      </c>
      <c r="AG296" s="175">
        <v>2311</v>
      </c>
      <c r="AH296" s="175">
        <v>1</v>
      </c>
      <c r="AI296" s="175">
        <v>1</v>
      </c>
      <c r="AJ296" s="176">
        <v>197864</v>
      </c>
      <c r="AK296" s="176">
        <v>0</v>
      </c>
      <c r="AL296" s="176">
        <v>69115</v>
      </c>
      <c r="AM296" s="176">
        <v>0</v>
      </c>
      <c r="AN296" s="177">
        <v>0</v>
      </c>
      <c r="AO296" s="177">
        <v>0</v>
      </c>
      <c r="AP296" s="177">
        <v>125475</v>
      </c>
      <c r="AQ296" s="177">
        <v>0</v>
      </c>
      <c r="AR296" s="177">
        <v>48507</v>
      </c>
      <c r="AS296" s="177">
        <v>0</v>
      </c>
      <c r="AT296" s="178">
        <v>813067</v>
      </c>
      <c r="AU296" s="178">
        <v>0</v>
      </c>
      <c r="AV296" s="178">
        <v>0</v>
      </c>
      <c r="AW296" s="179">
        <v>0</v>
      </c>
      <c r="AX296" s="180">
        <v>0</v>
      </c>
      <c r="AY296" s="180">
        <v>0</v>
      </c>
      <c r="AZ296" s="180">
        <v>0</v>
      </c>
      <c r="BA296" s="180">
        <v>0</v>
      </c>
      <c r="BB296" s="170">
        <f t="shared" si="95"/>
        <v>1254028</v>
      </c>
      <c r="BC296" s="170">
        <v>1254027.8500000001</v>
      </c>
      <c r="BD296" s="2">
        <f t="shared" si="96"/>
        <v>0.14999999990686774</v>
      </c>
    </row>
    <row r="297" spans="1:56" ht="12" x14ac:dyDescent="0.2">
      <c r="A297" s="4">
        <v>2342</v>
      </c>
      <c r="B297" s="4">
        <v>1</v>
      </c>
      <c r="C297" s="2" t="s">
        <v>1153</v>
      </c>
      <c r="D297" s="3">
        <v>0</v>
      </c>
      <c r="E297" s="3">
        <v>0</v>
      </c>
      <c r="F297" s="227">
        <f t="shared" si="85"/>
        <v>891658.45</v>
      </c>
      <c r="G297" s="227">
        <f t="shared" si="86"/>
        <v>47116.81</v>
      </c>
      <c r="H297" s="227">
        <f t="shared" si="87"/>
        <v>0</v>
      </c>
      <c r="I297" s="227">
        <f t="shared" si="88"/>
        <v>727862.85</v>
      </c>
      <c r="J297" s="227">
        <f t="shared" si="89"/>
        <v>77002.5</v>
      </c>
      <c r="K297" s="227">
        <f t="shared" si="90"/>
        <v>0</v>
      </c>
      <c r="L297" s="227">
        <f t="shared" si="91"/>
        <v>0</v>
      </c>
      <c r="M297" s="3">
        <f t="shared" si="92"/>
        <v>0</v>
      </c>
      <c r="N297" s="227">
        <f t="shared" si="93"/>
        <v>0</v>
      </c>
      <c r="O297" s="142">
        <f t="shared" si="94"/>
        <v>1743640.6099999999</v>
      </c>
      <c r="P297" s="3">
        <f t="shared" si="78"/>
        <v>804865.35</v>
      </c>
      <c r="Q297" s="3">
        <f t="shared" si="79"/>
        <v>727862.85</v>
      </c>
      <c r="R297" s="3">
        <f t="shared" si="80"/>
        <v>77002.5</v>
      </c>
      <c r="S297" s="3">
        <f t="shared" si="81"/>
        <v>0</v>
      </c>
      <c r="T297" s="3">
        <f t="shared" si="82"/>
        <v>0</v>
      </c>
      <c r="U297" s="3">
        <f>IF($A$5=1,IF($P297=0,0,ROUND(Q297/$P297*$E297,2)),Credits!D296)+Credits!J296</f>
        <v>16882.989999999998</v>
      </c>
      <c r="V297" s="3">
        <f>IF($A$5=1,IF($P297=0,0,ROUND(R297/$P297*$E297,2)),Credits!E296)+Credits!K296</f>
        <v>1786.13</v>
      </c>
      <c r="W297" s="3">
        <f>IF($A$5=1,IF($P297=0,0,ROUND(S297/$P297*$E297,2)),Credits!F296)+Credits!L296</f>
        <v>0</v>
      </c>
      <c r="X297" s="3">
        <f>IF($A$5=1,IF($P297=0,0,ROUND(T297/$P297*$E297,2)),Credits!G296)+Credits!M296</f>
        <v>0</v>
      </c>
      <c r="Y297" s="3">
        <f t="shared" si="83"/>
        <v>18669.12</v>
      </c>
      <c r="AC297" s="4"/>
      <c r="AD297" s="4"/>
      <c r="AE297" s="2">
        <f t="shared" si="84"/>
        <v>0</v>
      </c>
      <c r="AF297" s="170" t="s">
        <v>1120</v>
      </c>
      <c r="AG297" s="175">
        <v>2342</v>
      </c>
      <c r="AH297" s="175">
        <v>1</v>
      </c>
      <c r="AI297" s="175">
        <v>1</v>
      </c>
      <c r="AJ297" s="176">
        <v>891658.45</v>
      </c>
      <c r="AK297" s="176">
        <v>0</v>
      </c>
      <c r="AL297" s="176">
        <v>47116.81</v>
      </c>
      <c r="AM297" s="176">
        <v>0</v>
      </c>
      <c r="AN297" s="177">
        <v>0</v>
      </c>
      <c r="AO297" s="177">
        <v>0</v>
      </c>
      <c r="AP297" s="177">
        <v>727862.85</v>
      </c>
      <c r="AQ297" s="177">
        <v>0</v>
      </c>
      <c r="AR297" s="177">
        <v>77002.5</v>
      </c>
      <c r="AS297" s="177">
        <v>0</v>
      </c>
      <c r="AT297" s="178">
        <v>0</v>
      </c>
      <c r="AU297" s="178">
        <v>0</v>
      </c>
      <c r="AV297" s="178">
        <v>0</v>
      </c>
      <c r="AW297" s="179">
        <v>0</v>
      </c>
      <c r="AX297" s="180">
        <v>0</v>
      </c>
      <c r="AY297" s="180">
        <v>0</v>
      </c>
      <c r="AZ297" s="180">
        <v>0</v>
      </c>
      <c r="BA297" s="180">
        <v>0</v>
      </c>
      <c r="BB297" s="170">
        <f t="shared" si="95"/>
        <v>1743640.6099999999</v>
      </c>
      <c r="BC297" s="170">
        <v>1743640.61</v>
      </c>
      <c r="BD297" s="2">
        <f t="shared" si="96"/>
        <v>0</v>
      </c>
    </row>
    <row r="298" spans="1:56" ht="12" x14ac:dyDescent="0.2">
      <c r="A298" s="4">
        <v>2358</v>
      </c>
      <c r="B298" s="4">
        <v>1</v>
      </c>
      <c r="C298" s="2" t="s">
        <v>300</v>
      </c>
      <c r="D298" s="3">
        <v>0</v>
      </c>
      <c r="E298" s="3">
        <v>0</v>
      </c>
      <c r="F298" s="227">
        <f t="shared" si="85"/>
        <v>211783</v>
      </c>
      <c r="G298" s="227">
        <f t="shared" si="86"/>
        <v>5991</v>
      </c>
      <c r="H298" s="227">
        <f t="shared" si="87"/>
        <v>0</v>
      </c>
      <c r="I298" s="227">
        <f t="shared" si="88"/>
        <v>80762</v>
      </c>
      <c r="J298" s="227">
        <f t="shared" si="89"/>
        <v>21438</v>
      </c>
      <c r="K298" s="227">
        <f t="shared" si="90"/>
        <v>88540</v>
      </c>
      <c r="L298" s="227">
        <f t="shared" si="91"/>
        <v>85306</v>
      </c>
      <c r="M298" s="3">
        <f t="shared" si="92"/>
        <v>0</v>
      </c>
      <c r="N298" s="227">
        <f t="shared" si="93"/>
        <v>0</v>
      </c>
      <c r="O298" s="142">
        <f t="shared" si="94"/>
        <v>493820</v>
      </c>
      <c r="P298" s="3">
        <f t="shared" si="78"/>
        <v>276046</v>
      </c>
      <c r="Q298" s="3">
        <f t="shared" si="79"/>
        <v>80762</v>
      </c>
      <c r="R298" s="3">
        <f t="shared" si="80"/>
        <v>21438</v>
      </c>
      <c r="S298" s="3">
        <f t="shared" si="81"/>
        <v>173846</v>
      </c>
      <c r="T298" s="3">
        <f t="shared" si="82"/>
        <v>0</v>
      </c>
      <c r="U298" s="3">
        <f>IF($A$5=1,IF($P298=0,0,ROUND(Q298/$P298*$E298,2)),Credits!D297)+Credits!J297</f>
        <v>4320.3499999999995</v>
      </c>
      <c r="V298" s="3">
        <f>IF($A$5=1,IF($P298=0,0,ROUND(R298/$P298*$E298,2)),Credits!E297)+Credits!K297</f>
        <v>1147.0700000000002</v>
      </c>
      <c r="W298" s="3">
        <f>IF($A$5=1,IF($P298=0,0,ROUND(S298/$P298*$E298,2)),Credits!F297)+Credits!L297</f>
        <v>9300.98</v>
      </c>
      <c r="X298" s="3">
        <f>IF($A$5=1,IF($P298=0,0,ROUND(T298/$P298*$E298,2)),Credits!G297)+Credits!M297</f>
        <v>0</v>
      </c>
      <c r="Y298" s="3">
        <f t="shared" si="83"/>
        <v>14768.4</v>
      </c>
      <c r="AC298" s="4"/>
      <c r="AD298" s="4"/>
      <c r="AE298" s="2">
        <f t="shared" si="84"/>
        <v>0</v>
      </c>
      <c r="AF298" s="170" t="s">
        <v>1120</v>
      </c>
      <c r="AG298" s="175">
        <v>2358</v>
      </c>
      <c r="AH298" s="175">
        <v>1</v>
      </c>
      <c r="AI298" s="175">
        <v>1</v>
      </c>
      <c r="AJ298" s="176">
        <v>211783</v>
      </c>
      <c r="AK298" s="176">
        <v>0</v>
      </c>
      <c r="AL298" s="176">
        <v>5991</v>
      </c>
      <c r="AM298" s="176">
        <v>0</v>
      </c>
      <c r="AN298" s="177">
        <v>0</v>
      </c>
      <c r="AO298" s="177">
        <v>0</v>
      </c>
      <c r="AP298" s="177">
        <v>80762</v>
      </c>
      <c r="AQ298" s="177">
        <v>0</v>
      </c>
      <c r="AR298" s="177">
        <v>21438</v>
      </c>
      <c r="AS298" s="177">
        <v>0</v>
      </c>
      <c r="AT298" s="178">
        <v>88540</v>
      </c>
      <c r="AU298" s="178">
        <v>0</v>
      </c>
      <c r="AV298" s="178">
        <v>85306</v>
      </c>
      <c r="AW298" s="179">
        <v>0</v>
      </c>
      <c r="AX298" s="180">
        <v>0</v>
      </c>
      <c r="AY298" s="180">
        <v>0</v>
      </c>
      <c r="AZ298" s="180">
        <v>0</v>
      </c>
      <c r="BA298" s="180">
        <v>0</v>
      </c>
      <c r="BB298" s="170">
        <f t="shared" si="95"/>
        <v>493820</v>
      </c>
      <c r="BC298" s="170">
        <v>493819.55</v>
      </c>
      <c r="BD298" s="2">
        <f t="shared" si="96"/>
        <v>0.45000000001164153</v>
      </c>
    </row>
    <row r="299" spans="1:56" ht="12" x14ac:dyDescent="0.2">
      <c r="A299" s="4">
        <v>2364</v>
      </c>
      <c r="B299" s="4">
        <v>1</v>
      </c>
      <c r="C299" s="2" t="s">
        <v>1152</v>
      </c>
      <c r="D299" s="3">
        <v>0</v>
      </c>
      <c r="E299" s="3">
        <v>0</v>
      </c>
      <c r="F299" s="227">
        <f t="shared" si="85"/>
        <v>373592</v>
      </c>
      <c r="G299" s="227">
        <f t="shared" si="86"/>
        <v>62871</v>
      </c>
      <c r="H299" s="227">
        <f t="shared" si="87"/>
        <v>0</v>
      </c>
      <c r="I299" s="227">
        <f t="shared" si="88"/>
        <v>242845</v>
      </c>
      <c r="J299" s="227">
        <f t="shared" si="89"/>
        <v>51878</v>
      </c>
      <c r="K299" s="227">
        <f t="shared" si="90"/>
        <v>71605</v>
      </c>
      <c r="L299" s="227">
        <f t="shared" si="91"/>
        <v>37872</v>
      </c>
      <c r="M299" s="3">
        <f t="shared" si="92"/>
        <v>0</v>
      </c>
      <c r="N299" s="227">
        <f t="shared" si="93"/>
        <v>0</v>
      </c>
      <c r="O299" s="142">
        <f t="shared" si="94"/>
        <v>840663</v>
      </c>
      <c r="P299" s="3">
        <f t="shared" si="78"/>
        <v>404200</v>
      </c>
      <c r="Q299" s="3">
        <f t="shared" si="79"/>
        <v>242845</v>
      </c>
      <c r="R299" s="3">
        <f t="shared" si="80"/>
        <v>51878</v>
      </c>
      <c r="S299" s="3">
        <f t="shared" si="81"/>
        <v>109477</v>
      </c>
      <c r="T299" s="3">
        <f t="shared" si="82"/>
        <v>0</v>
      </c>
      <c r="U299" s="3">
        <f>IF($A$5=1,IF($P299=0,0,ROUND(Q299/$P299*$E299,2)),Credits!D298)+Credits!J298</f>
        <v>8338.5400000000009</v>
      </c>
      <c r="V299" s="3">
        <f>IF($A$5=1,IF($P299=0,0,ROUND(R299/$P299*$E299,2)),Credits!E298)+Credits!K298</f>
        <v>1781.1100000000001</v>
      </c>
      <c r="W299" s="3">
        <f>IF($A$5=1,IF($P299=0,0,ROUND(S299/$P299*$E299,2)),Credits!F298)+Credits!L298</f>
        <v>3759.8900000000003</v>
      </c>
      <c r="X299" s="3">
        <f>IF($A$5=1,IF($P299=0,0,ROUND(T299/$P299*$E299,2)),Credits!G298)+Credits!M298</f>
        <v>0</v>
      </c>
      <c r="Y299" s="3">
        <f t="shared" si="83"/>
        <v>13879.54</v>
      </c>
      <c r="AC299" s="4"/>
      <c r="AD299" s="4"/>
      <c r="AE299" s="2">
        <f t="shared" si="84"/>
        <v>0</v>
      </c>
      <c r="AF299" s="170" t="s">
        <v>1120</v>
      </c>
      <c r="AG299" s="175">
        <v>2364</v>
      </c>
      <c r="AH299" s="175">
        <v>1</v>
      </c>
      <c r="AI299" s="175">
        <v>1</v>
      </c>
      <c r="AJ299" s="176">
        <v>373592</v>
      </c>
      <c r="AK299" s="176">
        <v>0</v>
      </c>
      <c r="AL299" s="176">
        <v>62871</v>
      </c>
      <c r="AM299" s="176">
        <v>0</v>
      </c>
      <c r="AN299" s="177">
        <v>0</v>
      </c>
      <c r="AO299" s="177">
        <v>0</v>
      </c>
      <c r="AP299" s="177">
        <v>242845</v>
      </c>
      <c r="AQ299" s="177">
        <v>0</v>
      </c>
      <c r="AR299" s="177">
        <v>51878</v>
      </c>
      <c r="AS299" s="177">
        <v>0</v>
      </c>
      <c r="AT299" s="178">
        <v>71605</v>
      </c>
      <c r="AU299" s="178">
        <v>0</v>
      </c>
      <c r="AV299" s="178">
        <v>37872</v>
      </c>
      <c r="AW299" s="179">
        <v>0</v>
      </c>
      <c r="AX299" s="180">
        <v>0</v>
      </c>
      <c r="AY299" s="180">
        <v>0</v>
      </c>
      <c r="AZ299" s="180">
        <v>0</v>
      </c>
      <c r="BA299" s="180">
        <v>0</v>
      </c>
      <c r="BB299" s="170">
        <f t="shared" si="95"/>
        <v>840663</v>
      </c>
      <c r="BC299" s="170">
        <v>840663.05</v>
      </c>
      <c r="BD299" s="2">
        <f t="shared" si="96"/>
        <v>-5.0000000046566129E-2</v>
      </c>
    </row>
    <row r="300" spans="1:56" ht="12" x14ac:dyDescent="0.2">
      <c r="A300" s="4">
        <v>2365</v>
      </c>
      <c r="B300" s="4">
        <v>1</v>
      </c>
      <c r="C300" s="2" t="s">
        <v>302</v>
      </c>
      <c r="D300" s="3">
        <v>0</v>
      </c>
      <c r="E300" s="3">
        <v>0</v>
      </c>
      <c r="F300" s="227">
        <f t="shared" si="85"/>
        <v>520195.5</v>
      </c>
      <c r="G300" s="227">
        <f t="shared" si="86"/>
        <v>68618.009999999995</v>
      </c>
      <c r="H300" s="227">
        <f t="shared" si="87"/>
        <v>0</v>
      </c>
      <c r="I300" s="227">
        <f t="shared" si="88"/>
        <v>668765.36</v>
      </c>
      <c r="J300" s="227">
        <f t="shared" si="89"/>
        <v>71548.47</v>
      </c>
      <c r="K300" s="227">
        <f t="shared" si="90"/>
        <v>303423.27</v>
      </c>
      <c r="L300" s="227">
        <f t="shared" si="91"/>
        <v>0</v>
      </c>
      <c r="M300" s="3">
        <f t="shared" si="92"/>
        <v>0</v>
      </c>
      <c r="N300" s="227">
        <f t="shared" si="93"/>
        <v>111985.08</v>
      </c>
      <c r="O300" s="142">
        <f t="shared" si="94"/>
        <v>1744535.6900000002</v>
      </c>
      <c r="P300" s="3">
        <f t="shared" si="78"/>
        <v>1155722.18</v>
      </c>
      <c r="Q300" s="3">
        <f t="shared" si="79"/>
        <v>668765.36</v>
      </c>
      <c r="R300" s="3">
        <f t="shared" si="80"/>
        <v>71548.47</v>
      </c>
      <c r="S300" s="3">
        <f t="shared" si="81"/>
        <v>303423.27</v>
      </c>
      <c r="T300" s="3">
        <f t="shared" si="82"/>
        <v>111985.08</v>
      </c>
      <c r="U300" s="3">
        <f>IF($A$5=1,IF($P300=0,0,ROUND(Q300/$P300*$E300,2)),Credits!D299)+Credits!J299</f>
        <v>29182.589999999997</v>
      </c>
      <c r="V300" s="3">
        <f>IF($A$5=1,IF($P300=0,0,ROUND(R300/$P300*$E300,2)),Credits!E299)+Credits!K299</f>
        <v>3121.22</v>
      </c>
      <c r="W300" s="3">
        <f>IF($A$5=1,IF($P300=0,0,ROUND(S300/$P300*$E300,2)),Credits!F299)+Credits!L299</f>
        <v>13241.18</v>
      </c>
      <c r="X300" s="3">
        <f>IF($A$5=1,IF($P300=0,0,ROUND(T300/$P300*$E300,2)),Credits!G299)+Credits!M299</f>
        <v>4883.7700000000004</v>
      </c>
      <c r="Y300" s="3">
        <f t="shared" si="83"/>
        <v>50428.759999999995</v>
      </c>
      <c r="AC300" s="4"/>
      <c r="AD300" s="4"/>
      <c r="AE300" s="2">
        <f t="shared" si="84"/>
        <v>0</v>
      </c>
      <c r="AF300" s="170" t="s">
        <v>1120</v>
      </c>
      <c r="AG300" s="175">
        <v>2365</v>
      </c>
      <c r="AH300" s="175">
        <v>1</v>
      </c>
      <c r="AI300" s="175">
        <v>1</v>
      </c>
      <c r="AJ300" s="176">
        <v>520195.5</v>
      </c>
      <c r="AK300" s="176">
        <v>0</v>
      </c>
      <c r="AL300" s="176">
        <v>68618.009999999995</v>
      </c>
      <c r="AM300" s="176">
        <v>0</v>
      </c>
      <c r="AN300" s="177">
        <v>0</v>
      </c>
      <c r="AO300" s="177">
        <v>0</v>
      </c>
      <c r="AP300" s="177">
        <v>668765.36</v>
      </c>
      <c r="AQ300" s="177">
        <v>0</v>
      </c>
      <c r="AR300" s="177">
        <v>71548.47</v>
      </c>
      <c r="AS300" s="177">
        <v>0</v>
      </c>
      <c r="AT300" s="178">
        <v>303423.27</v>
      </c>
      <c r="AU300" s="178">
        <v>0</v>
      </c>
      <c r="AV300" s="178">
        <v>0</v>
      </c>
      <c r="AW300" s="179">
        <v>0</v>
      </c>
      <c r="AX300" s="180">
        <v>0</v>
      </c>
      <c r="AY300" s="180">
        <v>0</v>
      </c>
      <c r="AZ300" s="180">
        <v>111985.08</v>
      </c>
      <c r="BA300" s="180">
        <v>0</v>
      </c>
      <c r="BB300" s="170">
        <f t="shared" si="95"/>
        <v>1744535.6900000002</v>
      </c>
      <c r="BC300" s="170">
        <v>1744535.69</v>
      </c>
      <c r="BD300" s="2">
        <f t="shared" si="96"/>
        <v>0</v>
      </c>
    </row>
    <row r="301" spans="1:56" ht="12" x14ac:dyDescent="0.2">
      <c r="A301" s="4">
        <v>2396</v>
      </c>
      <c r="B301" s="4">
        <v>1</v>
      </c>
      <c r="C301" s="2" t="s">
        <v>303</v>
      </c>
      <c r="D301" s="3">
        <v>0</v>
      </c>
      <c r="E301" s="3">
        <v>0</v>
      </c>
      <c r="F301" s="227">
        <f t="shared" si="85"/>
        <v>638404</v>
      </c>
      <c r="G301" s="227">
        <f t="shared" si="86"/>
        <v>162619</v>
      </c>
      <c r="H301" s="227">
        <f t="shared" si="87"/>
        <v>0</v>
      </c>
      <c r="I301" s="227">
        <f t="shared" si="88"/>
        <v>455671</v>
      </c>
      <c r="J301" s="227">
        <f t="shared" si="89"/>
        <v>173166</v>
      </c>
      <c r="K301" s="227">
        <f t="shared" si="90"/>
        <v>859749</v>
      </c>
      <c r="L301" s="227">
        <f t="shared" si="91"/>
        <v>73314</v>
      </c>
      <c r="M301" s="3">
        <f t="shared" si="92"/>
        <v>0</v>
      </c>
      <c r="N301" s="227">
        <f t="shared" si="93"/>
        <v>0</v>
      </c>
      <c r="O301" s="142">
        <f t="shared" si="94"/>
        <v>2362923</v>
      </c>
      <c r="P301" s="3">
        <f t="shared" si="78"/>
        <v>1561900</v>
      </c>
      <c r="Q301" s="3">
        <f t="shared" si="79"/>
        <v>455671</v>
      </c>
      <c r="R301" s="3">
        <f t="shared" si="80"/>
        <v>173166</v>
      </c>
      <c r="S301" s="3">
        <f t="shared" si="81"/>
        <v>933063</v>
      </c>
      <c r="T301" s="3">
        <f t="shared" si="82"/>
        <v>0</v>
      </c>
      <c r="U301" s="3">
        <f>IF($A$5=1,IF($P301=0,0,ROUND(Q301/$P301*$E301,2)),Credits!D300)+Credits!J300</f>
        <v>11998.039999999997</v>
      </c>
      <c r="V301" s="3">
        <f>IF($A$5=1,IF($P301=0,0,ROUND(R301/$P301*$E301,2)),Credits!E300)+Credits!K300</f>
        <v>4560.3799999999992</v>
      </c>
      <c r="W301" s="3">
        <f>IF($A$5=1,IF($P301=0,0,ROUND(S301/$P301*$E301,2)),Credits!F300)+Credits!L300</f>
        <v>24191.489999999998</v>
      </c>
      <c r="X301" s="3">
        <f>IF($A$5=1,IF($P301=0,0,ROUND(T301/$P301*$E301,2)),Credits!G300)+Credits!M300</f>
        <v>0</v>
      </c>
      <c r="Y301" s="3">
        <f t="shared" si="83"/>
        <v>40749.909999999996</v>
      </c>
      <c r="AC301" s="4"/>
      <c r="AD301" s="4"/>
      <c r="AE301" s="2">
        <f t="shared" si="84"/>
        <v>0</v>
      </c>
      <c r="AF301" s="170" t="s">
        <v>1120</v>
      </c>
      <c r="AG301" s="175">
        <v>2396</v>
      </c>
      <c r="AH301" s="175">
        <v>1</v>
      </c>
      <c r="AI301" s="175">
        <v>1</v>
      </c>
      <c r="AJ301" s="176">
        <v>638404</v>
      </c>
      <c r="AK301" s="176">
        <v>0</v>
      </c>
      <c r="AL301" s="176">
        <v>162619</v>
      </c>
      <c r="AM301" s="176">
        <v>0</v>
      </c>
      <c r="AN301" s="177">
        <v>0</v>
      </c>
      <c r="AO301" s="177">
        <v>0</v>
      </c>
      <c r="AP301" s="177">
        <v>455671</v>
      </c>
      <c r="AQ301" s="177">
        <v>0</v>
      </c>
      <c r="AR301" s="177">
        <v>173166</v>
      </c>
      <c r="AS301" s="177">
        <v>0</v>
      </c>
      <c r="AT301" s="178">
        <v>859749</v>
      </c>
      <c r="AU301" s="178">
        <v>0</v>
      </c>
      <c r="AV301" s="178">
        <v>73314</v>
      </c>
      <c r="AW301" s="179">
        <v>0</v>
      </c>
      <c r="AX301" s="180">
        <v>0</v>
      </c>
      <c r="AY301" s="180">
        <v>0</v>
      </c>
      <c r="AZ301" s="180">
        <v>0</v>
      </c>
      <c r="BA301" s="180">
        <v>0</v>
      </c>
      <c r="BB301" s="170">
        <f t="shared" si="95"/>
        <v>2362923</v>
      </c>
      <c r="BC301" s="170">
        <v>2362923.12</v>
      </c>
      <c r="BD301" s="2">
        <f t="shared" si="96"/>
        <v>-0.12000000011175871</v>
      </c>
    </row>
    <row r="302" spans="1:56" ht="12" x14ac:dyDescent="0.2">
      <c r="A302" s="4">
        <v>2397</v>
      </c>
      <c r="B302" s="4">
        <v>1</v>
      </c>
      <c r="C302" s="2" t="s">
        <v>1151</v>
      </c>
      <c r="D302" s="3">
        <v>0</v>
      </c>
      <c r="E302" s="3">
        <v>0</v>
      </c>
      <c r="F302" s="227">
        <f t="shared" si="85"/>
        <v>314151.77</v>
      </c>
      <c r="G302" s="227">
        <f t="shared" si="86"/>
        <v>460031.82</v>
      </c>
      <c r="H302" s="227">
        <f t="shared" si="87"/>
        <v>0</v>
      </c>
      <c r="I302" s="227">
        <f t="shared" si="88"/>
        <v>479517.76</v>
      </c>
      <c r="J302" s="227">
        <f t="shared" si="89"/>
        <v>98722.04</v>
      </c>
      <c r="K302" s="227">
        <f t="shared" si="90"/>
        <v>1426424.02</v>
      </c>
      <c r="L302" s="227">
        <f t="shared" si="91"/>
        <v>70037.52</v>
      </c>
      <c r="M302" s="3">
        <f t="shared" si="92"/>
        <v>0</v>
      </c>
      <c r="N302" s="227">
        <f t="shared" si="93"/>
        <v>0</v>
      </c>
      <c r="O302" s="142">
        <f t="shared" si="94"/>
        <v>2848884.93</v>
      </c>
      <c r="P302" s="3">
        <f t="shared" si="78"/>
        <v>2074701.34</v>
      </c>
      <c r="Q302" s="3">
        <f t="shared" si="79"/>
        <v>479517.76</v>
      </c>
      <c r="R302" s="3">
        <f t="shared" si="80"/>
        <v>98722.04</v>
      </c>
      <c r="S302" s="3">
        <f t="shared" si="81"/>
        <v>1496461.54</v>
      </c>
      <c r="T302" s="3">
        <f t="shared" si="82"/>
        <v>0</v>
      </c>
      <c r="U302" s="3">
        <f>IF($A$5=1,IF($P302=0,0,ROUND(Q302/$P302*$E302,2)),Credits!D301)+Credits!J301</f>
        <v>8664.6999999999989</v>
      </c>
      <c r="V302" s="3">
        <f>IF($A$5=1,IF($P302=0,0,ROUND(R302/$P302*$E302,2)),Credits!E301)+Credits!K301</f>
        <v>1783.31</v>
      </c>
      <c r="W302" s="3">
        <f>IF($A$5=1,IF($P302=0,0,ROUND(S302/$P302*$E302,2)),Credits!F301)+Credits!L301</f>
        <v>27037.47</v>
      </c>
      <c r="X302" s="3">
        <f>IF($A$5=1,IF($P302=0,0,ROUND(T302/$P302*$E302,2)),Credits!G301)+Credits!M301</f>
        <v>0</v>
      </c>
      <c r="Y302" s="3">
        <f t="shared" si="83"/>
        <v>37485.479999999996</v>
      </c>
      <c r="AC302" s="4"/>
      <c r="AD302" s="4"/>
      <c r="AE302" s="2">
        <f t="shared" si="84"/>
        <v>0</v>
      </c>
      <c r="AF302" s="170" t="s">
        <v>1120</v>
      </c>
      <c r="AG302" s="175">
        <v>2397</v>
      </c>
      <c r="AH302" s="175">
        <v>1</v>
      </c>
      <c r="AI302" s="175">
        <v>1</v>
      </c>
      <c r="AJ302" s="176">
        <v>314151.77</v>
      </c>
      <c r="AK302" s="176">
        <v>0</v>
      </c>
      <c r="AL302" s="176">
        <v>460031.82</v>
      </c>
      <c r="AM302" s="176">
        <v>0</v>
      </c>
      <c r="AN302" s="177">
        <v>0</v>
      </c>
      <c r="AO302" s="177">
        <v>0</v>
      </c>
      <c r="AP302" s="177">
        <v>479517.76</v>
      </c>
      <c r="AQ302" s="177">
        <v>0</v>
      </c>
      <c r="AR302" s="177">
        <v>98722.04</v>
      </c>
      <c r="AS302" s="177">
        <v>0</v>
      </c>
      <c r="AT302" s="178">
        <v>1426424.02</v>
      </c>
      <c r="AU302" s="178">
        <v>0</v>
      </c>
      <c r="AV302" s="178">
        <v>70037.52</v>
      </c>
      <c r="AW302" s="179">
        <v>0</v>
      </c>
      <c r="AX302" s="180">
        <v>0</v>
      </c>
      <c r="AY302" s="180">
        <v>0</v>
      </c>
      <c r="AZ302" s="180">
        <v>0</v>
      </c>
      <c r="BA302" s="180">
        <v>0</v>
      </c>
      <c r="BB302" s="170">
        <f t="shared" si="95"/>
        <v>2848884.93</v>
      </c>
      <c r="BC302" s="170">
        <v>2848884.93</v>
      </c>
      <c r="BD302" s="2">
        <f t="shared" si="96"/>
        <v>0</v>
      </c>
    </row>
    <row r="303" spans="1:56" ht="12" x14ac:dyDescent="0.2">
      <c r="A303" s="4">
        <v>2448</v>
      </c>
      <c r="B303" s="4">
        <v>1</v>
      </c>
      <c r="C303" s="2" t="s">
        <v>1150</v>
      </c>
      <c r="D303" s="3">
        <v>0</v>
      </c>
      <c r="E303" s="3">
        <v>0</v>
      </c>
      <c r="F303" s="227">
        <f t="shared" si="85"/>
        <v>1026753</v>
      </c>
      <c r="G303" s="227">
        <f t="shared" si="86"/>
        <v>49973</v>
      </c>
      <c r="H303" s="227">
        <f t="shared" si="87"/>
        <v>0</v>
      </c>
      <c r="I303" s="227">
        <f t="shared" si="88"/>
        <v>569774</v>
      </c>
      <c r="J303" s="227">
        <f t="shared" si="89"/>
        <v>67513</v>
      </c>
      <c r="K303" s="227">
        <f t="shared" si="90"/>
        <v>0</v>
      </c>
      <c r="L303" s="227">
        <f t="shared" si="91"/>
        <v>140253</v>
      </c>
      <c r="M303" s="3">
        <f t="shared" si="92"/>
        <v>0</v>
      </c>
      <c r="N303" s="227">
        <f t="shared" si="93"/>
        <v>0</v>
      </c>
      <c r="O303" s="142">
        <f t="shared" si="94"/>
        <v>1854266</v>
      </c>
      <c r="P303" s="3">
        <f t="shared" si="78"/>
        <v>777540</v>
      </c>
      <c r="Q303" s="3">
        <f t="shared" si="79"/>
        <v>569774</v>
      </c>
      <c r="R303" s="3">
        <f t="shared" si="80"/>
        <v>67513</v>
      </c>
      <c r="S303" s="3">
        <f t="shared" si="81"/>
        <v>140253</v>
      </c>
      <c r="T303" s="3">
        <f t="shared" si="82"/>
        <v>0</v>
      </c>
      <c r="U303" s="3">
        <f>IF($A$5=1,IF($P303=0,0,ROUND(Q303/$P303*$E303,2)),Credits!D302)+Credits!J302</f>
        <v>22618.6</v>
      </c>
      <c r="V303" s="3">
        <f>IF($A$5=1,IF($P303=0,0,ROUND(R303/$P303*$E303,2)),Credits!E302)+Credits!K302</f>
        <v>2682.01</v>
      </c>
      <c r="W303" s="3">
        <f>IF($A$5=1,IF($P303=0,0,ROUND(S303/$P303*$E303,2)),Credits!F302)+Credits!L302</f>
        <v>5406.42</v>
      </c>
      <c r="X303" s="3">
        <f>IF($A$5=1,IF($P303=0,0,ROUND(T303/$P303*$E303,2)),Credits!G302)+Credits!M302</f>
        <v>0</v>
      </c>
      <c r="Y303" s="3">
        <f t="shared" si="83"/>
        <v>30707.03</v>
      </c>
      <c r="AC303" s="4"/>
      <c r="AD303" s="4"/>
      <c r="AE303" s="2">
        <f t="shared" si="84"/>
        <v>0</v>
      </c>
      <c r="AF303" s="170" t="s">
        <v>1120</v>
      </c>
      <c r="AG303" s="175">
        <v>2448</v>
      </c>
      <c r="AH303" s="175">
        <v>1</v>
      </c>
      <c r="AI303" s="175">
        <v>1</v>
      </c>
      <c r="AJ303" s="176">
        <v>1026753</v>
      </c>
      <c r="AK303" s="176">
        <v>0</v>
      </c>
      <c r="AL303" s="176">
        <v>49973</v>
      </c>
      <c r="AM303" s="176">
        <v>0</v>
      </c>
      <c r="AN303" s="177">
        <v>0</v>
      </c>
      <c r="AO303" s="177">
        <v>0</v>
      </c>
      <c r="AP303" s="177">
        <v>569774</v>
      </c>
      <c r="AQ303" s="177">
        <v>0</v>
      </c>
      <c r="AR303" s="177">
        <v>67513</v>
      </c>
      <c r="AS303" s="177">
        <v>0</v>
      </c>
      <c r="AT303" s="178">
        <v>0</v>
      </c>
      <c r="AU303" s="178">
        <v>0</v>
      </c>
      <c r="AV303" s="178">
        <v>140253</v>
      </c>
      <c r="AW303" s="179">
        <v>0</v>
      </c>
      <c r="AX303" s="180">
        <v>0</v>
      </c>
      <c r="AY303" s="180">
        <v>0</v>
      </c>
      <c r="AZ303" s="180">
        <v>0</v>
      </c>
      <c r="BA303" s="180">
        <v>0</v>
      </c>
      <c r="BB303" s="170">
        <f t="shared" si="95"/>
        <v>1854266</v>
      </c>
      <c r="BC303" s="170">
        <v>1854266.76</v>
      </c>
      <c r="BD303" s="2">
        <f t="shared" si="96"/>
        <v>-0.76000000000931323</v>
      </c>
    </row>
    <row r="304" spans="1:56" ht="12" x14ac:dyDescent="0.2">
      <c r="A304" s="4">
        <v>2527</v>
      </c>
      <c r="B304" s="4">
        <v>1</v>
      </c>
      <c r="C304" s="2" t="s">
        <v>1149</v>
      </c>
      <c r="D304" s="3">
        <v>0</v>
      </c>
      <c r="E304" s="3">
        <v>0</v>
      </c>
      <c r="F304" s="227">
        <f t="shared" si="85"/>
        <v>240965.02</v>
      </c>
      <c r="G304" s="227">
        <f t="shared" si="86"/>
        <v>12063.63</v>
      </c>
      <c r="H304" s="227">
        <f t="shared" si="87"/>
        <v>0</v>
      </c>
      <c r="I304" s="227">
        <f t="shared" si="88"/>
        <v>225456.49</v>
      </c>
      <c r="J304" s="227">
        <f t="shared" si="89"/>
        <v>24458.28</v>
      </c>
      <c r="K304" s="227">
        <f t="shared" si="90"/>
        <v>0</v>
      </c>
      <c r="L304" s="227">
        <f t="shared" si="91"/>
        <v>0</v>
      </c>
      <c r="M304" s="3">
        <f t="shared" si="92"/>
        <v>0</v>
      </c>
      <c r="N304" s="227">
        <f t="shared" si="93"/>
        <v>0</v>
      </c>
      <c r="O304" s="142">
        <f t="shared" si="94"/>
        <v>502943.42000000004</v>
      </c>
      <c r="P304" s="3">
        <f t="shared" si="78"/>
        <v>249914.77</v>
      </c>
      <c r="Q304" s="3">
        <f t="shared" si="79"/>
        <v>225456.49</v>
      </c>
      <c r="R304" s="3">
        <f t="shared" si="80"/>
        <v>24458.28</v>
      </c>
      <c r="S304" s="3">
        <f t="shared" si="81"/>
        <v>0</v>
      </c>
      <c r="T304" s="3">
        <f t="shared" si="82"/>
        <v>0</v>
      </c>
      <c r="U304" s="3">
        <f>IF($A$5=1,IF($P304=0,0,ROUND(Q304/$P304*$E304,2)),Credits!D303)+Credits!J303</f>
        <v>3812.6</v>
      </c>
      <c r="V304" s="3">
        <f>IF($A$5=1,IF($P304=0,0,ROUND(R304/$P304*$E304,2)),Credits!E303)+Credits!K303</f>
        <v>413.73</v>
      </c>
      <c r="W304" s="3">
        <f>IF($A$5=1,IF($P304=0,0,ROUND(S304/$P304*$E304,2)),Credits!F303)+Credits!L303</f>
        <v>0</v>
      </c>
      <c r="X304" s="3">
        <f>IF($A$5=1,IF($P304=0,0,ROUND(T304/$P304*$E304,2)),Credits!G303)+Credits!M303</f>
        <v>0</v>
      </c>
      <c r="Y304" s="3">
        <f t="shared" si="83"/>
        <v>4226.33</v>
      </c>
      <c r="AC304" s="4"/>
      <c r="AD304" s="4"/>
      <c r="AE304" s="2">
        <f t="shared" si="84"/>
        <v>0</v>
      </c>
      <c r="AF304" s="170" t="s">
        <v>1120</v>
      </c>
      <c r="AG304" s="175">
        <v>2527</v>
      </c>
      <c r="AH304" s="175">
        <v>1</v>
      </c>
      <c r="AI304" s="175">
        <v>1</v>
      </c>
      <c r="AJ304" s="176">
        <v>240965.02</v>
      </c>
      <c r="AK304" s="176">
        <v>0</v>
      </c>
      <c r="AL304" s="176">
        <v>12063.63</v>
      </c>
      <c r="AM304" s="176">
        <v>0</v>
      </c>
      <c r="AN304" s="177">
        <v>0</v>
      </c>
      <c r="AO304" s="177">
        <v>0</v>
      </c>
      <c r="AP304" s="177">
        <v>225456.49</v>
      </c>
      <c r="AQ304" s="177">
        <v>0</v>
      </c>
      <c r="AR304" s="177">
        <v>24458.28</v>
      </c>
      <c r="AS304" s="177">
        <v>0</v>
      </c>
      <c r="AT304" s="178">
        <v>0</v>
      </c>
      <c r="AU304" s="178">
        <v>0</v>
      </c>
      <c r="AV304" s="178">
        <v>0</v>
      </c>
      <c r="AW304" s="179">
        <v>0</v>
      </c>
      <c r="AX304" s="180">
        <v>0</v>
      </c>
      <c r="AY304" s="180">
        <v>0</v>
      </c>
      <c r="AZ304" s="180">
        <v>0</v>
      </c>
      <c r="BA304" s="180">
        <v>0</v>
      </c>
      <c r="BB304" s="170">
        <f t="shared" si="95"/>
        <v>502943.42000000004</v>
      </c>
      <c r="BC304" s="170">
        <v>502943.42</v>
      </c>
      <c r="BD304" s="2">
        <f t="shared" si="96"/>
        <v>0</v>
      </c>
    </row>
    <row r="305" spans="1:56" ht="12" x14ac:dyDescent="0.2">
      <c r="A305" s="4">
        <v>2534</v>
      </c>
      <c r="B305" s="4">
        <v>1</v>
      </c>
      <c r="C305" s="2" t="s">
        <v>1148</v>
      </c>
      <c r="D305" s="3">
        <v>0</v>
      </c>
      <c r="E305" s="3">
        <v>0</v>
      </c>
      <c r="F305" s="227">
        <f t="shared" si="85"/>
        <v>318795.75</v>
      </c>
      <c r="G305" s="227">
        <f t="shared" si="86"/>
        <v>63378.69</v>
      </c>
      <c r="H305" s="227">
        <f t="shared" si="87"/>
        <v>0</v>
      </c>
      <c r="I305" s="227">
        <f t="shared" si="88"/>
        <v>444550.67</v>
      </c>
      <c r="J305" s="227">
        <f t="shared" si="89"/>
        <v>71494.39</v>
      </c>
      <c r="K305" s="227">
        <f t="shared" si="90"/>
        <v>426187.6</v>
      </c>
      <c r="L305" s="227">
        <f t="shared" si="91"/>
        <v>0</v>
      </c>
      <c r="M305" s="3">
        <f t="shared" si="92"/>
        <v>0</v>
      </c>
      <c r="N305" s="227">
        <f t="shared" si="93"/>
        <v>0</v>
      </c>
      <c r="O305" s="142">
        <f t="shared" si="94"/>
        <v>1324407.1000000001</v>
      </c>
      <c r="P305" s="3">
        <f t="shared" si="78"/>
        <v>942232.65999999992</v>
      </c>
      <c r="Q305" s="3">
        <f t="shared" si="79"/>
        <v>444550.67</v>
      </c>
      <c r="R305" s="3">
        <f t="shared" si="80"/>
        <v>71494.39</v>
      </c>
      <c r="S305" s="3">
        <f t="shared" si="81"/>
        <v>426187.6</v>
      </c>
      <c r="T305" s="3">
        <f t="shared" si="82"/>
        <v>0</v>
      </c>
      <c r="U305" s="3">
        <f>IF($A$5=1,IF($P305=0,0,ROUND(Q305/$P305*$E305,2)),Credits!D304)+Credits!J304</f>
        <v>18582.859999999997</v>
      </c>
      <c r="V305" s="3">
        <f>IF($A$5=1,IF($P305=0,0,ROUND(R305/$P305*$E305,2)),Credits!E304)+Credits!K304</f>
        <v>2993.12</v>
      </c>
      <c r="W305" s="3">
        <f>IF($A$5=1,IF($P305=0,0,ROUND(S305/$P305*$E305,2)),Credits!F304)+Credits!L304</f>
        <v>17785.82</v>
      </c>
      <c r="X305" s="3">
        <f>IF($A$5=1,IF($P305=0,0,ROUND(T305/$P305*$E305,2)),Credits!G304)+Credits!M304</f>
        <v>0</v>
      </c>
      <c r="Y305" s="3">
        <f t="shared" si="83"/>
        <v>39361.799999999996</v>
      </c>
      <c r="AC305" s="4"/>
      <c r="AD305" s="4"/>
      <c r="AE305" s="2">
        <f t="shared" si="84"/>
        <v>0</v>
      </c>
      <c r="AF305" s="170" t="s">
        <v>1120</v>
      </c>
      <c r="AG305" s="175">
        <v>2534</v>
      </c>
      <c r="AH305" s="175">
        <v>1</v>
      </c>
      <c r="AI305" s="175">
        <v>1</v>
      </c>
      <c r="AJ305" s="176">
        <v>318795.75</v>
      </c>
      <c r="AK305" s="176">
        <v>0</v>
      </c>
      <c r="AL305" s="176">
        <v>63378.69</v>
      </c>
      <c r="AM305" s="176">
        <v>0</v>
      </c>
      <c r="AN305" s="177">
        <v>0</v>
      </c>
      <c r="AO305" s="177">
        <v>0</v>
      </c>
      <c r="AP305" s="177">
        <v>444550.67</v>
      </c>
      <c r="AQ305" s="177">
        <v>0</v>
      </c>
      <c r="AR305" s="177">
        <v>71494.39</v>
      </c>
      <c r="AS305" s="177">
        <v>0</v>
      </c>
      <c r="AT305" s="178">
        <v>426187.6</v>
      </c>
      <c r="AU305" s="178">
        <v>0</v>
      </c>
      <c r="AV305" s="178">
        <v>0</v>
      </c>
      <c r="AW305" s="179">
        <v>0</v>
      </c>
      <c r="AX305" s="180">
        <v>0</v>
      </c>
      <c r="AY305" s="180">
        <v>0</v>
      </c>
      <c r="AZ305" s="180">
        <v>0</v>
      </c>
      <c r="BA305" s="180">
        <v>0</v>
      </c>
      <c r="BB305" s="170">
        <f t="shared" si="95"/>
        <v>1324407.1000000001</v>
      </c>
      <c r="BC305" s="170">
        <v>1324407.1000000001</v>
      </c>
      <c r="BD305" s="2">
        <f t="shared" si="96"/>
        <v>0</v>
      </c>
    </row>
    <row r="306" spans="1:56" ht="12" x14ac:dyDescent="0.2">
      <c r="A306" s="4">
        <v>2536</v>
      </c>
      <c r="B306" s="4">
        <v>1</v>
      </c>
      <c r="C306" s="2" t="s">
        <v>1146</v>
      </c>
      <c r="D306" s="3">
        <v>0</v>
      </c>
      <c r="E306" s="3">
        <v>0</v>
      </c>
      <c r="F306" s="227">
        <f t="shared" si="85"/>
        <v>524871</v>
      </c>
      <c r="G306" s="227">
        <f t="shared" si="86"/>
        <v>9774</v>
      </c>
      <c r="H306" s="227">
        <f t="shared" si="87"/>
        <v>0</v>
      </c>
      <c r="I306" s="227">
        <f t="shared" si="88"/>
        <v>161902</v>
      </c>
      <c r="J306" s="227">
        <f t="shared" si="89"/>
        <v>36009</v>
      </c>
      <c r="K306" s="227">
        <f t="shared" si="90"/>
        <v>0</v>
      </c>
      <c r="L306" s="227">
        <f t="shared" si="91"/>
        <v>195923</v>
      </c>
      <c r="M306" s="3">
        <f t="shared" si="92"/>
        <v>0</v>
      </c>
      <c r="N306" s="227">
        <f t="shared" si="93"/>
        <v>0</v>
      </c>
      <c r="O306" s="142">
        <f t="shared" si="94"/>
        <v>928479</v>
      </c>
      <c r="P306" s="3">
        <f t="shared" si="78"/>
        <v>393834</v>
      </c>
      <c r="Q306" s="3">
        <f t="shared" si="79"/>
        <v>161902</v>
      </c>
      <c r="R306" s="3">
        <f t="shared" si="80"/>
        <v>36009</v>
      </c>
      <c r="S306" s="3">
        <f t="shared" si="81"/>
        <v>195923</v>
      </c>
      <c r="T306" s="3">
        <f t="shared" si="82"/>
        <v>0</v>
      </c>
      <c r="U306" s="3">
        <f>IF($A$5=1,IF($P306=0,0,ROUND(Q306/$P306*$E306,2)),Credits!D305)+Credits!J305</f>
        <v>3199.01</v>
      </c>
      <c r="V306" s="3">
        <f>IF($A$5=1,IF($P306=0,0,ROUND(R306/$P306*$E306,2)),Credits!E305)+Credits!K305</f>
        <v>711.85000000000014</v>
      </c>
      <c r="W306" s="3">
        <f>IF($A$5=1,IF($P306=0,0,ROUND(S306/$P306*$E306,2)),Credits!F305)+Credits!L305</f>
        <v>3872.94</v>
      </c>
      <c r="X306" s="3">
        <f>IF($A$5=1,IF($P306=0,0,ROUND(T306/$P306*$E306,2)),Credits!G305)+Credits!M305</f>
        <v>0</v>
      </c>
      <c r="Y306" s="3">
        <f t="shared" si="83"/>
        <v>7783.8000000000011</v>
      </c>
      <c r="AC306" s="4"/>
      <c r="AD306" s="4"/>
      <c r="AE306" s="2">
        <f t="shared" si="84"/>
        <v>0</v>
      </c>
      <c r="AF306" s="170" t="s">
        <v>1120</v>
      </c>
      <c r="AG306" s="175">
        <v>2536</v>
      </c>
      <c r="AH306" s="175">
        <v>1</v>
      </c>
      <c r="AI306" s="175">
        <v>1</v>
      </c>
      <c r="AJ306" s="176">
        <v>524871</v>
      </c>
      <c r="AK306" s="176">
        <v>0</v>
      </c>
      <c r="AL306" s="176">
        <v>9774</v>
      </c>
      <c r="AM306" s="176">
        <v>0</v>
      </c>
      <c r="AN306" s="177">
        <v>0</v>
      </c>
      <c r="AO306" s="177">
        <v>0</v>
      </c>
      <c r="AP306" s="177">
        <v>161902</v>
      </c>
      <c r="AQ306" s="177">
        <v>0</v>
      </c>
      <c r="AR306" s="177">
        <v>36009</v>
      </c>
      <c r="AS306" s="177">
        <v>0</v>
      </c>
      <c r="AT306" s="178">
        <v>0</v>
      </c>
      <c r="AU306" s="178">
        <v>0</v>
      </c>
      <c r="AV306" s="178">
        <v>195923</v>
      </c>
      <c r="AW306" s="179">
        <v>0</v>
      </c>
      <c r="AX306" s="180">
        <v>0</v>
      </c>
      <c r="AY306" s="180">
        <v>0</v>
      </c>
      <c r="AZ306" s="180">
        <v>0</v>
      </c>
      <c r="BA306" s="180">
        <v>0</v>
      </c>
      <c r="BB306" s="170">
        <f t="shared" si="95"/>
        <v>928479</v>
      </c>
      <c r="BC306" s="170">
        <v>928479.66</v>
      </c>
      <c r="BD306" s="2">
        <f t="shared" si="96"/>
        <v>-0.66000000003259629</v>
      </c>
    </row>
    <row r="307" spans="1:56" ht="12" x14ac:dyDescent="0.2">
      <c r="A307" s="4">
        <v>2580</v>
      </c>
      <c r="B307" s="4">
        <v>1</v>
      </c>
      <c r="C307" s="2" t="s">
        <v>1147</v>
      </c>
      <c r="D307" s="3">
        <v>0</v>
      </c>
      <c r="E307" s="3">
        <v>0</v>
      </c>
      <c r="F307" s="227">
        <f t="shared" si="85"/>
        <v>0</v>
      </c>
      <c r="G307" s="227">
        <f t="shared" si="86"/>
        <v>147041.12</v>
      </c>
      <c r="H307" s="227">
        <f t="shared" si="87"/>
        <v>0</v>
      </c>
      <c r="I307" s="227">
        <f t="shared" si="88"/>
        <v>278858.21999999997</v>
      </c>
      <c r="J307" s="227">
        <f t="shared" si="89"/>
        <v>58922.81</v>
      </c>
      <c r="K307" s="227">
        <f t="shared" si="90"/>
        <v>1274360.95</v>
      </c>
      <c r="L307" s="227">
        <f t="shared" si="91"/>
        <v>0</v>
      </c>
      <c r="M307" s="3">
        <f t="shared" si="92"/>
        <v>0</v>
      </c>
      <c r="N307" s="227">
        <f t="shared" si="93"/>
        <v>0</v>
      </c>
      <c r="O307" s="142">
        <f t="shared" si="94"/>
        <v>1759183.0999999999</v>
      </c>
      <c r="P307" s="3">
        <f t="shared" si="78"/>
        <v>1612141.98</v>
      </c>
      <c r="Q307" s="3">
        <f t="shared" si="79"/>
        <v>278858.21999999997</v>
      </c>
      <c r="R307" s="3">
        <f t="shared" si="80"/>
        <v>58922.81</v>
      </c>
      <c r="S307" s="3">
        <f t="shared" si="81"/>
        <v>1274360.95</v>
      </c>
      <c r="T307" s="3">
        <f t="shared" si="82"/>
        <v>0</v>
      </c>
      <c r="U307" s="3">
        <f>IF($A$5=1,IF($P307=0,0,ROUND(Q307/$P307*$E307,2)),Credits!D306)+Credits!J306</f>
        <v>4817.8099999999995</v>
      </c>
      <c r="V307" s="3">
        <f>IF($A$5=1,IF($P307=0,0,ROUND(R307/$P307*$E307,2)),Credits!E306)+Credits!K306</f>
        <v>1017.6699999999998</v>
      </c>
      <c r="W307" s="3">
        <f>IF($A$5=1,IF($P307=0,0,ROUND(S307/$P307*$E307,2)),Credits!F306)+Credits!L306</f>
        <v>22017.570000000003</v>
      </c>
      <c r="X307" s="3">
        <f>IF($A$5=1,IF($P307=0,0,ROUND(T307/$P307*$E307,2)),Credits!G306)+Credits!M306</f>
        <v>0</v>
      </c>
      <c r="Y307" s="3">
        <f t="shared" si="83"/>
        <v>27853.050000000003</v>
      </c>
      <c r="AC307" s="4"/>
      <c r="AD307" s="4"/>
      <c r="AE307" s="2">
        <f t="shared" si="84"/>
        <v>0</v>
      </c>
      <c r="AF307" s="170" t="s">
        <v>1120</v>
      </c>
      <c r="AG307" s="175">
        <v>2580</v>
      </c>
      <c r="AH307" s="175">
        <v>1</v>
      </c>
      <c r="AI307" s="175">
        <v>1</v>
      </c>
      <c r="AJ307" s="176">
        <v>0</v>
      </c>
      <c r="AK307" s="176">
        <v>0</v>
      </c>
      <c r="AL307" s="176">
        <v>147041.12</v>
      </c>
      <c r="AM307" s="176">
        <v>0</v>
      </c>
      <c r="AN307" s="177">
        <v>0</v>
      </c>
      <c r="AO307" s="177">
        <v>0</v>
      </c>
      <c r="AP307" s="177">
        <v>278858.21999999997</v>
      </c>
      <c r="AQ307" s="177">
        <v>0</v>
      </c>
      <c r="AR307" s="177">
        <v>58922.81</v>
      </c>
      <c r="AS307" s="177">
        <v>0</v>
      </c>
      <c r="AT307" s="178">
        <v>1274360.95</v>
      </c>
      <c r="AU307" s="178">
        <v>0</v>
      </c>
      <c r="AV307" s="178">
        <v>0</v>
      </c>
      <c r="AW307" s="179">
        <v>0</v>
      </c>
      <c r="AX307" s="180">
        <v>0</v>
      </c>
      <c r="AY307" s="180">
        <v>0</v>
      </c>
      <c r="AZ307" s="180">
        <v>0</v>
      </c>
      <c r="BA307" s="180">
        <v>0</v>
      </c>
      <c r="BB307" s="170">
        <f t="shared" si="95"/>
        <v>1759183.0999999999</v>
      </c>
      <c r="BC307" s="170">
        <v>1759183.1</v>
      </c>
      <c r="BD307" s="2">
        <f t="shared" si="96"/>
        <v>0</v>
      </c>
    </row>
    <row r="308" spans="1:56" ht="12" x14ac:dyDescent="0.2">
      <c r="A308" s="4">
        <v>2609</v>
      </c>
      <c r="B308" s="4">
        <v>1</v>
      </c>
      <c r="C308" s="2" t="s">
        <v>310</v>
      </c>
      <c r="D308" s="3">
        <v>0</v>
      </c>
      <c r="E308" s="3">
        <v>0</v>
      </c>
      <c r="F308" s="227">
        <f t="shared" si="85"/>
        <v>334288.49</v>
      </c>
      <c r="G308" s="227">
        <f t="shared" si="86"/>
        <v>27208.51</v>
      </c>
      <c r="H308" s="227">
        <f t="shared" si="87"/>
        <v>0</v>
      </c>
      <c r="I308" s="227">
        <f t="shared" si="88"/>
        <v>155787.76</v>
      </c>
      <c r="J308" s="227">
        <f t="shared" si="89"/>
        <v>36079.410000000003</v>
      </c>
      <c r="K308" s="227">
        <f t="shared" si="90"/>
        <v>680403.58</v>
      </c>
      <c r="L308" s="227">
        <f t="shared" si="91"/>
        <v>48392</v>
      </c>
      <c r="M308" s="3">
        <f t="shared" si="92"/>
        <v>0</v>
      </c>
      <c r="N308" s="227">
        <f t="shared" si="93"/>
        <v>0</v>
      </c>
      <c r="O308" s="142">
        <f t="shared" si="94"/>
        <v>1282159.75</v>
      </c>
      <c r="P308" s="3">
        <f t="shared" si="78"/>
        <v>920662.75</v>
      </c>
      <c r="Q308" s="3">
        <f t="shared" si="79"/>
        <v>155787.76</v>
      </c>
      <c r="R308" s="3">
        <f t="shared" si="80"/>
        <v>36079.410000000003</v>
      </c>
      <c r="S308" s="3">
        <f t="shared" si="81"/>
        <v>728795.58</v>
      </c>
      <c r="T308" s="3">
        <f t="shared" si="82"/>
        <v>0</v>
      </c>
      <c r="U308" s="3">
        <f>IF($A$5=1,IF($P308=0,0,ROUND(Q308/$P308*$E308,2)),Credits!D307)+Credits!J307</f>
        <v>4090.1800000000007</v>
      </c>
      <c r="V308" s="3">
        <f>IF($A$5=1,IF($P308=0,0,ROUND(R308/$P308*$E308,2)),Credits!E307)+Credits!K307</f>
        <v>947.38999999999987</v>
      </c>
      <c r="W308" s="3">
        <f>IF($A$5=1,IF($P308=0,0,ROUND(S308/$P308*$E308,2)),Credits!F307)+Credits!L307</f>
        <v>21908.46</v>
      </c>
      <c r="X308" s="3">
        <f>IF($A$5=1,IF($P308=0,0,ROUND(T308/$P308*$E308,2)),Credits!G307)+Credits!M307</f>
        <v>0</v>
      </c>
      <c r="Y308" s="3">
        <f t="shared" si="83"/>
        <v>26946.03</v>
      </c>
      <c r="AC308" s="4"/>
      <c r="AD308" s="4"/>
      <c r="AE308" s="2">
        <f t="shared" si="84"/>
        <v>0</v>
      </c>
      <c r="AF308" s="170" t="s">
        <v>1120</v>
      </c>
      <c r="AG308" s="175">
        <v>2609</v>
      </c>
      <c r="AH308" s="175">
        <v>1</v>
      </c>
      <c r="AI308" s="175">
        <v>1</v>
      </c>
      <c r="AJ308" s="176">
        <v>334288.49</v>
      </c>
      <c r="AK308" s="176">
        <v>0</v>
      </c>
      <c r="AL308" s="176">
        <v>27208.51</v>
      </c>
      <c r="AM308" s="176">
        <v>0</v>
      </c>
      <c r="AN308" s="177">
        <v>0</v>
      </c>
      <c r="AO308" s="177">
        <v>0</v>
      </c>
      <c r="AP308" s="177">
        <v>155787.76</v>
      </c>
      <c r="AQ308" s="177">
        <v>0</v>
      </c>
      <c r="AR308" s="177">
        <v>36079.410000000003</v>
      </c>
      <c r="AS308" s="177">
        <v>0</v>
      </c>
      <c r="AT308" s="178">
        <v>680403.58</v>
      </c>
      <c r="AU308" s="178">
        <v>0</v>
      </c>
      <c r="AV308" s="178">
        <v>48392</v>
      </c>
      <c r="AW308" s="179">
        <v>0</v>
      </c>
      <c r="AX308" s="180">
        <v>0</v>
      </c>
      <c r="AY308" s="180">
        <v>0</v>
      </c>
      <c r="AZ308" s="180">
        <v>0</v>
      </c>
      <c r="BA308" s="180">
        <v>0</v>
      </c>
      <c r="BB308" s="170">
        <f t="shared" si="95"/>
        <v>1282159.75</v>
      </c>
      <c r="BC308" s="170">
        <v>1282159.75</v>
      </c>
      <c r="BD308" s="2">
        <f t="shared" si="96"/>
        <v>0</v>
      </c>
    </row>
    <row r="309" spans="1:56" ht="12" x14ac:dyDescent="0.2">
      <c r="A309" s="4">
        <v>2683</v>
      </c>
      <c r="B309" s="4">
        <v>1</v>
      </c>
      <c r="C309" s="2" t="s">
        <v>1145</v>
      </c>
      <c r="D309" s="3">
        <v>0</v>
      </c>
      <c r="E309" s="3">
        <v>0</v>
      </c>
      <c r="F309" s="227">
        <f t="shared" si="85"/>
        <v>223939</v>
      </c>
      <c r="G309" s="227">
        <f t="shared" si="86"/>
        <v>12871</v>
      </c>
      <c r="H309" s="227">
        <f t="shared" si="87"/>
        <v>0</v>
      </c>
      <c r="I309" s="227">
        <f t="shared" si="88"/>
        <v>116982</v>
      </c>
      <c r="J309" s="227">
        <f t="shared" si="89"/>
        <v>31419</v>
      </c>
      <c r="K309" s="227">
        <f t="shared" si="90"/>
        <v>0</v>
      </c>
      <c r="L309" s="227">
        <f t="shared" si="91"/>
        <v>65298</v>
      </c>
      <c r="M309" s="3">
        <f t="shared" si="92"/>
        <v>0</v>
      </c>
      <c r="N309" s="227">
        <f t="shared" si="93"/>
        <v>0</v>
      </c>
      <c r="O309" s="142">
        <f t="shared" si="94"/>
        <v>450509</v>
      </c>
      <c r="P309" s="3">
        <f t="shared" si="78"/>
        <v>213699</v>
      </c>
      <c r="Q309" s="3">
        <f t="shared" si="79"/>
        <v>116982</v>
      </c>
      <c r="R309" s="3">
        <f t="shared" si="80"/>
        <v>31419</v>
      </c>
      <c r="S309" s="3">
        <f t="shared" si="81"/>
        <v>65298</v>
      </c>
      <c r="T309" s="3">
        <f t="shared" si="82"/>
        <v>0</v>
      </c>
      <c r="U309" s="3">
        <f>IF($A$5=1,IF($P309=0,0,ROUND(Q309/$P309*$E309,2)),Credits!D308)+Credits!J308</f>
        <v>6079.5300000000007</v>
      </c>
      <c r="V309" s="3">
        <f>IF($A$5=1,IF($P309=0,0,ROUND(R309/$P309*$E309,2)),Credits!E308)+Credits!K308</f>
        <v>1632.5</v>
      </c>
      <c r="W309" s="3">
        <f>IF($A$5=1,IF($P309=0,0,ROUND(S309/$P309*$E309,2)),Credits!F308)+Credits!L308</f>
        <v>3347.9400000000005</v>
      </c>
      <c r="X309" s="3">
        <f>IF($A$5=1,IF($P309=0,0,ROUND(T309/$P309*$E309,2)),Credits!G308)+Credits!M308</f>
        <v>0</v>
      </c>
      <c r="Y309" s="3">
        <f t="shared" si="83"/>
        <v>11059.970000000001</v>
      </c>
      <c r="AC309" s="4"/>
      <c r="AD309" s="4"/>
      <c r="AE309" s="2">
        <f t="shared" si="84"/>
        <v>0</v>
      </c>
      <c r="AF309" s="170" t="s">
        <v>1120</v>
      </c>
      <c r="AG309" s="175">
        <v>2683</v>
      </c>
      <c r="AH309" s="175">
        <v>1</v>
      </c>
      <c r="AI309" s="175">
        <v>1</v>
      </c>
      <c r="AJ309" s="176">
        <v>223939</v>
      </c>
      <c r="AK309" s="176">
        <v>0</v>
      </c>
      <c r="AL309" s="176">
        <v>12871</v>
      </c>
      <c r="AM309" s="176">
        <v>0</v>
      </c>
      <c r="AN309" s="177">
        <v>0</v>
      </c>
      <c r="AO309" s="177">
        <v>0</v>
      </c>
      <c r="AP309" s="177">
        <v>116982</v>
      </c>
      <c r="AQ309" s="177">
        <v>0</v>
      </c>
      <c r="AR309" s="177">
        <v>31419</v>
      </c>
      <c r="AS309" s="177">
        <v>0</v>
      </c>
      <c r="AT309" s="178">
        <v>0</v>
      </c>
      <c r="AU309" s="178">
        <v>0</v>
      </c>
      <c r="AV309" s="178">
        <v>65298</v>
      </c>
      <c r="AW309" s="179">
        <v>0</v>
      </c>
      <c r="AX309" s="180">
        <v>0</v>
      </c>
      <c r="AY309" s="180">
        <v>0</v>
      </c>
      <c r="AZ309" s="180">
        <v>0</v>
      </c>
      <c r="BA309" s="180">
        <v>0</v>
      </c>
      <c r="BB309" s="170">
        <f t="shared" si="95"/>
        <v>450509</v>
      </c>
      <c r="BC309" s="170">
        <v>450509.59</v>
      </c>
      <c r="BD309" s="2">
        <f t="shared" si="96"/>
        <v>-0.59000000002561137</v>
      </c>
    </row>
    <row r="310" spans="1:56" ht="12" x14ac:dyDescent="0.2">
      <c r="A310" s="4">
        <v>2687</v>
      </c>
      <c r="B310" s="4">
        <v>1</v>
      </c>
      <c r="C310" s="2" t="s">
        <v>1144</v>
      </c>
      <c r="D310" s="3">
        <v>0</v>
      </c>
      <c r="E310" s="3">
        <v>0</v>
      </c>
      <c r="F310" s="227">
        <f t="shared" si="85"/>
        <v>261893.94</v>
      </c>
      <c r="G310" s="227">
        <f t="shared" si="86"/>
        <v>511190.28</v>
      </c>
      <c r="H310" s="227">
        <f t="shared" si="87"/>
        <v>0</v>
      </c>
      <c r="I310" s="227">
        <f t="shared" si="88"/>
        <v>493535.02</v>
      </c>
      <c r="J310" s="227">
        <f t="shared" si="89"/>
        <v>116202.03</v>
      </c>
      <c r="K310" s="227">
        <f t="shared" si="90"/>
        <v>3204783.87</v>
      </c>
      <c r="L310" s="227">
        <f t="shared" si="91"/>
        <v>0</v>
      </c>
      <c r="M310" s="3">
        <f t="shared" si="92"/>
        <v>0</v>
      </c>
      <c r="N310" s="227">
        <f t="shared" si="93"/>
        <v>0</v>
      </c>
      <c r="O310" s="142">
        <f t="shared" si="94"/>
        <v>4587605.1400000006</v>
      </c>
      <c r="P310" s="3">
        <f t="shared" si="78"/>
        <v>3814520.92</v>
      </c>
      <c r="Q310" s="3">
        <f t="shared" si="79"/>
        <v>493535.02</v>
      </c>
      <c r="R310" s="3">
        <f t="shared" si="80"/>
        <v>116202.03</v>
      </c>
      <c r="S310" s="3">
        <f t="shared" si="81"/>
        <v>3204783.87</v>
      </c>
      <c r="T310" s="3">
        <f t="shared" si="82"/>
        <v>0</v>
      </c>
      <c r="U310" s="3">
        <f>IF($A$5=1,IF($P310=0,0,ROUND(Q310/$P310*$E310,2)),Credits!D309)+Credits!J309</f>
        <v>6502.54</v>
      </c>
      <c r="V310" s="3">
        <f>IF($A$5=1,IF($P310=0,0,ROUND(R310/$P310*$E310,2)),Credits!E309)+Credits!K309</f>
        <v>1530.69</v>
      </c>
      <c r="W310" s="3">
        <f>IF($A$5=1,IF($P310=0,0,ROUND(S310/$P310*$E310,2)),Credits!F309)+Credits!L309</f>
        <v>41687.219999999994</v>
      </c>
      <c r="X310" s="3">
        <f>IF($A$5=1,IF($P310=0,0,ROUND(T310/$P310*$E310,2)),Credits!G309)+Credits!M309</f>
        <v>0</v>
      </c>
      <c r="Y310" s="3">
        <f t="shared" si="83"/>
        <v>49720.45</v>
      </c>
      <c r="AC310" s="4"/>
      <c r="AD310" s="4"/>
      <c r="AE310" s="2">
        <f t="shared" si="84"/>
        <v>0</v>
      </c>
      <c r="AF310" s="170" t="s">
        <v>1120</v>
      </c>
      <c r="AG310" s="175">
        <v>2687</v>
      </c>
      <c r="AH310" s="175">
        <v>1</v>
      </c>
      <c r="AI310" s="175">
        <v>1</v>
      </c>
      <c r="AJ310" s="176">
        <v>261893.94</v>
      </c>
      <c r="AK310" s="176">
        <v>0</v>
      </c>
      <c r="AL310" s="176">
        <v>511190.28</v>
      </c>
      <c r="AM310" s="176">
        <v>0</v>
      </c>
      <c r="AN310" s="177">
        <v>0</v>
      </c>
      <c r="AO310" s="177">
        <v>0</v>
      </c>
      <c r="AP310" s="177">
        <v>493535.02</v>
      </c>
      <c r="AQ310" s="177">
        <v>0</v>
      </c>
      <c r="AR310" s="177">
        <v>116202.03</v>
      </c>
      <c r="AS310" s="177">
        <v>0</v>
      </c>
      <c r="AT310" s="178">
        <v>3204783.87</v>
      </c>
      <c r="AU310" s="178">
        <v>0</v>
      </c>
      <c r="AV310" s="178">
        <v>0</v>
      </c>
      <c r="AW310" s="179">
        <v>0</v>
      </c>
      <c r="AX310" s="180">
        <v>0</v>
      </c>
      <c r="AY310" s="180">
        <v>0</v>
      </c>
      <c r="AZ310" s="180">
        <v>0</v>
      </c>
      <c r="BA310" s="180">
        <v>0</v>
      </c>
      <c r="BB310" s="170">
        <f t="shared" si="95"/>
        <v>4587605.1400000006</v>
      </c>
      <c r="BC310" s="170">
        <v>4587605.1399999997</v>
      </c>
      <c r="BD310" s="2">
        <f t="shared" si="96"/>
        <v>0</v>
      </c>
    </row>
    <row r="311" spans="1:56" ht="12" x14ac:dyDescent="0.2">
      <c r="A311" s="4">
        <v>2689</v>
      </c>
      <c r="B311" s="4">
        <v>1</v>
      </c>
      <c r="C311" s="2" t="s">
        <v>1143</v>
      </c>
      <c r="D311" s="3">
        <v>0</v>
      </c>
      <c r="E311" s="3">
        <v>0</v>
      </c>
      <c r="F311" s="227">
        <f t="shared" si="85"/>
        <v>716721.92</v>
      </c>
      <c r="G311" s="227">
        <f t="shared" si="86"/>
        <v>163231.37</v>
      </c>
      <c r="H311" s="227">
        <f t="shared" si="87"/>
        <v>0</v>
      </c>
      <c r="I311" s="227">
        <f t="shared" si="88"/>
        <v>467485.77</v>
      </c>
      <c r="J311" s="227">
        <f t="shared" si="89"/>
        <v>91753.67</v>
      </c>
      <c r="K311" s="227">
        <f t="shared" si="90"/>
        <v>1505616.9</v>
      </c>
      <c r="L311" s="227">
        <f t="shared" si="91"/>
        <v>0</v>
      </c>
      <c r="M311" s="3">
        <f t="shared" si="92"/>
        <v>0</v>
      </c>
      <c r="N311" s="227">
        <f t="shared" si="93"/>
        <v>0</v>
      </c>
      <c r="O311" s="142">
        <f t="shared" si="94"/>
        <v>2944809.63</v>
      </c>
      <c r="P311" s="3">
        <f t="shared" si="78"/>
        <v>2064856.3399999999</v>
      </c>
      <c r="Q311" s="3">
        <f t="shared" si="79"/>
        <v>467485.77</v>
      </c>
      <c r="R311" s="3">
        <f t="shared" si="80"/>
        <v>91753.67</v>
      </c>
      <c r="S311" s="3">
        <f t="shared" si="81"/>
        <v>1505616.9</v>
      </c>
      <c r="T311" s="3">
        <f t="shared" si="82"/>
        <v>0</v>
      </c>
      <c r="U311" s="3">
        <f>IF($A$5=1,IF($P311=0,0,ROUND(Q311/$P311*$E311,2)),Credits!D310)+Credits!J310</f>
        <v>21102.46</v>
      </c>
      <c r="V311" s="3">
        <f>IF($A$5=1,IF($P311=0,0,ROUND(R311/$P311*$E311,2)),Credits!E310)+Credits!K310</f>
        <v>4144.4400000000005</v>
      </c>
      <c r="W311" s="3">
        <f>IF($A$5=1,IF($P311=0,0,ROUND(S311/$P311*$E311,2)),Credits!F310)+Credits!L310</f>
        <v>67172.399999999994</v>
      </c>
      <c r="X311" s="3">
        <f>IF($A$5=1,IF($P311=0,0,ROUND(T311/$P311*$E311,2)),Credits!G310)+Credits!M310</f>
        <v>0</v>
      </c>
      <c r="Y311" s="3">
        <f t="shared" si="83"/>
        <v>92419.299999999988</v>
      </c>
      <c r="AC311" s="4"/>
      <c r="AD311" s="4"/>
      <c r="AE311" s="2">
        <f t="shared" si="84"/>
        <v>0</v>
      </c>
      <c r="AF311" s="170" t="s">
        <v>1120</v>
      </c>
      <c r="AG311" s="175">
        <v>2689</v>
      </c>
      <c r="AH311" s="175">
        <v>1</v>
      </c>
      <c r="AI311" s="175">
        <v>1</v>
      </c>
      <c r="AJ311" s="176">
        <v>716721.92</v>
      </c>
      <c r="AK311" s="176">
        <v>0</v>
      </c>
      <c r="AL311" s="176">
        <v>163231.37</v>
      </c>
      <c r="AM311" s="176">
        <v>0</v>
      </c>
      <c r="AN311" s="177">
        <v>0</v>
      </c>
      <c r="AO311" s="177">
        <v>0</v>
      </c>
      <c r="AP311" s="177">
        <v>467485.77</v>
      </c>
      <c r="AQ311" s="177">
        <v>0</v>
      </c>
      <c r="AR311" s="177">
        <v>91753.67</v>
      </c>
      <c r="AS311" s="177">
        <v>0</v>
      </c>
      <c r="AT311" s="178">
        <v>1505616.9</v>
      </c>
      <c r="AU311" s="178">
        <v>0</v>
      </c>
      <c r="AV311" s="178">
        <v>0</v>
      </c>
      <c r="AW311" s="179">
        <v>0</v>
      </c>
      <c r="AX311" s="180">
        <v>0</v>
      </c>
      <c r="AY311" s="180">
        <v>0</v>
      </c>
      <c r="AZ311" s="180">
        <v>0</v>
      </c>
      <c r="BA311" s="180">
        <v>0</v>
      </c>
      <c r="BB311" s="170">
        <f t="shared" si="95"/>
        <v>2944809.63</v>
      </c>
      <c r="BC311" s="170">
        <v>2944809.63</v>
      </c>
      <c r="BD311" s="2">
        <f t="shared" si="96"/>
        <v>0</v>
      </c>
    </row>
    <row r="312" spans="1:56" ht="12" x14ac:dyDescent="0.2">
      <c r="A312" s="4">
        <v>2711</v>
      </c>
      <c r="B312" s="4">
        <v>1</v>
      </c>
      <c r="C312" s="2" t="s">
        <v>314</v>
      </c>
      <c r="D312" s="3">
        <v>0</v>
      </c>
      <c r="E312" s="3">
        <v>0</v>
      </c>
      <c r="F312" s="227">
        <f t="shared" si="85"/>
        <v>0</v>
      </c>
      <c r="G312" s="227">
        <f t="shared" si="86"/>
        <v>221760.56</v>
      </c>
      <c r="H312" s="227">
        <f t="shared" si="87"/>
        <v>0</v>
      </c>
      <c r="I312" s="227">
        <f t="shared" si="88"/>
        <v>0</v>
      </c>
      <c r="J312" s="227">
        <f t="shared" si="89"/>
        <v>0</v>
      </c>
      <c r="K312" s="227">
        <f t="shared" si="90"/>
        <v>625804.21</v>
      </c>
      <c r="L312" s="227">
        <f t="shared" si="91"/>
        <v>0</v>
      </c>
      <c r="M312" s="3">
        <f t="shared" si="92"/>
        <v>0</v>
      </c>
      <c r="N312" s="227">
        <f t="shared" si="93"/>
        <v>1258511.48</v>
      </c>
      <c r="O312" s="142">
        <f t="shared" si="94"/>
        <v>2106076.25</v>
      </c>
      <c r="P312" s="3">
        <f t="shared" si="78"/>
        <v>1884315.69</v>
      </c>
      <c r="Q312" s="3">
        <f t="shared" si="79"/>
        <v>0</v>
      </c>
      <c r="R312" s="3">
        <f t="shared" si="80"/>
        <v>0</v>
      </c>
      <c r="S312" s="3">
        <f t="shared" si="81"/>
        <v>625804.21</v>
      </c>
      <c r="T312" s="3">
        <f t="shared" si="82"/>
        <v>1258511.48</v>
      </c>
      <c r="U312" s="3">
        <f>IF($A$5=1,IF($P312=0,0,ROUND(Q312/$P312*$E312,2)),Credits!D311)+Credits!J311</f>
        <v>50.95</v>
      </c>
      <c r="V312" s="3">
        <f>IF($A$5=1,IF($P312=0,0,ROUND(R312/$P312*$E312,2)),Credits!E311)+Credits!K311</f>
        <v>0</v>
      </c>
      <c r="W312" s="3">
        <f>IF($A$5=1,IF($P312=0,0,ROUND(S312/$P312*$E312,2)),Credits!F311)+Credits!L311</f>
        <v>120148.59</v>
      </c>
      <c r="X312" s="3">
        <f>IF($A$5=1,IF($P312=0,0,ROUND(T312/$P312*$E312,2)),Credits!G311)+Credits!M311</f>
        <v>241628.92000000004</v>
      </c>
      <c r="Y312" s="3">
        <f t="shared" si="83"/>
        <v>361828.46</v>
      </c>
      <c r="AC312" s="4"/>
      <c r="AD312" s="4"/>
      <c r="AE312" s="2">
        <f t="shared" si="84"/>
        <v>0</v>
      </c>
      <c r="AF312" s="170" t="s">
        <v>1120</v>
      </c>
      <c r="AG312" s="175">
        <v>2711</v>
      </c>
      <c r="AH312" s="175">
        <v>1</v>
      </c>
      <c r="AI312" s="175">
        <v>1</v>
      </c>
      <c r="AJ312" s="176">
        <v>0</v>
      </c>
      <c r="AK312" s="176">
        <v>0</v>
      </c>
      <c r="AL312" s="176">
        <v>221760.56</v>
      </c>
      <c r="AM312" s="176">
        <v>0</v>
      </c>
      <c r="AN312" s="177">
        <v>0</v>
      </c>
      <c r="AO312" s="177">
        <v>0</v>
      </c>
      <c r="AP312" s="177">
        <v>0</v>
      </c>
      <c r="AQ312" s="177">
        <v>0</v>
      </c>
      <c r="AR312" s="177">
        <v>0</v>
      </c>
      <c r="AS312" s="177">
        <v>0</v>
      </c>
      <c r="AT312" s="178">
        <v>625804.21</v>
      </c>
      <c r="AU312" s="178">
        <v>0</v>
      </c>
      <c r="AV312" s="178">
        <v>0</v>
      </c>
      <c r="AW312" s="179">
        <v>0</v>
      </c>
      <c r="AX312" s="180">
        <v>0</v>
      </c>
      <c r="AY312" s="180">
        <v>0</v>
      </c>
      <c r="AZ312" s="180">
        <v>1258511.48</v>
      </c>
      <c r="BA312" s="180">
        <v>0</v>
      </c>
      <c r="BB312" s="170">
        <f t="shared" si="95"/>
        <v>2106076.25</v>
      </c>
      <c r="BC312" s="170">
        <v>2106076.25</v>
      </c>
      <c r="BD312" s="2">
        <f t="shared" si="96"/>
        <v>0</v>
      </c>
    </row>
    <row r="313" spans="1:56" ht="12" x14ac:dyDescent="0.2">
      <c r="A313" s="4">
        <v>2752</v>
      </c>
      <c r="B313" s="4">
        <v>1</v>
      </c>
      <c r="C313" s="2" t="s">
        <v>1142</v>
      </c>
      <c r="D313" s="3">
        <v>0</v>
      </c>
      <c r="E313" s="3">
        <v>0</v>
      </c>
      <c r="F313" s="227">
        <f t="shared" si="85"/>
        <v>1329874</v>
      </c>
      <c r="G313" s="227">
        <f t="shared" si="86"/>
        <v>208951</v>
      </c>
      <c r="H313" s="227">
        <f t="shared" si="87"/>
        <v>0</v>
      </c>
      <c r="I313" s="227">
        <f t="shared" si="88"/>
        <v>1209547</v>
      </c>
      <c r="J313" s="227">
        <f t="shared" si="89"/>
        <v>156443</v>
      </c>
      <c r="K313" s="227">
        <f t="shared" si="90"/>
        <v>1983139</v>
      </c>
      <c r="L313" s="227">
        <f t="shared" si="91"/>
        <v>690030</v>
      </c>
      <c r="M313" s="3">
        <f t="shared" si="92"/>
        <v>0</v>
      </c>
      <c r="N313" s="227">
        <f t="shared" si="93"/>
        <v>0</v>
      </c>
      <c r="O313" s="142">
        <f t="shared" si="94"/>
        <v>5577984</v>
      </c>
      <c r="P313" s="3">
        <f t="shared" si="78"/>
        <v>4039159</v>
      </c>
      <c r="Q313" s="3">
        <f t="shared" si="79"/>
        <v>1209547</v>
      </c>
      <c r="R313" s="3">
        <f t="shared" si="80"/>
        <v>156443</v>
      </c>
      <c r="S313" s="3">
        <f t="shared" si="81"/>
        <v>2673169</v>
      </c>
      <c r="T313" s="3">
        <f t="shared" si="82"/>
        <v>0</v>
      </c>
      <c r="U313" s="3">
        <f>IF($A$5=1,IF($P313=0,0,ROUND(Q313/$P313*$E313,2)),Credits!D312)+Credits!J312</f>
        <v>18457.09</v>
      </c>
      <c r="V313" s="3">
        <f>IF($A$5=1,IF($P313=0,0,ROUND(R313/$P313*$E313,2)),Credits!E312)+Credits!K312</f>
        <v>2386.71</v>
      </c>
      <c r="W313" s="3">
        <f>IF($A$5=1,IF($P313=0,0,ROUND(S313/$P313*$E313,2)),Credits!F312)+Credits!L312</f>
        <v>39668.560000000005</v>
      </c>
      <c r="X313" s="3">
        <f>IF($A$5=1,IF($P313=0,0,ROUND(T313/$P313*$E313,2)),Credits!G312)+Credits!M312</f>
        <v>0</v>
      </c>
      <c r="Y313" s="3">
        <f t="shared" si="83"/>
        <v>60512.36</v>
      </c>
      <c r="AC313" s="4"/>
      <c r="AD313" s="4"/>
      <c r="AE313" s="2">
        <f t="shared" si="84"/>
        <v>0</v>
      </c>
      <c r="AF313" s="170" t="s">
        <v>1120</v>
      </c>
      <c r="AG313" s="175">
        <v>2752</v>
      </c>
      <c r="AH313" s="175">
        <v>1</v>
      </c>
      <c r="AI313" s="175">
        <v>1</v>
      </c>
      <c r="AJ313" s="176">
        <v>1329874</v>
      </c>
      <c r="AK313" s="176">
        <v>0</v>
      </c>
      <c r="AL313" s="176">
        <v>208951</v>
      </c>
      <c r="AM313" s="176">
        <v>0</v>
      </c>
      <c r="AN313" s="177">
        <v>0</v>
      </c>
      <c r="AO313" s="177">
        <v>0</v>
      </c>
      <c r="AP313" s="177">
        <v>1209547</v>
      </c>
      <c r="AQ313" s="177">
        <v>0</v>
      </c>
      <c r="AR313" s="177">
        <v>156443</v>
      </c>
      <c r="AS313" s="177">
        <v>0</v>
      </c>
      <c r="AT313" s="178">
        <v>1983139</v>
      </c>
      <c r="AU313" s="178">
        <v>0</v>
      </c>
      <c r="AV313" s="178">
        <v>690030</v>
      </c>
      <c r="AW313" s="179">
        <v>0</v>
      </c>
      <c r="AX313" s="180">
        <v>0</v>
      </c>
      <c r="AY313" s="180">
        <v>0</v>
      </c>
      <c r="AZ313" s="180">
        <v>0</v>
      </c>
      <c r="BA313" s="180">
        <v>0</v>
      </c>
      <c r="BB313" s="170">
        <f t="shared" si="95"/>
        <v>5577984</v>
      </c>
      <c r="BC313" s="170">
        <v>5577985.0300000003</v>
      </c>
      <c r="BD313" s="2">
        <f t="shared" si="96"/>
        <v>-1.0300000002607703</v>
      </c>
    </row>
    <row r="314" spans="1:56" ht="12" x14ac:dyDescent="0.2">
      <c r="A314" s="4">
        <v>2753</v>
      </c>
      <c r="B314" s="4">
        <v>1</v>
      </c>
      <c r="C314" s="2" t="s">
        <v>1141</v>
      </c>
      <c r="D314" s="3">
        <v>0</v>
      </c>
      <c r="E314" s="3">
        <v>0</v>
      </c>
      <c r="F314" s="227">
        <f t="shared" si="85"/>
        <v>566087</v>
      </c>
      <c r="G314" s="227">
        <f t="shared" si="86"/>
        <v>58973</v>
      </c>
      <c r="H314" s="227">
        <f t="shared" si="87"/>
        <v>0</v>
      </c>
      <c r="I314" s="227">
        <f t="shared" si="88"/>
        <v>471992</v>
      </c>
      <c r="J314" s="227">
        <f t="shared" si="89"/>
        <v>96030</v>
      </c>
      <c r="K314" s="227">
        <f t="shared" si="90"/>
        <v>1124783</v>
      </c>
      <c r="L314" s="227">
        <f t="shared" si="91"/>
        <v>0</v>
      </c>
      <c r="M314" s="3">
        <f t="shared" si="92"/>
        <v>0</v>
      </c>
      <c r="N314" s="227">
        <f t="shared" si="93"/>
        <v>0</v>
      </c>
      <c r="O314" s="142">
        <f t="shared" si="94"/>
        <v>2317865</v>
      </c>
      <c r="P314" s="3">
        <f t="shared" si="78"/>
        <v>1692805</v>
      </c>
      <c r="Q314" s="3">
        <f t="shared" si="79"/>
        <v>471992</v>
      </c>
      <c r="R314" s="3">
        <f t="shared" si="80"/>
        <v>96030</v>
      </c>
      <c r="S314" s="3">
        <f t="shared" si="81"/>
        <v>1124783</v>
      </c>
      <c r="T314" s="3">
        <f t="shared" si="82"/>
        <v>0</v>
      </c>
      <c r="U314" s="3">
        <f>IF($A$5=1,IF($P314=0,0,ROUND(Q314/$P314*$E314,2)),Credits!D313)+Credits!J313</f>
        <v>13738.289999999997</v>
      </c>
      <c r="V314" s="3">
        <f>IF($A$5=1,IF($P314=0,0,ROUND(R314/$P314*$E314,2)),Credits!E313)+Credits!K313</f>
        <v>2796.5500000000006</v>
      </c>
      <c r="W314" s="3">
        <f>IF($A$5=1,IF($P314=0,0,ROUND(S314/$P314*$E314,2)),Credits!F313)+Credits!L313</f>
        <v>32737.319999999996</v>
      </c>
      <c r="X314" s="3">
        <f>IF($A$5=1,IF($P314=0,0,ROUND(T314/$P314*$E314,2)),Credits!G313)+Credits!M313</f>
        <v>0</v>
      </c>
      <c r="Y314" s="3">
        <f t="shared" si="83"/>
        <v>49272.159999999989</v>
      </c>
      <c r="AC314" s="4"/>
      <c r="AD314" s="4"/>
      <c r="AE314" s="2">
        <f t="shared" si="84"/>
        <v>0</v>
      </c>
      <c r="AF314" s="170" t="s">
        <v>1120</v>
      </c>
      <c r="AG314" s="175">
        <v>2753</v>
      </c>
      <c r="AH314" s="175">
        <v>1</v>
      </c>
      <c r="AI314" s="175">
        <v>1</v>
      </c>
      <c r="AJ314" s="176">
        <v>566087</v>
      </c>
      <c r="AK314" s="176">
        <v>0</v>
      </c>
      <c r="AL314" s="176">
        <v>58973</v>
      </c>
      <c r="AM314" s="176">
        <v>0</v>
      </c>
      <c r="AN314" s="177">
        <v>0</v>
      </c>
      <c r="AO314" s="177">
        <v>0</v>
      </c>
      <c r="AP314" s="177">
        <v>471992</v>
      </c>
      <c r="AQ314" s="177">
        <v>0</v>
      </c>
      <c r="AR314" s="177">
        <v>96030</v>
      </c>
      <c r="AS314" s="177">
        <v>0</v>
      </c>
      <c r="AT314" s="178">
        <v>1124783</v>
      </c>
      <c r="AU314" s="178">
        <v>0</v>
      </c>
      <c r="AV314" s="178">
        <v>0</v>
      </c>
      <c r="AW314" s="179">
        <v>0</v>
      </c>
      <c r="AX314" s="180">
        <v>0</v>
      </c>
      <c r="AY314" s="180">
        <v>0</v>
      </c>
      <c r="AZ314" s="180">
        <v>0</v>
      </c>
      <c r="BA314" s="180">
        <v>0</v>
      </c>
      <c r="BB314" s="170">
        <f t="shared" si="95"/>
        <v>2317865</v>
      </c>
      <c r="BC314" s="170">
        <v>2317864.84</v>
      </c>
      <c r="BD314" s="2">
        <f t="shared" si="96"/>
        <v>0.16000000014901161</v>
      </c>
    </row>
    <row r="315" spans="1:56" ht="12" x14ac:dyDescent="0.2">
      <c r="A315" s="4">
        <v>2754</v>
      </c>
      <c r="B315" s="4">
        <v>1</v>
      </c>
      <c r="C315" s="2" t="s">
        <v>317</v>
      </c>
      <c r="D315" s="3">
        <v>0</v>
      </c>
      <c r="E315" s="3">
        <v>0</v>
      </c>
      <c r="F315" s="227">
        <f t="shared" si="85"/>
        <v>112723</v>
      </c>
      <c r="G315" s="227">
        <f t="shared" si="86"/>
        <v>23893</v>
      </c>
      <c r="H315" s="227">
        <f t="shared" si="87"/>
        <v>0</v>
      </c>
      <c r="I315" s="227">
        <f t="shared" si="88"/>
        <v>304270</v>
      </c>
      <c r="J315" s="227">
        <f t="shared" si="89"/>
        <v>37486</v>
      </c>
      <c r="K315" s="227">
        <f t="shared" si="90"/>
        <v>206697</v>
      </c>
      <c r="L315" s="227">
        <f t="shared" si="91"/>
        <v>0</v>
      </c>
      <c r="M315" s="3">
        <f t="shared" si="92"/>
        <v>0</v>
      </c>
      <c r="N315" s="227">
        <f t="shared" si="93"/>
        <v>0</v>
      </c>
      <c r="O315" s="142">
        <f t="shared" si="94"/>
        <v>685069</v>
      </c>
      <c r="P315" s="3">
        <f t="shared" si="78"/>
        <v>548453</v>
      </c>
      <c r="Q315" s="3">
        <f t="shared" si="79"/>
        <v>304270</v>
      </c>
      <c r="R315" s="3">
        <f t="shared" si="80"/>
        <v>37486</v>
      </c>
      <c r="S315" s="3">
        <f t="shared" si="81"/>
        <v>206697</v>
      </c>
      <c r="T315" s="3">
        <f t="shared" si="82"/>
        <v>0</v>
      </c>
      <c r="U315" s="3">
        <f>IF($A$5=1,IF($P315=0,0,ROUND(Q315/$P315*$E315,2)),Credits!D314)+Credits!J314</f>
        <v>17420.48</v>
      </c>
      <c r="V315" s="3">
        <f>IF($A$5=1,IF($P315=0,0,ROUND(R315/$P315*$E315,2)),Credits!E314)+Credits!K314</f>
        <v>2147.25</v>
      </c>
      <c r="W315" s="3">
        <f>IF($A$5=1,IF($P315=0,0,ROUND(S315/$P315*$E315,2)),Credits!F314)+Credits!L314</f>
        <v>11832.54</v>
      </c>
      <c r="X315" s="3">
        <f>IF($A$5=1,IF($P315=0,0,ROUND(T315/$P315*$E315,2)),Credits!G314)+Credits!M314</f>
        <v>0</v>
      </c>
      <c r="Y315" s="3">
        <f t="shared" si="83"/>
        <v>31400.27</v>
      </c>
      <c r="AC315" s="4"/>
      <c r="AD315" s="4"/>
      <c r="AE315" s="2">
        <f t="shared" si="84"/>
        <v>0</v>
      </c>
      <c r="AF315" s="170" t="s">
        <v>1120</v>
      </c>
      <c r="AG315" s="175">
        <v>2754</v>
      </c>
      <c r="AH315" s="175">
        <v>1</v>
      </c>
      <c r="AI315" s="175">
        <v>1</v>
      </c>
      <c r="AJ315" s="176">
        <v>112723</v>
      </c>
      <c r="AK315" s="176">
        <v>0</v>
      </c>
      <c r="AL315" s="176">
        <v>23893</v>
      </c>
      <c r="AM315" s="176">
        <v>0</v>
      </c>
      <c r="AN315" s="177">
        <v>0</v>
      </c>
      <c r="AO315" s="177">
        <v>0</v>
      </c>
      <c r="AP315" s="177">
        <v>304270</v>
      </c>
      <c r="AQ315" s="177">
        <v>0</v>
      </c>
      <c r="AR315" s="177">
        <v>37486</v>
      </c>
      <c r="AS315" s="177">
        <v>0</v>
      </c>
      <c r="AT315" s="178">
        <v>206697</v>
      </c>
      <c r="AU315" s="178">
        <v>0</v>
      </c>
      <c r="AV315" s="178">
        <v>0</v>
      </c>
      <c r="AW315" s="179">
        <v>0</v>
      </c>
      <c r="AX315" s="180">
        <v>0</v>
      </c>
      <c r="AY315" s="180">
        <v>0</v>
      </c>
      <c r="AZ315" s="180">
        <v>0</v>
      </c>
      <c r="BA315" s="180">
        <v>0</v>
      </c>
      <c r="BB315" s="170">
        <f t="shared" si="95"/>
        <v>685069</v>
      </c>
      <c r="BC315" s="170">
        <v>685068.62</v>
      </c>
      <c r="BD315" s="2">
        <f t="shared" si="96"/>
        <v>0.38000000000465661</v>
      </c>
    </row>
    <row r="316" spans="1:56" ht="12" x14ac:dyDescent="0.2">
      <c r="A316" s="4">
        <v>2759</v>
      </c>
      <c r="B316" s="4">
        <v>1</v>
      </c>
      <c r="C316" s="2" t="s">
        <v>1140</v>
      </c>
      <c r="D316" s="3">
        <v>0</v>
      </c>
      <c r="E316" s="3">
        <v>0</v>
      </c>
      <c r="F316" s="227">
        <f t="shared" si="85"/>
        <v>150574</v>
      </c>
      <c r="G316" s="227">
        <f t="shared" si="86"/>
        <v>14547</v>
      </c>
      <c r="H316" s="227">
        <f t="shared" si="87"/>
        <v>0</v>
      </c>
      <c r="I316" s="227">
        <f t="shared" si="88"/>
        <v>124797</v>
      </c>
      <c r="J316" s="227">
        <f t="shared" si="89"/>
        <v>21800</v>
      </c>
      <c r="K316" s="227">
        <f t="shared" si="90"/>
        <v>23921</v>
      </c>
      <c r="L316" s="227">
        <f t="shared" si="91"/>
        <v>0</v>
      </c>
      <c r="M316" s="3">
        <f t="shared" si="92"/>
        <v>0</v>
      </c>
      <c r="N316" s="227">
        <f t="shared" si="93"/>
        <v>0</v>
      </c>
      <c r="O316" s="142">
        <f t="shared" si="94"/>
        <v>335639</v>
      </c>
      <c r="P316" s="3">
        <f t="shared" si="78"/>
        <v>170518</v>
      </c>
      <c r="Q316" s="3">
        <f t="shared" si="79"/>
        <v>124797</v>
      </c>
      <c r="R316" s="3">
        <f t="shared" si="80"/>
        <v>21800</v>
      </c>
      <c r="S316" s="3">
        <f t="shared" si="81"/>
        <v>23921</v>
      </c>
      <c r="T316" s="3">
        <f t="shared" si="82"/>
        <v>0</v>
      </c>
      <c r="U316" s="3">
        <f>IF($A$5=1,IF($P316=0,0,ROUND(Q316/$P316*$E316,2)),Credits!D315)+Credits!J315</f>
        <v>29345.15</v>
      </c>
      <c r="V316" s="3">
        <f>IF($A$5=1,IF($P316=0,0,ROUND(R316/$P316*$E316,2)),Credits!E315)+Credits!K315</f>
        <v>5126.67</v>
      </c>
      <c r="W316" s="3">
        <f>IF($A$5=1,IF($P316=0,0,ROUND(S316/$P316*$E316,2)),Credits!F315)+Credits!L315</f>
        <v>5624.8099999999995</v>
      </c>
      <c r="X316" s="3">
        <f>IF($A$5=1,IF($P316=0,0,ROUND(T316/$P316*$E316,2)),Credits!G315)+Credits!M315</f>
        <v>0</v>
      </c>
      <c r="Y316" s="3">
        <f t="shared" si="83"/>
        <v>40096.629999999997</v>
      </c>
      <c r="AC316" s="4"/>
      <c r="AD316" s="4"/>
      <c r="AE316" s="2">
        <f t="shared" si="84"/>
        <v>0</v>
      </c>
      <c r="AF316" s="170" t="s">
        <v>1120</v>
      </c>
      <c r="AG316" s="175">
        <v>2759</v>
      </c>
      <c r="AH316" s="175">
        <v>1</v>
      </c>
      <c r="AI316" s="175">
        <v>1</v>
      </c>
      <c r="AJ316" s="176">
        <v>150574</v>
      </c>
      <c r="AK316" s="176">
        <v>0</v>
      </c>
      <c r="AL316" s="176">
        <v>14547</v>
      </c>
      <c r="AM316" s="176">
        <v>0</v>
      </c>
      <c r="AN316" s="177">
        <v>0</v>
      </c>
      <c r="AO316" s="177">
        <v>0</v>
      </c>
      <c r="AP316" s="177">
        <v>124797</v>
      </c>
      <c r="AQ316" s="177">
        <v>0</v>
      </c>
      <c r="AR316" s="177">
        <v>21800</v>
      </c>
      <c r="AS316" s="177">
        <v>0</v>
      </c>
      <c r="AT316" s="178">
        <v>23921</v>
      </c>
      <c r="AU316" s="178">
        <v>0</v>
      </c>
      <c r="AV316" s="178">
        <v>0</v>
      </c>
      <c r="AW316" s="179">
        <v>0</v>
      </c>
      <c r="AX316" s="180">
        <v>0</v>
      </c>
      <c r="AY316" s="180">
        <v>0</v>
      </c>
      <c r="AZ316" s="180">
        <v>0</v>
      </c>
      <c r="BA316" s="180">
        <v>0</v>
      </c>
      <c r="BB316" s="170">
        <f t="shared" si="95"/>
        <v>335639</v>
      </c>
      <c r="BC316" s="170">
        <v>335638.87</v>
      </c>
      <c r="BD316" s="2">
        <f t="shared" si="96"/>
        <v>0.13000000000465661</v>
      </c>
    </row>
    <row r="317" spans="1:56" ht="12" x14ac:dyDescent="0.2">
      <c r="A317" s="4">
        <v>2769</v>
      </c>
      <c r="B317" s="4">
        <v>1</v>
      </c>
      <c r="C317" s="2" t="s">
        <v>1167</v>
      </c>
      <c r="D317" s="3">
        <v>0</v>
      </c>
      <c r="E317" s="3">
        <v>0</v>
      </c>
      <c r="F317" s="227">
        <f t="shared" si="85"/>
        <v>703989.99</v>
      </c>
      <c r="G317" s="227">
        <f t="shared" si="86"/>
        <v>82347.59</v>
      </c>
      <c r="H317" s="227">
        <f t="shared" si="87"/>
        <v>0</v>
      </c>
      <c r="I317" s="227">
        <f t="shared" si="88"/>
        <v>494106</v>
      </c>
      <c r="J317" s="227">
        <f t="shared" si="89"/>
        <v>109108</v>
      </c>
      <c r="K317" s="227">
        <f t="shared" si="90"/>
        <v>2047383</v>
      </c>
      <c r="L317" s="227">
        <f t="shared" si="91"/>
        <v>84657</v>
      </c>
      <c r="M317" s="3">
        <f t="shared" si="92"/>
        <v>0</v>
      </c>
      <c r="N317" s="227">
        <f t="shared" si="93"/>
        <v>99790</v>
      </c>
      <c r="O317" s="142">
        <f t="shared" si="94"/>
        <v>3621381.58</v>
      </c>
      <c r="P317" s="3">
        <f t="shared" si="78"/>
        <v>2835044</v>
      </c>
      <c r="Q317" s="3">
        <f t="shared" si="79"/>
        <v>494106</v>
      </c>
      <c r="R317" s="3">
        <f t="shared" si="80"/>
        <v>109108</v>
      </c>
      <c r="S317" s="3">
        <f t="shared" si="81"/>
        <v>2132040</v>
      </c>
      <c r="T317" s="3">
        <f t="shared" si="82"/>
        <v>99790</v>
      </c>
      <c r="U317" s="3">
        <f>IF($A$5=1,IF($P317=0,0,ROUND(Q317/$P317*$E317,2)),Credits!D316)+Credits!J316</f>
        <v>13680.909999999996</v>
      </c>
      <c r="V317" s="3">
        <f>IF($A$5=1,IF($P317=0,0,ROUND(R317/$P317*$E317,2)),Credits!E316)+Credits!K316</f>
        <v>3020.7799999999997</v>
      </c>
      <c r="W317" s="3">
        <f>IF($A$5=1,IF($P317=0,0,ROUND(S317/$P317*$E317,2)),Credits!F316)+Credits!L316</f>
        <v>60277.26</v>
      </c>
      <c r="X317" s="3">
        <f>IF($A$5=1,IF($P317=0,0,ROUND(T317/$P317*$E317,2)),Credits!G316)+Credits!M316</f>
        <v>2853.87</v>
      </c>
      <c r="Y317" s="3">
        <f t="shared" si="83"/>
        <v>79832.819999999992</v>
      </c>
      <c r="AC317" s="4"/>
      <c r="AD317" s="4"/>
      <c r="AE317" s="2">
        <f t="shared" si="84"/>
        <v>0</v>
      </c>
      <c r="AF317" s="170" t="s">
        <v>1120</v>
      </c>
      <c r="AG317" s="175">
        <v>2769</v>
      </c>
      <c r="AH317" s="175">
        <v>1</v>
      </c>
      <c r="AI317" s="175">
        <v>1</v>
      </c>
      <c r="AJ317" s="176">
        <v>703989.99</v>
      </c>
      <c r="AK317" s="176">
        <v>0</v>
      </c>
      <c r="AL317" s="176">
        <v>82347.59</v>
      </c>
      <c r="AM317" s="176">
        <v>0</v>
      </c>
      <c r="AN317" s="177">
        <v>0</v>
      </c>
      <c r="AO317" s="177">
        <v>0</v>
      </c>
      <c r="AP317" s="177">
        <v>494106</v>
      </c>
      <c r="AQ317" s="177">
        <v>0</v>
      </c>
      <c r="AR317" s="177">
        <v>109108</v>
      </c>
      <c r="AS317" s="177">
        <v>0</v>
      </c>
      <c r="AT317" s="178">
        <v>2047383</v>
      </c>
      <c r="AU317" s="178">
        <v>0</v>
      </c>
      <c r="AV317" s="178">
        <v>84657</v>
      </c>
      <c r="AW317" s="179">
        <v>0</v>
      </c>
      <c r="AX317" s="180">
        <v>0</v>
      </c>
      <c r="AY317" s="180">
        <v>0</v>
      </c>
      <c r="AZ317" s="180">
        <v>99790</v>
      </c>
      <c r="BA317" s="180">
        <v>0</v>
      </c>
      <c r="BB317" s="170">
        <f t="shared" si="95"/>
        <v>3621381.58</v>
      </c>
      <c r="BC317" s="170">
        <v>3621380.72</v>
      </c>
      <c r="BD317" s="2">
        <f t="shared" si="96"/>
        <v>0.85999999986961484</v>
      </c>
    </row>
    <row r="318" spans="1:56" ht="12" x14ac:dyDescent="0.2">
      <c r="A318" s="4">
        <v>2805</v>
      </c>
      <c r="B318" s="4">
        <v>1</v>
      </c>
      <c r="C318" s="2" t="s">
        <v>319</v>
      </c>
      <c r="D318" s="3">
        <v>0</v>
      </c>
      <c r="E318" s="3">
        <v>0</v>
      </c>
      <c r="F318" s="227">
        <f t="shared" si="85"/>
        <v>1363042</v>
      </c>
      <c r="G318" s="227">
        <f t="shared" si="86"/>
        <v>77942</v>
      </c>
      <c r="H318" s="227">
        <f t="shared" si="87"/>
        <v>0</v>
      </c>
      <c r="I318" s="227">
        <f t="shared" si="88"/>
        <v>435534</v>
      </c>
      <c r="J318" s="227">
        <f t="shared" si="89"/>
        <v>162012</v>
      </c>
      <c r="K318" s="227">
        <f t="shared" si="90"/>
        <v>438616</v>
      </c>
      <c r="L318" s="227">
        <f t="shared" si="91"/>
        <v>529763</v>
      </c>
      <c r="M318" s="3">
        <f t="shared" si="92"/>
        <v>0</v>
      </c>
      <c r="N318" s="227">
        <f t="shared" si="93"/>
        <v>0</v>
      </c>
      <c r="O318" s="142">
        <f t="shared" si="94"/>
        <v>3006909</v>
      </c>
      <c r="P318" s="3">
        <f t="shared" si="78"/>
        <v>1565925</v>
      </c>
      <c r="Q318" s="3">
        <f t="shared" si="79"/>
        <v>435534</v>
      </c>
      <c r="R318" s="3">
        <f t="shared" si="80"/>
        <v>162012</v>
      </c>
      <c r="S318" s="3">
        <f t="shared" si="81"/>
        <v>968379</v>
      </c>
      <c r="T318" s="3">
        <f t="shared" si="82"/>
        <v>0</v>
      </c>
      <c r="U318" s="3">
        <f>IF($A$5=1,IF($P318=0,0,ROUND(Q318/$P318*$E318,2)),Credits!D317)+Credits!J317</f>
        <v>9631.6200000000008</v>
      </c>
      <c r="V318" s="3">
        <f>IF($A$5=1,IF($P318=0,0,ROUND(R318/$P318*$E318,2)),Credits!E317)+Credits!K317</f>
        <v>3582.84</v>
      </c>
      <c r="W318" s="3">
        <f>IF($A$5=1,IF($P318=0,0,ROUND(S318/$P318*$E318,2)),Credits!F317)+Credits!L317</f>
        <v>21192.75</v>
      </c>
      <c r="X318" s="3">
        <f>IF($A$5=1,IF($P318=0,0,ROUND(T318/$P318*$E318,2)),Credits!G317)+Credits!M317</f>
        <v>0</v>
      </c>
      <c r="Y318" s="3">
        <f t="shared" si="83"/>
        <v>34407.21</v>
      </c>
      <c r="AC318" s="4"/>
      <c r="AD318" s="4"/>
      <c r="AE318" s="2">
        <f t="shared" si="84"/>
        <v>0</v>
      </c>
      <c r="AF318" s="170" t="s">
        <v>1120</v>
      </c>
      <c r="AG318" s="175">
        <v>2805</v>
      </c>
      <c r="AH318" s="175">
        <v>1</v>
      </c>
      <c r="AI318" s="175">
        <v>1</v>
      </c>
      <c r="AJ318" s="176">
        <v>1363042</v>
      </c>
      <c r="AK318" s="176">
        <v>0</v>
      </c>
      <c r="AL318" s="176">
        <v>77942</v>
      </c>
      <c r="AM318" s="176">
        <v>0</v>
      </c>
      <c r="AN318" s="177">
        <v>0</v>
      </c>
      <c r="AO318" s="177">
        <v>0</v>
      </c>
      <c r="AP318" s="177">
        <v>435534</v>
      </c>
      <c r="AQ318" s="177">
        <v>0</v>
      </c>
      <c r="AR318" s="177">
        <v>162012</v>
      </c>
      <c r="AS318" s="177">
        <v>0</v>
      </c>
      <c r="AT318" s="178">
        <v>438616</v>
      </c>
      <c r="AU318" s="178">
        <v>0</v>
      </c>
      <c r="AV318" s="178">
        <v>529763</v>
      </c>
      <c r="AW318" s="179">
        <v>0</v>
      </c>
      <c r="AX318" s="180">
        <v>0</v>
      </c>
      <c r="AY318" s="180">
        <v>0</v>
      </c>
      <c r="AZ318" s="180">
        <v>0</v>
      </c>
      <c r="BA318" s="180">
        <v>0</v>
      </c>
      <c r="BB318" s="170">
        <f t="shared" si="95"/>
        <v>3006909</v>
      </c>
      <c r="BC318" s="170">
        <v>3006910.9</v>
      </c>
      <c r="BD318" s="2">
        <f t="shared" si="96"/>
        <v>-1.8999999999068677</v>
      </c>
    </row>
    <row r="319" spans="1:56" ht="12" x14ac:dyDescent="0.2">
      <c r="A319" s="4">
        <v>2835</v>
      </c>
      <c r="B319" s="4">
        <v>1</v>
      </c>
      <c r="C319" s="2" t="s">
        <v>1139</v>
      </c>
      <c r="D319" s="3">
        <v>0</v>
      </c>
      <c r="E319" s="3">
        <v>0</v>
      </c>
      <c r="F319" s="227">
        <f t="shared" si="85"/>
        <v>1137922</v>
      </c>
      <c r="G319" s="227">
        <f t="shared" si="86"/>
        <v>26113</v>
      </c>
      <c r="H319" s="227">
        <f t="shared" si="87"/>
        <v>0</v>
      </c>
      <c r="I319" s="227">
        <f t="shared" si="88"/>
        <v>283378</v>
      </c>
      <c r="J319" s="227">
        <f t="shared" si="89"/>
        <v>39108</v>
      </c>
      <c r="K319" s="227">
        <f t="shared" si="90"/>
        <v>771762</v>
      </c>
      <c r="L319" s="227">
        <f t="shared" si="91"/>
        <v>0</v>
      </c>
      <c r="M319" s="3">
        <f t="shared" si="92"/>
        <v>0</v>
      </c>
      <c r="N319" s="227">
        <f t="shared" si="93"/>
        <v>0</v>
      </c>
      <c r="O319" s="142">
        <f t="shared" si="94"/>
        <v>2258283</v>
      </c>
      <c r="P319" s="3">
        <f t="shared" si="78"/>
        <v>1094248</v>
      </c>
      <c r="Q319" s="3">
        <f t="shared" si="79"/>
        <v>283378</v>
      </c>
      <c r="R319" s="3">
        <f t="shared" si="80"/>
        <v>39108</v>
      </c>
      <c r="S319" s="3">
        <f t="shared" si="81"/>
        <v>771762</v>
      </c>
      <c r="T319" s="3">
        <f t="shared" si="82"/>
        <v>0</v>
      </c>
      <c r="U319" s="3">
        <f>IF($A$5=1,IF($P319=0,0,ROUND(Q319/$P319*$E319,2)),Credits!D318)+Credits!J318</f>
        <v>7338.3499999999985</v>
      </c>
      <c r="V319" s="3">
        <f>IF($A$5=1,IF($P319=0,0,ROUND(R319/$P319*$E319,2)),Credits!E318)+Credits!K318</f>
        <v>1012.02</v>
      </c>
      <c r="W319" s="3">
        <f>IF($A$5=1,IF($P319=0,0,ROUND(S319/$P319*$E319,2)),Credits!F318)+Credits!L318</f>
        <v>19983.88</v>
      </c>
      <c r="X319" s="3">
        <f>IF($A$5=1,IF($P319=0,0,ROUND(T319/$P319*$E319,2)),Credits!G318)+Credits!M318</f>
        <v>0</v>
      </c>
      <c r="Y319" s="3">
        <f t="shared" si="83"/>
        <v>28334.25</v>
      </c>
      <c r="AC319" s="4"/>
      <c r="AD319" s="4"/>
      <c r="AE319" s="2">
        <f t="shared" si="84"/>
        <v>0</v>
      </c>
      <c r="AF319" s="170" t="s">
        <v>1120</v>
      </c>
      <c r="AG319" s="175">
        <v>2835</v>
      </c>
      <c r="AH319" s="175">
        <v>1</v>
      </c>
      <c r="AI319" s="175">
        <v>1</v>
      </c>
      <c r="AJ319" s="176">
        <v>1137922</v>
      </c>
      <c r="AK319" s="176">
        <v>0</v>
      </c>
      <c r="AL319" s="176">
        <v>26113</v>
      </c>
      <c r="AM319" s="176">
        <v>0</v>
      </c>
      <c r="AN319" s="177">
        <v>0</v>
      </c>
      <c r="AO319" s="177">
        <v>0</v>
      </c>
      <c r="AP319" s="177">
        <v>283378</v>
      </c>
      <c r="AQ319" s="177">
        <v>0</v>
      </c>
      <c r="AR319" s="177">
        <v>39108</v>
      </c>
      <c r="AS319" s="177">
        <v>0</v>
      </c>
      <c r="AT319" s="178">
        <v>771762</v>
      </c>
      <c r="AU319" s="178">
        <v>0</v>
      </c>
      <c r="AV319" s="178">
        <v>0</v>
      </c>
      <c r="AW319" s="179">
        <v>0</v>
      </c>
      <c r="AX319" s="180">
        <v>0</v>
      </c>
      <c r="AY319" s="180">
        <v>0</v>
      </c>
      <c r="AZ319" s="180">
        <v>0</v>
      </c>
      <c r="BA319" s="180">
        <v>0</v>
      </c>
      <c r="BB319" s="170">
        <f t="shared" si="95"/>
        <v>2258283</v>
      </c>
      <c r="BC319" s="170">
        <v>2258283.48</v>
      </c>
      <c r="BD319" s="2">
        <f t="shared" si="96"/>
        <v>-0.47999999998137355</v>
      </c>
    </row>
    <row r="320" spans="1:56" ht="12" x14ac:dyDescent="0.2">
      <c r="A320" s="4">
        <v>2853</v>
      </c>
      <c r="B320" s="4">
        <v>1</v>
      </c>
      <c r="C320" s="2" t="s">
        <v>1138</v>
      </c>
      <c r="D320" s="3">
        <v>0</v>
      </c>
      <c r="E320" s="3">
        <v>0</v>
      </c>
      <c r="F320" s="227">
        <f t="shared" si="85"/>
        <v>631998.12</v>
      </c>
      <c r="G320" s="227">
        <f t="shared" si="86"/>
        <v>42206.59</v>
      </c>
      <c r="H320" s="227">
        <f t="shared" si="87"/>
        <v>0</v>
      </c>
      <c r="I320" s="227">
        <f t="shared" si="88"/>
        <v>555056.43000000005</v>
      </c>
      <c r="J320" s="227">
        <f t="shared" si="89"/>
        <v>110947.01</v>
      </c>
      <c r="K320" s="227">
        <f t="shared" si="90"/>
        <v>0</v>
      </c>
      <c r="L320" s="227">
        <f t="shared" si="91"/>
        <v>115301</v>
      </c>
      <c r="M320" s="3">
        <f t="shared" si="92"/>
        <v>0</v>
      </c>
      <c r="N320" s="227">
        <f t="shared" si="93"/>
        <v>166899.01999999999</v>
      </c>
      <c r="O320" s="142">
        <f t="shared" si="94"/>
        <v>1622408.1700000002</v>
      </c>
      <c r="P320" s="3">
        <f t="shared" si="78"/>
        <v>948203.46000000008</v>
      </c>
      <c r="Q320" s="3">
        <f t="shared" si="79"/>
        <v>555056.43000000005</v>
      </c>
      <c r="R320" s="3">
        <f t="shared" si="80"/>
        <v>110947.01</v>
      </c>
      <c r="S320" s="3">
        <f t="shared" si="81"/>
        <v>115301</v>
      </c>
      <c r="T320" s="3">
        <f t="shared" si="82"/>
        <v>166899.01999999999</v>
      </c>
      <c r="U320" s="3">
        <f>IF($A$5=1,IF($P320=0,0,ROUND(Q320/$P320*$E320,2)),Credits!D319)+Credits!J319</f>
        <v>23801.230000000003</v>
      </c>
      <c r="V320" s="3">
        <f>IF($A$5=1,IF($P320=0,0,ROUND(R320/$P320*$E320,2)),Credits!E319)+Credits!K319</f>
        <v>5529.43</v>
      </c>
      <c r="W320" s="3">
        <f>IF($A$5=1,IF($P320=0,0,ROUND(S320/$P320*$E320,2)),Credits!F319)+Credits!L319</f>
        <v>5741.1200000000008</v>
      </c>
      <c r="X320" s="3">
        <f>IF($A$5=1,IF($P320=0,0,ROUND(T320/$P320*$E320,2)),Credits!G319)+Credits!M319</f>
        <v>8315.3100000000013</v>
      </c>
      <c r="Y320" s="3">
        <f t="shared" si="83"/>
        <v>43387.090000000011</v>
      </c>
      <c r="AC320" s="4"/>
      <c r="AD320" s="4"/>
      <c r="AE320" s="2">
        <f t="shared" si="84"/>
        <v>0</v>
      </c>
      <c r="AF320" s="170" t="s">
        <v>1120</v>
      </c>
      <c r="AG320" s="175">
        <v>2853</v>
      </c>
      <c r="AH320" s="175">
        <v>1</v>
      </c>
      <c r="AI320" s="175">
        <v>1</v>
      </c>
      <c r="AJ320" s="176">
        <v>631998.12</v>
      </c>
      <c r="AK320" s="176">
        <v>0</v>
      </c>
      <c r="AL320" s="176">
        <v>42206.59</v>
      </c>
      <c r="AM320" s="176">
        <v>0</v>
      </c>
      <c r="AN320" s="177">
        <v>0</v>
      </c>
      <c r="AO320" s="177">
        <v>0</v>
      </c>
      <c r="AP320" s="177">
        <v>555056.43000000005</v>
      </c>
      <c r="AQ320" s="177">
        <v>0</v>
      </c>
      <c r="AR320" s="177">
        <v>110947.01</v>
      </c>
      <c r="AS320" s="177">
        <v>0</v>
      </c>
      <c r="AT320" s="178">
        <v>0</v>
      </c>
      <c r="AU320" s="178">
        <v>0</v>
      </c>
      <c r="AV320" s="178">
        <v>115301</v>
      </c>
      <c r="AW320" s="179">
        <v>0</v>
      </c>
      <c r="AX320" s="180">
        <v>0</v>
      </c>
      <c r="AY320" s="180">
        <v>0</v>
      </c>
      <c r="AZ320" s="180">
        <v>166899.01999999999</v>
      </c>
      <c r="BA320" s="180">
        <v>0</v>
      </c>
      <c r="BB320" s="170">
        <f t="shared" si="95"/>
        <v>1622408.1700000002</v>
      </c>
      <c r="BC320" s="170">
        <v>1622408.17</v>
      </c>
      <c r="BD320" s="2">
        <f t="shared" si="96"/>
        <v>0</v>
      </c>
    </row>
    <row r="321" spans="1:56" ht="12" x14ac:dyDescent="0.2">
      <c r="A321" s="4">
        <v>2854</v>
      </c>
      <c r="B321" s="4">
        <v>1</v>
      </c>
      <c r="C321" s="2" t="s">
        <v>322</v>
      </c>
      <c r="D321" s="3">
        <v>0</v>
      </c>
      <c r="E321" s="3">
        <v>0</v>
      </c>
      <c r="F321" s="227">
        <f t="shared" si="85"/>
        <v>160837.45000000001</v>
      </c>
      <c r="G321" s="227">
        <f t="shared" si="86"/>
        <v>24169.25</v>
      </c>
      <c r="H321" s="227">
        <f t="shared" si="87"/>
        <v>0</v>
      </c>
      <c r="I321" s="227">
        <f t="shared" si="88"/>
        <v>271627.65000000002</v>
      </c>
      <c r="J321" s="227">
        <f t="shared" si="89"/>
        <v>41483.870000000003</v>
      </c>
      <c r="K321" s="227">
        <f t="shared" si="90"/>
        <v>0</v>
      </c>
      <c r="L321" s="227">
        <f t="shared" si="91"/>
        <v>0</v>
      </c>
      <c r="M321" s="3">
        <f t="shared" si="92"/>
        <v>0</v>
      </c>
      <c r="N321" s="227">
        <f t="shared" si="93"/>
        <v>0</v>
      </c>
      <c r="O321" s="142">
        <f t="shared" si="94"/>
        <v>498118.22000000003</v>
      </c>
      <c r="P321" s="3">
        <f t="shared" si="78"/>
        <v>313111.52</v>
      </c>
      <c r="Q321" s="3">
        <f t="shared" si="79"/>
        <v>271627.65000000002</v>
      </c>
      <c r="R321" s="3">
        <f t="shared" si="80"/>
        <v>41483.870000000003</v>
      </c>
      <c r="S321" s="3">
        <f t="shared" si="81"/>
        <v>0</v>
      </c>
      <c r="T321" s="3">
        <f t="shared" si="82"/>
        <v>0</v>
      </c>
      <c r="U321" s="3">
        <f>IF($A$5=1,IF($P321=0,0,ROUND(Q321/$P321*$E321,2)),Credits!D320)+Credits!J320</f>
        <v>12011.1</v>
      </c>
      <c r="V321" s="3">
        <f>IF($A$5=1,IF($P321=0,0,ROUND(R321/$P321*$E321,2)),Credits!E320)+Credits!K320</f>
        <v>1834.4499999999998</v>
      </c>
      <c r="W321" s="3">
        <f>IF($A$5=1,IF($P321=0,0,ROUND(S321/$P321*$E321,2)),Credits!F320)+Credits!L320</f>
        <v>0</v>
      </c>
      <c r="X321" s="3">
        <f>IF($A$5=1,IF($P321=0,0,ROUND(T321/$P321*$E321,2)),Credits!G320)+Credits!M320</f>
        <v>0</v>
      </c>
      <c r="Y321" s="3">
        <f t="shared" si="83"/>
        <v>13845.55</v>
      </c>
      <c r="AC321" s="4"/>
      <c r="AD321" s="4"/>
      <c r="AE321" s="2">
        <f t="shared" si="84"/>
        <v>0</v>
      </c>
      <c r="AF321" s="170" t="s">
        <v>1120</v>
      </c>
      <c r="AG321" s="175">
        <v>2854</v>
      </c>
      <c r="AH321" s="175">
        <v>1</v>
      </c>
      <c r="AI321" s="175">
        <v>1</v>
      </c>
      <c r="AJ321" s="176">
        <v>160837.45000000001</v>
      </c>
      <c r="AK321" s="176">
        <v>0</v>
      </c>
      <c r="AL321" s="176">
        <v>24169.25</v>
      </c>
      <c r="AM321" s="176">
        <v>0</v>
      </c>
      <c r="AN321" s="177">
        <v>0</v>
      </c>
      <c r="AO321" s="177">
        <v>0</v>
      </c>
      <c r="AP321" s="177">
        <v>271627.65000000002</v>
      </c>
      <c r="AQ321" s="177">
        <v>0</v>
      </c>
      <c r="AR321" s="177">
        <v>41483.870000000003</v>
      </c>
      <c r="AS321" s="177">
        <v>0</v>
      </c>
      <c r="AT321" s="178">
        <v>0</v>
      </c>
      <c r="AU321" s="178">
        <v>0</v>
      </c>
      <c r="AV321" s="178">
        <v>0</v>
      </c>
      <c r="AW321" s="179">
        <v>0</v>
      </c>
      <c r="AX321" s="180">
        <v>0</v>
      </c>
      <c r="AY321" s="180">
        <v>0</v>
      </c>
      <c r="AZ321" s="180">
        <v>0</v>
      </c>
      <c r="BA321" s="180">
        <v>0</v>
      </c>
      <c r="BB321" s="170">
        <f t="shared" si="95"/>
        <v>498118.22000000003</v>
      </c>
      <c r="BC321" s="170">
        <v>498118.22</v>
      </c>
      <c r="BD321" s="2">
        <f t="shared" si="96"/>
        <v>0</v>
      </c>
    </row>
    <row r="322" spans="1:56" ht="12" x14ac:dyDescent="0.2">
      <c r="A322" s="4">
        <v>2856</v>
      </c>
      <c r="B322" s="4">
        <v>1</v>
      </c>
      <c r="C322" s="2" t="s">
        <v>1137</v>
      </c>
      <c r="D322" s="3">
        <v>0</v>
      </c>
      <c r="E322" s="3">
        <v>0</v>
      </c>
      <c r="F322" s="227">
        <f t="shared" si="85"/>
        <v>424472.78</v>
      </c>
      <c r="G322" s="227">
        <f t="shared" si="86"/>
        <v>18886.57</v>
      </c>
      <c r="H322" s="227">
        <f t="shared" si="87"/>
        <v>0</v>
      </c>
      <c r="I322" s="227">
        <f t="shared" si="88"/>
        <v>111396</v>
      </c>
      <c r="J322" s="227">
        <f t="shared" si="89"/>
        <v>54255.98</v>
      </c>
      <c r="K322" s="227">
        <f t="shared" si="90"/>
        <v>0</v>
      </c>
      <c r="L322" s="227">
        <f t="shared" si="91"/>
        <v>175200</v>
      </c>
      <c r="M322" s="3">
        <f t="shared" si="92"/>
        <v>0</v>
      </c>
      <c r="N322" s="227">
        <f t="shared" si="93"/>
        <v>0</v>
      </c>
      <c r="O322" s="142">
        <f t="shared" si="94"/>
        <v>784211.33000000007</v>
      </c>
      <c r="P322" s="3">
        <f t="shared" si="78"/>
        <v>340851.98</v>
      </c>
      <c r="Q322" s="3">
        <f t="shared" si="79"/>
        <v>111396</v>
      </c>
      <c r="R322" s="3">
        <f t="shared" si="80"/>
        <v>54255.98</v>
      </c>
      <c r="S322" s="3">
        <f t="shared" si="81"/>
        <v>175200</v>
      </c>
      <c r="T322" s="3">
        <f t="shared" si="82"/>
        <v>0</v>
      </c>
      <c r="U322" s="3">
        <f>IF($A$5=1,IF($P322=0,0,ROUND(Q322/$P322*$E322,2)),Credits!D321)+Credits!J321</f>
        <v>1735.5</v>
      </c>
      <c r="V322" s="3">
        <f>IF($A$5=1,IF($P322=0,0,ROUND(R322/$P322*$E322,2)),Credits!E321)+Credits!K321</f>
        <v>846.24999999999989</v>
      </c>
      <c r="W322" s="3">
        <f>IF($A$5=1,IF($P322=0,0,ROUND(S322/$P322*$E322,2)),Credits!F321)+Credits!L321</f>
        <v>2729.7300000000005</v>
      </c>
      <c r="X322" s="3">
        <f>IF($A$5=1,IF($P322=0,0,ROUND(T322/$P322*$E322,2)),Credits!G321)+Credits!M321</f>
        <v>0</v>
      </c>
      <c r="Y322" s="3">
        <f t="shared" si="83"/>
        <v>5311.4800000000005</v>
      </c>
      <c r="AC322" s="4"/>
      <c r="AD322" s="4"/>
      <c r="AE322" s="2">
        <f t="shared" si="84"/>
        <v>0</v>
      </c>
      <c r="AF322" s="170" t="s">
        <v>1120</v>
      </c>
      <c r="AG322" s="175">
        <v>2856</v>
      </c>
      <c r="AH322" s="175">
        <v>1</v>
      </c>
      <c r="AI322" s="175">
        <v>1</v>
      </c>
      <c r="AJ322" s="176">
        <v>424472.78</v>
      </c>
      <c r="AK322" s="176">
        <v>0</v>
      </c>
      <c r="AL322" s="176">
        <v>18886.57</v>
      </c>
      <c r="AM322" s="176">
        <v>0</v>
      </c>
      <c r="AN322" s="177">
        <v>0</v>
      </c>
      <c r="AO322" s="177">
        <v>0</v>
      </c>
      <c r="AP322" s="177">
        <v>111396</v>
      </c>
      <c r="AQ322" s="177">
        <v>0</v>
      </c>
      <c r="AR322" s="177">
        <v>54255.98</v>
      </c>
      <c r="AS322" s="177">
        <v>0</v>
      </c>
      <c r="AT322" s="178">
        <v>0</v>
      </c>
      <c r="AU322" s="178">
        <v>0</v>
      </c>
      <c r="AV322" s="178">
        <v>175200</v>
      </c>
      <c r="AW322" s="179">
        <v>0</v>
      </c>
      <c r="AX322" s="180">
        <v>0</v>
      </c>
      <c r="AY322" s="180">
        <v>0</v>
      </c>
      <c r="AZ322" s="180">
        <v>0</v>
      </c>
      <c r="BA322" s="180">
        <v>0</v>
      </c>
      <c r="BB322" s="170">
        <f t="shared" si="95"/>
        <v>784211.33000000007</v>
      </c>
      <c r="BC322" s="170">
        <v>784211.33</v>
      </c>
      <c r="BD322" s="2">
        <f t="shared" si="96"/>
        <v>0</v>
      </c>
    </row>
    <row r="323" spans="1:56" ht="12" x14ac:dyDescent="0.2">
      <c r="A323" s="4">
        <v>2859</v>
      </c>
      <c r="B323" s="4">
        <v>1</v>
      </c>
      <c r="C323" s="2" t="s">
        <v>1136</v>
      </c>
      <c r="D323" s="3">
        <v>0</v>
      </c>
      <c r="E323" s="3">
        <v>0</v>
      </c>
      <c r="F323" s="227">
        <f t="shared" si="85"/>
        <v>373599</v>
      </c>
      <c r="G323" s="227">
        <f t="shared" si="86"/>
        <v>712914</v>
      </c>
      <c r="H323" s="227">
        <f t="shared" si="87"/>
        <v>0</v>
      </c>
      <c r="I323" s="227">
        <f t="shared" si="88"/>
        <v>695676</v>
      </c>
      <c r="J323" s="227">
        <f t="shared" si="89"/>
        <v>164774</v>
      </c>
      <c r="K323" s="227">
        <f t="shared" si="90"/>
        <v>0</v>
      </c>
      <c r="L323" s="227">
        <f t="shared" si="91"/>
        <v>0</v>
      </c>
      <c r="M323" s="3">
        <f t="shared" si="92"/>
        <v>0</v>
      </c>
      <c r="N323" s="227">
        <f t="shared" si="93"/>
        <v>0</v>
      </c>
      <c r="O323" s="142">
        <f t="shared" si="94"/>
        <v>1946963</v>
      </c>
      <c r="P323" s="3">
        <f t="shared" si="78"/>
        <v>860450</v>
      </c>
      <c r="Q323" s="3">
        <f t="shared" si="79"/>
        <v>695676</v>
      </c>
      <c r="R323" s="3">
        <f t="shared" si="80"/>
        <v>164774</v>
      </c>
      <c r="S323" s="3">
        <f t="shared" si="81"/>
        <v>0</v>
      </c>
      <c r="T323" s="3">
        <f t="shared" si="82"/>
        <v>0</v>
      </c>
      <c r="U323" s="3">
        <f>IF($A$5=1,IF($P323=0,0,ROUND(Q323/$P323*$E323,2)),Credits!D322)+Credits!J322</f>
        <v>40096.25</v>
      </c>
      <c r="V323" s="3">
        <f>IF($A$5=1,IF($P323=0,0,ROUND(R323/$P323*$E323,2)),Credits!E322)+Credits!K322</f>
        <v>9495.34</v>
      </c>
      <c r="W323" s="3">
        <f>IF($A$5=1,IF($P323=0,0,ROUND(S323/$P323*$E323,2)),Credits!F322)+Credits!L322</f>
        <v>0</v>
      </c>
      <c r="X323" s="3">
        <f>IF($A$5=1,IF($P323=0,0,ROUND(T323/$P323*$E323,2)),Credits!G322)+Credits!M322</f>
        <v>0</v>
      </c>
      <c r="Y323" s="3">
        <f t="shared" si="83"/>
        <v>49591.59</v>
      </c>
      <c r="AC323" s="4"/>
      <c r="AD323" s="4"/>
      <c r="AE323" s="2">
        <f t="shared" si="84"/>
        <v>0</v>
      </c>
      <c r="AF323" s="170" t="s">
        <v>1120</v>
      </c>
      <c r="AG323" s="175">
        <v>2859</v>
      </c>
      <c r="AH323" s="175">
        <v>1</v>
      </c>
      <c r="AI323" s="175">
        <v>1</v>
      </c>
      <c r="AJ323" s="176">
        <v>373599</v>
      </c>
      <c r="AK323" s="176">
        <v>0</v>
      </c>
      <c r="AL323" s="176">
        <v>712914</v>
      </c>
      <c r="AM323" s="176">
        <v>0</v>
      </c>
      <c r="AN323" s="177">
        <v>0</v>
      </c>
      <c r="AO323" s="177">
        <v>0</v>
      </c>
      <c r="AP323" s="177">
        <v>695676</v>
      </c>
      <c r="AQ323" s="177">
        <v>0</v>
      </c>
      <c r="AR323" s="177">
        <v>164774</v>
      </c>
      <c r="AS323" s="177">
        <v>0</v>
      </c>
      <c r="AT323" s="178">
        <v>0</v>
      </c>
      <c r="AU323" s="178">
        <v>0</v>
      </c>
      <c r="AV323" s="178">
        <v>0</v>
      </c>
      <c r="AW323" s="179">
        <v>0</v>
      </c>
      <c r="AX323" s="180">
        <v>0</v>
      </c>
      <c r="AY323" s="180">
        <v>0</v>
      </c>
      <c r="AZ323" s="180">
        <v>0</v>
      </c>
      <c r="BA323" s="180">
        <v>0</v>
      </c>
      <c r="BB323" s="170">
        <f t="shared" si="95"/>
        <v>1946963</v>
      </c>
      <c r="BC323" s="170">
        <v>1946963.4</v>
      </c>
      <c r="BD323" s="2">
        <f t="shared" si="96"/>
        <v>-0.39999999990686774</v>
      </c>
    </row>
    <row r="324" spans="1:56" ht="12" x14ac:dyDescent="0.2">
      <c r="A324" s="4">
        <v>2860</v>
      </c>
      <c r="B324" s="4">
        <v>1</v>
      </c>
      <c r="C324" s="2" t="s">
        <v>325</v>
      </c>
      <c r="D324" s="3">
        <v>0</v>
      </c>
      <c r="E324" s="3">
        <v>0</v>
      </c>
      <c r="F324" s="227">
        <f t="shared" si="85"/>
        <v>406622.81</v>
      </c>
      <c r="G324" s="227">
        <f t="shared" si="86"/>
        <v>79740.649999999994</v>
      </c>
      <c r="H324" s="227">
        <f t="shared" si="87"/>
        <v>0</v>
      </c>
      <c r="I324" s="227">
        <f t="shared" si="88"/>
        <v>521253.24</v>
      </c>
      <c r="J324" s="227">
        <f t="shared" si="89"/>
        <v>137522.94</v>
      </c>
      <c r="K324" s="227">
        <f t="shared" si="90"/>
        <v>0</v>
      </c>
      <c r="L324" s="227">
        <f t="shared" si="91"/>
        <v>507828.27</v>
      </c>
      <c r="M324" s="3">
        <f t="shared" si="92"/>
        <v>0</v>
      </c>
      <c r="N324" s="227">
        <f t="shared" si="93"/>
        <v>0</v>
      </c>
      <c r="O324" s="142">
        <f t="shared" si="94"/>
        <v>1652967.91</v>
      </c>
      <c r="P324" s="3">
        <f t="shared" si="78"/>
        <v>1166604.45</v>
      </c>
      <c r="Q324" s="3">
        <f t="shared" si="79"/>
        <v>521253.24</v>
      </c>
      <c r="R324" s="3">
        <f t="shared" si="80"/>
        <v>137522.94</v>
      </c>
      <c r="S324" s="3">
        <f t="shared" si="81"/>
        <v>507828.27</v>
      </c>
      <c r="T324" s="3">
        <f t="shared" si="82"/>
        <v>0</v>
      </c>
      <c r="U324" s="3">
        <f>IF($A$5=1,IF($P324=0,0,ROUND(Q324/$P324*$E324,2)),Credits!D323)+Credits!J323</f>
        <v>40328</v>
      </c>
      <c r="V324" s="3">
        <f>IF($A$5=1,IF($P324=0,0,ROUND(R324/$P324*$E324,2)),Credits!E323)+Credits!K323</f>
        <v>10635.079999999998</v>
      </c>
      <c r="W324" s="3">
        <f>IF($A$5=1,IF($P324=0,0,ROUND(S324/$P324*$E324,2)),Credits!F323)+Credits!L323</f>
        <v>39228.769999999997</v>
      </c>
      <c r="X324" s="3">
        <f>IF($A$5=1,IF($P324=0,0,ROUND(T324/$P324*$E324,2)),Credits!G323)+Credits!M323</f>
        <v>0</v>
      </c>
      <c r="Y324" s="3">
        <f t="shared" si="83"/>
        <v>90191.85</v>
      </c>
      <c r="AC324" s="4"/>
      <c r="AD324" s="4"/>
      <c r="AE324" s="2">
        <f t="shared" si="84"/>
        <v>0</v>
      </c>
      <c r="AF324" s="170" t="s">
        <v>1120</v>
      </c>
      <c r="AG324" s="175">
        <v>2860</v>
      </c>
      <c r="AH324" s="175">
        <v>1</v>
      </c>
      <c r="AI324" s="175">
        <v>1</v>
      </c>
      <c r="AJ324" s="176">
        <v>406622.81</v>
      </c>
      <c r="AK324" s="176">
        <v>0</v>
      </c>
      <c r="AL324" s="176">
        <v>79740.649999999994</v>
      </c>
      <c r="AM324" s="176">
        <v>0</v>
      </c>
      <c r="AN324" s="177">
        <v>0</v>
      </c>
      <c r="AO324" s="177">
        <v>0</v>
      </c>
      <c r="AP324" s="177">
        <v>521253.24</v>
      </c>
      <c r="AQ324" s="177">
        <v>0</v>
      </c>
      <c r="AR324" s="177">
        <v>137522.94</v>
      </c>
      <c r="AS324" s="177">
        <v>0</v>
      </c>
      <c r="AT324" s="178">
        <v>0</v>
      </c>
      <c r="AU324" s="178">
        <v>0</v>
      </c>
      <c r="AV324" s="178">
        <v>507828.27</v>
      </c>
      <c r="AW324" s="179">
        <v>0</v>
      </c>
      <c r="AX324" s="180">
        <v>0</v>
      </c>
      <c r="AY324" s="180">
        <v>0</v>
      </c>
      <c r="AZ324" s="180">
        <v>0</v>
      </c>
      <c r="BA324" s="180">
        <v>0</v>
      </c>
      <c r="BB324" s="170">
        <f t="shared" si="95"/>
        <v>1652967.91</v>
      </c>
      <c r="BC324" s="170">
        <v>1652967.91</v>
      </c>
      <c r="BD324" s="2">
        <f t="shared" si="96"/>
        <v>0</v>
      </c>
    </row>
    <row r="325" spans="1:56" ht="12" x14ac:dyDescent="0.2">
      <c r="A325" s="4">
        <v>2884</v>
      </c>
      <c r="B325" s="4">
        <v>1</v>
      </c>
      <c r="C325" s="2" t="s">
        <v>326</v>
      </c>
      <c r="D325" s="3">
        <v>0</v>
      </c>
      <c r="E325" s="3">
        <v>0</v>
      </c>
      <c r="F325" s="227">
        <f t="shared" si="85"/>
        <v>527508</v>
      </c>
      <c r="G325" s="227">
        <f t="shared" si="86"/>
        <v>15526</v>
      </c>
      <c r="H325" s="227">
        <f t="shared" si="87"/>
        <v>0</v>
      </c>
      <c r="I325" s="227">
        <f t="shared" si="88"/>
        <v>380816</v>
      </c>
      <c r="J325" s="227">
        <f t="shared" si="89"/>
        <v>26007</v>
      </c>
      <c r="K325" s="227">
        <f t="shared" si="90"/>
        <v>0</v>
      </c>
      <c r="L325" s="227">
        <f t="shared" si="91"/>
        <v>0</v>
      </c>
      <c r="M325" s="3">
        <f t="shared" si="92"/>
        <v>0</v>
      </c>
      <c r="N325" s="227">
        <f t="shared" si="93"/>
        <v>0</v>
      </c>
      <c r="O325" s="142">
        <f t="shared" si="94"/>
        <v>949857</v>
      </c>
      <c r="P325" s="3">
        <f t="shared" si="78"/>
        <v>406823</v>
      </c>
      <c r="Q325" s="3">
        <f t="shared" si="79"/>
        <v>380816</v>
      </c>
      <c r="R325" s="3">
        <f t="shared" si="80"/>
        <v>26007</v>
      </c>
      <c r="S325" s="3">
        <f t="shared" si="81"/>
        <v>0</v>
      </c>
      <c r="T325" s="3">
        <f t="shared" si="82"/>
        <v>0</v>
      </c>
      <c r="U325" s="3">
        <f>IF($A$5=1,IF($P325=0,0,ROUND(Q325/$P325*$E325,2)),Credits!D324)+Credits!J324</f>
        <v>15362.800000000003</v>
      </c>
      <c r="V325" s="3">
        <f>IF($A$5=1,IF($P325=0,0,ROUND(R325/$P325*$E325,2)),Credits!E324)+Credits!K324</f>
        <v>1052.01</v>
      </c>
      <c r="W325" s="3">
        <f>IF($A$5=1,IF($P325=0,0,ROUND(S325/$P325*$E325,2)),Credits!F324)+Credits!L324</f>
        <v>0</v>
      </c>
      <c r="X325" s="3">
        <f>IF($A$5=1,IF($P325=0,0,ROUND(T325/$P325*$E325,2)),Credits!G324)+Credits!M324</f>
        <v>0</v>
      </c>
      <c r="Y325" s="3">
        <f t="shared" si="83"/>
        <v>16414.810000000001</v>
      </c>
      <c r="AC325" s="4"/>
      <c r="AD325" s="4"/>
      <c r="AE325" s="2">
        <f t="shared" si="84"/>
        <v>0</v>
      </c>
      <c r="AF325" s="170" t="s">
        <v>1120</v>
      </c>
      <c r="AG325" s="175">
        <v>2884</v>
      </c>
      <c r="AH325" s="175">
        <v>1</v>
      </c>
      <c r="AI325" s="175">
        <v>1</v>
      </c>
      <c r="AJ325" s="176">
        <v>527508</v>
      </c>
      <c r="AK325" s="176">
        <v>0</v>
      </c>
      <c r="AL325" s="176">
        <v>15526</v>
      </c>
      <c r="AM325" s="176">
        <v>0</v>
      </c>
      <c r="AN325" s="177">
        <v>0</v>
      </c>
      <c r="AO325" s="177">
        <v>0</v>
      </c>
      <c r="AP325" s="177">
        <v>380816</v>
      </c>
      <c r="AQ325" s="177">
        <v>0</v>
      </c>
      <c r="AR325" s="177">
        <v>26007</v>
      </c>
      <c r="AS325" s="177">
        <v>0</v>
      </c>
      <c r="AT325" s="178">
        <v>0</v>
      </c>
      <c r="AU325" s="178">
        <v>0</v>
      </c>
      <c r="AV325" s="178">
        <v>0</v>
      </c>
      <c r="AW325" s="179">
        <v>0</v>
      </c>
      <c r="AX325" s="180">
        <v>0</v>
      </c>
      <c r="AY325" s="180">
        <v>0</v>
      </c>
      <c r="AZ325" s="180">
        <v>0</v>
      </c>
      <c r="BA325" s="180">
        <v>0</v>
      </c>
      <c r="BB325" s="170">
        <f t="shared" si="95"/>
        <v>949857</v>
      </c>
      <c r="BC325" s="170">
        <v>949857.4</v>
      </c>
      <c r="BD325" s="2">
        <f t="shared" si="96"/>
        <v>-0.40000000002328306</v>
      </c>
    </row>
    <row r="326" spans="1:56" ht="12" x14ac:dyDescent="0.2">
      <c r="A326" s="4">
        <v>2886</v>
      </c>
      <c r="B326" s="4">
        <v>1</v>
      </c>
      <c r="C326" s="2" t="s">
        <v>327</v>
      </c>
      <c r="D326" s="3">
        <v>0</v>
      </c>
      <c r="E326" s="3">
        <v>0</v>
      </c>
      <c r="F326" s="227">
        <f t="shared" si="85"/>
        <v>260034</v>
      </c>
      <c r="G326" s="227">
        <f t="shared" si="86"/>
        <v>25303</v>
      </c>
      <c r="H326" s="227">
        <f t="shared" si="87"/>
        <v>0</v>
      </c>
      <c r="I326" s="227">
        <f t="shared" si="88"/>
        <v>183932</v>
      </c>
      <c r="J326" s="227">
        <f t="shared" si="89"/>
        <v>25668</v>
      </c>
      <c r="K326" s="227">
        <f t="shared" si="90"/>
        <v>0</v>
      </c>
      <c r="L326" s="227">
        <f t="shared" si="91"/>
        <v>0</v>
      </c>
      <c r="M326" s="3">
        <f t="shared" si="92"/>
        <v>0</v>
      </c>
      <c r="N326" s="227">
        <f t="shared" si="93"/>
        <v>0</v>
      </c>
      <c r="O326" s="142">
        <f t="shared" si="94"/>
        <v>494937</v>
      </c>
      <c r="P326" s="3">
        <f t="shared" si="78"/>
        <v>209600</v>
      </c>
      <c r="Q326" s="3">
        <f t="shared" si="79"/>
        <v>183932</v>
      </c>
      <c r="R326" s="3">
        <f t="shared" si="80"/>
        <v>25668</v>
      </c>
      <c r="S326" s="3">
        <f t="shared" si="81"/>
        <v>0</v>
      </c>
      <c r="T326" s="3">
        <f t="shared" si="82"/>
        <v>0</v>
      </c>
      <c r="U326" s="3">
        <f>IF($A$5=1,IF($P326=0,0,ROUND(Q326/$P326*$E326,2)),Credits!D325)+Credits!J325</f>
        <v>5693.6399999999994</v>
      </c>
      <c r="V326" s="3">
        <f>IF($A$5=1,IF($P326=0,0,ROUND(R326/$P326*$E326,2)),Credits!E325)+Credits!K325</f>
        <v>794.07999999999993</v>
      </c>
      <c r="W326" s="3">
        <f>IF($A$5=1,IF($P326=0,0,ROUND(S326/$P326*$E326,2)),Credits!F325)+Credits!L325</f>
        <v>0</v>
      </c>
      <c r="X326" s="3">
        <f>IF($A$5=1,IF($P326=0,0,ROUND(T326/$P326*$E326,2)),Credits!G325)+Credits!M325</f>
        <v>0</v>
      </c>
      <c r="Y326" s="3">
        <f t="shared" si="83"/>
        <v>6487.7199999999993</v>
      </c>
      <c r="AC326" s="4"/>
      <c r="AD326" s="4"/>
      <c r="AE326" s="2">
        <f t="shared" si="84"/>
        <v>0</v>
      </c>
      <c r="AF326" s="170" t="s">
        <v>1120</v>
      </c>
      <c r="AG326" s="175">
        <v>2886</v>
      </c>
      <c r="AH326" s="175">
        <v>1</v>
      </c>
      <c r="AI326" s="175">
        <v>1</v>
      </c>
      <c r="AJ326" s="176">
        <v>260034</v>
      </c>
      <c r="AK326" s="176">
        <v>0</v>
      </c>
      <c r="AL326" s="176">
        <v>25303</v>
      </c>
      <c r="AM326" s="176">
        <v>0</v>
      </c>
      <c r="AN326" s="177">
        <v>0</v>
      </c>
      <c r="AO326" s="177">
        <v>0</v>
      </c>
      <c r="AP326" s="177">
        <v>183932</v>
      </c>
      <c r="AQ326" s="177">
        <v>0</v>
      </c>
      <c r="AR326" s="177">
        <v>25668</v>
      </c>
      <c r="AS326" s="177">
        <v>0</v>
      </c>
      <c r="AT326" s="178">
        <v>0</v>
      </c>
      <c r="AU326" s="178">
        <v>0</v>
      </c>
      <c r="AV326" s="178">
        <v>0</v>
      </c>
      <c r="AW326" s="179">
        <v>0</v>
      </c>
      <c r="AX326" s="180">
        <v>0</v>
      </c>
      <c r="AY326" s="180">
        <v>0</v>
      </c>
      <c r="AZ326" s="180">
        <v>0</v>
      </c>
      <c r="BA326" s="180">
        <v>0</v>
      </c>
      <c r="BB326" s="170">
        <f t="shared" si="95"/>
        <v>494937</v>
      </c>
      <c r="BC326" s="170">
        <v>494937.62</v>
      </c>
      <c r="BD326" s="2">
        <f t="shared" si="96"/>
        <v>-0.61999999999534339</v>
      </c>
    </row>
    <row r="327" spans="1:56" ht="12" x14ac:dyDescent="0.2">
      <c r="A327" s="4">
        <v>2888</v>
      </c>
      <c r="B327" s="4">
        <v>1</v>
      </c>
      <c r="C327" s="2" t="s">
        <v>1135</v>
      </c>
      <c r="D327" s="3">
        <v>0</v>
      </c>
      <c r="E327" s="3">
        <v>0</v>
      </c>
      <c r="F327" s="227">
        <f t="shared" si="85"/>
        <v>194141.15</v>
      </c>
      <c r="G327" s="227">
        <f t="shared" si="86"/>
        <v>17615.95</v>
      </c>
      <c r="H327" s="227">
        <f t="shared" si="87"/>
        <v>0</v>
      </c>
      <c r="I327" s="227">
        <f t="shared" si="88"/>
        <v>133876.13</v>
      </c>
      <c r="J327" s="227">
        <f t="shared" si="89"/>
        <v>14027.49</v>
      </c>
      <c r="K327" s="227">
        <f t="shared" si="90"/>
        <v>213641.2</v>
      </c>
      <c r="L327" s="227">
        <f t="shared" si="91"/>
        <v>0</v>
      </c>
      <c r="M327" s="3">
        <f t="shared" si="92"/>
        <v>0</v>
      </c>
      <c r="N327" s="227">
        <f t="shared" si="93"/>
        <v>0</v>
      </c>
      <c r="O327" s="142">
        <f t="shared" si="94"/>
        <v>573301.91999999993</v>
      </c>
      <c r="P327" s="3">
        <f t="shared" si="78"/>
        <v>361544.82</v>
      </c>
      <c r="Q327" s="3">
        <f t="shared" si="79"/>
        <v>133876.13</v>
      </c>
      <c r="R327" s="3">
        <f t="shared" si="80"/>
        <v>14027.49</v>
      </c>
      <c r="S327" s="3">
        <f t="shared" si="81"/>
        <v>213641.2</v>
      </c>
      <c r="T327" s="3">
        <f t="shared" si="82"/>
        <v>0</v>
      </c>
      <c r="U327" s="3">
        <f>IF($A$5=1,IF($P327=0,0,ROUND(Q327/$P327*$E327,2)),Credits!D326)+Credits!J326</f>
        <v>6321.7100000000009</v>
      </c>
      <c r="V327" s="3">
        <f>IF($A$5=1,IF($P327=0,0,ROUND(R327/$P327*$E327,2)),Credits!E326)+Credits!K326</f>
        <v>665.21</v>
      </c>
      <c r="W327" s="3">
        <f>IF($A$5=1,IF($P327=0,0,ROUND(S327/$P327*$E327,2)),Credits!F326)+Credits!L326</f>
        <v>10095.740000000002</v>
      </c>
      <c r="X327" s="3">
        <f>IF($A$5=1,IF($P327=0,0,ROUND(T327/$P327*$E327,2)),Credits!G326)+Credits!M326</f>
        <v>0</v>
      </c>
      <c r="Y327" s="3">
        <f t="shared" si="83"/>
        <v>17082.660000000003</v>
      </c>
      <c r="AC327" s="4"/>
      <c r="AD327" s="4"/>
      <c r="AE327" s="2">
        <f t="shared" si="84"/>
        <v>0</v>
      </c>
      <c r="AF327" s="170" t="s">
        <v>1120</v>
      </c>
      <c r="AG327" s="175">
        <v>2888</v>
      </c>
      <c r="AH327" s="175">
        <v>1</v>
      </c>
      <c r="AI327" s="175">
        <v>1</v>
      </c>
      <c r="AJ327" s="176">
        <v>194141.15</v>
      </c>
      <c r="AK327" s="176">
        <v>0</v>
      </c>
      <c r="AL327" s="176">
        <v>17615.95</v>
      </c>
      <c r="AM327" s="176">
        <v>0</v>
      </c>
      <c r="AN327" s="177">
        <v>0</v>
      </c>
      <c r="AO327" s="177">
        <v>0</v>
      </c>
      <c r="AP327" s="177">
        <v>133876.13</v>
      </c>
      <c r="AQ327" s="177">
        <v>0</v>
      </c>
      <c r="AR327" s="177">
        <v>14027.49</v>
      </c>
      <c r="AS327" s="177">
        <v>0</v>
      </c>
      <c r="AT327" s="178">
        <v>213641.2</v>
      </c>
      <c r="AU327" s="178">
        <v>0</v>
      </c>
      <c r="AV327" s="178">
        <v>0</v>
      </c>
      <c r="AW327" s="179">
        <v>0</v>
      </c>
      <c r="AX327" s="180">
        <v>0</v>
      </c>
      <c r="AY327" s="180">
        <v>0</v>
      </c>
      <c r="AZ327" s="180">
        <v>0</v>
      </c>
      <c r="BA327" s="180">
        <v>0</v>
      </c>
      <c r="BB327" s="170">
        <f t="shared" si="95"/>
        <v>573301.91999999993</v>
      </c>
      <c r="BC327" s="170">
        <v>573301.92000000004</v>
      </c>
      <c r="BD327" s="2">
        <f t="shared" si="96"/>
        <v>0</v>
      </c>
    </row>
    <row r="328" spans="1:56" ht="12" x14ac:dyDescent="0.2">
      <c r="A328" s="4">
        <v>2889</v>
      </c>
      <c r="B328" s="4">
        <v>1</v>
      </c>
      <c r="C328" s="2" t="s">
        <v>1134</v>
      </c>
      <c r="D328" s="3">
        <v>0</v>
      </c>
      <c r="E328" s="3">
        <v>0</v>
      </c>
      <c r="F328" s="227">
        <f t="shared" si="85"/>
        <v>470324.23</v>
      </c>
      <c r="G328" s="227">
        <f t="shared" si="86"/>
        <v>217534.32</v>
      </c>
      <c r="H328" s="227">
        <f t="shared" si="87"/>
        <v>0</v>
      </c>
      <c r="I328" s="227">
        <f t="shared" si="88"/>
        <v>358716.45</v>
      </c>
      <c r="J328" s="227">
        <f t="shared" si="89"/>
        <v>73621.100000000006</v>
      </c>
      <c r="K328" s="227">
        <f t="shared" si="90"/>
        <v>1340829.8999999999</v>
      </c>
      <c r="L328" s="227">
        <f t="shared" si="91"/>
        <v>0</v>
      </c>
      <c r="M328" s="3">
        <f t="shared" si="92"/>
        <v>0</v>
      </c>
      <c r="N328" s="227">
        <f t="shared" si="93"/>
        <v>0</v>
      </c>
      <c r="O328" s="142">
        <f t="shared" si="94"/>
        <v>2461026</v>
      </c>
      <c r="P328" s="3">
        <f t="shared" ref="P328:P340" si="97">SUM(H328:N328)</f>
        <v>1773167.45</v>
      </c>
      <c r="Q328" s="3">
        <f t="shared" ref="Q328:Q340" si="98">SUM(H328:I328)</f>
        <v>358716.45</v>
      </c>
      <c r="R328" s="3">
        <f t="shared" ref="R328:R340" si="99">J328</f>
        <v>73621.100000000006</v>
      </c>
      <c r="S328" s="3">
        <f t="shared" ref="S328:S340" si="100">K328+L328</f>
        <v>1340829.8999999999</v>
      </c>
      <c r="T328" s="3">
        <f t="shared" ref="T328:T340" si="101">N328+M328</f>
        <v>0</v>
      </c>
      <c r="U328" s="3">
        <f>IF($A$5=1,IF($P328=0,0,ROUND(Q328/$P328*$E328,2)),Credits!D327)+Credits!J327</f>
        <v>3995.0699999999993</v>
      </c>
      <c r="V328" s="3">
        <f>IF($A$5=1,IF($P328=0,0,ROUND(R328/$P328*$E328,2)),Credits!E327)+Credits!K327</f>
        <v>819.94</v>
      </c>
      <c r="W328" s="3">
        <f>IF($A$5=1,IF($P328=0,0,ROUND(S328/$P328*$E328,2)),Credits!F327)+Credits!L327</f>
        <v>14934.079999999998</v>
      </c>
      <c r="X328" s="3">
        <f>IF($A$5=1,IF($P328=0,0,ROUND(T328/$P328*$E328,2)),Credits!G327)+Credits!M327</f>
        <v>0</v>
      </c>
      <c r="Y328" s="3">
        <f t="shared" ref="Y328:Y340" si="102">SUM(U328:X328)</f>
        <v>19749.089999999997</v>
      </c>
      <c r="AC328" s="4"/>
      <c r="AD328" s="4"/>
      <c r="AE328" s="2">
        <f t="shared" si="84"/>
        <v>0</v>
      </c>
      <c r="AF328" s="170" t="s">
        <v>1120</v>
      </c>
      <c r="AG328" s="175">
        <v>2889</v>
      </c>
      <c r="AH328" s="175">
        <v>1</v>
      </c>
      <c r="AI328" s="175">
        <v>1</v>
      </c>
      <c r="AJ328" s="176">
        <v>470324.23</v>
      </c>
      <c r="AK328" s="176">
        <v>0</v>
      </c>
      <c r="AL328" s="176">
        <v>217534.32</v>
      </c>
      <c r="AM328" s="176">
        <v>0</v>
      </c>
      <c r="AN328" s="177">
        <v>0</v>
      </c>
      <c r="AO328" s="177">
        <v>0</v>
      </c>
      <c r="AP328" s="177">
        <v>358716.45</v>
      </c>
      <c r="AQ328" s="177">
        <v>0</v>
      </c>
      <c r="AR328" s="177">
        <v>73621.100000000006</v>
      </c>
      <c r="AS328" s="177">
        <v>0</v>
      </c>
      <c r="AT328" s="178">
        <v>1340829.8999999999</v>
      </c>
      <c r="AU328" s="178">
        <v>0</v>
      </c>
      <c r="AV328" s="178">
        <v>0</v>
      </c>
      <c r="AW328" s="179">
        <v>0</v>
      </c>
      <c r="AX328" s="180">
        <v>0</v>
      </c>
      <c r="AY328" s="180">
        <v>0</v>
      </c>
      <c r="AZ328" s="180">
        <v>0</v>
      </c>
      <c r="BA328" s="180">
        <v>0</v>
      </c>
      <c r="BB328" s="170">
        <f t="shared" si="95"/>
        <v>2461026</v>
      </c>
      <c r="BC328" s="170">
        <v>2461026</v>
      </c>
      <c r="BD328" s="2">
        <f t="shared" si="96"/>
        <v>0</v>
      </c>
    </row>
    <row r="329" spans="1:56" ht="12" x14ac:dyDescent="0.2">
      <c r="A329" s="4">
        <v>2890</v>
      </c>
      <c r="B329" s="4">
        <v>1</v>
      </c>
      <c r="C329" s="2" t="s">
        <v>1133</v>
      </c>
      <c r="D329" s="3">
        <v>0</v>
      </c>
      <c r="E329" s="3">
        <v>0</v>
      </c>
      <c r="F329" s="227">
        <f t="shared" si="85"/>
        <v>932288.32</v>
      </c>
      <c r="G329" s="227">
        <f t="shared" si="86"/>
        <v>16658.650000000001</v>
      </c>
      <c r="H329" s="227">
        <f t="shared" si="87"/>
        <v>0</v>
      </c>
      <c r="I329" s="227">
        <f t="shared" si="88"/>
        <v>359599.38</v>
      </c>
      <c r="J329" s="227">
        <f t="shared" si="89"/>
        <v>67636.639999999999</v>
      </c>
      <c r="K329" s="227">
        <f t="shared" si="90"/>
        <v>0</v>
      </c>
      <c r="L329" s="227">
        <f t="shared" si="91"/>
        <v>395388</v>
      </c>
      <c r="M329" s="3">
        <f t="shared" si="92"/>
        <v>0</v>
      </c>
      <c r="N329" s="227">
        <f t="shared" si="93"/>
        <v>0</v>
      </c>
      <c r="O329" s="142">
        <f t="shared" si="94"/>
        <v>1771570.99</v>
      </c>
      <c r="P329" s="3">
        <f t="shared" si="97"/>
        <v>822624.02</v>
      </c>
      <c r="Q329" s="3">
        <f t="shared" si="98"/>
        <v>359599.38</v>
      </c>
      <c r="R329" s="3">
        <f t="shared" si="99"/>
        <v>67636.639999999999</v>
      </c>
      <c r="S329" s="3">
        <f t="shared" si="100"/>
        <v>395388</v>
      </c>
      <c r="T329" s="3">
        <f t="shared" si="101"/>
        <v>0</v>
      </c>
      <c r="U329" s="3">
        <f>IF($A$5=1,IF($P329=0,0,ROUND(Q329/$P329*$E329,2)),Credits!D328)+Credits!J328</f>
        <v>16050.09</v>
      </c>
      <c r="V329" s="3">
        <f>IF($A$5=1,IF($P329=0,0,ROUND(R329/$P329*$E329,2)),Credits!E328)+Credits!K328</f>
        <v>3022.83</v>
      </c>
      <c r="W329" s="3">
        <f>IF($A$5=1,IF($P329=0,0,ROUND(S329/$P329*$E329,2)),Credits!F328)+Credits!L328</f>
        <v>17643.739999999998</v>
      </c>
      <c r="X329" s="3">
        <f>IF($A$5=1,IF($P329=0,0,ROUND(T329/$P329*$E329,2)),Credits!G328)+Credits!M328</f>
        <v>0</v>
      </c>
      <c r="Y329" s="3">
        <f t="shared" si="102"/>
        <v>36716.659999999996</v>
      </c>
      <c r="AC329" s="4"/>
      <c r="AD329" s="4"/>
      <c r="AE329" s="2">
        <f t="shared" ref="AE329:AE340" si="103">+A329-AG329</f>
        <v>0</v>
      </c>
      <c r="AF329" s="170" t="s">
        <v>1120</v>
      </c>
      <c r="AG329" s="175">
        <v>2890</v>
      </c>
      <c r="AH329" s="175">
        <v>1</v>
      </c>
      <c r="AI329" s="175">
        <v>1</v>
      </c>
      <c r="AJ329" s="176">
        <v>932288.32</v>
      </c>
      <c r="AK329" s="176">
        <v>0</v>
      </c>
      <c r="AL329" s="176">
        <v>16658.650000000001</v>
      </c>
      <c r="AM329" s="176">
        <v>0</v>
      </c>
      <c r="AN329" s="177">
        <v>0</v>
      </c>
      <c r="AO329" s="177">
        <v>0</v>
      </c>
      <c r="AP329" s="177">
        <v>359599.38</v>
      </c>
      <c r="AQ329" s="177">
        <v>0</v>
      </c>
      <c r="AR329" s="177">
        <v>67636.639999999999</v>
      </c>
      <c r="AS329" s="177">
        <v>0</v>
      </c>
      <c r="AT329" s="178">
        <v>0</v>
      </c>
      <c r="AU329" s="178">
        <v>0</v>
      </c>
      <c r="AV329" s="178">
        <v>395388</v>
      </c>
      <c r="AW329" s="179">
        <v>0</v>
      </c>
      <c r="AX329" s="180">
        <v>0</v>
      </c>
      <c r="AY329" s="180">
        <v>0</v>
      </c>
      <c r="AZ329" s="180">
        <v>0</v>
      </c>
      <c r="BA329" s="180">
        <v>0</v>
      </c>
      <c r="BB329" s="170">
        <f t="shared" si="95"/>
        <v>1771570.99</v>
      </c>
      <c r="BC329" s="170">
        <v>1771570.99</v>
      </c>
      <c r="BD329" s="2">
        <f t="shared" si="96"/>
        <v>0</v>
      </c>
    </row>
    <row r="330" spans="1:56" ht="12" x14ac:dyDescent="0.2">
      <c r="A330" s="4">
        <v>2895</v>
      </c>
      <c r="B330" s="4">
        <v>1</v>
      </c>
      <c r="C330" s="2" t="s">
        <v>1132</v>
      </c>
      <c r="D330" s="3">
        <v>0</v>
      </c>
      <c r="E330" s="3">
        <v>0</v>
      </c>
      <c r="F330" s="227">
        <f t="shared" ref="F330:F340" si="104">+AJ330+AK330</f>
        <v>858492.17</v>
      </c>
      <c r="G330" s="227">
        <f t="shared" ref="G330:G340" si="105">+AL330+AM330</f>
        <v>73576.61</v>
      </c>
      <c r="H330" s="227">
        <f t="shared" ref="H330:H340" si="106">+AN330+AO330</f>
        <v>0</v>
      </c>
      <c r="I330" s="227">
        <f t="shared" ref="I330:I340" si="107">+AP330+AQ330</f>
        <v>719446.14</v>
      </c>
      <c r="J330" s="227">
        <f t="shared" ref="J330:J340" si="108">+AR330+AS330</f>
        <v>116457.54</v>
      </c>
      <c r="K330" s="227">
        <f t="shared" ref="K330:K340" si="109">+AT330+AU330</f>
        <v>1375014.66</v>
      </c>
      <c r="L330" s="227">
        <f t="shared" ref="L330:L340" si="110">+AV330+AW330</f>
        <v>0</v>
      </c>
      <c r="M330" s="3">
        <f t="shared" ref="M330:M340" si="111">+AX330+AY330</f>
        <v>0</v>
      </c>
      <c r="N330" s="227">
        <f t="shared" ref="N330:N340" si="112">+AZ330+BA330</f>
        <v>0</v>
      </c>
      <c r="O330" s="142">
        <f t="shared" ref="O330:O340" si="113">SUM(F330:N330)</f>
        <v>3142987.12</v>
      </c>
      <c r="P330" s="3">
        <f t="shared" si="97"/>
        <v>2210918.34</v>
      </c>
      <c r="Q330" s="3">
        <f t="shared" si="98"/>
        <v>719446.14</v>
      </c>
      <c r="R330" s="3">
        <f t="shared" si="99"/>
        <v>116457.54</v>
      </c>
      <c r="S330" s="3">
        <f t="shared" si="100"/>
        <v>1375014.66</v>
      </c>
      <c r="T330" s="3">
        <f t="shared" si="101"/>
        <v>0</v>
      </c>
      <c r="U330" s="3">
        <f>IF($A$5=1,IF($P330=0,0,ROUND(Q330/$P330*$E330,2)),Credits!D329)+Credits!J329</f>
        <v>31785.02</v>
      </c>
      <c r="V330" s="3">
        <f>IF($A$5=1,IF($P330=0,0,ROUND(R330/$P330*$E330,2)),Credits!E329)+Credits!K329</f>
        <v>5140.7300000000005</v>
      </c>
      <c r="W330" s="3">
        <f>IF($A$5=1,IF($P330=0,0,ROUND(S330/$P330*$E330,2)),Credits!F329)+Credits!L329</f>
        <v>60319.83</v>
      </c>
      <c r="X330" s="3">
        <f>IF($A$5=1,IF($P330=0,0,ROUND(T330/$P330*$E330,2)),Credits!G329)+Credits!M329</f>
        <v>0</v>
      </c>
      <c r="Y330" s="3">
        <f t="shared" si="102"/>
        <v>97245.58</v>
      </c>
      <c r="AC330" s="4"/>
      <c r="AD330" s="4"/>
      <c r="AE330" s="2">
        <f t="shared" si="103"/>
        <v>0</v>
      </c>
      <c r="AF330" s="170" t="s">
        <v>1120</v>
      </c>
      <c r="AG330" s="175">
        <v>2895</v>
      </c>
      <c r="AH330" s="175">
        <v>1</v>
      </c>
      <c r="AI330" s="175">
        <v>1</v>
      </c>
      <c r="AJ330" s="176">
        <v>858492.17</v>
      </c>
      <c r="AK330" s="176">
        <v>0</v>
      </c>
      <c r="AL330" s="176">
        <v>73576.61</v>
      </c>
      <c r="AM330" s="176">
        <v>0</v>
      </c>
      <c r="AN330" s="177">
        <v>0</v>
      </c>
      <c r="AO330" s="177">
        <v>0</v>
      </c>
      <c r="AP330" s="177">
        <v>719446.14</v>
      </c>
      <c r="AQ330" s="177">
        <v>0</v>
      </c>
      <c r="AR330" s="177">
        <v>116457.54</v>
      </c>
      <c r="AS330" s="177">
        <v>0</v>
      </c>
      <c r="AT330" s="178">
        <v>1375014.66</v>
      </c>
      <c r="AU330" s="178">
        <v>0</v>
      </c>
      <c r="AV330" s="178">
        <v>0</v>
      </c>
      <c r="AW330" s="179">
        <v>0</v>
      </c>
      <c r="AX330" s="180">
        <v>0</v>
      </c>
      <c r="AY330" s="180">
        <v>0</v>
      </c>
      <c r="AZ330" s="180">
        <v>0</v>
      </c>
      <c r="BA330" s="180">
        <v>0</v>
      </c>
      <c r="BB330" s="170">
        <f t="shared" ref="BB330:BB340" si="114">SUM(AJ330:BA330)</f>
        <v>3142987.12</v>
      </c>
      <c r="BC330" s="170">
        <v>3142987.12</v>
      </c>
      <c r="BD330" s="2">
        <f t="shared" ref="BD330:BD340" si="115">BB330-BC330</f>
        <v>0</v>
      </c>
    </row>
    <row r="331" spans="1:56" ht="12" x14ac:dyDescent="0.2">
      <c r="A331" s="4">
        <v>2897</v>
      </c>
      <c r="B331" s="4">
        <v>1</v>
      </c>
      <c r="C331" s="2" t="s">
        <v>1131</v>
      </c>
      <c r="D331" s="3">
        <v>0</v>
      </c>
      <c r="E331" s="3">
        <v>0</v>
      </c>
      <c r="F331" s="227">
        <f t="shared" si="104"/>
        <v>672474</v>
      </c>
      <c r="G331" s="227">
        <f t="shared" si="105"/>
        <v>78210</v>
      </c>
      <c r="H331" s="227">
        <f t="shared" si="106"/>
        <v>0</v>
      </c>
      <c r="I331" s="227">
        <f t="shared" si="107"/>
        <v>543771</v>
      </c>
      <c r="J331" s="227">
        <f t="shared" si="108"/>
        <v>122565</v>
      </c>
      <c r="K331" s="227">
        <f t="shared" si="109"/>
        <v>1104850</v>
      </c>
      <c r="L331" s="227">
        <f t="shared" si="110"/>
        <v>0</v>
      </c>
      <c r="M331" s="3">
        <f t="shared" si="111"/>
        <v>0</v>
      </c>
      <c r="N331" s="227">
        <f t="shared" si="112"/>
        <v>0</v>
      </c>
      <c r="O331" s="142">
        <f t="shared" si="113"/>
        <v>2521870</v>
      </c>
      <c r="P331" s="3">
        <f t="shared" si="97"/>
        <v>1771186</v>
      </c>
      <c r="Q331" s="3">
        <f t="shared" si="98"/>
        <v>543771</v>
      </c>
      <c r="R331" s="3">
        <f t="shared" si="99"/>
        <v>122565</v>
      </c>
      <c r="S331" s="3">
        <f t="shared" si="100"/>
        <v>1104850</v>
      </c>
      <c r="T331" s="3">
        <f t="shared" si="101"/>
        <v>0</v>
      </c>
      <c r="U331" s="3">
        <f>IF($A$5=1,IF($P331=0,0,ROUND(Q331/$P331*$E331,2)),Credits!D330)+Credits!J330</f>
        <v>14884.4</v>
      </c>
      <c r="V331" s="3">
        <f>IF($A$5=1,IF($P331=0,0,ROUND(R331/$P331*$E331,2)),Credits!E330)+Credits!K330</f>
        <v>3356.9700000000003</v>
      </c>
      <c r="W331" s="3">
        <f>IF($A$5=1,IF($P331=0,0,ROUND(S331/$P331*$E331,2)),Credits!F330)+Credits!L330</f>
        <v>24706.339999999997</v>
      </c>
      <c r="X331" s="3">
        <f>IF($A$5=1,IF($P331=0,0,ROUND(T331/$P331*$E331,2)),Credits!G330)+Credits!M330</f>
        <v>0</v>
      </c>
      <c r="Y331" s="3">
        <f t="shared" si="102"/>
        <v>42947.709999999992</v>
      </c>
      <c r="AC331" s="4"/>
      <c r="AD331" s="4"/>
      <c r="AE331" s="2">
        <f t="shared" si="103"/>
        <v>0</v>
      </c>
      <c r="AF331" s="170" t="s">
        <v>1120</v>
      </c>
      <c r="AG331" s="175">
        <v>2897</v>
      </c>
      <c r="AH331" s="175">
        <v>1</v>
      </c>
      <c r="AI331" s="175">
        <v>1</v>
      </c>
      <c r="AJ331" s="176">
        <v>672474</v>
      </c>
      <c r="AK331" s="176">
        <v>0</v>
      </c>
      <c r="AL331" s="176">
        <v>78210</v>
      </c>
      <c r="AM331" s="176">
        <v>0</v>
      </c>
      <c r="AN331" s="177">
        <v>0</v>
      </c>
      <c r="AO331" s="177">
        <v>0</v>
      </c>
      <c r="AP331" s="177">
        <v>543771</v>
      </c>
      <c r="AQ331" s="177">
        <v>0</v>
      </c>
      <c r="AR331" s="177">
        <v>122565</v>
      </c>
      <c r="AS331" s="177">
        <v>0</v>
      </c>
      <c r="AT331" s="178">
        <v>1104850</v>
      </c>
      <c r="AU331" s="178">
        <v>0</v>
      </c>
      <c r="AV331" s="178">
        <v>0</v>
      </c>
      <c r="AW331" s="179">
        <v>0</v>
      </c>
      <c r="AX331" s="180">
        <v>0</v>
      </c>
      <c r="AY331" s="180">
        <v>0</v>
      </c>
      <c r="AZ331" s="180">
        <v>0</v>
      </c>
      <c r="BA331" s="180">
        <v>0</v>
      </c>
      <c r="BB331" s="170">
        <f t="shared" si="114"/>
        <v>2521870</v>
      </c>
      <c r="BC331" s="170">
        <v>2521869.48</v>
      </c>
      <c r="BD331" s="2">
        <f t="shared" si="115"/>
        <v>0.52000000001862645</v>
      </c>
    </row>
    <row r="332" spans="1:56" ht="12" x14ac:dyDescent="0.2">
      <c r="A332" s="4">
        <v>2898</v>
      </c>
      <c r="B332" s="4">
        <v>1</v>
      </c>
      <c r="C332" s="2" t="s">
        <v>1130</v>
      </c>
      <c r="D332" s="3">
        <v>0</v>
      </c>
      <c r="E332" s="3">
        <v>0</v>
      </c>
      <c r="F332" s="227">
        <f t="shared" si="104"/>
        <v>122692</v>
      </c>
      <c r="G332" s="227">
        <f t="shared" si="105"/>
        <v>37942</v>
      </c>
      <c r="H332" s="227">
        <f t="shared" si="106"/>
        <v>0</v>
      </c>
      <c r="I332" s="227">
        <f t="shared" si="107"/>
        <v>216089</v>
      </c>
      <c r="J332" s="227">
        <f t="shared" si="108"/>
        <v>40705</v>
      </c>
      <c r="K332" s="227">
        <f t="shared" si="109"/>
        <v>0</v>
      </c>
      <c r="L332" s="227">
        <f t="shared" si="110"/>
        <v>0</v>
      </c>
      <c r="M332" s="3">
        <f t="shared" si="111"/>
        <v>0</v>
      </c>
      <c r="N332" s="227">
        <f t="shared" si="112"/>
        <v>0</v>
      </c>
      <c r="O332" s="142">
        <f t="shared" si="113"/>
        <v>417428</v>
      </c>
      <c r="P332" s="3">
        <f t="shared" si="97"/>
        <v>256794</v>
      </c>
      <c r="Q332" s="3">
        <f t="shared" si="98"/>
        <v>216089</v>
      </c>
      <c r="R332" s="3">
        <f t="shared" si="99"/>
        <v>40705</v>
      </c>
      <c r="S332" s="3">
        <f t="shared" si="100"/>
        <v>0</v>
      </c>
      <c r="T332" s="3">
        <f t="shared" si="101"/>
        <v>0</v>
      </c>
      <c r="U332" s="3">
        <f>IF($A$5=1,IF($P332=0,0,ROUND(Q332/$P332*$E332,2)),Credits!D331)+Credits!J331</f>
        <v>10832.05</v>
      </c>
      <c r="V332" s="3">
        <f>IF($A$5=1,IF($P332=0,0,ROUND(R332/$P332*$E332,2)),Credits!E331)+Credits!K331</f>
        <v>2044.2099999999996</v>
      </c>
      <c r="W332" s="3">
        <f>IF($A$5=1,IF($P332=0,0,ROUND(S332/$P332*$E332,2)),Credits!F331)+Credits!L331</f>
        <v>0</v>
      </c>
      <c r="X332" s="3">
        <f>IF($A$5=1,IF($P332=0,0,ROUND(T332/$P332*$E332,2)),Credits!G331)+Credits!M331</f>
        <v>0</v>
      </c>
      <c r="Y332" s="3">
        <f t="shared" si="102"/>
        <v>12876.259999999998</v>
      </c>
      <c r="AC332" s="4"/>
      <c r="AD332" s="4"/>
      <c r="AE332" s="2">
        <f t="shared" si="103"/>
        <v>0</v>
      </c>
      <c r="AF332" s="170" t="s">
        <v>1120</v>
      </c>
      <c r="AG332" s="175">
        <v>2898</v>
      </c>
      <c r="AH332" s="175">
        <v>1</v>
      </c>
      <c r="AI332" s="175">
        <v>1</v>
      </c>
      <c r="AJ332" s="176">
        <v>122692</v>
      </c>
      <c r="AK332" s="176">
        <v>0</v>
      </c>
      <c r="AL332" s="176">
        <v>37942</v>
      </c>
      <c r="AM332" s="176">
        <v>0</v>
      </c>
      <c r="AN332" s="177">
        <v>0</v>
      </c>
      <c r="AO332" s="177">
        <v>0</v>
      </c>
      <c r="AP332" s="177">
        <v>216089</v>
      </c>
      <c r="AQ332" s="177">
        <v>0</v>
      </c>
      <c r="AR332" s="177">
        <v>40705</v>
      </c>
      <c r="AS332" s="177">
        <v>0</v>
      </c>
      <c r="AT332" s="178">
        <v>0</v>
      </c>
      <c r="AU332" s="178">
        <v>0</v>
      </c>
      <c r="AV332" s="178">
        <v>0</v>
      </c>
      <c r="AW332" s="179">
        <v>0</v>
      </c>
      <c r="AX332" s="180">
        <v>0</v>
      </c>
      <c r="AY332" s="180">
        <v>0</v>
      </c>
      <c r="AZ332" s="180">
        <v>0</v>
      </c>
      <c r="BA332" s="180">
        <v>0</v>
      </c>
      <c r="BB332" s="170">
        <f t="shared" si="114"/>
        <v>417428</v>
      </c>
      <c r="BC332" s="170">
        <v>417427.94</v>
      </c>
      <c r="BD332" s="2">
        <f t="shared" si="115"/>
        <v>5.9999999997671694E-2</v>
      </c>
    </row>
    <row r="333" spans="1:56" ht="12" x14ac:dyDescent="0.2">
      <c r="A333" s="4">
        <v>2899</v>
      </c>
      <c r="B333" s="4">
        <v>1</v>
      </c>
      <c r="C333" s="2" t="s">
        <v>1079</v>
      </c>
      <c r="D333" s="3">
        <v>0</v>
      </c>
      <c r="E333" s="3">
        <v>0</v>
      </c>
      <c r="F333" s="227">
        <f t="shared" si="104"/>
        <v>180972</v>
      </c>
      <c r="G333" s="227">
        <f t="shared" si="105"/>
        <v>138351</v>
      </c>
      <c r="H333" s="227">
        <f t="shared" si="106"/>
        <v>0</v>
      </c>
      <c r="I333" s="227">
        <f t="shared" si="107"/>
        <v>574002</v>
      </c>
      <c r="J333" s="227">
        <f t="shared" si="108"/>
        <v>68578</v>
      </c>
      <c r="K333" s="227">
        <f t="shared" si="109"/>
        <v>560118</v>
      </c>
      <c r="L333" s="227">
        <f t="shared" si="110"/>
        <v>428753</v>
      </c>
      <c r="M333" s="3">
        <f t="shared" si="111"/>
        <v>0</v>
      </c>
      <c r="N333" s="227">
        <f t="shared" si="112"/>
        <v>0</v>
      </c>
      <c r="O333" s="142">
        <f t="shared" si="113"/>
        <v>1950774</v>
      </c>
      <c r="P333" s="3">
        <f t="shared" si="97"/>
        <v>1631451</v>
      </c>
      <c r="Q333" s="3">
        <f t="shared" si="98"/>
        <v>574002</v>
      </c>
      <c r="R333" s="3">
        <f t="shared" si="99"/>
        <v>68578</v>
      </c>
      <c r="S333" s="3">
        <f t="shared" si="100"/>
        <v>988871</v>
      </c>
      <c r="T333" s="3">
        <f t="shared" si="101"/>
        <v>0</v>
      </c>
      <c r="U333" s="3">
        <f>IF($A$5=1,IF($P333=0,0,ROUND(Q333/$P333*$E333,2)),Credits!D332)+Credits!J332</f>
        <v>11481.979999999998</v>
      </c>
      <c r="V333" s="3">
        <f>IF($A$5=1,IF($P333=0,0,ROUND(R333/$P333*$E333,2)),Credits!E332)+Credits!K332</f>
        <v>1372.18</v>
      </c>
      <c r="W333" s="3">
        <f>IF($A$5=1,IF($P333=0,0,ROUND(S333/$P333*$E333,2)),Credits!F332)+Credits!L332</f>
        <v>19745.449999999997</v>
      </c>
      <c r="X333" s="3">
        <f>IF($A$5=1,IF($P333=0,0,ROUND(T333/$P333*$E333,2)),Credits!G332)+Credits!M332</f>
        <v>0</v>
      </c>
      <c r="Y333" s="3">
        <f t="shared" si="102"/>
        <v>32599.609999999993</v>
      </c>
      <c r="AC333" s="4"/>
      <c r="AD333" s="4"/>
      <c r="AE333" s="2">
        <f t="shared" si="103"/>
        <v>0</v>
      </c>
      <c r="AF333" s="170" t="s">
        <v>1120</v>
      </c>
      <c r="AG333" s="175">
        <v>2899</v>
      </c>
      <c r="AH333" s="175">
        <v>1</v>
      </c>
      <c r="AI333" s="175">
        <v>1</v>
      </c>
      <c r="AJ333" s="176">
        <v>180972</v>
      </c>
      <c r="AK333" s="176">
        <v>0</v>
      </c>
      <c r="AL333" s="176">
        <v>138351</v>
      </c>
      <c r="AM333" s="176">
        <v>0</v>
      </c>
      <c r="AN333" s="177">
        <v>0</v>
      </c>
      <c r="AO333" s="177">
        <v>0</v>
      </c>
      <c r="AP333" s="177">
        <v>574002</v>
      </c>
      <c r="AQ333" s="177">
        <v>0</v>
      </c>
      <c r="AR333" s="177">
        <v>68578</v>
      </c>
      <c r="AS333" s="177">
        <v>0</v>
      </c>
      <c r="AT333" s="178">
        <v>560118</v>
      </c>
      <c r="AU333" s="178">
        <v>0</v>
      </c>
      <c r="AV333" s="178">
        <v>428753</v>
      </c>
      <c r="AW333" s="179">
        <v>0</v>
      </c>
      <c r="AX333" s="180">
        <v>0</v>
      </c>
      <c r="AY333" s="180">
        <v>0</v>
      </c>
      <c r="AZ333" s="180">
        <v>0</v>
      </c>
      <c r="BA333" s="180">
        <v>0</v>
      </c>
      <c r="BB333" s="170">
        <f t="shared" si="114"/>
        <v>1950774</v>
      </c>
      <c r="BC333" s="170">
        <v>1950773.95</v>
      </c>
      <c r="BD333" s="2">
        <f t="shared" si="115"/>
        <v>5.0000000046566129E-2</v>
      </c>
    </row>
    <row r="334" spans="1:56" ht="12" x14ac:dyDescent="0.2">
      <c r="A334" s="4">
        <v>2902</v>
      </c>
      <c r="B334" s="4">
        <v>1</v>
      </c>
      <c r="C334" s="2" t="s">
        <v>493</v>
      </c>
      <c r="D334" s="3">
        <v>0</v>
      </c>
      <c r="E334" s="3">
        <v>0</v>
      </c>
      <c r="F334" s="227">
        <f t="shared" si="104"/>
        <v>202991</v>
      </c>
      <c r="G334" s="227">
        <f t="shared" si="105"/>
        <v>38849</v>
      </c>
      <c r="H334" s="227">
        <f t="shared" si="106"/>
        <v>0</v>
      </c>
      <c r="I334" s="227">
        <f t="shared" si="107"/>
        <v>369538</v>
      </c>
      <c r="J334" s="227">
        <f t="shared" si="108"/>
        <v>44110</v>
      </c>
      <c r="K334" s="227">
        <f t="shared" si="109"/>
        <v>64675</v>
      </c>
      <c r="L334" s="227">
        <f t="shared" si="110"/>
        <v>0</v>
      </c>
      <c r="M334" s="3">
        <f t="shared" si="111"/>
        <v>0</v>
      </c>
      <c r="N334" s="227">
        <f t="shared" si="112"/>
        <v>0</v>
      </c>
      <c r="O334" s="142">
        <f t="shared" si="113"/>
        <v>720163</v>
      </c>
      <c r="P334" s="3">
        <f t="shared" si="97"/>
        <v>478323</v>
      </c>
      <c r="Q334" s="3">
        <f t="shared" si="98"/>
        <v>369538</v>
      </c>
      <c r="R334" s="3">
        <f t="shared" si="99"/>
        <v>44110</v>
      </c>
      <c r="S334" s="3">
        <f t="shared" si="100"/>
        <v>64675</v>
      </c>
      <c r="T334" s="3">
        <f t="shared" si="101"/>
        <v>0</v>
      </c>
      <c r="U334" s="3">
        <f>IF($A$5=1,IF($P334=0,0,ROUND(Q334/$P334*$E334,2)),Credits!D333)+Credits!J333</f>
        <v>22775.559999999998</v>
      </c>
      <c r="V334" s="3">
        <f>IF($A$5=1,IF($P334=0,0,ROUND(R334/$P334*$E334,2)),Credits!E333)+Credits!K333</f>
        <v>2720.6299999999992</v>
      </c>
      <c r="W334" s="3">
        <f>IF($A$5=1,IF($P334=0,0,ROUND(S334/$P334*$E334,2)),Credits!F333)+Credits!L333</f>
        <v>4864.3</v>
      </c>
      <c r="X334" s="3">
        <f>IF($A$5=1,IF($P334=0,0,ROUND(T334/$P334*$E334,2)),Credits!G333)+Credits!M333</f>
        <v>0</v>
      </c>
      <c r="Y334" s="3">
        <f t="shared" si="102"/>
        <v>30360.489999999994</v>
      </c>
      <c r="AC334" s="4"/>
      <c r="AD334" s="4"/>
      <c r="AE334" s="2">
        <f t="shared" si="103"/>
        <v>0</v>
      </c>
      <c r="AF334" s="170" t="s">
        <v>1120</v>
      </c>
      <c r="AG334" s="175">
        <v>2902</v>
      </c>
      <c r="AH334" s="175">
        <v>1</v>
      </c>
      <c r="AI334" s="175">
        <v>1</v>
      </c>
      <c r="AJ334" s="176">
        <v>202991</v>
      </c>
      <c r="AK334" s="176">
        <v>0</v>
      </c>
      <c r="AL334" s="176">
        <v>38849</v>
      </c>
      <c r="AM334" s="176">
        <v>0</v>
      </c>
      <c r="AN334" s="177">
        <v>0</v>
      </c>
      <c r="AO334" s="177">
        <v>0</v>
      </c>
      <c r="AP334" s="177">
        <v>369538</v>
      </c>
      <c r="AQ334" s="177">
        <v>0</v>
      </c>
      <c r="AR334" s="177">
        <v>44110</v>
      </c>
      <c r="AS334" s="177">
        <v>0</v>
      </c>
      <c r="AT334" s="178">
        <v>64675</v>
      </c>
      <c r="AU334" s="178">
        <v>0</v>
      </c>
      <c r="AV334" s="178">
        <v>0</v>
      </c>
      <c r="AW334" s="179">
        <v>0</v>
      </c>
      <c r="AX334" s="180">
        <v>0</v>
      </c>
      <c r="AY334" s="180">
        <v>0</v>
      </c>
      <c r="AZ334" s="180">
        <v>0</v>
      </c>
      <c r="BA334" s="180">
        <v>0</v>
      </c>
      <c r="BB334" s="170">
        <f t="shared" si="114"/>
        <v>720163</v>
      </c>
      <c r="BC334" s="170">
        <v>720162.98</v>
      </c>
      <c r="BD334" s="2">
        <f t="shared" si="115"/>
        <v>2.0000000018626451E-2</v>
      </c>
    </row>
    <row r="335" spans="1:56" ht="15" x14ac:dyDescent="0.25">
      <c r="A335" s="4">
        <v>2903</v>
      </c>
      <c r="B335" s="4">
        <v>1</v>
      </c>
      <c r="C335" s="2" t="s">
        <v>633</v>
      </c>
      <c r="D335" s="3">
        <v>0</v>
      </c>
      <c r="E335" s="3">
        <v>0</v>
      </c>
      <c r="F335" s="227">
        <f t="shared" si="104"/>
        <v>345849.45</v>
      </c>
      <c r="G335" s="227">
        <f t="shared" si="105"/>
        <v>24808.6</v>
      </c>
      <c r="H335" s="227">
        <f t="shared" si="106"/>
        <v>0</v>
      </c>
      <c r="I335" s="227">
        <f t="shared" si="107"/>
        <v>271226.11</v>
      </c>
      <c r="J335" s="227">
        <f t="shared" si="108"/>
        <v>47480.53</v>
      </c>
      <c r="K335" s="227">
        <f t="shared" si="109"/>
        <v>728700</v>
      </c>
      <c r="L335" s="227">
        <f t="shared" si="110"/>
        <v>52500</v>
      </c>
      <c r="M335" s="3">
        <f t="shared" si="111"/>
        <v>0</v>
      </c>
      <c r="N335" s="227">
        <f t="shared" si="112"/>
        <v>0</v>
      </c>
      <c r="O335" s="142">
        <f t="shared" si="113"/>
        <v>1470564.69</v>
      </c>
      <c r="P335" s="3">
        <f t="shared" si="97"/>
        <v>1099906.6400000001</v>
      </c>
      <c r="Q335" s="3">
        <f t="shared" si="98"/>
        <v>271226.11</v>
      </c>
      <c r="R335" s="3">
        <f t="shared" si="99"/>
        <v>47480.53</v>
      </c>
      <c r="S335" s="3">
        <f t="shared" si="100"/>
        <v>781200</v>
      </c>
      <c r="T335" s="3">
        <f t="shared" si="101"/>
        <v>0</v>
      </c>
      <c r="U335" s="3">
        <f>IF($A$5=1,IF($P335=0,0,ROUND(Q335/$P335*$E335,2)),Credits!D334)+Credits!J334</f>
        <v>14029.92</v>
      </c>
      <c r="V335" s="3">
        <f>IF($A$5=1,IF($P335=0,0,ROUND(R335/$P335*$E335,2)),Credits!E334)+Credits!K334</f>
        <v>3270.1400000000003</v>
      </c>
      <c r="W335" s="3">
        <f>IF($A$5=1,IF($P335=0,0,ROUND(S335/$P335*$E335,2)),Credits!F334)+Credits!L334</f>
        <v>70793.87</v>
      </c>
      <c r="X335" s="3">
        <f>IF($A$5=1,IF($P335=0,0,ROUND(T335/$P335*$E335,2)),Credits!G334)+Credits!M334</f>
        <v>0</v>
      </c>
      <c r="Y335" s="3">
        <f t="shared" si="102"/>
        <v>88093.93</v>
      </c>
      <c r="AC335" s="4"/>
      <c r="AD335" s="4"/>
      <c r="AE335" s="2">
        <f t="shared" si="103"/>
        <v>0</v>
      </c>
      <c r="AF335" s="170" t="s">
        <v>1120</v>
      </c>
      <c r="AG335" s="175">
        <v>2903</v>
      </c>
      <c r="AH335" s="175">
        <v>1</v>
      </c>
      <c r="AI335" s="175">
        <v>1</v>
      </c>
      <c r="AJ335" s="176">
        <v>345849.45</v>
      </c>
      <c r="AK335" s="176">
        <v>0</v>
      </c>
      <c r="AL335" s="176">
        <v>24808.6</v>
      </c>
      <c r="AM335" s="176">
        <v>0</v>
      </c>
      <c r="AN335" s="177">
        <v>0</v>
      </c>
      <c r="AO335" s="177">
        <v>0</v>
      </c>
      <c r="AP335" s="177">
        <v>271226.11</v>
      </c>
      <c r="AQ335" s="177">
        <v>0</v>
      </c>
      <c r="AR335" s="177">
        <v>47480.53</v>
      </c>
      <c r="AS335" s="177">
        <v>0</v>
      </c>
      <c r="AT335" s="178">
        <v>728700</v>
      </c>
      <c r="AU335" s="178">
        <v>0</v>
      </c>
      <c r="AV335" s="178">
        <v>52500</v>
      </c>
      <c r="AW335" s="179">
        <v>0</v>
      </c>
      <c r="AX335" s="181">
        <v>0</v>
      </c>
      <c r="AY335" s="180">
        <v>0</v>
      </c>
      <c r="AZ335" s="180">
        <v>0</v>
      </c>
      <c r="BA335" s="180">
        <v>0</v>
      </c>
      <c r="BB335" s="170">
        <f t="shared" si="114"/>
        <v>1470564.69</v>
      </c>
      <c r="BC335" s="170">
        <v>1470564.69</v>
      </c>
      <c r="BD335" s="2">
        <f t="shared" si="115"/>
        <v>0</v>
      </c>
    </row>
    <row r="336" spans="1:56" ht="12" x14ac:dyDescent="0.2">
      <c r="A336" s="4">
        <v>2904</v>
      </c>
      <c r="B336" s="4">
        <v>1</v>
      </c>
      <c r="C336" s="2" t="s">
        <v>634</v>
      </c>
      <c r="D336" s="3">
        <v>0</v>
      </c>
      <c r="E336" s="3">
        <v>0</v>
      </c>
      <c r="F336" s="227">
        <f t="shared" si="104"/>
        <v>485195</v>
      </c>
      <c r="G336" s="227">
        <f t="shared" si="105"/>
        <v>83524</v>
      </c>
      <c r="H336" s="227">
        <f t="shared" si="106"/>
        <v>100000</v>
      </c>
      <c r="I336" s="227">
        <f t="shared" si="107"/>
        <v>456905</v>
      </c>
      <c r="J336" s="227">
        <f t="shared" si="108"/>
        <v>66987</v>
      </c>
      <c r="K336" s="227">
        <f t="shared" si="109"/>
        <v>235271</v>
      </c>
      <c r="L336" s="227">
        <f t="shared" si="110"/>
        <v>0</v>
      </c>
      <c r="M336" s="3">
        <f t="shared" si="111"/>
        <v>0</v>
      </c>
      <c r="N336" s="227">
        <f t="shared" si="112"/>
        <v>0</v>
      </c>
      <c r="O336" s="142">
        <f t="shared" si="113"/>
        <v>1427882</v>
      </c>
      <c r="P336" s="3">
        <f t="shared" si="97"/>
        <v>859163</v>
      </c>
      <c r="Q336" s="3">
        <f t="shared" si="98"/>
        <v>556905</v>
      </c>
      <c r="R336" s="3">
        <f t="shared" si="99"/>
        <v>66987</v>
      </c>
      <c r="S336" s="3">
        <f t="shared" si="100"/>
        <v>235271</v>
      </c>
      <c r="T336" s="3">
        <f t="shared" si="101"/>
        <v>0</v>
      </c>
      <c r="U336" s="3">
        <f>IF($A$5=1,IF($P336=0,0,ROUND(Q336/$P336*$E336,2)),Credits!D335)+Credits!J335</f>
        <v>24313.610000000004</v>
      </c>
      <c r="V336" s="3">
        <f>IF($A$5=1,IF($P336=0,0,ROUND(R336/$P336*$E336,2)),Credits!E335)+Credits!K335</f>
        <v>2924.38</v>
      </c>
      <c r="W336" s="3">
        <f>IF($A$5=1,IF($P336=0,0,ROUND(S336/$P336*$E336,2)),Credits!F335)+Credits!L335</f>
        <v>10272.779999999999</v>
      </c>
      <c r="X336" s="3">
        <f>IF($A$5=1,IF($P336=0,0,ROUND(T336/$P336*$E336,2)),Credits!G335)+Credits!M335</f>
        <v>0</v>
      </c>
      <c r="Y336" s="3">
        <f t="shared" si="102"/>
        <v>37510.770000000004</v>
      </c>
      <c r="AC336" s="4"/>
      <c r="AD336" s="4"/>
      <c r="AE336" s="2">
        <f t="shared" si="103"/>
        <v>0</v>
      </c>
      <c r="AF336" s="170" t="s">
        <v>1120</v>
      </c>
      <c r="AG336" s="175">
        <v>2904</v>
      </c>
      <c r="AH336" s="175">
        <v>1</v>
      </c>
      <c r="AI336" s="175">
        <v>1</v>
      </c>
      <c r="AJ336" s="176">
        <v>485195</v>
      </c>
      <c r="AK336" s="176">
        <v>0</v>
      </c>
      <c r="AL336" s="176">
        <v>83524</v>
      </c>
      <c r="AM336" s="176">
        <v>0</v>
      </c>
      <c r="AN336" s="177">
        <v>100000</v>
      </c>
      <c r="AO336" s="177">
        <v>0</v>
      </c>
      <c r="AP336" s="177">
        <v>456905</v>
      </c>
      <c r="AQ336" s="177">
        <v>0</v>
      </c>
      <c r="AR336" s="177">
        <v>66987</v>
      </c>
      <c r="AS336" s="177">
        <v>0</v>
      </c>
      <c r="AT336" s="178">
        <v>235271</v>
      </c>
      <c r="AU336" s="178">
        <v>0</v>
      </c>
      <c r="AV336" s="178">
        <v>0</v>
      </c>
      <c r="AW336" s="179">
        <v>0</v>
      </c>
      <c r="AX336" s="180">
        <v>0</v>
      </c>
      <c r="AY336" s="180">
        <v>0</v>
      </c>
      <c r="AZ336" s="180">
        <v>0</v>
      </c>
      <c r="BA336" s="180">
        <v>0</v>
      </c>
      <c r="BB336" s="170">
        <f t="shared" si="114"/>
        <v>1427882</v>
      </c>
      <c r="BC336" s="170">
        <v>1427882.22</v>
      </c>
      <c r="BD336" s="2">
        <f t="shared" si="115"/>
        <v>-0.21999999997206032</v>
      </c>
    </row>
    <row r="337" spans="1:56" ht="12" x14ac:dyDescent="0.2">
      <c r="A337" s="4">
        <v>2905</v>
      </c>
      <c r="B337" s="4">
        <v>1</v>
      </c>
      <c r="C337" s="2" t="s">
        <v>1129</v>
      </c>
      <c r="D337" s="3">
        <v>0</v>
      </c>
      <c r="E337" s="3">
        <v>0</v>
      </c>
      <c r="F337" s="227">
        <f t="shared" si="104"/>
        <v>518422.38</v>
      </c>
      <c r="G337" s="227">
        <f t="shared" si="105"/>
        <v>155153.60999999999</v>
      </c>
      <c r="H337" s="227">
        <f t="shared" si="106"/>
        <v>0</v>
      </c>
      <c r="I337" s="227">
        <f t="shared" si="107"/>
        <v>1217581.3500000001</v>
      </c>
      <c r="J337" s="227">
        <f t="shared" si="108"/>
        <v>146536.23000000001</v>
      </c>
      <c r="K337" s="227">
        <f t="shared" si="109"/>
        <v>3835865.08</v>
      </c>
      <c r="L337" s="227">
        <f t="shared" si="110"/>
        <v>42867</v>
      </c>
      <c r="M337" s="3">
        <f t="shared" si="111"/>
        <v>0</v>
      </c>
      <c r="N337" s="227">
        <f t="shared" si="112"/>
        <v>0</v>
      </c>
      <c r="O337" s="142">
        <f t="shared" si="113"/>
        <v>5916425.6500000004</v>
      </c>
      <c r="P337" s="3">
        <f t="shared" si="97"/>
        <v>5242849.66</v>
      </c>
      <c r="Q337" s="3">
        <f t="shared" si="98"/>
        <v>1217581.3500000001</v>
      </c>
      <c r="R337" s="3">
        <f t="shared" si="99"/>
        <v>146536.23000000001</v>
      </c>
      <c r="S337" s="3">
        <f t="shared" si="100"/>
        <v>3878732.08</v>
      </c>
      <c r="T337" s="3">
        <f t="shared" si="101"/>
        <v>0</v>
      </c>
      <c r="U337" s="3">
        <f>IF($A$5=1,IF($P337=0,0,ROUND(Q337/$P337*$E337,2)),Credits!D336)+Credits!J336</f>
        <v>22553.489999999998</v>
      </c>
      <c r="V337" s="3">
        <f>IF($A$5=1,IF($P337=0,0,ROUND(R337/$P337*$E337,2)),Credits!E336)+Credits!K336</f>
        <v>2713.68</v>
      </c>
      <c r="W337" s="3">
        <f>IF($A$5=1,IF($P337=0,0,ROUND(S337/$P337*$E337,2)),Credits!F336)+Credits!L336</f>
        <v>74037.709999999992</v>
      </c>
      <c r="X337" s="3">
        <f>IF($A$5=1,IF($P337=0,0,ROUND(T337/$P337*$E337,2)),Credits!G336)+Credits!M336</f>
        <v>0</v>
      </c>
      <c r="Y337" s="3">
        <f t="shared" si="102"/>
        <v>99304.87999999999</v>
      </c>
      <c r="AC337" s="4"/>
      <c r="AD337" s="4"/>
      <c r="AE337" s="2">
        <f t="shared" si="103"/>
        <v>0</v>
      </c>
      <c r="AF337" s="170" t="s">
        <v>1120</v>
      </c>
      <c r="AG337" s="175">
        <v>2905</v>
      </c>
      <c r="AH337" s="175">
        <v>1</v>
      </c>
      <c r="AI337" s="175">
        <v>1</v>
      </c>
      <c r="AJ337" s="176">
        <v>518422.38</v>
      </c>
      <c r="AK337" s="176">
        <v>0</v>
      </c>
      <c r="AL337" s="176">
        <v>155153.60999999999</v>
      </c>
      <c r="AM337" s="176">
        <v>0</v>
      </c>
      <c r="AN337" s="177">
        <v>0</v>
      </c>
      <c r="AO337" s="177">
        <v>0</v>
      </c>
      <c r="AP337" s="177">
        <v>1217581.3500000001</v>
      </c>
      <c r="AQ337" s="177">
        <v>0</v>
      </c>
      <c r="AR337" s="177">
        <v>146536.23000000001</v>
      </c>
      <c r="AS337" s="177">
        <v>0</v>
      </c>
      <c r="AT337" s="178">
        <v>3835865.08</v>
      </c>
      <c r="AU337" s="178">
        <v>0</v>
      </c>
      <c r="AV337" s="178">
        <v>42867</v>
      </c>
      <c r="AW337" s="179">
        <v>0</v>
      </c>
      <c r="AX337" s="180">
        <v>0</v>
      </c>
      <c r="AY337" s="180">
        <v>0</v>
      </c>
      <c r="AZ337" s="180">
        <v>0</v>
      </c>
      <c r="BA337" s="180">
        <v>0</v>
      </c>
      <c r="BB337" s="170">
        <f t="shared" si="114"/>
        <v>5916425.6500000004</v>
      </c>
      <c r="BC337" s="170">
        <v>5916425.6500000004</v>
      </c>
      <c r="BD337" s="2">
        <f t="shared" si="115"/>
        <v>0</v>
      </c>
    </row>
    <row r="338" spans="1:56" ht="12" x14ac:dyDescent="0.2">
      <c r="A338" s="4">
        <v>2906</v>
      </c>
      <c r="B338" s="4">
        <v>1</v>
      </c>
      <c r="C338" s="2" t="s">
        <v>1085</v>
      </c>
      <c r="D338" s="3">
        <v>0</v>
      </c>
      <c r="E338" s="3">
        <v>0</v>
      </c>
      <c r="F338" s="227">
        <f t="shared" si="104"/>
        <v>328224</v>
      </c>
      <c r="G338" s="227">
        <f t="shared" si="105"/>
        <v>33804</v>
      </c>
      <c r="H338" s="227">
        <f t="shared" si="106"/>
        <v>0</v>
      </c>
      <c r="I338" s="227">
        <f t="shared" si="107"/>
        <v>548175</v>
      </c>
      <c r="J338" s="227">
        <f t="shared" si="108"/>
        <v>49057</v>
      </c>
      <c r="K338" s="227">
        <f t="shared" si="109"/>
        <v>0</v>
      </c>
      <c r="L338" s="227">
        <f t="shared" si="110"/>
        <v>312334</v>
      </c>
      <c r="M338" s="3">
        <f t="shared" si="111"/>
        <v>0</v>
      </c>
      <c r="N338" s="227">
        <f t="shared" si="112"/>
        <v>0</v>
      </c>
      <c r="O338" s="142">
        <f t="shared" si="113"/>
        <v>1271594</v>
      </c>
      <c r="P338" s="3">
        <f t="shared" si="97"/>
        <v>909566</v>
      </c>
      <c r="Q338" s="3">
        <f t="shared" si="98"/>
        <v>548175</v>
      </c>
      <c r="R338" s="3">
        <f t="shared" si="99"/>
        <v>49057</v>
      </c>
      <c r="S338" s="3">
        <f t="shared" si="100"/>
        <v>312334</v>
      </c>
      <c r="T338" s="3">
        <f t="shared" si="101"/>
        <v>0</v>
      </c>
      <c r="U338" s="3">
        <f>IF($A$5=1,IF($P338=0,0,ROUND(Q338/$P338*$E338,2)),Credits!D337)+Credits!J337</f>
        <v>18391.150000000001</v>
      </c>
      <c r="V338" s="3">
        <f>IF($A$5=1,IF($P338=0,0,ROUND(R338/$P338*$E338,2)),Credits!E337)+Credits!K337</f>
        <v>1624.0700000000002</v>
      </c>
      <c r="W338" s="3">
        <f>IF($A$5=1,IF($P338=0,0,ROUND(S338/$P338*$E338,2)),Credits!F337)+Credits!L337</f>
        <v>10271.690000000002</v>
      </c>
      <c r="X338" s="3">
        <f>IF($A$5=1,IF($P338=0,0,ROUND(T338/$P338*$E338,2)),Credits!G337)+Credits!M337</f>
        <v>0</v>
      </c>
      <c r="Y338" s="3">
        <f t="shared" si="102"/>
        <v>30286.910000000003</v>
      </c>
      <c r="AC338" s="4"/>
      <c r="AD338" s="4"/>
      <c r="AE338" s="2">
        <f t="shared" si="103"/>
        <v>0</v>
      </c>
      <c r="AF338" s="170" t="s">
        <v>1120</v>
      </c>
      <c r="AG338" s="175">
        <v>2906</v>
      </c>
      <c r="AH338" s="175">
        <v>1</v>
      </c>
      <c r="AI338" s="175">
        <v>1</v>
      </c>
      <c r="AJ338" s="176">
        <v>328224</v>
      </c>
      <c r="AK338" s="176">
        <v>0</v>
      </c>
      <c r="AL338" s="176">
        <v>33804</v>
      </c>
      <c r="AM338" s="176">
        <v>0</v>
      </c>
      <c r="AN338" s="177">
        <v>0</v>
      </c>
      <c r="AO338" s="177">
        <v>0</v>
      </c>
      <c r="AP338" s="177">
        <v>548175</v>
      </c>
      <c r="AQ338" s="177">
        <v>0</v>
      </c>
      <c r="AR338" s="177">
        <v>49057</v>
      </c>
      <c r="AS338" s="177">
        <v>0</v>
      </c>
      <c r="AT338" s="178">
        <v>0</v>
      </c>
      <c r="AU338" s="178">
        <v>0</v>
      </c>
      <c r="AV338" s="178">
        <v>312334</v>
      </c>
      <c r="AW338" s="179">
        <v>0</v>
      </c>
      <c r="AX338" s="180">
        <v>0</v>
      </c>
      <c r="AY338" s="180">
        <v>0</v>
      </c>
      <c r="AZ338" s="180">
        <v>0</v>
      </c>
      <c r="BA338" s="180">
        <v>0</v>
      </c>
      <c r="BB338" s="170">
        <f t="shared" si="114"/>
        <v>1271594</v>
      </c>
      <c r="BC338" s="170">
        <v>1271593.8</v>
      </c>
      <c r="BD338" s="2">
        <f t="shared" si="115"/>
        <v>0.19999999995343387</v>
      </c>
    </row>
    <row r="339" spans="1:56" ht="12" x14ac:dyDescent="0.2">
      <c r="A339" s="4">
        <v>2907</v>
      </c>
      <c r="B339" s="4">
        <v>1</v>
      </c>
      <c r="C339" s="2" t="s">
        <v>1127</v>
      </c>
      <c r="D339" s="3">
        <v>0</v>
      </c>
      <c r="E339" s="3">
        <v>0</v>
      </c>
      <c r="F339" s="227">
        <f t="shared" si="104"/>
        <v>337890.42</v>
      </c>
      <c r="G339" s="227">
        <f t="shared" si="105"/>
        <v>7075.46</v>
      </c>
      <c r="H339" s="227">
        <f t="shared" si="106"/>
        <v>0</v>
      </c>
      <c r="I339" s="227">
        <f t="shared" si="107"/>
        <v>351702.55</v>
      </c>
      <c r="J339" s="227">
        <f t="shared" si="108"/>
        <v>28193.42</v>
      </c>
      <c r="K339" s="227">
        <f t="shared" si="109"/>
        <v>0</v>
      </c>
      <c r="L339" s="227">
        <f t="shared" si="110"/>
        <v>0</v>
      </c>
      <c r="M339" s="3">
        <f t="shared" si="111"/>
        <v>0</v>
      </c>
      <c r="N339" s="227">
        <f t="shared" si="112"/>
        <v>0</v>
      </c>
      <c r="O339" s="142">
        <f t="shared" si="113"/>
        <v>724861.85</v>
      </c>
      <c r="P339" s="3">
        <f t="shared" si="97"/>
        <v>379895.97</v>
      </c>
      <c r="Q339" s="3">
        <f t="shared" si="98"/>
        <v>351702.55</v>
      </c>
      <c r="R339" s="3">
        <f t="shared" si="99"/>
        <v>28193.42</v>
      </c>
      <c r="S339" s="3">
        <f t="shared" si="100"/>
        <v>0</v>
      </c>
      <c r="T339" s="3">
        <f t="shared" si="101"/>
        <v>0</v>
      </c>
      <c r="U339" s="3">
        <f>IF($A$5=1,IF($P339=0,0,ROUND(Q339/$P339*$E339,2)),Credits!D338)+Credits!J338</f>
        <v>9757.2200000000012</v>
      </c>
      <c r="V339" s="3">
        <f>IF($A$5=1,IF($P339=0,0,ROUND(R339/$P339*$E339,2)),Credits!E338)+Credits!K338</f>
        <v>803.47</v>
      </c>
      <c r="W339" s="3">
        <f>IF($A$5=1,IF($P339=0,0,ROUND(S339/$P339*$E339,2)),Credits!F338)+Credits!L338</f>
        <v>0</v>
      </c>
      <c r="X339" s="3">
        <f>IF($A$5=1,IF($P339=0,0,ROUND(T339/$P339*$E339,2)),Credits!G338)+Credits!M338</f>
        <v>0</v>
      </c>
      <c r="Y339" s="3">
        <f t="shared" si="102"/>
        <v>10560.69</v>
      </c>
      <c r="AC339" s="4"/>
      <c r="AD339" s="4"/>
      <c r="AE339" s="2">
        <f t="shared" si="103"/>
        <v>0</v>
      </c>
      <c r="AF339" s="170" t="s">
        <v>1120</v>
      </c>
      <c r="AG339" s="175">
        <v>2907</v>
      </c>
      <c r="AH339" s="175">
        <v>1</v>
      </c>
      <c r="AI339" s="175">
        <v>1</v>
      </c>
      <c r="AJ339" s="176">
        <v>337890.42</v>
      </c>
      <c r="AK339" s="176">
        <v>0</v>
      </c>
      <c r="AL339" s="176">
        <v>7075.46</v>
      </c>
      <c r="AM339" s="176">
        <v>0</v>
      </c>
      <c r="AN339" s="177">
        <v>0</v>
      </c>
      <c r="AO339" s="177">
        <v>0</v>
      </c>
      <c r="AP339" s="177">
        <v>351702.55</v>
      </c>
      <c r="AQ339" s="177">
        <v>0</v>
      </c>
      <c r="AR339" s="177">
        <v>28193.42</v>
      </c>
      <c r="AS339" s="177">
        <v>0</v>
      </c>
      <c r="AT339" s="178">
        <v>0</v>
      </c>
      <c r="AU339" s="178">
        <v>0</v>
      </c>
      <c r="AV339" s="178">
        <v>0</v>
      </c>
      <c r="AW339" s="179">
        <v>0</v>
      </c>
      <c r="AX339" s="180">
        <v>0</v>
      </c>
      <c r="AY339" s="180">
        <v>0</v>
      </c>
      <c r="AZ339" s="180">
        <v>0</v>
      </c>
      <c r="BA339" s="180">
        <v>0</v>
      </c>
      <c r="BB339" s="170">
        <f t="shared" si="114"/>
        <v>724861.85</v>
      </c>
      <c r="BC339" s="170">
        <v>724861.85</v>
      </c>
      <c r="BD339" s="2">
        <f t="shared" si="115"/>
        <v>0</v>
      </c>
    </row>
    <row r="340" spans="1:56" ht="12" x14ac:dyDescent="0.2">
      <c r="A340" s="4">
        <v>2908</v>
      </c>
      <c r="B340" s="4">
        <v>1</v>
      </c>
      <c r="C340" s="2" t="s">
        <v>1128</v>
      </c>
      <c r="D340" s="3">
        <v>0</v>
      </c>
      <c r="E340" s="3">
        <v>0</v>
      </c>
      <c r="F340" s="227">
        <f t="shared" si="104"/>
        <v>332679.06</v>
      </c>
      <c r="G340" s="227">
        <f t="shared" si="105"/>
        <v>47368.78</v>
      </c>
      <c r="H340" s="227">
        <f t="shared" si="106"/>
        <v>0</v>
      </c>
      <c r="I340" s="227">
        <f t="shared" si="107"/>
        <v>313765.78000000003</v>
      </c>
      <c r="J340" s="227">
        <f t="shared" si="108"/>
        <v>41778.39</v>
      </c>
      <c r="K340" s="227">
        <f t="shared" si="109"/>
        <v>0</v>
      </c>
      <c r="L340" s="227">
        <f t="shared" si="110"/>
        <v>0</v>
      </c>
      <c r="M340" s="3">
        <f t="shared" si="111"/>
        <v>0</v>
      </c>
      <c r="N340" s="227">
        <f t="shared" si="112"/>
        <v>0</v>
      </c>
      <c r="O340" s="142">
        <f t="shared" si="113"/>
        <v>735592.01</v>
      </c>
      <c r="P340" s="3">
        <f t="shared" si="97"/>
        <v>355544.17000000004</v>
      </c>
      <c r="Q340" s="3">
        <f t="shared" si="98"/>
        <v>313765.78000000003</v>
      </c>
      <c r="R340" s="3">
        <f t="shared" si="99"/>
        <v>41778.39</v>
      </c>
      <c r="S340" s="3">
        <f t="shared" si="100"/>
        <v>0</v>
      </c>
      <c r="T340" s="3">
        <f t="shared" si="101"/>
        <v>0</v>
      </c>
      <c r="U340" s="3">
        <f>IF($A$5=1,IF($P340=0,0,ROUND(Q340/$P340*$E340,2)),Credits!D339)+Credits!J339</f>
        <v>6296.9600000000009</v>
      </c>
      <c r="V340" s="3">
        <f>IF($A$5=1,IF($P340=0,0,ROUND(R340/$P340*$E340,2)),Credits!E339)+Credits!K339</f>
        <v>838.98999999999978</v>
      </c>
      <c r="W340" s="3">
        <f>IF($A$5=1,IF($P340=0,0,ROUND(S340/$P340*$E340,2)),Credits!F339)+Credits!L339</f>
        <v>0</v>
      </c>
      <c r="X340" s="3">
        <f>IF($A$5=1,IF($P340=0,0,ROUND(T340/$P340*$E340,2)),Credits!G339)+Credits!M339</f>
        <v>0</v>
      </c>
      <c r="Y340" s="3">
        <f t="shared" si="102"/>
        <v>7135.9500000000007</v>
      </c>
      <c r="AC340" s="4"/>
      <c r="AD340" s="4"/>
      <c r="AE340" s="2">
        <f t="shared" si="103"/>
        <v>0</v>
      </c>
      <c r="AF340" s="170" t="s">
        <v>1120</v>
      </c>
      <c r="AG340" s="175">
        <v>2908</v>
      </c>
      <c r="AH340" s="175">
        <v>1</v>
      </c>
      <c r="AI340" s="175">
        <v>1</v>
      </c>
      <c r="AJ340" s="176">
        <v>332679.06</v>
      </c>
      <c r="AK340" s="176">
        <v>0</v>
      </c>
      <c r="AL340" s="176">
        <v>47368.78</v>
      </c>
      <c r="AM340" s="176">
        <v>0</v>
      </c>
      <c r="AN340" s="177">
        <v>0</v>
      </c>
      <c r="AO340" s="177">
        <v>0</v>
      </c>
      <c r="AP340" s="177">
        <v>313765.78000000003</v>
      </c>
      <c r="AQ340" s="177">
        <v>0</v>
      </c>
      <c r="AR340" s="177">
        <v>41778.39</v>
      </c>
      <c r="AS340" s="177">
        <v>0</v>
      </c>
      <c r="AT340" s="178">
        <v>0</v>
      </c>
      <c r="AU340" s="178">
        <v>0</v>
      </c>
      <c r="AV340" s="178">
        <v>0</v>
      </c>
      <c r="AW340" s="179">
        <v>0</v>
      </c>
      <c r="AX340" s="180">
        <v>0</v>
      </c>
      <c r="AY340" s="180">
        <v>0</v>
      </c>
      <c r="AZ340" s="180">
        <v>0</v>
      </c>
      <c r="BA340" s="180">
        <v>0</v>
      </c>
      <c r="BB340" s="170">
        <f t="shared" si="114"/>
        <v>735592.01</v>
      </c>
      <c r="BC340" s="170">
        <v>735592.01</v>
      </c>
      <c r="BD340" s="2">
        <f t="shared" si="115"/>
        <v>0</v>
      </c>
    </row>
    <row r="341" spans="1:56" ht="12" x14ac:dyDescent="0.2">
      <c r="A341" s="159" t="s">
        <v>1241</v>
      </c>
      <c r="AF341"/>
      <c r="AG341"/>
      <c r="AH341" s="175"/>
      <c r="AI341" s="175"/>
      <c r="AJ341"/>
      <c r="AK341"/>
      <c r="AL341"/>
      <c r="AM341"/>
      <c r="AN341"/>
      <c r="AO341"/>
      <c r="AP341"/>
      <c r="AQ341"/>
      <c r="AR341"/>
      <c r="AS341"/>
      <c r="AT341"/>
      <c r="AU341"/>
      <c r="AV341"/>
      <c r="AW341"/>
      <c r="AX341"/>
      <c r="AY341"/>
      <c r="AZ341"/>
      <c r="BA341"/>
      <c r="BB341"/>
      <c r="BC341"/>
      <c r="BD341"/>
    </row>
    <row r="342" spans="1:56" hidden="1" x14ac:dyDescent="0.2">
      <c r="AF342" s="168"/>
      <c r="AG342" s="168"/>
      <c r="AH342" s="168"/>
      <c r="AI342" s="168"/>
      <c r="AJ342" s="170">
        <v>530527820.23999989</v>
      </c>
      <c r="AK342" s="170">
        <v>-2393.0700000000002</v>
      </c>
      <c r="AL342" s="170">
        <v>336455450.03999984</v>
      </c>
      <c r="AM342" s="170">
        <v>-56185.29</v>
      </c>
      <c r="AN342" s="170">
        <v>60897103.600000001</v>
      </c>
      <c r="AO342" s="170">
        <v>0</v>
      </c>
      <c r="AP342" s="170">
        <v>481484544.80999994</v>
      </c>
      <c r="AQ342" s="170">
        <v>58579.01</v>
      </c>
      <c r="AR342" s="170">
        <v>74876385.850000054</v>
      </c>
      <c r="AS342" s="170">
        <v>0</v>
      </c>
      <c r="AT342" s="170">
        <v>578022678.55999982</v>
      </c>
      <c r="AU342" s="170">
        <v>0</v>
      </c>
      <c r="AV342" s="170">
        <v>223587831.76999992</v>
      </c>
      <c r="AW342" s="170">
        <v>0</v>
      </c>
      <c r="AX342" s="170">
        <v>0</v>
      </c>
      <c r="AY342" s="170">
        <v>0</v>
      </c>
      <c r="AZ342" s="170">
        <v>70274641.219999999</v>
      </c>
      <c r="BA342" s="170">
        <v>0</v>
      </c>
      <c r="BB342" s="170">
        <v>2356126454.7299986</v>
      </c>
      <c r="BC342" s="170">
        <v>2356126454.7299986</v>
      </c>
      <c r="BD342"/>
    </row>
    <row r="343" spans="1:56" hidden="1" x14ac:dyDescent="0.2">
      <c r="AF343" s="168"/>
      <c r="AG343" s="168"/>
      <c r="AH343" s="168"/>
      <c r="AI343" s="168"/>
      <c r="AJ343" s="172">
        <v>302</v>
      </c>
      <c r="AK343" s="172"/>
      <c r="AL343" s="172">
        <v>334</v>
      </c>
      <c r="AM343" s="172"/>
      <c r="AN343" s="172">
        <v>29</v>
      </c>
      <c r="AO343" s="172"/>
      <c r="AP343" s="172">
        <v>332</v>
      </c>
      <c r="AQ343" s="172"/>
      <c r="AR343" s="172">
        <v>319</v>
      </c>
      <c r="AS343" s="172"/>
      <c r="AT343" s="172">
        <v>260</v>
      </c>
      <c r="AU343" s="172"/>
      <c r="AV343" s="172">
        <v>142</v>
      </c>
      <c r="AW343" s="172"/>
      <c r="AX343" s="172">
        <v>0</v>
      </c>
      <c r="AY343" s="172"/>
      <c r="AZ343" s="172">
        <v>93</v>
      </c>
      <c r="BA343" s="172"/>
      <c r="BB343" s="172">
        <v>331</v>
      </c>
      <c r="BC343" s="172">
        <v>331</v>
      </c>
      <c r="BD343"/>
    </row>
  </sheetData>
  <phoneticPr fontId="0" type="noConversion"/>
  <pageMargins left="0.75" right="0.75" top="1" bottom="1" header="0.5" footer="0.5"/>
  <pageSetup scale="15" fitToHeight="0" orientation="portrait" horizontalDpi="300" verticalDpi="300" r:id="rId1"/>
  <headerFooter alignWithMargins="0">
    <oddFooter>&amp;C&amp;P of &amp;N</oddFooter>
  </headerFooter>
  <ignoredErrors>
    <ignoredError sqref="P11:Q128 P9 Q10 P129:Q340" formulaRange="1"/>
  </ignoredError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H340"/>
  <sheetViews>
    <sheetView workbookViewId="0">
      <pane xSplit="3" ySplit="7" topLeftCell="D8" activePane="bottomRight" state="frozen"/>
      <selection pane="topRight" activeCell="D1" sqref="D1"/>
      <selection pane="bottomLeft" activeCell="A8" sqref="A8"/>
      <selection pane="bottomRight"/>
    </sheetView>
  </sheetViews>
  <sheetFormatPr defaultColWidth="0" defaultRowHeight="11.25" zeroHeight="1" x14ac:dyDescent="0.2"/>
  <cols>
    <col min="1" max="1" width="7" style="4" customWidth="1"/>
    <col min="2" max="2" width="6.83203125" style="4" customWidth="1"/>
    <col min="3" max="3" width="18.33203125" style="2" customWidth="1"/>
    <col min="4" max="8" width="14.83203125" style="3" customWidth="1"/>
    <col min="9" max="9" width="6.1640625" style="3" customWidth="1"/>
    <col min="10" max="10" width="15.83203125" style="2" bestFit="1" customWidth="1"/>
    <col min="11" max="14" width="13.83203125" style="2" customWidth="1"/>
    <col min="15" max="15" width="14" style="2" customWidth="1"/>
    <col min="16" max="16" width="4.33203125" style="2" customWidth="1"/>
    <col min="17" max="17" width="5.83203125" style="2" bestFit="1" customWidth="1"/>
    <col min="18" max="18" width="5" style="2" customWidth="1"/>
    <col min="19" max="19" width="18.6640625" style="2" bestFit="1" customWidth="1"/>
    <col min="20" max="20" width="18.5" style="2" bestFit="1" customWidth="1"/>
    <col min="21" max="21" width="18.83203125" style="2" bestFit="1" customWidth="1"/>
    <col min="22" max="22" width="18.33203125" style="2" bestFit="1" customWidth="1"/>
    <col min="23" max="23" width="18.6640625" style="2" bestFit="1" customWidth="1"/>
    <col min="24" max="28" width="9.33203125" style="2" customWidth="1"/>
    <col min="29" max="29" width="9.5" style="2" bestFit="1" customWidth="1"/>
    <col min="30" max="30" width="13" style="2" bestFit="1" customWidth="1"/>
    <col min="31" max="31" width="11.5" style="2" bestFit="1" customWidth="1"/>
    <col min="32" max="32" width="10.5" style="2" bestFit="1" customWidth="1"/>
    <col min="33" max="33" width="13" style="2" bestFit="1" customWidth="1"/>
    <col min="34" max="34" width="11.5" style="2" bestFit="1" customWidth="1"/>
    <col min="35" max="16384" width="9.33203125" style="2" hidden="1"/>
  </cols>
  <sheetData>
    <row r="1" spans="1:34" ht="19.5" x14ac:dyDescent="0.3">
      <c r="A1" s="243" t="s">
        <v>680</v>
      </c>
      <c r="F1" s="134"/>
      <c r="G1" s="134"/>
      <c r="H1" s="134">
        <f>Report!I1</f>
        <v>41828</v>
      </c>
      <c r="I1" s="134"/>
    </row>
    <row r="2" spans="1:34" x14ac:dyDescent="0.2">
      <c r="A2" s="150" t="str">
        <f>"Preliminary "&amp;Instructions!P1&amp;" credits"</f>
        <v>Preliminary Pay 2014 credits</v>
      </c>
      <c r="I2" s="158"/>
    </row>
    <row r="3" spans="1:34" x14ac:dyDescent="0.2">
      <c r="A3" s="150" t="str">
        <f>Instructions!P1&amp;" Levy"</f>
        <v>Pay 2014 Levy</v>
      </c>
      <c r="B3" s="17"/>
      <c r="C3" s="3"/>
      <c r="D3" s="196" t="s">
        <v>680</v>
      </c>
      <c r="E3" s="196"/>
      <c r="F3" s="196"/>
      <c r="G3" s="196"/>
      <c r="H3" s="196"/>
      <c r="J3" s="196" t="s">
        <v>525</v>
      </c>
      <c r="K3" s="196"/>
      <c r="L3" s="196"/>
      <c r="M3" s="196"/>
      <c r="N3" s="196"/>
    </row>
    <row r="4" spans="1:34" s="7" customFormat="1" x14ac:dyDescent="0.2">
      <c r="A4" s="5"/>
      <c r="B4" s="5"/>
      <c r="D4" s="153" t="s">
        <v>681</v>
      </c>
      <c r="E4" s="153" t="s">
        <v>682</v>
      </c>
      <c r="F4" s="153" t="s">
        <v>683</v>
      </c>
      <c r="G4" s="153" t="s">
        <v>684</v>
      </c>
      <c r="H4" s="153" t="s">
        <v>390</v>
      </c>
      <c r="I4" s="153"/>
      <c r="J4" s="153" t="s">
        <v>681</v>
      </c>
      <c r="K4" s="153" t="s">
        <v>682</v>
      </c>
      <c r="L4" s="153" t="s">
        <v>683</v>
      </c>
      <c r="M4" s="153" t="s">
        <v>684</v>
      </c>
      <c r="N4" s="153" t="s">
        <v>390</v>
      </c>
    </row>
    <row r="5" spans="1:34" x14ac:dyDescent="0.2"/>
    <row r="6" spans="1:34" x14ac:dyDescent="0.2">
      <c r="C6" s="2" t="s">
        <v>340</v>
      </c>
      <c r="D6" s="3">
        <f>SUM(D8:D339)</f>
        <v>4475710.4399999995</v>
      </c>
      <c r="E6" s="3">
        <f>SUM(E8:E339)</f>
        <v>797219.62999999919</v>
      </c>
      <c r="F6" s="3">
        <f>SUM(F8:F339)</f>
        <v>8650900.849999994</v>
      </c>
      <c r="G6" s="3">
        <f>SUM(G8:G339)</f>
        <v>1041097.6900000001</v>
      </c>
      <c r="H6" s="3">
        <f>SUM(H8:H340)</f>
        <v>14964928.610000011</v>
      </c>
      <c r="J6" s="3">
        <f>SUM(J8:J339)</f>
        <v>486649.62</v>
      </c>
      <c r="K6" s="3">
        <f>SUM(K8:K339)</f>
        <v>2898.1099999999997</v>
      </c>
      <c r="L6" s="3">
        <f>SUM(L8:L339)</f>
        <v>1064166.3899999999</v>
      </c>
      <c r="M6" s="3">
        <f>SUM(M8:M339)</f>
        <v>622291.03</v>
      </c>
      <c r="N6" s="3">
        <f>SUM(N8:N339)</f>
        <v>2176005.15</v>
      </c>
      <c r="O6" s="2">
        <f>N6+H6</f>
        <v>17140933.760000009</v>
      </c>
      <c r="S6" s="2" t="s">
        <v>1199</v>
      </c>
      <c r="T6" s="2" t="s">
        <v>1200</v>
      </c>
      <c r="U6" s="2" t="s">
        <v>1201</v>
      </c>
      <c r="V6" s="2" t="s">
        <v>1202</v>
      </c>
      <c r="W6" s="2" t="s">
        <v>1203</v>
      </c>
      <c r="Z6" s="161" t="s">
        <v>1208</v>
      </c>
      <c r="AA6" s="161" t="s">
        <v>1209</v>
      </c>
      <c r="AB6" s="210" t="s">
        <v>1210</v>
      </c>
      <c r="AD6" s="2" t="s">
        <v>1204</v>
      </c>
      <c r="AE6" s="211" t="s">
        <v>1205</v>
      </c>
      <c r="AF6" s="212" t="s">
        <v>1207</v>
      </c>
      <c r="AG6" s="211" t="s">
        <v>1206</v>
      </c>
      <c r="AH6" s="212" t="s">
        <v>3</v>
      </c>
    </row>
    <row r="7" spans="1:34" x14ac:dyDescent="0.2"/>
    <row r="8" spans="1:34" x14ac:dyDescent="0.2">
      <c r="A8" s="4">
        <v>1</v>
      </c>
      <c r="B8" s="4">
        <v>1</v>
      </c>
      <c r="C8" s="2" t="s">
        <v>5</v>
      </c>
      <c r="D8" s="183">
        <v>4590.579999999999</v>
      </c>
      <c r="E8" s="183">
        <v>0</v>
      </c>
      <c r="F8" s="183">
        <v>1486.7199999999998</v>
      </c>
      <c r="G8" s="183">
        <v>0</v>
      </c>
      <c r="H8" s="3">
        <f>SUM(D8:G8)</f>
        <v>6077.2999999999993</v>
      </c>
      <c r="J8" s="209">
        <v>35379.879999999997</v>
      </c>
      <c r="K8" s="209">
        <v>2155.14</v>
      </c>
      <c r="L8" s="209">
        <v>12593.13</v>
      </c>
      <c r="M8" s="209">
        <v>2155.14</v>
      </c>
      <c r="N8" s="209">
        <f>SUM(J8:M8)</f>
        <v>52283.289999999994</v>
      </c>
      <c r="P8" s="4"/>
      <c r="Q8" s="4">
        <v>1</v>
      </c>
      <c r="R8" s="208">
        <v>1</v>
      </c>
      <c r="S8" s="2">
        <v>35379.879999999997</v>
      </c>
      <c r="T8" s="2">
        <v>2155.14</v>
      </c>
      <c r="U8" s="2">
        <v>12593.13</v>
      </c>
      <c r="V8" s="2">
        <v>2155.14</v>
      </c>
      <c r="W8" s="2">
        <v>52283.289999999994</v>
      </c>
      <c r="X8" s="2">
        <f>SUM(S8:V8)-W8</f>
        <v>0</v>
      </c>
      <c r="Y8" s="2">
        <f>Z8-A8</f>
        <v>0</v>
      </c>
      <c r="Z8" s="4">
        <v>1</v>
      </c>
      <c r="AA8" s="4">
        <v>1</v>
      </c>
      <c r="AB8" s="2" t="s">
        <v>5</v>
      </c>
      <c r="AC8" s="209">
        <v>0</v>
      </c>
      <c r="AD8" s="209">
        <v>6077.2999999999993</v>
      </c>
      <c r="AE8" s="209">
        <v>4590.579999999999</v>
      </c>
      <c r="AF8" s="209">
        <v>0</v>
      </c>
      <c r="AG8" s="209">
        <v>1486.7199999999998</v>
      </c>
      <c r="AH8" s="209">
        <v>0</v>
      </c>
    </row>
    <row r="9" spans="1:34" x14ac:dyDescent="0.2">
      <c r="A9" s="4">
        <v>1.2</v>
      </c>
      <c r="B9" s="4">
        <v>3</v>
      </c>
      <c r="C9" s="2" t="s">
        <v>6</v>
      </c>
      <c r="D9" s="183">
        <v>179608.01</v>
      </c>
      <c r="E9" s="183">
        <v>22053.33</v>
      </c>
      <c r="F9" s="183">
        <v>228395.16999999998</v>
      </c>
      <c r="G9" s="183">
        <v>0</v>
      </c>
      <c r="H9" s="3">
        <f t="shared" ref="H9:H20" si="0">SUM(D9:G9)</f>
        <v>430056.51</v>
      </c>
      <c r="J9" s="209">
        <v>0</v>
      </c>
      <c r="K9" s="209">
        <v>0</v>
      </c>
      <c r="L9" s="209">
        <v>0</v>
      </c>
      <c r="M9" s="209">
        <v>0</v>
      </c>
      <c r="N9" s="209">
        <f t="shared" ref="N9:N72" si="1">SUM(J9:M9)</f>
        <v>0</v>
      </c>
      <c r="P9" s="4"/>
      <c r="Q9" s="4">
        <v>166</v>
      </c>
      <c r="R9" s="208">
        <v>1</v>
      </c>
      <c r="S9" s="2">
        <v>3236.92</v>
      </c>
      <c r="T9" s="2">
        <v>0</v>
      </c>
      <c r="U9" s="2">
        <v>27332.43</v>
      </c>
      <c r="V9" s="2">
        <v>4475.82</v>
      </c>
      <c r="W9" s="2">
        <v>35045.17</v>
      </c>
      <c r="X9" s="2">
        <f t="shared" ref="X9:X24" si="2">SUM(S9:V9)-W9</f>
        <v>0</v>
      </c>
      <c r="Y9" s="2">
        <f t="shared" ref="Y9:Y72" si="3">Z9-A9</f>
        <v>0</v>
      </c>
      <c r="Z9" s="4">
        <v>1.2</v>
      </c>
      <c r="AA9" s="4">
        <v>3</v>
      </c>
      <c r="AB9" s="2" t="s">
        <v>6</v>
      </c>
      <c r="AC9" s="209">
        <v>0</v>
      </c>
      <c r="AD9" s="209">
        <v>430056.51</v>
      </c>
      <c r="AE9" s="209">
        <v>179608.01</v>
      </c>
      <c r="AF9" s="209">
        <v>22053.33</v>
      </c>
      <c r="AG9" s="209">
        <v>228395.16999999998</v>
      </c>
      <c r="AH9" s="209">
        <v>0</v>
      </c>
    </row>
    <row r="10" spans="1:34" x14ac:dyDescent="0.2">
      <c r="A10" s="4">
        <v>2</v>
      </c>
      <c r="B10" s="4">
        <v>1</v>
      </c>
      <c r="C10" s="2" t="s">
        <v>7</v>
      </c>
      <c r="D10" s="183">
        <v>2269.2199999999998</v>
      </c>
      <c r="E10" s="183">
        <v>688.53</v>
      </c>
      <c r="F10" s="183">
        <v>7632.7</v>
      </c>
      <c r="G10" s="183">
        <v>0</v>
      </c>
      <c r="H10" s="3">
        <f t="shared" si="0"/>
        <v>10590.45</v>
      </c>
      <c r="J10" s="209">
        <v>0</v>
      </c>
      <c r="K10" s="209">
        <v>0</v>
      </c>
      <c r="L10" s="209">
        <v>0</v>
      </c>
      <c r="M10" s="209">
        <v>0</v>
      </c>
      <c r="N10" s="209">
        <f t="shared" si="1"/>
        <v>0</v>
      </c>
      <c r="P10" s="4"/>
      <c r="Q10" s="4">
        <v>182</v>
      </c>
      <c r="R10" s="208">
        <v>1</v>
      </c>
      <c r="S10" s="2">
        <v>34530.729999999996</v>
      </c>
      <c r="T10" s="2">
        <v>0</v>
      </c>
      <c r="U10" s="2">
        <v>114118.40000000001</v>
      </c>
      <c r="V10" s="2">
        <v>46814.91</v>
      </c>
      <c r="W10" s="2">
        <v>195464.04</v>
      </c>
      <c r="X10" s="2">
        <f t="shared" si="2"/>
        <v>0</v>
      </c>
      <c r="Y10" s="2">
        <f t="shared" si="3"/>
        <v>0</v>
      </c>
      <c r="Z10" s="4">
        <v>2</v>
      </c>
      <c r="AA10" s="4">
        <v>1</v>
      </c>
      <c r="AB10" s="2" t="s">
        <v>7</v>
      </c>
      <c r="AC10" s="209">
        <v>0</v>
      </c>
      <c r="AD10" s="209">
        <v>10590.45</v>
      </c>
      <c r="AE10" s="209">
        <v>2269.2199999999998</v>
      </c>
      <c r="AF10" s="209">
        <v>688.53</v>
      </c>
      <c r="AG10" s="209">
        <v>7632.7</v>
      </c>
      <c r="AH10" s="209">
        <v>0</v>
      </c>
    </row>
    <row r="11" spans="1:34" x14ac:dyDescent="0.2">
      <c r="A11" s="4">
        <v>4</v>
      </c>
      <c r="B11" s="4">
        <v>1</v>
      </c>
      <c r="C11" s="2" t="s">
        <v>8</v>
      </c>
      <c r="D11" s="183">
        <v>4370.3999999999996</v>
      </c>
      <c r="E11" s="183">
        <v>725.32999999999993</v>
      </c>
      <c r="F11" s="183">
        <v>10763.91</v>
      </c>
      <c r="G11" s="183">
        <v>2180.6</v>
      </c>
      <c r="H11" s="3">
        <f t="shared" si="0"/>
        <v>18040.239999999998</v>
      </c>
      <c r="J11" s="209">
        <v>0</v>
      </c>
      <c r="K11" s="209">
        <v>0</v>
      </c>
      <c r="L11" s="209">
        <v>0</v>
      </c>
      <c r="M11" s="209">
        <v>0</v>
      </c>
      <c r="N11" s="209">
        <f t="shared" si="1"/>
        <v>0</v>
      </c>
      <c r="P11" s="4"/>
      <c r="Q11" s="4">
        <v>316</v>
      </c>
      <c r="R11" s="208">
        <v>1</v>
      </c>
      <c r="S11" s="2">
        <v>9137.74</v>
      </c>
      <c r="T11" s="2">
        <v>0</v>
      </c>
      <c r="U11" s="2">
        <v>66171.740000000005</v>
      </c>
      <c r="V11" s="2">
        <v>152489.88</v>
      </c>
      <c r="W11" s="2">
        <v>227799.36000000002</v>
      </c>
      <c r="X11" s="2">
        <f t="shared" si="2"/>
        <v>0</v>
      </c>
      <c r="Y11" s="2">
        <f t="shared" si="3"/>
        <v>0</v>
      </c>
      <c r="Z11" s="4">
        <v>4</v>
      </c>
      <c r="AA11" s="4">
        <v>1</v>
      </c>
      <c r="AB11" s="2" t="s">
        <v>8</v>
      </c>
      <c r="AC11" s="209">
        <v>0</v>
      </c>
      <c r="AD11" s="209">
        <v>18040.240000000005</v>
      </c>
      <c r="AE11" s="209">
        <v>4370.3999999999996</v>
      </c>
      <c r="AF11" s="209">
        <v>725.32999999999993</v>
      </c>
      <c r="AG11" s="209">
        <v>10763.91</v>
      </c>
      <c r="AH11" s="209">
        <v>2180.6</v>
      </c>
    </row>
    <row r="12" spans="1:34" x14ac:dyDescent="0.2">
      <c r="A12" s="4">
        <v>6</v>
      </c>
      <c r="B12" s="4">
        <v>3</v>
      </c>
      <c r="C12" s="2" t="s">
        <v>9</v>
      </c>
      <c r="D12" s="183">
        <v>0</v>
      </c>
      <c r="E12" s="183">
        <v>0</v>
      </c>
      <c r="F12" s="183">
        <v>0</v>
      </c>
      <c r="G12" s="183">
        <v>0</v>
      </c>
      <c r="H12" s="3">
        <f t="shared" si="0"/>
        <v>0</v>
      </c>
      <c r="J12" s="209">
        <v>0</v>
      </c>
      <c r="K12" s="209">
        <v>0</v>
      </c>
      <c r="L12" s="209">
        <v>0</v>
      </c>
      <c r="M12" s="209">
        <v>0</v>
      </c>
      <c r="N12" s="209">
        <f t="shared" si="1"/>
        <v>0</v>
      </c>
      <c r="P12" s="4"/>
      <c r="Q12" s="4">
        <v>317</v>
      </c>
      <c r="R12" s="208">
        <v>1</v>
      </c>
      <c r="S12" s="2">
        <v>28.37</v>
      </c>
      <c r="T12" s="2">
        <v>0</v>
      </c>
      <c r="U12" s="2">
        <v>51761.85</v>
      </c>
      <c r="V12" s="2">
        <v>10236.959999999999</v>
      </c>
      <c r="W12" s="2">
        <v>62027.18</v>
      </c>
      <c r="X12" s="2">
        <f t="shared" si="2"/>
        <v>0</v>
      </c>
      <c r="Y12" s="2">
        <f t="shared" si="3"/>
        <v>0</v>
      </c>
      <c r="Z12" s="4">
        <v>6</v>
      </c>
      <c r="AA12" s="4">
        <v>3</v>
      </c>
      <c r="AB12" s="2" t="s">
        <v>9</v>
      </c>
      <c r="AC12" s="209">
        <v>0</v>
      </c>
      <c r="AD12" s="209">
        <v>0</v>
      </c>
      <c r="AE12" s="209">
        <v>0</v>
      </c>
      <c r="AF12" s="209">
        <v>0</v>
      </c>
      <c r="AG12" s="209">
        <v>0</v>
      </c>
      <c r="AH12" s="209">
        <v>0</v>
      </c>
    </row>
    <row r="13" spans="1:34" x14ac:dyDescent="0.2">
      <c r="A13" s="4">
        <v>11</v>
      </c>
      <c r="B13" s="4">
        <v>1</v>
      </c>
      <c r="C13" s="2" t="s">
        <v>10</v>
      </c>
      <c r="D13" s="183">
        <v>5248.4299999999994</v>
      </c>
      <c r="E13" s="183">
        <v>582.56999999999994</v>
      </c>
      <c r="F13" s="183">
        <v>3337.8599999999992</v>
      </c>
      <c r="G13" s="183">
        <v>404.40000000000003</v>
      </c>
      <c r="H13" s="3">
        <f t="shared" si="0"/>
        <v>9573.2599999999984</v>
      </c>
      <c r="J13" s="209">
        <v>0</v>
      </c>
      <c r="K13" s="209">
        <v>0</v>
      </c>
      <c r="L13" s="209">
        <v>0</v>
      </c>
      <c r="M13" s="209">
        <v>0</v>
      </c>
      <c r="N13" s="209">
        <f t="shared" si="1"/>
        <v>0</v>
      </c>
      <c r="P13" s="4"/>
      <c r="Q13" s="4">
        <v>318</v>
      </c>
      <c r="R13" s="208">
        <v>1</v>
      </c>
      <c r="S13" s="2">
        <v>150372.81</v>
      </c>
      <c r="T13" s="2">
        <v>0</v>
      </c>
      <c r="U13" s="2">
        <v>166120.73000000001</v>
      </c>
      <c r="V13" s="2">
        <v>146759.23000000001</v>
      </c>
      <c r="W13" s="2">
        <v>463252.77</v>
      </c>
      <c r="X13" s="2">
        <f t="shared" si="2"/>
        <v>0</v>
      </c>
      <c r="Y13" s="2">
        <f t="shared" si="3"/>
        <v>0</v>
      </c>
      <c r="Z13" s="4">
        <v>11</v>
      </c>
      <c r="AA13" s="4">
        <v>1</v>
      </c>
      <c r="AB13" s="2" t="s">
        <v>10</v>
      </c>
      <c r="AC13" s="209">
        <v>0</v>
      </c>
      <c r="AD13" s="209">
        <v>9573.2599999999984</v>
      </c>
      <c r="AE13" s="209">
        <v>5248.4299999999994</v>
      </c>
      <c r="AF13" s="209">
        <v>582.56999999999994</v>
      </c>
      <c r="AG13" s="209">
        <v>3337.8599999999992</v>
      </c>
      <c r="AH13" s="209">
        <v>404.40000000000003</v>
      </c>
    </row>
    <row r="14" spans="1:34" x14ac:dyDescent="0.2">
      <c r="A14" s="4">
        <v>12</v>
      </c>
      <c r="B14" s="4">
        <v>1</v>
      </c>
      <c r="C14" s="2" t="s">
        <v>11</v>
      </c>
      <c r="D14" s="183">
        <v>752.2600000000001</v>
      </c>
      <c r="E14" s="183">
        <v>57.559999999999995</v>
      </c>
      <c r="F14" s="183">
        <v>802.77</v>
      </c>
      <c r="G14" s="183">
        <v>82.66</v>
      </c>
      <c r="H14" s="3">
        <f t="shared" si="0"/>
        <v>1695.2500000000002</v>
      </c>
      <c r="J14" s="209">
        <v>0</v>
      </c>
      <c r="K14" s="209">
        <v>0</v>
      </c>
      <c r="L14" s="209">
        <v>0</v>
      </c>
      <c r="M14" s="209">
        <v>0</v>
      </c>
      <c r="N14" s="209">
        <f t="shared" si="1"/>
        <v>0</v>
      </c>
      <c r="P14" s="4"/>
      <c r="Q14" s="4">
        <v>319</v>
      </c>
      <c r="R14" s="208">
        <v>1</v>
      </c>
      <c r="S14" s="2">
        <v>9575.15</v>
      </c>
      <c r="T14" s="2">
        <v>0</v>
      </c>
      <c r="U14" s="2">
        <v>0</v>
      </c>
      <c r="V14" s="2">
        <v>26977.01</v>
      </c>
      <c r="W14" s="2">
        <v>36552.159999999996</v>
      </c>
      <c r="X14" s="2">
        <f t="shared" si="2"/>
        <v>0</v>
      </c>
      <c r="Y14" s="2">
        <f t="shared" si="3"/>
        <v>0</v>
      </c>
      <c r="Z14" s="4">
        <v>12</v>
      </c>
      <c r="AA14" s="4">
        <v>1</v>
      </c>
      <c r="AB14" s="2" t="s">
        <v>11</v>
      </c>
      <c r="AC14" s="209">
        <v>0</v>
      </c>
      <c r="AD14" s="209">
        <v>1695.2499999999998</v>
      </c>
      <c r="AE14" s="209">
        <v>752.2600000000001</v>
      </c>
      <c r="AF14" s="209">
        <v>57.559999999999995</v>
      </c>
      <c r="AG14" s="209">
        <v>802.77</v>
      </c>
      <c r="AH14" s="209">
        <v>82.66</v>
      </c>
    </row>
    <row r="15" spans="1:34" x14ac:dyDescent="0.2">
      <c r="A15" s="4">
        <v>13</v>
      </c>
      <c r="B15" s="4">
        <v>1</v>
      </c>
      <c r="C15" s="2" t="s">
        <v>12</v>
      </c>
      <c r="D15" s="183">
        <v>72.650000000000006</v>
      </c>
      <c r="E15" s="183">
        <v>15.46</v>
      </c>
      <c r="F15" s="183">
        <v>72.89</v>
      </c>
      <c r="G15" s="183">
        <v>0</v>
      </c>
      <c r="H15" s="3">
        <f t="shared" si="0"/>
        <v>161</v>
      </c>
      <c r="J15" s="209">
        <v>0</v>
      </c>
      <c r="K15" s="209">
        <v>0</v>
      </c>
      <c r="L15" s="209">
        <v>0</v>
      </c>
      <c r="M15" s="209">
        <v>0</v>
      </c>
      <c r="N15" s="209">
        <f t="shared" si="1"/>
        <v>0</v>
      </c>
      <c r="P15" s="4"/>
      <c r="Q15" s="4">
        <v>381</v>
      </c>
      <c r="R15" s="208">
        <v>1</v>
      </c>
      <c r="S15" s="2">
        <v>14503.16</v>
      </c>
      <c r="T15" s="2">
        <v>0</v>
      </c>
      <c r="U15" s="2">
        <v>173932.40999999997</v>
      </c>
      <c r="V15" s="2">
        <v>51252.639999999999</v>
      </c>
      <c r="W15" s="2">
        <v>239688.20999999996</v>
      </c>
      <c r="X15" s="2">
        <f t="shared" si="2"/>
        <v>0</v>
      </c>
      <c r="Y15" s="2">
        <f t="shared" si="3"/>
        <v>0</v>
      </c>
      <c r="Z15" s="4">
        <v>13</v>
      </c>
      <c r="AA15" s="4">
        <v>1</v>
      </c>
      <c r="AB15" s="2" t="s">
        <v>12</v>
      </c>
      <c r="AC15" s="209">
        <v>0</v>
      </c>
      <c r="AD15" s="209">
        <v>161</v>
      </c>
      <c r="AE15" s="209">
        <v>72.650000000000006</v>
      </c>
      <c r="AF15" s="209">
        <v>15.46</v>
      </c>
      <c r="AG15" s="209">
        <v>72.89</v>
      </c>
      <c r="AH15" s="209">
        <v>0</v>
      </c>
    </row>
    <row r="16" spans="1:34" x14ac:dyDescent="0.2">
      <c r="A16" s="4">
        <v>14</v>
      </c>
      <c r="B16" s="4">
        <v>1</v>
      </c>
      <c r="C16" s="2" t="s">
        <v>13</v>
      </c>
      <c r="D16" s="183">
        <v>0</v>
      </c>
      <c r="E16" s="183">
        <v>0</v>
      </c>
      <c r="F16" s="183">
        <v>0</v>
      </c>
      <c r="G16" s="183">
        <v>0</v>
      </c>
      <c r="H16" s="3">
        <f t="shared" si="0"/>
        <v>0</v>
      </c>
      <c r="J16" s="209">
        <v>0</v>
      </c>
      <c r="K16" s="209">
        <v>0</v>
      </c>
      <c r="L16" s="209">
        <v>0</v>
      </c>
      <c r="M16" s="209">
        <v>0</v>
      </c>
      <c r="N16" s="209">
        <f t="shared" si="1"/>
        <v>0</v>
      </c>
      <c r="P16" s="4"/>
      <c r="Q16" s="4">
        <v>695</v>
      </c>
      <c r="R16" s="208">
        <v>1</v>
      </c>
      <c r="S16" s="2">
        <v>22276.95</v>
      </c>
      <c r="T16" s="2">
        <v>0</v>
      </c>
      <c r="U16" s="2">
        <v>28529.51</v>
      </c>
      <c r="V16" s="2">
        <v>60091.56</v>
      </c>
      <c r="W16" s="2">
        <v>110898.01999999999</v>
      </c>
      <c r="X16" s="2">
        <f t="shared" si="2"/>
        <v>0</v>
      </c>
      <c r="Y16" s="2">
        <f t="shared" si="3"/>
        <v>0</v>
      </c>
      <c r="Z16" s="4">
        <v>14</v>
      </c>
      <c r="AA16" s="4">
        <v>1</v>
      </c>
      <c r="AB16" s="2" t="s">
        <v>13</v>
      </c>
      <c r="AC16" s="209">
        <v>0</v>
      </c>
      <c r="AD16" s="209">
        <v>0</v>
      </c>
      <c r="AE16" s="209">
        <v>0</v>
      </c>
      <c r="AF16" s="209">
        <v>0</v>
      </c>
      <c r="AG16" s="209">
        <v>0</v>
      </c>
      <c r="AH16" s="209">
        <v>0</v>
      </c>
    </row>
    <row r="17" spans="1:34" x14ac:dyDescent="0.2">
      <c r="A17" s="4">
        <v>15</v>
      </c>
      <c r="B17" s="4">
        <v>1</v>
      </c>
      <c r="C17" s="2" t="s">
        <v>14</v>
      </c>
      <c r="D17" s="183">
        <v>5109.01</v>
      </c>
      <c r="E17" s="183">
        <v>1039.95</v>
      </c>
      <c r="F17" s="183">
        <v>16304.749999999998</v>
      </c>
      <c r="G17" s="183">
        <v>2161.8500000000004</v>
      </c>
      <c r="H17" s="3">
        <f t="shared" si="0"/>
        <v>24615.559999999998</v>
      </c>
      <c r="J17" s="209">
        <v>0</v>
      </c>
      <c r="K17" s="209">
        <v>0</v>
      </c>
      <c r="L17" s="209">
        <v>0</v>
      </c>
      <c r="M17" s="209">
        <v>0</v>
      </c>
      <c r="N17" s="209">
        <f t="shared" si="1"/>
        <v>0</v>
      </c>
      <c r="P17" s="4"/>
      <c r="Q17" s="4">
        <v>696</v>
      </c>
      <c r="R17" s="208">
        <v>1</v>
      </c>
      <c r="S17" s="2">
        <v>39457.870000000003</v>
      </c>
      <c r="T17" s="2">
        <v>0</v>
      </c>
      <c r="U17" s="2">
        <v>14382.24</v>
      </c>
      <c r="V17" s="2">
        <v>0</v>
      </c>
      <c r="W17" s="2">
        <v>53840.11</v>
      </c>
      <c r="X17" s="2">
        <f t="shared" si="2"/>
        <v>0</v>
      </c>
      <c r="Y17" s="2">
        <f t="shared" si="3"/>
        <v>0</v>
      </c>
      <c r="Z17" s="4">
        <v>15</v>
      </c>
      <c r="AA17" s="4">
        <v>1</v>
      </c>
      <c r="AB17" s="2" t="s">
        <v>14</v>
      </c>
      <c r="AC17" s="209">
        <v>0</v>
      </c>
      <c r="AD17" s="209">
        <v>24615.559999999998</v>
      </c>
      <c r="AE17" s="209">
        <v>5109.01</v>
      </c>
      <c r="AF17" s="209">
        <v>1039.95</v>
      </c>
      <c r="AG17" s="209">
        <v>16304.749999999998</v>
      </c>
      <c r="AH17" s="209">
        <v>2161.8500000000004</v>
      </c>
    </row>
    <row r="18" spans="1:34" x14ac:dyDescent="0.2">
      <c r="A18" s="4">
        <v>16</v>
      </c>
      <c r="B18" s="4">
        <v>1</v>
      </c>
      <c r="C18" s="2" t="s">
        <v>15</v>
      </c>
      <c r="D18" s="183">
        <v>0</v>
      </c>
      <c r="E18" s="183">
        <v>0</v>
      </c>
      <c r="F18" s="183">
        <v>0</v>
      </c>
      <c r="G18" s="183">
        <v>0</v>
      </c>
      <c r="H18" s="3">
        <f t="shared" si="0"/>
        <v>0</v>
      </c>
      <c r="J18" s="209">
        <v>0</v>
      </c>
      <c r="K18" s="209">
        <v>0</v>
      </c>
      <c r="L18" s="209">
        <v>0</v>
      </c>
      <c r="M18" s="209">
        <v>0</v>
      </c>
      <c r="N18" s="209">
        <f t="shared" si="1"/>
        <v>0</v>
      </c>
      <c r="P18" s="4"/>
      <c r="Q18" s="4">
        <v>698</v>
      </c>
      <c r="R18" s="208">
        <v>1</v>
      </c>
      <c r="S18" s="2">
        <v>5275.86</v>
      </c>
      <c r="T18" s="2">
        <v>742.97</v>
      </c>
      <c r="U18" s="2">
        <v>31599.85</v>
      </c>
      <c r="V18" s="2">
        <v>0</v>
      </c>
      <c r="W18" s="2">
        <v>37618.68</v>
      </c>
      <c r="X18" s="2">
        <f t="shared" si="2"/>
        <v>0</v>
      </c>
      <c r="Y18" s="2">
        <f t="shared" si="3"/>
        <v>0</v>
      </c>
      <c r="Z18" s="4">
        <v>16</v>
      </c>
      <c r="AA18" s="4">
        <v>1</v>
      </c>
      <c r="AB18" s="2" t="s">
        <v>15</v>
      </c>
      <c r="AC18" s="209">
        <v>0</v>
      </c>
      <c r="AD18" s="209">
        <v>0</v>
      </c>
      <c r="AE18" s="209">
        <v>0</v>
      </c>
      <c r="AF18" s="209">
        <v>0</v>
      </c>
      <c r="AG18" s="209">
        <v>0</v>
      </c>
      <c r="AH18" s="209">
        <v>0</v>
      </c>
    </row>
    <row r="19" spans="1:34" x14ac:dyDescent="0.2">
      <c r="A19" s="4">
        <v>22</v>
      </c>
      <c r="B19" s="4">
        <v>1</v>
      </c>
      <c r="C19" s="2" t="s">
        <v>16</v>
      </c>
      <c r="D19" s="183">
        <v>7458.2700000000013</v>
      </c>
      <c r="E19" s="183">
        <v>1247.4200000000003</v>
      </c>
      <c r="F19" s="183">
        <v>4437.68</v>
      </c>
      <c r="G19" s="183">
        <v>0</v>
      </c>
      <c r="H19" s="3">
        <f t="shared" si="0"/>
        <v>13143.370000000003</v>
      </c>
      <c r="J19" s="209">
        <v>0</v>
      </c>
      <c r="K19" s="209">
        <v>0</v>
      </c>
      <c r="L19" s="209">
        <v>0</v>
      </c>
      <c r="M19" s="209">
        <v>0</v>
      </c>
      <c r="N19" s="209">
        <f t="shared" si="1"/>
        <v>0</v>
      </c>
      <c r="P19" s="4"/>
      <c r="Q19" s="4">
        <v>701</v>
      </c>
      <c r="R19" s="208">
        <v>1</v>
      </c>
      <c r="S19" s="2">
        <v>52679.49</v>
      </c>
      <c r="T19" s="2">
        <v>0</v>
      </c>
      <c r="U19" s="2">
        <v>38687.800000000003</v>
      </c>
      <c r="V19" s="2">
        <v>0</v>
      </c>
      <c r="W19" s="2">
        <v>91367.290000000008</v>
      </c>
      <c r="X19" s="2">
        <f t="shared" si="2"/>
        <v>0</v>
      </c>
      <c r="Y19" s="2">
        <f t="shared" si="3"/>
        <v>0</v>
      </c>
      <c r="Z19" s="4">
        <v>22</v>
      </c>
      <c r="AA19" s="4">
        <v>1</v>
      </c>
      <c r="AB19" s="2" t="s">
        <v>16</v>
      </c>
      <c r="AC19" s="209">
        <v>0</v>
      </c>
      <c r="AD19" s="209">
        <v>13143.369999999999</v>
      </c>
      <c r="AE19" s="209">
        <v>7458.2700000000013</v>
      </c>
      <c r="AF19" s="209">
        <v>1247.4200000000003</v>
      </c>
      <c r="AG19" s="209">
        <v>4437.68</v>
      </c>
      <c r="AH19" s="209">
        <v>0</v>
      </c>
    </row>
    <row r="20" spans="1:34" x14ac:dyDescent="0.2">
      <c r="A20" s="4">
        <v>23</v>
      </c>
      <c r="B20" s="4">
        <v>1</v>
      </c>
      <c r="C20" s="2" t="s">
        <v>17</v>
      </c>
      <c r="D20" s="183">
        <v>6165.159999999998</v>
      </c>
      <c r="E20" s="183">
        <v>1570.5799999999997</v>
      </c>
      <c r="F20" s="183">
        <v>16577.829999999998</v>
      </c>
      <c r="G20" s="183">
        <v>0</v>
      </c>
      <c r="H20" s="3">
        <f t="shared" si="0"/>
        <v>24313.569999999996</v>
      </c>
      <c r="J20" s="209">
        <v>0</v>
      </c>
      <c r="K20" s="209">
        <v>0</v>
      </c>
      <c r="L20" s="209">
        <v>0</v>
      </c>
      <c r="M20" s="209">
        <v>0</v>
      </c>
      <c r="N20" s="209">
        <f t="shared" si="1"/>
        <v>0</v>
      </c>
      <c r="P20" s="4"/>
      <c r="Q20" s="4">
        <v>706</v>
      </c>
      <c r="R20" s="208">
        <v>1</v>
      </c>
      <c r="S20" s="2">
        <v>25055.74</v>
      </c>
      <c r="T20" s="2">
        <v>0</v>
      </c>
      <c r="U20" s="2">
        <v>1974.29</v>
      </c>
      <c r="V20" s="2">
        <v>28187.05</v>
      </c>
      <c r="W20" s="2">
        <v>55217.08</v>
      </c>
      <c r="X20" s="2">
        <f t="shared" si="2"/>
        <v>0</v>
      </c>
      <c r="Y20" s="2">
        <f t="shared" si="3"/>
        <v>0</v>
      </c>
      <c r="Z20" s="4">
        <v>23</v>
      </c>
      <c r="AA20" s="4">
        <v>1</v>
      </c>
      <c r="AB20" s="2" t="s">
        <v>17</v>
      </c>
      <c r="AC20" s="209">
        <v>0</v>
      </c>
      <c r="AD20" s="209">
        <v>24313.569999999992</v>
      </c>
      <c r="AE20" s="209">
        <v>6165.159999999998</v>
      </c>
      <c r="AF20" s="209">
        <v>1570.5799999999997</v>
      </c>
      <c r="AG20" s="209">
        <v>16577.829999999998</v>
      </c>
      <c r="AH20" s="209">
        <v>0</v>
      </c>
    </row>
    <row r="21" spans="1:34" x14ac:dyDescent="0.2">
      <c r="A21" s="4">
        <v>25</v>
      </c>
      <c r="B21" s="4">
        <v>1</v>
      </c>
      <c r="C21" s="2" t="s">
        <v>341</v>
      </c>
      <c r="D21" s="3">
        <v>0</v>
      </c>
      <c r="E21" s="3">
        <v>0</v>
      </c>
      <c r="F21" s="3">
        <v>0</v>
      </c>
      <c r="G21" s="3">
        <v>0</v>
      </c>
      <c r="J21" s="209">
        <v>0</v>
      </c>
      <c r="K21" s="209">
        <v>0</v>
      </c>
      <c r="L21" s="209">
        <v>0</v>
      </c>
      <c r="M21" s="209">
        <v>0</v>
      </c>
      <c r="N21" s="209">
        <f t="shared" si="1"/>
        <v>0</v>
      </c>
      <c r="P21" s="4"/>
      <c r="Q21" s="4">
        <v>712</v>
      </c>
      <c r="R21" s="208">
        <v>1</v>
      </c>
      <c r="S21" s="2">
        <v>0</v>
      </c>
      <c r="T21" s="2">
        <v>0</v>
      </c>
      <c r="U21" s="2">
        <v>2743.19</v>
      </c>
      <c r="V21" s="2">
        <v>0</v>
      </c>
      <c r="W21" s="2">
        <v>2743.19</v>
      </c>
      <c r="X21" s="2">
        <f t="shared" si="2"/>
        <v>0</v>
      </c>
      <c r="Y21" s="2">
        <f t="shared" si="3"/>
        <v>0</v>
      </c>
      <c r="Z21" s="4">
        <v>25</v>
      </c>
      <c r="AA21" s="4">
        <v>1</v>
      </c>
      <c r="AB21" s="2" t="s">
        <v>341</v>
      </c>
      <c r="AC21" s="209">
        <v>0</v>
      </c>
      <c r="AD21" s="209">
        <v>0</v>
      </c>
      <c r="AE21" s="209">
        <v>0</v>
      </c>
      <c r="AF21" s="209">
        <v>0</v>
      </c>
      <c r="AG21" s="209">
        <v>0</v>
      </c>
      <c r="AH21" s="209">
        <v>0</v>
      </c>
    </row>
    <row r="22" spans="1:34" x14ac:dyDescent="0.2">
      <c r="A22" s="4">
        <v>31</v>
      </c>
      <c r="B22" s="4">
        <v>1</v>
      </c>
      <c r="C22" s="2" t="s">
        <v>18</v>
      </c>
      <c r="D22" s="183">
        <v>13900.170000000002</v>
      </c>
      <c r="E22" s="183">
        <v>2802.5500000000006</v>
      </c>
      <c r="F22" s="183">
        <v>24084.930000000004</v>
      </c>
      <c r="G22" s="183">
        <v>4055.21</v>
      </c>
      <c r="H22" s="3">
        <f t="shared" ref="H22:H53" si="4">SUM(D22:G22)</f>
        <v>44842.860000000008</v>
      </c>
      <c r="J22" s="209">
        <v>0</v>
      </c>
      <c r="K22" s="209">
        <v>0</v>
      </c>
      <c r="L22" s="209">
        <v>0</v>
      </c>
      <c r="M22" s="209">
        <v>0</v>
      </c>
      <c r="N22" s="209">
        <f t="shared" si="1"/>
        <v>0</v>
      </c>
      <c r="P22" s="4"/>
      <c r="Q22" s="4">
        <v>2142</v>
      </c>
      <c r="R22" s="208">
        <v>1</v>
      </c>
      <c r="S22" s="2">
        <v>85028.21</v>
      </c>
      <c r="T22" s="2">
        <v>0</v>
      </c>
      <c r="U22" s="2">
        <v>284222.99</v>
      </c>
      <c r="V22" s="2">
        <v>0</v>
      </c>
      <c r="W22" s="2">
        <v>369251.2</v>
      </c>
      <c r="X22" s="2">
        <f t="shared" si="2"/>
        <v>0</v>
      </c>
      <c r="Y22" s="2">
        <f t="shared" si="3"/>
        <v>0</v>
      </c>
      <c r="Z22" s="4">
        <v>31</v>
      </c>
      <c r="AA22" s="4">
        <v>1</v>
      </c>
      <c r="AB22" s="2" t="s">
        <v>18</v>
      </c>
      <c r="AC22" s="209">
        <v>0</v>
      </c>
      <c r="AD22" s="209">
        <v>44842.86</v>
      </c>
      <c r="AE22" s="209">
        <v>13900.170000000002</v>
      </c>
      <c r="AF22" s="209">
        <v>2802.5500000000006</v>
      </c>
      <c r="AG22" s="209">
        <v>24084.930000000004</v>
      </c>
      <c r="AH22" s="209">
        <v>4055.21</v>
      </c>
    </row>
    <row r="23" spans="1:34" x14ac:dyDescent="0.2">
      <c r="A23" s="4">
        <v>32</v>
      </c>
      <c r="B23" s="4">
        <v>1</v>
      </c>
      <c r="C23" s="2" t="s">
        <v>19</v>
      </c>
      <c r="D23" s="183">
        <v>8125.04</v>
      </c>
      <c r="E23" s="183">
        <v>1212.7299999999998</v>
      </c>
      <c r="F23" s="183">
        <v>13694.789999999999</v>
      </c>
      <c r="G23" s="183">
        <v>0</v>
      </c>
      <c r="H23" s="3">
        <f t="shared" si="4"/>
        <v>23032.559999999998</v>
      </c>
      <c r="J23" s="209">
        <v>0</v>
      </c>
      <c r="K23" s="209">
        <v>0</v>
      </c>
      <c r="L23" s="209">
        <v>0</v>
      </c>
      <c r="M23" s="209">
        <v>0</v>
      </c>
      <c r="N23" s="209">
        <f t="shared" si="1"/>
        <v>0</v>
      </c>
      <c r="P23" s="4"/>
      <c r="Q23" s="4">
        <v>2154</v>
      </c>
      <c r="R23" s="208">
        <v>1</v>
      </c>
      <c r="S23" s="2">
        <v>59.79</v>
      </c>
      <c r="T23" s="2">
        <v>0</v>
      </c>
      <c r="U23" s="2">
        <v>3825.98</v>
      </c>
      <c r="V23" s="2">
        <v>0</v>
      </c>
      <c r="W23" s="2">
        <v>3885.77</v>
      </c>
      <c r="X23" s="2">
        <f t="shared" si="2"/>
        <v>0</v>
      </c>
      <c r="Y23" s="2">
        <f t="shared" si="3"/>
        <v>0</v>
      </c>
      <c r="Z23" s="4">
        <v>32</v>
      </c>
      <c r="AA23" s="4">
        <v>1</v>
      </c>
      <c r="AB23" s="2" t="s">
        <v>19</v>
      </c>
      <c r="AC23" s="209">
        <v>0</v>
      </c>
      <c r="AD23" s="209">
        <v>23032.559999999998</v>
      </c>
      <c r="AE23" s="209">
        <v>8125.04</v>
      </c>
      <c r="AF23" s="209">
        <v>1212.7299999999998</v>
      </c>
      <c r="AG23" s="209">
        <v>13694.789999999999</v>
      </c>
      <c r="AH23" s="209">
        <v>0</v>
      </c>
    </row>
    <row r="24" spans="1:34" x14ac:dyDescent="0.2">
      <c r="A24" s="4">
        <v>36</v>
      </c>
      <c r="B24" s="4">
        <v>1</v>
      </c>
      <c r="C24" s="2" t="s">
        <v>20</v>
      </c>
      <c r="D24" s="183">
        <v>603.36999999999989</v>
      </c>
      <c r="E24" s="183">
        <v>359.9</v>
      </c>
      <c r="F24" s="183">
        <v>9694.4699999999993</v>
      </c>
      <c r="G24" s="183">
        <v>0</v>
      </c>
      <c r="H24" s="3">
        <f t="shared" si="4"/>
        <v>10657.74</v>
      </c>
      <c r="J24" s="209">
        <v>0</v>
      </c>
      <c r="K24" s="209">
        <v>0</v>
      </c>
      <c r="L24" s="209">
        <v>0</v>
      </c>
      <c r="M24" s="209">
        <v>0</v>
      </c>
      <c r="N24" s="209">
        <f t="shared" si="1"/>
        <v>0</v>
      </c>
      <c r="P24" s="4"/>
      <c r="Q24" s="4">
        <v>2711</v>
      </c>
      <c r="R24" s="208">
        <v>1</v>
      </c>
      <c r="S24" s="2">
        <v>50.95</v>
      </c>
      <c r="T24" s="2">
        <v>0</v>
      </c>
      <c r="U24" s="2">
        <v>46169.85</v>
      </c>
      <c r="V24" s="2">
        <v>92850.83</v>
      </c>
      <c r="W24" s="2">
        <v>139071.63</v>
      </c>
      <c r="X24" s="2">
        <f t="shared" si="2"/>
        <v>0</v>
      </c>
      <c r="Y24" s="2">
        <f t="shared" si="3"/>
        <v>0</v>
      </c>
      <c r="Z24" s="4">
        <v>36</v>
      </c>
      <c r="AA24" s="4">
        <v>1</v>
      </c>
      <c r="AB24" s="2" t="s">
        <v>20</v>
      </c>
      <c r="AC24" s="209">
        <v>0</v>
      </c>
      <c r="AD24" s="209">
        <v>10657.740000000002</v>
      </c>
      <c r="AE24" s="209">
        <v>603.36999999999989</v>
      </c>
      <c r="AF24" s="209">
        <v>359.9</v>
      </c>
      <c r="AG24" s="209">
        <v>9694.4699999999993</v>
      </c>
      <c r="AH24" s="209">
        <v>0</v>
      </c>
    </row>
    <row r="25" spans="1:34" x14ac:dyDescent="0.2">
      <c r="A25" s="4">
        <v>38</v>
      </c>
      <c r="B25" s="4">
        <v>1</v>
      </c>
      <c r="C25" s="2" t="s">
        <v>21</v>
      </c>
      <c r="D25" s="183">
        <v>0</v>
      </c>
      <c r="E25" s="183">
        <v>0</v>
      </c>
      <c r="F25" s="183">
        <v>0</v>
      </c>
      <c r="G25" s="183">
        <v>0</v>
      </c>
      <c r="H25" s="3">
        <f t="shared" si="4"/>
        <v>0</v>
      </c>
      <c r="J25" s="209">
        <v>0</v>
      </c>
      <c r="K25" s="209">
        <v>0</v>
      </c>
      <c r="L25" s="209">
        <v>0</v>
      </c>
      <c r="M25" s="209">
        <v>0</v>
      </c>
      <c r="N25" s="209">
        <f t="shared" si="1"/>
        <v>0</v>
      </c>
      <c r="P25" s="4"/>
      <c r="Q25" s="4"/>
      <c r="W25" s="2">
        <f>SUM(W8:W24)</f>
        <v>2176005.15</v>
      </c>
      <c r="Y25" s="2">
        <f t="shared" si="3"/>
        <v>0</v>
      </c>
      <c r="Z25" s="4">
        <v>38</v>
      </c>
      <c r="AA25" s="4">
        <v>1</v>
      </c>
      <c r="AB25" s="2" t="s">
        <v>21</v>
      </c>
      <c r="AC25" s="209">
        <v>0</v>
      </c>
      <c r="AD25" s="209">
        <v>0</v>
      </c>
      <c r="AE25" s="209">
        <v>0</v>
      </c>
      <c r="AF25" s="209">
        <v>0</v>
      </c>
      <c r="AG25" s="209">
        <v>0</v>
      </c>
      <c r="AH25" s="209">
        <v>0</v>
      </c>
    </row>
    <row r="26" spans="1:34" x14ac:dyDescent="0.2">
      <c r="A26" s="4">
        <v>47</v>
      </c>
      <c r="B26" s="4">
        <v>1</v>
      </c>
      <c r="C26" s="2" t="s">
        <v>22</v>
      </c>
      <c r="D26" s="183">
        <v>5836.6799999999994</v>
      </c>
      <c r="E26" s="183">
        <v>1054.08</v>
      </c>
      <c r="F26" s="183">
        <v>23890.999999999996</v>
      </c>
      <c r="G26" s="183">
        <v>0</v>
      </c>
      <c r="H26" s="3">
        <f t="shared" si="4"/>
        <v>30781.759999999995</v>
      </c>
      <c r="J26" s="209">
        <v>0</v>
      </c>
      <c r="K26" s="209">
        <v>0</v>
      </c>
      <c r="L26" s="209">
        <v>0</v>
      </c>
      <c r="M26" s="209">
        <v>0</v>
      </c>
      <c r="N26" s="209">
        <f t="shared" si="1"/>
        <v>0</v>
      </c>
      <c r="P26" s="4"/>
      <c r="Q26" s="4"/>
      <c r="Y26" s="2">
        <f t="shared" si="3"/>
        <v>0</v>
      </c>
      <c r="Z26" s="4">
        <v>47</v>
      </c>
      <c r="AA26" s="4">
        <v>1</v>
      </c>
      <c r="AB26" s="2" t="s">
        <v>22</v>
      </c>
      <c r="AC26" s="209">
        <v>0</v>
      </c>
      <c r="AD26" s="209">
        <v>30781.759999999998</v>
      </c>
      <c r="AE26" s="209">
        <v>5836.6799999999994</v>
      </c>
      <c r="AF26" s="209">
        <v>1054.08</v>
      </c>
      <c r="AG26" s="209">
        <v>23890.999999999996</v>
      </c>
      <c r="AH26" s="209">
        <v>0</v>
      </c>
    </row>
    <row r="27" spans="1:34" x14ac:dyDescent="0.2">
      <c r="A27" s="4">
        <v>51</v>
      </c>
      <c r="B27" s="4">
        <v>1</v>
      </c>
      <c r="C27" s="2" t="s">
        <v>23</v>
      </c>
      <c r="D27" s="183">
        <v>11538.69</v>
      </c>
      <c r="E27" s="183">
        <v>2622.9500000000003</v>
      </c>
      <c r="F27" s="183">
        <v>98756.539999999979</v>
      </c>
      <c r="G27" s="183">
        <v>0</v>
      </c>
      <c r="H27" s="3">
        <f t="shared" si="4"/>
        <v>112918.17999999998</v>
      </c>
      <c r="J27" s="209">
        <v>0</v>
      </c>
      <c r="K27" s="209">
        <v>0</v>
      </c>
      <c r="L27" s="209">
        <v>0</v>
      </c>
      <c r="M27" s="209">
        <v>0</v>
      </c>
      <c r="N27" s="209">
        <f t="shared" si="1"/>
        <v>0</v>
      </c>
      <c r="P27" s="4"/>
      <c r="Q27" s="4"/>
      <c r="Y27" s="2">
        <f t="shared" si="3"/>
        <v>0</v>
      </c>
      <c r="Z27" s="4">
        <v>51</v>
      </c>
      <c r="AA27" s="4">
        <v>1</v>
      </c>
      <c r="AB27" s="2" t="s">
        <v>23</v>
      </c>
      <c r="AC27" s="209">
        <v>0</v>
      </c>
      <c r="AD27" s="209">
        <v>112918.17999999996</v>
      </c>
      <c r="AE27" s="209">
        <v>11538.69</v>
      </c>
      <c r="AF27" s="209">
        <v>2622.9500000000003</v>
      </c>
      <c r="AG27" s="209">
        <v>98756.539999999979</v>
      </c>
      <c r="AH27" s="209">
        <v>0</v>
      </c>
    </row>
    <row r="28" spans="1:34" x14ac:dyDescent="0.2">
      <c r="A28" s="4">
        <v>75</v>
      </c>
      <c r="B28" s="4">
        <v>1</v>
      </c>
      <c r="C28" s="2" t="s">
        <v>24</v>
      </c>
      <c r="D28" s="183">
        <v>2367.5500000000006</v>
      </c>
      <c r="E28" s="183">
        <v>508.35999999999996</v>
      </c>
      <c r="F28" s="183">
        <v>10590.260000000002</v>
      </c>
      <c r="G28" s="183">
        <v>0</v>
      </c>
      <c r="H28" s="3">
        <f t="shared" si="4"/>
        <v>13466.170000000002</v>
      </c>
      <c r="J28" s="209">
        <v>0</v>
      </c>
      <c r="K28" s="209">
        <v>0</v>
      </c>
      <c r="L28" s="209">
        <v>0</v>
      </c>
      <c r="M28" s="209">
        <v>0</v>
      </c>
      <c r="N28" s="209">
        <f t="shared" si="1"/>
        <v>0</v>
      </c>
      <c r="P28" s="4"/>
      <c r="Q28" s="4"/>
      <c r="Y28" s="2">
        <f t="shared" si="3"/>
        <v>0</v>
      </c>
      <c r="Z28" s="4">
        <v>75</v>
      </c>
      <c r="AA28" s="4">
        <v>1</v>
      </c>
      <c r="AB28" s="2" t="s">
        <v>24</v>
      </c>
      <c r="AC28" s="209">
        <v>0</v>
      </c>
      <c r="AD28" s="209">
        <v>13466.169999999998</v>
      </c>
      <c r="AE28" s="209">
        <v>2367.5500000000006</v>
      </c>
      <c r="AF28" s="209">
        <v>508.35999999999996</v>
      </c>
      <c r="AG28" s="209">
        <v>10590.260000000002</v>
      </c>
      <c r="AH28" s="209">
        <v>0</v>
      </c>
    </row>
    <row r="29" spans="1:34" x14ac:dyDescent="0.2">
      <c r="A29" s="4">
        <v>77</v>
      </c>
      <c r="B29" s="4">
        <v>1</v>
      </c>
      <c r="C29" s="2" t="s">
        <v>25</v>
      </c>
      <c r="D29" s="183">
        <v>19817.7</v>
      </c>
      <c r="E29" s="183">
        <v>4526.84</v>
      </c>
      <c r="F29" s="183">
        <v>36447.129999999997</v>
      </c>
      <c r="G29" s="183">
        <v>9387.630000000001</v>
      </c>
      <c r="H29" s="3">
        <f t="shared" si="4"/>
        <v>70179.3</v>
      </c>
      <c r="J29" s="209">
        <v>0</v>
      </c>
      <c r="K29" s="209">
        <v>0</v>
      </c>
      <c r="L29" s="209">
        <v>0</v>
      </c>
      <c r="M29" s="209">
        <v>0</v>
      </c>
      <c r="N29" s="209">
        <f t="shared" si="1"/>
        <v>0</v>
      </c>
      <c r="P29" s="4"/>
      <c r="Q29" s="4"/>
      <c r="Y29" s="2">
        <f t="shared" si="3"/>
        <v>0</v>
      </c>
      <c r="Z29" s="4">
        <v>77</v>
      </c>
      <c r="AA29" s="4">
        <v>1</v>
      </c>
      <c r="AB29" s="2" t="s">
        <v>25</v>
      </c>
      <c r="AC29" s="209">
        <v>0</v>
      </c>
      <c r="AD29" s="209">
        <v>70179.3</v>
      </c>
      <c r="AE29" s="209">
        <v>19817.7</v>
      </c>
      <c r="AF29" s="209">
        <v>4526.84</v>
      </c>
      <c r="AG29" s="209">
        <v>36447.129999999997</v>
      </c>
      <c r="AH29" s="209">
        <v>9387.630000000001</v>
      </c>
    </row>
    <row r="30" spans="1:34" x14ac:dyDescent="0.2">
      <c r="A30" s="4">
        <v>81</v>
      </c>
      <c r="B30" s="4">
        <v>1</v>
      </c>
      <c r="C30" s="2" t="s">
        <v>26</v>
      </c>
      <c r="D30" s="183">
        <v>8111.52</v>
      </c>
      <c r="E30" s="183">
        <v>1401.71</v>
      </c>
      <c r="F30" s="183">
        <v>0</v>
      </c>
      <c r="G30" s="183">
        <v>0</v>
      </c>
      <c r="H30" s="3">
        <f t="shared" si="4"/>
        <v>9513.23</v>
      </c>
      <c r="J30" s="209">
        <v>0</v>
      </c>
      <c r="K30" s="209">
        <v>0</v>
      </c>
      <c r="L30" s="209">
        <v>0</v>
      </c>
      <c r="M30" s="209">
        <v>0</v>
      </c>
      <c r="N30" s="209">
        <f t="shared" si="1"/>
        <v>0</v>
      </c>
      <c r="P30" s="4"/>
      <c r="Q30" s="4"/>
      <c r="Y30" s="2">
        <f t="shared" si="3"/>
        <v>0</v>
      </c>
      <c r="Z30" s="4">
        <v>81</v>
      </c>
      <c r="AA30" s="4">
        <v>1</v>
      </c>
      <c r="AB30" s="2" t="s">
        <v>26</v>
      </c>
      <c r="AC30" s="209">
        <v>0</v>
      </c>
      <c r="AD30" s="209">
        <v>9513.23</v>
      </c>
      <c r="AE30" s="209">
        <v>8111.52</v>
      </c>
      <c r="AF30" s="209">
        <v>1401.71</v>
      </c>
      <c r="AG30" s="209">
        <v>0</v>
      </c>
      <c r="AH30" s="209">
        <v>0</v>
      </c>
    </row>
    <row r="31" spans="1:34" x14ac:dyDescent="0.2">
      <c r="A31" s="4">
        <v>84</v>
      </c>
      <c r="B31" s="4">
        <v>1</v>
      </c>
      <c r="C31" s="2" t="s">
        <v>27</v>
      </c>
      <c r="D31" s="183">
        <v>9737.19</v>
      </c>
      <c r="E31" s="183">
        <v>2260.11</v>
      </c>
      <c r="F31" s="183">
        <v>10989</v>
      </c>
      <c r="G31" s="183">
        <v>0</v>
      </c>
      <c r="H31" s="3">
        <f t="shared" si="4"/>
        <v>22986.300000000003</v>
      </c>
      <c r="J31" s="209">
        <v>0</v>
      </c>
      <c r="K31" s="209">
        <v>0</v>
      </c>
      <c r="L31" s="209">
        <v>0</v>
      </c>
      <c r="M31" s="209">
        <v>0</v>
      </c>
      <c r="N31" s="209">
        <f t="shared" si="1"/>
        <v>0</v>
      </c>
      <c r="P31" s="4"/>
      <c r="Q31" s="4"/>
      <c r="Y31" s="2">
        <f t="shared" si="3"/>
        <v>0</v>
      </c>
      <c r="Z31" s="4">
        <v>84</v>
      </c>
      <c r="AA31" s="4">
        <v>1</v>
      </c>
      <c r="AB31" s="2" t="s">
        <v>27</v>
      </c>
      <c r="AC31" s="209">
        <v>0</v>
      </c>
      <c r="AD31" s="209">
        <v>22986.3</v>
      </c>
      <c r="AE31" s="209">
        <v>9737.19</v>
      </c>
      <c r="AF31" s="209">
        <v>2260.11</v>
      </c>
      <c r="AG31" s="209">
        <v>10989</v>
      </c>
      <c r="AH31" s="209">
        <v>0</v>
      </c>
    </row>
    <row r="32" spans="1:34" x14ac:dyDescent="0.2">
      <c r="A32" s="4">
        <v>85</v>
      </c>
      <c r="B32" s="4">
        <v>1</v>
      </c>
      <c r="C32" s="2" t="s">
        <v>28</v>
      </c>
      <c r="D32" s="183">
        <v>9885.0299999999988</v>
      </c>
      <c r="E32" s="183">
        <v>2177.8000000000002</v>
      </c>
      <c r="F32" s="183">
        <v>0</v>
      </c>
      <c r="G32" s="183">
        <v>0</v>
      </c>
      <c r="H32" s="3">
        <f t="shared" si="4"/>
        <v>12062.829999999998</v>
      </c>
      <c r="J32" s="209">
        <v>0</v>
      </c>
      <c r="K32" s="209">
        <v>0</v>
      </c>
      <c r="L32" s="209">
        <v>0</v>
      </c>
      <c r="M32" s="209">
        <v>0</v>
      </c>
      <c r="N32" s="209">
        <f t="shared" si="1"/>
        <v>0</v>
      </c>
      <c r="P32" s="4"/>
      <c r="Q32" s="4"/>
      <c r="Y32" s="2">
        <f t="shared" si="3"/>
        <v>0</v>
      </c>
      <c r="Z32" s="4">
        <v>85</v>
      </c>
      <c r="AA32" s="4">
        <v>1</v>
      </c>
      <c r="AB32" s="2" t="s">
        <v>28</v>
      </c>
      <c r="AC32" s="209">
        <v>0</v>
      </c>
      <c r="AD32" s="209">
        <v>12062.83</v>
      </c>
      <c r="AE32" s="209">
        <v>9885.0299999999988</v>
      </c>
      <c r="AF32" s="209">
        <v>2177.8000000000002</v>
      </c>
      <c r="AG32" s="209">
        <v>0</v>
      </c>
      <c r="AH32" s="209">
        <v>0</v>
      </c>
    </row>
    <row r="33" spans="1:34" x14ac:dyDescent="0.2">
      <c r="A33" s="4">
        <v>88</v>
      </c>
      <c r="B33" s="4">
        <v>1</v>
      </c>
      <c r="C33" s="2" t="s">
        <v>29</v>
      </c>
      <c r="D33" s="183">
        <v>27958.780000000002</v>
      </c>
      <c r="E33" s="183">
        <v>4832.75</v>
      </c>
      <c r="F33" s="183">
        <v>31260.69</v>
      </c>
      <c r="G33" s="183">
        <v>0</v>
      </c>
      <c r="H33" s="3">
        <f t="shared" si="4"/>
        <v>64052.22</v>
      </c>
      <c r="J33" s="209">
        <v>0</v>
      </c>
      <c r="K33" s="209">
        <v>0</v>
      </c>
      <c r="L33" s="209">
        <v>0</v>
      </c>
      <c r="M33" s="209">
        <v>0</v>
      </c>
      <c r="N33" s="209">
        <f t="shared" si="1"/>
        <v>0</v>
      </c>
      <c r="P33" s="4"/>
      <c r="Q33" s="4"/>
      <c r="Y33" s="2">
        <f t="shared" si="3"/>
        <v>0</v>
      </c>
      <c r="Z33" s="4">
        <v>88</v>
      </c>
      <c r="AA33" s="4">
        <v>1</v>
      </c>
      <c r="AB33" s="2" t="s">
        <v>29</v>
      </c>
      <c r="AC33" s="209">
        <v>0</v>
      </c>
      <c r="AD33" s="209">
        <v>64052.22</v>
      </c>
      <c r="AE33" s="209">
        <v>27958.780000000002</v>
      </c>
      <c r="AF33" s="209">
        <v>4832.75</v>
      </c>
      <c r="AG33" s="209">
        <v>31260.69</v>
      </c>
      <c r="AH33" s="209">
        <v>0</v>
      </c>
    </row>
    <row r="34" spans="1:34" x14ac:dyDescent="0.2">
      <c r="A34" s="4">
        <v>91</v>
      </c>
      <c r="B34" s="4">
        <v>1</v>
      </c>
      <c r="C34" s="2" t="s">
        <v>30</v>
      </c>
      <c r="D34" s="183">
        <v>8412.4700000000012</v>
      </c>
      <c r="E34" s="183">
        <v>1599.7300000000002</v>
      </c>
      <c r="F34" s="183">
        <v>8767.2699999999968</v>
      </c>
      <c r="G34" s="183">
        <v>0</v>
      </c>
      <c r="H34" s="3">
        <f t="shared" si="4"/>
        <v>18779.469999999998</v>
      </c>
      <c r="J34" s="209">
        <v>0</v>
      </c>
      <c r="K34" s="209">
        <v>0</v>
      </c>
      <c r="L34" s="209">
        <v>0</v>
      </c>
      <c r="M34" s="209">
        <v>0</v>
      </c>
      <c r="N34" s="209">
        <f t="shared" si="1"/>
        <v>0</v>
      </c>
      <c r="P34" s="4"/>
      <c r="Q34" s="4"/>
      <c r="Y34" s="2">
        <f t="shared" si="3"/>
        <v>0</v>
      </c>
      <c r="Z34" s="4">
        <v>91</v>
      </c>
      <c r="AA34" s="4">
        <v>1</v>
      </c>
      <c r="AB34" s="2" t="s">
        <v>30</v>
      </c>
      <c r="AC34" s="209">
        <v>0</v>
      </c>
      <c r="AD34" s="209">
        <v>18779.469999999998</v>
      </c>
      <c r="AE34" s="209">
        <v>8412.4700000000012</v>
      </c>
      <c r="AF34" s="209">
        <v>1599.7300000000002</v>
      </c>
      <c r="AG34" s="209">
        <v>8767.2699999999968</v>
      </c>
      <c r="AH34" s="209">
        <v>0</v>
      </c>
    </row>
    <row r="35" spans="1:34" x14ac:dyDescent="0.2">
      <c r="A35" s="4">
        <v>93</v>
      </c>
      <c r="B35" s="4">
        <v>1</v>
      </c>
      <c r="C35" s="2" t="s">
        <v>31</v>
      </c>
      <c r="D35" s="183">
        <v>7797.92</v>
      </c>
      <c r="E35" s="183">
        <v>3587.52</v>
      </c>
      <c r="F35" s="183">
        <v>4370.91</v>
      </c>
      <c r="G35" s="183">
        <v>15091.970000000001</v>
      </c>
      <c r="H35" s="3">
        <f t="shared" si="4"/>
        <v>30848.32</v>
      </c>
      <c r="J35" s="209">
        <v>0</v>
      </c>
      <c r="K35" s="209">
        <v>0</v>
      </c>
      <c r="L35" s="209">
        <v>0</v>
      </c>
      <c r="M35" s="209">
        <v>0</v>
      </c>
      <c r="N35" s="209">
        <f t="shared" si="1"/>
        <v>0</v>
      </c>
      <c r="P35" s="4"/>
      <c r="Q35" s="4"/>
      <c r="Y35" s="2">
        <f t="shared" si="3"/>
        <v>0</v>
      </c>
      <c r="Z35" s="4">
        <v>93</v>
      </c>
      <c r="AA35" s="4">
        <v>1</v>
      </c>
      <c r="AB35" s="2" t="s">
        <v>31</v>
      </c>
      <c r="AC35" s="209">
        <v>0</v>
      </c>
      <c r="AD35" s="209">
        <v>30848.32</v>
      </c>
      <c r="AE35" s="209">
        <v>7797.92</v>
      </c>
      <c r="AF35" s="209">
        <v>3587.52</v>
      </c>
      <c r="AG35" s="209">
        <v>4370.91</v>
      </c>
      <c r="AH35" s="209">
        <v>15091.970000000001</v>
      </c>
    </row>
    <row r="36" spans="1:34" x14ac:dyDescent="0.2">
      <c r="A36" s="4">
        <v>94</v>
      </c>
      <c r="B36" s="4">
        <v>1</v>
      </c>
      <c r="C36" s="2" t="s">
        <v>32</v>
      </c>
      <c r="D36" s="183">
        <v>23797.239999999998</v>
      </c>
      <c r="E36" s="183">
        <v>15675.95</v>
      </c>
      <c r="F36" s="183">
        <v>117203.58</v>
      </c>
      <c r="G36" s="183">
        <v>30620.060000000005</v>
      </c>
      <c r="H36" s="3">
        <f t="shared" si="4"/>
        <v>187296.83000000002</v>
      </c>
      <c r="J36" s="209">
        <v>0</v>
      </c>
      <c r="K36" s="209">
        <v>0</v>
      </c>
      <c r="L36" s="209">
        <v>0</v>
      </c>
      <c r="M36" s="209">
        <v>0</v>
      </c>
      <c r="N36" s="209">
        <f t="shared" si="1"/>
        <v>0</v>
      </c>
      <c r="P36" s="4"/>
      <c r="Q36" s="4"/>
      <c r="Y36" s="2">
        <f t="shared" si="3"/>
        <v>0</v>
      </c>
      <c r="Z36" s="4">
        <v>94</v>
      </c>
      <c r="AA36" s="4">
        <v>1</v>
      </c>
      <c r="AB36" s="2" t="s">
        <v>32</v>
      </c>
      <c r="AC36" s="209">
        <v>0</v>
      </c>
      <c r="AD36" s="209">
        <v>187296.83</v>
      </c>
      <c r="AE36" s="209">
        <v>23797.239999999998</v>
      </c>
      <c r="AF36" s="209">
        <v>15675.95</v>
      </c>
      <c r="AG36" s="209">
        <v>117203.58</v>
      </c>
      <c r="AH36" s="209">
        <v>30620.060000000005</v>
      </c>
    </row>
    <row r="37" spans="1:34" x14ac:dyDescent="0.2">
      <c r="A37" s="4">
        <v>95</v>
      </c>
      <c r="B37" s="4">
        <v>1</v>
      </c>
      <c r="C37" s="2" t="s">
        <v>33</v>
      </c>
      <c r="D37" s="183">
        <v>1506.1999999999998</v>
      </c>
      <c r="E37" s="183">
        <v>443.61</v>
      </c>
      <c r="F37" s="183">
        <v>10741.860000000002</v>
      </c>
      <c r="G37" s="183">
        <v>0</v>
      </c>
      <c r="H37" s="3">
        <f t="shared" si="4"/>
        <v>12691.670000000002</v>
      </c>
      <c r="J37" s="209">
        <v>0</v>
      </c>
      <c r="K37" s="209">
        <v>0</v>
      </c>
      <c r="L37" s="209">
        <v>0</v>
      </c>
      <c r="M37" s="209">
        <v>0</v>
      </c>
      <c r="N37" s="209">
        <f t="shared" si="1"/>
        <v>0</v>
      </c>
      <c r="P37" s="4"/>
      <c r="Q37" s="4"/>
      <c r="Y37" s="2">
        <f t="shared" si="3"/>
        <v>0</v>
      </c>
      <c r="Z37" s="4">
        <v>95</v>
      </c>
      <c r="AA37" s="4">
        <v>1</v>
      </c>
      <c r="AB37" s="2" t="s">
        <v>33</v>
      </c>
      <c r="AC37" s="209">
        <v>0</v>
      </c>
      <c r="AD37" s="209">
        <v>12691.669999999998</v>
      </c>
      <c r="AE37" s="209">
        <v>1506.1999999999998</v>
      </c>
      <c r="AF37" s="209">
        <v>443.61</v>
      </c>
      <c r="AG37" s="209">
        <v>10741.860000000002</v>
      </c>
      <c r="AH37" s="209">
        <v>0</v>
      </c>
    </row>
    <row r="38" spans="1:34" x14ac:dyDescent="0.2">
      <c r="A38" s="4">
        <v>97</v>
      </c>
      <c r="B38" s="4">
        <v>1</v>
      </c>
      <c r="C38" s="2" t="s">
        <v>34</v>
      </c>
      <c r="D38" s="183">
        <v>24667.27</v>
      </c>
      <c r="E38" s="183">
        <v>6333.6900000000005</v>
      </c>
      <c r="F38" s="183">
        <v>0</v>
      </c>
      <c r="G38" s="183">
        <v>0</v>
      </c>
      <c r="H38" s="3">
        <f t="shared" si="4"/>
        <v>31000.959999999999</v>
      </c>
      <c r="J38" s="209">
        <v>0</v>
      </c>
      <c r="K38" s="209">
        <v>0</v>
      </c>
      <c r="L38" s="209">
        <v>0</v>
      </c>
      <c r="M38" s="209">
        <v>0</v>
      </c>
      <c r="N38" s="209">
        <f t="shared" si="1"/>
        <v>0</v>
      </c>
      <c r="P38" s="4"/>
      <c r="Q38" s="4"/>
      <c r="Y38" s="2">
        <f t="shared" si="3"/>
        <v>0</v>
      </c>
      <c r="Z38" s="4">
        <v>97</v>
      </c>
      <c r="AA38" s="4">
        <v>1</v>
      </c>
      <c r="AB38" s="2" t="s">
        <v>34</v>
      </c>
      <c r="AC38" s="209">
        <v>0</v>
      </c>
      <c r="AD38" s="209">
        <v>31000.959999999999</v>
      </c>
      <c r="AE38" s="209">
        <v>24667.27</v>
      </c>
      <c r="AF38" s="209">
        <v>6333.6900000000005</v>
      </c>
      <c r="AG38" s="209">
        <v>0</v>
      </c>
      <c r="AH38" s="209">
        <v>0</v>
      </c>
    </row>
    <row r="39" spans="1:34" x14ac:dyDescent="0.2">
      <c r="A39" s="4">
        <v>99</v>
      </c>
      <c r="B39" s="4">
        <v>1</v>
      </c>
      <c r="C39" s="2" t="s">
        <v>35</v>
      </c>
      <c r="D39" s="183">
        <v>4612.5299999999988</v>
      </c>
      <c r="E39" s="183">
        <v>751.61</v>
      </c>
      <c r="F39" s="183">
        <v>15693.380000000001</v>
      </c>
      <c r="G39" s="183">
        <v>2008.2199999999998</v>
      </c>
      <c r="H39" s="3">
        <f t="shared" si="4"/>
        <v>23065.74</v>
      </c>
      <c r="J39" s="209">
        <v>0</v>
      </c>
      <c r="K39" s="209">
        <v>0</v>
      </c>
      <c r="L39" s="209">
        <v>0</v>
      </c>
      <c r="M39" s="209">
        <v>0</v>
      </c>
      <c r="N39" s="209">
        <f t="shared" si="1"/>
        <v>0</v>
      </c>
      <c r="P39" s="4"/>
      <c r="Q39" s="4"/>
      <c r="Y39" s="2">
        <f t="shared" si="3"/>
        <v>0</v>
      </c>
      <c r="Z39" s="4">
        <v>99</v>
      </c>
      <c r="AA39" s="4">
        <v>1</v>
      </c>
      <c r="AB39" s="2" t="s">
        <v>35</v>
      </c>
      <c r="AC39" s="209">
        <v>0</v>
      </c>
      <c r="AD39" s="209">
        <v>23065.74</v>
      </c>
      <c r="AE39" s="209">
        <v>4612.5299999999988</v>
      </c>
      <c r="AF39" s="209">
        <v>751.61</v>
      </c>
      <c r="AG39" s="209">
        <v>15693.380000000001</v>
      </c>
      <c r="AH39" s="209">
        <v>2008.2199999999998</v>
      </c>
    </row>
    <row r="40" spans="1:34" x14ac:dyDescent="0.2">
      <c r="A40" s="4">
        <v>100</v>
      </c>
      <c r="B40" s="4">
        <v>1</v>
      </c>
      <c r="C40" s="2" t="s">
        <v>36</v>
      </c>
      <c r="D40" s="183">
        <v>2605.2799999999997</v>
      </c>
      <c r="E40" s="183">
        <v>273.07000000000005</v>
      </c>
      <c r="F40" s="183">
        <v>3497.75</v>
      </c>
      <c r="G40" s="183">
        <v>0</v>
      </c>
      <c r="H40" s="3">
        <f t="shared" si="4"/>
        <v>6376.1</v>
      </c>
      <c r="J40" s="209">
        <v>0</v>
      </c>
      <c r="K40" s="209">
        <v>0</v>
      </c>
      <c r="L40" s="209">
        <v>0</v>
      </c>
      <c r="M40" s="209">
        <v>0</v>
      </c>
      <c r="N40" s="209">
        <f t="shared" si="1"/>
        <v>0</v>
      </c>
      <c r="P40" s="4"/>
      <c r="Q40" s="4"/>
      <c r="Y40" s="2">
        <f t="shared" si="3"/>
        <v>0</v>
      </c>
      <c r="Z40" s="4">
        <v>100</v>
      </c>
      <c r="AA40" s="4">
        <v>1</v>
      </c>
      <c r="AB40" s="2" t="s">
        <v>36</v>
      </c>
      <c r="AC40" s="209">
        <v>0</v>
      </c>
      <c r="AD40" s="209">
        <v>6376.1</v>
      </c>
      <c r="AE40" s="209">
        <v>2605.2799999999997</v>
      </c>
      <c r="AF40" s="209">
        <v>273.07000000000005</v>
      </c>
      <c r="AG40" s="209">
        <v>3497.75</v>
      </c>
      <c r="AH40" s="209">
        <v>0</v>
      </c>
    </row>
    <row r="41" spans="1:34" x14ac:dyDescent="0.2">
      <c r="A41" s="4">
        <v>108</v>
      </c>
      <c r="B41" s="4">
        <v>1</v>
      </c>
      <c r="C41" s="2" t="s">
        <v>1168</v>
      </c>
      <c r="D41" s="183">
        <v>12917.199999999999</v>
      </c>
      <c r="E41" s="183">
        <v>2789.54</v>
      </c>
      <c r="F41" s="183">
        <v>21162.19</v>
      </c>
      <c r="G41" s="183">
        <v>0</v>
      </c>
      <c r="H41" s="3">
        <f t="shared" si="4"/>
        <v>36868.929999999993</v>
      </c>
      <c r="J41" s="209">
        <v>0</v>
      </c>
      <c r="K41" s="209">
        <v>0</v>
      </c>
      <c r="L41" s="209">
        <v>0</v>
      </c>
      <c r="M41" s="209">
        <v>0</v>
      </c>
      <c r="N41" s="209">
        <f t="shared" si="1"/>
        <v>0</v>
      </c>
      <c r="P41" s="4"/>
      <c r="Q41" s="4"/>
      <c r="Y41" s="2">
        <f t="shared" si="3"/>
        <v>0</v>
      </c>
      <c r="Z41" s="4">
        <v>108</v>
      </c>
      <c r="AA41" s="4">
        <v>1</v>
      </c>
      <c r="AB41" s="2" t="s">
        <v>1168</v>
      </c>
      <c r="AC41" s="209">
        <v>0</v>
      </c>
      <c r="AD41" s="209">
        <v>36868.93</v>
      </c>
      <c r="AE41" s="209">
        <v>12917.199999999999</v>
      </c>
      <c r="AF41" s="209">
        <v>2789.54</v>
      </c>
      <c r="AG41" s="209">
        <v>21162.19</v>
      </c>
      <c r="AH41" s="209">
        <v>0</v>
      </c>
    </row>
    <row r="42" spans="1:34" x14ac:dyDescent="0.2">
      <c r="A42" s="4">
        <v>110</v>
      </c>
      <c r="B42" s="4">
        <v>1</v>
      </c>
      <c r="C42" s="2" t="s">
        <v>38</v>
      </c>
      <c r="D42" s="183">
        <v>10935.54</v>
      </c>
      <c r="E42" s="183">
        <v>2172.8000000000002</v>
      </c>
      <c r="F42" s="183">
        <v>47297.11</v>
      </c>
      <c r="G42" s="183">
        <v>2956.39</v>
      </c>
      <c r="H42" s="3">
        <f t="shared" si="4"/>
        <v>63361.84</v>
      </c>
      <c r="J42" s="209">
        <v>0</v>
      </c>
      <c r="K42" s="209">
        <v>0</v>
      </c>
      <c r="L42" s="209">
        <v>0</v>
      </c>
      <c r="M42" s="209">
        <v>0</v>
      </c>
      <c r="N42" s="209">
        <f t="shared" si="1"/>
        <v>0</v>
      </c>
      <c r="P42" s="4"/>
      <c r="Q42" s="4"/>
      <c r="Y42" s="2">
        <f t="shared" si="3"/>
        <v>0</v>
      </c>
      <c r="Z42" s="4">
        <v>110</v>
      </c>
      <c r="AA42" s="4">
        <v>1</v>
      </c>
      <c r="AB42" s="2" t="s">
        <v>38</v>
      </c>
      <c r="AC42" s="209">
        <v>0</v>
      </c>
      <c r="AD42" s="209">
        <v>63361.840000000004</v>
      </c>
      <c r="AE42" s="209">
        <v>10935.54</v>
      </c>
      <c r="AF42" s="209">
        <v>2172.8000000000002</v>
      </c>
      <c r="AG42" s="209">
        <v>47297.11</v>
      </c>
      <c r="AH42" s="209">
        <v>2956.39</v>
      </c>
    </row>
    <row r="43" spans="1:34" x14ac:dyDescent="0.2">
      <c r="A43" s="4">
        <v>111</v>
      </c>
      <c r="B43" s="4">
        <v>1</v>
      </c>
      <c r="C43" s="2" t="s">
        <v>39</v>
      </c>
      <c r="D43" s="183">
        <v>3632.9800000000037</v>
      </c>
      <c r="E43" s="183">
        <v>6451.67</v>
      </c>
      <c r="F43" s="183">
        <v>93097.43</v>
      </c>
      <c r="G43" s="183">
        <v>0</v>
      </c>
      <c r="H43" s="3">
        <f t="shared" si="4"/>
        <v>103182.08</v>
      </c>
      <c r="J43" s="209">
        <v>0</v>
      </c>
      <c r="K43" s="209">
        <v>0</v>
      </c>
      <c r="L43" s="209">
        <v>0</v>
      </c>
      <c r="M43" s="209">
        <v>0</v>
      </c>
      <c r="N43" s="209">
        <f t="shared" si="1"/>
        <v>0</v>
      </c>
      <c r="P43" s="4"/>
      <c r="Q43" s="4"/>
      <c r="Y43" s="2">
        <f t="shared" si="3"/>
        <v>0</v>
      </c>
      <c r="Z43" s="4">
        <v>111</v>
      </c>
      <c r="AA43" s="4">
        <v>1</v>
      </c>
      <c r="AB43" s="2" t="s">
        <v>39</v>
      </c>
      <c r="AC43" s="209">
        <v>0</v>
      </c>
      <c r="AD43" s="209">
        <v>103182.08000000002</v>
      </c>
      <c r="AE43" s="209">
        <v>3632.9800000000037</v>
      </c>
      <c r="AF43" s="209">
        <v>6451.67</v>
      </c>
      <c r="AG43" s="209">
        <v>93097.43</v>
      </c>
      <c r="AH43" s="209">
        <v>0</v>
      </c>
    </row>
    <row r="44" spans="1:34" x14ac:dyDescent="0.2">
      <c r="A44" s="4">
        <v>112</v>
      </c>
      <c r="B44" s="4">
        <v>1</v>
      </c>
      <c r="C44" s="2" t="s">
        <v>1169</v>
      </c>
      <c r="D44" s="183">
        <v>9764.9800000000014</v>
      </c>
      <c r="E44" s="183">
        <v>1137.3400000000001</v>
      </c>
      <c r="F44" s="183">
        <v>28182.749999999996</v>
      </c>
      <c r="G44" s="183">
        <v>1202.8</v>
      </c>
      <c r="H44" s="3">
        <f t="shared" si="4"/>
        <v>40287.870000000003</v>
      </c>
      <c r="J44" s="209">
        <v>0</v>
      </c>
      <c r="K44" s="209">
        <v>0</v>
      </c>
      <c r="L44" s="209">
        <v>0</v>
      </c>
      <c r="M44" s="209">
        <v>0</v>
      </c>
      <c r="N44" s="209">
        <f t="shared" si="1"/>
        <v>0</v>
      </c>
      <c r="P44" s="4"/>
      <c r="Q44" s="4"/>
      <c r="Y44" s="2">
        <f t="shared" si="3"/>
        <v>0</v>
      </c>
      <c r="Z44" s="4">
        <v>112</v>
      </c>
      <c r="AA44" s="4">
        <v>1</v>
      </c>
      <c r="AB44" s="2" t="s">
        <v>1169</v>
      </c>
      <c r="AC44" s="209">
        <v>0</v>
      </c>
      <c r="AD44" s="209">
        <v>40287.870000000003</v>
      </c>
      <c r="AE44" s="209">
        <v>9764.9800000000014</v>
      </c>
      <c r="AF44" s="209">
        <v>1137.3400000000001</v>
      </c>
      <c r="AG44" s="209">
        <v>28182.749999999996</v>
      </c>
      <c r="AH44" s="209">
        <v>1202.8</v>
      </c>
    </row>
    <row r="45" spans="1:34" x14ac:dyDescent="0.2">
      <c r="A45" s="4">
        <v>113</v>
      </c>
      <c r="B45" s="4">
        <v>1</v>
      </c>
      <c r="C45" s="2" t="s">
        <v>1170</v>
      </c>
      <c r="D45" s="183">
        <v>1894.3899999999999</v>
      </c>
      <c r="E45" s="183">
        <v>375.36</v>
      </c>
      <c r="F45" s="183">
        <v>4252.68</v>
      </c>
      <c r="G45" s="183">
        <v>0</v>
      </c>
      <c r="H45" s="3">
        <f t="shared" si="4"/>
        <v>6522.43</v>
      </c>
      <c r="J45" s="209">
        <v>0</v>
      </c>
      <c r="K45" s="209">
        <v>0</v>
      </c>
      <c r="L45" s="209">
        <v>0</v>
      </c>
      <c r="M45" s="209">
        <v>0</v>
      </c>
      <c r="N45" s="209">
        <f t="shared" si="1"/>
        <v>0</v>
      </c>
      <c r="P45" s="4"/>
      <c r="Q45" s="4"/>
      <c r="Y45" s="2">
        <f t="shared" si="3"/>
        <v>0</v>
      </c>
      <c r="Z45" s="4">
        <v>113</v>
      </c>
      <c r="AA45" s="4">
        <v>1</v>
      </c>
      <c r="AB45" s="2" t="s">
        <v>1170</v>
      </c>
      <c r="AC45" s="209">
        <v>0</v>
      </c>
      <c r="AD45" s="209">
        <v>6522.43</v>
      </c>
      <c r="AE45" s="209">
        <v>1894.3899999999999</v>
      </c>
      <c r="AF45" s="209">
        <v>375.36</v>
      </c>
      <c r="AG45" s="209">
        <v>4252.68</v>
      </c>
      <c r="AH45" s="209">
        <v>0</v>
      </c>
    </row>
    <row r="46" spans="1:34" x14ac:dyDescent="0.2">
      <c r="A46" s="4">
        <v>115</v>
      </c>
      <c r="B46" s="4">
        <v>1</v>
      </c>
      <c r="C46" s="2" t="s">
        <v>1171</v>
      </c>
      <c r="D46" s="183">
        <v>1009.51</v>
      </c>
      <c r="E46" s="183">
        <v>227.47</v>
      </c>
      <c r="F46" s="183">
        <v>6863.92</v>
      </c>
      <c r="G46" s="183">
        <v>0</v>
      </c>
      <c r="H46" s="3">
        <f t="shared" si="4"/>
        <v>8100.9</v>
      </c>
      <c r="J46" s="209">
        <v>0</v>
      </c>
      <c r="K46" s="209">
        <v>0</v>
      </c>
      <c r="L46" s="209">
        <v>0</v>
      </c>
      <c r="M46" s="209">
        <v>0</v>
      </c>
      <c r="N46" s="209">
        <f t="shared" si="1"/>
        <v>0</v>
      </c>
      <c r="P46" s="4"/>
      <c r="Q46" s="4"/>
      <c r="Y46" s="2">
        <f t="shared" si="3"/>
        <v>0</v>
      </c>
      <c r="Z46" s="4">
        <v>115</v>
      </c>
      <c r="AA46" s="4">
        <v>1</v>
      </c>
      <c r="AB46" s="2" t="s">
        <v>1171</v>
      </c>
      <c r="AC46" s="209">
        <v>0</v>
      </c>
      <c r="AD46" s="209">
        <v>8100.9</v>
      </c>
      <c r="AE46" s="209">
        <v>1009.51</v>
      </c>
      <c r="AF46" s="209">
        <v>227.47</v>
      </c>
      <c r="AG46" s="209">
        <v>6863.92</v>
      </c>
      <c r="AH46" s="209">
        <v>0</v>
      </c>
    </row>
    <row r="47" spans="1:34" x14ac:dyDescent="0.2">
      <c r="A47" s="4">
        <v>116</v>
      </c>
      <c r="B47" s="4">
        <v>1</v>
      </c>
      <c r="C47" s="2" t="s">
        <v>43</v>
      </c>
      <c r="D47" s="183">
        <v>1430.85</v>
      </c>
      <c r="E47" s="183">
        <v>479.84</v>
      </c>
      <c r="F47" s="183">
        <v>5532.9699999999993</v>
      </c>
      <c r="G47" s="183">
        <v>1069.05</v>
      </c>
      <c r="H47" s="3">
        <f t="shared" si="4"/>
        <v>8512.7099999999991</v>
      </c>
      <c r="J47" s="209">
        <v>0</v>
      </c>
      <c r="K47" s="209">
        <v>0</v>
      </c>
      <c r="L47" s="209">
        <v>0</v>
      </c>
      <c r="M47" s="209">
        <v>0</v>
      </c>
      <c r="N47" s="209">
        <f t="shared" si="1"/>
        <v>0</v>
      </c>
      <c r="P47" s="4"/>
      <c r="Q47" s="4"/>
      <c r="Y47" s="2">
        <f t="shared" si="3"/>
        <v>0</v>
      </c>
      <c r="Z47" s="4">
        <v>116</v>
      </c>
      <c r="AA47" s="4">
        <v>1</v>
      </c>
      <c r="AB47" s="2" t="s">
        <v>43</v>
      </c>
      <c r="AC47" s="209">
        <v>0</v>
      </c>
      <c r="AD47" s="209">
        <v>8512.7099999999991</v>
      </c>
      <c r="AE47" s="209">
        <v>1430.85</v>
      </c>
      <c r="AF47" s="209">
        <v>479.84</v>
      </c>
      <c r="AG47" s="209">
        <v>5532.9699999999993</v>
      </c>
      <c r="AH47" s="209">
        <v>1069.05</v>
      </c>
    </row>
    <row r="48" spans="1:34" x14ac:dyDescent="0.2">
      <c r="A48" s="4">
        <v>118</v>
      </c>
      <c r="B48" s="4">
        <v>1</v>
      </c>
      <c r="C48" s="2" t="s">
        <v>44</v>
      </c>
      <c r="D48" s="183">
        <v>933.05000000000007</v>
      </c>
      <c r="E48" s="183">
        <v>138.63</v>
      </c>
      <c r="F48" s="183">
        <v>428.79</v>
      </c>
      <c r="G48" s="183">
        <v>0</v>
      </c>
      <c r="H48" s="3">
        <f t="shared" si="4"/>
        <v>1500.47</v>
      </c>
      <c r="J48" s="209">
        <v>0</v>
      </c>
      <c r="K48" s="209">
        <v>0</v>
      </c>
      <c r="L48" s="209">
        <v>0</v>
      </c>
      <c r="M48" s="209">
        <v>0</v>
      </c>
      <c r="N48" s="209">
        <f t="shared" si="1"/>
        <v>0</v>
      </c>
      <c r="P48" s="4"/>
      <c r="Q48" s="4"/>
      <c r="Y48" s="2">
        <f t="shared" si="3"/>
        <v>0</v>
      </c>
      <c r="Z48" s="4">
        <v>118</v>
      </c>
      <c r="AA48" s="4">
        <v>1</v>
      </c>
      <c r="AB48" s="2" t="s">
        <v>44</v>
      </c>
      <c r="AC48" s="209">
        <v>0</v>
      </c>
      <c r="AD48" s="209">
        <v>1500.4699999999998</v>
      </c>
      <c r="AE48" s="209">
        <v>933.05000000000007</v>
      </c>
      <c r="AF48" s="209">
        <v>138.63</v>
      </c>
      <c r="AG48" s="209">
        <v>428.79</v>
      </c>
      <c r="AH48" s="209">
        <v>0</v>
      </c>
    </row>
    <row r="49" spans="1:34" x14ac:dyDescent="0.2">
      <c r="A49" s="4">
        <v>129</v>
      </c>
      <c r="B49" s="4">
        <v>1</v>
      </c>
      <c r="C49" s="2" t="s">
        <v>45</v>
      </c>
      <c r="D49" s="183">
        <v>14554.59</v>
      </c>
      <c r="E49" s="183">
        <v>4839.26</v>
      </c>
      <c r="F49" s="183">
        <v>59345.470000000008</v>
      </c>
      <c r="G49" s="183">
        <v>0</v>
      </c>
      <c r="H49" s="3">
        <f t="shared" si="4"/>
        <v>78739.320000000007</v>
      </c>
      <c r="J49" s="209">
        <v>0</v>
      </c>
      <c r="K49" s="209">
        <v>0</v>
      </c>
      <c r="L49" s="209">
        <v>0</v>
      </c>
      <c r="M49" s="209">
        <v>0</v>
      </c>
      <c r="N49" s="209">
        <f t="shared" si="1"/>
        <v>0</v>
      </c>
      <c r="P49" s="4"/>
      <c r="Q49" s="4"/>
      <c r="Y49" s="2">
        <f t="shared" si="3"/>
        <v>0</v>
      </c>
      <c r="Z49" s="4">
        <v>129</v>
      </c>
      <c r="AA49" s="4">
        <v>1</v>
      </c>
      <c r="AB49" s="2" t="s">
        <v>45</v>
      </c>
      <c r="AC49" s="209">
        <v>0</v>
      </c>
      <c r="AD49" s="209">
        <v>78739.320000000007</v>
      </c>
      <c r="AE49" s="209">
        <v>14554.59</v>
      </c>
      <c r="AF49" s="209">
        <v>4839.26</v>
      </c>
      <c r="AG49" s="209">
        <v>59345.470000000008</v>
      </c>
      <c r="AH49" s="209">
        <v>0</v>
      </c>
    </row>
    <row r="50" spans="1:34" x14ac:dyDescent="0.2">
      <c r="A50" s="4">
        <v>138</v>
      </c>
      <c r="B50" s="4">
        <v>1</v>
      </c>
      <c r="C50" s="2" t="s">
        <v>46</v>
      </c>
      <c r="D50" s="183">
        <v>7232.0299999999988</v>
      </c>
      <c r="E50" s="183">
        <v>1636.8200000000002</v>
      </c>
      <c r="F50" s="183">
        <v>34497.32</v>
      </c>
      <c r="G50" s="183">
        <v>3221.75</v>
      </c>
      <c r="H50" s="3">
        <f t="shared" si="4"/>
        <v>46587.92</v>
      </c>
      <c r="J50" s="209">
        <v>0</v>
      </c>
      <c r="K50" s="209">
        <v>0</v>
      </c>
      <c r="L50" s="209">
        <v>0</v>
      </c>
      <c r="M50" s="209">
        <v>0</v>
      </c>
      <c r="N50" s="209">
        <f t="shared" si="1"/>
        <v>0</v>
      </c>
      <c r="P50" s="4"/>
      <c r="Q50" s="4"/>
      <c r="Y50" s="2">
        <f t="shared" si="3"/>
        <v>0</v>
      </c>
      <c r="Z50" s="4">
        <v>138</v>
      </c>
      <c r="AA50" s="4">
        <v>1</v>
      </c>
      <c r="AB50" s="2" t="s">
        <v>46</v>
      </c>
      <c r="AC50" s="209">
        <v>0</v>
      </c>
      <c r="AD50" s="209">
        <v>46587.92</v>
      </c>
      <c r="AE50" s="209">
        <v>7232.0299999999988</v>
      </c>
      <c r="AF50" s="209">
        <v>1636.8200000000002</v>
      </c>
      <c r="AG50" s="209">
        <v>34497.32</v>
      </c>
      <c r="AH50" s="209">
        <v>3221.75</v>
      </c>
    </row>
    <row r="51" spans="1:34" x14ac:dyDescent="0.2">
      <c r="A51" s="4">
        <v>139</v>
      </c>
      <c r="B51" s="4">
        <v>1</v>
      </c>
      <c r="C51" s="2" t="s">
        <v>47</v>
      </c>
      <c r="D51" s="183">
        <v>4859.43</v>
      </c>
      <c r="E51" s="183">
        <v>796.7600000000001</v>
      </c>
      <c r="F51" s="183">
        <v>16930.29</v>
      </c>
      <c r="G51" s="183">
        <v>0</v>
      </c>
      <c r="H51" s="3">
        <f t="shared" si="4"/>
        <v>22586.480000000003</v>
      </c>
      <c r="J51" s="209">
        <v>0</v>
      </c>
      <c r="K51" s="209">
        <v>0</v>
      </c>
      <c r="L51" s="209">
        <v>0</v>
      </c>
      <c r="M51" s="209">
        <v>0</v>
      </c>
      <c r="N51" s="209">
        <f t="shared" si="1"/>
        <v>0</v>
      </c>
      <c r="P51" s="4"/>
      <c r="Q51" s="4"/>
      <c r="Y51" s="2">
        <f t="shared" si="3"/>
        <v>0</v>
      </c>
      <c r="Z51" s="4">
        <v>139</v>
      </c>
      <c r="AA51" s="4">
        <v>1</v>
      </c>
      <c r="AB51" s="2" t="s">
        <v>47</v>
      </c>
      <c r="AC51" s="209">
        <v>0</v>
      </c>
      <c r="AD51" s="209">
        <v>22586.48</v>
      </c>
      <c r="AE51" s="209">
        <v>4859.43</v>
      </c>
      <c r="AF51" s="209">
        <v>796.7600000000001</v>
      </c>
      <c r="AG51" s="209">
        <v>16930.29</v>
      </c>
      <c r="AH51" s="209">
        <v>0</v>
      </c>
    </row>
    <row r="52" spans="1:34" x14ac:dyDescent="0.2">
      <c r="A52" s="4">
        <v>146</v>
      </c>
      <c r="B52" s="4">
        <v>1</v>
      </c>
      <c r="C52" s="2" t="s">
        <v>48</v>
      </c>
      <c r="D52" s="183">
        <v>5540.92</v>
      </c>
      <c r="E52" s="183">
        <v>1438.4699999999998</v>
      </c>
      <c r="F52" s="183">
        <v>0</v>
      </c>
      <c r="G52" s="183">
        <v>0</v>
      </c>
      <c r="H52" s="3">
        <f t="shared" si="4"/>
        <v>6979.3899999999994</v>
      </c>
      <c r="J52" s="209">
        <v>0</v>
      </c>
      <c r="K52" s="209">
        <v>0</v>
      </c>
      <c r="L52" s="209">
        <v>0</v>
      </c>
      <c r="M52" s="209">
        <v>0</v>
      </c>
      <c r="N52" s="209">
        <f t="shared" si="1"/>
        <v>0</v>
      </c>
      <c r="P52" s="4"/>
      <c r="Q52" s="4"/>
      <c r="Y52" s="2">
        <f t="shared" si="3"/>
        <v>0</v>
      </c>
      <c r="Z52" s="4">
        <v>146</v>
      </c>
      <c r="AA52" s="4">
        <v>1</v>
      </c>
      <c r="AB52" s="2" t="s">
        <v>48</v>
      </c>
      <c r="AC52" s="209">
        <v>0</v>
      </c>
      <c r="AD52" s="209">
        <v>6979.39</v>
      </c>
      <c r="AE52" s="209">
        <v>5540.92</v>
      </c>
      <c r="AF52" s="209">
        <v>1438.4699999999998</v>
      </c>
      <c r="AG52" s="209">
        <v>0</v>
      </c>
      <c r="AH52" s="209">
        <v>0</v>
      </c>
    </row>
    <row r="53" spans="1:34" x14ac:dyDescent="0.2">
      <c r="A53" s="4">
        <v>150</v>
      </c>
      <c r="B53" s="4">
        <v>1</v>
      </c>
      <c r="C53" s="2" t="s">
        <v>49</v>
      </c>
      <c r="D53" s="183">
        <v>2602.0299999999997</v>
      </c>
      <c r="E53" s="183">
        <v>698.74</v>
      </c>
      <c r="F53" s="183">
        <v>13635.87</v>
      </c>
      <c r="G53" s="183">
        <v>0</v>
      </c>
      <c r="H53" s="3">
        <f t="shared" si="4"/>
        <v>16936.64</v>
      </c>
      <c r="J53" s="209">
        <v>0</v>
      </c>
      <c r="K53" s="209">
        <v>0</v>
      </c>
      <c r="L53" s="209">
        <v>0</v>
      </c>
      <c r="M53" s="209">
        <v>0</v>
      </c>
      <c r="N53" s="209">
        <f t="shared" si="1"/>
        <v>0</v>
      </c>
      <c r="P53" s="4"/>
      <c r="Q53" s="4"/>
      <c r="Y53" s="2">
        <f t="shared" si="3"/>
        <v>0</v>
      </c>
      <c r="Z53" s="4">
        <v>150</v>
      </c>
      <c r="AA53" s="4">
        <v>1</v>
      </c>
      <c r="AB53" s="2" t="s">
        <v>49</v>
      </c>
      <c r="AC53" s="209">
        <v>0</v>
      </c>
      <c r="AD53" s="209">
        <v>16936.64</v>
      </c>
      <c r="AE53" s="209">
        <v>2602.0299999999997</v>
      </c>
      <c r="AF53" s="209">
        <v>698.74</v>
      </c>
      <c r="AG53" s="209">
        <v>13635.87</v>
      </c>
      <c r="AH53" s="209">
        <v>0</v>
      </c>
    </row>
    <row r="54" spans="1:34" x14ac:dyDescent="0.2">
      <c r="A54" s="4">
        <v>152</v>
      </c>
      <c r="B54" s="4">
        <v>1</v>
      </c>
      <c r="C54" s="2" t="s">
        <v>50</v>
      </c>
      <c r="D54" s="183">
        <v>312144.82000000007</v>
      </c>
      <c r="E54" s="183">
        <v>82829.73000000001</v>
      </c>
      <c r="F54" s="183">
        <v>938976.18</v>
      </c>
      <c r="G54" s="183">
        <v>280593.24999999988</v>
      </c>
      <c r="H54" s="3">
        <f t="shared" ref="H54:H73" si="5">SUM(D54:G54)</f>
        <v>1614543.98</v>
      </c>
      <c r="J54" s="209">
        <v>0</v>
      </c>
      <c r="K54" s="209">
        <v>0</v>
      </c>
      <c r="L54" s="209">
        <v>0</v>
      </c>
      <c r="M54" s="209">
        <v>0</v>
      </c>
      <c r="N54" s="209">
        <f t="shared" si="1"/>
        <v>0</v>
      </c>
      <c r="P54" s="4"/>
      <c r="Q54" s="4"/>
      <c r="Y54" s="2">
        <f t="shared" si="3"/>
        <v>0</v>
      </c>
      <c r="Z54" s="4">
        <v>152</v>
      </c>
      <c r="AA54" s="4">
        <v>1</v>
      </c>
      <c r="AB54" s="2" t="s">
        <v>50</v>
      </c>
      <c r="AC54" s="209">
        <v>0</v>
      </c>
      <c r="AD54" s="209">
        <v>1614543.98</v>
      </c>
      <c r="AE54" s="209">
        <v>312144.82000000007</v>
      </c>
      <c r="AF54" s="209">
        <v>82829.73000000001</v>
      </c>
      <c r="AG54" s="209">
        <v>938976.18</v>
      </c>
      <c r="AH54" s="209">
        <v>280593.24999999988</v>
      </c>
    </row>
    <row r="55" spans="1:34" x14ac:dyDescent="0.2">
      <c r="A55" s="4">
        <v>162</v>
      </c>
      <c r="B55" s="4">
        <v>1</v>
      </c>
      <c r="C55" s="2" t="s">
        <v>51</v>
      </c>
      <c r="D55" s="183">
        <v>45774.240000000005</v>
      </c>
      <c r="E55" s="183">
        <v>4091.55</v>
      </c>
      <c r="F55" s="183">
        <v>21102.870000000003</v>
      </c>
      <c r="G55" s="183">
        <v>0</v>
      </c>
      <c r="H55" s="3">
        <f t="shared" si="5"/>
        <v>70968.66</v>
      </c>
      <c r="J55" s="209">
        <v>0</v>
      </c>
      <c r="K55" s="209">
        <v>0</v>
      </c>
      <c r="L55" s="209">
        <v>0</v>
      </c>
      <c r="M55" s="209">
        <v>0</v>
      </c>
      <c r="N55" s="209">
        <f t="shared" si="1"/>
        <v>0</v>
      </c>
      <c r="P55" s="4"/>
      <c r="Q55" s="4"/>
      <c r="Y55" s="2">
        <f t="shared" si="3"/>
        <v>0</v>
      </c>
      <c r="Z55" s="4">
        <v>162</v>
      </c>
      <c r="AA55" s="4">
        <v>1</v>
      </c>
      <c r="AB55" s="2" t="s">
        <v>51</v>
      </c>
      <c r="AC55" s="209">
        <v>0</v>
      </c>
      <c r="AD55" s="209">
        <v>70968.66</v>
      </c>
      <c r="AE55" s="209">
        <v>45774.240000000005</v>
      </c>
      <c r="AF55" s="209">
        <v>4091.55</v>
      </c>
      <c r="AG55" s="209">
        <v>21102.870000000003</v>
      </c>
      <c r="AH55" s="209">
        <v>0</v>
      </c>
    </row>
    <row r="56" spans="1:34" x14ac:dyDescent="0.2">
      <c r="A56" s="4">
        <v>166</v>
      </c>
      <c r="B56" s="4">
        <v>1</v>
      </c>
      <c r="C56" s="2" t="s">
        <v>52</v>
      </c>
      <c r="D56" s="183">
        <v>266.63</v>
      </c>
      <c r="E56" s="183">
        <v>0</v>
      </c>
      <c r="F56" s="183">
        <v>2261.4299999999998</v>
      </c>
      <c r="G56" s="183">
        <v>370.27</v>
      </c>
      <c r="H56" s="3">
        <f t="shared" si="5"/>
        <v>2898.33</v>
      </c>
      <c r="J56" s="209">
        <v>3236.92</v>
      </c>
      <c r="K56" s="209">
        <v>0</v>
      </c>
      <c r="L56" s="209">
        <v>27332.43</v>
      </c>
      <c r="M56" s="209">
        <v>4475.82</v>
      </c>
      <c r="N56" s="209">
        <f t="shared" si="1"/>
        <v>35045.17</v>
      </c>
      <c r="P56" s="4"/>
      <c r="Q56" s="4"/>
      <c r="Y56" s="2">
        <f t="shared" si="3"/>
        <v>0</v>
      </c>
      <c r="Z56" s="4">
        <v>166</v>
      </c>
      <c r="AA56" s="4">
        <v>1</v>
      </c>
      <c r="AB56" s="2" t="s">
        <v>52</v>
      </c>
      <c r="AC56" s="209">
        <v>0</v>
      </c>
      <c r="AD56" s="209">
        <v>2898.33</v>
      </c>
      <c r="AE56" s="209">
        <v>266.63</v>
      </c>
      <c r="AF56" s="209">
        <v>0</v>
      </c>
      <c r="AG56" s="209">
        <v>2261.4299999999998</v>
      </c>
      <c r="AH56" s="209">
        <v>370.27</v>
      </c>
    </row>
    <row r="57" spans="1:34" x14ac:dyDescent="0.2">
      <c r="A57" s="4">
        <v>173</v>
      </c>
      <c r="B57" s="4">
        <v>1</v>
      </c>
      <c r="C57" s="2" t="s">
        <v>53</v>
      </c>
      <c r="D57" s="183">
        <v>20050.27</v>
      </c>
      <c r="E57" s="183">
        <v>4347.0200000000004</v>
      </c>
      <c r="F57" s="183">
        <v>0</v>
      </c>
      <c r="G57" s="183">
        <v>0</v>
      </c>
      <c r="H57" s="3">
        <f t="shared" si="5"/>
        <v>24397.29</v>
      </c>
      <c r="J57" s="209">
        <v>0</v>
      </c>
      <c r="K57" s="209">
        <v>0</v>
      </c>
      <c r="L57" s="209">
        <v>0</v>
      </c>
      <c r="M57" s="209">
        <v>0</v>
      </c>
      <c r="N57" s="209">
        <f t="shared" si="1"/>
        <v>0</v>
      </c>
      <c r="P57" s="4"/>
      <c r="Q57" s="4"/>
      <c r="Y57" s="2">
        <f t="shared" si="3"/>
        <v>0</v>
      </c>
      <c r="Z57" s="4">
        <v>173</v>
      </c>
      <c r="AA57" s="4">
        <v>1</v>
      </c>
      <c r="AB57" s="2" t="s">
        <v>53</v>
      </c>
      <c r="AC57" s="209">
        <v>0</v>
      </c>
      <c r="AD57" s="209">
        <v>24397.29</v>
      </c>
      <c r="AE57" s="209">
        <v>20050.27</v>
      </c>
      <c r="AF57" s="209">
        <v>4347.0200000000004</v>
      </c>
      <c r="AG57" s="209">
        <v>0</v>
      </c>
      <c r="AH57" s="209">
        <v>0</v>
      </c>
    </row>
    <row r="58" spans="1:34" x14ac:dyDescent="0.2">
      <c r="A58" s="4">
        <v>177</v>
      </c>
      <c r="B58" s="4">
        <v>1</v>
      </c>
      <c r="C58" s="2" t="s">
        <v>54</v>
      </c>
      <c r="D58" s="183">
        <v>16381.93</v>
      </c>
      <c r="E58" s="183">
        <v>2821.0299999999997</v>
      </c>
      <c r="F58" s="183">
        <v>36442.759999999995</v>
      </c>
      <c r="G58" s="183">
        <v>0</v>
      </c>
      <c r="H58" s="3">
        <f t="shared" si="5"/>
        <v>55645.719999999994</v>
      </c>
      <c r="J58" s="209">
        <v>0</v>
      </c>
      <c r="K58" s="209">
        <v>0</v>
      </c>
      <c r="L58" s="209">
        <v>0</v>
      </c>
      <c r="M58" s="209">
        <v>0</v>
      </c>
      <c r="N58" s="209">
        <f t="shared" si="1"/>
        <v>0</v>
      </c>
      <c r="P58" s="4"/>
      <c r="Q58" s="4"/>
      <c r="Y58" s="2">
        <f t="shared" si="3"/>
        <v>0</v>
      </c>
      <c r="Z58" s="4">
        <v>177</v>
      </c>
      <c r="AA58" s="4">
        <v>1</v>
      </c>
      <c r="AB58" s="2" t="s">
        <v>54</v>
      </c>
      <c r="AC58" s="209">
        <v>0</v>
      </c>
      <c r="AD58" s="209">
        <v>55645.72</v>
      </c>
      <c r="AE58" s="209">
        <v>16381.93</v>
      </c>
      <c r="AF58" s="209">
        <v>2821.0299999999997</v>
      </c>
      <c r="AG58" s="209">
        <v>36442.759999999995</v>
      </c>
      <c r="AH58" s="209">
        <v>0</v>
      </c>
    </row>
    <row r="59" spans="1:34" x14ac:dyDescent="0.2">
      <c r="A59" s="4">
        <v>181</v>
      </c>
      <c r="B59" s="4">
        <v>1</v>
      </c>
      <c r="C59" s="2" t="s">
        <v>55</v>
      </c>
      <c r="D59" s="183">
        <v>16516.559999999998</v>
      </c>
      <c r="E59" s="183">
        <v>2860.7700000000004</v>
      </c>
      <c r="F59" s="183">
        <v>30303.03</v>
      </c>
      <c r="G59" s="183">
        <v>12990.219999999998</v>
      </c>
      <c r="H59" s="3">
        <f t="shared" si="5"/>
        <v>62670.58</v>
      </c>
      <c r="J59" s="209">
        <v>0</v>
      </c>
      <c r="K59" s="209">
        <v>0</v>
      </c>
      <c r="L59" s="209">
        <v>0</v>
      </c>
      <c r="M59" s="209">
        <v>0</v>
      </c>
      <c r="N59" s="209">
        <f t="shared" si="1"/>
        <v>0</v>
      </c>
      <c r="P59" s="4"/>
      <c r="Q59" s="4"/>
      <c r="Y59" s="2">
        <f t="shared" si="3"/>
        <v>0</v>
      </c>
      <c r="Z59" s="4">
        <v>181</v>
      </c>
      <c r="AA59" s="4">
        <v>1</v>
      </c>
      <c r="AB59" s="2" t="s">
        <v>55</v>
      </c>
      <c r="AC59" s="209">
        <v>0</v>
      </c>
      <c r="AD59" s="209">
        <v>62670.58</v>
      </c>
      <c r="AE59" s="209">
        <v>16516.559999999998</v>
      </c>
      <c r="AF59" s="209">
        <v>2860.7700000000004</v>
      </c>
      <c r="AG59" s="209">
        <v>30303.03</v>
      </c>
      <c r="AH59" s="209">
        <v>12990.219999999998</v>
      </c>
    </row>
    <row r="60" spans="1:34" x14ac:dyDescent="0.2">
      <c r="A60" s="4">
        <v>182</v>
      </c>
      <c r="B60" s="4">
        <v>1</v>
      </c>
      <c r="C60" s="2" t="s">
        <v>56</v>
      </c>
      <c r="D60" s="183">
        <v>2779.0299999999997</v>
      </c>
      <c r="E60" s="183">
        <v>0</v>
      </c>
      <c r="F60" s="183">
        <v>7800.41</v>
      </c>
      <c r="G60" s="183">
        <v>3335.59</v>
      </c>
      <c r="H60" s="3">
        <f t="shared" si="5"/>
        <v>13915.029999999999</v>
      </c>
      <c r="J60" s="209">
        <v>34530.729999999996</v>
      </c>
      <c r="K60" s="209">
        <v>0</v>
      </c>
      <c r="L60" s="209">
        <v>114118.40000000001</v>
      </c>
      <c r="M60" s="209">
        <v>46814.91</v>
      </c>
      <c r="N60" s="209">
        <f t="shared" si="1"/>
        <v>195464.04</v>
      </c>
      <c r="P60" s="4"/>
      <c r="Q60" s="4"/>
      <c r="Y60" s="2">
        <f t="shared" si="3"/>
        <v>0</v>
      </c>
      <c r="Z60" s="4">
        <v>182</v>
      </c>
      <c r="AA60" s="4">
        <v>1</v>
      </c>
      <c r="AB60" s="2" t="s">
        <v>56</v>
      </c>
      <c r="AC60" s="209">
        <v>0</v>
      </c>
      <c r="AD60" s="209">
        <v>13915.03</v>
      </c>
      <c r="AE60" s="209">
        <v>2779.0299999999997</v>
      </c>
      <c r="AF60" s="209">
        <v>0</v>
      </c>
      <c r="AG60" s="209">
        <v>7800.41</v>
      </c>
      <c r="AH60" s="209">
        <v>3335.59</v>
      </c>
    </row>
    <row r="61" spans="1:34" x14ac:dyDescent="0.2">
      <c r="A61" s="4">
        <v>186</v>
      </c>
      <c r="B61" s="4">
        <v>1</v>
      </c>
      <c r="C61" s="2" t="s">
        <v>57</v>
      </c>
      <c r="D61" s="183">
        <v>680.95999999999992</v>
      </c>
      <c r="E61" s="183">
        <v>150.16999999999999</v>
      </c>
      <c r="F61" s="183">
        <v>2654.15</v>
      </c>
      <c r="G61" s="183">
        <v>0</v>
      </c>
      <c r="H61" s="3">
        <f t="shared" si="5"/>
        <v>3485.2799999999997</v>
      </c>
      <c r="J61" s="209">
        <v>0</v>
      </c>
      <c r="K61" s="209">
        <v>0</v>
      </c>
      <c r="L61" s="209">
        <v>0</v>
      </c>
      <c r="M61" s="209">
        <v>0</v>
      </c>
      <c r="N61" s="209">
        <f t="shared" si="1"/>
        <v>0</v>
      </c>
      <c r="P61" s="4"/>
      <c r="Q61" s="4"/>
      <c r="Y61" s="2">
        <f t="shared" si="3"/>
        <v>0</v>
      </c>
      <c r="Z61" s="4">
        <v>186</v>
      </c>
      <c r="AA61" s="4">
        <v>1</v>
      </c>
      <c r="AB61" s="2" t="s">
        <v>57</v>
      </c>
      <c r="AC61" s="209">
        <v>0</v>
      </c>
      <c r="AD61" s="209">
        <v>3485.2799999999997</v>
      </c>
      <c r="AE61" s="209">
        <v>680.95999999999992</v>
      </c>
      <c r="AF61" s="209">
        <v>150.16999999999999</v>
      </c>
      <c r="AG61" s="209">
        <v>2654.15</v>
      </c>
      <c r="AH61" s="209">
        <v>0</v>
      </c>
    </row>
    <row r="62" spans="1:34" x14ac:dyDescent="0.2">
      <c r="A62" s="4">
        <v>191</v>
      </c>
      <c r="B62" s="4">
        <v>1</v>
      </c>
      <c r="C62" s="2" t="s">
        <v>58</v>
      </c>
      <c r="D62" s="183">
        <v>0</v>
      </c>
      <c r="E62" s="183">
        <v>0</v>
      </c>
      <c r="F62" s="183">
        <v>0</v>
      </c>
      <c r="G62" s="183">
        <v>0</v>
      </c>
      <c r="H62" s="3">
        <f t="shared" si="5"/>
        <v>0</v>
      </c>
      <c r="J62" s="209">
        <v>0</v>
      </c>
      <c r="K62" s="209">
        <v>0</v>
      </c>
      <c r="L62" s="209">
        <v>0</v>
      </c>
      <c r="M62" s="209">
        <v>0</v>
      </c>
      <c r="N62" s="209">
        <f t="shared" si="1"/>
        <v>0</v>
      </c>
      <c r="P62" s="4"/>
      <c r="Q62" s="4"/>
      <c r="Y62" s="2">
        <f t="shared" si="3"/>
        <v>0</v>
      </c>
      <c r="Z62" s="4">
        <v>191</v>
      </c>
      <c r="AA62" s="4">
        <v>1</v>
      </c>
      <c r="AB62" s="2" t="s">
        <v>58</v>
      </c>
      <c r="AC62" s="209">
        <v>0</v>
      </c>
      <c r="AD62" s="209">
        <v>0</v>
      </c>
      <c r="AE62" s="209">
        <v>0</v>
      </c>
      <c r="AF62" s="209">
        <v>0</v>
      </c>
      <c r="AG62" s="209">
        <v>0</v>
      </c>
      <c r="AH62" s="209">
        <v>0</v>
      </c>
    </row>
    <row r="63" spans="1:34" x14ac:dyDescent="0.2">
      <c r="A63" s="4">
        <v>192</v>
      </c>
      <c r="B63" s="4">
        <v>1</v>
      </c>
      <c r="C63" s="2" t="s">
        <v>59</v>
      </c>
      <c r="D63" s="183">
        <v>10261.480000000001</v>
      </c>
      <c r="E63" s="183">
        <v>3012.71</v>
      </c>
      <c r="F63" s="183">
        <v>71875.87999999999</v>
      </c>
      <c r="G63" s="183">
        <v>2637.0699999999997</v>
      </c>
      <c r="H63" s="3">
        <f t="shared" si="5"/>
        <v>87787.139999999985</v>
      </c>
      <c r="J63" s="209">
        <v>0</v>
      </c>
      <c r="K63" s="209">
        <v>0</v>
      </c>
      <c r="L63" s="209">
        <v>0</v>
      </c>
      <c r="M63" s="209">
        <v>0</v>
      </c>
      <c r="N63" s="209">
        <f t="shared" si="1"/>
        <v>0</v>
      </c>
      <c r="P63" s="4"/>
      <c r="Q63" s="4"/>
      <c r="Y63" s="2">
        <f t="shared" si="3"/>
        <v>0</v>
      </c>
      <c r="Z63" s="4">
        <v>192</v>
      </c>
      <c r="AA63" s="4">
        <v>1</v>
      </c>
      <c r="AB63" s="2" t="s">
        <v>59</v>
      </c>
      <c r="AC63" s="209">
        <v>0</v>
      </c>
      <c r="AD63" s="209">
        <v>87787.14</v>
      </c>
      <c r="AE63" s="209">
        <v>10261.480000000001</v>
      </c>
      <c r="AF63" s="209">
        <v>3012.71</v>
      </c>
      <c r="AG63" s="209">
        <v>71875.87999999999</v>
      </c>
      <c r="AH63" s="209">
        <v>2637.0699999999997</v>
      </c>
    </row>
    <row r="64" spans="1:34" x14ac:dyDescent="0.2">
      <c r="A64" s="4">
        <v>194</v>
      </c>
      <c r="B64" s="4">
        <v>1</v>
      </c>
      <c r="C64" s="2" t="s">
        <v>60</v>
      </c>
      <c r="D64" s="183">
        <v>3128.46</v>
      </c>
      <c r="E64" s="183">
        <v>764.62000000000023</v>
      </c>
      <c r="F64" s="183">
        <v>12398.949999999999</v>
      </c>
      <c r="G64" s="183">
        <v>0</v>
      </c>
      <c r="H64" s="3">
        <f t="shared" si="5"/>
        <v>16292.029999999999</v>
      </c>
      <c r="J64" s="209">
        <v>0</v>
      </c>
      <c r="K64" s="209">
        <v>0</v>
      </c>
      <c r="L64" s="209">
        <v>0</v>
      </c>
      <c r="M64" s="209">
        <v>0</v>
      </c>
      <c r="N64" s="209">
        <f t="shared" si="1"/>
        <v>0</v>
      </c>
      <c r="P64" s="4"/>
      <c r="Q64" s="4"/>
      <c r="Y64" s="2">
        <f t="shared" si="3"/>
        <v>0</v>
      </c>
      <c r="Z64" s="4">
        <v>194</v>
      </c>
      <c r="AA64" s="4">
        <v>1</v>
      </c>
      <c r="AB64" s="2" t="s">
        <v>60</v>
      </c>
      <c r="AC64" s="209">
        <v>0</v>
      </c>
      <c r="AD64" s="209">
        <v>16292.03</v>
      </c>
      <c r="AE64" s="209">
        <v>3128.46</v>
      </c>
      <c r="AF64" s="209">
        <v>764.62000000000023</v>
      </c>
      <c r="AG64" s="209">
        <v>12398.949999999999</v>
      </c>
      <c r="AH64" s="209">
        <v>0</v>
      </c>
    </row>
    <row r="65" spans="1:34" x14ac:dyDescent="0.2">
      <c r="A65" s="4">
        <v>195</v>
      </c>
      <c r="B65" s="4">
        <v>1</v>
      </c>
      <c r="C65" s="2" t="s">
        <v>61</v>
      </c>
      <c r="D65" s="183">
        <v>3050.3999999999996</v>
      </c>
      <c r="E65" s="183">
        <v>324.82</v>
      </c>
      <c r="F65" s="183">
        <v>9913.7099999999991</v>
      </c>
      <c r="G65" s="183">
        <v>0</v>
      </c>
      <c r="H65" s="3">
        <f t="shared" si="5"/>
        <v>13288.929999999998</v>
      </c>
      <c r="J65" s="209">
        <v>0</v>
      </c>
      <c r="K65" s="209">
        <v>0</v>
      </c>
      <c r="L65" s="209">
        <v>0</v>
      </c>
      <c r="M65" s="209">
        <v>0</v>
      </c>
      <c r="N65" s="209">
        <f t="shared" si="1"/>
        <v>0</v>
      </c>
      <c r="P65" s="4"/>
      <c r="Q65" s="4"/>
      <c r="Y65" s="2">
        <f t="shared" si="3"/>
        <v>0</v>
      </c>
      <c r="Z65" s="4">
        <v>195</v>
      </c>
      <c r="AA65" s="4">
        <v>1</v>
      </c>
      <c r="AB65" s="2" t="s">
        <v>61</v>
      </c>
      <c r="AC65" s="209">
        <v>0</v>
      </c>
      <c r="AD65" s="209">
        <v>13288.929999999998</v>
      </c>
      <c r="AE65" s="209">
        <v>3050.3999999999996</v>
      </c>
      <c r="AF65" s="209">
        <v>324.82</v>
      </c>
      <c r="AG65" s="209">
        <v>9913.7099999999991</v>
      </c>
      <c r="AH65" s="209">
        <v>0</v>
      </c>
    </row>
    <row r="66" spans="1:34" x14ac:dyDescent="0.2">
      <c r="A66" s="4">
        <v>196</v>
      </c>
      <c r="B66" s="4">
        <v>1</v>
      </c>
      <c r="C66" s="2" t="s">
        <v>62</v>
      </c>
      <c r="D66" s="183">
        <v>3577.41</v>
      </c>
      <c r="E66" s="183">
        <v>308.47000000000003</v>
      </c>
      <c r="F66" s="183">
        <v>3058.4500000000007</v>
      </c>
      <c r="G66" s="183">
        <v>467.15</v>
      </c>
      <c r="H66" s="3">
        <f t="shared" si="5"/>
        <v>7411.4800000000005</v>
      </c>
      <c r="J66" s="209">
        <v>0</v>
      </c>
      <c r="K66" s="209">
        <v>0</v>
      </c>
      <c r="L66" s="209">
        <v>0</v>
      </c>
      <c r="M66" s="209">
        <v>0</v>
      </c>
      <c r="N66" s="209">
        <f t="shared" si="1"/>
        <v>0</v>
      </c>
      <c r="P66" s="4"/>
      <c r="Q66" s="4"/>
      <c r="Y66" s="2">
        <f t="shared" si="3"/>
        <v>0</v>
      </c>
      <c r="Z66" s="4">
        <v>196</v>
      </c>
      <c r="AA66" s="4">
        <v>1</v>
      </c>
      <c r="AB66" s="2" t="s">
        <v>62</v>
      </c>
      <c r="AC66" s="209">
        <v>0</v>
      </c>
      <c r="AD66" s="209">
        <v>7411.4800000000005</v>
      </c>
      <c r="AE66" s="209">
        <v>3577.41</v>
      </c>
      <c r="AF66" s="209">
        <v>308.47000000000003</v>
      </c>
      <c r="AG66" s="209">
        <v>3058.4500000000007</v>
      </c>
      <c r="AH66" s="209">
        <v>467.15</v>
      </c>
    </row>
    <row r="67" spans="1:34" x14ac:dyDescent="0.2">
      <c r="A67" s="4">
        <v>197</v>
      </c>
      <c r="B67" s="4">
        <v>1</v>
      </c>
      <c r="C67" s="2" t="s">
        <v>815</v>
      </c>
      <c r="D67" s="183">
        <v>126.85000000000001</v>
      </c>
      <c r="E67" s="183">
        <v>27.63</v>
      </c>
      <c r="F67" s="183">
        <v>229.27</v>
      </c>
      <c r="G67" s="183">
        <v>20.97</v>
      </c>
      <c r="H67" s="3">
        <f t="shared" si="5"/>
        <v>404.72</v>
      </c>
      <c r="J67" s="209">
        <v>0</v>
      </c>
      <c r="K67" s="209">
        <v>0</v>
      </c>
      <c r="L67" s="209">
        <v>0</v>
      </c>
      <c r="M67" s="209">
        <v>0</v>
      </c>
      <c r="N67" s="209">
        <f t="shared" si="1"/>
        <v>0</v>
      </c>
      <c r="P67" s="4"/>
      <c r="Q67" s="4"/>
      <c r="Y67" s="2">
        <f t="shared" si="3"/>
        <v>0</v>
      </c>
      <c r="Z67" s="4">
        <v>197</v>
      </c>
      <c r="AA67" s="4">
        <v>1</v>
      </c>
      <c r="AB67" s="2" t="s">
        <v>815</v>
      </c>
      <c r="AC67" s="209">
        <v>0</v>
      </c>
      <c r="AD67" s="209">
        <v>404.72</v>
      </c>
      <c r="AE67" s="209">
        <v>126.85000000000001</v>
      </c>
      <c r="AF67" s="209">
        <v>27.63</v>
      </c>
      <c r="AG67" s="209">
        <v>229.27</v>
      </c>
      <c r="AH67" s="209">
        <v>20.97</v>
      </c>
    </row>
    <row r="68" spans="1:34" x14ac:dyDescent="0.2">
      <c r="A68" s="4">
        <v>199</v>
      </c>
      <c r="B68" s="4">
        <v>1</v>
      </c>
      <c r="C68" s="2" t="s">
        <v>1172</v>
      </c>
      <c r="D68" s="183">
        <v>224.47999999999996</v>
      </c>
      <c r="E68" s="183">
        <v>42.51</v>
      </c>
      <c r="F68" s="183">
        <v>462.1</v>
      </c>
      <c r="G68" s="183">
        <v>74.149999999999991</v>
      </c>
      <c r="H68" s="3">
        <f t="shared" si="5"/>
        <v>803.2399999999999</v>
      </c>
      <c r="J68" s="209">
        <v>0</v>
      </c>
      <c r="K68" s="209">
        <v>0</v>
      </c>
      <c r="L68" s="209">
        <v>0</v>
      </c>
      <c r="M68" s="209">
        <v>0</v>
      </c>
      <c r="N68" s="209">
        <f t="shared" si="1"/>
        <v>0</v>
      </c>
      <c r="P68" s="4"/>
      <c r="Q68" s="4"/>
      <c r="Y68" s="2">
        <f t="shared" si="3"/>
        <v>0</v>
      </c>
      <c r="Z68" s="4">
        <v>199</v>
      </c>
      <c r="AA68" s="4">
        <v>1</v>
      </c>
      <c r="AB68" s="2" t="s">
        <v>1172</v>
      </c>
      <c r="AC68" s="209">
        <v>0</v>
      </c>
      <c r="AD68" s="209">
        <v>803.24</v>
      </c>
      <c r="AE68" s="209">
        <v>224.47999999999996</v>
      </c>
      <c r="AF68" s="209">
        <v>42.51</v>
      </c>
      <c r="AG68" s="209">
        <v>462.1</v>
      </c>
      <c r="AH68" s="209">
        <v>74.149999999999991</v>
      </c>
    </row>
    <row r="69" spans="1:34" x14ac:dyDescent="0.2">
      <c r="A69" s="4">
        <v>200</v>
      </c>
      <c r="B69" s="4">
        <v>1</v>
      </c>
      <c r="C69" s="2" t="s">
        <v>65</v>
      </c>
      <c r="D69" s="183">
        <v>10681.4</v>
      </c>
      <c r="E69" s="183">
        <v>2942.7599999999993</v>
      </c>
      <c r="F69" s="183">
        <v>30597.840000000007</v>
      </c>
      <c r="G69" s="183">
        <v>0</v>
      </c>
      <c r="H69" s="3">
        <f t="shared" si="5"/>
        <v>44222.000000000007</v>
      </c>
      <c r="J69" s="209">
        <v>0</v>
      </c>
      <c r="K69" s="209">
        <v>0</v>
      </c>
      <c r="L69" s="209">
        <v>0</v>
      </c>
      <c r="M69" s="209">
        <v>0</v>
      </c>
      <c r="N69" s="209">
        <f t="shared" si="1"/>
        <v>0</v>
      </c>
      <c r="P69" s="4"/>
      <c r="Q69" s="4"/>
      <c r="Y69" s="2">
        <f t="shared" si="3"/>
        <v>0</v>
      </c>
      <c r="Z69" s="4">
        <v>200</v>
      </c>
      <c r="AA69" s="4">
        <v>1</v>
      </c>
      <c r="AB69" s="2" t="s">
        <v>65</v>
      </c>
      <c r="AC69" s="209">
        <v>0</v>
      </c>
      <c r="AD69" s="209">
        <v>44222</v>
      </c>
      <c r="AE69" s="209">
        <v>10681.4</v>
      </c>
      <c r="AF69" s="209">
        <v>2942.7599999999993</v>
      </c>
      <c r="AG69" s="209">
        <v>30597.840000000007</v>
      </c>
      <c r="AH69" s="209">
        <v>0</v>
      </c>
    </row>
    <row r="70" spans="1:34" x14ac:dyDescent="0.2">
      <c r="A70" s="4">
        <v>203</v>
      </c>
      <c r="B70" s="4">
        <v>1</v>
      </c>
      <c r="C70" s="2" t="s">
        <v>66</v>
      </c>
      <c r="D70" s="183">
        <v>13091.07</v>
      </c>
      <c r="E70" s="183">
        <v>2735.7799999999997</v>
      </c>
      <c r="F70" s="183">
        <v>21501.58</v>
      </c>
      <c r="G70" s="183">
        <v>0</v>
      </c>
      <c r="H70" s="3">
        <f t="shared" si="5"/>
        <v>37328.43</v>
      </c>
      <c r="J70" s="209">
        <v>0</v>
      </c>
      <c r="K70" s="209">
        <v>0</v>
      </c>
      <c r="L70" s="209">
        <v>0</v>
      </c>
      <c r="M70" s="209">
        <v>0</v>
      </c>
      <c r="N70" s="209">
        <f t="shared" si="1"/>
        <v>0</v>
      </c>
      <c r="P70" s="4"/>
      <c r="Q70" s="4"/>
      <c r="Y70" s="2">
        <f t="shared" si="3"/>
        <v>0</v>
      </c>
      <c r="Z70" s="4">
        <v>203</v>
      </c>
      <c r="AA70" s="4">
        <v>1</v>
      </c>
      <c r="AB70" s="2" t="s">
        <v>66</v>
      </c>
      <c r="AC70" s="209">
        <v>0</v>
      </c>
      <c r="AD70" s="209">
        <v>37328.43</v>
      </c>
      <c r="AE70" s="209">
        <v>13091.07</v>
      </c>
      <c r="AF70" s="209">
        <v>2735.7799999999997</v>
      </c>
      <c r="AG70" s="209">
        <v>21501.58</v>
      </c>
      <c r="AH70" s="209">
        <v>0</v>
      </c>
    </row>
    <row r="71" spans="1:34" x14ac:dyDescent="0.2">
      <c r="A71" s="4">
        <v>204</v>
      </c>
      <c r="B71" s="4">
        <v>1</v>
      </c>
      <c r="C71" s="2" t="s">
        <v>1173</v>
      </c>
      <c r="D71" s="183">
        <v>3428.3000000000011</v>
      </c>
      <c r="E71" s="183">
        <v>2750.66</v>
      </c>
      <c r="F71" s="183">
        <v>67884.180000000008</v>
      </c>
      <c r="G71" s="183">
        <v>0</v>
      </c>
      <c r="H71" s="3">
        <f t="shared" si="5"/>
        <v>74063.140000000014</v>
      </c>
      <c r="J71" s="209">
        <v>0</v>
      </c>
      <c r="K71" s="209">
        <v>0</v>
      </c>
      <c r="L71" s="209">
        <v>0</v>
      </c>
      <c r="M71" s="209">
        <v>0</v>
      </c>
      <c r="N71" s="209">
        <f t="shared" si="1"/>
        <v>0</v>
      </c>
      <c r="P71" s="4"/>
      <c r="Q71" s="4"/>
      <c r="Y71" s="2">
        <f t="shared" si="3"/>
        <v>0</v>
      </c>
      <c r="Z71" s="4">
        <v>204</v>
      </c>
      <c r="AA71" s="4">
        <v>1</v>
      </c>
      <c r="AB71" s="2" t="s">
        <v>1173</v>
      </c>
      <c r="AC71" s="209">
        <v>0</v>
      </c>
      <c r="AD71" s="209">
        <v>74063.14</v>
      </c>
      <c r="AE71" s="209">
        <v>3428.3000000000011</v>
      </c>
      <c r="AF71" s="209">
        <v>2750.66</v>
      </c>
      <c r="AG71" s="209">
        <v>67884.180000000008</v>
      </c>
      <c r="AH71" s="209">
        <v>0</v>
      </c>
    </row>
    <row r="72" spans="1:34" x14ac:dyDescent="0.2">
      <c r="A72" s="4">
        <v>206</v>
      </c>
      <c r="B72" s="4">
        <v>1</v>
      </c>
      <c r="C72" s="2" t="s">
        <v>68</v>
      </c>
      <c r="D72" s="183">
        <v>7223.1500000000015</v>
      </c>
      <c r="E72" s="183">
        <v>2234.940000000001</v>
      </c>
      <c r="F72" s="183">
        <v>30571.599999999995</v>
      </c>
      <c r="G72" s="183">
        <v>2449.0200000000004</v>
      </c>
      <c r="H72" s="3">
        <f t="shared" si="5"/>
        <v>42478.709999999992</v>
      </c>
      <c r="J72" s="209">
        <v>0</v>
      </c>
      <c r="K72" s="209">
        <v>0</v>
      </c>
      <c r="L72" s="209">
        <v>0</v>
      </c>
      <c r="M72" s="209">
        <v>0</v>
      </c>
      <c r="N72" s="209">
        <f t="shared" si="1"/>
        <v>0</v>
      </c>
      <c r="P72" s="4"/>
      <c r="Q72" s="4"/>
      <c r="Y72" s="2">
        <f t="shared" si="3"/>
        <v>0</v>
      </c>
      <c r="Z72" s="4">
        <v>206</v>
      </c>
      <c r="AA72" s="4">
        <v>1</v>
      </c>
      <c r="AB72" s="2" t="s">
        <v>68</v>
      </c>
      <c r="AC72" s="209">
        <v>0</v>
      </c>
      <c r="AD72" s="209">
        <v>42478.710000000006</v>
      </c>
      <c r="AE72" s="209">
        <v>7223.1500000000015</v>
      </c>
      <c r="AF72" s="209">
        <v>2234.940000000001</v>
      </c>
      <c r="AG72" s="209">
        <v>30571.599999999995</v>
      </c>
      <c r="AH72" s="209">
        <v>2449.0200000000004</v>
      </c>
    </row>
    <row r="73" spans="1:34" x14ac:dyDescent="0.2">
      <c r="A73" s="4">
        <v>213</v>
      </c>
      <c r="B73" s="4">
        <v>1</v>
      </c>
      <c r="C73" s="2" t="s">
        <v>71</v>
      </c>
      <c r="D73" s="183">
        <v>3667.7000000000003</v>
      </c>
      <c r="E73" s="183">
        <v>1063.1399999999999</v>
      </c>
      <c r="F73" s="183">
        <v>24277.370000000003</v>
      </c>
      <c r="G73" s="183">
        <v>1204.5899999999999</v>
      </c>
      <c r="H73" s="3">
        <f t="shared" si="5"/>
        <v>30212.800000000003</v>
      </c>
      <c r="J73" s="209">
        <v>0</v>
      </c>
      <c r="K73" s="209">
        <v>0</v>
      </c>
      <c r="L73" s="209">
        <v>0</v>
      </c>
      <c r="M73" s="209">
        <v>0</v>
      </c>
      <c r="N73" s="209">
        <f t="shared" ref="N73:N136" si="6">SUM(J73:M73)</f>
        <v>0</v>
      </c>
      <c r="P73" s="4"/>
      <c r="Q73" s="4"/>
      <c r="Y73" s="2">
        <f t="shared" ref="Y73:Y136" si="7">Z73-A73</f>
        <v>0</v>
      </c>
      <c r="Z73" s="4">
        <v>213</v>
      </c>
      <c r="AA73" s="4">
        <v>1</v>
      </c>
      <c r="AB73" s="2" t="s">
        <v>71</v>
      </c>
      <c r="AC73" s="209">
        <v>0</v>
      </c>
      <c r="AD73" s="209">
        <v>30212.799999999999</v>
      </c>
      <c r="AE73" s="209">
        <v>3667.7000000000003</v>
      </c>
      <c r="AF73" s="209">
        <v>1063.1399999999999</v>
      </c>
      <c r="AG73" s="209">
        <v>24277.370000000003</v>
      </c>
      <c r="AH73" s="209">
        <v>1204.5899999999999</v>
      </c>
    </row>
    <row r="74" spans="1:34" x14ac:dyDescent="0.2">
      <c r="A74" s="4">
        <v>227</v>
      </c>
      <c r="B74" s="4">
        <v>1</v>
      </c>
      <c r="C74" s="2" t="s">
        <v>72</v>
      </c>
      <c r="D74" s="183">
        <v>4503.62</v>
      </c>
      <c r="E74" s="183">
        <v>1529.79</v>
      </c>
      <c r="F74" s="183">
        <v>26908.98</v>
      </c>
      <c r="G74" s="183">
        <v>0</v>
      </c>
      <c r="H74" s="3">
        <f t="shared" ref="H74:H137" si="8">SUM(D74:G74)</f>
        <v>32942.39</v>
      </c>
      <c r="J74" s="209">
        <v>0</v>
      </c>
      <c r="K74" s="209">
        <v>0</v>
      </c>
      <c r="L74" s="209">
        <v>0</v>
      </c>
      <c r="M74" s="209">
        <v>0</v>
      </c>
      <c r="N74" s="209">
        <f t="shared" si="6"/>
        <v>0</v>
      </c>
      <c r="P74" s="4"/>
      <c r="Q74" s="4"/>
      <c r="Y74" s="2">
        <f t="shared" si="7"/>
        <v>0</v>
      </c>
      <c r="Z74" s="4">
        <v>227</v>
      </c>
      <c r="AA74" s="4">
        <v>1</v>
      </c>
      <c r="AB74" s="2" t="s">
        <v>72</v>
      </c>
      <c r="AC74" s="209">
        <v>0</v>
      </c>
      <c r="AD74" s="209">
        <v>32942.39</v>
      </c>
      <c r="AE74" s="209">
        <v>4503.62</v>
      </c>
      <c r="AF74" s="209">
        <v>1529.79</v>
      </c>
      <c r="AG74" s="209">
        <v>26908.98</v>
      </c>
      <c r="AH74" s="209">
        <v>0</v>
      </c>
    </row>
    <row r="75" spans="1:34" x14ac:dyDescent="0.2">
      <c r="A75" s="4">
        <v>229</v>
      </c>
      <c r="B75" s="4">
        <v>1</v>
      </c>
      <c r="C75" s="2" t="s">
        <v>73</v>
      </c>
      <c r="D75" s="183">
        <v>11630.220000000001</v>
      </c>
      <c r="E75" s="183">
        <v>1329.06</v>
      </c>
      <c r="F75" s="183">
        <v>6023.3200000000006</v>
      </c>
      <c r="G75" s="183">
        <v>0</v>
      </c>
      <c r="H75" s="3">
        <f t="shared" si="8"/>
        <v>18982.600000000002</v>
      </c>
      <c r="J75" s="209">
        <v>0</v>
      </c>
      <c r="K75" s="209">
        <v>0</v>
      </c>
      <c r="L75" s="209">
        <v>0</v>
      </c>
      <c r="M75" s="209">
        <v>0</v>
      </c>
      <c r="N75" s="209">
        <f t="shared" si="6"/>
        <v>0</v>
      </c>
      <c r="P75" s="4"/>
      <c r="Q75" s="4"/>
      <c r="Y75" s="2">
        <f t="shared" si="7"/>
        <v>0</v>
      </c>
      <c r="Z75" s="4">
        <v>229</v>
      </c>
      <c r="AA75" s="4">
        <v>1</v>
      </c>
      <c r="AB75" s="2" t="s">
        <v>73</v>
      </c>
      <c r="AC75" s="209">
        <v>0</v>
      </c>
      <c r="AD75" s="209">
        <v>18982.599999999999</v>
      </c>
      <c r="AE75" s="209">
        <v>11630.220000000001</v>
      </c>
      <c r="AF75" s="209">
        <v>1329.06</v>
      </c>
      <c r="AG75" s="209">
        <v>6023.3200000000006</v>
      </c>
      <c r="AH75" s="209">
        <v>0</v>
      </c>
    </row>
    <row r="76" spans="1:34" x14ac:dyDescent="0.2">
      <c r="A76" s="4">
        <v>238</v>
      </c>
      <c r="B76" s="4">
        <v>1</v>
      </c>
      <c r="C76" s="2" t="s">
        <v>74</v>
      </c>
      <c r="D76" s="183">
        <v>6205.93</v>
      </c>
      <c r="E76" s="183">
        <v>518.11</v>
      </c>
      <c r="F76" s="183">
        <v>18009.88</v>
      </c>
      <c r="G76" s="183">
        <v>0</v>
      </c>
      <c r="H76" s="3">
        <f t="shared" si="8"/>
        <v>24733.920000000002</v>
      </c>
      <c r="J76" s="209">
        <v>0</v>
      </c>
      <c r="K76" s="209">
        <v>0</v>
      </c>
      <c r="L76" s="209">
        <v>0</v>
      </c>
      <c r="M76" s="209">
        <v>0</v>
      </c>
      <c r="N76" s="209">
        <f t="shared" si="6"/>
        <v>0</v>
      </c>
      <c r="P76" s="4"/>
      <c r="Q76" s="4"/>
      <c r="Y76" s="2">
        <f t="shared" si="7"/>
        <v>0</v>
      </c>
      <c r="Z76" s="4">
        <v>238</v>
      </c>
      <c r="AA76" s="4">
        <v>1</v>
      </c>
      <c r="AB76" s="2" t="s">
        <v>74</v>
      </c>
      <c r="AC76" s="209">
        <v>0</v>
      </c>
      <c r="AD76" s="209">
        <v>24733.919999999998</v>
      </c>
      <c r="AE76" s="209">
        <v>6205.93</v>
      </c>
      <c r="AF76" s="209">
        <v>518.11</v>
      </c>
      <c r="AG76" s="209">
        <v>18009.88</v>
      </c>
      <c r="AH76" s="209">
        <v>0</v>
      </c>
    </row>
    <row r="77" spans="1:34" x14ac:dyDescent="0.2">
      <c r="A77" s="4">
        <v>239</v>
      </c>
      <c r="B77" s="4">
        <v>1</v>
      </c>
      <c r="C77" s="2" t="s">
        <v>1174</v>
      </c>
      <c r="D77" s="183">
        <v>24183.46</v>
      </c>
      <c r="E77" s="183">
        <v>3862.6</v>
      </c>
      <c r="F77" s="183">
        <v>0</v>
      </c>
      <c r="G77" s="183">
        <v>0</v>
      </c>
      <c r="H77" s="3">
        <f t="shared" si="8"/>
        <v>28046.059999999998</v>
      </c>
      <c r="J77" s="209">
        <v>0</v>
      </c>
      <c r="K77" s="209">
        <v>0</v>
      </c>
      <c r="L77" s="209">
        <v>0</v>
      </c>
      <c r="M77" s="209">
        <v>0</v>
      </c>
      <c r="N77" s="209">
        <f t="shared" si="6"/>
        <v>0</v>
      </c>
      <c r="P77" s="4"/>
      <c r="Q77" s="4"/>
      <c r="Y77" s="2">
        <f t="shared" si="7"/>
        <v>0</v>
      </c>
      <c r="Z77" s="4">
        <v>239</v>
      </c>
      <c r="AA77" s="4">
        <v>1</v>
      </c>
      <c r="AB77" s="2" t="s">
        <v>1174</v>
      </c>
      <c r="AC77" s="209">
        <v>0</v>
      </c>
      <c r="AD77" s="209">
        <v>28046.06</v>
      </c>
      <c r="AE77" s="209">
        <v>24183.46</v>
      </c>
      <c r="AF77" s="209">
        <v>3862.6</v>
      </c>
      <c r="AG77" s="209">
        <v>0</v>
      </c>
      <c r="AH77" s="209">
        <v>0</v>
      </c>
    </row>
    <row r="78" spans="1:34" x14ac:dyDescent="0.2">
      <c r="A78" s="4">
        <v>241</v>
      </c>
      <c r="B78" s="4">
        <v>1</v>
      </c>
      <c r="C78" s="2" t="s">
        <v>76</v>
      </c>
      <c r="D78" s="183">
        <v>16497.79</v>
      </c>
      <c r="E78" s="183">
        <v>2927.5700000000006</v>
      </c>
      <c r="F78" s="183">
        <v>35715.760000000009</v>
      </c>
      <c r="G78" s="183">
        <v>3547.55</v>
      </c>
      <c r="H78" s="3">
        <f t="shared" si="8"/>
        <v>58688.670000000013</v>
      </c>
      <c r="J78" s="209">
        <v>0</v>
      </c>
      <c r="K78" s="209">
        <v>0</v>
      </c>
      <c r="L78" s="209">
        <v>0</v>
      </c>
      <c r="M78" s="209">
        <v>0</v>
      </c>
      <c r="N78" s="209">
        <f t="shared" si="6"/>
        <v>0</v>
      </c>
      <c r="P78" s="4"/>
      <c r="Q78" s="4"/>
      <c r="Y78" s="2">
        <f t="shared" si="7"/>
        <v>0</v>
      </c>
      <c r="Z78" s="4">
        <v>241</v>
      </c>
      <c r="AA78" s="4">
        <v>1</v>
      </c>
      <c r="AB78" s="2" t="s">
        <v>76</v>
      </c>
      <c r="AC78" s="209">
        <v>0</v>
      </c>
      <c r="AD78" s="209">
        <v>58688.67</v>
      </c>
      <c r="AE78" s="209">
        <v>16497.79</v>
      </c>
      <c r="AF78" s="209">
        <v>2927.5700000000006</v>
      </c>
      <c r="AG78" s="209">
        <v>35715.760000000009</v>
      </c>
      <c r="AH78" s="209">
        <v>3547.55</v>
      </c>
    </row>
    <row r="79" spans="1:34" x14ac:dyDescent="0.2">
      <c r="A79" s="4">
        <v>242</v>
      </c>
      <c r="B79" s="4">
        <v>1</v>
      </c>
      <c r="C79" s="2" t="s">
        <v>1175</v>
      </c>
      <c r="D79" s="183">
        <v>3424.1899999999996</v>
      </c>
      <c r="E79" s="183">
        <v>641.79999999999995</v>
      </c>
      <c r="F79" s="183">
        <v>12589.19</v>
      </c>
      <c r="G79" s="183">
        <v>0</v>
      </c>
      <c r="H79" s="3">
        <f t="shared" si="8"/>
        <v>16655.18</v>
      </c>
      <c r="J79" s="209">
        <v>0</v>
      </c>
      <c r="K79" s="209">
        <v>0</v>
      </c>
      <c r="L79" s="209">
        <v>0</v>
      </c>
      <c r="M79" s="209">
        <v>0</v>
      </c>
      <c r="N79" s="209">
        <f t="shared" si="6"/>
        <v>0</v>
      </c>
      <c r="P79" s="4"/>
      <c r="Q79" s="4"/>
      <c r="Y79" s="2">
        <f t="shared" si="7"/>
        <v>0</v>
      </c>
      <c r="Z79" s="4">
        <v>242</v>
      </c>
      <c r="AA79" s="4">
        <v>1</v>
      </c>
      <c r="AB79" s="2" t="s">
        <v>1175</v>
      </c>
      <c r="AC79" s="209">
        <v>0</v>
      </c>
      <c r="AD79" s="209">
        <v>16655.18</v>
      </c>
      <c r="AE79" s="209">
        <v>3424.1899999999996</v>
      </c>
      <c r="AF79" s="209">
        <v>641.79999999999995</v>
      </c>
      <c r="AG79" s="209">
        <v>12589.19</v>
      </c>
      <c r="AH79" s="209">
        <v>0</v>
      </c>
    </row>
    <row r="80" spans="1:34" x14ac:dyDescent="0.2">
      <c r="A80" s="4">
        <v>252</v>
      </c>
      <c r="B80" s="4">
        <v>1</v>
      </c>
      <c r="C80" s="2" t="s">
        <v>78</v>
      </c>
      <c r="D80" s="183">
        <v>5869.3300000000008</v>
      </c>
      <c r="E80" s="183">
        <v>2687.46</v>
      </c>
      <c r="F80" s="183">
        <v>29448.510000000002</v>
      </c>
      <c r="G80" s="183">
        <v>1980.94</v>
      </c>
      <c r="H80" s="3">
        <f t="shared" si="8"/>
        <v>39986.240000000005</v>
      </c>
      <c r="J80" s="209">
        <v>0</v>
      </c>
      <c r="K80" s="209">
        <v>0</v>
      </c>
      <c r="L80" s="209">
        <v>0</v>
      </c>
      <c r="M80" s="209">
        <v>0</v>
      </c>
      <c r="N80" s="209">
        <f t="shared" si="6"/>
        <v>0</v>
      </c>
      <c r="P80" s="4"/>
      <c r="Q80" s="4"/>
      <c r="Y80" s="2">
        <f t="shared" si="7"/>
        <v>0</v>
      </c>
      <c r="Z80" s="4">
        <v>252</v>
      </c>
      <c r="AA80" s="4">
        <v>1</v>
      </c>
      <c r="AB80" s="2" t="s">
        <v>78</v>
      </c>
      <c r="AC80" s="209">
        <v>0</v>
      </c>
      <c r="AD80" s="209">
        <v>39986.240000000005</v>
      </c>
      <c r="AE80" s="209">
        <v>5869.3300000000008</v>
      </c>
      <c r="AF80" s="209">
        <v>2687.46</v>
      </c>
      <c r="AG80" s="209">
        <v>29448.510000000002</v>
      </c>
      <c r="AH80" s="209">
        <v>1980.94</v>
      </c>
    </row>
    <row r="81" spans="1:34" x14ac:dyDescent="0.2">
      <c r="A81" s="4">
        <v>253</v>
      </c>
      <c r="B81" s="4">
        <v>1</v>
      </c>
      <c r="C81" s="2" t="s">
        <v>79</v>
      </c>
      <c r="D81" s="183">
        <v>4590.57</v>
      </c>
      <c r="E81" s="183">
        <v>766.14999999999986</v>
      </c>
      <c r="F81" s="183">
        <v>10270.380000000001</v>
      </c>
      <c r="G81" s="183">
        <v>0</v>
      </c>
      <c r="H81" s="3">
        <f t="shared" si="8"/>
        <v>15627.1</v>
      </c>
      <c r="J81" s="209">
        <v>0</v>
      </c>
      <c r="K81" s="209">
        <v>0</v>
      </c>
      <c r="L81" s="209">
        <v>0</v>
      </c>
      <c r="M81" s="209">
        <v>0</v>
      </c>
      <c r="N81" s="209">
        <f t="shared" si="6"/>
        <v>0</v>
      </c>
      <c r="P81" s="4"/>
      <c r="Q81" s="4"/>
      <c r="Y81" s="2">
        <f t="shared" si="7"/>
        <v>0</v>
      </c>
      <c r="Z81" s="4">
        <v>253</v>
      </c>
      <c r="AA81" s="4">
        <v>1</v>
      </c>
      <c r="AB81" s="2" t="s">
        <v>79</v>
      </c>
      <c r="AC81" s="209">
        <v>0</v>
      </c>
      <c r="AD81" s="209">
        <v>15627.1</v>
      </c>
      <c r="AE81" s="209">
        <v>4590.57</v>
      </c>
      <c r="AF81" s="209">
        <v>766.14999999999986</v>
      </c>
      <c r="AG81" s="209">
        <v>10270.380000000001</v>
      </c>
      <c r="AH81" s="209">
        <v>0</v>
      </c>
    </row>
    <row r="82" spans="1:34" x14ac:dyDescent="0.2">
      <c r="A82" s="4">
        <v>255</v>
      </c>
      <c r="B82" s="4">
        <v>1</v>
      </c>
      <c r="C82" s="2" t="s">
        <v>80</v>
      </c>
      <c r="D82" s="183">
        <v>9531.76</v>
      </c>
      <c r="E82" s="183">
        <v>3709.1600000000003</v>
      </c>
      <c r="F82" s="183">
        <v>13835.5</v>
      </c>
      <c r="G82" s="183">
        <v>0</v>
      </c>
      <c r="H82" s="3">
        <f t="shared" si="8"/>
        <v>27076.42</v>
      </c>
      <c r="J82" s="209">
        <v>0</v>
      </c>
      <c r="K82" s="209">
        <v>0</v>
      </c>
      <c r="L82" s="209">
        <v>0</v>
      </c>
      <c r="M82" s="209">
        <v>0</v>
      </c>
      <c r="N82" s="209">
        <f t="shared" si="6"/>
        <v>0</v>
      </c>
      <c r="P82" s="4"/>
      <c r="Q82" s="4"/>
      <c r="Y82" s="2">
        <f t="shared" si="7"/>
        <v>0</v>
      </c>
      <c r="Z82" s="4">
        <v>255</v>
      </c>
      <c r="AA82" s="4">
        <v>1</v>
      </c>
      <c r="AB82" s="2" t="s">
        <v>80</v>
      </c>
      <c r="AC82" s="209">
        <v>0</v>
      </c>
      <c r="AD82" s="209">
        <v>27076.42</v>
      </c>
      <c r="AE82" s="209">
        <v>9531.76</v>
      </c>
      <c r="AF82" s="209">
        <v>3709.1600000000003</v>
      </c>
      <c r="AG82" s="209">
        <v>13835.5</v>
      </c>
      <c r="AH82" s="209">
        <v>0</v>
      </c>
    </row>
    <row r="83" spans="1:34" x14ac:dyDescent="0.2">
      <c r="A83" s="4">
        <v>256</v>
      </c>
      <c r="B83" s="4">
        <v>1</v>
      </c>
      <c r="C83" s="2" t="s">
        <v>81</v>
      </c>
      <c r="D83" s="183">
        <v>18125.219999999998</v>
      </c>
      <c r="E83" s="183">
        <v>3547.7200000000003</v>
      </c>
      <c r="F83" s="183">
        <v>0</v>
      </c>
      <c r="G83" s="183">
        <v>27006.979999999996</v>
      </c>
      <c r="H83" s="3">
        <f t="shared" si="8"/>
        <v>48679.92</v>
      </c>
      <c r="J83" s="209">
        <v>0</v>
      </c>
      <c r="K83" s="209">
        <v>0</v>
      </c>
      <c r="L83" s="209">
        <v>0</v>
      </c>
      <c r="M83" s="209">
        <v>0</v>
      </c>
      <c r="N83" s="209">
        <f t="shared" si="6"/>
        <v>0</v>
      </c>
      <c r="P83" s="4"/>
      <c r="Q83" s="4"/>
      <c r="Y83" s="2">
        <f t="shared" si="7"/>
        <v>0</v>
      </c>
      <c r="Z83" s="4">
        <v>256</v>
      </c>
      <c r="AA83" s="4">
        <v>1</v>
      </c>
      <c r="AB83" s="2" t="s">
        <v>81</v>
      </c>
      <c r="AC83" s="209">
        <v>0</v>
      </c>
      <c r="AD83" s="209">
        <v>48679.92</v>
      </c>
      <c r="AE83" s="209">
        <v>18125.219999999998</v>
      </c>
      <c r="AF83" s="209">
        <v>3547.7200000000003</v>
      </c>
      <c r="AG83" s="209">
        <v>0</v>
      </c>
      <c r="AH83" s="209">
        <v>27006.979999999996</v>
      </c>
    </row>
    <row r="84" spans="1:34" x14ac:dyDescent="0.2">
      <c r="A84" s="4">
        <v>261</v>
      </c>
      <c r="B84" s="4">
        <v>1</v>
      </c>
      <c r="C84" s="2" t="s">
        <v>82</v>
      </c>
      <c r="D84" s="183">
        <v>2375.2199999999998</v>
      </c>
      <c r="E84" s="183">
        <v>372.65999999999997</v>
      </c>
      <c r="F84" s="183">
        <v>10743.73</v>
      </c>
      <c r="G84" s="183">
        <v>0</v>
      </c>
      <c r="H84" s="3">
        <f t="shared" si="8"/>
        <v>13491.609999999999</v>
      </c>
      <c r="J84" s="209">
        <v>0</v>
      </c>
      <c r="K84" s="209">
        <v>0</v>
      </c>
      <c r="L84" s="209">
        <v>0</v>
      </c>
      <c r="M84" s="209">
        <v>0</v>
      </c>
      <c r="N84" s="209">
        <f t="shared" si="6"/>
        <v>0</v>
      </c>
      <c r="P84" s="4"/>
      <c r="Q84" s="4"/>
      <c r="Y84" s="2">
        <f t="shared" si="7"/>
        <v>0</v>
      </c>
      <c r="Z84" s="4">
        <v>261</v>
      </c>
      <c r="AA84" s="4">
        <v>1</v>
      </c>
      <c r="AB84" s="2" t="s">
        <v>82</v>
      </c>
      <c r="AC84" s="209">
        <v>0</v>
      </c>
      <c r="AD84" s="209">
        <v>13491.61</v>
      </c>
      <c r="AE84" s="209">
        <v>2375.2199999999998</v>
      </c>
      <c r="AF84" s="209">
        <v>372.65999999999997</v>
      </c>
      <c r="AG84" s="209">
        <v>10743.73</v>
      </c>
      <c r="AH84" s="209">
        <v>0</v>
      </c>
    </row>
    <row r="85" spans="1:34" x14ac:dyDescent="0.2">
      <c r="A85" s="4">
        <v>264</v>
      </c>
      <c r="B85" s="4">
        <v>1</v>
      </c>
      <c r="C85" s="2" t="s">
        <v>83</v>
      </c>
      <c r="D85" s="183">
        <v>3046.2900000000004</v>
      </c>
      <c r="E85" s="183">
        <v>1058.8500000000001</v>
      </c>
      <c r="F85" s="183">
        <v>0</v>
      </c>
      <c r="G85" s="183">
        <v>0</v>
      </c>
      <c r="H85" s="3">
        <f t="shared" si="8"/>
        <v>4105.1400000000003</v>
      </c>
      <c r="J85" s="209">
        <v>0</v>
      </c>
      <c r="K85" s="209">
        <v>0</v>
      </c>
      <c r="L85" s="209">
        <v>0</v>
      </c>
      <c r="M85" s="209">
        <v>0</v>
      </c>
      <c r="N85" s="209">
        <f t="shared" si="6"/>
        <v>0</v>
      </c>
      <c r="P85" s="4"/>
      <c r="Q85" s="4"/>
      <c r="Y85" s="2">
        <f t="shared" si="7"/>
        <v>0</v>
      </c>
      <c r="Z85" s="4">
        <v>264</v>
      </c>
      <c r="AA85" s="4">
        <v>1</v>
      </c>
      <c r="AB85" s="2" t="s">
        <v>83</v>
      </c>
      <c r="AC85" s="209">
        <v>0</v>
      </c>
      <c r="AD85" s="209">
        <v>4105.1399999999994</v>
      </c>
      <c r="AE85" s="209">
        <v>3046.2900000000004</v>
      </c>
      <c r="AF85" s="209">
        <v>1058.8500000000001</v>
      </c>
      <c r="AG85" s="209">
        <v>0</v>
      </c>
      <c r="AH85" s="209">
        <v>0</v>
      </c>
    </row>
    <row r="86" spans="1:34" x14ac:dyDescent="0.2">
      <c r="A86" s="4">
        <v>270</v>
      </c>
      <c r="B86" s="4">
        <v>1</v>
      </c>
      <c r="C86" s="2" t="s">
        <v>84</v>
      </c>
      <c r="D86" s="183">
        <v>-309.10000000000002</v>
      </c>
      <c r="E86" s="183">
        <v>-36.57</v>
      </c>
      <c r="F86" s="183">
        <v>-263.88</v>
      </c>
      <c r="G86" s="183">
        <v>-58.58</v>
      </c>
      <c r="H86" s="3">
        <f t="shared" si="8"/>
        <v>-668.13</v>
      </c>
      <c r="J86" s="209">
        <v>0</v>
      </c>
      <c r="K86" s="209">
        <v>0</v>
      </c>
      <c r="L86" s="209">
        <v>0</v>
      </c>
      <c r="M86" s="209">
        <v>0</v>
      </c>
      <c r="N86" s="209">
        <f t="shared" si="6"/>
        <v>0</v>
      </c>
      <c r="P86" s="4"/>
      <c r="Q86" s="4"/>
      <c r="Y86" s="2">
        <f t="shared" si="7"/>
        <v>0</v>
      </c>
      <c r="Z86" s="4">
        <v>270</v>
      </c>
      <c r="AA86" s="4">
        <v>1</v>
      </c>
      <c r="AB86" s="2" t="s">
        <v>84</v>
      </c>
      <c r="AC86" s="209">
        <v>0</v>
      </c>
      <c r="AD86" s="209">
        <v>-668.13</v>
      </c>
      <c r="AE86" s="209">
        <v>-309.10000000000002</v>
      </c>
      <c r="AF86" s="209">
        <v>-36.57</v>
      </c>
      <c r="AG86" s="209">
        <v>-263.88</v>
      </c>
      <c r="AH86" s="209">
        <v>-58.58</v>
      </c>
    </row>
    <row r="87" spans="1:34" x14ac:dyDescent="0.2">
      <c r="A87" s="4">
        <v>271</v>
      </c>
      <c r="B87" s="4">
        <v>1</v>
      </c>
      <c r="C87" s="2" t="s">
        <v>85</v>
      </c>
      <c r="D87" s="183">
        <v>40.93</v>
      </c>
      <c r="E87" s="183">
        <v>3.97</v>
      </c>
      <c r="F87" s="183">
        <v>20.83</v>
      </c>
      <c r="G87" s="183">
        <v>2.31</v>
      </c>
      <c r="H87" s="3">
        <f t="shared" si="8"/>
        <v>68.039999999999992</v>
      </c>
      <c r="J87" s="209">
        <v>0</v>
      </c>
      <c r="K87" s="209">
        <v>0</v>
      </c>
      <c r="L87" s="209">
        <v>0</v>
      </c>
      <c r="M87" s="209">
        <v>0</v>
      </c>
      <c r="N87" s="209">
        <f t="shared" si="6"/>
        <v>0</v>
      </c>
      <c r="P87" s="4"/>
      <c r="Q87" s="4"/>
      <c r="Y87" s="2">
        <f t="shared" si="7"/>
        <v>0</v>
      </c>
      <c r="Z87" s="4">
        <v>271</v>
      </c>
      <c r="AA87" s="4">
        <v>1</v>
      </c>
      <c r="AB87" s="2" t="s">
        <v>85</v>
      </c>
      <c r="AC87" s="209">
        <v>0</v>
      </c>
      <c r="AD87" s="209">
        <v>68.040000000000006</v>
      </c>
      <c r="AE87" s="209">
        <v>40.93</v>
      </c>
      <c r="AF87" s="209">
        <v>3.97</v>
      </c>
      <c r="AG87" s="209">
        <v>20.83</v>
      </c>
      <c r="AH87" s="209">
        <v>2.31</v>
      </c>
    </row>
    <row r="88" spans="1:34" x14ac:dyDescent="0.2">
      <c r="A88" s="4">
        <v>272</v>
      </c>
      <c r="B88" s="4">
        <v>1</v>
      </c>
      <c r="C88" s="2" t="s">
        <v>86</v>
      </c>
      <c r="D88" s="183">
        <v>161.59</v>
      </c>
      <c r="E88" s="183">
        <v>17.16</v>
      </c>
      <c r="F88" s="183">
        <v>168.79</v>
      </c>
      <c r="G88" s="183">
        <v>11.65</v>
      </c>
      <c r="H88" s="3">
        <f t="shared" si="8"/>
        <v>359.18999999999994</v>
      </c>
      <c r="J88" s="209">
        <v>0</v>
      </c>
      <c r="K88" s="209">
        <v>0</v>
      </c>
      <c r="L88" s="209">
        <v>0</v>
      </c>
      <c r="M88" s="209">
        <v>0</v>
      </c>
      <c r="N88" s="209">
        <f t="shared" si="6"/>
        <v>0</v>
      </c>
      <c r="P88" s="4"/>
      <c r="Q88" s="4"/>
      <c r="Y88" s="2">
        <f t="shared" si="7"/>
        <v>0</v>
      </c>
      <c r="Z88" s="4">
        <v>272</v>
      </c>
      <c r="AA88" s="4">
        <v>1</v>
      </c>
      <c r="AB88" s="2" t="s">
        <v>86</v>
      </c>
      <c r="AC88" s="209">
        <v>0</v>
      </c>
      <c r="AD88" s="209">
        <v>359.19000000000005</v>
      </c>
      <c r="AE88" s="209">
        <v>161.59</v>
      </c>
      <c r="AF88" s="209">
        <v>17.16</v>
      </c>
      <c r="AG88" s="209">
        <v>168.79</v>
      </c>
      <c r="AH88" s="209">
        <v>11.65</v>
      </c>
    </row>
    <row r="89" spans="1:34" x14ac:dyDescent="0.2">
      <c r="A89" s="4">
        <v>273</v>
      </c>
      <c r="B89" s="4">
        <v>1</v>
      </c>
      <c r="C89" s="2" t="s">
        <v>87</v>
      </c>
      <c r="D89" s="183">
        <v>0</v>
      </c>
      <c r="E89" s="183">
        <v>0</v>
      </c>
      <c r="F89" s="183">
        <v>0</v>
      </c>
      <c r="G89" s="183">
        <v>0</v>
      </c>
      <c r="H89" s="3">
        <f t="shared" si="8"/>
        <v>0</v>
      </c>
      <c r="J89" s="209">
        <v>0</v>
      </c>
      <c r="K89" s="209">
        <v>0</v>
      </c>
      <c r="L89" s="209">
        <v>0</v>
      </c>
      <c r="M89" s="209">
        <v>0</v>
      </c>
      <c r="N89" s="209">
        <f t="shared" si="6"/>
        <v>0</v>
      </c>
      <c r="P89" s="4"/>
      <c r="Q89" s="4"/>
      <c r="Y89" s="2">
        <f t="shared" si="7"/>
        <v>0</v>
      </c>
      <c r="Z89" s="4">
        <v>273</v>
      </c>
      <c r="AA89" s="4">
        <v>1</v>
      </c>
      <c r="AB89" s="2" t="s">
        <v>87</v>
      </c>
      <c r="AC89" s="209">
        <v>0</v>
      </c>
      <c r="AD89" s="209">
        <v>0</v>
      </c>
      <c r="AE89" s="209">
        <v>0</v>
      </c>
      <c r="AF89" s="209">
        <v>0</v>
      </c>
      <c r="AG89" s="209">
        <v>0</v>
      </c>
      <c r="AH89" s="209">
        <v>0</v>
      </c>
    </row>
    <row r="90" spans="1:34" x14ac:dyDescent="0.2">
      <c r="A90" s="4">
        <v>276</v>
      </c>
      <c r="B90" s="4">
        <v>1</v>
      </c>
      <c r="C90" s="2" t="s">
        <v>88</v>
      </c>
      <c r="D90" s="183">
        <v>67.33</v>
      </c>
      <c r="E90" s="183">
        <v>6.7</v>
      </c>
      <c r="F90" s="183">
        <v>40.04</v>
      </c>
      <c r="G90" s="183">
        <v>4.92</v>
      </c>
      <c r="H90" s="3">
        <f t="shared" si="8"/>
        <v>118.99</v>
      </c>
      <c r="J90" s="209">
        <v>0</v>
      </c>
      <c r="K90" s="209">
        <v>0</v>
      </c>
      <c r="L90" s="209">
        <v>0</v>
      </c>
      <c r="M90" s="209">
        <v>0</v>
      </c>
      <c r="N90" s="209">
        <f t="shared" si="6"/>
        <v>0</v>
      </c>
      <c r="P90" s="4"/>
      <c r="Q90" s="4"/>
      <c r="Y90" s="2">
        <f t="shared" si="7"/>
        <v>0</v>
      </c>
      <c r="Z90" s="4">
        <v>276</v>
      </c>
      <c r="AA90" s="4">
        <v>1</v>
      </c>
      <c r="AB90" s="2" t="s">
        <v>88</v>
      </c>
      <c r="AC90" s="209">
        <v>0</v>
      </c>
      <c r="AD90" s="209">
        <v>118.99</v>
      </c>
      <c r="AE90" s="209">
        <v>67.33</v>
      </c>
      <c r="AF90" s="209">
        <v>6.7</v>
      </c>
      <c r="AG90" s="209">
        <v>40.04</v>
      </c>
      <c r="AH90" s="209">
        <v>4.92</v>
      </c>
    </row>
    <row r="91" spans="1:34" x14ac:dyDescent="0.2">
      <c r="A91" s="4">
        <v>277</v>
      </c>
      <c r="B91" s="4">
        <v>1</v>
      </c>
      <c r="C91" s="2" t="s">
        <v>89</v>
      </c>
      <c r="D91" s="183">
        <v>382.86</v>
      </c>
      <c r="E91" s="183">
        <v>84.81</v>
      </c>
      <c r="F91" s="183">
        <v>427.66999999999996</v>
      </c>
      <c r="G91" s="183">
        <v>92.89</v>
      </c>
      <c r="H91" s="3">
        <f t="shared" si="8"/>
        <v>988.2299999999999</v>
      </c>
      <c r="J91" s="209">
        <v>0</v>
      </c>
      <c r="K91" s="209">
        <v>0</v>
      </c>
      <c r="L91" s="209">
        <v>0</v>
      </c>
      <c r="M91" s="209">
        <v>0</v>
      </c>
      <c r="N91" s="209">
        <f t="shared" si="6"/>
        <v>0</v>
      </c>
      <c r="P91" s="4"/>
      <c r="Q91" s="4"/>
      <c r="Y91" s="2">
        <f t="shared" si="7"/>
        <v>0</v>
      </c>
      <c r="Z91" s="4">
        <v>277</v>
      </c>
      <c r="AA91" s="4">
        <v>1</v>
      </c>
      <c r="AB91" s="2" t="s">
        <v>89</v>
      </c>
      <c r="AC91" s="209">
        <v>0</v>
      </c>
      <c r="AD91" s="209">
        <v>988.23</v>
      </c>
      <c r="AE91" s="209">
        <v>382.86</v>
      </c>
      <c r="AF91" s="209">
        <v>84.81</v>
      </c>
      <c r="AG91" s="209">
        <v>427.66999999999996</v>
      </c>
      <c r="AH91" s="209">
        <v>92.89</v>
      </c>
    </row>
    <row r="92" spans="1:34" x14ac:dyDescent="0.2">
      <c r="A92" s="4">
        <v>278</v>
      </c>
      <c r="B92" s="4">
        <v>1</v>
      </c>
      <c r="C92" s="2" t="s">
        <v>90</v>
      </c>
      <c r="D92" s="183">
        <v>1392.2499999999998</v>
      </c>
      <c r="E92" s="183">
        <v>141.47</v>
      </c>
      <c r="F92" s="183">
        <v>2138.0500000000002</v>
      </c>
      <c r="G92" s="183">
        <v>229.44</v>
      </c>
      <c r="H92" s="3">
        <f t="shared" si="8"/>
        <v>3901.21</v>
      </c>
      <c r="J92" s="209">
        <v>0</v>
      </c>
      <c r="K92" s="209">
        <v>0</v>
      </c>
      <c r="L92" s="209">
        <v>0</v>
      </c>
      <c r="M92" s="209">
        <v>0</v>
      </c>
      <c r="N92" s="209">
        <f t="shared" si="6"/>
        <v>0</v>
      </c>
      <c r="P92" s="4"/>
      <c r="Q92" s="4"/>
      <c r="Y92" s="2">
        <f t="shared" si="7"/>
        <v>0</v>
      </c>
      <c r="Z92" s="4">
        <v>278</v>
      </c>
      <c r="AA92" s="4">
        <v>1</v>
      </c>
      <c r="AB92" s="2" t="s">
        <v>90</v>
      </c>
      <c r="AC92" s="209">
        <v>0</v>
      </c>
      <c r="AD92" s="209">
        <v>3901.21</v>
      </c>
      <c r="AE92" s="209">
        <v>1392.2499999999998</v>
      </c>
      <c r="AF92" s="209">
        <v>141.47</v>
      </c>
      <c r="AG92" s="209">
        <v>2138.0500000000002</v>
      </c>
      <c r="AH92" s="209">
        <v>229.44</v>
      </c>
    </row>
    <row r="93" spans="1:34" x14ac:dyDescent="0.2">
      <c r="A93" s="4">
        <v>279</v>
      </c>
      <c r="B93" s="4">
        <v>1</v>
      </c>
      <c r="C93" s="2" t="s">
        <v>91</v>
      </c>
      <c r="D93" s="183">
        <v>718.99</v>
      </c>
      <c r="E93" s="183">
        <v>66.7</v>
      </c>
      <c r="F93" s="183">
        <v>576.76</v>
      </c>
      <c r="G93" s="183">
        <v>83.91</v>
      </c>
      <c r="H93" s="3">
        <f t="shared" si="8"/>
        <v>1446.3600000000001</v>
      </c>
      <c r="J93" s="209">
        <v>0</v>
      </c>
      <c r="K93" s="209">
        <v>0</v>
      </c>
      <c r="L93" s="209">
        <v>0</v>
      </c>
      <c r="M93" s="209">
        <v>0</v>
      </c>
      <c r="N93" s="209">
        <f t="shared" si="6"/>
        <v>0</v>
      </c>
      <c r="P93" s="4"/>
      <c r="Q93" s="4"/>
      <c r="Y93" s="2">
        <f t="shared" si="7"/>
        <v>0</v>
      </c>
      <c r="Z93" s="4">
        <v>279</v>
      </c>
      <c r="AA93" s="4">
        <v>1</v>
      </c>
      <c r="AB93" s="2" t="s">
        <v>91</v>
      </c>
      <c r="AC93" s="209">
        <v>0</v>
      </c>
      <c r="AD93" s="209">
        <v>1446.36</v>
      </c>
      <c r="AE93" s="209">
        <v>718.99</v>
      </c>
      <c r="AF93" s="209">
        <v>66.7</v>
      </c>
      <c r="AG93" s="209">
        <v>576.76</v>
      </c>
      <c r="AH93" s="209">
        <v>83.91</v>
      </c>
    </row>
    <row r="94" spans="1:34" x14ac:dyDescent="0.2">
      <c r="A94" s="4">
        <v>280</v>
      </c>
      <c r="B94" s="4">
        <v>1</v>
      </c>
      <c r="C94" s="2" t="s">
        <v>92</v>
      </c>
      <c r="D94" s="183">
        <v>0</v>
      </c>
      <c r="E94" s="183">
        <v>0</v>
      </c>
      <c r="F94" s="183">
        <v>0</v>
      </c>
      <c r="G94" s="183">
        <v>0</v>
      </c>
      <c r="H94" s="3">
        <f t="shared" si="8"/>
        <v>0</v>
      </c>
      <c r="J94" s="209">
        <v>0</v>
      </c>
      <c r="K94" s="209">
        <v>0</v>
      </c>
      <c r="L94" s="209">
        <v>0</v>
      </c>
      <c r="M94" s="209">
        <v>0</v>
      </c>
      <c r="N94" s="209">
        <f t="shared" si="6"/>
        <v>0</v>
      </c>
      <c r="P94" s="4"/>
      <c r="Q94" s="4"/>
      <c r="Y94" s="2">
        <f t="shared" si="7"/>
        <v>0</v>
      </c>
      <c r="Z94" s="4">
        <v>280</v>
      </c>
      <c r="AA94" s="4">
        <v>1</v>
      </c>
      <c r="AB94" s="2" t="s">
        <v>92</v>
      </c>
      <c r="AC94" s="209">
        <v>0</v>
      </c>
      <c r="AD94" s="209">
        <v>0</v>
      </c>
      <c r="AE94" s="209">
        <v>0</v>
      </c>
      <c r="AF94" s="209">
        <v>0</v>
      </c>
      <c r="AG94" s="209">
        <v>0</v>
      </c>
      <c r="AH94" s="209">
        <v>0</v>
      </c>
    </row>
    <row r="95" spans="1:34" x14ac:dyDescent="0.2">
      <c r="A95" s="4">
        <v>281</v>
      </c>
      <c r="B95" s="4">
        <v>1</v>
      </c>
      <c r="C95" s="2" t="s">
        <v>93</v>
      </c>
      <c r="D95" s="183">
        <v>22.02</v>
      </c>
      <c r="E95" s="183">
        <v>4.83</v>
      </c>
      <c r="F95" s="183">
        <v>45.15</v>
      </c>
      <c r="G95" s="183">
        <v>5.19</v>
      </c>
      <c r="H95" s="3">
        <f t="shared" si="8"/>
        <v>77.19</v>
      </c>
      <c r="J95" s="209">
        <v>0</v>
      </c>
      <c r="K95" s="209">
        <v>0</v>
      </c>
      <c r="L95" s="209">
        <v>0</v>
      </c>
      <c r="M95" s="209">
        <v>0</v>
      </c>
      <c r="N95" s="209">
        <f t="shared" si="6"/>
        <v>0</v>
      </c>
      <c r="P95" s="4"/>
      <c r="Q95" s="4"/>
      <c r="Y95" s="2">
        <f t="shared" si="7"/>
        <v>0</v>
      </c>
      <c r="Z95" s="4">
        <v>281</v>
      </c>
      <c r="AA95" s="4">
        <v>1</v>
      </c>
      <c r="AB95" s="2" t="s">
        <v>93</v>
      </c>
      <c r="AC95" s="209">
        <v>0</v>
      </c>
      <c r="AD95" s="209">
        <v>77.19</v>
      </c>
      <c r="AE95" s="209">
        <v>22.02</v>
      </c>
      <c r="AF95" s="209">
        <v>4.83</v>
      </c>
      <c r="AG95" s="209">
        <v>45.15</v>
      </c>
      <c r="AH95" s="209">
        <v>5.19</v>
      </c>
    </row>
    <row r="96" spans="1:34" x14ac:dyDescent="0.2">
      <c r="A96" s="4">
        <v>282</v>
      </c>
      <c r="B96" s="4">
        <v>1</v>
      </c>
      <c r="C96" s="2" t="s">
        <v>1176</v>
      </c>
      <c r="D96" s="183">
        <v>0</v>
      </c>
      <c r="E96" s="183">
        <v>0</v>
      </c>
      <c r="F96" s="183">
        <v>0</v>
      </c>
      <c r="G96" s="183">
        <v>0</v>
      </c>
      <c r="H96" s="3">
        <f t="shared" si="8"/>
        <v>0</v>
      </c>
      <c r="J96" s="209">
        <v>0</v>
      </c>
      <c r="K96" s="209">
        <v>0</v>
      </c>
      <c r="L96" s="209">
        <v>0</v>
      </c>
      <c r="M96" s="209">
        <v>0</v>
      </c>
      <c r="N96" s="209">
        <f t="shared" si="6"/>
        <v>0</v>
      </c>
      <c r="P96" s="4"/>
      <c r="Q96" s="4"/>
      <c r="Y96" s="2">
        <f t="shared" si="7"/>
        <v>0</v>
      </c>
      <c r="Z96" s="4">
        <v>282</v>
      </c>
      <c r="AA96" s="4">
        <v>1</v>
      </c>
      <c r="AB96" s="2" t="s">
        <v>1176</v>
      </c>
      <c r="AC96" s="209">
        <v>0</v>
      </c>
      <c r="AD96" s="209">
        <v>0</v>
      </c>
      <c r="AE96" s="209">
        <v>0</v>
      </c>
      <c r="AF96" s="209">
        <v>0</v>
      </c>
      <c r="AG96" s="209">
        <v>0</v>
      </c>
      <c r="AH96" s="209">
        <v>0</v>
      </c>
    </row>
    <row r="97" spans="1:34" x14ac:dyDescent="0.2">
      <c r="A97" s="4">
        <v>283</v>
      </c>
      <c r="B97" s="4">
        <v>1</v>
      </c>
      <c r="C97" s="2" t="s">
        <v>95</v>
      </c>
      <c r="D97" s="183">
        <v>0</v>
      </c>
      <c r="E97" s="183">
        <v>0</v>
      </c>
      <c r="F97" s="183">
        <v>0</v>
      </c>
      <c r="G97" s="183">
        <v>0</v>
      </c>
      <c r="H97" s="3">
        <f t="shared" si="8"/>
        <v>0</v>
      </c>
      <c r="J97" s="209">
        <v>0</v>
      </c>
      <c r="K97" s="209">
        <v>0</v>
      </c>
      <c r="L97" s="209">
        <v>0</v>
      </c>
      <c r="M97" s="209">
        <v>0</v>
      </c>
      <c r="N97" s="209">
        <f t="shared" si="6"/>
        <v>0</v>
      </c>
      <c r="P97" s="4"/>
      <c r="Q97" s="4"/>
      <c r="Y97" s="2">
        <f t="shared" si="7"/>
        <v>0</v>
      </c>
      <c r="Z97" s="4">
        <v>283</v>
      </c>
      <c r="AA97" s="4">
        <v>1</v>
      </c>
      <c r="AB97" s="2" t="s">
        <v>95</v>
      </c>
      <c r="AC97" s="209">
        <v>0</v>
      </c>
      <c r="AD97" s="209">
        <v>0</v>
      </c>
      <c r="AE97" s="209">
        <v>0</v>
      </c>
      <c r="AF97" s="209">
        <v>0</v>
      </c>
      <c r="AG97" s="209">
        <v>0</v>
      </c>
      <c r="AH97" s="209">
        <v>0</v>
      </c>
    </row>
    <row r="98" spans="1:34" x14ac:dyDescent="0.2">
      <c r="A98" s="4">
        <v>284</v>
      </c>
      <c r="B98" s="4">
        <v>1</v>
      </c>
      <c r="C98" s="2" t="s">
        <v>96</v>
      </c>
      <c r="D98" s="183">
        <v>648.7199999999998</v>
      </c>
      <c r="E98" s="183">
        <v>70.650000000000006</v>
      </c>
      <c r="F98" s="183">
        <v>458.05</v>
      </c>
      <c r="G98" s="183">
        <v>69.760000000000005</v>
      </c>
      <c r="H98" s="3">
        <f t="shared" si="8"/>
        <v>1247.1799999999998</v>
      </c>
      <c r="J98" s="209">
        <v>0</v>
      </c>
      <c r="K98" s="209">
        <v>0</v>
      </c>
      <c r="L98" s="209">
        <v>0</v>
      </c>
      <c r="M98" s="209">
        <v>0</v>
      </c>
      <c r="N98" s="209">
        <f t="shared" si="6"/>
        <v>0</v>
      </c>
      <c r="P98" s="4"/>
      <c r="Q98" s="4"/>
      <c r="Y98" s="2">
        <f t="shared" si="7"/>
        <v>0</v>
      </c>
      <c r="Z98" s="4">
        <v>284</v>
      </c>
      <c r="AA98" s="4">
        <v>1</v>
      </c>
      <c r="AB98" s="2" t="s">
        <v>96</v>
      </c>
      <c r="AC98" s="209">
        <v>0</v>
      </c>
      <c r="AD98" s="209">
        <v>1247.1799999999998</v>
      </c>
      <c r="AE98" s="209">
        <v>648.7199999999998</v>
      </c>
      <c r="AF98" s="209">
        <v>70.650000000000006</v>
      </c>
      <c r="AG98" s="209">
        <v>458.05</v>
      </c>
      <c r="AH98" s="209">
        <v>69.760000000000005</v>
      </c>
    </row>
    <row r="99" spans="1:34" x14ac:dyDescent="0.2">
      <c r="A99" s="4">
        <v>286</v>
      </c>
      <c r="B99" s="4">
        <v>1</v>
      </c>
      <c r="C99" s="2" t="s">
        <v>97</v>
      </c>
      <c r="D99" s="183">
        <v>0</v>
      </c>
      <c r="E99" s="183">
        <v>0</v>
      </c>
      <c r="F99" s="183">
        <v>0</v>
      </c>
      <c r="G99" s="183">
        <v>0</v>
      </c>
      <c r="H99" s="3">
        <f t="shared" si="8"/>
        <v>0</v>
      </c>
      <c r="J99" s="209">
        <v>0</v>
      </c>
      <c r="K99" s="209">
        <v>0</v>
      </c>
      <c r="L99" s="209">
        <v>0</v>
      </c>
      <c r="M99" s="209">
        <v>0</v>
      </c>
      <c r="N99" s="209">
        <f t="shared" si="6"/>
        <v>0</v>
      </c>
      <c r="P99" s="4"/>
      <c r="Q99" s="4"/>
      <c r="Y99" s="2">
        <f t="shared" si="7"/>
        <v>0</v>
      </c>
      <c r="Z99" s="4">
        <v>286</v>
      </c>
      <c r="AA99" s="4">
        <v>1</v>
      </c>
      <c r="AB99" s="2" t="s">
        <v>97</v>
      </c>
      <c r="AC99" s="209">
        <v>0</v>
      </c>
      <c r="AD99" s="209">
        <v>0</v>
      </c>
      <c r="AE99" s="209">
        <v>0</v>
      </c>
      <c r="AF99" s="209">
        <v>0</v>
      </c>
      <c r="AG99" s="209">
        <v>0</v>
      </c>
      <c r="AH99" s="209">
        <v>0</v>
      </c>
    </row>
    <row r="100" spans="1:34" x14ac:dyDescent="0.2">
      <c r="A100" s="4">
        <v>294</v>
      </c>
      <c r="B100" s="4">
        <v>1</v>
      </c>
      <c r="C100" s="2" t="s">
        <v>98</v>
      </c>
      <c r="D100" s="183">
        <v>9652.01</v>
      </c>
      <c r="E100" s="183">
        <v>3042.1400000000003</v>
      </c>
      <c r="F100" s="183">
        <v>9453.2200000000012</v>
      </c>
      <c r="G100" s="183">
        <v>0</v>
      </c>
      <c r="H100" s="3">
        <f t="shared" si="8"/>
        <v>22147.370000000003</v>
      </c>
      <c r="J100" s="209">
        <v>0</v>
      </c>
      <c r="K100" s="209">
        <v>0</v>
      </c>
      <c r="L100" s="209">
        <v>0</v>
      </c>
      <c r="M100" s="209">
        <v>0</v>
      </c>
      <c r="N100" s="209">
        <f t="shared" si="6"/>
        <v>0</v>
      </c>
      <c r="P100" s="4"/>
      <c r="Q100" s="4"/>
      <c r="Y100" s="2">
        <f t="shared" si="7"/>
        <v>0</v>
      </c>
      <c r="Z100" s="4">
        <v>294</v>
      </c>
      <c r="AA100" s="4">
        <v>1</v>
      </c>
      <c r="AB100" s="2" t="s">
        <v>98</v>
      </c>
      <c r="AC100" s="209">
        <v>0</v>
      </c>
      <c r="AD100" s="209">
        <v>22147.37</v>
      </c>
      <c r="AE100" s="209">
        <v>9652.01</v>
      </c>
      <c r="AF100" s="209">
        <v>3042.1400000000003</v>
      </c>
      <c r="AG100" s="209">
        <v>9453.2200000000012</v>
      </c>
      <c r="AH100" s="209">
        <v>0</v>
      </c>
    </row>
    <row r="101" spans="1:34" x14ac:dyDescent="0.2">
      <c r="A101" s="4">
        <v>297</v>
      </c>
      <c r="B101" s="4">
        <v>1</v>
      </c>
      <c r="C101" s="2" t="s">
        <v>99</v>
      </c>
      <c r="D101" s="183">
        <v>29811.350000000002</v>
      </c>
      <c r="E101" s="183">
        <v>6116.57</v>
      </c>
      <c r="F101" s="183">
        <v>0</v>
      </c>
      <c r="G101" s="183">
        <v>0</v>
      </c>
      <c r="H101" s="3">
        <f t="shared" si="8"/>
        <v>35927.919999999998</v>
      </c>
      <c r="J101" s="209">
        <v>0</v>
      </c>
      <c r="K101" s="209">
        <v>0</v>
      </c>
      <c r="L101" s="209">
        <v>0</v>
      </c>
      <c r="M101" s="209">
        <v>0</v>
      </c>
      <c r="N101" s="209">
        <f t="shared" si="6"/>
        <v>0</v>
      </c>
      <c r="P101" s="4"/>
      <c r="Q101" s="4"/>
      <c r="Y101" s="2">
        <f t="shared" si="7"/>
        <v>0</v>
      </c>
      <c r="Z101" s="4">
        <v>297</v>
      </c>
      <c r="AA101" s="4">
        <v>1</v>
      </c>
      <c r="AB101" s="2" t="s">
        <v>99</v>
      </c>
      <c r="AC101" s="209">
        <v>0</v>
      </c>
      <c r="AD101" s="209">
        <v>35927.919999999998</v>
      </c>
      <c r="AE101" s="209">
        <v>29811.350000000002</v>
      </c>
      <c r="AF101" s="209">
        <v>6116.57</v>
      </c>
      <c r="AG101" s="209">
        <v>0</v>
      </c>
      <c r="AH101" s="209">
        <v>0</v>
      </c>
    </row>
    <row r="102" spans="1:34" x14ac:dyDescent="0.2">
      <c r="A102" s="4">
        <v>299</v>
      </c>
      <c r="B102" s="4">
        <v>1</v>
      </c>
      <c r="C102" s="2" t="s">
        <v>100</v>
      </c>
      <c r="D102" s="183">
        <v>14300.71</v>
      </c>
      <c r="E102" s="183">
        <v>2917.41</v>
      </c>
      <c r="F102" s="183">
        <v>60608.389999999992</v>
      </c>
      <c r="G102" s="183">
        <v>0</v>
      </c>
      <c r="H102" s="3">
        <f t="shared" si="8"/>
        <v>77826.509999999995</v>
      </c>
      <c r="J102" s="209">
        <v>0</v>
      </c>
      <c r="K102" s="209">
        <v>0</v>
      </c>
      <c r="L102" s="209">
        <v>0</v>
      </c>
      <c r="M102" s="209">
        <v>0</v>
      </c>
      <c r="N102" s="209">
        <f t="shared" si="6"/>
        <v>0</v>
      </c>
      <c r="P102" s="4"/>
      <c r="Q102" s="4"/>
      <c r="Y102" s="2">
        <f t="shared" si="7"/>
        <v>0</v>
      </c>
      <c r="Z102" s="4">
        <v>299</v>
      </c>
      <c r="AA102" s="4">
        <v>1</v>
      </c>
      <c r="AB102" s="2" t="s">
        <v>100</v>
      </c>
      <c r="AC102" s="209">
        <v>0</v>
      </c>
      <c r="AD102" s="209">
        <v>77826.509999999995</v>
      </c>
      <c r="AE102" s="209">
        <v>14300.71</v>
      </c>
      <c r="AF102" s="209">
        <v>2917.41</v>
      </c>
      <c r="AG102" s="209">
        <v>60608.389999999992</v>
      </c>
      <c r="AH102" s="209">
        <v>0</v>
      </c>
    </row>
    <row r="103" spans="1:34" x14ac:dyDescent="0.2">
      <c r="A103" s="4">
        <v>300</v>
      </c>
      <c r="B103" s="4">
        <v>1</v>
      </c>
      <c r="C103" s="2" t="s">
        <v>101</v>
      </c>
      <c r="D103" s="183">
        <v>13940.239999999998</v>
      </c>
      <c r="E103" s="183">
        <v>4858.6799999999994</v>
      </c>
      <c r="F103" s="183">
        <v>22459.72</v>
      </c>
      <c r="G103" s="183">
        <v>5291.13</v>
      </c>
      <c r="H103" s="3">
        <f t="shared" si="8"/>
        <v>46549.77</v>
      </c>
      <c r="J103" s="209">
        <v>0</v>
      </c>
      <c r="K103" s="209">
        <v>0</v>
      </c>
      <c r="L103" s="209">
        <v>0</v>
      </c>
      <c r="M103" s="209">
        <v>0</v>
      </c>
      <c r="N103" s="209">
        <f t="shared" si="6"/>
        <v>0</v>
      </c>
      <c r="P103" s="4"/>
      <c r="Q103" s="4"/>
      <c r="Y103" s="2">
        <f t="shared" si="7"/>
        <v>0</v>
      </c>
      <c r="Z103" s="4">
        <v>300</v>
      </c>
      <c r="AA103" s="4">
        <v>1</v>
      </c>
      <c r="AB103" s="2" t="s">
        <v>101</v>
      </c>
      <c r="AC103" s="209">
        <v>0</v>
      </c>
      <c r="AD103" s="209">
        <v>46549.770000000004</v>
      </c>
      <c r="AE103" s="209">
        <v>13940.239999999998</v>
      </c>
      <c r="AF103" s="209">
        <v>4858.6799999999994</v>
      </c>
      <c r="AG103" s="209">
        <v>22459.72</v>
      </c>
      <c r="AH103" s="209">
        <v>5291.13</v>
      </c>
    </row>
    <row r="104" spans="1:34" x14ac:dyDescent="0.2">
      <c r="A104" s="4">
        <v>306</v>
      </c>
      <c r="B104" s="4">
        <v>1</v>
      </c>
      <c r="C104" s="2" t="s">
        <v>102</v>
      </c>
      <c r="D104" s="183">
        <v>971.48000000000013</v>
      </c>
      <c r="E104" s="183">
        <v>179.10000000000002</v>
      </c>
      <c r="F104" s="183">
        <v>5857.96</v>
      </c>
      <c r="G104" s="183">
        <v>0</v>
      </c>
      <c r="H104" s="3">
        <f t="shared" si="8"/>
        <v>7008.54</v>
      </c>
      <c r="J104" s="209">
        <v>0</v>
      </c>
      <c r="K104" s="209">
        <v>0</v>
      </c>
      <c r="L104" s="209">
        <v>0</v>
      </c>
      <c r="M104" s="209">
        <v>0</v>
      </c>
      <c r="N104" s="209">
        <f t="shared" si="6"/>
        <v>0</v>
      </c>
      <c r="P104" s="4"/>
      <c r="Q104" s="4"/>
      <c r="Y104" s="2">
        <f t="shared" si="7"/>
        <v>0</v>
      </c>
      <c r="Z104" s="4">
        <v>306</v>
      </c>
      <c r="AA104" s="4">
        <v>1</v>
      </c>
      <c r="AB104" s="2" t="s">
        <v>102</v>
      </c>
      <c r="AC104" s="209">
        <v>0</v>
      </c>
      <c r="AD104" s="209">
        <v>7008.5399999999991</v>
      </c>
      <c r="AE104" s="209">
        <v>971.48000000000013</v>
      </c>
      <c r="AF104" s="209">
        <v>179.10000000000002</v>
      </c>
      <c r="AG104" s="209">
        <v>5857.96</v>
      </c>
      <c r="AH104" s="209">
        <v>0</v>
      </c>
    </row>
    <row r="105" spans="1:34" x14ac:dyDescent="0.2">
      <c r="A105" s="4">
        <v>308</v>
      </c>
      <c r="B105" s="4">
        <v>1</v>
      </c>
      <c r="C105" s="2" t="s">
        <v>103</v>
      </c>
      <c r="D105" s="183">
        <v>1095.78</v>
      </c>
      <c r="E105" s="183">
        <v>132.49999999999997</v>
      </c>
      <c r="F105" s="183">
        <v>1516.22</v>
      </c>
      <c r="G105" s="183">
        <v>0</v>
      </c>
      <c r="H105" s="3">
        <f t="shared" si="8"/>
        <v>2744.5</v>
      </c>
      <c r="J105" s="209">
        <v>0</v>
      </c>
      <c r="K105" s="209">
        <v>0</v>
      </c>
      <c r="L105" s="209">
        <v>0</v>
      </c>
      <c r="M105" s="209">
        <v>0</v>
      </c>
      <c r="N105" s="209">
        <f t="shared" si="6"/>
        <v>0</v>
      </c>
      <c r="P105" s="4"/>
      <c r="Q105" s="4"/>
      <c r="Y105" s="2">
        <f t="shared" si="7"/>
        <v>0</v>
      </c>
      <c r="Z105" s="4">
        <v>308</v>
      </c>
      <c r="AA105" s="4">
        <v>1</v>
      </c>
      <c r="AB105" s="2" t="s">
        <v>103</v>
      </c>
      <c r="AC105" s="209">
        <v>0</v>
      </c>
      <c r="AD105" s="209">
        <v>2744.5</v>
      </c>
      <c r="AE105" s="209">
        <v>1095.78</v>
      </c>
      <c r="AF105" s="209">
        <v>132.49999999999997</v>
      </c>
      <c r="AG105" s="209">
        <v>1516.22</v>
      </c>
      <c r="AH105" s="209">
        <v>0</v>
      </c>
    </row>
    <row r="106" spans="1:34" x14ac:dyDescent="0.2">
      <c r="A106" s="4">
        <v>309</v>
      </c>
      <c r="B106" s="4">
        <v>1</v>
      </c>
      <c r="C106" s="2" t="s">
        <v>104</v>
      </c>
      <c r="D106" s="183">
        <v>3012.55</v>
      </c>
      <c r="E106" s="183">
        <v>1161.6500000000001</v>
      </c>
      <c r="F106" s="183">
        <v>18077.690000000002</v>
      </c>
      <c r="G106" s="183">
        <v>0</v>
      </c>
      <c r="H106" s="3">
        <f t="shared" si="8"/>
        <v>22251.890000000003</v>
      </c>
      <c r="J106" s="209">
        <v>0</v>
      </c>
      <c r="K106" s="209">
        <v>0</v>
      </c>
      <c r="L106" s="209">
        <v>0</v>
      </c>
      <c r="M106" s="209">
        <v>0</v>
      </c>
      <c r="N106" s="209">
        <f t="shared" si="6"/>
        <v>0</v>
      </c>
      <c r="P106" s="4"/>
      <c r="Q106" s="4"/>
      <c r="Y106" s="2">
        <f t="shared" si="7"/>
        <v>0</v>
      </c>
      <c r="Z106" s="4">
        <v>309</v>
      </c>
      <c r="AA106" s="4">
        <v>1</v>
      </c>
      <c r="AB106" s="2" t="s">
        <v>104</v>
      </c>
      <c r="AC106" s="209">
        <v>0</v>
      </c>
      <c r="AD106" s="209">
        <v>22251.89</v>
      </c>
      <c r="AE106" s="209">
        <v>3012.55</v>
      </c>
      <c r="AF106" s="209">
        <v>1161.6500000000001</v>
      </c>
      <c r="AG106" s="209">
        <v>18077.690000000002</v>
      </c>
      <c r="AH106" s="209">
        <v>0</v>
      </c>
    </row>
    <row r="107" spans="1:34" x14ac:dyDescent="0.2">
      <c r="A107" s="4">
        <v>314</v>
      </c>
      <c r="B107" s="4">
        <v>1</v>
      </c>
      <c r="C107" s="2" t="s">
        <v>105</v>
      </c>
      <c r="D107" s="183">
        <v>6292.7</v>
      </c>
      <c r="E107" s="183">
        <v>1156.5000000000002</v>
      </c>
      <c r="F107" s="183">
        <v>22344.5</v>
      </c>
      <c r="G107" s="183">
        <v>4283.880000000001</v>
      </c>
      <c r="H107" s="3">
        <f t="shared" si="8"/>
        <v>34077.58</v>
      </c>
      <c r="J107" s="209">
        <v>0</v>
      </c>
      <c r="K107" s="209">
        <v>0</v>
      </c>
      <c r="L107" s="209">
        <v>0</v>
      </c>
      <c r="M107" s="209">
        <v>0</v>
      </c>
      <c r="N107" s="209">
        <f t="shared" si="6"/>
        <v>0</v>
      </c>
      <c r="P107" s="4"/>
      <c r="Q107" s="4"/>
      <c r="Y107" s="2">
        <f t="shared" si="7"/>
        <v>0</v>
      </c>
      <c r="Z107" s="4">
        <v>314</v>
      </c>
      <c r="AA107" s="4">
        <v>1</v>
      </c>
      <c r="AB107" s="2" t="s">
        <v>105</v>
      </c>
      <c r="AC107" s="209">
        <v>0</v>
      </c>
      <c r="AD107" s="209">
        <v>34077.58</v>
      </c>
      <c r="AE107" s="209">
        <v>6292.7</v>
      </c>
      <c r="AF107" s="209">
        <v>1156.5000000000002</v>
      </c>
      <c r="AG107" s="209">
        <v>22344.5</v>
      </c>
      <c r="AH107" s="209">
        <v>4283.880000000001</v>
      </c>
    </row>
    <row r="108" spans="1:34" x14ac:dyDescent="0.2">
      <c r="A108" s="4">
        <v>316</v>
      </c>
      <c r="B108" s="4">
        <v>1</v>
      </c>
      <c r="C108" s="2" t="s">
        <v>106</v>
      </c>
      <c r="D108" s="183">
        <v>2094.8399999999997</v>
      </c>
      <c r="E108" s="183">
        <v>0</v>
      </c>
      <c r="F108" s="183">
        <v>15292.89</v>
      </c>
      <c r="G108" s="183">
        <v>35241.65</v>
      </c>
      <c r="H108" s="3">
        <f t="shared" si="8"/>
        <v>52629.380000000005</v>
      </c>
      <c r="J108" s="209">
        <v>9137.74</v>
      </c>
      <c r="K108" s="209">
        <v>0</v>
      </c>
      <c r="L108" s="209">
        <v>66171.740000000005</v>
      </c>
      <c r="M108" s="209">
        <v>152489.88</v>
      </c>
      <c r="N108" s="209">
        <f t="shared" si="6"/>
        <v>227799.36000000002</v>
      </c>
      <c r="P108" s="4"/>
      <c r="Q108" s="4"/>
      <c r="Y108" s="2">
        <f t="shared" si="7"/>
        <v>0</v>
      </c>
      <c r="Z108" s="4">
        <v>316</v>
      </c>
      <c r="AA108" s="4">
        <v>1</v>
      </c>
      <c r="AB108" s="2" t="s">
        <v>106</v>
      </c>
      <c r="AC108" s="209">
        <v>0</v>
      </c>
      <c r="AD108" s="209">
        <v>52629.38</v>
      </c>
      <c r="AE108" s="209">
        <v>2094.8399999999997</v>
      </c>
      <c r="AF108" s="209">
        <v>0</v>
      </c>
      <c r="AG108" s="209">
        <v>15292.89</v>
      </c>
      <c r="AH108" s="209">
        <v>35241.65</v>
      </c>
    </row>
    <row r="109" spans="1:34" x14ac:dyDescent="0.2">
      <c r="A109" s="4">
        <v>317</v>
      </c>
      <c r="B109" s="4">
        <v>1</v>
      </c>
      <c r="C109" s="2" t="s">
        <v>107</v>
      </c>
      <c r="D109" s="183">
        <v>0</v>
      </c>
      <c r="E109" s="183">
        <v>0</v>
      </c>
      <c r="F109" s="183">
        <v>9907.07</v>
      </c>
      <c r="G109" s="183">
        <v>1959.2900000000002</v>
      </c>
      <c r="H109" s="3">
        <f t="shared" si="8"/>
        <v>11866.36</v>
      </c>
      <c r="J109" s="209">
        <v>28.37</v>
      </c>
      <c r="K109" s="209">
        <v>0</v>
      </c>
      <c r="L109" s="209">
        <v>51761.85</v>
      </c>
      <c r="M109" s="209">
        <v>10236.959999999999</v>
      </c>
      <c r="N109" s="209">
        <f t="shared" si="6"/>
        <v>62027.18</v>
      </c>
      <c r="P109" s="4"/>
      <c r="Q109" s="4"/>
      <c r="Y109" s="2">
        <f t="shared" si="7"/>
        <v>0</v>
      </c>
      <c r="Z109" s="4">
        <v>317</v>
      </c>
      <c r="AA109" s="4">
        <v>1</v>
      </c>
      <c r="AB109" s="2" t="s">
        <v>107</v>
      </c>
      <c r="AC109" s="209">
        <v>0</v>
      </c>
      <c r="AD109" s="209">
        <v>11866.36</v>
      </c>
      <c r="AE109" s="209">
        <v>0</v>
      </c>
      <c r="AF109" s="209">
        <v>0</v>
      </c>
      <c r="AG109" s="209">
        <v>9907.07</v>
      </c>
      <c r="AH109" s="209">
        <v>1959.2900000000002</v>
      </c>
    </row>
    <row r="110" spans="1:34" x14ac:dyDescent="0.2">
      <c r="A110" s="4">
        <v>318</v>
      </c>
      <c r="B110" s="4">
        <v>1</v>
      </c>
      <c r="C110" s="2" t="s">
        <v>108</v>
      </c>
      <c r="D110" s="183">
        <v>19754.43</v>
      </c>
      <c r="E110" s="183">
        <v>0</v>
      </c>
      <c r="F110" s="183">
        <v>21915.27</v>
      </c>
      <c r="G110" s="183">
        <v>19361.28</v>
      </c>
      <c r="H110" s="3">
        <f t="shared" si="8"/>
        <v>61030.979999999996</v>
      </c>
      <c r="J110" s="209">
        <v>150372.81</v>
      </c>
      <c r="K110" s="209">
        <v>0</v>
      </c>
      <c r="L110" s="209">
        <v>166120.73000000001</v>
      </c>
      <c r="M110" s="209">
        <v>146759.23000000001</v>
      </c>
      <c r="N110" s="209">
        <f t="shared" si="6"/>
        <v>463252.77</v>
      </c>
      <c r="P110" s="4"/>
      <c r="Q110" s="4"/>
      <c r="Y110" s="2">
        <f t="shared" si="7"/>
        <v>0</v>
      </c>
      <c r="Z110" s="4">
        <v>318</v>
      </c>
      <c r="AA110" s="4">
        <v>1</v>
      </c>
      <c r="AB110" s="2" t="s">
        <v>108</v>
      </c>
      <c r="AC110" s="209">
        <v>0</v>
      </c>
      <c r="AD110" s="209">
        <v>61030.979999999996</v>
      </c>
      <c r="AE110" s="209">
        <v>19754.43</v>
      </c>
      <c r="AF110" s="209">
        <v>0</v>
      </c>
      <c r="AG110" s="209">
        <v>21915.27</v>
      </c>
      <c r="AH110" s="209">
        <v>19361.28</v>
      </c>
    </row>
    <row r="111" spans="1:34" x14ac:dyDescent="0.2">
      <c r="A111" s="4">
        <v>319</v>
      </c>
      <c r="B111" s="4">
        <v>1</v>
      </c>
      <c r="C111" s="2" t="s">
        <v>1177</v>
      </c>
      <c r="D111" s="183">
        <v>9470.6099999999988</v>
      </c>
      <c r="E111" s="183">
        <v>0</v>
      </c>
      <c r="F111" s="183">
        <v>0</v>
      </c>
      <c r="G111" s="183">
        <v>27292.09</v>
      </c>
      <c r="H111" s="3">
        <f t="shared" si="8"/>
        <v>36762.699999999997</v>
      </c>
      <c r="J111" s="209">
        <v>9575.15</v>
      </c>
      <c r="K111" s="209">
        <v>0</v>
      </c>
      <c r="L111" s="209">
        <v>0</v>
      </c>
      <c r="M111" s="209">
        <v>26977.01</v>
      </c>
      <c r="N111" s="209">
        <f t="shared" si="6"/>
        <v>36552.159999999996</v>
      </c>
      <c r="P111" s="4"/>
      <c r="Q111" s="4"/>
      <c r="Y111" s="2">
        <f t="shared" si="7"/>
        <v>0</v>
      </c>
      <c r="Z111" s="4">
        <v>319</v>
      </c>
      <c r="AA111" s="4">
        <v>1</v>
      </c>
      <c r="AB111" s="2" t="s">
        <v>1177</v>
      </c>
      <c r="AC111" s="209">
        <v>0</v>
      </c>
      <c r="AD111" s="209">
        <v>36762.699999999997</v>
      </c>
      <c r="AE111" s="209">
        <v>9470.6099999999988</v>
      </c>
      <c r="AF111" s="209">
        <v>0</v>
      </c>
      <c r="AG111" s="209">
        <v>0</v>
      </c>
      <c r="AH111" s="209">
        <v>27292.09</v>
      </c>
    </row>
    <row r="112" spans="1:34" x14ac:dyDescent="0.2">
      <c r="A112" s="4">
        <v>323</v>
      </c>
      <c r="B112" s="4">
        <v>2</v>
      </c>
      <c r="C112" s="2" t="s">
        <v>110</v>
      </c>
      <c r="D112" s="183">
        <v>60.88</v>
      </c>
      <c r="E112" s="183">
        <v>0</v>
      </c>
      <c r="F112" s="183">
        <v>0</v>
      </c>
      <c r="G112" s="183">
        <v>0</v>
      </c>
      <c r="H112" s="3">
        <f t="shared" si="8"/>
        <v>60.88</v>
      </c>
      <c r="J112" s="209">
        <v>0</v>
      </c>
      <c r="K112" s="209">
        <v>0</v>
      </c>
      <c r="L112" s="209">
        <v>0</v>
      </c>
      <c r="M112" s="209">
        <v>0</v>
      </c>
      <c r="N112" s="209">
        <f t="shared" si="6"/>
        <v>0</v>
      </c>
      <c r="P112" s="4"/>
      <c r="Q112" s="4"/>
      <c r="Y112" s="2">
        <f t="shared" si="7"/>
        <v>0</v>
      </c>
      <c r="Z112" s="4">
        <v>323</v>
      </c>
      <c r="AA112" s="4">
        <v>2</v>
      </c>
      <c r="AB112" s="2" t="s">
        <v>110</v>
      </c>
      <c r="AC112" s="209">
        <v>0</v>
      </c>
      <c r="AD112" s="209">
        <v>60.88</v>
      </c>
      <c r="AE112" s="209">
        <v>60.88</v>
      </c>
      <c r="AF112" s="209">
        <v>0</v>
      </c>
      <c r="AG112" s="209">
        <v>0</v>
      </c>
      <c r="AH112" s="209">
        <v>0</v>
      </c>
    </row>
    <row r="113" spans="1:34" x14ac:dyDescent="0.2">
      <c r="A113" s="4">
        <v>330</v>
      </c>
      <c r="B113" s="4">
        <v>1</v>
      </c>
      <c r="C113" s="2" t="s">
        <v>1178</v>
      </c>
      <c r="D113" s="183">
        <v>8071.42</v>
      </c>
      <c r="E113" s="183">
        <v>985.19</v>
      </c>
      <c r="F113" s="183">
        <v>8511.11</v>
      </c>
      <c r="G113" s="183">
        <v>0</v>
      </c>
      <c r="H113" s="3">
        <f t="shared" si="8"/>
        <v>17567.72</v>
      </c>
      <c r="J113" s="209">
        <v>0</v>
      </c>
      <c r="K113" s="209">
        <v>0</v>
      </c>
      <c r="L113" s="209">
        <v>0</v>
      </c>
      <c r="M113" s="209">
        <v>0</v>
      </c>
      <c r="N113" s="209">
        <f t="shared" si="6"/>
        <v>0</v>
      </c>
      <c r="P113" s="4"/>
      <c r="Q113" s="4"/>
      <c r="Y113" s="2">
        <f t="shared" si="7"/>
        <v>0</v>
      </c>
      <c r="Z113" s="4">
        <v>330</v>
      </c>
      <c r="AA113" s="4">
        <v>1</v>
      </c>
      <c r="AB113" s="2" t="s">
        <v>1178</v>
      </c>
      <c r="AC113" s="209">
        <v>0</v>
      </c>
      <c r="AD113" s="209">
        <v>17567.72</v>
      </c>
      <c r="AE113" s="209">
        <v>8071.42</v>
      </c>
      <c r="AF113" s="209">
        <v>985.19</v>
      </c>
      <c r="AG113" s="209">
        <v>8511.11</v>
      </c>
      <c r="AH113" s="209">
        <v>0</v>
      </c>
    </row>
    <row r="114" spans="1:34" x14ac:dyDescent="0.2">
      <c r="A114" s="4">
        <v>332</v>
      </c>
      <c r="B114" s="4">
        <v>1</v>
      </c>
      <c r="C114" s="2" t="s">
        <v>112</v>
      </c>
      <c r="D114" s="183">
        <v>7528.1600000000008</v>
      </c>
      <c r="E114" s="183">
        <v>1401.3000000000002</v>
      </c>
      <c r="F114" s="183">
        <v>11265.650000000001</v>
      </c>
      <c r="G114" s="183">
        <v>0</v>
      </c>
      <c r="H114" s="3">
        <f t="shared" si="8"/>
        <v>20195.11</v>
      </c>
      <c r="J114" s="209">
        <v>0</v>
      </c>
      <c r="K114" s="209">
        <v>0</v>
      </c>
      <c r="L114" s="209">
        <v>0</v>
      </c>
      <c r="M114" s="209">
        <v>0</v>
      </c>
      <c r="N114" s="209">
        <f t="shared" si="6"/>
        <v>0</v>
      </c>
      <c r="P114" s="4"/>
      <c r="Q114" s="4"/>
      <c r="Y114" s="2">
        <f t="shared" si="7"/>
        <v>0</v>
      </c>
      <c r="Z114" s="4">
        <v>332</v>
      </c>
      <c r="AA114" s="4">
        <v>1</v>
      </c>
      <c r="AB114" s="2" t="s">
        <v>112</v>
      </c>
      <c r="AC114" s="209">
        <v>0</v>
      </c>
      <c r="AD114" s="209">
        <v>20195.109999999993</v>
      </c>
      <c r="AE114" s="209">
        <v>7528.1600000000008</v>
      </c>
      <c r="AF114" s="209">
        <v>1401.3000000000002</v>
      </c>
      <c r="AG114" s="209">
        <v>11265.650000000001</v>
      </c>
      <c r="AH114" s="209">
        <v>0</v>
      </c>
    </row>
    <row r="115" spans="1:34" x14ac:dyDescent="0.2">
      <c r="A115" s="4">
        <v>333</v>
      </c>
      <c r="B115" s="4">
        <v>1</v>
      </c>
      <c r="C115" s="2" t="s">
        <v>113</v>
      </c>
      <c r="D115" s="183">
        <v>5806.59</v>
      </c>
      <c r="E115" s="183">
        <v>830.15</v>
      </c>
      <c r="F115" s="183">
        <v>15467.31</v>
      </c>
      <c r="G115" s="183">
        <v>4061.3300000000004</v>
      </c>
      <c r="H115" s="3">
        <f t="shared" si="8"/>
        <v>26165.38</v>
      </c>
      <c r="J115" s="209">
        <v>0</v>
      </c>
      <c r="K115" s="209">
        <v>0</v>
      </c>
      <c r="L115" s="209">
        <v>0</v>
      </c>
      <c r="M115" s="209">
        <v>0</v>
      </c>
      <c r="N115" s="209">
        <f t="shared" si="6"/>
        <v>0</v>
      </c>
      <c r="P115" s="4"/>
      <c r="Q115" s="4"/>
      <c r="Y115" s="2">
        <f t="shared" si="7"/>
        <v>0</v>
      </c>
      <c r="Z115" s="4">
        <v>333</v>
      </c>
      <c r="AA115" s="4">
        <v>1</v>
      </c>
      <c r="AB115" s="2" t="s">
        <v>113</v>
      </c>
      <c r="AC115" s="209">
        <v>0</v>
      </c>
      <c r="AD115" s="209">
        <v>26165.38</v>
      </c>
      <c r="AE115" s="209">
        <v>5806.59</v>
      </c>
      <c r="AF115" s="209">
        <v>830.15</v>
      </c>
      <c r="AG115" s="209">
        <v>15467.31</v>
      </c>
      <c r="AH115" s="209">
        <v>4061.3300000000004</v>
      </c>
    </row>
    <row r="116" spans="1:34" x14ac:dyDescent="0.2">
      <c r="A116" s="4">
        <v>345</v>
      </c>
      <c r="B116" s="4">
        <v>1</v>
      </c>
      <c r="C116" s="2" t="s">
        <v>1179</v>
      </c>
      <c r="D116" s="183">
        <v>7267.6900000000005</v>
      </c>
      <c r="E116" s="183">
        <v>1222.3700000000001</v>
      </c>
      <c r="F116" s="183">
        <v>14468.79</v>
      </c>
      <c r="G116" s="183">
        <v>2057</v>
      </c>
      <c r="H116" s="3">
        <f t="shared" si="8"/>
        <v>25015.850000000002</v>
      </c>
      <c r="J116" s="209">
        <v>0</v>
      </c>
      <c r="K116" s="209">
        <v>0</v>
      </c>
      <c r="L116" s="209">
        <v>0</v>
      </c>
      <c r="M116" s="209">
        <v>0</v>
      </c>
      <c r="N116" s="209">
        <f t="shared" si="6"/>
        <v>0</v>
      </c>
      <c r="P116" s="4"/>
      <c r="Q116" s="4"/>
      <c r="Y116" s="2">
        <f t="shared" si="7"/>
        <v>0</v>
      </c>
      <c r="Z116" s="4">
        <v>345</v>
      </c>
      <c r="AA116" s="4">
        <v>1</v>
      </c>
      <c r="AB116" s="2" t="s">
        <v>1179</v>
      </c>
      <c r="AC116" s="209">
        <v>0</v>
      </c>
      <c r="AD116" s="209">
        <v>25015.850000000002</v>
      </c>
      <c r="AE116" s="209">
        <v>7267.6900000000005</v>
      </c>
      <c r="AF116" s="209">
        <v>1222.3700000000001</v>
      </c>
      <c r="AG116" s="209">
        <v>14468.79</v>
      </c>
      <c r="AH116" s="209">
        <v>2057</v>
      </c>
    </row>
    <row r="117" spans="1:34" x14ac:dyDescent="0.2">
      <c r="A117" s="4">
        <v>347</v>
      </c>
      <c r="B117" s="4">
        <v>1</v>
      </c>
      <c r="C117" s="2" t="s">
        <v>115</v>
      </c>
      <c r="D117" s="183">
        <v>7513.63</v>
      </c>
      <c r="E117" s="183">
        <v>1917.63</v>
      </c>
      <c r="F117" s="183">
        <v>4509.4900000000007</v>
      </c>
      <c r="G117" s="183">
        <v>0</v>
      </c>
      <c r="H117" s="3">
        <f t="shared" si="8"/>
        <v>13940.75</v>
      </c>
      <c r="J117" s="209">
        <v>0</v>
      </c>
      <c r="K117" s="209">
        <v>0</v>
      </c>
      <c r="L117" s="209">
        <v>0</v>
      </c>
      <c r="M117" s="209">
        <v>0</v>
      </c>
      <c r="N117" s="209">
        <f t="shared" si="6"/>
        <v>0</v>
      </c>
      <c r="P117" s="4"/>
      <c r="Q117" s="4"/>
      <c r="Y117" s="2">
        <f t="shared" si="7"/>
        <v>0</v>
      </c>
      <c r="Z117" s="4">
        <v>347</v>
      </c>
      <c r="AA117" s="4">
        <v>1</v>
      </c>
      <c r="AB117" s="2" t="s">
        <v>115</v>
      </c>
      <c r="AC117" s="209">
        <v>0</v>
      </c>
      <c r="AD117" s="209">
        <v>13940.749999999998</v>
      </c>
      <c r="AE117" s="209">
        <v>7513.63</v>
      </c>
      <c r="AF117" s="209">
        <v>1917.63</v>
      </c>
      <c r="AG117" s="209">
        <v>4509.4900000000007</v>
      </c>
      <c r="AH117" s="209">
        <v>0</v>
      </c>
    </row>
    <row r="118" spans="1:34" x14ac:dyDescent="0.2">
      <c r="A118" s="4">
        <v>356</v>
      </c>
      <c r="B118" s="4">
        <v>1</v>
      </c>
      <c r="C118" s="2" t="s">
        <v>116</v>
      </c>
      <c r="D118" s="183">
        <v>4958.32</v>
      </c>
      <c r="E118" s="183">
        <v>546.29</v>
      </c>
      <c r="F118" s="183">
        <v>0</v>
      </c>
      <c r="G118" s="183">
        <v>0</v>
      </c>
      <c r="H118" s="3">
        <f t="shared" si="8"/>
        <v>5504.61</v>
      </c>
      <c r="J118" s="209">
        <v>0</v>
      </c>
      <c r="K118" s="209">
        <v>0</v>
      </c>
      <c r="L118" s="209">
        <v>0</v>
      </c>
      <c r="M118" s="209">
        <v>0</v>
      </c>
      <c r="N118" s="209">
        <f t="shared" si="6"/>
        <v>0</v>
      </c>
      <c r="P118" s="4"/>
      <c r="Q118" s="4"/>
      <c r="Y118" s="2">
        <f t="shared" si="7"/>
        <v>0</v>
      </c>
      <c r="Z118" s="4">
        <v>356</v>
      </c>
      <c r="AA118" s="4">
        <v>1</v>
      </c>
      <c r="AB118" s="2" t="s">
        <v>116</v>
      </c>
      <c r="AC118" s="209">
        <v>0</v>
      </c>
      <c r="AD118" s="209">
        <v>5504.61</v>
      </c>
      <c r="AE118" s="209">
        <v>4958.32</v>
      </c>
      <c r="AF118" s="209">
        <v>546.29</v>
      </c>
      <c r="AG118" s="209">
        <v>0</v>
      </c>
      <c r="AH118" s="209">
        <v>0</v>
      </c>
    </row>
    <row r="119" spans="1:34" x14ac:dyDescent="0.2">
      <c r="A119" s="4">
        <v>361</v>
      </c>
      <c r="B119" s="4">
        <v>1</v>
      </c>
      <c r="C119" s="2" t="s">
        <v>1180</v>
      </c>
      <c r="D119" s="183">
        <v>134024.01</v>
      </c>
      <c r="E119" s="183">
        <v>12863.43</v>
      </c>
      <c r="F119" s="183">
        <v>16975.82</v>
      </c>
      <c r="G119" s="183">
        <v>0</v>
      </c>
      <c r="H119" s="3">
        <f t="shared" si="8"/>
        <v>163863.26</v>
      </c>
      <c r="J119" s="209">
        <v>0</v>
      </c>
      <c r="K119" s="209">
        <v>0</v>
      </c>
      <c r="L119" s="209">
        <v>0</v>
      </c>
      <c r="M119" s="209">
        <v>0</v>
      </c>
      <c r="N119" s="209">
        <f t="shared" si="6"/>
        <v>0</v>
      </c>
      <c r="P119" s="4"/>
      <c r="Q119" s="4"/>
      <c r="Y119" s="2">
        <f t="shared" si="7"/>
        <v>0</v>
      </c>
      <c r="Z119" s="4">
        <v>361</v>
      </c>
      <c r="AA119" s="4">
        <v>1</v>
      </c>
      <c r="AB119" s="2" t="s">
        <v>1180</v>
      </c>
      <c r="AC119" s="209">
        <v>0</v>
      </c>
      <c r="AD119" s="209">
        <v>163863.26</v>
      </c>
      <c r="AE119" s="209">
        <v>134024.01</v>
      </c>
      <c r="AF119" s="209">
        <v>12863.43</v>
      </c>
      <c r="AG119" s="209">
        <v>16975.82</v>
      </c>
      <c r="AH119" s="209">
        <v>0</v>
      </c>
    </row>
    <row r="120" spans="1:34" x14ac:dyDescent="0.2">
      <c r="A120" s="4">
        <v>362</v>
      </c>
      <c r="B120" s="4">
        <v>1</v>
      </c>
      <c r="C120" s="2" t="s">
        <v>1181</v>
      </c>
      <c r="D120" s="183">
        <v>5393.05</v>
      </c>
      <c r="E120" s="183">
        <v>665.35000000000014</v>
      </c>
      <c r="F120" s="183">
        <v>14515.970000000001</v>
      </c>
      <c r="G120" s="183">
        <v>0</v>
      </c>
      <c r="H120" s="3">
        <f t="shared" si="8"/>
        <v>20574.370000000003</v>
      </c>
      <c r="J120" s="209">
        <v>0</v>
      </c>
      <c r="K120" s="209">
        <v>0</v>
      </c>
      <c r="L120" s="209">
        <v>0</v>
      </c>
      <c r="M120" s="209">
        <v>0</v>
      </c>
      <c r="N120" s="209">
        <f t="shared" si="6"/>
        <v>0</v>
      </c>
      <c r="P120" s="4"/>
      <c r="Q120" s="4"/>
      <c r="Y120" s="2">
        <f t="shared" si="7"/>
        <v>0</v>
      </c>
      <c r="Z120" s="4">
        <v>362</v>
      </c>
      <c r="AA120" s="4">
        <v>1</v>
      </c>
      <c r="AB120" s="2" t="s">
        <v>1181</v>
      </c>
      <c r="AC120" s="209">
        <v>0</v>
      </c>
      <c r="AD120" s="209">
        <v>20574.37</v>
      </c>
      <c r="AE120" s="209">
        <v>5393.05</v>
      </c>
      <c r="AF120" s="209">
        <v>665.35000000000014</v>
      </c>
      <c r="AG120" s="209">
        <v>14515.970000000001</v>
      </c>
      <c r="AH120" s="209">
        <v>0</v>
      </c>
    </row>
    <row r="121" spans="1:34" x14ac:dyDescent="0.2">
      <c r="A121" s="4">
        <v>363</v>
      </c>
      <c r="B121" s="4">
        <v>1</v>
      </c>
      <c r="C121" s="2" t="s">
        <v>1182</v>
      </c>
      <c r="D121" s="183">
        <v>6564.6799999999994</v>
      </c>
      <c r="E121" s="183">
        <v>354.48000000000008</v>
      </c>
      <c r="F121" s="183">
        <v>10152.030000000001</v>
      </c>
      <c r="G121" s="183">
        <v>0</v>
      </c>
      <c r="H121" s="3">
        <f t="shared" si="8"/>
        <v>17071.190000000002</v>
      </c>
      <c r="J121" s="209">
        <v>0</v>
      </c>
      <c r="K121" s="209">
        <v>0</v>
      </c>
      <c r="L121" s="209">
        <v>0</v>
      </c>
      <c r="M121" s="209">
        <v>0</v>
      </c>
      <c r="N121" s="209">
        <f t="shared" si="6"/>
        <v>0</v>
      </c>
      <c r="P121" s="4"/>
      <c r="Q121" s="4"/>
      <c r="Y121" s="2">
        <f t="shared" si="7"/>
        <v>0</v>
      </c>
      <c r="Z121" s="4">
        <v>363</v>
      </c>
      <c r="AA121" s="4">
        <v>1</v>
      </c>
      <c r="AB121" s="2" t="s">
        <v>1182</v>
      </c>
      <c r="AC121" s="209">
        <v>0</v>
      </c>
      <c r="AD121" s="209">
        <v>17071.190000000002</v>
      </c>
      <c r="AE121" s="209">
        <v>6564.6799999999994</v>
      </c>
      <c r="AF121" s="209">
        <v>354.48000000000008</v>
      </c>
      <c r="AG121" s="209">
        <v>10152.030000000001</v>
      </c>
      <c r="AH121" s="209">
        <v>0</v>
      </c>
    </row>
    <row r="122" spans="1:34" x14ac:dyDescent="0.2">
      <c r="A122" s="4">
        <v>378</v>
      </c>
      <c r="B122" s="4">
        <v>1</v>
      </c>
      <c r="C122" s="2" t="s">
        <v>120</v>
      </c>
      <c r="D122" s="183">
        <v>28857.890000000003</v>
      </c>
      <c r="E122" s="183">
        <v>5972.3499999999985</v>
      </c>
      <c r="F122" s="183">
        <v>25560.420000000002</v>
      </c>
      <c r="G122" s="183">
        <v>0</v>
      </c>
      <c r="H122" s="3">
        <f t="shared" si="8"/>
        <v>60390.66</v>
      </c>
      <c r="J122" s="209">
        <v>0</v>
      </c>
      <c r="K122" s="209">
        <v>0</v>
      </c>
      <c r="L122" s="209">
        <v>0</v>
      </c>
      <c r="M122" s="209">
        <v>0</v>
      </c>
      <c r="N122" s="209">
        <f t="shared" si="6"/>
        <v>0</v>
      </c>
      <c r="P122" s="4"/>
      <c r="Q122" s="4"/>
      <c r="Y122" s="2">
        <f t="shared" si="7"/>
        <v>0</v>
      </c>
      <c r="Z122" s="4">
        <v>378</v>
      </c>
      <c r="AA122" s="4">
        <v>1</v>
      </c>
      <c r="AB122" s="2" t="s">
        <v>120</v>
      </c>
      <c r="AC122" s="209">
        <v>0</v>
      </c>
      <c r="AD122" s="209">
        <v>60390.66</v>
      </c>
      <c r="AE122" s="209">
        <v>28857.890000000003</v>
      </c>
      <c r="AF122" s="209">
        <v>5972.3499999999985</v>
      </c>
      <c r="AG122" s="209">
        <v>25560.420000000002</v>
      </c>
      <c r="AH122" s="209">
        <v>0</v>
      </c>
    </row>
    <row r="123" spans="1:34" x14ac:dyDescent="0.2">
      <c r="A123" s="4">
        <v>381</v>
      </c>
      <c r="B123" s="4">
        <v>1</v>
      </c>
      <c r="C123" s="2" t="s">
        <v>121</v>
      </c>
      <c r="D123" s="183">
        <v>4034.8799999999997</v>
      </c>
      <c r="E123" s="183">
        <v>0</v>
      </c>
      <c r="F123" s="183">
        <v>48484.720000000008</v>
      </c>
      <c r="G123" s="183">
        <v>14287.45</v>
      </c>
      <c r="H123" s="3">
        <f t="shared" si="8"/>
        <v>66807.05</v>
      </c>
      <c r="J123" s="209">
        <v>14503.16</v>
      </c>
      <c r="K123" s="209">
        <v>0</v>
      </c>
      <c r="L123" s="209">
        <v>173932.40999999997</v>
      </c>
      <c r="M123" s="209">
        <v>51252.639999999999</v>
      </c>
      <c r="N123" s="209">
        <f t="shared" si="6"/>
        <v>239688.20999999996</v>
      </c>
      <c r="P123" s="4"/>
      <c r="Q123" s="4"/>
      <c r="Y123" s="2">
        <f t="shared" si="7"/>
        <v>0</v>
      </c>
      <c r="Z123" s="4">
        <v>381</v>
      </c>
      <c r="AA123" s="4">
        <v>1</v>
      </c>
      <c r="AB123" s="2" t="s">
        <v>121</v>
      </c>
      <c r="AC123" s="209">
        <v>0</v>
      </c>
      <c r="AD123" s="209">
        <v>66807.05</v>
      </c>
      <c r="AE123" s="209">
        <v>4034.8799999999997</v>
      </c>
      <c r="AF123" s="209">
        <v>0</v>
      </c>
      <c r="AG123" s="209">
        <v>48484.720000000008</v>
      </c>
      <c r="AH123" s="209">
        <v>14287.45</v>
      </c>
    </row>
    <row r="124" spans="1:34" x14ac:dyDescent="0.2">
      <c r="A124" s="4">
        <v>390</v>
      </c>
      <c r="B124" s="4">
        <v>1</v>
      </c>
      <c r="C124" s="2" t="s">
        <v>1183</v>
      </c>
      <c r="D124" s="183">
        <v>5766.68</v>
      </c>
      <c r="E124" s="183">
        <v>906.68000000000018</v>
      </c>
      <c r="F124" s="183">
        <v>21657.81</v>
      </c>
      <c r="G124" s="183">
        <v>0</v>
      </c>
      <c r="H124" s="3">
        <f t="shared" si="8"/>
        <v>28331.170000000002</v>
      </c>
      <c r="J124" s="209">
        <v>0</v>
      </c>
      <c r="K124" s="209">
        <v>0</v>
      </c>
      <c r="L124" s="209">
        <v>0</v>
      </c>
      <c r="M124" s="209">
        <v>0</v>
      </c>
      <c r="N124" s="209">
        <f t="shared" si="6"/>
        <v>0</v>
      </c>
      <c r="P124" s="4"/>
      <c r="Q124" s="4"/>
      <c r="Y124" s="2">
        <f t="shared" si="7"/>
        <v>0</v>
      </c>
      <c r="Z124" s="4">
        <v>390</v>
      </c>
      <c r="AA124" s="4">
        <v>1</v>
      </c>
      <c r="AB124" s="2" t="s">
        <v>1183</v>
      </c>
      <c r="AC124" s="209">
        <v>0</v>
      </c>
      <c r="AD124" s="209">
        <v>28331.170000000002</v>
      </c>
      <c r="AE124" s="209">
        <v>5766.68</v>
      </c>
      <c r="AF124" s="209">
        <v>906.68000000000018</v>
      </c>
      <c r="AG124" s="209">
        <v>21657.81</v>
      </c>
      <c r="AH124" s="209">
        <v>0</v>
      </c>
    </row>
    <row r="125" spans="1:34" x14ac:dyDescent="0.2">
      <c r="A125" s="4">
        <v>391</v>
      </c>
      <c r="B125" s="4">
        <v>1</v>
      </c>
      <c r="C125" s="2" t="s">
        <v>123</v>
      </c>
      <c r="D125" s="183">
        <v>7862.82</v>
      </c>
      <c r="E125" s="183">
        <v>1571.75</v>
      </c>
      <c r="F125" s="183">
        <v>0</v>
      </c>
      <c r="G125" s="183">
        <v>0</v>
      </c>
      <c r="H125" s="3">
        <f t="shared" si="8"/>
        <v>9434.57</v>
      </c>
      <c r="J125" s="209">
        <v>0</v>
      </c>
      <c r="K125" s="209">
        <v>0</v>
      </c>
      <c r="L125" s="209">
        <v>0</v>
      </c>
      <c r="M125" s="209">
        <v>0</v>
      </c>
      <c r="N125" s="209">
        <f t="shared" si="6"/>
        <v>0</v>
      </c>
      <c r="P125" s="4"/>
      <c r="Q125" s="4"/>
      <c r="Y125" s="2">
        <f t="shared" si="7"/>
        <v>0</v>
      </c>
      <c r="Z125" s="4">
        <v>391</v>
      </c>
      <c r="AA125" s="4">
        <v>1</v>
      </c>
      <c r="AB125" s="2" t="s">
        <v>123</v>
      </c>
      <c r="AC125" s="209">
        <v>0</v>
      </c>
      <c r="AD125" s="209">
        <v>9434.57</v>
      </c>
      <c r="AE125" s="209">
        <v>7862.82</v>
      </c>
      <c r="AF125" s="209">
        <v>1571.75</v>
      </c>
      <c r="AG125" s="209">
        <v>0</v>
      </c>
      <c r="AH125" s="209">
        <v>0</v>
      </c>
    </row>
    <row r="126" spans="1:34" x14ac:dyDescent="0.2">
      <c r="A126" s="4">
        <v>402</v>
      </c>
      <c r="B126" s="4">
        <v>1</v>
      </c>
      <c r="C126" s="2" t="s">
        <v>124</v>
      </c>
      <c r="D126" s="183">
        <v>2657.3</v>
      </c>
      <c r="E126" s="183">
        <v>931.68999999999994</v>
      </c>
      <c r="F126" s="183">
        <v>0</v>
      </c>
      <c r="G126" s="183">
        <v>0</v>
      </c>
      <c r="H126" s="3">
        <f t="shared" si="8"/>
        <v>3588.9900000000002</v>
      </c>
      <c r="J126" s="209">
        <v>0</v>
      </c>
      <c r="K126" s="209">
        <v>0</v>
      </c>
      <c r="L126" s="209">
        <v>0</v>
      </c>
      <c r="M126" s="209">
        <v>0</v>
      </c>
      <c r="N126" s="209">
        <f t="shared" si="6"/>
        <v>0</v>
      </c>
      <c r="P126" s="4"/>
      <c r="Q126" s="4"/>
      <c r="Y126" s="2">
        <f t="shared" si="7"/>
        <v>0</v>
      </c>
      <c r="Z126" s="4">
        <v>402</v>
      </c>
      <c r="AA126" s="4">
        <v>1</v>
      </c>
      <c r="AB126" s="2" t="s">
        <v>124</v>
      </c>
      <c r="AC126" s="209">
        <v>0</v>
      </c>
      <c r="AD126" s="209">
        <v>3588.9900000000002</v>
      </c>
      <c r="AE126" s="209">
        <v>2657.3</v>
      </c>
      <c r="AF126" s="209">
        <v>931.68999999999994</v>
      </c>
      <c r="AG126" s="209">
        <v>0</v>
      </c>
      <c r="AH126" s="209">
        <v>0</v>
      </c>
    </row>
    <row r="127" spans="1:34" x14ac:dyDescent="0.2">
      <c r="A127" s="4">
        <v>403</v>
      </c>
      <c r="B127" s="4">
        <v>1</v>
      </c>
      <c r="C127" s="2" t="s">
        <v>125</v>
      </c>
      <c r="D127" s="183">
        <v>3468.0899999999997</v>
      </c>
      <c r="E127" s="183">
        <v>497.40000000000003</v>
      </c>
      <c r="F127" s="183">
        <v>17888.550000000003</v>
      </c>
      <c r="G127" s="183">
        <v>0</v>
      </c>
      <c r="H127" s="3">
        <f t="shared" si="8"/>
        <v>21854.04</v>
      </c>
      <c r="J127" s="209">
        <v>0</v>
      </c>
      <c r="K127" s="209">
        <v>0</v>
      </c>
      <c r="L127" s="209">
        <v>0</v>
      </c>
      <c r="M127" s="209">
        <v>0</v>
      </c>
      <c r="N127" s="209">
        <f t="shared" si="6"/>
        <v>0</v>
      </c>
      <c r="P127" s="4"/>
      <c r="Q127" s="4"/>
      <c r="Y127" s="2">
        <f t="shared" si="7"/>
        <v>0</v>
      </c>
      <c r="Z127" s="4">
        <v>403</v>
      </c>
      <c r="AA127" s="4">
        <v>1</v>
      </c>
      <c r="AB127" s="2" t="s">
        <v>125</v>
      </c>
      <c r="AC127" s="209">
        <v>0</v>
      </c>
      <c r="AD127" s="209">
        <v>21854.04</v>
      </c>
      <c r="AE127" s="209">
        <v>3468.0899999999997</v>
      </c>
      <c r="AF127" s="209">
        <v>497.40000000000003</v>
      </c>
      <c r="AG127" s="209">
        <v>17888.550000000003</v>
      </c>
      <c r="AH127" s="209">
        <v>0</v>
      </c>
    </row>
    <row r="128" spans="1:34" x14ac:dyDescent="0.2">
      <c r="A128" s="4">
        <v>404</v>
      </c>
      <c r="B128" s="4">
        <v>1</v>
      </c>
      <c r="C128" s="2" t="s">
        <v>126</v>
      </c>
      <c r="D128" s="183">
        <v>3746.05</v>
      </c>
      <c r="E128" s="183">
        <v>646</v>
      </c>
      <c r="F128" s="183">
        <v>12002.420000000002</v>
      </c>
      <c r="G128" s="183">
        <v>0</v>
      </c>
      <c r="H128" s="3">
        <f t="shared" si="8"/>
        <v>16394.47</v>
      </c>
      <c r="J128" s="209">
        <v>0</v>
      </c>
      <c r="K128" s="209">
        <v>0</v>
      </c>
      <c r="L128" s="209">
        <v>0</v>
      </c>
      <c r="M128" s="209">
        <v>0</v>
      </c>
      <c r="N128" s="209">
        <f t="shared" si="6"/>
        <v>0</v>
      </c>
      <c r="P128" s="4"/>
      <c r="Q128" s="4"/>
      <c r="Y128" s="2">
        <f t="shared" si="7"/>
        <v>0</v>
      </c>
      <c r="Z128" s="4">
        <v>404</v>
      </c>
      <c r="AA128" s="4">
        <v>1</v>
      </c>
      <c r="AB128" s="2" t="s">
        <v>126</v>
      </c>
      <c r="AC128" s="209">
        <v>0</v>
      </c>
      <c r="AD128" s="209">
        <v>16394.47</v>
      </c>
      <c r="AE128" s="209">
        <v>3746.05</v>
      </c>
      <c r="AF128" s="209">
        <v>646</v>
      </c>
      <c r="AG128" s="209">
        <v>12002.420000000002</v>
      </c>
      <c r="AH128" s="209">
        <v>0</v>
      </c>
    </row>
    <row r="129" spans="1:34" x14ac:dyDescent="0.2">
      <c r="A129" s="4">
        <v>413</v>
      </c>
      <c r="B129" s="4">
        <v>1</v>
      </c>
      <c r="C129" s="2" t="s">
        <v>127</v>
      </c>
      <c r="D129" s="183">
        <v>7853.35</v>
      </c>
      <c r="E129" s="183">
        <v>1117.6199999999999</v>
      </c>
      <c r="F129" s="183">
        <v>15326.2</v>
      </c>
      <c r="G129" s="183">
        <v>772.29</v>
      </c>
      <c r="H129" s="3">
        <f t="shared" si="8"/>
        <v>25069.460000000003</v>
      </c>
      <c r="J129" s="209">
        <v>0</v>
      </c>
      <c r="K129" s="209">
        <v>0</v>
      </c>
      <c r="L129" s="209">
        <v>0</v>
      </c>
      <c r="M129" s="209">
        <v>0</v>
      </c>
      <c r="N129" s="209">
        <f t="shared" si="6"/>
        <v>0</v>
      </c>
      <c r="P129" s="4"/>
      <c r="Q129" s="4"/>
      <c r="Y129" s="2">
        <f t="shared" si="7"/>
        <v>0</v>
      </c>
      <c r="Z129" s="4">
        <v>413</v>
      </c>
      <c r="AA129" s="4">
        <v>1</v>
      </c>
      <c r="AB129" s="2" t="s">
        <v>127</v>
      </c>
      <c r="AC129" s="209">
        <v>0</v>
      </c>
      <c r="AD129" s="209">
        <v>25069.460000000006</v>
      </c>
      <c r="AE129" s="209">
        <v>7853.35</v>
      </c>
      <c r="AF129" s="209">
        <v>1117.6199999999999</v>
      </c>
      <c r="AG129" s="209">
        <v>15326.2</v>
      </c>
      <c r="AH129" s="209">
        <v>772.29</v>
      </c>
    </row>
    <row r="130" spans="1:34" x14ac:dyDescent="0.2">
      <c r="A130" s="4">
        <v>414</v>
      </c>
      <c r="B130" s="4">
        <v>1</v>
      </c>
      <c r="C130" s="2" t="s">
        <v>128</v>
      </c>
      <c r="D130" s="183">
        <v>7073.85</v>
      </c>
      <c r="E130" s="183">
        <v>880.39999999999986</v>
      </c>
      <c r="F130" s="183">
        <v>11860.160000000002</v>
      </c>
      <c r="G130" s="183">
        <v>0</v>
      </c>
      <c r="H130" s="3">
        <f t="shared" si="8"/>
        <v>19814.410000000003</v>
      </c>
      <c r="J130" s="209">
        <v>0</v>
      </c>
      <c r="K130" s="209">
        <v>0</v>
      </c>
      <c r="L130" s="209">
        <v>0</v>
      </c>
      <c r="M130" s="209">
        <v>0</v>
      </c>
      <c r="N130" s="209">
        <f t="shared" si="6"/>
        <v>0</v>
      </c>
      <c r="P130" s="4"/>
      <c r="Q130" s="4"/>
      <c r="Y130" s="2">
        <f t="shared" si="7"/>
        <v>0</v>
      </c>
      <c r="Z130" s="4">
        <v>414</v>
      </c>
      <c r="AA130" s="4">
        <v>1</v>
      </c>
      <c r="AB130" s="2" t="s">
        <v>128</v>
      </c>
      <c r="AC130" s="209">
        <v>0</v>
      </c>
      <c r="AD130" s="209">
        <v>19814.41</v>
      </c>
      <c r="AE130" s="209">
        <v>7073.85</v>
      </c>
      <c r="AF130" s="209">
        <v>880.39999999999986</v>
      </c>
      <c r="AG130" s="209">
        <v>11860.160000000002</v>
      </c>
      <c r="AH130" s="209">
        <v>0</v>
      </c>
    </row>
    <row r="131" spans="1:34" x14ac:dyDescent="0.2">
      <c r="A131" s="4">
        <v>415</v>
      </c>
      <c r="B131" s="4">
        <v>1</v>
      </c>
      <c r="C131" s="2" t="s">
        <v>129</v>
      </c>
      <c r="D131" s="183">
        <v>3191.6499999999996</v>
      </c>
      <c r="E131" s="183">
        <v>1481.1799999999998</v>
      </c>
      <c r="F131" s="183">
        <v>0</v>
      </c>
      <c r="G131" s="183">
        <v>0</v>
      </c>
      <c r="H131" s="3">
        <f t="shared" si="8"/>
        <v>4672.83</v>
      </c>
      <c r="J131" s="209">
        <v>0</v>
      </c>
      <c r="K131" s="209">
        <v>0</v>
      </c>
      <c r="L131" s="209">
        <v>0</v>
      </c>
      <c r="M131" s="209">
        <v>0</v>
      </c>
      <c r="N131" s="209">
        <f t="shared" si="6"/>
        <v>0</v>
      </c>
      <c r="P131" s="4"/>
      <c r="Q131" s="4"/>
      <c r="Y131" s="2">
        <f t="shared" si="7"/>
        <v>0</v>
      </c>
      <c r="Z131" s="4">
        <v>415</v>
      </c>
      <c r="AA131" s="4">
        <v>1</v>
      </c>
      <c r="AB131" s="2" t="s">
        <v>129</v>
      </c>
      <c r="AC131" s="209">
        <v>0</v>
      </c>
      <c r="AD131" s="209">
        <v>4672.83</v>
      </c>
      <c r="AE131" s="209">
        <v>3191.6499999999996</v>
      </c>
      <c r="AF131" s="209">
        <v>1481.1799999999998</v>
      </c>
      <c r="AG131" s="209">
        <v>0</v>
      </c>
      <c r="AH131" s="209">
        <v>0</v>
      </c>
    </row>
    <row r="132" spans="1:34" x14ac:dyDescent="0.2">
      <c r="A132" s="4">
        <v>423</v>
      </c>
      <c r="B132" s="4">
        <v>1</v>
      </c>
      <c r="C132" s="2" t="s">
        <v>130</v>
      </c>
      <c r="D132" s="183">
        <v>19214.600000000002</v>
      </c>
      <c r="E132" s="183">
        <v>3597.8500000000004</v>
      </c>
      <c r="F132" s="183">
        <v>19784.019999999997</v>
      </c>
      <c r="G132" s="183">
        <v>0</v>
      </c>
      <c r="H132" s="3">
        <f t="shared" si="8"/>
        <v>42596.47</v>
      </c>
      <c r="J132" s="209">
        <v>0</v>
      </c>
      <c r="K132" s="209">
        <v>0</v>
      </c>
      <c r="L132" s="209">
        <v>0</v>
      </c>
      <c r="M132" s="209">
        <v>0</v>
      </c>
      <c r="N132" s="209">
        <f t="shared" si="6"/>
        <v>0</v>
      </c>
      <c r="P132" s="4"/>
      <c r="Q132" s="4"/>
      <c r="Y132" s="2">
        <f t="shared" si="7"/>
        <v>0</v>
      </c>
      <c r="Z132" s="4">
        <v>423</v>
      </c>
      <c r="AA132" s="4">
        <v>1</v>
      </c>
      <c r="AB132" s="2" t="s">
        <v>130</v>
      </c>
      <c r="AC132" s="209">
        <v>0</v>
      </c>
      <c r="AD132" s="209">
        <v>42596.47</v>
      </c>
      <c r="AE132" s="209">
        <v>19214.600000000002</v>
      </c>
      <c r="AF132" s="209">
        <v>3597.8500000000004</v>
      </c>
      <c r="AG132" s="209">
        <v>19784.019999999997</v>
      </c>
      <c r="AH132" s="209">
        <v>0</v>
      </c>
    </row>
    <row r="133" spans="1:34" x14ac:dyDescent="0.2">
      <c r="A133" s="4">
        <v>424</v>
      </c>
      <c r="B133" s="4">
        <v>1</v>
      </c>
      <c r="C133" s="2" t="s">
        <v>131</v>
      </c>
      <c r="D133" s="183">
        <v>2272.14</v>
      </c>
      <c r="E133" s="183">
        <v>581.8900000000001</v>
      </c>
      <c r="F133" s="183">
        <v>8029.42</v>
      </c>
      <c r="G133" s="183">
        <v>0</v>
      </c>
      <c r="H133" s="3">
        <f t="shared" si="8"/>
        <v>10883.45</v>
      </c>
      <c r="J133" s="209">
        <v>0</v>
      </c>
      <c r="K133" s="209">
        <v>0</v>
      </c>
      <c r="L133" s="209">
        <v>0</v>
      </c>
      <c r="M133" s="209">
        <v>0</v>
      </c>
      <c r="N133" s="209">
        <f t="shared" si="6"/>
        <v>0</v>
      </c>
      <c r="P133" s="4"/>
      <c r="Q133" s="4"/>
      <c r="Y133" s="2">
        <f t="shared" si="7"/>
        <v>0</v>
      </c>
      <c r="Z133" s="4">
        <v>424</v>
      </c>
      <c r="AA133" s="4">
        <v>1</v>
      </c>
      <c r="AB133" s="2" t="s">
        <v>131</v>
      </c>
      <c r="AC133" s="209">
        <v>0</v>
      </c>
      <c r="AD133" s="209">
        <v>10883.45</v>
      </c>
      <c r="AE133" s="209">
        <v>2272.14</v>
      </c>
      <c r="AF133" s="209">
        <v>581.8900000000001</v>
      </c>
      <c r="AG133" s="209">
        <v>8029.42</v>
      </c>
      <c r="AH133" s="209">
        <v>0</v>
      </c>
    </row>
    <row r="134" spans="1:34" x14ac:dyDescent="0.2">
      <c r="A134" s="4">
        <v>432</v>
      </c>
      <c r="B134" s="4">
        <v>1</v>
      </c>
      <c r="C134" s="2" t="s">
        <v>132</v>
      </c>
      <c r="D134" s="183">
        <v>8477.43</v>
      </c>
      <c r="E134" s="183">
        <v>3731.45</v>
      </c>
      <c r="F134" s="183">
        <v>35370.620000000003</v>
      </c>
      <c r="G134" s="183">
        <v>0</v>
      </c>
      <c r="H134" s="3">
        <f t="shared" si="8"/>
        <v>47579.5</v>
      </c>
      <c r="J134" s="209">
        <v>0</v>
      </c>
      <c r="K134" s="209">
        <v>0</v>
      </c>
      <c r="L134" s="209">
        <v>0</v>
      </c>
      <c r="M134" s="209">
        <v>0</v>
      </c>
      <c r="N134" s="209">
        <f t="shared" si="6"/>
        <v>0</v>
      </c>
      <c r="P134" s="4"/>
      <c r="Q134" s="4"/>
      <c r="Y134" s="2">
        <f t="shared" si="7"/>
        <v>0</v>
      </c>
      <c r="Z134" s="4">
        <v>432</v>
      </c>
      <c r="AA134" s="4">
        <v>1</v>
      </c>
      <c r="AB134" s="2" t="s">
        <v>132</v>
      </c>
      <c r="AC134" s="209">
        <v>0</v>
      </c>
      <c r="AD134" s="209">
        <v>47579.5</v>
      </c>
      <c r="AE134" s="209">
        <v>8477.43</v>
      </c>
      <c r="AF134" s="209">
        <v>3731.45</v>
      </c>
      <c r="AG134" s="209">
        <v>35370.620000000003</v>
      </c>
      <c r="AH134" s="209">
        <v>0</v>
      </c>
    </row>
    <row r="135" spans="1:34" x14ac:dyDescent="0.2">
      <c r="A135" s="4">
        <v>435</v>
      </c>
      <c r="B135" s="4">
        <v>1</v>
      </c>
      <c r="C135" s="2" t="s">
        <v>1184</v>
      </c>
      <c r="D135" s="183">
        <v>3428.2499999999995</v>
      </c>
      <c r="E135" s="183">
        <v>783.61</v>
      </c>
      <c r="F135" s="183">
        <v>16524.3</v>
      </c>
      <c r="G135" s="183">
        <v>0</v>
      </c>
      <c r="H135" s="3">
        <f t="shared" si="8"/>
        <v>20736.16</v>
      </c>
      <c r="J135" s="209">
        <v>0</v>
      </c>
      <c r="K135" s="209">
        <v>0</v>
      </c>
      <c r="L135" s="209">
        <v>0</v>
      </c>
      <c r="M135" s="209">
        <v>0</v>
      </c>
      <c r="N135" s="209">
        <f t="shared" si="6"/>
        <v>0</v>
      </c>
      <c r="P135" s="4"/>
      <c r="Q135" s="4"/>
      <c r="Y135" s="2">
        <f t="shared" si="7"/>
        <v>0</v>
      </c>
      <c r="Z135" s="4">
        <v>435</v>
      </c>
      <c r="AA135" s="4">
        <v>1</v>
      </c>
      <c r="AB135" s="2" t="s">
        <v>1184</v>
      </c>
      <c r="AC135" s="209">
        <v>0</v>
      </c>
      <c r="AD135" s="209">
        <v>20736.159999999996</v>
      </c>
      <c r="AE135" s="209">
        <v>3428.2499999999995</v>
      </c>
      <c r="AF135" s="209">
        <v>783.61</v>
      </c>
      <c r="AG135" s="209">
        <v>16524.3</v>
      </c>
      <c r="AH135" s="209">
        <v>0</v>
      </c>
    </row>
    <row r="136" spans="1:34" x14ac:dyDescent="0.2">
      <c r="A136" s="4">
        <v>441</v>
      </c>
      <c r="B136" s="4">
        <v>1</v>
      </c>
      <c r="C136" s="2" t="s">
        <v>134</v>
      </c>
      <c r="D136" s="183">
        <v>10408.959999999999</v>
      </c>
      <c r="E136" s="183">
        <v>1517.91</v>
      </c>
      <c r="F136" s="183">
        <v>0</v>
      </c>
      <c r="G136" s="183">
        <v>0</v>
      </c>
      <c r="H136" s="3">
        <f t="shared" si="8"/>
        <v>11926.869999999999</v>
      </c>
      <c r="J136" s="209">
        <v>0</v>
      </c>
      <c r="K136" s="209">
        <v>0</v>
      </c>
      <c r="L136" s="209">
        <v>0</v>
      </c>
      <c r="M136" s="209">
        <v>0</v>
      </c>
      <c r="N136" s="209">
        <f t="shared" si="6"/>
        <v>0</v>
      </c>
      <c r="P136" s="4"/>
      <c r="Q136" s="4"/>
      <c r="Y136" s="2">
        <f t="shared" si="7"/>
        <v>0</v>
      </c>
      <c r="Z136" s="4">
        <v>441</v>
      </c>
      <c r="AA136" s="4">
        <v>1</v>
      </c>
      <c r="AB136" s="2" t="s">
        <v>134</v>
      </c>
      <c r="AC136" s="209">
        <v>0</v>
      </c>
      <c r="AD136" s="209">
        <v>11926.869999999999</v>
      </c>
      <c r="AE136" s="209">
        <v>10408.959999999999</v>
      </c>
      <c r="AF136" s="209">
        <v>1517.91</v>
      </c>
      <c r="AG136" s="209">
        <v>0</v>
      </c>
      <c r="AH136" s="209">
        <v>0</v>
      </c>
    </row>
    <row r="137" spans="1:34" x14ac:dyDescent="0.2">
      <c r="A137" s="4">
        <v>447</v>
      </c>
      <c r="B137" s="4">
        <v>1</v>
      </c>
      <c r="C137" s="2" t="s">
        <v>135</v>
      </c>
      <c r="D137" s="183">
        <v>3257.4699999999993</v>
      </c>
      <c r="E137" s="183">
        <v>819.91000000000008</v>
      </c>
      <c r="F137" s="183">
        <v>5369.0700000000006</v>
      </c>
      <c r="G137" s="183">
        <v>0</v>
      </c>
      <c r="H137" s="3">
        <f t="shared" si="8"/>
        <v>9446.4500000000007</v>
      </c>
      <c r="J137" s="209">
        <v>0</v>
      </c>
      <c r="K137" s="209">
        <v>0</v>
      </c>
      <c r="L137" s="209">
        <v>0</v>
      </c>
      <c r="M137" s="209">
        <v>0</v>
      </c>
      <c r="N137" s="209">
        <f t="shared" ref="N137:N200" si="9">SUM(J137:M137)</f>
        <v>0</v>
      </c>
      <c r="P137" s="4"/>
      <c r="Q137" s="4"/>
      <c r="Y137" s="2">
        <f t="shared" ref="Y137:Y200" si="10">Z137-A137</f>
        <v>0</v>
      </c>
      <c r="Z137" s="4">
        <v>447</v>
      </c>
      <c r="AA137" s="4">
        <v>1</v>
      </c>
      <c r="AB137" s="2" t="s">
        <v>135</v>
      </c>
      <c r="AC137" s="209">
        <v>0</v>
      </c>
      <c r="AD137" s="209">
        <v>9446.4500000000007</v>
      </c>
      <c r="AE137" s="209">
        <v>3257.4699999999993</v>
      </c>
      <c r="AF137" s="209">
        <v>819.91000000000008</v>
      </c>
      <c r="AG137" s="209">
        <v>5369.0700000000006</v>
      </c>
      <c r="AH137" s="209">
        <v>0</v>
      </c>
    </row>
    <row r="138" spans="1:34" x14ac:dyDescent="0.2">
      <c r="A138" s="4">
        <v>458</v>
      </c>
      <c r="B138" s="4">
        <v>1</v>
      </c>
      <c r="C138" s="2" t="s">
        <v>136</v>
      </c>
      <c r="D138" s="183">
        <v>14917.169999999998</v>
      </c>
      <c r="E138" s="183">
        <v>1664.9699999999998</v>
      </c>
      <c r="F138" s="183">
        <v>4281.8499999999995</v>
      </c>
      <c r="G138" s="183">
        <v>0</v>
      </c>
      <c r="H138" s="3">
        <f t="shared" ref="H138:H201" si="11">SUM(D138:G138)</f>
        <v>20863.989999999998</v>
      </c>
      <c r="J138" s="209">
        <v>0</v>
      </c>
      <c r="K138" s="209">
        <v>0</v>
      </c>
      <c r="L138" s="209">
        <v>0</v>
      </c>
      <c r="M138" s="209">
        <v>0</v>
      </c>
      <c r="N138" s="209">
        <f t="shared" si="9"/>
        <v>0</v>
      </c>
      <c r="P138" s="4"/>
      <c r="Q138" s="4"/>
      <c r="Y138" s="2">
        <f t="shared" si="10"/>
        <v>0</v>
      </c>
      <c r="Z138" s="4">
        <v>458</v>
      </c>
      <c r="AA138" s="4">
        <v>1</v>
      </c>
      <c r="AB138" s="2" t="s">
        <v>136</v>
      </c>
      <c r="AC138" s="209">
        <v>0</v>
      </c>
      <c r="AD138" s="209">
        <v>20863.990000000002</v>
      </c>
      <c r="AE138" s="209">
        <v>14917.169999999998</v>
      </c>
      <c r="AF138" s="209">
        <v>1664.9699999999998</v>
      </c>
      <c r="AG138" s="209">
        <v>4281.8499999999995</v>
      </c>
      <c r="AH138" s="209">
        <v>0</v>
      </c>
    </row>
    <row r="139" spans="1:34" x14ac:dyDescent="0.2">
      <c r="A139" s="4">
        <v>463</v>
      </c>
      <c r="B139" s="4">
        <v>1</v>
      </c>
      <c r="C139" s="2" t="s">
        <v>1185</v>
      </c>
      <c r="D139" s="183">
        <v>1744.41</v>
      </c>
      <c r="E139" s="183">
        <v>1096.9499999999998</v>
      </c>
      <c r="F139" s="183">
        <v>23906.78</v>
      </c>
      <c r="G139" s="183">
        <v>0</v>
      </c>
      <c r="H139" s="3">
        <f t="shared" si="11"/>
        <v>26748.14</v>
      </c>
      <c r="J139" s="209">
        <v>0</v>
      </c>
      <c r="K139" s="209">
        <v>0</v>
      </c>
      <c r="L139" s="209">
        <v>0</v>
      </c>
      <c r="M139" s="209">
        <v>0</v>
      </c>
      <c r="N139" s="209">
        <f t="shared" si="9"/>
        <v>0</v>
      </c>
      <c r="P139" s="4"/>
      <c r="Q139" s="4"/>
      <c r="Y139" s="2">
        <f t="shared" si="10"/>
        <v>0</v>
      </c>
      <c r="Z139" s="4">
        <v>463</v>
      </c>
      <c r="AA139" s="4">
        <v>1</v>
      </c>
      <c r="AB139" s="2" t="s">
        <v>1185</v>
      </c>
      <c r="AC139" s="209">
        <v>0</v>
      </c>
      <c r="AD139" s="209">
        <v>26748.14</v>
      </c>
      <c r="AE139" s="209">
        <v>1744.41</v>
      </c>
      <c r="AF139" s="209">
        <v>1096.9499999999998</v>
      </c>
      <c r="AG139" s="209">
        <v>23906.78</v>
      </c>
      <c r="AH139" s="209">
        <v>0</v>
      </c>
    </row>
    <row r="140" spans="1:34" x14ac:dyDescent="0.2">
      <c r="A140" s="4">
        <v>465</v>
      </c>
      <c r="B140" s="4">
        <v>1</v>
      </c>
      <c r="C140" s="2" t="s">
        <v>138</v>
      </c>
      <c r="D140" s="183">
        <v>4763.03</v>
      </c>
      <c r="E140" s="183">
        <v>1563.8299999999997</v>
      </c>
      <c r="F140" s="183">
        <v>14912.11</v>
      </c>
      <c r="G140" s="183">
        <v>0</v>
      </c>
      <c r="H140" s="3">
        <f t="shared" si="11"/>
        <v>21238.97</v>
      </c>
      <c r="J140" s="209">
        <v>0</v>
      </c>
      <c r="K140" s="209">
        <v>0</v>
      </c>
      <c r="L140" s="209">
        <v>0</v>
      </c>
      <c r="M140" s="209">
        <v>0</v>
      </c>
      <c r="N140" s="209">
        <f t="shared" si="9"/>
        <v>0</v>
      </c>
      <c r="P140" s="4"/>
      <c r="Q140" s="4"/>
      <c r="Y140" s="2">
        <f t="shared" si="10"/>
        <v>0</v>
      </c>
      <c r="Z140" s="4">
        <v>465</v>
      </c>
      <c r="AA140" s="4">
        <v>1</v>
      </c>
      <c r="AB140" s="2" t="s">
        <v>138</v>
      </c>
      <c r="AC140" s="209">
        <v>0</v>
      </c>
      <c r="AD140" s="209">
        <v>21238.969999999994</v>
      </c>
      <c r="AE140" s="209">
        <v>4763.03</v>
      </c>
      <c r="AF140" s="209">
        <v>1563.8299999999997</v>
      </c>
      <c r="AG140" s="209">
        <v>14912.11</v>
      </c>
      <c r="AH140" s="209">
        <v>0</v>
      </c>
    </row>
    <row r="141" spans="1:34" x14ac:dyDescent="0.2">
      <c r="A141" s="4">
        <v>466</v>
      </c>
      <c r="B141" s="4">
        <v>1</v>
      </c>
      <c r="C141" s="2" t="s">
        <v>139</v>
      </c>
      <c r="D141" s="183">
        <v>7749.39</v>
      </c>
      <c r="E141" s="183">
        <v>2120.44</v>
      </c>
      <c r="F141" s="183">
        <v>20408.419999999998</v>
      </c>
      <c r="G141" s="183">
        <v>0</v>
      </c>
      <c r="H141" s="3">
        <f t="shared" si="11"/>
        <v>30278.25</v>
      </c>
      <c r="J141" s="209">
        <v>0</v>
      </c>
      <c r="K141" s="209">
        <v>0</v>
      </c>
      <c r="L141" s="209">
        <v>0</v>
      </c>
      <c r="M141" s="209">
        <v>0</v>
      </c>
      <c r="N141" s="209">
        <f t="shared" si="9"/>
        <v>0</v>
      </c>
      <c r="P141" s="4"/>
      <c r="Q141" s="4"/>
      <c r="Y141" s="2">
        <f t="shared" si="10"/>
        <v>0</v>
      </c>
      <c r="Z141" s="4">
        <v>466</v>
      </c>
      <c r="AA141" s="4">
        <v>1</v>
      </c>
      <c r="AB141" s="2" t="s">
        <v>139</v>
      </c>
      <c r="AC141" s="209">
        <v>0</v>
      </c>
      <c r="AD141" s="209">
        <v>30278.25</v>
      </c>
      <c r="AE141" s="209">
        <v>7749.39</v>
      </c>
      <c r="AF141" s="209">
        <v>2120.44</v>
      </c>
      <c r="AG141" s="209">
        <v>20408.419999999998</v>
      </c>
      <c r="AH141" s="209">
        <v>0</v>
      </c>
    </row>
    <row r="142" spans="1:34" x14ac:dyDescent="0.2">
      <c r="A142" s="4">
        <v>473</v>
      </c>
      <c r="B142" s="4">
        <v>1</v>
      </c>
      <c r="C142" s="2" t="s">
        <v>140</v>
      </c>
      <c r="D142" s="183">
        <v>1431.44</v>
      </c>
      <c r="E142" s="183">
        <v>358.4</v>
      </c>
      <c r="F142" s="183">
        <v>5288.8499999999995</v>
      </c>
      <c r="G142" s="183">
        <v>0</v>
      </c>
      <c r="H142" s="3">
        <f t="shared" si="11"/>
        <v>7078.69</v>
      </c>
      <c r="J142" s="209">
        <v>0</v>
      </c>
      <c r="K142" s="209">
        <v>0</v>
      </c>
      <c r="L142" s="209">
        <v>0</v>
      </c>
      <c r="M142" s="209">
        <v>0</v>
      </c>
      <c r="N142" s="209">
        <f t="shared" si="9"/>
        <v>0</v>
      </c>
      <c r="P142" s="4"/>
      <c r="Q142" s="4"/>
      <c r="Y142" s="2">
        <f t="shared" si="10"/>
        <v>0</v>
      </c>
      <c r="Z142" s="4">
        <v>473</v>
      </c>
      <c r="AA142" s="4">
        <v>1</v>
      </c>
      <c r="AB142" s="2" t="s">
        <v>140</v>
      </c>
      <c r="AC142" s="209">
        <v>0</v>
      </c>
      <c r="AD142" s="209">
        <v>7078.69</v>
      </c>
      <c r="AE142" s="209">
        <v>1431.44</v>
      </c>
      <c r="AF142" s="209">
        <v>358.4</v>
      </c>
      <c r="AG142" s="209">
        <v>5288.8499999999995</v>
      </c>
      <c r="AH142" s="209">
        <v>0</v>
      </c>
    </row>
    <row r="143" spans="1:34" x14ac:dyDescent="0.2">
      <c r="A143" s="4">
        <v>477</v>
      </c>
      <c r="B143" s="4">
        <v>1</v>
      </c>
      <c r="C143" s="2" t="s">
        <v>141</v>
      </c>
      <c r="D143" s="183">
        <v>16722.900000000001</v>
      </c>
      <c r="E143" s="183">
        <v>3854.98</v>
      </c>
      <c r="F143" s="183">
        <v>40835.47</v>
      </c>
      <c r="G143" s="183">
        <v>0</v>
      </c>
      <c r="H143" s="3">
        <f t="shared" si="11"/>
        <v>61413.350000000006</v>
      </c>
      <c r="J143" s="209">
        <v>0</v>
      </c>
      <c r="K143" s="209">
        <v>0</v>
      </c>
      <c r="L143" s="209">
        <v>0</v>
      </c>
      <c r="M143" s="209">
        <v>0</v>
      </c>
      <c r="N143" s="209">
        <f t="shared" si="9"/>
        <v>0</v>
      </c>
      <c r="P143" s="4"/>
      <c r="Q143" s="4"/>
      <c r="Y143" s="2">
        <f t="shared" si="10"/>
        <v>0</v>
      </c>
      <c r="Z143" s="4">
        <v>477</v>
      </c>
      <c r="AA143" s="4">
        <v>1</v>
      </c>
      <c r="AB143" s="2" t="s">
        <v>141</v>
      </c>
      <c r="AC143" s="209">
        <v>0</v>
      </c>
      <c r="AD143" s="209">
        <v>61413.350000000006</v>
      </c>
      <c r="AE143" s="209">
        <v>16722.900000000001</v>
      </c>
      <c r="AF143" s="209">
        <v>3854.98</v>
      </c>
      <c r="AG143" s="209">
        <v>40835.47</v>
      </c>
      <c r="AH143" s="209">
        <v>0</v>
      </c>
    </row>
    <row r="144" spans="1:34" x14ac:dyDescent="0.2">
      <c r="A144" s="4">
        <v>480</v>
      </c>
      <c r="B144" s="4">
        <v>1</v>
      </c>
      <c r="C144" s="2" t="s">
        <v>142</v>
      </c>
      <c r="D144" s="183">
        <v>2783.7299999999996</v>
      </c>
      <c r="E144" s="183">
        <v>713.52999999999986</v>
      </c>
      <c r="F144" s="183">
        <v>8805.5600000000013</v>
      </c>
      <c r="G144" s="183">
        <v>0</v>
      </c>
      <c r="H144" s="3">
        <f t="shared" si="11"/>
        <v>12302.82</v>
      </c>
      <c r="J144" s="209">
        <v>0</v>
      </c>
      <c r="K144" s="209">
        <v>0</v>
      </c>
      <c r="L144" s="209">
        <v>0</v>
      </c>
      <c r="M144" s="209">
        <v>0</v>
      </c>
      <c r="N144" s="209">
        <f t="shared" si="9"/>
        <v>0</v>
      </c>
      <c r="P144" s="4"/>
      <c r="Q144" s="4"/>
      <c r="Y144" s="2">
        <f t="shared" si="10"/>
        <v>0</v>
      </c>
      <c r="Z144" s="4">
        <v>480</v>
      </c>
      <c r="AA144" s="4">
        <v>1</v>
      </c>
      <c r="AB144" s="2" t="s">
        <v>142</v>
      </c>
      <c r="AC144" s="209">
        <v>0</v>
      </c>
      <c r="AD144" s="209">
        <v>12302.82</v>
      </c>
      <c r="AE144" s="209">
        <v>2783.7299999999996</v>
      </c>
      <c r="AF144" s="209">
        <v>713.52999999999986</v>
      </c>
      <c r="AG144" s="209">
        <v>8805.5600000000013</v>
      </c>
      <c r="AH144" s="209">
        <v>0</v>
      </c>
    </row>
    <row r="145" spans="1:34" x14ac:dyDescent="0.2">
      <c r="A145" s="4">
        <v>482</v>
      </c>
      <c r="B145" s="4">
        <v>1</v>
      </c>
      <c r="C145" s="2" t="s">
        <v>143</v>
      </c>
      <c r="D145" s="183">
        <v>18010.18</v>
      </c>
      <c r="E145" s="183">
        <v>7351.0700000000006</v>
      </c>
      <c r="F145" s="183">
        <v>34363.81</v>
      </c>
      <c r="G145" s="183">
        <v>11570.41</v>
      </c>
      <c r="H145" s="3">
        <f t="shared" si="11"/>
        <v>71295.47</v>
      </c>
      <c r="J145" s="209">
        <v>0</v>
      </c>
      <c r="K145" s="209">
        <v>0</v>
      </c>
      <c r="L145" s="209">
        <v>0</v>
      </c>
      <c r="M145" s="209">
        <v>0</v>
      </c>
      <c r="N145" s="209">
        <f t="shared" si="9"/>
        <v>0</v>
      </c>
      <c r="P145" s="4"/>
      <c r="Q145" s="4"/>
      <c r="Y145" s="2">
        <f t="shared" si="10"/>
        <v>0</v>
      </c>
      <c r="Z145" s="4">
        <v>482</v>
      </c>
      <c r="AA145" s="4">
        <v>1</v>
      </c>
      <c r="AB145" s="2" t="s">
        <v>143</v>
      </c>
      <c r="AC145" s="209">
        <v>0</v>
      </c>
      <c r="AD145" s="209">
        <v>71295.47</v>
      </c>
      <c r="AE145" s="209">
        <v>18010.18</v>
      </c>
      <c r="AF145" s="209">
        <v>7351.0700000000006</v>
      </c>
      <c r="AG145" s="209">
        <v>34363.81</v>
      </c>
      <c r="AH145" s="209">
        <v>11570.41</v>
      </c>
    </row>
    <row r="146" spans="1:34" x14ac:dyDescent="0.2">
      <c r="A146" s="4">
        <v>484</v>
      </c>
      <c r="B146" s="4">
        <v>1</v>
      </c>
      <c r="C146" s="2" t="s">
        <v>144</v>
      </c>
      <c r="D146" s="183">
        <v>17756.21</v>
      </c>
      <c r="E146" s="183">
        <v>2135.54</v>
      </c>
      <c r="F146" s="183">
        <v>12531.890000000003</v>
      </c>
      <c r="G146" s="183">
        <v>0</v>
      </c>
      <c r="H146" s="3">
        <f t="shared" si="11"/>
        <v>32423.640000000003</v>
      </c>
      <c r="J146" s="209">
        <v>0</v>
      </c>
      <c r="K146" s="209">
        <v>0</v>
      </c>
      <c r="L146" s="209">
        <v>0</v>
      </c>
      <c r="M146" s="209">
        <v>0</v>
      </c>
      <c r="N146" s="209">
        <f t="shared" si="9"/>
        <v>0</v>
      </c>
      <c r="P146" s="4"/>
      <c r="Q146" s="4"/>
      <c r="Y146" s="2">
        <f t="shared" si="10"/>
        <v>0</v>
      </c>
      <c r="Z146" s="4">
        <v>484</v>
      </c>
      <c r="AA146" s="4">
        <v>1</v>
      </c>
      <c r="AB146" s="2" t="s">
        <v>144</v>
      </c>
      <c r="AC146" s="209">
        <v>0</v>
      </c>
      <c r="AD146" s="209">
        <v>32423.639999999996</v>
      </c>
      <c r="AE146" s="209">
        <v>17756.21</v>
      </c>
      <c r="AF146" s="209">
        <v>2135.54</v>
      </c>
      <c r="AG146" s="209">
        <v>12531.890000000003</v>
      </c>
      <c r="AH146" s="209">
        <v>0</v>
      </c>
    </row>
    <row r="147" spans="1:34" x14ac:dyDescent="0.2">
      <c r="A147" s="4">
        <v>485</v>
      </c>
      <c r="B147" s="4">
        <v>1</v>
      </c>
      <c r="C147" s="2" t="s">
        <v>145</v>
      </c>
      <c r="D147" s="183">
        <v>2742.68</v>
      </c>
      <c r="E147" s="183">
        <v>589.67999999999995</v>
      </c>
      <c r="F147" s="183">
        <v>17488.859999999997</v>
      </c>
      <c r="G147" s="183">
        <v>0</v>
      </c>
      <c r="H147" s="3">
        <f t="shared" si="11"/>
        <v>20821.219999999998</v>
      </c>
      <c r="J147" s="209">
        <v>0</v>
      </c>
      <c r="K147" s="209">
        <v>0</v>
      </c>
      <c r="L147" s="209">
        <v>0</v>
      </c>
      <c r="M147" s="209">
        <v>0</v>
      </c>
      <c r="N147" s="209">
        <f t="shared" si="9"/>
        <v>0</v>
      </c>
      <c r="P147" s="4"/>
      <c r="Q147" s="4"/>
      <c r="Y147" s="2">
        <f t="shared" si="10"/>
        <v>0</v>
      </c>
      <c r="Z147" s="4">
        <v>485</v>
      </c>
      <c r="AA147" s="4">
        <v>1</v>
      </c>
      <c r="AB147" s="2" t="s">
        <v>145</v>
      </c>
      <c r="AC147" s="209">
        <v>0</v>
      </c>
      <c r="AD147" s="209">
        <v>20821.219999999998</v>
      </c>
      <c r="AE147" s="209">
        <v>2742.68</v>
      </c>
      <c r="AF147" s="209">
        <v>589.67999999999995</v>
      </c>
      <c r="AG147" s="209">
        <v>17488.859999999997</v>
      </c>
      <c r="AH147" s="209">
        <v>0</v>
      </c>
    </row>
    <row r="148" spans="1:34" x14ac:dyDescent="0.2">
      <c r="A148" s="4">
        <v>486</v>
      </c>
      <c r="B148" s="4">
        <v>1</v>
      </c>
      <c r="C148" s="2" t="s">
        <v>146</v>
      </c>
      <c r="D148" s="183">
        <v>2326.2999999999997</v>
      </c>
      <c r="E148" s="183">
        <v>615.38999999999987</v>
      </c>
      <c r="F148" s="183">
        <v>11878.25</v>
      </c>
      <c r="G148" s="183">
        <v>0</v>
      </c>
      <c r="H148" s="3">
        <f t="shared" si="11"/>
        <v>14819.939999999999</v>
      </c>
      <c r="J148" s="209">
        <v>0</v>
      </c>
      <c r="K148" s="209">
        <v>0</v>
      </c>
      <c r="L148" s="209">
        <v>0</v>
      </c>
      <c r="M148" s="209">
        <v>0</v>
      </c>
      <c r="N148" s="209">
        <f t="shared" si="9"/>
        <v>0</v>
      </c>
      <c r="P148" s="4"/>
      <c r="Q148" s="4"/>
      <c r="Y148" s="2">
        <f t="shared" si="10"/>
        <v>0</v>
      </c>
      <c r="Z148" s="4">
        <v>486</v>
      </c>
      <c r="AA148" s="4">
        <v>1</v>
      </c>
      <c r="AB148" s="2" t="s">
        <v>146</v>
      </c>
      <c r="AC148" s="209">
        <v>0</v>
      </c>
      <c r="AD148" s="209">
        <v>14819.939999999999</v>
      </c>
      <c r="AE148" s="209">
        <v>2326.2999999999997</v>
      </c>
      <c r="AF148" s="209">
        <v>615.38999999999987</v>
      </c>
      <c r="AG148" s="209">
        <v>11878.25</v>
      </c>
      <c r="AH148" s="209">
        <v>0</v>
      </c>
    </row>
    <row r="149" spans="1:34" x14ac:dyDescent="0.2">
      <c r="A149" s="4">
        <v>487</v>
      </c>
      <c r="B149" s="4">
        <v>1</v>
      </c>
      <c r="C149" s="2" t="s">
        <v>147</v>
      </c>
      <c r="D149" s="183">
        <v>2934.6000000000004</v>
      </c>
      <c r="E149" s="183">
        <v>831.32</v>
      </c>
      <c r="F149" s="183">
        <v>22216.969999999998</v>
      </c>
      <c r="G149" s="183">
        <v>0</v>
      </c>
      <c r="H149" s="3">
        <f t="shared" si="11"/>
        <v>25982.89</v>
      </c>
      <c r="J149" s="209">
        <v>0</v>
      </c>
      <c r="K149" s="209">
        <v>0</v>
      </c>
      <c r="L149" s="209">
        <v>0</v>
      </c>
      <c r="M149" s="209">
        <v>0</v>
      </c>
      <c r="N149" s="209">
        <f t="shared" si="9"/>
        <v>0</v>
      </c>
      <c r="P149" s="4"/>
      <c r="Q149" s="4"/>
      <c r="Y149" s="2">
        <f t="shared" si="10"/>
        <v>0</v>
      </c>
      <c r="Z149" s="4">
        <v>487</v>
      </c>
      <c r="AA149" s="4">
        <v>1</v>
      </c>
      <c r="AB149" s="2" t="s">
        <v>147</v>
      </c>
      <c r="AC149" s="209">
        <v>0</v>
      </c>
      <c r="AD149" s="209">
        <v>25982.89</v>
      </c>
      <c r="AE149" s="209">
        <v>2934.6000000000004</v>
      </c>
      <c r="AF149" s="209">
        <v>831.32</v>
      </c>
      <c r="AG149" s="209">
        <v>22216.969999999998</v>
      </c>
      <c r="AH149" s="209">
        <v>0</v>
      </c>
    </row>
    <row r="150" spans="1:34" x14ac:dyDescent="0.2">
      <c r="A150" s="4">
        <v>492</v>
      </c>
      <c r="B150" s="4">
        <v>1</v>
      </c>
      <c r="C150" s="2" t="s">
        <v>148</v>
      </c>
      <c r="D150" s="183">
        <v>54982.680000000008</v>
      </c>
      <c r="E150" s="183">
        <v>8784.26</v>
      </c>
      <c r="F150" s="183">
        <v>88388.52</v>
      </c>
      <c r="G150" s="183">
        <v>0</v>
      </c>
      <c r="H150" s="3">
        <f t="shared" si="11"/>
        <v>152155.46000000002</v>
      </c>
      <c r="J150" s="209">
        <v>0</v>
      </c>
      <c r="K150" s="209">
        <v>0</v>
      </c>
      <c r="L150" s="209">
        <v>0</v>
      </c>
      <c r="M150" s="209">
        <v>0</v>
      </c>
      <c r="N150" s="209">
        <f t="shared" si="9"/>
        <v>0</v>
      </c>
      <c r="P150" s="4"/>
      <c r="Q150" s="4"/>
      <c r="Y150" s="2">
        <f t="shared" si="10"/>
        <v>0</v>
      </c>
      <c r="Z150" s="4">
        <v>492</v>
      </c>
      <c r="AA150" s="4">
        <v>1</v>
      </c>
      <c r="AB150" s="2" t="s">
        <v>148</v>
      </c>
      <c r="AC150" s="209">
        <v>0</v>
      </c>
      <c r="AD150" s="209">
        <v>152155.46</v>
      </c>
      <c r="AE150" s="209">
        <v>54982.680000000008</v>
      </c>
      <c r="AF150" s="209">
        <v>8784.26</v>
      </c>
      <c r="AG150" s="209">
        <v>88388.52</v>
      </c>
      <c r="AH150" s="209">
        <v>0</v>
      </c>
    </row>
    <row r="151" spans="1:34" x14ac:dyDescent="0.2">
      <c r="A151" s="4">
        <v>495</v>
      </c>
      <c r="B151" s="4">
        <v>1</v>
      </c>
      <c r="C151" s="2" t="s">
        <v>149</v>
      </c>
      <c r="D151" s="183">
        <v>5572</v>
      </c>
      <c r="E151" s="183">
        <v>851.49</v>
      </c>
      <c r="F151" s="183">
        <v>11717.650000000001</v>
      </c>
      <c r="G151" s="183">
        <v>0</v>
      </c>
      <c r="H151" s="3">
        <f t="shared" si="11"/>
        <v>18141.14</v>
      </c>
      <c r="J151" s="209">
        <v>0</v>
      </c>
      <c r="K151" s="209">
        <v>0</v>
      </c>
      <c r="L151" s="209">
        <v>0</v>
      </c>
      <c r="M151" s="209">
        <v>0</v>
      </c>
      <c r="N151" s="209">
        <f t="shared" si="9"/>
        <v>0</v>
      </c>
      <c r="P151" s="4"/>
      <c r="Q151" s="4"/>
      <c r="Y151" s="2">
        <f t="shared" si="10"/>
        <v>0</v>
      </c>
      <c r="Z151" s="4">
        <v>495</v>
      </c>
      <c r="AA151" s="4">
        <v>1</v>
      </c>
      <c r="AB151" s="2" t="s">
        <v>149</v>
      </c>
      <c r="AC151" s="209">
        <v>0</v>
      </c>
      <c r="AD151" s="209">
        <v>18141.14</v>
      </c>
      <c r="AE151" s="209">
        <v>5572</v>
      </c>
      <c r="AF151" s="209">
        <v>851.49</v>
      </c>
      <c r="AG151" s="209">
        <v>11717.650000000001</v>
      </c>
      <c r="AH151" s="209">
        <v>0</v>
      </c>
    </row>
    <row r="152" spans="1:34" x14ac:dyDescent="0.2">
      <c r="A152" s="4">
        <v>497</v>
      </c>
      <c r="B152" s="4">
        <v>1</v>
      </c>
      <c r="C152" s="2" t="s">
        <v>150</v>
      </c>
      <c r="D152" s="183">
        <v>1911.5500000000002</v>
      </c>
      <c r="E152" s="183">
        <v>327.02999999999997</v>
      </c>
      <c r="F152" s="183">
        <v>12080.220000000001</v>
      </c>
      <c r="G152" s="183">
        <v>0</v>
      </c>
      <c r="H152" s="3">
        <f t="shared" si="11"/>
        <v>14318.800000000001</v>
      </c>
      <c r="J152" s="209">
        <v>0</v>
      </c>
      <c r="K152" s="209">
        <v>0</v>
      </c>
      <c r="L152" s="209">
        <v>0</v>
      </c>
      <c r="M152" s="209">
        <v>0</v>
      </c>
      <c r="N152" s="209">
        <f t="shared" si="9"/>
        <v>0</v>
      </c>
      <c r="P152" s="4"/>
      <c r="Q152" s="4"/>
      <c r="Y152" s="2">
        <f t="shared" si="10"/>
        <v>0</v>
      </c>
      <c r="Z152" s="4">
        <v>497</v>
      </c>
      <c r="AA152" s="4">
        <v>1</v>
      </c>
      <c r="AB152" s="2" t="s">
        <v>150</v>
      </c>
      <c r="AC152" s="209">
        <v>0</v>
      </c>
      <c r="AD152" s="209">
        <v>14318.8</v>
      </c>
      <c r="AE152" s="209">
        <v>1911.5500000000002</v>
      </c>
      <c r="AF152" s="209">
        <v>327.02999999999997</v>
      </c>
      <c r="AG152" s="209">
        <v>12080.220000000001</v>
      </c>
      <c r="AH152" s="209">
        <v>0</v>
      </c>
    </row>
    <row r="153" spans="1:34" x14ac:dyDescent="0.2">
      <c r="A153" s="4">
        <v>499</v>
      </c>
      <c r="B153" s="4">
        <v>1</v>
      </c>
      <c r="C153" s="2" t="s">
        <v>1186</v>
      </c>
      <c r="D153" s="183">
        <v>4558.0200000000004</v>
      </c>
      <c r="E153" s="183">
        <v>2129.06</v>
      </c>
      <c r="F153" s="183">
        <v>5067.42</v>
      </c>
      <c r="G153" s="183">
        <v>2441.7600000000002</v>
      </c>
      <c r="H153" s="3">
        <f t="shared" si="11"/>
        <v>14196.26</v>
      </c>
      <c r="J153" s="209">
        <v>0</v>
      </c>
      <c r="K153" s="209">
        <v>0</v>
      </c>
      <c r="L153" s="209">
        <v>0</v>
      </c>
      <c r="M153" s="209">
        <v>0</v>
      </c>
      <c r="N153" s="209">
        <f t="shared" si="9"/>
        <v>0</v>
      </c>
      <c r="P153" s="4"/>
      <c r="Q153" s="4"/>
      <c r="Y153" s="2">
        <f t="shared" si="10"/>
        <v>0</v>
      </c>
      <c r="Z153" s="4">
        <v>499</v>
      </c>
      <c r="AA153" s="4">
        <v>1</v>
      </c>
      <c r="AB153" s="2" t="s">
        <v>1186</v>
      </c>
      <c r="AC153" s="209">
        <v>0</v>
      </c>
      <c r="AD153" s="209">
        <v>14196.26</v>
      </c>
      <c r="AE153" s="209">
        <v>4558.0200000000004</v>
      </c>
      <c r="AF153" s="209">
        <v>2129.06</v>
      </c>
      <c r="AG153" s="209">
        <v>5067.42</v>
      </c>
      <c r="AH153" s="209">
        <v>2441.7600000000002</v>
      </c>
    </row>
    <row r="154" spans="1:34" x14ac:dyDescent="0.2">
      <c r="A154" s="4">
        <v>500</v>
      </c>
      <c r="B154" s="4">
        <v>1</v>
      </c>
      <c r="C154" s="2" t="s">
        <v>152</v>
      </c>
      <c r="D154" s="183">
        <v>10811.6</v>
      </c>
      <c r="E154" s="183">
        <v>2445.02</v>
      </c>
      <c r="F154" s="183">
        <v>7645.48</v>
      </c>
      <c r="G154" s="183">
        <v>0</v>
      </c>
      <c r="H154" s="3">
        <f t="shared" si="11"/>
        <v>20902.099999999999</v>
      </c>
      <c r="J154" s="209">
        <v>0</v>
      </c>
      <c r="K154" s="209">
        <v>0</v>
      </c>
      <c r="L154" s="209">
        <v>0</v>
      </c>
      <c r="M154" s="209">
        <v>0</v>
      </c>
      <c r="N154" s="209">
        <f t="shared" si="9"/>
        <v>0</v>
      </c>
      <c r="P154" s="4"/>
      <c r="Q154" s="4"/>
      <c r="Y154" s="2">
        <f t="shared" si="10"/>
        <v>0</v>
      </c>
      <c r="Z154" s="4">
        <v>500</v>
      </c>
      <c r="AA154" s="4">
        <v>1</v>
      </c>
      <c r="AB154" s="2" t="s">
        <v>152</v>
      </c>
      <c r="AC154" s="209">
        <v>0</v>
      </c>
      <c r="AD154" s="209">
        <v>20902.099999999999</v>
      </c>
      <c r="AE154" s="209">
        <v>10811.6</v>
      </c>
      <c r="AF154" s="209">
        <v>2445.02</v>
      </c>
      <c r="AG154" s="209">
        <v>7645.48</v>
      </c>
      <c r="AH154" s="209">
        <v>0</v>
      </c>
    </row>
    <row r="155" spans="1:34" x14ac:dyDescent="0.2">
      <c r="A155" s="4">
        <v>505</v>
      </c>
      <c r="B155" s="4">
        <v>1</v>
      </c>
      <c r="C155" s="2" t="s">
        <v>153</v>
      </c>
      <c r="D155" s="183">
        <v>7533.92</v>
      </c>
      <c r="E155" s="183">
        <v>1930.77</v>
      </c>
      <c r="F155" s="183">
        <v>0</v>
      </c>
      <c r="G155" s="183">
        <v>0</v>
      </c>
      <c r="H155" s="3">
        <f t="shared" si="11"/>
        <v>9464.69</v>
      </c>
      <c r="J155" s="209">
        <v>0</v>
      </c>
      <c r="K155" s="209">
        <v>0</v>
      </c>
      <c r="L155" s="209">
        <v>0</v>
      </c>
      <c r="M155" s="209">
        <v>0</v>
      </c>
      <c r="N155" s="209">
        <f t="shared" si="9"/>
        <v>0</v>
      </c>
      <c r="P155" s="4"/>
      <c r="Q155" s="4"/>
      <c r="Y155" s="2">
        <f t="shared" si="10"/>
        <v>0</v>
      </c>
      <c r="Z155" s="4">
        <v>505</v>
      </c>
      <c r="AA155" s="4">
        <v>1</v>
      </c>
      <c r="AB155" s="2" t="s">
        <v>153</v>
      </c>
      <c r="AC155" s="209">
        <v>0</v>
      </c>
      <c r="AD155" s="209">
        <v>9464.6899999999987</v>
      </c>
      <c r="AE155" s="209">
        <v>7533.92</v>
      </c>
      <c r="AF155" s="209">
        <v>1930.77</v>
      </c>
      <c r="AG155" s="209">
        <v>0</v>
      </c>
      <c r="AH155" s="209">
        <v>0</v>
      </c>
    </row>
    <row r="156" spans="1:34" x14ac:dyDescent="0.2">
      <c r="A156" s="4">
        <v>507</v>
      </c>
      <c r="B156" s="4">
        <v>1</v>
      </c>
      <c r="C156" s="2" t="s">
        <v>154</v>
      </c>
      <c r="D156" s="183">
        <v>2608.0400000000004</v>
      </c>
      <c r="E156" s="183">
        <v>560.75</v>
      </c>
      <c r="F156" s="183">
        <v>7876.47</v>
      </c>
      <c r="G156" s="183">
        <v>0</v>
      </c>
      <c r="H156" s="3">
        <f t="shared" si="11"/>
        <v>11045.26</v>
      </c>
      <c r="J156" s="209">
        <v>0</v>
      </c>
      <c r="K156" s="209">
        <v>0</v>
      </c>
      <c r="L156" s="209">
        <v>0</v>
      </c>
      <c r="M156" s="209">
        <v>0</v>
      </c>
      <c r="N156" s="209">
        <f t="shared" si="9"/>
        <v>0</v>
      </c>
      <c r="P156" s="4"/>
      <c r="Q156" s="4"/>
      <c r="Y156" s="2">
        <f t="shared" si="10"/>
        <v>0</v>
      </c>
      <c r="Z156" s="4">
        <v>507</v>
      </c>
      <c r="AA156" s="4">
        <v>1</v>
      </c>
      <c r="AB156" s="2" t="s">
        <v>154</v>
      </c>
      <c r="AC156" s="209">
        <v>0</v>
      </c>
      <c r="AD156" s="209">
        <v>11045.26</v>
      </c>
      <c r="AE156" s="209">
        <v>2608.0400000000004</v>
      </c>
      <c r="AF156" s="209">
        <v>560.75</v>
      </c>
      <c r="AG156" s="209">
        <v>7876.47</v>
      </c>
      <c r="AH156" s="209">
        <v>0</v>
      </c>
    </row>
    <row r="157" spans="1:34" x14ac:dyDescent="0.2">
      <c r="A157" s="4">
        <v>508</v>
      </c>
      <c r="B157" s="4">
        <v>1</v>
      </c>
      <c r="C157" s="2" t="s">
        <v>155</v>
      </c>
      <c r="D157" s="183">
        <v>11282.66</v>
      </c>
      <c r="E157" s="183">
        <v>1097.03</v>
      </c>
      <c r="F157" s="183">
        <v>1439.84</v>
      </c>
      <c r="G157" s="183">
        <v>0</v>
      </c>
      <c r="H157" s="3">
        <f t="shared" si="11"/>
        <v>13819.53</v>
      </c>
      <c r="J157" s="209">
        <v>0</v>
      </c>
      <c r="K157" s="209">
        <v>0</v>
      </c>
      <c r="L157" s="209">
        <v>0</v>
      </c>
      <c r="M157" s="209">
        <v>0</v>
      </c>
      <c r="N157" s="209">
        <f t="shared" si="9"/>
        <v>0</v>
      </c>
      <c r="P157" s="4"/>
      <c r="Q157" s="4"/>
      <c r="Y157" s="2">
        <f t="shared" si="10"/>
        <v>0</v>
      </c>
      <c r="Z157" s="4">
        <v>508</v>
      </c>
      <c r="AA157" s="4">
        <v>1</v>
      </c>
      <c r="AB157" s="2" t="s">
        <v>155</v>
      </c>
      <c r="AC157" s="209">
        <v>0</v>
      </c>
      <c r="AD157" s="209">
        <v>13819.53</v>
      </c>
      <c r="AE157" s="209">
        <v>11282.66</v>
      </c>
      <c r="AF157" s="209">
        <v>1097.03</v>
      </c>
      <c r="AG157" s="209">
        <v>1439.84</v>
      </c>
      <c r="AH157" s="209">
        <v>0</v>
      </c>
    </row>
    <row r="158" spans="1:34" x14ac:dyDescent="0.2">
      <c r="A158" s="4">
        <v>511</v>
      </c>
      <c r="B158" s="4">
        <v>1</v>
      </c>
      <c r="C158" s="2" t="s">
        <v>156</v>
      </c>
      <c r="D158" s="183">
        <v>9149.35</v>
      </c>
      <c r="E158" s="183">
        <v>761.06</v>
      </c>
      <c r="F158" s="183">
        <v>17436.57</v>
      </c>
      <c r="G158" s="183">
        <v>0</v>
      </c>
      <c r="H158" s="3">
        <f t="shared" si="11"/>
        <v>27346.98</v>
      </c>
      <c r="J158" s="209">
        <v>0</v>
      </c>
      <c r="K158" s="209">
        <v>0</v>
      </c>
      <c r="L158" s="209">
        <v>0</v>
      </c>
      <c r="M158" s="209">
        <v>0</v>
      </c>
      <c r="N158" s="209">
        <f t="shared" si="9"/>
        <v>0</v>
      </c>
      <c r="P158" s="4"/>
      <c r="Q158" s="4"/>
      <c r="Y158" s="2">
        <f t="shared" si="10"/>
        <v>0</v>
      </c>
      <c r="Z158" s="4">
        <v>511</v>
      </c>
      <c r="AA158" s="4">
        <v>1</v>
      </c>
      <c r="AB158" s="2" t="s">
        <v>156</v>
      </c>
      <c r="AC158" s="209">
        <v>0</v>
      </c>
      <c r="AD158" s="209">
        <v>27346.980000000003</v>
      </c>
      <c r="AE158" s="209">
        <v>9149.35</v>
      </c>
      <c r="AF158" s="209">
        <v>761.06</v>
      </c>
      <c r="AG158" s="209">
        <v>17436.57</v>
      </c>
      <c r="AH158" s="209">
        <v>0</v>
      </c>
    </row>
    <row r="159" spans="1:34" x14ac:dyDescent="0.2">
      <c r="A159" s="4">
        <v>514</v>
      </c>
      <c r="B159" s="4">
        <v>1</v>
      </c>
      <c r="C159" s="2" t="s">
        <v>158</v>
      </c>
      <c r="D159" s="183">
        <v>4400.95</v>
      </c>
      <c r="E159" s="183">
        <v>130.72999999999999</v>
      </c>
      <c r="F159" s="183">
        <v>0</v>
      </c>
      <c r="G159" s="183">
        <v>0</v>
      </c>
      <c r="H159" s="3">
        <f t="shared" si="11"/>
        <v>4531.6799999999994</v>
      </c>
      <c r="J159" s="209">
        <v>0</v>
      </c>
      <c r="K159" s="209">
        <v>0</v>
      </c>
      <c r="L159" s="209">
        <v>0</v>
      </c>
      <c r="M159" s="209">
        <v>0</v>
      </c>
      <c r="N159" s="209">
        <f t="shared" si="9"/>
        <v>0</v>
      </c>
      <c r="P159" s="4"/>
      <c r="Q159" s="4"/>
      <c r="Y159" s="2">
        <f t="shared" si="10"/>
        <v>0</v>
      </c>
      <c r="Z159" s="4">
        <v>514</v>
      </c>
      <c r="AA159" s="4">
        <v>1</v>
      </c>
      <c r="AB159" s="2" t="s">
        <v>158</v>
      </c>
      <c r="AC159" s="209">
        <v>0</v>
      </c>
      <c r="AD159" s="209">
        <v>4531.68</v>
      </c>
      <c r="AE159" s="209">
        <v>4400.95</v>
      </c>
      <c r="AF159" s="209">
        <v>130.72999999999999</v>
      </c>
      <c r="AG159" s="209">
        <v>0</v>
      </c>
      <c r="AH159" s="209">
        <v>0</v>
      </c>
    </row>
    <row r="160" spans="1:34" x14ac:dyDescent="0.2">
      <c r="A160" s="4">
        <v>518</v>
      </c>
      <c r="B160" s="4">
        <v>1</v>
      </c>
      <c r="C160" s="2" t="s">
        <v>160</v>
      </c>
      <c r="D160" s="183">
        <v>27386.980000000003</v>
      </c>
      <c r="E160" s="183">
        <v>6667.54</v>
      </c>
      <c r="F160" s="183">
        <v>69629.070000000007</v>
      </c>
      <c r="G160" s="183">
        <v>0</v>
      </c>
      <c r="H160" s="3">
        <f t="shared" si="11"/>
        <v>103683.59000000001</v>
      </c>
      <c r="J160" s="209">
        <v>0</v>
      </c>
      <c r="K160" s="209">
        <v>0</v>
      </c>
      <c r="L160" s="209">
        <v>0</v>
      </c>
      <c r="M160" s="209">
        <v>0</v>
      </c>
      <c r="N160" s="209">
        <f t="shared" si="9"/>
        <v>0</v>
      </c>
      <c r="P160" s="4"/>
      <c r="Q160" s="4"/>
      <c r="Y160" s="2">
        <f t="shared" si="10"/>
        <v>0</v>
      </c>
      <c r="Z160" s="4">
        <v>518</v>
      </c>
      <c r="AA160" s="4">
        <v>1</v>
      </c>
      <c r="AB160" s="2" t="s">
        <v>160</v>
      </c>
      <c r="AC160" s="209">
        <v>0</v>
      </c>
      <c r="AD160" s="209">
        <v>103683.59</v>
      </c>
      <c r="AE160" s="209">
        <v>27386.980000000003</v>
      </c>
      <c r="AF160" s="209">
        <v>6667.54</v>
      </c>
      <c r="AG160" s="209">
        <v>69629.070000000007</v>
      </c>
      <c r="AH160" s="209">
        <v>0</v>
      </c>
    </row>
    <row r="161" spans="1:34" x14ac:dyDescent="0.2">
      <c r="A161" s="4">
        <v>531</v>
      </c>
      <c r="B161" s="4">
        <v>1</v>
      </c>
      <c r="C161" s="2" t="s">
        <v>161</v>
      </c>
      <c r="D161" s="183">
        <v>3619.15</v>
      </c>
      <c r="E161" s="183">
        <v>882.86</v>
      </c>
      <c r="F161" s="183">
        <v>19620.550000000003</v>
      </c>
      <c r="G161" s="183">
        <v>0</v>
      </c>
      <c r="H161" s="3">
        <f t="shared" si="11"/>
        <v>24122.560000000005</v>
      </c>
      <c r="J161" s="209">
        <v>0</v>
      </c>
      <c r="K161" s="209">
        <v>0</v>
      </c>
      <c r="L161" s="209">
        <v>0</v>
      </c>
      <c r="M161" s="209">
        <v>0</v>
      </c>
      <c r="N161" s="209">
        <f t="shared" si="9"/>
        <v>0</v>
      </c>
      <c r="P161" s="4"/>
      <c r="Q161" s="4"/>
      <c r="Y161" s="2">
        <f t="shared" si="10"/>
        <v>0</v>
      </c>
      <c r="Z161" s="4">
        <v>531</v>
      </c>
      <c r="AA161" s="4">
        <v>1</v>
      </c>
      <c r="AB161" s="2" t="s">
        <v>161</v>
      </c>
      <c r="AC161" s="209">
        <v>0</v>
      </c>
      <c r="AD161" s="209">
        <v>24122.560000000005</v>
      </c>
      <c r="AE161" s="209">
        <v>3619.15</v>
      </c>
      <c r="AF161" s="209">
        <v>882.86</v>
      </c>
      <c r="AG161" s="209">
        <v>19620.550000000003</v>
      </c>
      <c r="AH161" s="209">
        <v>0</v>
      </c>
    </row>
    <row r="162" spans="1:34" x14ac:dyDescent="0.2">
      <c r="A162" s="4">
        <v>533</v>
      </c>
      <c r="B162" s="4">
        <v>1</v>
      </c>
      <c r="C162" s="2" t="s">
        <v>162</v>
      </c>
      <c r="D162" s="183">
        <v>3222.24</v>
      </c>
      <c r="E162" s="183">
        <v>857.96</v>
      </c>
      <c r="F162" s="183">
        <v>17636.09</v>
      </c>
      <c r="G162" s="183">
        <v>0</v>
      </c>
      <c r="H162" s="3">
        <f t="shared" si="11"/>
        <v>21716.29</v>
      </c>
      <c r="J162" s="209">
        <v>0</v>
      </c>
      <c r="K162" s="209">
        <v>0</v>
      </c>
      <c r="L162" s="209">
        <v>0</v>
      </c>
      <c r="M162" s="209">
        <v>0</v>
      </c>
      <c r="N162" s="209">
        <f t="shared" si="9"/>
        <v>0</v>
      </c>
      <c r="P162" s="4"/>
      <c r="Q162" s="4"/>
      <c r="Y162" s="2">
        <f t="shared" si="10"/>
        <v>0</v>
      </c>
      <c r="Z162" s="4">
        <v>533</v>
      </c>
      <c r="AA162" s="4">
        <v>1</v>
      </c>
      <c r="AB162" s="2" t="s">
        <v>162</v>
      </c>
      <c r="AC162" s="209">
        <v>0</v>
      </c>
      <c r="AD162" s="209">
        <v>21716.289999999997</v>
      </c>
      <c r="AE162" s="209">
        <v>3222.24</v>
      </c>
      <c r="AF162" s="209">
        <v>857.96</v>
      </c>
      <c r="AG162" s="209">
        <v>17636.09</v>
      </c>
      <c r="AH162" s="209">
        <v>0</v>
      </c>
    </row>
    <row r="163" spans="1:34" x14ac:dyDescent="0.2">
      <c r="A163" s="4">
        <v>534</v>
      </c>
      <c r="B163" s="4">
        <v>1</v>
      </c>
      <c r="C163" s="2" t="s">
        <v>163</v>
      </c>
      <c r="D163" s="183">
        <v>8341.9399999999987</v>
      </c>
      <c r="E163" s="183">
        <v>1018.3900000000001</v>
      </c>
      <c r="F163" s="183">
        <v>15390.03</v>
      </c>
      <c r="G163" s="183">
        <v>0</v>
      </c>
      <c r="H163" s="3">
        <f t="shared" si="11"/>
        <v>24750.36</v>
      </c>
      <c r="J163" s="209">
        <v>0</v>
      </c>
      <c r="K163" s="209">
        <v>0</v>
      </c>
      <c r="L163" s="209">
        <v>0</v>
      </c>
      <c r="M163" s="209">
        <v>0</v>
      </c>
      <c r="N163" s="209">
        <f t="shared" si="9"/>
        <v>0</v>
      </c>
      <c r="P163" s="4"/>
      <c r="Q163" s="4"/>
      <c r="Y163" s="2">
        <f t="shared" si="10"/>
        <v>0</v>
      </c>
      <c r="Z163" s="4">
        <v>534</v>
      </c>
      <c r="AA163" s="4">
        <v>1</v>
      </c>
      <c r="AB163" s="2" t="s">
        <v>163</v>
      </c>
      <c r="AC163" s="209">
        <v>0</v>
      </c>
      <c r="AD163" s="209">
        <v>24750.359999999997</v>
      </c>
      <c r="AE163" s="209">
        <v>8341.9399999999987</v>
      </c>
      <c r="AF163" s="209">
        <v>1018.3900000000001</v>
      </c>
      <c r="AG163" s="209">
        <v>15390.03</v>
      </c>
      <c r="AH163" s="209">
        <v>0</v>
      </c>
    </row>
    <row r="164" spans="1:34" x14ac:dyDescent="0.2">
      <c r="A164" s="4">
        <v>535</v>
      </c>
      <c r="B164" s="4">
        <v>1</v>
      </c>
      <c r="C164" s="2" t="s">
        <v>164</v>
      </c>
      <c r="D164" s="183">
        <v>14540.419999999996</v>
      </c>
      <c r="E164" s="183">
        <v>1921.81</v>
      </c>
      <c r="F164" s="183">
        <v>11351.649999999998</v>
      </c>
      <c r="G164" s="183">
        <v>0</v>
      </c>
      <c r="H164" s="3">
        <f t="shared" si="11"/>
        <v>27813.879999999994</v>
      </c>
      <c r="J164" s="209">
        <v>0</v>
      </c>
      <c r="K164" s="209">
        <v>0</v>
      </c>
      <c r="L164" s="209">
        <v>0</v>
      </c>
      <c r="M164" s="209">
        <v>0</v>
      </c>
      <c r="N164" s="209">
        <f t="shared" si="9"/>
        <v>0</v>
      </c>
      <c r="P164" s="4"/>
      <c r="Q164" s="4"/>
      <c r="Y164" s="2">
        <f t="shared" si="10"/>
        <v>0</v>
      </c>
      <c r="Z164" s="4">
        <v>535</v>
      </c>
      <c r="AA164" s="4">
        <v>1</v>
      </c>
      <c r="AB164" s="2" t="s">
        <v>164</v>
      </c>
      <c r="AC164" s="209">
        <v>0</v>
      </c>
      <c r="AD164" s="209">
        <v>27813.879999999994</v>
      </c>
      <c r="AE164" s="209">
        <v>14540.419999999996</v>
      </c>
      <c r="AF164" s="209">
        <v>1921.81</v>
      </c>
      <c r="AG164" s="209">
        <v>11351.649999999998</v>
      </c>
      <c r="AH164" s="209">
        <v>0</v>
      </c>
    </row>
    <row r="165" spans="1:34" x14ac:dyDescent="0.2">
      <c r="A165" s="4">
        <v>542</v>
      </c>
      <c r="B165" s="4">
        <v>1</v>
      </c>
      <c r="C165" s="2" t="s">
        <v>165</v>
      </c>
      <c r="D165" s="183">
        <v>4368.0600000000004</v>
      </c>
      <c r="E165" s="183">
        <v>393.06999999999994</v>
      </c>
      <c r="F165" s="183">
        <v>4593.7</v>
      </c>
      <c r="G165" s="183">
        <v>0</v>
      </c>
      <c r="H165" s="3">
        <f t="shared" si="11"/>
        <v>9354.83</v>
      </c>
      <c r="J165" s="209">
        <v>0</v>
      </c>
      <c r="K165" s="209">
        <v>0</v>
      </c>
      <c r="L165" s="209">
        <v>0</v>
      </c>
      <c r="M165" s="209">
        <v>0</v>
      </c>
      <c r="N165" s="209">
        <f t="shared" si="9"/>
        <v>0</v>
      </c>
      <c r="P165" s="4"/>
      <c r="Q165" s="4"/>
      <c r="Y165" s="2">
        <f t="shared" si="10"/>
        <v>0</v>
      </c>
      <c r="Z165" s="4">
        <v>542</v>
      </c>
      <c r="AA165" s="4">
        <v>1</v>
      </c>
      <c r="AB165" s="2" t="s">
        <v>165</v>
      </c>
      <c r="AC165" s="209">
        <v>0</v>
      </c>
      <c r="AD165" s="209">
        <v>9354.83</v>
      </c>
      <c r="AE165" s="209">
        <v>4368.0600000000004</v>
      </c>
      <c r="AF165" s="209">
        <v>393.06999999999994</v>
      </c>
      <c r="AG165" s="209">
        <v>4593.7</v>
      </c>
      <c r="AH165" s="209">
        <v>0</v>
      </c>
    </row>
    <row r="166" spans="1:34" x14ac:dyDescent="0.2">
      <c r="A166" s="4">
        <v>544</v>
      </c>
      <c r="B166" s="4">
        <v>1</v>
      </c>
      <c r="C166" s="2" t="s">
        <v>166</v>
      </c>
      <c r="D166" s="183">
        <v>9355.869999999999</v>
      </c>
      <c r="E166" s="183">
        <v>2289.1</v>
      </c>
      <c r="F166" s="183">
        <v>23179.67</v>
      </c>
      <c r="G166" s="183">
        <v>0</v>
      </c>
      <c r="H166" s="3">
        <f t="shared" si="11"/>
        <v>34824.639999999999</v>
      </c>
      <c r="J166" s="209">
        <v>0</v>
      </c>
      <c r="K166" s="209">
        <v>0</v>
      </c>
      <c r="L166" s="209">
        <v>0</v>
      </c>
      <c r="M166" s="209">
        <v>0</v>
      </c>
      <c r="N166" s="209">
        <f t="shared" si="9"/>
        <v>0</v>
      </c>
      <c r="P166" s="4"/>
      <c r="Q166" s="4"/>
      <c r="Y166" s="2">
        <f t="shared" si="10"/>
        <v>0</v>
      </c>
      <c r="Z166" s="4">
        <v>544</v>
      </c>
      <c r="AA166" s="4">
        <v>1</v>
      </c>
      <c r="AB166" s="2" t="s">
        <v>166</v>
      </c>
      <c r="AC166" s="209">
        <v>0</v>
      </c>
      <c r="AD166" s="209">
        <v>34824.639999999999</v>
      </c>
      <c r="AE166" s="209">
        <v>9355.869999999999</v>
      </c>
      <c r="AF166" s="209">
        <v>2289.1</v>
      </c>
      <c r="AG166" s="209">
        <v>23179.67</v>
      </c>
      <c r="AH166" s="209">
        <v>0</v>
      </c>
    </row>
    <row r="167" spans="1:34" x14ac:dyDescent="0.2">
      <c r="A167" s="4">
        <v>545</v>
      </c>
      <c r="B167" s="4">
        <v>1</v>
      </c>
      <c r="C167" s="2" t="s">
        <v>167</v>
      </c>
      <c r="D167" s="183">
        <v>6251.5</v>
      </c>
      <c r="E167" s="183">
        <v>1249.51</v>
      </c>
      <c r="F167" s="183">
        <v>0</v>
      </c>
      <c r="G167" s="183">
        <v>0</v>
      </c>
      <c r="H167" s="3">
        <f t="shared" si="11"/>
        <v>7501.01</v>
      </c>
      <c r="J167" s="209">
        <v>0</v>
      </c>
      <c r="K167" s="209">
        <v>0</v>
      </c>
      <c r="L167" s="209">
        <v>0</v>
      </c>
      <c r="M167" s="209">
        <v>0</v>
      </c>
      <c r="N167" s="209">
        <f t="shared" si="9"/>
        <v>0</v>
      </c>
      <c r="P167" s="4"/>
      <c r="Q167" s="4"/>
      <c r="Y167" s="2">
        <f t="shared" si="10"/>
        <v>0</v>
      </c>
      <c r="Z167" s="4">
        <v>545</v>
      </c>
      <c r="AA167" s="4">
        <v>1</v>
      </c>
      <c r="AB167" s="2" t="s">
        <v>167</v>
      </c>
      <c r="AC167" s="209">
        <v>0</v>
      </c>
      <c r="AD167" s="209">
        <v>7501.01</v>
      </c>
      <c r="AE167" s="209">
        <v>6251.5</v>
      </c>
      <c r="AF167" s="209">
        <v>1249.51</v>
      </c>
      <c r="AG167" s="209">
        <v>0</v>
      </c>
      <c r="AH167" s="209">
        <v>0</v>
      </c>
    </row>
    <row r="168" spans="1:34" x14ac:dyDescent="0.2">
      <c r="A168" s="4">
        <v>547</v>
      </c>
      <c r="B168" s="4">
        <v>1</v>
      </c>
      <c r="C168" s="2" t="s">
        <v>168</v>
      </c>
      <c r="D168" s="183">
        <v>5526.8300000000008</v>
      </c>
      <c r="E168" s="183">
        <v>1120.7900000000002</v>
      </c>
      <c r="F168" s="183">
        <v>11021.34</v>
      </c>
      <c r="G168" s="183">
        <v>0</v>
      </c>
      <c r="H168" s="3">
        <f t="shared" si="11"/>
        <v>17668.96</v>
      </c>
      <c r="J168" s="209">
        <v>0</v>
      </c>
      <c r="K168" s="209">
        <v>0</v>
      </c>
      <c r="L168" s="209">
        <v>0</v>
      </c>
      <c r="M168" s="209">
        <v>0</v>
      </c>
      <c r="N168" s="209">
        <f t="shared" si="9"/>
        <v>0</v>
      </c>
      <c r="P168" s="4"/>
      <c r="Q168" s="4"/>
      <c r="Y168" s="2">
        <f t="shared" si="10"/>
        <v>0</v>
      </c>
      <c r="Z168" s="4">
        <v>547</v>
      </c>
      <c r="AA168" s="4">
        <v>1</v>
      </c>
      <c r="AB168" s="2" t="s">
        <v>168</v>
      </c>
      <c r="AC168" s="209">
        <v>0</v>
      </c>
      <c r="AD168" s="209">
        <v>17668.96</v>
      </c>
      <c r="AE168" s="209">
        <v>5526.8300000000008</v>
      </c>
      <c r="AF168" s="209">
        <v>1120.7900000000002</v>
      </c>
      <c r="AG168" s="209">
        <v>11021.34</v>
      </c>
      <c r="AH168" s="209">
        <v>0</v>
      </c>
    </row>
    <row r="169" spans="1:34" x14ac:dyDescent="0.2">
      <c r="A169" s="4">
        <v>548</v>
      </c>
      <c r="B169" s="4">
        <v>1</v>
      </c>
      <c r="C169" s="2" t="s">
        <v>169</v>
      </c>
      <c r="D169" s="183">
        <v>3845.41</v>
      </c>
      <c r="E169" s="183">
        <v>937.69999999999993</v>
      </c>
      <c r="F169" s="183">
        <v>19360.68</v>
      </c>
      <c r="G169" s="183">
        <v>1260.4900000000002</v>
      </c>
      <c r="H169" s="3">
        <f t="shared" si="11"/>
        <v>25404.280000000002</v>
      </c>
      <c r="J169" s="209">
        <v>0</v>
      </c>
      <c r="K169" s="209">
        <v>0</v>
      </c>
      <c r="L169" s="209">
        <v>0</v>
      </c>
      <c r="M169" s="209">
        <v>0</v>
      </c>
      <c r="N169" s="209">
        <f t="shared" si="9"/>
        <v>0</v>
      </c>
      <c r="P169" s="4"/>
      <c r="Q169" s="4"/>
      <c r="Y169" s="2">
        <f t="shared" si="10"/>
        <v>0</v>
      </c>
      <c r="Z169" s="4">
        <v>548</v>
      </c>
      <c r="AA169" s="4">
        <v>1</v>
      </c>
      <c r="AB169" s="2" t="s">
        <v>169</v>
      </c>
      <c r="AC169" s="209">
        <v>0</v>
      </c>
      <c r="AD169" s="209">
        <v>25404.280000000002</v>
      </c>
      <c r="AE169" s="209">
        <v>3845.41</v>
      </c>
      <c r="AF169" s="209">
        <v>937.69999999999993</v>
      </c>
      <c r="AG169" s="209">
        <v>19360.68</v>
      </c>
      <c r="AH169" s="209">
        <v>1260.4900000000002</v>
      </c>
    </row>
    <row r="170" spans="1:34" x14ac:dyDescent="0.2">
      <c r="A170" s="4">
        <v>549</v>
      </c>
      <c r="B170" s="4">
        <v>1</v>
      </c>
      <c r="C170" s="2" t="s">
        <v>1187</v>
      </c>
      <c r="D170" s="183">
        <v>10185.460000000003</v>
      </c>
      <c r="E170" s="183">
        <v>1333.95</v>
      </c>
      <c r="F170" s="183">
        <v>899.29999999999984</v>
      </c>
      <c r="G170" s="183">
        <v>10994.83</v>
      </c>
      <c r="H170" s="3">
        <f t="shared" si="11"/>
        <v>23413.54</v>
      </c>
      <c r="J170" s="209">
        <v>0</v>
      </c>
      <c r="K170" s="209">
        <v>0</v>
      </c>
      <c r="L170" s="209">
        <v>0</v>
      </c>
      <c r="M170" s="209">
        <v>0</v>
      </c>
      <c r="N170" s="209">
        <f t="shared" si="9"/>
        <v>0</v>
      </c>
      <c r="P170" s="4"/>
      <c r="Q170" s="4"/>
      <c r="Y170" s="2">
        <f t="shared" si="10"/>
        <v>0</v>
      </c>
      <c r="Z170" s="4">
        <v>549</v>
      </c>
      <c r="AA170" s="4">
        <v>1</v>
      </c>
      <c r="AB170" s="2" t="s">
        <v>1187</v>
      </c>
      <c r="AC170" s="209">
        <v>0</v>
      </c>
      <c r="AD170" s="209">
        <v>23413.54</v>
      </c>
      <c r="AE170" s="209">
        <v>10185.460000000003</v>
      </c>
      <c r="AF170" s="209">
        <v>1333.95</v>
      </c>
      <c r="AG170" s="209">
        <v>899.29999999999984</v>
      </c>
      <c r="AH170" s="209">
        <v>10994.83</v>
      </c>
    </row>
    <row r="171" spans="1:34" x14ac:dyDescent="0.2">
      <c r="A171" s="4">
        <v>550</v>
      </c>
      <c r="B171" s="4">
        <v>1</v>
      </c>
      <c r="C171" s="2" t="s">
        <v>171</v>
      </c>
      <c r="D171" s="183">
        <v>408.08000000000021</v>
      </c>
      <c r="E171" s="183">
        <v>778.3900000000001</v>
      </c>
      <c r="F171" s="183">
        <v>15873.840000000002</v>
      </c>
      <c r="G171" s="183">
        <v>0</v>
      </c>
      <c r="H171" s="3">
        <f t="shared" si="11"/>
        <v>17060.310000000001</v>
      </c>
      <c r="J171" s="209">
        <v>0</v>
      </c>
      <c r="K171" s="209">
        <v>0</v>
      </c>
      <c r="L171" s="209">
        <v>0</v>
      </c>
      <c r="M171" s="209">
        <v>0</v>
      </c>
      <c r="N171" s="209">
        <f t="shared" si="9"/>
        <v>0</v>
      </c>
      <c r="P171" s="4"/>
      <c r="Q171" s="4"/>
      <c r="Y171" s="2">
        <f t="shared" si="10"/>
        <v>0</v>
      </c>
      <c r="Z171" s="4">
        <v>550</v>
      </c>
      <c r="AA171" s="4">
        <v>1</v>
      </c>
      <c r="AB171" s="2" t="s">
        <v>171</v>
      </c>
      <c r="AC171" s="209">
        <v>0</v>
      </c>
      <c r="AD171" s="209">
        <v>17060.309999999998</v>
      </c>
      <c r="AE171" s="209">
        <v>408.08000000000021</v>
      </c>
      <c r="AF171" s="209">
        <v>778.3900000000001</v>
      </c>
      <c r="AG171" s="209">
        <v>15873.840000000002</v>
      </c>
      <c r="AH171" s="209">
        <v>0</v>
      </c>
    </row>
    <row r="172" spans="1:34" x14ac:dyDescent="0.2">
      <c r="A172" s="4">
        <v>553</v>
      </c>
      <c r="B172" s="4">
        <v>1</v>
      </c>
      <c r="C172" s="2" t="s">
        <v>172</v>
      </c>
      <c r="D172" s="183">
        <v>2707.4300000000003</v>
      </c>
      <c r="E172" s="183">
        <v>2045.0299999999997</v>
      </c>
      <c r="F172" s="183">
        <v>33761.089999999997</v>
      </c>
      <c r="G172" s="183">
        <v>0</v>
      </c>
      <c r="H172" s="3">
        <f t="shared" si="11"/>
        <v>38513.549999999996</v>
      </c>
      <c r="J172" s="209">
        <v>0</v>
      </c>
      <c r="K172" s="209">
        <v>0</v>
      </c>
      <c r="L172" s="209">
        <v>0</v>
      </c>
      <c r="M172" s="209">
        <v>0</v>
      </c>
      <c r="N172" s="209">
        <f t="shared" si="9"/>
        <v>0</v>
      </c>
      <c r="P172" s="4"/>
      <c r="Q172" s="4"/>
      <c r="Y172" s="2">
        <f t="shared" si="10"/>
        <v>0</v>
      </c>
      <c r="Z172" s="4">
        <v>553</v>
      </c>
      <c r="AA172" s="4">
        <v>1</v>
      </c>
      <c r="AB172" s="2" t="s">
        <v>172</v>
      </c>
      <c r="AC172" s="209">
        <v>0</v>
      </c>
      <c r="AD172" s="209">
        <v>38513.550000000003</v>
      </c>
      <c r="AE172" s="209">
        <v>2707.4300000000003</v>
      </c>
      <c r="AF172" s="209">
        <v>2045.0299999999997</v>
      </c>
      <c r="AG172" s="209">
        <v>33761.089999999997</v>
      </c>
      <c r="AH172" s="209">
        <v>0</v>
      </c>
    </row>
    <row r="173" spans="1:34" x14ac:dyDescent="0.2">
      <c r="A173" s="4">
        <v>561</v>
      </c>
      <c r="B173" s="4">
        <v>1</v>
      </c>
      <c r="C173" s="2" t="s">
        <v>173</v>
      </c>
      <c r="D173" s="183">
        <v>10226.629999999999</v>
      </c>
      <c r="E173" s="183">
        <v>3014.14</v>
      </c>
      <c r="F173" s="183">
        <v>0</v>
      </c>
      <c r="G173" s="183">
        <v>0</v>
      </c>
      <c r="H173" s="3">
        <f t="shared" si="11"/>
        <v>13240.769999999999</v>
      </c>
      <c r="J173" s="209">
        <v>0</v>
      </c>
      <c r="K173" s="209">
        <v>0</v>
      </c>
      <c r="L173" s="209">
        <v>0</v>
      </c>
      <c r="M173" s="209">
        <v>0</v>
      </c>
      <c r="N173" s="209">
        <f t="shared" si="9"/>
        <v>0</v>
      </c>
      <c r="P173" s="4"/>
      <c r="Q173" s="4"/>
      <c r="Y173" s="2">
        <f t="shared" si="10"/>
        <v>0</v>
      </c>
      <c r="Z173" s="4">
        <v>561</v>
      </c>
      <c r="AA173" s="4">
        <v>1</v>
      </c>
      <c r="AB173" s="2" t="s">
        <v>173</v>
      </c>
      <c r="AC173" s="209">
        <v>0</v>
      </c>
      <c r="AD173" s="209">
        <v>13240.77</v>
      </c>
      <c r="AE173" s="209">
        <v>10226.629999999999</v>
      </c>
      <c r="AF173" s="209">
        <v>3014.14</v>
      </c>
      <c r="AG173" s="209">
        <v>0</v>
      </c>
      <c r="AH173" s="209">
        <v>0</v>
      </c>
    </row>
    <row r="174" spans="1:34" x14ac:dyDescent="0.2">
      <c r="A174" s="4">
        <v>564</v>
      </c>
      <c r="B174" s="4">
        <v>1</v>
      </c>
      <c r="C174" s="2" t="s">
        <v>1188</v>
      </c>
      <c r="D174" s="183">
        <v>20541.5</v>
      </c>
      <c r="E174" s="183">
        <v>5135.41</v>
      </c>
      <c r="F174" s="183">
        <v>86204.840000000011</v>
      </c>
      <c r="G174" s="183">
        <v>7593.43</v>
      </c>
      <c r="H174" s="3">
        <f t="shared" si="11"/>
        <v>119475.18000000002</v>
      </c>
      <c r="J174" s="209">
        <v>0</v>
      </c>
      <c r="K174" s="209">
        <v>0</v>
      </c>
      <c r="L174" s="209">
        <v>0</v>
      </c>
      <c r="M174" s="209">
        <v>0</v>
      </c>
      <c r="N174" s="209">
        <f t="shared" si="9"/>
        <v>0</v>
      </c>
      <c r="P174" s="4"/>
      <c r="Q174" s="4"/>
      <c r="Y174" s="2">
        <f t="shared" si="10"/>
        <v>0</v>
      </c>
      <c r="Z174" s="4">
        <v>564</v>
      </c>
      <c r="AA174" s="4">
        <v>1</v>
      </c>
      <c r="AB174" s="2" t="s">
        <v>1188</v>
      </c>
      <c r="AC174" s="209">
        <v>0</v>
      </c>
      <c r="AD174" s="209">
        <v>119475.18</v>
      </c>
      <c r="AE174" s="209">
        <v>20541.5</v>
      </c>
      <c r="AF174" s="209">
        <v>5135.41</v>
      </c>
      <c r="AG174" s="209">
        <v>86204.840000000011</v>
      </c>
      <c r="AH174" s="209">
        <v>7593.43</v>
      </c>
    </row>
    <row r="175" spans="1:34" x14ac:dyDescent="0.2">
      <c r="A175" s="4">
        <v>577</v>
      </c>
      <c r="B175" s="4">
        <v>1</v>
      </c>
      <c r="C175" s="2" t="s">
        <v>175</v>
      </c>
      <c r="D175" s="183">
        <v>2887.4200000000005</v>
      </c>
      <c r="E175" s="183">
        <v>703.73</v>
      </c>
      <c r="F175" s="183">
        <v>3048.2200000000003</v>
      </c>
      <c r="G175" s="183">
        <v>0</v>
      </c>
      <c r="H175" s="3">
        <f t="shared" si="11"/>
        <v>6639.3700000000008</v>
      </c>
      <c r="J175" s="209">
        <v>0</v>
      </c>
      <c r="K175" s="209">
        <v>0</v>
      </c>
      <c r="L175" s="209">
        <v>0</v>
      </c>
      <c r="M175" s="209">
        <v>0</v>
      </c>
      <c r="N175" s="209">
        <f t="shared" si="9"/>
        <v>0</v>
      </c>
      <c r="P175" s="4"/>
      <c r="Q175" s="4"/>
      <c r="Y175" s="2">
        <f t="shared" si="10"/>
        <v>0</v>
      </c>
      <c r="Z175" s="4">
        <v>577</v>
      </c>
      <c r="AA175" s="4">
        <v>1</v>
      </c>
      <c r="AB175" s="2" t="s">
        <v>175</v>
      </c>
      <c r="AC175" s="209">
        <v>0</v>
      </c>
      <c r="AD175" s="209">
        <v>6639.369999999999</v>
      </c>
      <c r="AE175" s="209">
        <v>2887.4200000000005</v>
      </c>
      <c r="AF175" s="209">
        <v>703.73</v>
      </c>
      <c r="AG175" s="209">
        <v>3048.2200000000003</v>
      </c>
      <c r="AH175" s="209">
        <v>0</v>
      </c>
    </row>
    <row r="176" spans="1:34" x14ac:dyDescent="0.2">
      <c r="A176" s="4">
        <v>578</v>
      </c>
      <c r="B176" s="4">
        <v>1</v>
      </c>
      <c r="C176" s="2" t="s">
        <v>176</v>
      </c>
      <c r="D176" s="183">
        <v>7092.119999999999</v>
      </c>
      <c r="E176" s="183">
        <v>1568.18</v>
      </c>
      <c r="F176" s="183">
        <v>19334.869999999995</v>
      </c>
      <c r="G176" s="183">
        <v>0</v>
      </c>
      <c r="H176" s="3">
        <f t="shared" si="11"/>
        <v>27995.169999999995</v>
      </c>
      <c r="J176" s="209">
        <v>0</v>
      </c>
      <c r="K176" s="209">
        <v>0</v>
      </c>
      <c r="L176" s="209">
        <v>0</v>
      </c>
      <c r="M176" s="209">
        <v>0</v>
      </c>
      <c r="N176" s="209">
        <f t="shared" si="9"/>
        <v>0</v>
      </c>
      <c r="P176" s="4"/>
      <c r="Q176" s="4"/>
      <c r="Y176" s="2">
        <f t="shared" si="10"/>
        <v>0</v>
      </c>
      <c r="Z176" s="4">
        <v>578</v>
      </c>
      <c r="AA176" s="4">
        <v>1</v>
      </c>
      <c r="AB176" s="2" t="s">
        <v>176</v>
      </c>
      <c r="AC176" s="209">
        <v>0</v>
      </c>
      <c r="AD176" s="209">
        <v>27995.169999999995</v>
      </c>
      <c r="AE176" s="209">
        <v>7092.119999999999</v>
      </c>
      <c r="AF176" s="209">
        <v>1568.18</v>
      </c>
      <c r="AG176" s="209">
        <v>19334.869999999995</v>
      </c>
      <c r="AH176" s="209">
        <v>0</v>
      </c>
    </row>
    <row r="177" spans="1:34" x14ac:dyDescent="0.2">
      <c r="A177" s="4">
        <v>581</v>
      </c>
      <c r="B177" s="4">
        <v>1</v>
      </c>
      <c r="C177" s="2" t="s">
        <v>177</v>
      </c>
      <c r="D177" s="183">
        <v>11543.53</v>
      </c>
      <c r="E177" s="183">
        <v>2443.7199999999998</v>
      </c>
      <c r="F177" s="183">
        <v>4472.55</v>
      </c>
      <c r="G177" s="183">
        <v>0</v>
      </c>
      <c r="H177" s="3">
        <f t="shared" si="11"/>
        <v>18459.8</v>
      </c>
      <c r="J177" s="209">
        <v>0</v>
      </c>
      <c r="K177" s="209">
        <v>0</v>
      </c>
      <c r="L177" s="209">
        <v>0</v>
      </c>
      <c r="M177" s="209">
        <v>0</v>
      </c>
      <c r="N177" s="209">
        <f t="shared" si="9"/>
        <v>0</v>
      </c>
      <c r="P177" s="4"/>
      <c r="Q177" s="4"/>
      <c r="Y177" s="2">
        <f t="shared" si="10"/>
        <v>0</v>
      </c>
      <c r="Z177" s="4">
        <v>581</v>
      </c>
      <c r="AA177" s="4">
        <v>1</v>
      </c>
      <c r="AB177" s="2" t="s">
        <v>177</v>
      </c>
      <c r="AC177" s="209">
        <v>0</v>
      </c>
      <c r="AD177" s="209">
        <v>18459.8</v>
      </c>
      <c r="AE177" s="209">
        <v>11543.53</v>
      </c>
      <c r="AF177" s="209">
        <v>2443.7199999999998</v>
      </c>
      <c r="AG177" s="209">
        <v>4472.55</v>
      </c>
      <c r="AH177" s="209">
        <v>0</v>
      </c>
    </row>
    <row r="178" spans="1:34" x14ac:dyDescent="0.2">
      <c r="A178" s="4">
        <v>592</v>
      </c>
      <c r="B178" s="4">
        <v>1</v>
      </c>
      <c r="C178" s="2" t="s">
        <v>1189</v>
      </c>
      <c r="D178" s="183">
        <v>2768.08</v>
      </c>
      <c r="E178" s="183">
        <v>300.46000000000004</v>
      </c>
      <c r="F178" s="183">
        <v>1477.58</v>
      </c>
      <c r="G178" s="183">
        <v>0</v>
      </c>
      <c r="H178" s="3">
        <f t="shared" si="11"/>
        <v>4546.12</v>
      </c>
      <c r="J178" s="209">
        <v>0</v>
      </c>
      <c r="K178" s="209">
        <v>0</v>
      </c>
      <c r="L178" s="209">
        <v>0</v>
      </c>
      <c r="M178" s="209">
        <v>0</v>
      </c>
      <c r="N178" s="209">
        <f t="shared" si="9"/>
        <v>0</v>
      </c>
      <c r="P178" s="4"/>
      <c r="Q178" s="4"/>
      <c r="Y178" s="2">
        <f t="shared" si="10"/>
        <v>0</v>
      </c>
      <c r="Z178" s="4">
        <v>592</v>
      </c>
      <c r="AA178" s="4">
        <v>1</v>
      </c>
      <c r="AB178" s="2" t="s">
        <v>1189</v>
      </c>
      <c r="AC178" s="209">
        <v>0</v>
      </c>
      <c r="AD178" s="209">
        <v>4546.12</v>
      </c>
      <c r="AE178" s="209">
        <v>2768.08</v>
      </c>
      <c r="AF178" s="209">
        <v>300.46000000000004</v>
      </c>
      <c r="AG178" s="209">
        <v>1477.58</v>
      </c>
      <c r="AH178" s="209">
        <v>0</v>
      </c>
    </row>
    <row r="179" spans="1:34" x14ac:dyDescent="0.2">
      <c r="A179" s="4">
        <v>593</v>
      </c>
      <c r="B179" s="4">
        <v>1</v>
      </c>
      <c r="C179" s="2" t="s">
        <v>179</v>
      </c>
      <c r="D179" s="183">
        <v>26945.89</v>
      </c>
      <c r="E179" s="183">
        <v>5218.59</v>
      </c>
      <c r="F179" s="183">
        <v>35501.440000000002</v>
      </c>
      <c r="G179" s="183">
        <v>0</v>
      </c>
      <c r="H179" s="3">
        <f t="shared" si="11"/>
        <v>67665.919999999998</v>
      </c>
      <c r="J179" s="209">
        <v>0</v>
      </c>
      <c r="K179" s="209">
        <v>0</v>
      </c>
      <c r="L179" s="209">
        <v>0</v>
      </c>
      <c r="M179" s="209">
        <v>0</v>
      </c>
      <c r="N179" s="209">
        <f t="shared" si="9"/>
        <v>0</v>
      </c>
      <c r="P179" s="4"/>
      <c r="Q179" s="4"/>
      <c r="Y179" s="2">
        <f t="shared" si="10"/>
        <v>0</v>
      </c>
      <c r="Z179" s="4">
        <v>593</v>
      </c>
      <c r="AA179" s="4">
        <v>1</v>
      </c>
      <c r="AB179" s="2" t="s">
        <v>179</v>
      </c>
      <c r="AC179" s="209">
        <v>0</v>
      </c>
      <c r="AD179" s="209">
        <v>67665.919999999998</v>
      </c>
      <c r="AE179" s="209">
        <v>26945.89</v>
      </c>
      <c r="AF179" s="209">
        <v>5218.59</v>
      </c>
      <c r="AG179" s="209">
        <v>35501.440000000002</v>
      </c>
      <c r="AH179" s="209">
        <v>0</v>
      </c>
    </row>
    <row r="180" spans="1:34" x14ac:dyDescent="0.2">
      <c r="A180" s="4">
        <v>595</v>
      </c>
      <c r="B180" s="4">
        <v>1</v>
      </c>
      <c r="C180" s="2" t="s">
        <v>180</v>
      </c>
      <c r="D180" s="183">
        <v>52295.689999999995</v>
      </c>
      <c r="E180" s="183">
        <v>12542.46</v>
      </c>
      <c r="F180" s="183">
        <v>60278.22</v>
      </c>
      <c r="G180" s="183">
        <v>0</v>
      </c>
      <c r="H180" s="3">
        <f t="shared" si="11"/>
        <v>125116.37</v>
      </c>
      <c r="J180" s="209">
        <v>0</v>
      </c>
      <c r="K180" s="209">
        <v>0</v>
      </c>
      <c r="L180" s="209">
        <v>0</v>
      </c>
      <c r="M180" s="209">
        <v>0</v>
      </c>
      <c r="N180" s="209">
        <f t="shared" si="9"/>
        <v>0</v>
      </c>
      <c r="P180" s="4"/>
      <c r="Q180" s="4"/>
      <c r="Y180" s="2">
        <f t="shared" si="10"/>
        <v>0</v>
      </c>
      <c r="Z180" s="4">
        <v>595</v>
      </c>
      <c r="AA180" s="4">
        <v>1</v>
      </c>
      <c r="AB180" s="2" t="s">
        <v>180</v>
      </c>
      <c r="AC180" s="209">
        <v>0</v>
      </c>
      <c r="AD180" s="209">
        <v>125116.37000000001</v>
      </c>
      <c r="AE180" s="209">
        <v>52295.689999999995</v>
      </c>
      <c r="AF180" s="209">
        <v>12542.46</v>
      </c>
      <c r="AG180" s="209">
        <v>60278.22</v>
      </c>
      <c r="AH180" s="209">
        <v>0</v>
      </c>
    </row>
    <row r="181" spans="1:34" x14ac:dyDescent="0.2">
      <c r="A181" s="4">
        <v>599</v>
      </c>
      <c r="B181" s="4">
        <v>1</v>
      </c>
      <c r="C181" s="2" t="s">
        <v>181</v>
      </c>
      <c r="D181" s="183">
        <v>6519.59</v>
      </c>
      <c r="E181" s="183">
        <v>1438.04</v>
      </c>
      <c r="F181" s="183">
        <v>0</v>
      </c>
      <c r="G181" s="183">
        <v>0</v>
      </c>
      <c r="H181" s="3">
        <f t="shared" si="11"/>
        <v>7957.63</v>
      </c>
      <c r="J181" s="209">
        <v>0</v>
      </c>
      <c r="K181" s="209">
        <v>0</v>
      </c>
      <c r="L181" s="209">
        <v>0</v>
      </c>
      <c r="M181" s="209">
        <v>0</v>
      </c>
      <c r="N181" s="209">
        <f t="shared" si="9"/>
        <v>0</v>
      </c>
      <c r="P181" s="4"/>
      <c r="Q181" s="4"/>
      <c r="Y181" s="2">
        <f t="shared" si="10"/>
        <v>0</v>
      </c>
      <c r="Z181" s="4">
        <v>599</v>
      </c>
      <c r="AA181" s="4">
        <v>1</v>
      </c>
      <c r="AB181" s="2" t="s">
        <v>181</v>
      </c>
      <c r="AC181" s="209">
        <v>0</v>
      </c>
      <c r="AD181" s="209">
        <v>7957.630000000001</v>
      </c>
      <c r="AE181" s="209">
        <v>6519.59</v>
      </c>
      <c r="AF181" s="209">
        <v>1438.04</v>
      </c>
      <c r="AG181" s="209">
        <v>0</v>
      </c>
      <c r="AH181" s="209">
        <v>0</v>
      </c>
    </row>
    <row r="182" spans="1:34" x14ac:dyDescent="0.2">
      <c r="A182" s="4">
        <v>600</v>
      </c>
      <c r="B182" s="4">
        <v>1</v>
      </c>
      <c r="C182" s="2" t="s">
        <v>182</v>
      </c>
      <c r="D182" s="183">
        <v>2908.54</v>
      </c>
      <c r="E182" s="183">
        <v>222.50000000000006</v>
      </c>
      <c r="F182" s="183">
        <v>2436.63</v>
      </c>
      <c r="G182" s="183">
        <v>0</v>
      </c>
      <c r="H182" s="3">
        <f t="shared" si="11"/>
        <v>5567.67</v>
      </c>
      <c r="J182" s="209">
        <v>0</v>
      </c>
      <c r="K182" s="209">
        <v>0</v>
      </c>
      <c r="L182" s="209">
        <v>0</v>
      </c>
      <c r="M182" s="209">
        <v>0</v>
      </c>
      <c r="N182" s="209">
        <f t="shared" si="9"/>
        <v>0</v>
      </c>
      <c r="P182" s="4"/>
      <c r="Q182" s="4"/>
      <c r="Y182" s="2">
        <f t="shared" si="10"/>
        <v>0</v>
      </c>
      <c r="Z182" s="4">
        <v>600</v>
      </c>
      <c r="AA182" s="4">
        <v>1</v>
      </c>
      <c r="AB182" s="2" t="s">
        <v>182</v>
      </c>
      <c r="AC182" s="209">
        <v>0</v>
      </c>
      <c r="AD182" s="209">
        <v>5567.670000000001</v>
      </c>
      <c r="AE182" s="209">
        <v>2908.54</v>
      </c>
      <c r="AF182" s="209">
        <v>222.50000000000006</v>
      </c>
      <c r="AG182" s="209">
        <v>2436.63</v>
      </c>
      <c r="AH182" s="209">
        <v>0</v>
      </c>
    </row>
    <row r="183" spans="1:34" x14ac:dyDescent="0.2">
      <c r="A183" s="4">
        <v>601</v>
      </c>
      <c r="B183" s="4">
        <v>1</v>
      </c>
      <c r="C183" s="2" t="s">
        <v>183</v>
      </c>
      <c r="D183" s="183">
        <v>11028.07</v>
      </c>
      <c r="E183" s="183">
        <v>1684.3799999999999</v>
      </c>
      <c r="F183" s="183">
        <v>14735.56</v>
      </c>
      <c r="G183" s="183">
        <v>0</v>
      </c>
      <c r="H183" s="3">
        <f t="shared" si="11"/>
        <v>27448.01</v>
      </c>
      <c r="J183" s="209">
        <v>0</v>
      </c>
      <c r="K183" s="209">
        <v>0</v>
      </c>
      <c r="L183" s="209">
        <v>0</v>
      </c>
      <c r="M183" s="209">
        <v>0</v>
      </c>
      <c r="N183" s="209">
        <f t="shared" si="9"/>
        <v>0</v>
      </c>
      <c r="P183" s="4"/>
      <c r="Q183" s="4"/>
      <c r="Y183" s="2">
        <f t="shared" si="10"/>
        <v>0</v>
      </c>
      <c r="Z183" s="4">
        <v>601</v>
      </c>
      <c r="AA183" s="4">
        <v>1</v>
      </c>
      <c r="AB183" s="2" t="s">
        <v>183</v>
      </c>
      <c r="AC183" s="209">
        <v>0</v>
      </c>
      <c r="AD183" s="209">
        <v>27448.01</v>
      </c>
      <c r="AE183" s="209">
        <v>11028.07</v>
      </c>
      <c r="AF183" s="209">
        <v>1684.3799999999999</v>
      </c>
      <c r="AG183" s="209">
        <v>14735.56</v>
      </c>
      <c r="AH183" s="209">
        <v>0</v>
      </c>
    </row>
    <row r="184" spans="1:34" x14ac:dyDescent="0.2">
      <c r="A184" s="4">
        <v>621</v>
      </c>
      <c r="B184" s="4">
        <v>1</v>
      </c>
      <c r="C184" s="2" t="s">
        <v>185</v>
      </c>
      <c r="D184" s="183">
        <v>19.740000000000002</v>
      </c>
      <c r="E184" s="183">
        <v>2.09</v>
      </c>
      <c r="F184" s="183">
        <v>23.32</v>
      </c>
      <c r="G184" s="183">
        <v>5.75</v>
      </c>
      <c r="H184" s="3">
        <f t="shared" si="11"/>
        <v>50.900000000000006</v>
      </c>
      <c r="J184" s="209">
        <v>0</v>
      </c>
      <c r="K184" s="209">
        <v>0</v>
      </c>
      <c r="L184" s="209">
        <v>0</v>
      </c>
      <c r="M184" s="209">
        <v>0</v>
      </c>
      <c r="N184" s="209">
        <f t="shared" si="9"/>
        <v>0</v>
      </c>
      <c r="P184" s="4"/>
      <c r="Q184" s="4"/>
      <c r="Y184" s="2">
        <f t="shared" si="10"/>
        <v>0</v>
      </c>
      <c r="Z184" s="4">
        <v>621</v>
      </c>
      <c r="AA184" s="4">
        <v>1</v>
      </c>
      <c r="AB184" s="2" t="s">
        <v>185</v>
      </c>
      <c r="AC184" s="209">
        <v>0</v>
      </c>
      <c r="AD184" s="209">
        <v>50.9</v>
      </c>
      <c r="AE184" s="209">
        <v>19.740000000000002</v>
      </c>
      <c r="AF184" s="209">
        <v>2.09</v>
      </c>
      <c r="AG184" s="209">
        <v>23.32</v>
      </c>
      <c r="AH184" s="209">
        <v>5.75</v>
      </c>
    </row>
    <row r="185" spans="1:34" x14ac:dyDescent="0.2">
      <c r="A185" s="4">
        <v>622</v>
      </c>
      <c r="B185" s="4">
        <v>1</v>
      </c>
      <c r="C185" s="2" t="s">
        <v>1190</v>
      </c>
      <c r="D185" s="183">
        <v>154.71</v>
      </c>
      <c r="E185" s="183">
        <v>24.380000000000003</v>
      </c>
      <c r="F185" s="183">
        <v>172.94000000000003</v>
      </c>
      <c r="G185" s="183">
        <v>38.36</v>
      </c>
      <c r="H185" s="3">
        <f t="shared" si="11"/>
        <v>390.39000000000004</v>
      </c>
      <c r="J185" s="209">
        <v>0</v>
      </c>
      <c r="K185" s="209">
        <v>0</v>
      </c>
      <c r="L185" s="209">
        <v>0</v>
      </c>
      <c r="M185" s="209">
        <v>0</v>
      </c>
      <c r="N185" s="209">
        <f t="shared" si="9"/>
        <v>0</v>
      </c>
      <c r="P185" s="4"/>
      <c r="Q185" s="4"/>
      <c r="Y185" s="2">
        <f t="shared" si="10"/>
        <v>0</v>
      </c>
      <c r="Z185" s="4">
        <v>622</v>
      </c>
      <c r="AA185" s="4">
        <v>1</v>
      </c>
      <c r="AB185" s="2" t="s">
        <v>1190</v>
      </c>
      <c r="AC185" s="209">
        <v>0</v>
      </c>
      <c r="AD185" s="209">
        <v>390.39</v>
      </c>
      <c r="AE185" s="209">
        <v>154.71</v>
      </c>
      <c r="AF185" s="209">
        <v>24.380000000000003</v>
      </c>
      <c r="AG185" s="209">
        <v>172.94000000000003</v>
      </c>
      <c r="AH185" s="209">
        <v>38.36</v>
      </c>
    </row>
    <row r="186" spans="1:34" x14ac:dyDescent="0.2">
      <c r="A186" s="4">
        <v>623</v>
      </c>
      <c r="B186" s="4">
        <v>1</v>
      </c>
      <c r="C186" s="2" t="s">
        <v>187</v>
      </c>
      <c r="D186" s="183">
        <v>16.77</v>
      </c>
      <c r="E186" s="183">
        <v>4</v>
      </c>
      <c r="F186" s="183">
        <v>12.94</v>
      </c>
      <c r="G186" s="183">
        <v>6.2</v>
      </c>
      <c r="H186" s="3">
        <f t="shared" si="11"/>
        <v>39.910000000000004</v>
      </c>
      <c r="J186" s="209">
        <v>0</v>
      </c>
      <c r="K186" s="209">
        <v>0</v>
      </c>
      <c r="L186" s="209">
        <v>0</v>
      </c>
      <c r="M186" s="209">
        <v>0</v>
      </c>
      <c r="N186" s="209">
        <f t="shared" si="9"/>
        <v>0</v>
      </c>
      <c r="P186" s="4"/>
      <c r="Q186" s="4"/>
      <c r="Y186" s="2">
        <f t="shared" si="10"/>
        <v>0</v>
      </c>
      <c r="Z186" s="4">
        <v>623</v>
      </c>
      <c r="AA186" s="4">
        <v>1</v>
      </c>
      <c r="AB186" s="2" t="s">
        <v>187</v>
      </c>
      <c r="AC186" s="209">
        <v>0</v>
      </c>
      <c r="AD186" s="209">
        <v>39.909999999999997</v>
      </c>
      <c r="AE186" s="209">
        <v>16.77</v>
      </c>
      <c r="AF186" s="209">
        <v>4</v>
      </c>
      <c r="AG186" s="209">
        <v>12.94</v>
      </c>
      <c r="AH186" s="209">
        <v>6.2</v>
      </c>
    </row>
    <row r="187" spans="1:34" x14ac:dyDescent="0.2">
      <c r="A187" s="4">
        <v>624</v>
      </c>
      <c r="B187" s="4">
        <v>1</v>
      </c>
      <c r="C187" s="2" t="s">
        <v>188</v>
      </c>
      <c r="D187" s="183">
        <v>538.29</v>
      </c>
      <c r="E187" s="183">
        <v>91.679999999999993</v>
      </c>
      <c r="F187" s="183">
        <v>412.98999999999995</v>
      </c>
      <c r="G187" s="183">
        <v>476.53</v>
      </c>
      <c r="H187" s="3">
        <f t="shared" si="11"/>
        <v>1519.4899999999998</v>
      </c>
      <c r="J187" s="209">
        <v>0</v>
      </c>
      <c r="K187" s="209">
        <v>0</v>
      </c>
      <c r="L187" s="209">
        <v>0</v>
      </c>
      <c r="M187" s="209">
        <v>0</v>
      </c>
      <c r="N187" s="209">
        <f t="shared" si="9"/>
        <v>0</v>
      </c>
      <c r="P187" s="4"/>
      <c r="Q187" s="4"/>
      <c r="Y187" s="2">
        <f t="shared" si="10"/>
        <v>0</v>
      </c>
      <c r="Z187" s="4">
        <v>624</v>
      </c>
      <c r="AA187" s="4">
        <v>1</v>
      </c>
      <c r="AB187" s="2" t="s">
        <v>188</v>
      </c>
      <c r="AC187" s="209">
        <v>0</v>
      </c>
      <c r="AD187" s="209">
        <v>1519.49</v>
      </c>
      <c r="AE187" s="209">
        <v>538.29</v>
      </c>
      <c r="AF187" s="209">
        <v>91.679999999999993</v>
      </c>
      <c r="AG187" s="209">
        <v>412.98999999999995</v>
      </c>
      <c r="AH187" s="209">
        <v>476.53</v>
      </c>
    </row>
    <row r="188" spans="1:34" x14ac:dyDescent="0.2">
      <c r="A188" s="4">
        <v>625</v>
      </c>
      <c r="B188" s="4">
        <v>1</v>
      </c>
      <c r="C188" s="2" t="s">
        <v>189</v>
      </c>
      <c r="D188" s="183">
        <v>186539.71999999997</v>
      </c>
      <c r="E188" s="183">
        <v>11433.48</v>
      </c>
      <c r="F188" s="183">
        <v>133400.12999999998</v>
      </c>
      <c r="G188" s="183">
        <v>0</v>
      </c>
      <c r="H188" s="3">
        <f t="shared" si="11"/>
        <v>331373.32999999996</v>
      </c>
      <c r="J188" s="209">
        <v>0</v>
      </c>
      <c r="K188" s="209">
        <v>0</v>
      </c>
      <c r="L188" s="209">
        <v>0</v>
      </c>
      <c r="M188" s="209">
        <v>0</v>
      </c>
      <c r="N188" s="209">
        <f t="shared" si="9"/>
        <v>0</v>
      </c>
      <c r="P188" s="4"/>
      <c r="Q188" s="4"/>
      <c r="Y188" s="2">
        <f t="shared" si="10"/>
        <v>0</v>
      </c>
      <c r="Z188" s="4">
        <v>625</v>
      </c>
      <c r="AA188" s="4">
        <v>1</v>
      </c>
      <c r="AB188" s="2" t="s">
        <v>189</v>
      </c>
      <c r="AC188" s="209">
        <v>0</v>
      </c>
      <c r="AD188" s="209">
        <v>331373.33</v>
      </c>
      <c r="AE188" s="209">
        <v>186539.71999999997</v>
      </c>
      <c r="AF188" s="209">
        <v>11433.48</v>
      </c>
      <c r="AG188" s="209">
        <v>133400.12999999998</v>
      </c>
      <c r="AH188" s="209">
        <v>0</v>
      </c>
    </row>
    <row r="189" spans="1:34" x14ac:dyDescent="0.2">
      <c r="A189" s="4">
        <v>630</v>
      </c>
      <c r="B189" s="4">
        <v>1</v>
      </c>
      <c r="C189" s="2" t="s">
        <v>192</v>
      </c>
      <c r="D189" s="183">
        <v>13898.75</v>
      </c>
      <c r="E189" s="183">
        <v>2131.84</v>
      </c>
      <c r="F189" s="183">
        <v>41649.81</v>
      </c>
      <c r="G189" s="183">
        <v>0</v>
      </c>
      <c r="H189" s="3">
        <f t="shared" si="11"/>
        <v>57680.399999999994</v>
      </c>
      <c r="J189" s="209">
        <v>0</v>
      </c>
      <c r="K189" s="209">
        <v>0</v>
      </c>
      <c r="L189" s="209">
        <v>0</v>
      </c>
      <c r="M189" s="209">
        <v>0</v>
      </c>
      <c r="N189" s="209">
        <f t="shared" si="9"/>
        <v>0</v>
      </c>
      <c r="P189" s="4"/>
      <c r="Q189" s="4"/>
      <c r="Y189" s="2">
        <f t="shared" si="10"/>
        <v>0</v>
      </c>
      <c r="Z189" s="4">
        <v>630</v>
      </c>
      <c r="AA189" s="4">
        <v>1</v>
      </c>
      <c r="AB189" s="2" t="s">
        <v>192</v>
      </c>
      <c r="AC189" s="209">
        <v>0</v>
      </c>
      <c r="AD189" s="209">
        <v>57680.4</v>
      </c>
      <c r="AE189" s="209">
        <v>13898.75</v>
      </c>
      <c r="AF189" s="209">
        <v>2131.84</v>
      </c>
      <c r="AG189" s="209">
        <v>41649.81</v>
      </c>
      <c r="AH189" s="209">
        <v>0</v>
      </c>
    </row>
    <row r="190" spans="1:34" x14ac:dyDescent="0.2">
      <c r="A190" s="4">
        <v>635</v>
      </c>
      <c r="B190" s="4">
        <v>1</v>
      </c>
      <c r="C190" s="2" t="s">
        <v>193</v>
      </c>
      <c r="D190" s="183">
        <v>2943.5</v>
      </c>
      <c r="E190" s="183">
        <v>789.42000000000007</v>
      </c>
      <c r="F190" s="183">
        <v>0</v>
      </c>
      <c r="G190" s="183">
        <v>0</v>
      </c>
      <c r="H190" s="3">
        <f t="shared" si="11"/>
        <v>3732.92</v>
      </c>
      <c r="J190" s="209">
        <v>0</v>
      </c>
      <c r="K190" s="209">
        <v>0</v>
      </c>
      <c r="L190" s="209">
        <v>0</v>
      </c>
      <c r="M190" s="209">
        <v>0</v>
      </c>
      <c r="N190" s="209">
        <f t="shared" si="9"/>
        <v>0</v>
      </c>
      <c r="P190" s="4"/>
      <c r="Q190" s="4"/>
      <c r="Y190" s="2">
        <f t="shared" si="10"/>
        <v>0</v>
      </c>
      <c r="Z190" s="4">
        <v>635</v>
      </c>
      <c r="AA190" s="4">
        <v>1</v>
      </c>
      <c r="AB190" s="2" t="s">
        <v>193</v>
      </c>
      <c r="AC190" s="209">
        <v>0</v>
      </c>
      <c r="AD190" s="209">
        <v>3732.92</v>
      </c>
      <c r="AE190" s="209">
        <v>2943.5</v>
      </c>
      <c r="AF190" s="209">
        <v>789.42000000000007</v>
      </c>
      <c r="AG190" s="209">
        <v>0</v>
      </c>
      <c r="AH190" s="209">
        <v>0</v>
      </c>
    </row>
    <row r="191" spans="1:34" x14ac:dyDescent="0.2">
      <c r="A191" s="4">
        <v>640</v>
      </c>
      <c r="B191" s="4">
        <v>1</v>
      </c>
      <c r="C191" s="2" t="s">
        <v>194</v>
      </c>
      <c r="D191" s="183">
        <v>8511.33</v>
      </c>
      <c r="E191" s="183">
        <v>1013.6800000000001</v>
      </c>
      <c r="F191" s="183">
        <v>10463.44</v>
      </c>
      <c r="G191" s="183">
        <v>0</v>
      </c>
      <c r="H191" s="3">
        <f t="shared" si="11"/>
        <v>19988.45</v>
      </c>
      <c r="J191" s="209">
        <v>0</v>
      </c>
      <c r="K191" s="209">
        <v>0</v>
      </c>
      <c r="L191" s="209">
        <v>0</v>
      </c>
      <c r="M191" s="209">
        <v>0</v>
      </c>
      <c r="N191" s="209">
        <f t="shared" si="9"/>
        <v>0</v>
      </c>
      <c r="P191" s="4"/>
      <c r="Q191" s="4"/>
      <c r="Y191" s="2">
        <f t="shared" si="10"/>
        <v>0</v>
      </c>
      <c r="Z191" s="4">
        <v>640</v>
      </c>
      <c r="AA191" s="4">
        <v>1</v>
      </c>
      <c r="AB191" s="2" t="s">
        <v>194</v>
      </c>
      <c r="AC191" s="209">
        <v>0</v>
      </c>
      <c r="AD191" s="209">
        <v>19988.45</v>
      </c>
      <c r="AE191" s="209">
        <v>8511.33</v>
      </c>
      <c r="AF191" s="209">
        <v>1013.6800000000001</v>
      </c>
      <c r="AG191" s="209">
        <v>10463.44</v>
      </c>
      <c r="AH191" s="209">
        <v>0</v>
      </c>
    </row>
    <row r="192" spans="1:34" x14ac:dyDescent="0.2">
      <c r="A192" s="4">
        <v>656</v>
      </c>
      <c r="B192" s="4">
        <v>1</v>
      </c>
      <c r="C192" s="2" t="s">
        <v>195</v>
      </c>
      <c r="D192" s="183">
        <v>20792.39</v>
      </c>
      <c r="E192" s="183">
        <v>3813.8199999999997</v>
      </c>
      <c r="F192" s="183">
        <v>49708.390000000007</v>
      </c>
      <c r="G192" s="183">
        <v>0</v>
      </c>
      <c r="H192" s="3">
        <f t="shared" si="11"/>
        <v>74314.600000000006</v>
      </c>
      <c r="J192" s="209">
        <v>0</v>
      </c>
      <c r="K192" s="209">
        <v>0</v>
      </c>
      <c r="L192" s="209">
        <v>0</v>
      </c>
      <c r="M192" s="209">
        <v>0</v>
      </c>
      <c r="N192" s="209">
        <f t="shared" si="9"/>
        <v>0</v>
      </c>
      <c r="P192" s="4"/>
      <c r="Q192" s="4"/>
      <c r="Y192" s="2">
        <f t="shared" si="10"/>
        <v>0</v>
      </c>
      <c r="Z192" s="4">
        <v>656</v>
      </c>
      <c r="AA192" s="4">
        <v>1</v>
      </c>
      <c r="AB192" s="2" t="s">
        <v>195</v>
      </c>
      <c r="AC192" s="209">
        <v>0</v>
      </c>
      <c r="AD192" s="209">
        <v>74314.600000000006</v>
      </c>
      <c r="AE192" s="209">
        <v>20792.39</v>
      </c>
      <c r="AF192" s="209">
        <v>3813.8199999999997</v>
      </c>
      <c r="AG192" s="209">
        <v>49708.390000000007</v>
      </c>
      <c r="AH192" s="209">
        <v>0</v>
      </c>
    </row>
    <row r="193" spans="1:34" x14ac:dyDescent="0.2">
      <c r="A193" s="4">
        <v>659</v>
      </c>
      <c r="B193" s="4">
        <v>1</v>
      </c>
      <c r="C193" s="2" t="s">
        <v>196</v>
      </c>
      <c r="D193" s="183">
        <v>21937.360000000001</v>
      </c>
      <c r="E193" s="183">
        <v>3699.31</v>
      </c>
      <c r="F193" s="183">
        <v>51550.999999999993</v>
      </c>
      <c r="G193" s="183">
        <v>0</v>
      </c>
      <c r="H193" s="3">
        <f t="shared" si="11"/>
        <v>77187.67</v>
      </c>
      <c r="J193" s="209">
        <v>0</v>
      </c>
      <c r="K193" s="209">
        <v>0</v>
      </c>
      <c r="L193" s="209">
        <v>0</v>
      </c>
      <c r="M193" s="209">
        <v>0</v>
      </c>
      <c r="N193" s="209">
        <f t="shared" si="9"/>
        <v>0</v>
      </c>
      <c r="P193" s="4"/>
      <c r="Q193" s="4"/>
      <c r="Y193" s="2">
        <f t="shared" si="10"/>
        <v>0</v>
      </c>
      <c r="Z193" s="4">
        <v>659</v>
      </c>
      <c r="AA193" s="4">
        <v>1</v>
      </c>
      <c r="AB193" s="2" t="s">
        <v>196</v>
      </c>
      <c r="AC193" s="209">
        <v>0</v>
      </c>
      <c r="AD193" s="209">
        <v>77187.670000000013</v>
      </c>
      <c r="AE193" s="209">
        <v>21937.360000000001</v>
      </c>
      <c r="AF193" s="209">
        <v>3699.31</v>
      </c>
      <c r="AG193" s="209">
        <v>51550.999999999993</v>
      </c>
      <c r="AH193" s="209">
        <v>0</v>
      </c>
    </row>
    <row r="194" spans="1:34" x14ac:dyDescent="0.2">
      <c r="A194" s="4">
        <v>671</v>
      </c>
      <c r="B194" s="4">
        <v>1</v>
      </c>
      <c r="C194" s="2" t="s">
        <v>1191</v>
      </c>
      <c r="D194" s="183">
        <v>1089.5799999999997</v>
      </c>
      <c r="E194" s="183">
        <v>92.539999999999992</v>
      </c>
      <c r="F194" s="183">
        <v>16220.130000000001</v>
      </c>
      <c r="G194" s="183">
        <v>0</v>
      </c>
      <c r="H194" s="3">
        <f t="shared" si="11"/>
        <v>17402.25</v>
      </c>
      <c r="J194" s="209">
        <v>0</v>
      </c>
      <c r="K194" s="209">
        <v>0</v>
      </c>
      <c r="L194" s="209">
        <v>0</v>
      </c>
      <c r="M194" s="209">
        <v>0</v>
      </c>
      <c r="N194" s="209">
        <f t="shared" si="9"/>
        <v>0</v>
      </c>
      <c r="P194" s="4"/>
      <c r="Q194" s="4"/>
      <c r="Y194" s="2">
        <f t="shared" si="10"/>
        <v>0</v>
      </c>
      <c r="Z194" s="4">
        <v>671</v>
      </c>
      <c r="AA194" s="4">
        <v>1</v>
      </c>
      <c r="AB194" s="2" t="s">
        <v>1191</v>
      </c>
      <c r="AC194" s="209">
        <v>0</v>
      </c>
      <c r="AD194" s="209">
        <v>17402.25</v>
      </c>
      <c r="AE194" s="209">
        <v>1089.5799999999997</v>
      </c>
      <c r="AF194" s="209">
        <v>92.539999999999992</v>
      </c>
      <c r="AG194" s="209">
        <v>16220.130000000001</v>
      </c>
      <c r="AH194" s="209">
        <v>0</v>
      </c>
    </row>
    <row r="195" spans="1:34" x14ac:dyDescent="0.2">
      <c r="A195" s="4">
        <v>676</v>
      </c>
      <c r="B195" s="4">
        <v>1</v>
      </c>
      <c r="C195" s="2" t="s">
        <v>198</v>
      </c>
      <c r="D195" s="183">
        <v>3997.98</v>
      </c>
      <c r="E195" s="183">
        <v>604.47</v>
      </c>
      <c r="F195" s="183">
        <v>0</v>
      </c>
      <c r="G195" s="183">
        <v>0</v>
      </c>
      <c r="H195" s="3">
        <f t="shared" si="11"/>
        <v>4602.45</v>
      </c>
      <c r="J195" s="209">
        <v>0</v>
      </c>
      <c r="K195" s="209">
        <v>0</v>
      </c>
      <c r="L195" s="209">
        <v>0</v>
      </c>
      <c r="M195" s="209">
        <v>0</v>
      </c>
      <c r="N195" s="209">
        <f t="shared" si="9"/>
        <v>0</v>
      </c>
      <c r="P195" s="4"/>
      <c r="Q195" s="4"/>
      <c r="Y195" s="2">
        <f t="shared" si="10"/>
        <v>0</v>
      </c>
      <c r="Z195" s="4">
        <v>676</v>
      </c>
      <c r="AA195" s="4">
        <v>1</v>
      </c>
      <c r="AB195" s="2" t="s">
        <v>198</v>
      </c>
      <c r="AC195" s="209">
        <v>0</v>
      </c>
      <c r="AD195" s="209">
        <v>4602.45</v>
      </c>
      <c r="AE195" s="209">
        <v>3997.98</v>
      </c>
      <c r="AF195" s="209">
        <v>604.47</v>
      </c>
      <c r="AG195" s="209">
        <v>0</v>
      </c>
      <c r="AH195" s="209">
        <v>0</v>
      </c>
    </row>
    <row r="196" spans="1:34" x14ac:dyDescent="0.2">
      <c r="A196" s="4">
        <v>682</v>
      </c>
      <c r="B196" s="4">
        <v>1</v>
      </c>
      <c r="C196" s="2" t="s">
        <v>199</v>
      </c>
      <c r="D196" s="183">
        <v>9661.92</v>
      </c>
      <c r="E196" s="183">
        <v>1899.9000000000003</v>
      </c>
      <c r="F196" s="183">
        <v>33020.559999999998</v>
      </c>
      <c r="G196" s="183">
        <v>0</v>
      </c>
      <c r="H196" s="3">
        <f t="shared" si="11"/>
        <v>44582.38</v>
      </c>
      <c r="J196" s="209">
        <v>0</v>
      </c>
      <c r="K196" s="209">
        <v>0</v>
      </c>
      <c r="L196" s="209">
        <v>0</v>
      </c>
      <c r="M196" s="209">
        <v>0</v>
      </c>
      <c r="N196" s="209">
        <f t="shared" si="9"/>
        <v>0</v>
      </c>
      <c r="P196" s="4"/>
      <c r="Q196" s="4"/>
      <c r="Y196" s="2">
        <f t="shared" si="10"/>
        <v>0</v>
      </c>
      <c r="Z196" s="4">
        <v>682</v>
      </c>
      <c r="AA196" s="4">
        <v>1</v>
      </c>
      <c r="AB196" s="2" t="s">
        <v>199</v>
      </c>
      <c r="AC196" s="209">
        <v>0</v>
      </c>
      <c r="AD196" s="209">
        <v>44582.380000000005</v>
      </c>
      <c r="AE196" s="209">
        <v>9661.92</v>
      </c>
      <c r="AF196" s="209">
        <v>1899.9000000000003</v>
      </c>
      <c r="AG196" s="209">
        <v>33020.559999999998</v>
      </c>
      <c r="AH196" s="209">
        <v>0</v>
      </c>
    </row>
    <row r="197" spans="1:34" x14ac:dyDescent="0.2">
      <c r="A197" s="4">
        <v>690</v>
      </c>
      <c r="B197" s="4">
        <v>1</v>
      </c>
      <c r="C197" s="2" t="s">
        <v>200</v>
      </c>
      <c r="D197" s="183">
        <v>4804.6099999999997</v>
      </c>
      <c r="E197" s="183">
        <v>989.22</v>
      </c>
      <c r="F197" s="183">
        <v>8712.91</v>
      </c>
      <c r="G197" s="183">
        <v>4942.46</v>
      </c>
      <c r="H197" s="3">
        <f t="shared" si="11"/>
        <v>19449.2</v>
      </c>
      <c r="J197" s="209">
        <v>0</v>
      </c>
      <c r="K197" s="209">
        <v>0</v>
      </c>
      <c r="L197" s="209">
        <v>0</v>
      </c>
      <c r="M197" s="209">
        <v>0</v>
      </c>
      <c r="N197" s="209">
        <f t="shared" si="9"/>
        <v>0</v>
      </c>
      <c r="P197" s="4"/>
      <c r="Q197" s="4"/>
      <c r="Y197" s="2">
        <f t="shared" si="10"/>
        <v>0</v>
      </c>
      <c r="Z197" s="4">
        <v>690</v>
      </c>
      <c r="AA197" s="4">
        <v>1</v>
      </c>
      <c r="AB197" s="2" t="s">
        <v>200</v>
      </c>
      <c r="AC197" s="209">
        <v>0</v>
      </c>
      <c r="AD197" s="209">
        <v>19449.2</v>
      </c>
      <c r="AE197" s="209">
        <v>4804.6099999999997</v>
      </c>
      <c r="AF197" s="209">
        <v>989.22</v>
      </c>
      <c r="AG197" s="209">
        <v>8712.91</v>
      </c>
      <c r="AH197" s="209">
        <v>4942.46</v>
      </c>
    </row>
    <row r="198" spans="1:34" x14ac:dyDescent="0.2">
      <c r="A198" s="4">
        <v>695</v>
      </c>
      <c r="B198" s="4">
        <v>1</v>
      </c>
      <c r="C198" s="2" t="s">
        <v>201</v>
      </c>
      <c r="D198" s="183">
        <v>26183.970000000005</v>
      </c>
      <c r="E198" s="183">
        <v>0</v>
      </c>
      <c r="F198" s="183">
        <v>33581.11</v>
      </c>
      <c r="G198" s="183">
        <v>70732.47</v>
      </c>
      <c r="H198" s="3">
        <f t="shared" si="11"/>
        <v>130497.55</v>
      </c>
      <c r="J198" s="209">
        <v>22276.95</v>
      </c>
      <c r="K198" s="209">
        <v>0</v>
      </c>
      <c r="L198" s="209">
        <v>28529.51</v>
      </c>
      <c r="M198" s="209">
        <v>60091.56</v>
      </c>
      <c r="N198" s="209">
        <f t="shared" si="9"/>
        <v>110898.01999999999</v>
      </c>
      <c r="P198" s="4"/>
      <c r="Q198" s="4"/>
      <c r="Y198" s="2">
        <f t="shared" si="10"/>
        <v>0</v>
      </c>
      <c r="Z198" s="4">
        <v>695</v>
      </c>
      <c r="AA198" s="4">
        <v>1</v>
      </c>
      <c r="AB198" s="2" t="s">
        <v>201</v>
      </c>
      <c r="AC198" s="209">
        <v>0</v>
      </c>
      <c r="AD198" s="209">
        <v>130497.55</v>
      </c>
      <c r="AE198" s="209">
        <v>26183.970000000005</v>
      </c>
      <c r="AF198" s="209">
        <v>0</v>
      </c>
      <c r="AG198" s="209">
        <v>33581.11</v>
      </c>
      <c r="AH198" s="209">
        <v>70732.47</v>
      </c>
    </row>
    <row r="199" spans="1:34" x14ac:dyDescent="0.2">
      <c r="A199" s="4">
        <v>696</v>
      </c>
      <c r="B199" s="4">
        <v>1</v>
      </c>
      <c r="C199" s="2" t="s">
        <v>202</v>
      </c>
      <c r="D199" s="183">
        <v>69687.77</v>
      </c>
      <c r="E199" s="183">
        <v>0</v>
      </c>
      <c r="F199" s="183">
        <v>25400.18</v>
      </c>
      <c r="G199" s="183">
        <v>0</v>
      </c>
      <c r="H199" s="3">
        <f t="shared" si="11"/>
        <v>95087.950000000012</v>
      </c>
      <c r="J199" s="209">
        <v>39457.870000000003</v>
      </c>
      <c r="K199" s="209">
        <v>0</v>
      </c>
      <c r="L199" s="209">
        <v>14382.24</v>
      </c>
      <c r="M199" s="209">
        <v>0</v>
      </c>
      <c r="N199" s="209">
        <f t="shared" si="9"/>
        <v>53840.11</v>
      </c>
      <c r="P199" s="4"/>
      <c r="Q199" s="4"/>
      <c r="Y199" s="2">
        <f t="shared" si="10"/>
        <v>0</v>
      </c>
      <c r="Z199" s="4">
        <v>696</v>
      </c>
      <c r="AA199" s="4">
        <v>1</v>
      </c>
      <c r="AB199" s="2" t="s">
        <v>202</v>
      </c>
      <c r="AC199" s="209">
        <v>0</v>
      </c>
      <c r="AD199" s="209">
        <v>95087.95</v>
      </c>
      <c r="AE199" s="209">
        <v>69687.77</v>
      </c>
      <c r="AF199" s="209">
        <v>0</v>
      </c>
      <c r="AG199" s="209">
        <v>25400.18</v>
      </c>
      <c r="AH199" s="209">
        <v>0</v>
      </c>
    </row>
    <row r="200" spans="1:34" x14ac:dyDescent="0.2">
      <c r="A200" s="4">
        <v>698</v>
      </c>
      <c r="B200" s="4">
        <v>1</v>
      </c>
      <c r="C200" s="2" t="s">
        <v>203</v>
      </c>
      <c r="D200" s="183">
        <v>2991.1900000000005</v>
      </c>
      <c r="E200" s="183">
        <v>422.61</v>
      </c>
      <c r="F200" s="183">
        <v>17976.84</v>
      </c>
      <c r="G200" s="183">
        <v>0</v>
      </c>
      <c r="H200" s="3">
        <f t="shared" si="11"/>
        <v>21390.639999999999</v>
      </c>
      <c r="J200" s="209">
        <v>5275.86</v>
      </c>
      <c r="K200" s="209">
        <v>742.97</v>
      </c>
      <c r="L200" s="209">
        <v>31599.85</v>
      </c>
      <c r="M200" s="209">
        <v>0</v>
      </c>
      <c r="N200" s="209">
        <f t="shared" si="9"/>
        <v>37618.68</v>
      </c>
      <c r="P200" s="4"/>
      <c r="Q200" s="4"/>
      <c r="Y200" s="2">
        <f t="shared" si="10"/>
        <v>0</v>
      </c>
      <c r="Z200" s="4">
        <v>698</v>
      </c>
      <c r="AA200" s="4">
        <v>1</v>
      </c>
      <c r="AB200" s="2" t="s">
        <v>203</v>
      </c>
      <c r="AC200" s="209">
        <v>0</v>
      </c>
      <c r="AD200" s="209">
        <v>21390.639999999999</v>
      </c>
      <c r="AE200" s="209">
        <v>2991.1900000000005</v>
      </c>
      <c r="AF200" s="209">
        <v>422.61</v>
      </c>
      <c r="AG200" s="209">
        <v>17976.84</v>
      </c>
      <c r="AH200" s="209">
        <v>0</v>
      </c>
    </row>
    <row r="201" spans="1:34" x14ac:dyDescent="0.2">
      <c r="A201" s="4">
        <v>700</v>
      </c>
      <c r="B201" s="4">
        <v>1</v>
      </c>
      <c r="C201" s="2" t="s">
        <v>204</v>
      </c>
      <c r="D201" s="183">
        <v>17728.23</v>
      </c>
      <c r="E201" s="183">
        <v>3066.4400000000005</v>
      </c>
      <c r="F201" s="183">
        <v>58876.55000000001</v>
      </c>
      <c r="G201" s="183">
        <v>0</v>
      </c>
      <c r="H201" s="3">
        <f t="shared" si="11"/>
        <v>79671.22</v>
      </c>
      <c r="J201" s="209">
        <v>0</v>
      </c>
      <c r="K201" s="209">
        <v>0</v>
      </c>
      <c r="L201" s="209">
        <v>0</v>
      </c>
      <c r="M201" s="209">
        <v>0</v>
      </c>
      <c r="N201" s="209">
        <f t="shared" ref="N201:N264" si="12">SUM(J201:M201)</f>
        <v>0</v>
      </c>
      <c r="P201" s="4"/>
      <c r="Q201" s="4"/>
      <c r="Y201" s="2">
        <f t="shared" ref="Y201:Y264" si="13">Z201-A201</f>
        <v>0</v>
      </c>
      <c r="Z201" s="4">
        <v>700</v>
      </c>
      <c r="AA201" s="4">
        <v>1</v>
      </c>
      <c r="AB201" s="2" t="s">
        <v>204</v>
      </c>
      <c r="AC201" s="209">
        <v>0</v>
      </c>
      <c r="AD201" s="209">
        <v>79671.22</v>
      </c>
      <c r="AE201" s="209">
        <v>17728.23</v>
      </c>
      <c r="AF201" s="209">
        <v>3066.4400000000005</v>
      </c>
      <c r="AG201" s="209">
        <v>58876.55000000001</v>
      </c>
      <c r="AH201" s="209">
        <v>0</v>
      </c>
    </row>
    <row r="202" spans="1:34" x14ac:dyDescent="0.2">
      <c r="A202" s="4">
        <v>701</v>
      </c>
      <c r="B202" s="4">
        <v>1</v>
      </c>
      <c r="C202" s="2" t="s">
        <v>205</v>
      </c>
      <c r="D202" s="183">
        <v>239010.63999999998</v>
      </c>
      <c r="E202" s="183">
        <v>0</v>
      </c>
      <c r="F202" s="183">
        <v>175678.04</v>
      </c>
      <c r="G202" s="183">
        <v>0</v>
      </c>
      <c r="H202" s="3">
        <f t="shared" ref="H202:H265" si="14">SUM(D202:G202)</f>
        <v>414688.68</v>
      </c>
      <c r="J202" s="209">
        <v>52679.49</v>
      </c>
      <c r="K202" s="209">
        <v>0</v>
      </c>
      <c r="L202" s="209">
        <v>38687.800000000003</v>
      </c>
      <c r="M202" s="209">
        <v>0</v>
      </c>
      <c r="N202" s="209">
        <f t="shared" si="12"/>
        <v>91367.290000000008</v>
      </c>
      <c r="P202" s="4"/>
      <c r="Q202" s="4"/>
      <c r="Y202" s="2">
        <f t="shared" si="13"/>
        <v>0</v>
      </c>
      <c r="Z202" s="4">
        <v>701</v>
      </c>
      <c r="AA202" s="4">
        <v>1</v>
      </c>
      <c r="AB202" s="2" t="s">
        <v>205</v>
      </c>
      <c r="AC202" s="209">
        <v>0</v>
      </c>
      <c r="AD202" s="209">
        <v>414688.68</v>
      </c>
      <c r="AE202" s="209">
        <v>239010.63999999998</v>
      </c>
      <c r="AF202" s="209">
        <v>0</v>
      </c>
      <c r="AG202" s="209">
        <v>175678.04</v>
      </c>
      <c r="AH202" s="209">
        <v>0</v>
      </c>
    </row>
    <row r="203" spans="1:34" x14ac:dyDescent="0.2">
      <c r="A203" s="4">
        <v>704</v>
      </c>
      <c r="B203" s="4">
        <v>1</v>
      </c>
      <c r="C203" s="2" t="s">
        <v>206</v>
      </c>
      <c r="D203" s="183">
        <v>33117.549999999996</v>
      </c>
      <c r="E203" s="183">
        <v>6969.97</v>
      </c>
      <c r="F203" s="183">
        <v>47619.799999999996</v>
      </c>
      <c r="G203" s="183">
        <v>19145.87</v>
      </c>
      <c r="H203" s="3">
        <f t="shared" si="14"/>
        <v>106853.18999999999</v>
      </c>
      <c r="J203" s="209">
        <v>0</v>
      </c>
      <c r="K203" s="209">
        <v>0</v>
      </c>
      <c r="L203" s="209">
        <v>0</v>
      </c>
      <c r="M203" s="209">
        <v>0</v>
      </c>
      <c r="N203" s="209">
        <f t="shared" si="12"/>
        <v>0</v>
      </c>
      <c r="P203" s="4"/>
      <c r="Q203" s="4"/>
      <c r="Y203" s="2">
        <f t="shared" si="13"/>
        <v>0</v>
      </c>
      <c r="Z203" s="4">
        <v>704</v>
      </c>
      <c r="AA203" s="4">
        <v>1</v>
      </c>
      <c r="AB203" s="2" t="s">
        <v>206</v>
      </c>
      <c r="AC203" s="209">
        <v>0</v>
      </c>
      <c r="AD203" s="209">
        <v>106853.19</v>
      </c>
      <c r="AE203" s="209">
        <v>33117.549999999996</v>
      </c>
      <c r="AF203" s="209">
        <v>6969.97</v>
      </c>
      <c r="AG203" s="209">
        <v>47619.799999999996</v>
      </c>
      <c r="AH203" s="209">
        <v>19145.87</v>
      </c>
    </row>
    <row r="204" spans="1:34" x14ac:dyDescent="0.2">
      <c r="A204" s="4">
        <v>706</v>
      </c>
      <c r="B204" s="4">
        <v>1</v>
      </c>
      <c r="C204" s="2" t="s">
        <v>207</v>
      </c>
      <c r="D204" s="183">
        <v>121876.86999999998</v>
      </c>
      <c r="E204" s="183">
        <v>0</v>
      </c>
      <c r="F204" s="183">
        <v>9606.6</v>
      </c>
      <c r="G204" s="183">
        <v>137122.64000000001</v>
      </c>
      <c r="H204" s="3">
        <f t="shared" si="14"/>
        <v>268606.11</v>
      </c>
      <c r="J204" s="209">
        <v>25055.74</v>
      </c>
      <c r="K204" s="209">
        <v>0</v>
      </c>
      <c r="L204" s="209">
        <v>1974.29</v>
      </c>
      <c r="M204" s="209">
        <v>28187.05</v>
      </c>
      <c r="N204" s="209">
        <f t="shared" si="12"/>
        <v>55217.08</v>
      </c>
      <c r="P204" s="4"/>
      <c r="Q204" s="4"/>
      <c r="Y204" s="2">
        <f t="shared" si="13"/>
        <v>0</v>
      </c>
      <c r="Z204" s="4">
        <v>706</v>
      </c>
      <c r="AA204" s="4">
        <v>1</v>
      </c>
      <c r="AB204" s="2" t="s">
        <v>207</v>
      </c>
      <c r="AC204" s="209">
        <v>0</v>
      </c>
      <c r="AD204" s="209">
        <v>268606.11</v>
      </c>
      <c r="AE204" s="209">
        <v>121876.86999999998</v>
      </c>
      <c r="AF204" s="209">
        <v>0</v>
      </c>
      <c r="AG204" s="209">
        <v>9606.6</v>
      </c>
      <c r="AH204" s="209">
        <v>137122.64000000001</v>
      </c>
    </row>
    <row r="205" spans="1:34" x14ac:dyDescent="0.2">
      <c r="A205" s="4">
        <v>707</v>
      </c>
      <c r="B205" s="4">
        <v>1</v>
      </c>
      <c r="C205" s="2" t="s">
        <v>208</v>
      </c>
      <c r="D205" s="183">
        <v>0</v>
      </c>
      <c r="E205" s="183">
        <v>0</v>
      </c>
      <c r="F205" s="183">
        <v>0</v>
      </c>
      <c r="G205" s="183">
        <v>0</v>
      </c>
      <c r="H205" s="3">
        <f t="shared" si="14"/>
        <v>0</v>
      </c>
      <c r="J205" s="209">
        <v>0</v>
      </c>
      <c r="K205" s="209">
        <v>0</v>
      </c>
      <c r="L205" s="209">
        <v>0</v>
      </c>
      <c r="M205" s="209">
        <v>0</v>
      </c>
      <c r="N205" s="209">
        <f t="shared" si="12"/>
        <v>0</v>
      </c>
      <c r="P205" s="4"/>
      <c r="Q205" s="4"/>
      <c r="Y205" s="2">
        <f t="shared" si="13"/>
        <v>0</v>
      </c>
      <c r="Z205" s="4">
        <v>707</v>
      </c>
      <c r="AA205" s="4">
        <v>1</v>
      </c>
      <c r="AB205" s="2" t="s">
        <v>208</v>
      </c>
      <c r="AC205" s="209">
        <v>0</v>
      </c>
      <c r="AD205" s="209">
        <v>0</v>
      </c>
      <c r="AE205" s="209">
        <v>0</v>
      </c>
      <c r="AF205" s="209">
        <v>0</v>
      </c>
      <c r="AG205" s="209">
        <v>0</v>
      </c>
      <c r="AH205" s="209">
        <v>0</v>
      </c>
    </row>
    <row r="206" spans="1:34" x14ac:dyDescent="0.2">
      <c r="A206" s="4">
        <v>709</v>
      </c>
      <c r="B206" s="4">
        <v>1</v>
      </c>
      <c r="C206" s="2" t="s">
        <v>209</v>
      </c>
      <c r="D206" s="183">
        <v>278330.93</v>
      </c>
      <c r="E206" s="183">
        <v>75949.069999999992</v>
      </c>
      <c r="F206" s="183">
        <v>1506174.12</v>
      </c>
      <c r="G206" s="183">
        <v>0</v>
      </c>
      <c r="H206" s="3">
        <f t="shared" si="14"/>
        <v>1860454.12</v>
      </c>
      <c r="J206" s="209">
        <v>0</v>
      </c>
      <c r="K206" s="209">
        <v>0</v>
      </c>
      <c r="L206" s="209">
        <v>0</v>
      </c>
      <c r="M206" s="209">
        <v>0</v>
      </c>
      <c r="N206" s="209">
        <f t="shared" si="12"/>
        <v>0</v>
      </c>
      <c r="P206" s="4"/>
      <c r="Q206" s="4"/>
      <c r="Y206" s="2">
        <f t="shared" si="13"/>
        <v>0</v>
      </c>
      <c r="Z206" s="4">
        <v>709</v>
      </c>
      <c r="AA206" s="4">
        <v>1</v>
      </c>
      <c r="AB206" s="2" t="s">
        <v>209</v>
      </c>
      <c r="AC206" s="209">
        <v>0</v>
      </c>
      <c r="AD206" s="209">
        <v>1860454.12</v>
      </c>
      <c r="AE206" s="209">
        <v>278330.93</v>
      </c>
      <c r="AF206" s="209">
        <v>75949.069999999992</v>
      </c>
      <c r="AG206" s="209">
        <v>1506174.12</v>
      </c>
      <c r="AH206" s="209">
        <v>0</v>
      </c>
    </row>
    <row r="207" spans="1:34" x14ac:dyDescent="0.2">
      <c r="A207" s="4">
        <v>712</v>
      </c>
      <c r="B207" s="4">
        <v>1</v>
      </c>
      <c r="C207" s="2" t="s">
        <v>1192</v>
      </c>
      <c r="D207" s="183">
        <v>0</v>
      </c>
      <c r="E207" s="183">
        <v>0</v>
      </c>
      <c r="F207" s="183">
        <v>19628.310000000001</v>
      </c>
      <c r="G207" s="183">
        <v>0</v>
      </c>
      <c r="H207" s="3">
        <f t="shared" si="14"/>
        <v>19628.310000000001</v>
      </c>
      <c r="J207" s="209">
        <v>0</v>
      </c>
      <c r="K207" s="209">
        <v>0</v>
      </c>
      <c r="L207" s="209">
        <v>2743.19</v>
      </c>
      <c r="M207" s="209">
        <v>0</v>
      </c>
      <c r="N207" s="209">
        <f t="shared" si="12"/>
        <v>2743.19</v>
      </c>
      <c r="P207" s="4"/>
      <c r="Q207" s="4"/>
      <c r="Y207" s="2">
        <f t="shared" si="13"/>
        <v>0</v>
      </c>
      <c r="Z207" s="4">
        <v>712</v>
      </c>
      <c r="AA207" s="4">
        <v>1</v>
      </c>
      <c r="AB207" s="2" t="s">
        <v>1192</v>
      </c>
      <c r="AC207" s="209">
        <v>0</v>
      </c>
      <c r="AD207" s="209">
        <v>19628.310000000001</v>
      </c>
      <c r="AE207" s="209">
        <v>0</v>
      </c>
      <c r="AF207" s="209">
        <v>0</v>
      </c>
      <c r="AG207" s="209">
        <v>19628.310000000001</v>
      </c>
      <c r="AH207" s="209">
        <v>0</v>
      </c>
    </row>
    <row r="208" spans="1:34" x14ac:dyDescent="0.2">
      <c r="A208" s="4">
        <v>716</v>
      </c>
      <c r="B208" s="4">
        <v>1</v>
      </c>
      <c r="C208" s="2" t="s">
        <v>211</v>
      </c>
      <c r="D208" s="183">
        <v>5193.5600000000004</v>
      </c>
      <c r="E208" s="183">
        <v>1603.3199999999997</v>
      </c>
      <c r="F208" s="183">
        <v>44339.950000000004</v>
      </c>
      <c r="G208" s="183">
        <v>0</v>
      </c>
      <c r="H208" s="3">
        <f t="shared" si="14"/>
        <v>51136.83</v>
      </c>
      <c r="J208" s="209">
        <v>0</v>
      </c>
      <c r="K208" s="209">
        <v>0</v>
      </c>
      <c r="L208" s="209">
        <v>0</v>
      </c>
      <c r="M208" s="209">
        <v>0</v>
      </c>
      <c r="N208" s="209">
        <f t="shared" si="12"/>
        <v>0</v>
      </c>
      <c r="P208" s="4"/>
      <c r="Q208" s="4"/>
      <c r="Y208" s="2">
        <f t="shared" si="13"/>
        <v>0</v>
      </c>
      <c r="Z208" s="4">
        <v>716</v>
      </c>
      <c r="AA208" s="4">
        <v>1</v>
      </c>
      <c r="AB208" s="2" t="s">
        <v>211</v>
      </c>
      <c r="AC208" s="209">
        <v>0</v>
      </c>
      <c r="AD208" s="209">
        <v>51136.830000000009</v>
      </c>
      <c r="AE208" s="209">
        <v>5193.5600000000004</v>
      </c>
      <c r="AF208" s="209">
        <v>1603.3199999999997</v>
      </c>
      <c r="AG208" s="209">
        <v>44339.950000000004</v>
      </c>
      <c r="AH208" s="209">
        <v>0</v>
      </c>
    </row>
    <row r="209" spans="1:34" x14ac:dyDescent="0.2">
      <c r="A209" s="4">
        <v>717</v>
      </c>
      <c r="B209" s="4">
        <v>1</v>
      </c>
      <c r="C209" s="2" t="s">
        <v>212</v>
      </c>
      <c r="D209" s="183">
        <v>4278.6699999999992</v>
      </c>
      <c r="E209" s="183">
        <v>834.05000000000007</v>
      </c>
      <c r="F209" s="183">
        <v>12070.079999999998</v>
      </c>
      <c r="G209" s="183">
        <v>0</v>
      </c>
      <c r="H209" s="3">
        <f t="shared" si="14"/>
        <v>17182.799999999996</v>
      </c>
      <c r="J209" s="209">
        <v>0</v>
      </c>
      <c r="K209" s="209">
        <v>0</v>
      </c>
      <c r="L209" s="209">
        <v>0</v>
      </c>
      <c r="M209" s="209">
        <v>0</v>
      </c>
      <c r="N209" s="209">
        <f t="shared" si="12"/>
        <v>0</v>
      </c>
      <c r="P209" s="4"/>
      <c r="Q209" s="4"/>
      <c r="Y209" s="2">
        <f t="shared" si="13"/>
        <v>0</v>
      </c>
      <c r="Z209" s="4">
        <v>717</v>
      </c>
      <c r="AA209" s="4">
        <v>1</v>
      </c>
      <c r="AB209" s="2" t="s">
        <v>212</v>
      </c>
      <c r="AC209" s="209">
        <v>0</v>
      </c>
      <c r="AD209" s="209">
        <v>17182.8</v>
      </c>
      <c r="AE209" s="209">
        <v>4278.6699999999992</v>
      </c>
      <c r="AF209" s="209">
        <v>834.05000000000007</v>
      </c>
      <c r="AG209" s="209">
        <v>12070.079999999998</v>
      </c>
      <c r="AH209" s="209">
        <v>0</v>
      </c>
    </row>
    <row r="210" spans="1:34" x14ac:dyDescent="0.2">
      <c r="A210" s="4">
        <v>719</v>
      </c>
      <c r="B210" s="4">
        <v>1</v>
      </c>
      <c r="C210" s="2" t="s">
        <v>1193</v>
      </c>
      <c r="D210" s="183">
        <v>1827.66</v>
      </c>
      <c r="E210" s="183">
        <v>270.07</v>
      </c>
      <c r="F210" s="183">
        <v>5243.7900000000009</v>
      </c>
      <c r="G210" s="183">
        <v>0</v>
      </c>
      <c r="H210" s="3">
        <f t="shared" si="14"/>
        <v>7341.52</v>
      </c>
      <c r="J210" s="209">
        <v>0</v>
      </c>
      <c r="K210" s="209">
        <v>0</v>
      </c>
      <c r="L210" s="209">
        <v>0</v>
      </c>
      <c r="M210" s="209">
        <v>0</v>
      </c>
      <c r="N210" s="209">
        <f t="shared" si="12"/>
        <v>0</v>
      </c>
      <c r="P210" s="4"/>
      <c r="Q210" s="4"/>
      <c r="Y210" s="2">
        <f t="shared" si="13"/>
        <v>0</v>
      </c>
      <c r="Z210" s="4">
        <v>719</v>
      </c>
      <c r="AA210" s="4">
        <v>1</v>
      </c>
      <c r="AB210" s="2" t="s">
        <v>1193</v>
      </c>
      <c r="AC210" s="209">
        <v>0</v>
      </c>
      <c r="AD210" s="209">
        <v>7341.5199999999995</v>
      </c>
      <c r="AE210" s="209">
        <v>1827.66</v>
      </c>
      <c r="AF210" s="209">
        <v>270.07</v>
      </c>
      <c r="AG210" s="209">
        <v>5243.7900000000009</v>
      </c>
      <c r="AH210" s="209">
        <v>0</v>
      </c>
    </row>
    <row r="211" spans="1:34" x14ac:dyDescent="0.2">
      <c r="A211" s="4">
        <v>720</v>
      </c>
      <c r="B211" s="4">
        <v>1</v>
      </c>
      <c r="C211" s="2" t="s">
        <v>213</v>
      </c>
      <c r="D211" s="183">
        <v>1444.3000000000002</v>
      </c>
      <c r="E211" s="183">
        <v>221.68</v>
      </c>
      <c r="F211" s="183">
        <v>5272.59</v>
      </c>
      <c r="G211" s="183">
        <v>0</v>
      </c>
      <c r="H211" s="3">
        <f t="shared" si="14"/>
        <v>6938.5700000000006</v>
      </c>
      <c r="J211" s="209">
        <v>0</v>
      </c>
      <c r="K211" s="209">
        <v>0</v>
      </c>
      <c r="L211" s="209">
        <v>0</v>
      </c>
      <c r="M211" s="209">
        <v>0</v>
      </c>
      <c r="N211" s="209">
        <f t="shared" si="12"/>
        <v>0</v>
      </c>
      <c r="P211" s="4"/>
      <c r="Q211" s="4"/>
      <c r="Y211" s="2">
        <f t="shared" si="13"/>
        <v>0</v>
      </c>
      <c r="Z211" s="4">
        <v>720</v>
      </c>
      <c r="AA211" s="4">
        <v>1</v>
      </c>
      <c r="AB211" s="2" t="s">
        <v>213</v>
      </c>
      <c r="AC211" s="209">
        <v>0</v>
      </c>
      <c r="AD211" s="209">
        <v>6938.57</v>
      </c>
      <c r="AE211" s="209">
        <v>1444.3000000000002</v>
      </c>
      <c r="AF211" s="209">
        <v>221.68</v>
      </c>
      <c r="AG211" s="209">
        <v>5272.59</v>
      </c>
      <c r="AH211" s="209">
        <v>0</v>
      </c>
    </row>
    <row r="212" spans="1:34" x14ac:dyDescent="0.2">
      <c r="A212" s="4">
        <v>721</v>
      </c>
      <c r="B212" s="4">
        <v>1</v>
      </c>
      <c r="C212" s="2" t="s">
        <v>214</v>
      </c>
      <c r="D212" s="183">
        <v>9782.02</v>
      </c>
      <c r="E212" s="183">
        <v>2516.91</v>
      </c>
      <c r="F212" s="183">
        <v>56485.329999999994</v>
      </c>
      <c r="G212" s="183">
        <v>0</v>
      </c>
      <c r="H212" s="3">
        <f t="shared" si="14"/>
        <v>68784.259999999995</v>
      </c>
      <c r="J212" s="209">
        <v>0</v>
      </c>
      <c r="K212" s="209">
        <v>0</v>
      </c>
      <c r="L212" s="209">
        <v>0</v>
      </c>
      <c r="M212" s="209">
        <v>0</v>
      </c>
      <c r="N212" s="209">
        <f t="shared" si="12"/>
        <v>0</v>
      </c>
      <c r="P212" s="4"/>
      <c r="Q212" s="4"/>
      <c r="Y212" s="2">
        <f t="shared" si="13"/>
        <v>0</v>
      </c>
      <c r="Z212" s="4">
        <v>721</v>
      </c>
      <c r="AA212" s="4">
        <v>1</v>
      </c>
      <c r="AB212" s="2" t="s">
        <v>214</v>
      </c>
      <c r="AC212" s="209">
        <v>0</v>
      </c>
      <c r="AD212" s="209">
        <v>68784.260000000009</v>
      </c>
      <c r="AE212" s="209">
        <v>9782.02</v>
      </c>
      <c r="AF212" s="209">
        <v>2516.91</v>
      </c>
      <c r="AG212" s="209">
        <v>56485.329999999994</v>
      </c>
      <c r="AH212" s="209">
        <v>0</v>
      </c>
    </row>
    <row r="213" spans="1:34" x14ac:dyDescent="0.2">
      <c r="A213" s="4">
        <v>726</v>
      </c>
      <c r="B213" s="4">
        <v>1</v>
      </c>
      <c r="C213" s="2" t="s">
        <v>215</v>
      </c>
      <c r="D213" s="183">
        <v>2600.29</v>
      </c>
      <c r="E213" s="183">
        <v>396.26</v>
      </c>
      <c r="F213" s="183">
        <v>6240.3499999999995</v>
      </c>
      <c r="G213" s="183">
        <v>0</v>
      </c>
      <c r="H213" s="3">
        <f t="shared" si="14"/>
        <v>9236.9</v>
      </c>
      <c r="J213" s="209">
        <v>0</v>
      </c>
      <c r="K213" s="209">
        <v>0</v>
      </c>
      <c r="L213" s="209">
        <v>0</v>
      </c>
      <c r="M213" s="209">
        <v>0</v>
      </c>
      <c r="N213" s="209">
        <f t="shared" si="12"/>
        <v>0</v>
      </c>
      <c r="P213" s="4"/>
      <c r="Q213" s="4"/>
      <c r="Y213" s="2">
        <f t="shared" si="13"/>
        <v>0</v>
      </c>
      <c r="Z213" s="4">
        <v>726</v>
      </c>
      <c r="AA213" s="4">
        <v>1</v>
      </c>
      <c r="AB213" s="2" t="s">
        <v>215</v>
      </c>
      <c r="AC213" s="209">
        <v>0</v>
      </c>
      <c r="AD213" s="209">
        <v>9236.9</v>
      </c>
      <c r="AE213" s="209">
        <v>2600.29</v>
      </c>
      <c r="AF213" s="209">
        <v>396.26</v>
      </c>
      <c r="AG213" s="209">
        <v>6240.3499999999995</v>
      </c>
      <c r="AH213" s="209">
        <v>0</v>
      </c>
    </row>
    <row r="214" spans="1:34" x14ac:dyDescent="0.2">
      <c r="A214" s="4">
        <v>727</v>
      </c>
      <c r="B214" s="4">
        <v>1</v>
      </c>
      <c r="C214" s="2" t="s">
        <v>216</v>
      </c>
      <c r="D214" s="183">
        <v>1521.7199999999998</v>
      </c>
      <c r="E214" s="183">
        <v>431.49</v>
      </c>
      <c r="F214" s="183">
        <v>6012.49</v>
      </c>
      <c r="G214" s="183">
        <v>655.03</v>
      </c>
      <c r="H214" s="3">
        <f t="shared" si="14"/>
        <v>8620.73</v>
      </c>
      <c r="J214" s="209">
        <v>0</v>
      </c>
      <c r="K214" s="209">
        <v>0</v>
      </c>
      <c r="L214" s="209">
        <v>0</v>
      </c>
      <c r="M214" s="209">
        <v>0</v>
      </c>
      <c r="N214" s="209">
        <f t="shared" si="12"/>
        <v>0</v>
      </c>
      <c r="P214" s="4"/>
      <c r="Q214" s="4"/>
      <c r="Y214" s="2">
        <f t="shared" si="13"/>
        <v>0</v>
      </c>
      <c r="Z214" s="4">
        <v>727</v>
      </c>
      <c r="AA214" s="4">
        <v>1</v>
      </c>
      <c r="AB214" s="2" t="s">
        <v>216</v>
      </c>
      <c r="AC214" s="209">
        <v>0</v>
      </c>
      <c r="AD214" s="209">
        <v>8620.73</v>
      </c>
      <c r="AE214" s="209">
        <v>1521.7199999999998</v>
      </c>
      <c r="AF214" s="209">
        <v>431.49</v>
      </c>
      <c r="AG214" s="209">
        <v>6012.49</v>
      </c>
      <c r="AH214" s="209">
        <v>655.03</v>
      </c>
    </row>
    <row r="215" spans="1:34" x14ac:dyDescent="0.2">
      <c r="A215" s="4">
        <v>728</v>
      </c>
      <c r="B215" s="4">
        <v>1</v>
      </c>
      <c r="C215" s="2" t="s">
        <v>217</v>
      </c>
      <c r="D215" s="183">
        <v>10309.6</v>
      </c>
      <c r="E215" s="183">
        <v>866.44</v>
      </c>
      <c r="F215" s="183">
        <v>18445.909999999996</v>
      </c>
      <c r="G215" s="183">
        <v>301.06</v>
      </c>
      <c r="H215" s="3">
        <f t="shared" si="14"/>
        <v>29923.01</v>
      </c>
      <c r="J215" s="209">
        <v>0</v>
      </c>
      <c r="K215" s="209">
        <v>0</v>
      </c>
      <c r="L215" s="209">
        <v>0</v>
      </c>
      <c r="M215" s="209">
        <v>0</v>
      </c>
      <c r="N215" s="209">
        <f t="shared" si="12"/>
        <v>0</v>
      </c>
      <c r="P215" s="4"/>
      <c r="Q215" s="4"/>
      <c r="Y215" s="2">
        <f t="shared" si="13"/>
        <v>0</v>
      </c>
      <c r="Z215" s="4">
        <v>728</v>
      </c>
      <c r="AA215" s="4">
        <v>1</v>
      </c>
      <c r="AB215" s="2" t="s">
        <v>217</v>
      </c>
      <c r="AC215" s="209">
        <v>0</v>
      </c>
      <c r="AD215" s="209">
        <v>29923.01</v>
      </c>
      <c r="AE215" s="209">
        <v>10309.6</v>
      </c>
      <c r="AF215" s="209">
        <v>866.44</v>
      </c>
      <c r="AG215" s="209">
        <v>18445.909999999996</v>
      </c>
      <c r="AH215" s="209">
        <v>301.06</v>
      </c>
    </row>
    <row r="216" spans="1:34" x14ac:dyDescent="0.2">
      <c r="A216" s="4">
        <v>738</v>
      </c>
      <c r="B216" s="4">
        <v>1</v>
      </c>
      <c r="C216" s="2" t="s">
        <v>218</v>
      </c>
      <c r="D216" s="183">
        <v>5931.8100000000013</v>
      </c>
      <c r="E216" s="183">
        <v>1727.7199999999998</v>
      </c>
      <c r="F216" s="183">
        <v>32173.489999999998</v>
      </c>
      <c r="G216" s="183">
        <v>6151.7400000000007</v>
      </c>
      <c r="H216" s="3">
        <f t="shared" si="14"/>
        <v>45984.759999999995</v>
      </c>
      <c r="J216" s="209">
        <v>0</v>
      </c>
      <c r="K216" s="209">
        <v>0</v>
      </c>
      <c r="L216" s="209">
        <v>0</v>
      </c>
      <c r="M216" s="209">
        <v>0</v>
      </c>
      <c r="N216" s="209">
        <f t="shared" si="12"/>
        <v>0</v>
      </c>
      <c r="P216" s="4"/>
      <c r="Q216" s="4"/>
      <c r="Y216" s="2">
        <f t="shared" si="13"/>
        <v>0</v>
      </c>
      <c r="Z216" s="4">
        <v>738</v>
      </c>
      <c r="AA216" s="4">
        <v>1</v>
      </c>
      <c r="AB216" s="2" t="s">
        <v>218</v>
      </c>
      <c r="AC216" s="209">
        <v>0</v>
      </c>
      <c r="AD216" s="209">
        <v>45984.760000000009</v>
      </c>
      <c r="AE216" s="209">
        <v>5931.8100000000013</v>
      </c>
      <c r="AF216" s="209">
        <v>1727.7199999999998</v>
      </c>
      <c r="AG216" s="209">
        <v>32173.489999999998</v>
      </c>
      <c r="AH216" s="209">
        <v>6151.7400000000007</v>
      </c>
    </row>
    <row r="217" spans="1:34" x14ac:dyDescent="0.2">
      <c r="A217" s="4">
        <v>739</v>
      </c>
      <c r="B217" s="4">
        <v>1</v>
      </c>
      <c r="C217" s="2" t="s">
        <v>219</v>
      </c>
      <c r="D217" s="183">
        <v>6142.77</v>
      </c>
      <c r="E217" s="183">
        <v>1501.8999999999999</v>
      </c>
      <c r="F217" s="183">
        <v>15184.430000000004</v>
      </c>
      <c r="G217" s="183">
        <v>0</v>
      </c>
      <c r="H217" s="3">
        <f t="shared" si="14"/>
        <v>22829.100000000006</v>
      </c>
      <c r="J217" s="209">
        <v>0</v>
      </c>
      <c r="K217" s="209">
        <v>0</v>
      </c>
      <c r="L217" s="209">
        <v>0</v>
      </c>
      <c r="M217" s="209">
        <v>0</v>
      </c>
      <c r="N217" s="209">
        <f t="shared" si="12"/>
        <v>0</v>
      </c>
      <c r="P217" s="4"/>
      <c r="Q217" s="4"/>
      <c r="Y217" s="2">
        <f t="shared" si="13"/>
        <v>0</v>
      </c>
      <c r="Z217" s="4">
        <v>739</v>
      </c>
      <c r="AA217" s="4">
        <v>1</v>
      </c>
      <c r="AB217" s="2" t="s">
        <v>219</v>
      </c>
      <c r="AC217" s="209">
        <v>0</v>
      </c>
      <c r="AD217" s="209">
        <v>22829.100000000002</v>
      </c>
      <c r="AE217" s="209">
        <v>6142.77</v>
      </c>
      <c r="AF217" s="209">
        <v>1501.8999999999999</v>
      </c>
      <c r="AG217" s="209">
        <v>15184.430000000004</v>
      </c>
      <c r="AH217" s="209">
        <v>0</v>
      </c>
    </row>
    <row r="218" spans="1:34" x14ac:dyDescent="0.2">
      <c r="A218" s="4">
        <v>740</v>
      </c>
      <c r="B218" s="4">
        <v>1</v>
      </c>
      <c r="C218" s="2" t="s">
        <v>220</v>
      </c>
      <c r="D218" s="183">
        <v>10956.879999999996</v>
      </c>
      <c r="E218" s="183">
        <v>2686.64</v>
      </c>
      <c r="F218" s="183">
        <v>21823.600000000002</v>
      </c>
      <c r="G218" s="183">
        <v>0</v>
      </c>
      <c r="H218" s="3">
        <f t="shared" si="14"/>
        <v>35467.119999999995</v>
      </c>
      <c r="J218" s="209">
        <v>0</v>
      </c>
      <c r="K218" s="209">
        <v>0</v>
      </c>
      <c r="L218" s="209">
        <v>0</v>
      </c>
      <c r="M218" s="209">
        <v>0</v>
      </c>
      <c r="N218" s="209">
        <f t="shared" si="12"/>
        <v>0</v>
      </c>
      <c r="P218" s="4"/>
      <c r="Q218" s="4"/>
      <c r="Y218" s="2">
        <f t="shared" si="13"/>
        <v>0</v>
      </c>
      <c r="Z218" s="4">
        <v>740</v>
      </c>
      <c r="AA218" s="4">
        <v>1</v>
      </c>
      <c r="AB218" s="2" t="s">
        <v>220</v>
      </c>
      <c r="AC218" s="209">
        <v>0</v>
      </c>
      <c r="AD218" s="209">
        <v>35467.119999999995</v>
      </c>
      <c r="AE218" s="209">
        <v>10956.879999999996</v>
      </c>
      <c r="AF218" s="209">
        <v>2686.64</v>
      </c>
      <c r="AG218" s="209">
        <v>21823.600000000002</v>
      </c>
      <c r="AH218" s="209">
        <v>0</v>
      </c>
    </row>
    <row r="219" spans="1:34" x14ac:dyDescent="0.2">
      <c r="A219" s="4">
        <v>741</v>
      </c>
      <c r="B219" s="4">
        <v>1</v>
      </c>
      <c r="C219" s="2" t="s">
        <v>221</v>
      </c>
      <c r="D219" s="183">
        <v>4904.6299999999992</v>
      </c>
      <c r="E219" s="183">
        <v>1258.0700000000004</v>
      </c>
      <c r="F219" s="183">
        <v>12496.32</v>
      </c>
      <c r="G219" s="183">
        <v>0</v>
      </c>
      <c r="H219" s="3">
        <f t="shared" si="14"/>
        <v>18659.02</v>
      </c>
      <c r="J219" s="209">
        <v>0</v>
      </c>
      <c r="K219" s="209">
        <v>0</v>
      </c>
      <c r="L219" s="209">
        <v>0</v>
      </c>
      <c r="M219" s="209">
        <v>0</v>
      </c>
      <c r="N219" s="209">
        <f t="shared" si="12"/>
        <v>0</v>
      </c>
      <c r="P219" s="4"/>
      <c r="Q219" s="4"/>
      <c r="Y219" s="2">
        <f t="shared" si="13"/>
        <v>0</v>
      </c>
      <c r="Z219" s="4">
        <v>741</v>
      </c>
      <c r="AA219" s="4">
        <v>1</v>
      </c>
      <c r="AB219" s="2" t="s">
        <v>221</v>
      </c>
      <c r="AC219" s="209">
        <v>0</v>
      </c>
      <c r="AD219" s="209">
        <v>18659.020000000004</v>
      </c>
      <c r="AE219" s="209">
        <v>4904.6299999999992</v>
      </c>
      <c r="AF219" s="209">
        <v>1258.0700000000004</v>
      </c>
      <c r="AG219" s="209">
        <v>12496.32</v>
      </c>
      <c r="AH219" s="209">
        <v>0</v>
      </c>
    </row>
    <row r="220" spans="1:34" x14ac:dyDescent="0.2">
      <c r="A220" s="4">
        <v>742</v>
      </c>
      <c r="B220" s="4">
        <v>1</v>
      </c>
      <c r="C220" s="2" t="s">
        <v>222</v>
      </c>
      <c r="D220" s="183">
        <v>42376.61</v>
      </c>
      <c r="E220" s="183">
        <v>4598.07</v>
      </c>
      <c r="F220" s="183">
        <v>10535.46</v>
      </c>
      <c r="G220" s="183">
        <v>0</v>
      </c>
      <c r="H220" s="3">
        <f t="shared" si="14"/>
        <v>57510.14</v>
      </c>
      <c r="J220" s="209">
        <v>0</v>
      </c>
      <c r="K220" s="209">
        <v>0</v>
      </c>
      <c r="L220" s="209">
        <v>0</v>
      </c>
      <c r="M220" s="209">
        <v>0</v>
      </c>
      <c r="N220" s="209">
        <f t="shared" si="12"/>
        <v>0</v>
      </c>
      <c r="P220" s="4"/>
      <c r="Q220" s="4"/>
      <c r="Y220" s="2">
        <f t="shared" si="13"/>
        <v>0</v>
      </c>
      <c r="Z220" s="4">
        <v>742</v>
      </c>
      <c r="AA220" s="4">
        <v>1</v>
      </c>
      <c r="AB220" s="2" t="s">
        <v>222</v>
      </c>
      <c r="AC220" s="209">
        <v>0</v>
      </c>
      <c r="AD220" s="209">
        <v>57510.139999999992</v>
      </c>
      <c r="AE220" s="209">
        <v>42376.61</v>
      </c>
      <c r="AF220" s="209">
        <v>4598.07</v>
      </c>
      <c r="AG220" s="209">
        <v>10535.46</v>
      </c>
      <c r="AH220" s="209">
        <v>0</v>
      </c>
    </row>
    <row r="221" spans="1:34" x14ac:dyDescent="0.2">
      <c r="A221" s="4">
        <v>743</v>
      </c>
      <c r="B221" s="4">
        <v>1</v>
      </c>
      <c r="C221" s="2" t="s">
        <v>223</v>
      </c>
      <c r="D221" s="183">
        <v>1464.2199999999993</v>
      </c>
      <c r="E221" s="183">
        <v>1669.32</v>
      </c>
      <c r="F221" s="183">
        <v>17025.379999999997</v>
      </c>
      <c r="G221" s="183">
        <v>0</v>
      </c>
      <c r="H221" s="3">
        <f t="shared" si="14"/>
        <v>20158.919999999998</v>
      </c>
      <c r="J221" s="209">
        <v>0</v>
      </c>
      <c r="K221" s="209">
        <v>0</v>
      </c>
      <c r="L221" s="209">
        <v>0</v>
      </c>
      <c r="M221" s="209">
        <v>0</v>
      </c>
      <c r="N221" s="209">
        <f t="shared" si="12"/>
        <v>0</v>
      </c>
      <c r="P221" s="4"/>
      <c r="Q221" s="4"/>
      <c r="Y221" s="2">
        <f t="shared" si="13"/>
        <v>0</v>
      </c>
      <c r="Z221" s="4">
        <v>743</v>
      </c>
      <c r="AA221" s="4">
        <v>1</v>
      </c>
      <c r="AB221" s="2" t="s">
        <v>223</v>
      </c>
      <c r="AC221" s="209">
        <v>0</v>
      </c>
      <c r="AD221" s="209">
        <v>20158.919999999998</v>
      </c>
      <c r="AE221" s="209">
        <v>1464.2199999999993</v>
      </c>
      <c r="AF221" s="209">
        <v>1669.32</v>
      </c>
      <c r="AG221" s="209">
        <v>17025.379999999997</v>
      </c>
      <c r="AH221" s="209">
        <v>0</v>
      </c>
    </row>
    <row r="222" spans="1:34" x14ac:dyDescent="0.2">
      <c r="A222" s="4">
        <v>745</v>
      </c>
      <c r="B222" s="4">
        <v>1</v>
      </c>
      <c r="C222" s="2" t="s">
        <v>224</v>
      </c>
      <c r="D222" s="183">
        <v>10428.799999999999</v>
      </c>
      <c r="E222" s="183">
        <v>1920.6500000000003</v>
      </c>
      <c r="F222" s="183">
        <v>27324.7</v>
      </c>
      <c r="G222" s="183">
        <v>0</v>
      </c>
      <c r="H222" s="3">
        <f t="shared" si="14"/>
        <v>39674.15</v>
      </c>
      <c r="J222" s="209">
        <v>0</v>
      </c>
      <c r="K222" s="209">
        <v>0</v>
      </c>
      <c r="L222" s="209">
        <v>0</v>
      </c>
      <c r="M222" s="209">
        <v>0</v>
      </c>
      <c r="N222" s="209">
        <f t="shared" si="12"/>
        <v>0</v>
      </c>
      <c r="P222" s="4"/>
      <c r="Q222" s="4"/>
      <c r="Y222" s="2">
        <f t="shared" si="13"/>
        <v>0</v>
      </c>
      <c r="Z222" s="4">
        <v>745</v>
      </c>
      <c r="AA222" s="4">
        <v>1</v>
      </c>
      <c r="AB222" s="2" t="s">
        <v>224</v>
      </c>
      <c r="AC222" s="209">
        <v>0</v>
      </c>
      <c r="AD222" s="209">
        <v>39674.149999999994</v>
      </c>
      <c r="AE222" s="209">
        <v>10428.799999999999</v>
      </c>
      <c r="AF222" s="209">
        <v>1920.6500000000003</v>
      </c>
      <c r="AG222" s="209">
        <v>27324.7</v>
      </c>
      <c r="AH222" s="209">
        <v>0</v>
      </c>
    </row>
    <row r="223" spans="1:34" x14ac:dyDescent="0.2">
      <c r="A223" s="4">
        <v>748</v>
      </c>
      <c r="B223" s="4">
        <v>1</v>
      </c>
      <c r="C223" s="2" t="s">
        <v>1194</v>
      </c>
      <c r="D223" s="183">
        <v>2765.9000000000005</v>
      </c>
      <c r="E223" s="183">
        <v>603.72</v>
      </c>
      <c r="F223" s="183">
        <v>14707.51</v>
      </c>
      <c r="G223" s="183">
        <v>0</v>
      </c>
      <c r="H223" s="3">
        <f t="shared" si="14"/>
        <v>18077.13</v>
      </c>
      <c r="J223" s="209">
        <v>0</v>
      </c>
      <c r="K223" s="209">
        <v>0</v>
      </c>
      <c r="L223" s="209">
        <v>0</v>
      </c>
      <c r="M223" s="209">
        <v>0</v>
      </c>
      <c r="N223" s="209">
        <f t="shared" si="12"/>
        <v>0</v>
      </c>
      <c r="P223" s="4"/>
      <c r="Q223" s="4"/>
      <c r="Y223" s="2">
        <f t="shared" si="13"/>
        <v>0</v>
      </c>
      <c r="Z223" s="4">
        <v>748</v>
      </c>
      <c r="AA223" s="4">
        <v>1</v>
      </c>
      <c r="AB223" s="2" t="s">
        <v>1194</v>
      </c>
      <c r="AC223" s="209">
        <v>0</v>
      </c>
      <c r="AD223" s="209">
        <v>18077.13</v>
      </c>
      <c r="AE223" s="209">
        <v>2765.9000000000005</v>
      </c>
      <c r="AF223" s="209">
        <v>603.72</v>
      </c>
      <c r="AG223" s="209">
        <v>14707.51</v>
      </c>
      <c r="AH223" s="209">
        <v>0</v>
      </c>
    </row>
    <row r="224" spans="1:34" x14ac:dyDescent="0.2">
      <c r="A224" s="4">
        <v>750</v>
      </c>
      <c r="B224" s="4">
        <v>1</v>
      </c>
      <c r="C224" s="2" t="s">
        <v>226</v>
      </c>
      <c r="D224" s="183">
        <v>6819.7000000000016</v>
      </c>
      <c r="E224" s="183">
        <v>1217.1199999999999</v>
      </c>
      <c r="F224" s="183">
        <v>19986.629999999997</v>
      </c>
      <c r="G224" s="183">
        <v>3216.1099999999997</v>
      </c>
      <c r="H224" s="3">
        <f t="shared" si="14"/>
        <v>31239.559999999998</v>
      </c>
      <c r="J224" s="209">
        <v>0</v>
      </c>
      <c r="K224" s="209">
        <v>0</v>
      </c>
      <c r="L224" s="209">
        <v>0</v>
      </c>
      <c r="M224" s="209">
        <v>0</v>
      </c>
      <c r="N224" s="209">
        <f t="shared" si="12"/>
        <v>0</v>
      </c>
      <c r="P224" s="4"/>
      <c r="Q224" s="4"/>
      <c r="Y224" s="2">
        <f t="shared" si="13"/>
        <v>0</v>
      </c>
      <c r="Z224" s="4">
        <v>750</v>
      </c>
      <c r="AA224" s="4">
        <v>1</v>
      </c>
      <c r="AB224" s="2" t="s">
        <v>226</v>
      </c>
      <c r="AC224" s="209">
        <v>0</v>
      </c>
      <c r="AD224" s="209">
        <v>31239.56</v>
      </c>
      <c r="AE224" s="209">
        <v>6819.7000000000016</v>
      </c>
      <c r="AF224" s="209">
        <v>1217.1199999999999</v>
      </c>
      <c r="AG224" s="209">
        <v>19986.629999999997</v>
      </c>
      <c r="AH224" s="209">
        <v>3216.1099999999997</v>
      </c>
    </row>
    <row r="225" spans="1:34" x14ac:dyDescent="0.2">
      <c r="A225" s="4">
        <v>756</v>
      </c>
      <c r="B225" s="4">
        <v>1</v>
      </c>
      <c r="C225" s="2" t="s">
        <v>227</v>
      </c>
      <c r="D225" s="183">
        <v>9549.9800000000014</v>
      </c>
      <c r="E225" s="183">
        <v>755.98</v>
      </c>
      <c r="F225" s="183">
        <v>17576.550000000003</v>
      </c>
      <c r="G225" s="183">
        <v>0</v>
      </c>
      <c r="H225" s="3">
        <f t="shared" si="14"/>
        <v>27882.510000000002</v>
      </c>
      <c r="J225" s="209">
        <v>0</v>
      </c>
      <c r="K225" s="209">
        <v>0</v>
      </c>
      <c r="L225" s="209">
        <v>0</v>
      </c>
      <c r="M225" s="209">
        <v>0</v>
      </c>
      <c r="N225" s="209">
        <f t="shared" si="12"/>
        <v>0</v>
      </c>
      <c r="P225" s="4"/>
      <c r="Q225" s="4"/>
      <c r="Y225" s="2">
        <f t="shared" si="13"/>
        <v>0</v>
      </c>
      <c r="Z225" s="4">
        <v>756</v>
      </c>
      <c r="AA225" s="4">
        <v>1</v>
      </c>
      <c r="AB225" s="2" t="s">
        <v>227</v>
      </c>
      <c r="AC225" s="209">
        <v>0</v>
      </c>
      <c r="AD225" s="209">
        <v>27882.51</v>
      </c>
      <c r="AE225" s="209">
        <v>9549.9800000000014</v>
      </c>
      <c r="AF225" s="209">
        <v>755.98</v>
      </c>
      <c r="AG225" s="209">
        <v>17576.550000000003</v>
      </c>
      <c r="AH225" s="209">
        <v>0</v>
      </c>
    </row>
    <row r="226" spans="1:34" x14ac:dyDescent="0.2">
      <c r="A226" s="4">
        <v>761</v>
      </c>
      <c r="B226" s="4">
        <v>1</v>
      </c>
      <c r="C226" s="2" t="s">
        <v>228</v>
      </c>
      <c r="D226" s="183">
        <v>24384.42</v>
      </c>
      <c r="E226" s="183">
        <v>3950.29</v>
      </c>
      <c r="F226" s="183">
        <v>28266.13</v>
      </c>
      <c r="G226" s="183">
        <v>0</v>
      </c>
      <c r="H226" s="3">
        <f t="shared" si="14"/>
        <v>56600.84</v>
      </c>
      <c r="J226" s="209">
        <v>0</v>
      </c>
      <c r="K226" s="209">
        <v>0</v>
      </c>
      <c r="L226" s="209">
        <v>0</v>
      </c>
      <c r="M226" s="209">
        <v>0</v>
      </c>
      <c r="N226" s="209">
        <f t="shared" si="12"/>
        <v>0</v>
      </c>
      <c r="P226" s="4"/>
      <c r="Q226" s="4"/>
      <c r="Y226" s="2">
        <f t="shared" si="13"/>
        <v>0</v>
      </c>
      <c r="Z226" s="4">
        <v>761</v>
      </c>
      <c r="AA226" s="4">
        <v>1</v>
      </c>
      <c r="AB226" s="2" t="s">
        <v>228</v>
      </c>
      <c r="AC226" s="209">
        <v>0</v>
      </c>
      <c r="AD226" s="209">
        <v>56600.84</v>
      </c>
      <c r="AE226" s="209">
        <v>24384.42</v>
      </c>
      <c r="AF226" s="209">
        <v>3950.29</v>
      </c>
      <c r="AG226" s="209">
        <v>28266.13</v>
      </c>
      <c r="AH226" s="209">
        <v>0</v>
      </c>
    </row>
    <row r="227" spans="1:34" x14ac:dyDescent="0.2">
      <c r="A227" s="4">
        <v>763</v>
      </c>
      <c r="B227" s="4">
        <v>1</v>
      </c>
      <c r="C227" s="2" t="s">
        <v>229</v>
      </c>
      <c r="D227" s="183">
        <v>2059.23</v>
      </c>
      <c r="E227" s="183">
        <v>535.93999999999994</v>
      </c>
      <c r="F227" s="183">
        <v>14034.330000000002</v>
      </c>
      <c r="G227" s="183">
        <v>0</v>
      </c>
      <c r="H227" s="3">
        <f t="shared" si="14"/>
        <v>16629.5</v>
      </c>
      <c r="J227" s="209">
        <v>0</v>
      </c>
      <c r="K227" s="209">
        <v>0</v>
      </c>
      <c r="L227" s="209">
        <v>0</v>
      </c>
      <c r="M227" s="209">
        <v>0</v>
      </c>
      <c r="N227" s="209">
        <f t="shared" si="12"/>
        <v>0</v>
      </c>
      <c r="P227" s="4"/>
      <c r="Q227" s="4"/>
      <c r="Y227" s="2">
        <f t="shared" si="13"/>
        <v>0</v>
      </c>
      <c r="Z227" s="4">
        <v>763</v>
      </c>
      <c r="AA227" s="4">
        <v>1</v>
      </c>
      <c r="AB227" s="2" t="s">
        <v>229</v>
      </c>
      <c r="AC227" s="209">
        <v>0</v>
      </c>
      <c r="AD227" s="209">
        <v>16629.5</v>
      </c>
      <c r="AE227" s="209">
        <v>2059.23</v>
      </c>
      <c r="AF227" s="209">
        <v>535.93999999999994</v>
      </c>
      <c r="AG227" s="209">
        <v>14034.330000000002</v>
      </c>
      <c r="AH227" s="209">
        <v>0</v>
      </c>
    </row>
    <row r="228" spans="1:34" x14ac:dyDescent="0.2">
      <c r="A228" s="4">
        <v>768</v>
      </c>
      <c r="B228" s="4">
        <v>1</v>
      </c>
      <c r="C228" s="2" t="s">
        <v>230</v>
      </c>
      <c r="D228" s="183">
        <v>3077.95</v>
      </c>
      <c r="E228" s="183">
        <v>386.34</v>
      </c>
      <c r="F228" s="183">
        <v>11819.619999999999</v>
      </c>
      <c r="G228" s="183">
        <v>0</v>
      </c>
      <c r="H228" s="3">
        <f t="shared" si="14"/>
        <v>15283.91</v>
      </c>
      <c r="J228" s="209">
        <v>0</v>
      </c>
      <c r="K228" s="209">
        <v>0</v>
      </c>
      <c r="L228" s="209">
        <v>0</v>
      </c>
      <c r="M228" s="209">
        <v>0</v>
      </c>
      <c r="N228" s="209">
        <f t="shared" si="12"/>
        <v>0</v>
      </c>
      <c r="P228" s="4"/>
      <c r="Q228" s="4"/>
      <c r="Y228" s="2">
        <f t="shared" si="13"/>
        <v>0</v>
      </c>
      <c r="Z228" s="4">
        <v>768</v>
      </c>
      <c r="AA228" s="4">
        <v>1</v>
      </c>
      <c r="AB228" s="2" t="s">
        <v>230</v>
      </c>
      <c r="AC228" s="209">
        <v>0</v>
      </c>
      <c r="AD228" s="209">
        <v>15283.91</v>
      </c>
      <c r="AE228" s="209">
        <v>3077.95</v>
      </c>
      <c r="AF228" s="209">
        <v>386.34</v>
      </c>
      <c r="AG228" s="209">
        <v>11819.619999999999</v>
      </c>
      <c r="AH228" s="209">
        <v>0</v>
      </c>
    </row>
    <row r="229" spans="1:34" x14ac:dyDescent="0.2">
      <c r="A229" s="4">
        <v>771</v>
      </c>
      <c r="B229" s="4">
        <v>1</v>
      </c>
      <c r="C229" s="2" t="s">
        <v>232</v>
      </c>
      <c r="D229" s="183">
        <v>4692.9599999999991</v>
      </c>
      <c r="E229" s="183">
        <v>1056.9299999999998</v>
      </c>
      <c r="F229" s="183">
        <v>0</v>
      </c>
      <c r="G229" s="183">
        <v>0</v>
      </c>
      <c r="H229" s="3">
        <f t="shared" si="14"/>
        <v>5749.8899999999994</v>
      </c>
      <c r="J229" s="209">
        <v>0</v>
      </c>
      <c r="K229" s="209">
        <v>0</v>
      </c>
      <c r="L229" s="209">
        <v>0</v>
      </c>
      <c r="M229" s="209">
        <v>0</v>
      </c>
      <c r="N229" s="209">
        <f t="shared" si="12"/>
        <v>0</v>
      </c>
      <c r="P229" s="4"/>
      <c r="Q229" s="4"/>
      <c r="Y229" s="2">
        <f t="shared" si="13"/>
        <v>0</v>
      </c>
      <c r="Z229" s="4">
        <v>771</v>
      </c>
      <c r="AA229" s="4">
        <v>1</v>
      </c>
      <c r="AB229" s="2" t="s">
        <v>232</v>
      </c>
      <c r="AC229" s="209">
        <v>0</v>
      </c>
      <c r="AD229" s="209">
        <v>5749.89</v>
      </c>
      <c r="AE229" s="209">
        <v>4692.9599999999991</v>
      </c>
      <c r="AF229" s="209">
        <v>1056.9299999999998</v>
      </c>
      <c r="AG229" s="209">
        <v>0</v>
      </c>
      <c r="AH229" s="209">
        <v>0</v>
      </c>
    </row>
    <row r="230" spans="1:34" x14ac:dyDescent="0.2">
      <c r="A230" s="4">
        <v>775</v>
      </c>
      <c r="B230" s="4">
        <v>1</v>
      </c>
      <c r="C230" s="2" t="s">
        <v>1195</v>
      </c>
      <c r="D230" s="183">
        <v>4650.8300000000017</v>
      </c>
      <c r="E230" s="183">
        <v>606.79999999999995</v>
      </c>
      <c r="F230" s="183">
        <v>12301.359999999999</v>
      </c>
      <c r="G230" s="183">
        <v>0</v>
      </c>
      <c r="H230" s="3">
        <f t="shared" si="14"/>
        <v>17558.990000000002</v>
      </c>
      <c r="J230" s="209">
        <v>0</v>
      </c>
      <c r="K230" s="209">
        <v>0</v>
      </c>
      <c r="L230" s="209">
        <v>0</v>
      </c>
      <c r="M230" s="209">
        <v>0</v>
      </c>
      <c r="N230" s="209">
        <f t="shared" si="12"/>
        <v>0</v>
      </c>
      <c r="P230" s="4"/>
      <c r="Q230" s="4"/>
      <c r="Y230" s="2">
        <f t="shared" si="13"/>
        <v>0</v>
      </c>
      <c r="Z230" s="4">
        <v>775</v>
      </c>
      <c r="AA230" s="4">
        <v>1</v>
      </c>
      <c r="AB230" s="2" t="s">
        <v>1195</v>
      </c>
      <c r="AC230" s="209">
        <v>0</v>
      </c>
      <c r="AD230" s="209">
        <v>17558.990000000002</v>
      </c>
      <c r="AE230" s="209">
        <v>4650.8300000000017</v>
      </c>
      <c r="AF230" s="209">
        <v>606.79999999999995</v>
      </c>
      <c r="AG230" s="209">
        <v>12301.359999999999</v>
      </c>
      <c r="AH230" s="209">
        <v>0</v>
      </c>
    </row>
    <row r="231" spans="1:34" x14ac:dyDescent="0.2">
      <c r="A231" s="4">
        <v>777</v>
      </c>
      <c r="B231" s="4">
        <v>1</v>
      </c>
      <c r="C231" s="2" t="s">
        <v>234</v>
      </c>
      <c r="D231" s="183">
        <v>8096.64</v>
      </c>
      <c r="E231" s="183">
        <v>1466.4300000000003</v>
      </c>
      <c r="F231" s="183">
        <v>6900.5900000000011</v>
      </c>
      <c r="G231" s="183">
        <v>0</v>
      </c>
      <c r="H231" s="3">
        <f t="shared" si="14"/>
        <v>16463.66</v>
      </c>
      <c r="J231" s="209">
        <v>0</v>
      </c>
      <c r="K231" s="209">
        <v>0</v>
      </c>
      <c r="L231" s="209">
        <v>0</v>
      </c>
      <c r="M231" s="209">
        <v>0</v>
      </c>
      <c r="N231" s="209">
        <f t="shared" si="12"/>
        <v>0</v>
      </c>
      <c r="P231" s="4"/>
      <c r="Q231" s="4"/>
      <c r="Y231" s="2">
        <f t="shared" si="13"/>
        <v>0</v>
      </c>
      <c r="Z231" s="4">
        <v>777</v>
      </c>
      <c r="AA231" s="4">
        <v>1</v>
      </c>
      <c r="AB231" s="2" t="s">
        <v>234</v>
      </c>
      <c r="AC231" s="209">
        <v>0</v>
      </c>
      <c r="AD231" s="209">
        <v>16463.66</v>
      </c>
      <c r="AE231" s="209">
        <v>8096.64</v>
      </c>
      <c r="AF231" s="209">
        <v>1466.4300000000003</v>
      </c>
      <c r="AG231" s="209">
        <v>6900.5900000000011</v>
      </c>
      <c r="AH231" s="209">
        <v>0</v>
      </c>
    </row>
    <row r="232" spans="1:34" x14ac:dyDescent="0.2">
      <c r="A232" s="4">
        <v>786</v>
      </c>
      <c r="B232" s="4">
        <v>1</v>
      </c>
      <c r="C232" s="2" t="s">
        <v>235</v>
      </c>
      <c r="D232" s="183">
        <v>6845.5599999999995</v>
      </c>
      <c r="E232" s="183">
        <v>3525.5</v>
      </c>
      <c r="F232" s="183">
        <v>24428.04</v>
      </c>
      <c r="G232" s="183">
        <v>0</v>
      </c>
      <c r="H232" s="3">
        <f t="shared" si="14"/>
        <v>34799.1</v>
      </c>
      <c r="J232" s="209">
        <v>0</v>
      </c>
      <c r="K232" s="209">
        <v>0</v>
      </c>
      <c r="L232" s="209">
        <v>0</v>
      </c>
      <c r="M232" s="209">
        <v>0</v>
      </c>
      <c r="N232" s="209">
        <f t="shared" si="12"/>
        <v>0</v>
      </c>
      <c r="P232" s="4"/>
      <c r="Q232" s="4"/>
      <c r="Y232" s="2">
        <f t="shared" si="13"/>
        <v>0</v>
      </c>
      <c r="Z232" s="4">
        <v>786</v>
      </c>
      <c r="AA232" s="4">
        <v>1</v>
      </c>
      <c r="AB232" s="2" t="s">
        <v>235</v>
      </c>
      <c r="AC232" s="209">
        <v>0</v>
      </c>
      <c r="AD232" s="209">
        <v>34799.1</v>
      </c>
      <c r="AE232" s="209">
        <v>6845.5599999999995</v>
      </c>
      <c r="AF232" s="209">
        <v>3525.5</v>
      </c>
      <c r="AG232" s="209">
        <v>24428.04</v>
      </c>
      <c r="AH232" s="209">
        <v>0</v>
      </c>
    </row>
    <row r="233" spans="1:34" x14ac:dyDescent="0.2">
      <c r="A233" s="4">
        <v>787</v>
      </c>
      <c r="B233" s="4">
        <v>1</v>
      </c>
      <c r="C233" s="2" t="s">
        <v>236</v>
      </c>
      <c r="D233" s="183">
        <v>6639.0299999999988</v>
      </c>
      <c r="E233" s="183">
        <v>1231.81</v>
      </c>
      <c r="F233" s="183">
        <v>10556.41</v>
      </c>
      <c r="G233" s="183">
        <v>0</v>
      </c>
      <c r="H233" s="3">
        <f t="shared" si="14"/>
        <v>18427.25</v>
      </c>
      <c r="J233" s="209">
        <v>0</v>
      </c>
      <c r="K233" s="209">
        <v>0</v>
      </c>
      <c r="L233" s="209">
        <v>0</v>
      </c>
      <c r="M233" s="209">
        <v>0</v>
      </c>
      <c r="N233" s="209">
        <f t="shared" si="12"/>
        <v>0</v>
      </c>
      <c r="P233" s="4"/>
      <c r="Q233" s="4"/>
      <c r="Y233" s="2">
        <f t="shared" si="13"/>
        <v>0</v>
      </c>
      <c r="Z233" s="4">
        <v>787</v>
      </c>
      <c r="AA233" s="4">
        <v>1</v>
      </c>
      <c r="AB233" s="2" t="s">
        <v>236</v>
      </c>
      <c r="AC233" s="209">
        <v>0</v>
      </c>
      <c r="AD233" s="209">
        <v>18427.25</v>
      </c>
      <c r="AE233" s="209">
        <v>6639.0299999999988</v>
      </c>
      <c r="AF233" s="209">
        <v>1231.81</v>
      </c>
      <c r="AG233" s="209">
        <v>10556.41</v>
      </c>
      <c r="AH233" s="209">
        <v>0</v>
      </c>
    </row>
    <row r="234" spans="1:34" x14ac:dyDescent="0.2">
      <c r="A234" s="4">
        <v>801</v>
      </c>
      <c r="B234" s="4">
        <v>1</v>
      </c>
      <c r="C234" s="2" t="s">
        <v>237</v>
      </c>
      <c r="D234" s="183">
        <v>3294.44</v>
      </c>
      <c r="E234" s="183">
        <v>1136.7</v>
      </c>
      <c r="F234" s="183">
        <v>0</v>
      </c>
      <c r="G234" s="183">
        <v>0</v>
      </c>
      <c r="H234" s="3">
        <f t="shared" si="14"/>
        <v>4431.1400000000003</v>
      </c>
      <c r="J234" s="209">
        <v>0</v>
      </c>
      <c r="K234" s="209">
        <v>0</v>
      </c>
      <c r="L234" s="209">
        <v>0</v>
      </c>
      <c r="M234" s="209">
        <v>0</v>
      </c>
      <c r="N234" s="209">
        <f t="shared" si="12"/>
        <v>0</v>
      </c>
      <c r="P234" s="4"/>
      <c r="Q234" s="4"/>
      <c r="Y234" s="2">
        <f t="shared" si="13"/>
        <v>0</v>
      </c>
      <c r="Z234" s="4">
        <v>801</v>
      </c>
      <c r="AA234" s="4">
        <v>1</v>
      </c>
      <c r="AB234" s="2" t="s">
        <v>237</v>
      </c>
      <c r="AC234" s="209">
        <v>0</v>
      </c>
      <c r="AD234" s="209">
        <v>4431.1400000000003</v>
      </c>
      <c r="AE234" s="209">
        <v>3294.44</v>
      </c>
      <c r="AF234" s="209">
        <v>1136.7</v>
      </c>
      <c r="AG234" s="209">
        <v>0</v>
      </c>
      <c r="AH234" s="209">
        <v>0</v>
      </c>
    </row>
    <row r="235" spans="1:34" x14ac:dyDescent="0.2">
      <c r="A235" s="4">
        <v>803</v>
      </c>
      <c r="B235" s="4">
        <v>1</v>
      </c>
      <c r="C235" s="2" t="s">
        <v>238</v>
      </c>
      <c r="D235" s="183">
        <v>11384.74</v>
      </c>
      <c r="E235" s="183">
        <v>2380.73</v>
      </c>
      <c r="F235" s="183">
        <v>0</v>
      </c>
      <c r="G235" s="183">
        <v>0</v>
      </c>
      <c r="H235" s="3">
        <f t="shared" si="14"/>
        <v>13765.47</v>
      </c>
      <c r="J235" s="209">
        <v>0</v>
      </c>
      <c r="K235" s="209">
        <v>0</v>
      </c>
      <c r="L235" s="209">
        <v>0</v>
      </c>
      <c r="M235" s="209">
        <v>0</v>
      </c>
      <c r="N235" s="209">
        <f t="shared" si="12"/>
        <v>0</v>
      </c>
      <c r="P235" s="4"/>
      <c r="Q235" s="4"/>
      <c r="Y235" s="2">
        <f t="shared" si="13"/>
        <v>0</v>
      </c>
      <c r="Z235" s="4">
        <v>803</v>
      </c>
      <c r="AA235" s="4">
        <v>1</v>
      </c>
      <c r="AB235" s="2" t="s">
        <v>238</v>
      </c>
      <c r="AC235" s="209">
        <v>0</v>
      </c>
      <c r="AD235" s="209">
        <v>13765.47</v>
      </c>
      <c r="AE235" s="209">
        <v>11384.74</v>
      </c>
      <c r="AF235" s="209">
        <v>2380.73</v>
      </c>
      <c r="AG235" s="209">
        <v>0</v>
      </c>
      <c r="AH235" s="209">
        <v>0</v>
      </c>
    </row>
    <row r="236" spans="1:34" x14ac:dyDescent="0.2">
      <c r="A236" s="4">
        <v>811</v>
      </c>
      <c r="B236" s="4">
        <v>1</v>
      </c>
      <c r="C236" s="2" t="s">
        <v>239</v>
      </c>
      <c r="D236" s="183">
        <v>2625.24</v>
      </c>
      <c r="E236" s="183">
        <v>1386.21</v>
      </c>
      <c r="F236" s="183">
        <v>8216.89</v>
      </c>
      <c r="G236" s="183">
        <v>0</v>
      </c>
      <c r="H236" s="3">
        <f t="shared" si="14"/>
        <v>12228.34</v>
      </c>
      <c r="J236" s="209">
        <v>0</v>
      </c>
      <c r="K236" s="209">
        <v>0</v>
      </c>
      <c r="L236" s="209">
        <v>0</v>
      </c>
      <c r="M236" s="209">
        <v>0</v>
      </c>
      <c r="N236" s="209">
        <f t="shared" si="12"/>
        <v>0</v>
      </c>
      <c r="P236" s="4"/>
      <c r="Q236" s="4"/>
      <c r="Y236" s="2">
        <f t="shared" si="13"/>
        <v>0</v>
      </c>
      <c r="Z236" s="4">
        <v>811</v>
      </c>
      <c r="AA236" s="4">
        <v>1</v>
      </c>
      <c r="AB236" s="2" t="s">
        <v>239</v>
      </c>
      <c r="AC236" s="209">
        <v>0</v>
      </c>
      <c r="AD236" s="209">
        <v>12228.34</v>
      </c>
      <c r="AE236" s="209">
        <v>2625.24</v>
      </c>
      <c r="AF236" s="209">
        <v>1386.21</v>
      </c>
      <c r="AG236" s="209">
        <v>8216.89</v>
      </c>
      <c r="AH236" s="209">
        <v>0</v>
      </c>
    </row>
    <row r="237" spans="1:34" x14ac:dyDescent="0.2">
      <c r="A237" s="4">
        <v>813</v>
      </c>
      <c r="B237" s="4">
        <v>1</v>
      </c>
      <c r="C237" s="2" t="s">
        <v>240</v>
      </c>
      <c r="D237" s="183">
        <v>2852.5600000000013</v>
      </c>
      <c r="E237" s="183">
        <v>1580.9999999999998</v>
      </c>
      <c r="F237" s="183">
        <v>18824.720000000005</v>
      </c>
      <c r="G237" s="183">
        <v>0</v>
      </c>
      <c r="H237" s="3">
        <f t="shared" si="14"/>
        <v>23258.280000000006</v>
      </c>
      <c r="J237" s="209">
        <v>0</v>
      </c>
      <c r="K237" s="209">
        <v>0</v>
      </c>
      <c r="L237" s="209">
        <v>0</v>
      </c>
      <c r="M237" s="209">
        <v>0</v>
      </c>
      <c r="N237" s="209">
        <f t="shared" si="12"/>
        <v>0</v>
      </c>
      <c r="P237" s="4"/>
      <c r="Q237" s="4"/>
      <c r="Y237" s="2">
        <f t="shared" si="13"/>
        <v>0</v>
      </c>
      <c r="Z237" s="4">
        <v>813</v>
      </c>
      <c r="AA237" s="4">
        <v>1</v>
      </c>
      <c r="AB237" s="2" t="s">
        <v>240</v>
      </c>
      <c r="AC237" s="209">
        <v>0</v>
      </c>
      <c r="AD237" s="209">
        <v>23258.280000000002</v>
      </c>
      <c r="AE237" s="209">
        <v>2852.5600000000013</v>
      </c>
      <c r="AF237" s="209">
        <v>1580.9999999999998</v>
      </c>
      <c r="AG237" s="209">
        <v>18824.720000000005</v>
      </c>
      <c r="AH237" s="209">
        <v>0</v>
      </c>
    </row>
    <row r="238" spans="1:34" x14ac:dyDescent="0.2">
      <c r="A238" s="4">
        <v>815</v>
      </c>
      <c r="B238" s="4">
        <v>2</v>
      </c>
      <c r="C238" s="2" t="s">
        <v>241</v>
      </c>
      <c r="D238" s="183">
        <v>814.01</v>
      </c>
      <c r="E238" s="183">
        <v>128.82</v>
      </c>
      <c r="F238" s="183">
        <v>0</v>
      </c>
      <c r="G238" s="183">
        <v>0</v>
      </c>
      <c r="H238" s="3">
        <f t="shared" si="14"/>
        <v>942.82999999999993</v>
      </c>
      <c r="J238" s="209">
        <v>0</v>
      </c>
      <c r="K238" s="209">
        <v>0</v>
      </c>
      <c r="L238" s="209">
        <v>0</v>
      </c>
      <c r="M238" s="209">
        <v>0</v>
      </c>
      <c r="N238" s="209">
        <f t="shared" si="12"/>
        <v>0</v>
      </c>
      <c r="P238" s="4"/>
      <c r="Q238" s="4"/>
      <c r="Y238" s="2">
        <f t="shared" si="13"/>
        <v>0</v>
      </c>
      <c r="Z238" s="4">
        <v>815</v>
      </c>
      <c r="AA238" s="4">
        <v>2</v>
      </c>
      <c r="AB238" s="2" t="s">
        <v>241</v>
      </c>
      <c r="AC238" s="209">
        <v>0</v>
      </c>
      <c r="AD238" s="209">
        <v>942.83</v>
      </c>
      <c r="AE238" s="209">
        <v>814.01</v>
      </c>
      <c r="AF238" s="209">
        <v>128.82</v>
      </c>
      <c r="AG238" s="209">
        <v>0</v>
      </c>
      <c r="AH238" s="209">
        <v>0</v>
      </c>
    </row>
    <row r="239" spans="1:34" x14ac:dyDescent="0.2">
      <c r="A239" s="4">
        <v>818</v>
      </c>
      <c r="B239" s="4">
        <v>1</v>
      </c>
      <c r="C239" s="2" t="s">
        <v>242</v>
      </c>
      <c r="D239" s="183">
        <v>0</v>
      </c>
      <c r="E239" s="183">
        <v>663.47</v>
      </c>
      <c r="F239" s="183">
        <v>14368.22</v>
      </c>
      <c r="G239" s="183">
        <v>0</v>
      </c>
      <c r="H239" s="3">
        <f t="shared" si="14"/>
        <v>15031.689999999999</v>
      </c>
      <c r="J239" s="209">
        <v>0</v>
      </c>
      <c r="K239" s="209">
        <v>0</v>
      </c>
      <c r="L239" s="209">
        <v>0</v>
      </c>
      <c r="M239" s="209">
        <v>0</v>
      </c>
      <c r="N239" s="209">
        <f t="shared" si="12"/>
        <v>0</v>
      </c>
      <c r="P239" s="4"/>
      <c r="Q239" s="4"/>
      <c r="Y239" s="2">
        <f t="shared" si="13"/>
        <v>0</v>
      </c>
      <c r="Z239" s="4">
        <v>818</v>
      </c>
      <c r="AA239" s="4">
        <v>1</v>
      </c>
      <c r="AB239" s="2" t="s">
        <v>242</v>
      </c>
      <c r="AC239" s="209">
        <v>0</v>
      </c>
      <c r="AD239" s="209">
        <v>15031.690000000002</v>
      </c>
      <c r="AE239" s="209">
        <v>0</v>
      </c>
      <c r="AF239" s="209">
        <v>663.47</v>
      </c>
      <c r="AG239" s="209">
        <v>14368.22</v>
      </c>
      <c r="AH239" s="209">
        <v>0</v>
      </c>
    </row>
    <row r="240" spans="1:34" x14ac:dyDescent="0.2">
      <c r="A240" s="4">
        <v>820</v>
      </c>
      <c r="B240" s="4">
        <v>1</v>
      </c>
      <c r="C240" s="2" t="s">
        <v>243</v>
      </c>
      <c r="D240" s="183">
        <v>12220.32</v>
      </c>
      <c r="E240" s="183">
        <v>2498.94</v>
      </c>
      <c r="F240" s="183">
        <v>0</v>
      </c>
      <c r="G240" s="183">
        <v>0</v>
      </c>
      <c r="H240" s="3">
        <f t="shared" si="14"/>
        <v>14719.26</v>
      </c>
      <c r="J240" s="209">
        <v>0</v>
      </c>
      <c r="K240" s="209">
        <v>0</v>
      </c>
      <c r="L240" s="209">
        <v>0</v>
      </c>
      <c r="M240" s="209">
        <v>0</v>
      </c>
      <c r="N240" s="209">
        <f t="shared" si="12"/>
        <v>0</v>
      </c>
      <c r="P240" s="4"/>
      <c r="Q240" s="4"/>
      <c r="Y240" s="2">
        <f t="shared" si="13"/>
        <v>0</v>
      </c>
      <c r="Z240" s="4">
        <v>820</v>
      </c>
      <c r="AA240" s="4">
        <v>1</v>
      </c>
      <c r="AB240" s="2" t="s">
        <v>243</v>
      </c>
      <c r="AC240" s="209">
        <v>0</v>
      </c>
      <c r="AD240" s="209">
        <v>14719.260000000002</v>
      </c>
      <c r="AE240" s="209">
        <v>12220.32</v>
      </c>
      <c r="AF240" s="209">
        <v>2498.94</v>
      </c>
      <c r="AG240" s="209">
        <v>0</v>
      </c>
      <c r="AH240" s="209">
        <v>0</v>
      </c>
    </row>
    <row r="241" spans="1:34" x14ac:dyDescent="0.2">
      <c r="A241" s="4">
        <v>821</v>
      </c>
      <c r="B241" s="4">
        <v>1</v>
      </c>
      <c r="C241" s="2" t="s">
        <v>244</v>
      </c>
      <c r="D241" s="183">
        <v>8941.2400000000016</v>
      </c>
      <c r="E241" s="183">
        <v>1113.1400000000001</v>
      </c>
      <c r="F241" s="183">
        <v>13761.890000000001</v>
      </c>
      <c r="G241" s="183">
        <v>0</v>
      </c>
      <c r="H241" s="3">
        <f t="shared" si="14"/>
        <v>23816.270000000004</v>
      </c>
      <c r="J241" s="209">
        <v>0</v>
      </c>
      <c r="K241" s="209">
        <v>0</v>
      </c>
      <c r="L241" s="209">
        <v>0</v>
      </c>
      <c r="M241" s="209">
        <v>0</v>
      </c>
      <c r="N241" s="209">
        <f t="shared" si="12"/>
        <v>0</v>
      </c>
      <c r="P241" s="4"/>
      <c r="Q241" s="4"/>
      <c r="Y241" s="2">
        <f t="shared" si="13"/>
        <v>0</v>
      </c>
      <c r="Z241" s="4">
        <v>821</v>
      </c>
      <c r="AA241" s="4">
        <v>1</v>
      </c>
      <c r="AB241" s="2" t="s">
        <v>244</v>
      </c>
      <c r="AC241" s="209">
        <v>0</v>
      </c>
      <c r="AD241" s="209">
        <v>23816.269999999997</v>
      </c>
      <c r="AE241" s="209">
        <v>8941.2400000000016</v>
      </c>
      <c r="AF241" s="209">
        <v>1113.1400000000001</v>
      </c>
      <c r="AG241" s="209">
        <v>13761.890000000001</v>
      </c>
      <c r="AH241" s="209">
        <v>0</v>
      </c>
    </row>
    <row r="242" spans="1:34" x14ac:dyDescent="0.2">
      <c r="A242" s="4">
        <v>829</v>
      </c>
      <c r="B242" s="4">
        <v>1</v>
      </c>
      <c r="C242" s="2" t="s">
        <v>245</v>
      </c>
      <c r="D242" s="183">
        <v>6367.5599999999995</v>
      </c>
      <c r="E242" s="183">
        <v>2856.13</v>
      </c>
      <c r="F242" s="183">
        <v>22705.940000000002</v>
      </c>
      <c r="G242" s="183">
        <v>0</v>
      </c>
      <c r="H242" s="3">
        <f t="shared" si="14"/>
        <v>31929.63</v>
      </c>
      <c r="J242" s="209">
        <v>0</v>
      </c>
      <c r="K242" s="209">
        <v>0</v>
      </c>
      <c r="L242" s="209">
        <v>0</v>
      </c>
      <c r="M242" s="209">
        <v>0</v>
      </c>
      <c r="N242" s="209">
        <f t="shared" si="12"/>
        <v>0</v>
      </c>
      <c r="P242" s="4"/>
      <c r="Q242" s="4"/>
      <c r="Y242" s="2">
        <f t="shared" si="13"/>
        <v>0</v>
      </c>
      <c r="Z242" s="4">
        <v>829</v>
      </c>
      <c r="AA242" s="4">
        <v>1</v>
      </c>
      <c r="AB242" s="2" t="s">
        <v>245</v>
      </c>
      <c r="AC242" s="209">
        <v>0</v>
      </c>
      <c r="AD242" s="209">
        <v>31929.629999999997</v>
      </c>
      <c r="AE242" s="209">
        <v>6367.5599999999995</v>
      </c>
      <c r="AF242" s="209">
        <v>2856.13</v>
      </c>
      <c r="AG242" s="209">
        <v>22705.940000000002</v>
      </c>
      <c r="AH242" s="209">
        <v>0</v>
      </c>
    </row>
    <row r="243" spans="1:34" x14ac:dyDescent="0.2">
      <c r="A243" s="4">
        <v>831</v>
      </c>
      <c r="B243" s="4">
        <v>1</v>
      </c>
      <c r="C243" s="2" t="s">
        <v>246</v>
      </c>
      <c r="D243" s="183">
        <v>9661.31</v>
      </c>
      <c r="E243" s="183">
        <v>1788.46</v>
      </c>
      <c r="F243" s="183">
        <v>7903.5200000000013</v>
      </c>
      <c r="G243" s="183">
        <v>1026.8500000000001</v>
      </c>
      <c r="H243" s="3">
        <f t="shared" si="14"/>
        <v>20380.14</v>
      </c>
      <c r="J243" s="209">
        <v>0</v>
      </c>
      <c r="K243" s="209">
        <v>0</v>
      </c>
      <c r="L243" s="209">
        <v>0</v>
      </c>
      <c r="M243" s="209">
        <v>0</v>
      </c>
      <c r="N243" s="209">
        <f t="shared" si="12"/>
        <v>0</v>
      </c>
      <c r="P243" s="4"/>
      <c r="Q243" s="4"/>
      <c r="Y243" s="2">
        <f t="shared" si="13"/>
        <v>0</v>
      </c>
      <c r="Z243" s="4">
        <v>831</v>
      </c>
      <c r="AA243" s="4">
        <v>1</v>
      </c>
      <c r="AB243" s="2" t="s">
        <v>246</v>
      </c>
      <c r="AC243" s="209">
        <v>0</v>
      </c>
      <c r="AD243" s="209">
        <v>20380.139999999996</v>
      </c>
      <c r="AE243" s="209">
        <v>9661.31</v>
      </c>
      <c r="AF243" s="209">
        <v>1788.46</v>
      </c>
      <c r="AG243" s="209">
        <v>7903.5200000000013</v>
      </c>
      <c r="AH243" s="209">
        <v>1026.8500000000001</v>
      </c>
    </row>
    <row r="244" spans="1:34" x14ac:dyDescent="0.2">
      <c r="A244" s="4">
        <v>832</v>
      </c>
      <c r="B244" s="4">
        <v>1</v>
      </c>
      <c r="C244" s="2" t="s">
        <v>247</v>
      </c>
      <c r="D244" s="183">
        <v>1366.07</v>
      </c>
      <c r="E244" s="183">
        <v>183.85</v>
      </c>
      <c r="F244" s="183">
        <v>3260.1099999999997</v>
      </c>
      <c r="G244" s="183">
        <v>201.36999999999995</v>
      </c>
      <c r="H244" s="3">
        <f t="shared" si="14"/>
        <v>5011.3999999999996</v>
      </c>
      <c r="J244" s="209">
        <v>0</v>
      </c>
      <c r="K244" s="209">
        <v>0</v>
      </c>
      <c r="L244" s="209">
        <v>0</v>
      </c>
      <c r="M244" s="209">
        <v>0</v>
      </c>
      <c r="N244" s="209">
        <f t="shared" si="12"/>
        <v>0</v>
      </c>
      <c r="P244" s="4"/>
      <c r="Q244" s="4"/>
      <c r="Y244" s="2">
        <f t="shared" si="13"/>
        <v>0</v>
      </c>
      <c r="Z244" s="4">
        <v>832</v>
      </c>
      <c r="AA244" s="4">
        <v>1</v>
      </c>
      <c r="AB244" s="2" t="s">
        <v>247</v>
      </c>
      <c r="AC244" s="209">
        <v>0</v>
      </c>
      <c r="AD244" s="209">
        <v>5011.3999999999996</v>
      </c>
      <c r="AE244" s="209">
        <v>1366.07</v>
      </c>
      <c r="AF244" s="209">
        <v>183.85</v>
      </c>
      <c r="AG244" s="209">
        <v>3260.1099999999997</v>
      </c>
      <c r="AH244" s="209">
        <v>201.36999999999995</v>
      </c>
    </row>
    <row r="245" spans="1:34" x14ac:dyDescent="0.2">
      <c r="A245" s="4">
        <v>833</v>
      </c>
      <c r="B245" s="4">
        <v>1</v>
      </c>
      <c r="C245" s="2" t="s">
        <v>248</v>
      </c>
      <c r="D245" s="183">
        <v>1651.46</v>
      </c>
      <c r="E245" s="183">
        <v>272.06</v>
      </c>
      <c r="F245" s="183">
        <v>5258.0599999999986</v>
      </c>
      <c r="G245" s="183">
        <v>0</v>
      </c>
      <c r="H245" s="3">
        <f t="shared" si="14"/>
        <v>7181.5799999999981</v>
      </c>
      <c r="J245" s="209">
        <v>0</v>
      </c>
      <c r="K245" s="209">
        <v>0</v>
      </c>
      <c r="L245" s="209">
        <v>0</v>
      </c>
      <c r="M245" s="209">
        <v>0</v>
      </c>
      <c r="N245" s="209">
        <f t="shared" si="12"/>
        <v>0</v>
      </c>
      <c r="P245" s="4"/>
      <c r="Q245" s="4"/>
      <c r="Y245" s="2">
        <f t="shared" si="13"/>
        <v>0</v>
      </c>
      <c r="Z245" s="4">
        <v>833</v>
      </c>
      <c r="AA245" s="4">
        <v>1</v>
      </c>
      <c r="AB245" s="2" t="s">
        <v>248</v>
      </c>
      <c r="AC245" s="209">
        <v>0</v>
      </c>
      <c r="AD245" s="209">
        <v>7181.58</v>
      </c>
      <c r="AE245" s="209">
        <v>1651.46</v>
      </c>
      <c r="AF245" s="209">
        <v>272.06</v>
      </c>
      <c r="AG245" s="209">
        <v>5258.0599999999986</v>
      </c>
      <c r="AH245" s="209">
        <v>0</v>
      </c>
    </row>
    <row r="246" spans="1:34" x14ac:dyDescent="0.2">
      <c r="A246" s="4">
        <v>834</v>
      </c>
      <c r="B246" s="4">
        <v>1</v>
      </c>
      <c r="C246" s="2" t="s">
        <v>249</v>
      </c>
      <c r="D246" s="183">
        <v>8216.380000000001</v>
      </c>
      <c r="E246" s="183">
        <v>964.33999999999992</v>
      </c>
      <c r="F246" s="183">
        <v>8872.8399999999965</v>
      </c>
      <c r="G246" s="183">
        <v>1529.4100000000003</v>
      </c>
      <c r="H246" s="3">
        <f t="shared" si="14"/>
        <v>19582.969999999998</v>
      </c>
      <c r="J246" s="209">
        <v>0</v>
      </c>
      <c r="K246" s="209">
        <v>0</v>
      </c>
      <c r="L246" s="209">
        <v>0</v>
      </c>
      <c r="M246" s="209">
        <v>0</v>
      </c>
      <c r="N246" s="209">
        <f t="shared" si="12"/>
        <v>0</v>
      </c>
      <c r="P246" s="4"/>
      <c r="Q246" s="4"/>
      <c r="Y246" s="2">
        <f t="shared" si="13"/>
        <v>0</v>
      </c>
      <c r="Z246" s="4">
        <v>834</v>
      </c>
      <c r="AA246" s="4">
        <v>1</v>
      </c>
      <c r="AB246" s="2" t="s">
        <v>249</v>
      </c>
      <c r="AC246" s="209">
        <v>0</v>
      </c>
      <c r="AD246" s="209">
        <v>19582.969999999998</v>
      </c>
      <c r="AE246" s="209">
        <v>8216.380000000001</v>
      </c>
      <c r="AF246" s="209">
        <v>964.33999999999992</v>
      </c>
      <c r="AG246" s="209">
        <v>8872.8399999999965</v>
      </c>
      <c r="AH246" s="209">
        <v>1529.4100000000003</v>
      </c>
    </row>
    <row r="247" spans="1:34" x14ac:dyDescent="0.2">
      <c r="A247" s="4">
        <v>836</v>
      </c>
      <c r="B247" s="4">
        <v>1</v>
      </c>
      <c r="C247" s="2" t="s">
        <v>250</v>
      </c>
      <c r="D247" s="183">
        <v>4099.79</v>
      </c>
      <c r="E247" s="183">
        <v>763.56999999999994</v>
      </c>
      <c r="F247" s="183">
        <v>0</v>
      </c>
      <c r="G247" s="183">
        <v>0</v>
      </c>
      <c r="H247" s="3">
        <f t="shared" si="14"/>
        <v>4863.3599999999997</v>
      </c>
      <c r="J247" s="209">
        <v>0</v>
      </c>
      <c r="K247" s="209">
        <v>0</v>
      </c>
      <c r="L247" s="209">
        <v>0</v>
      </c>
      <c r="M247" s="209">
        <v>0</v>
      </c>
      <c r="N247" s="209">
        <f t="shared" si="12"/>
        <v>0</v>
      </c>
      <c r="P247" s="4"/>
      <c r="Q247" s="4"/>
      <c r="Y247" s="2">
        <f t="shared" si="13"/>
        <v>0</v>
      </c>
      <c r="Z247" s="4">
        <v>836</v>
      </c>
      <c r="AA247" s="4">
        <v>1</v>
      </c>
      <c r="AB247" s="2" t="s">
        <v>250</v>
      </c>
      <c r="AC247" s="209">
        <v>0</v>
      </c>
      <c r="AD247" s="209">
        <v>4863.3599999999997</v>
      </c>
      <c r="AE247" s="209">
        <v>4099.79</v>
      </c>
      <c r="AF247" s="209">
        <v>763.56999999999994</v>
      </c>
      <c r="AG247" s="209">
        <v>0</v>
      </c>
      <c r="AH247" s="209">
        <v>0</v>
      </c>
    </row>
    <row r="248" spans="1:34" x14ac:dyDescent="0.2">
      <c r="A248" s="4">
        <v>837</v>
      </c>
      <c r="B248" s="4">
        <v>1</v>
      </c>
      <c r="C248" s="2" t="s">
        <v>251</v>
      </c>
      <c r="D248" s="183">
        <v>3563.7099999999996</v>
      </c>
      <c r="E248" s="183">
        <v>769.21999999999991</v>
      </c>
      <c r="F248" s="183">
        <v>10746.260000000002</v>
      </c>
      <c r="G248" s="183">
        <v>0</v>
      </c>
      <c r="H248" s="3">
        <f t="shared" si="14"/>
        <v>15079.190000000002</v>
      </c>
      <c r="J248" s="209">
        <v>0</v>
      </c>
      <c r="K248" s="209">
        <v>0</v>
      </c>
      <c r="L248" s="209">
        <v>0</v>
      </c>
      <c r="M248" s="209">
        <v>0</v>
      </c>
      <c r="N248" s="209">
        <f t="shared" si="12"/>
        <v>0</v>
      </c>
      <c r="P248" s="4"/>
      <c r="Q248" s="4"/>
      <c r="Y248" s="2">
        <f t="shared" si="13"/>
        <v>0</v>
      </c>
      <c r="Z248" s="4">
        <v>837</v>
      </c>
      <c r="AA248" s="4">
        <v>1</v>
      </c>
      <c r="AB248" s="2" t="s">
        <v>251</v>
      </c>
      <c r="AC248" s="209">
        <v>0</v>
      </c>
      <c r="AD248" s="209">
        <v>15079.189999999999</v>
      </c>
      <c r="AE248" s="209">
        <v>3563.7099999999996</v>
      </c>
      <c r="AF248" s="209">
        <v>769.21999999999991</v>
      </c>
      <c r="AG248" s="209">
        <v>10746.260000000002</v>
      </c>
      <c r="AH248" s="209">
        <v>0</v>
      </c>
    </row>
    <row r="249" spans="1:34" x14ac:dyDescent="0.2">
      <c r="A249" s="4">
        <v>840</v>
      </c>
      <c r="B249" s="4">
        <v>1</v>
      </c>
      <c r="C249" s="2" t="s">
        <v>252</v>
      </c>
      <c r="D249" s="183">
        <v>11085.680000000002</v>
      </c>
      <c r="E249" s="183">
        <v>2023.71</v>
      </c>
      <c r="F249" s="183">
        <v>5726.7999999999993</v>
      </c>
      <c r="G249" s="183">
        <v>0</v>
      </c>
      <c r="H249" s="3">
        <f t="shared" si="14"/>
        <v>18836.190000000002</v>
      </c>
      <c r="J249" s="209">
        <v>0</v>
      </c>
      <c r="K249" s="209">
        <v>0</v>
      </c>
      <c r="L249" s="209">
        <v>0</v>
      </c>
      <c r="M249" s="209">
        <v>0</v>
      </c>
      <c r="N249" s="209">
        <f t="shared" si="12"/>
        <v>0</v>
      </c>
      <c r="P249" s="4"/>
      <c r="Q249" s="4"/>
      <c r="Y249" s="2">
        <f t="shared" si="13"/>
        <v>0</v>
      </c>
      <c r="Z249" s="4">
        <v>840</v>
      </c>
      <c r="AA249" s="4">
        <v>1</v>
      </c>
      <c r="AB249" s="2" t="s">
        <v>252</v>
      </c>
      <c r="AC249" s="209">
        <v>0</v>
      </c>
      <c r="AD249" s="209">
        <v>18836.189999999995</v>
      </c>
      <c r="AE249" s="209">
        <v>11085.680000000002</v>
      </c>
      <c r="AF249" s="209">
        <v>2023.71</v>
      </c>
      <c r="AG249" s="209">
        <v>5726.7999999999993</v>
      </c>
      <c r="AH249" s="209">
        <v>0</v>
      </c>
    </row>
    <row r="250" spans="1:34" x14ac:dyDescent="0.2">
      <c r="A250" s="4">
        <v>846</v>
      </c>
      <c r="B250" s="4">
        <v>1</v>
      </c>
      <c r="C250" s="2" t="s">
        <v>253</v>
      </c>
      <c r="D250" s="183">
        <v>21102.71</v>
      </c>
      <c r="E250" s="183">
        <v>4751.4799999999996</v>
      </c>
      <c r="F250" s="183">
        <v>17306.72</v>
      </c>
      <c r="G250" s="183">
        <v>0</v>
      </c>
      <c r="H250" s="3">
        <f t="shared" si="14"/>
        <v>43160.91</v>
      </c>
      <c r="J250" s="209">
        <v>0</v>
      </c>
      <c r="K250" s="209">
        <v>0</v>
      </c>
      <c r="L250" s="209">
        <v>0</v>
      </c>
      <c r="M250" s="209">
        <v>0</v>
      </c>
      <c r="N250" s="209">
        <f t="shared" si="12"/>
        <v>0</v>
      </c>
      <c r="P250" s="4"/>
      <c r="Q250" s="4"/>
      <c r="Y250" s="2">
        <f t="shared" si="13"/>
        <v>0</v>
      </c>
      <c r="Z250" s="4">
        <v>846</v>
      </c>
      <c r="AA250" s="4">
        <v>1</v>
      </c>
      <c r="AB250" s="2" t="s">
        <v>253</v>
      </c>
      <c r="AC250" s="209">
        <v>0</v>
      </c>
      <c r="AD250" s="209">
        <v>43160.909999999996</v>
      </c>
      <c r="AE250" s="209">
        <v>21102.71</v>
      </c>
      <c r="AF250" s="209">
        <v>4751.4799999999996</v>
      </c>
      <c r="AG250" s="209">
        <v>17306.72</v>
      </c>
      <c r="AH250" s="209">
        <v>0</v>
      </c>
    </row>
    <row r="251" spans="1:34" x14ac:dyDescent="0.2">
      <c r="A251" s="4">
        <v>850</v>
      </c>
      <c r="B251" s="4">
        <v>1</v>
      </c>
      <c r="C251" s="2" t="s">
        <v>254</v>
      </c>
      <c r="D251" s="183">
        <v>2394.4700000000003</v>
      </c>
      <c r="E251" s="183">
        <v>258.11999999999995</v>
      </c>
      <c r="F251" s="183">
        <v>14643.710000000001</v>
      </c>
      <c r="G251" s="183">
        <v>0</v>
      </c>
      <c r="H251" s="3">
        <f t="shared" si="14"/>
        <v>17296.300000000003</v>
      </c>
      <c r="J251" s="209">
        <v>0</v>
      </c>
      <c r="K251" s="209">
        <v>0</v>
      </c>
      <c r="L251" s="209">
        <v>0</v>
      </c>
      <c r="M251" s="209">
        <v>0</v>
      </c>
      <c r="N251" s="209">
        <f t="shared" si="12"/>
        <v>0</v>
      </c>
      <c r="P251" s="4"/>
      <c r="Q251" s="4"/>
      <c r="Y251" s="2">
        <f t="shared" si="13"/>
        <v>0</v>
      </c>
      <c r="Z251" s="4">
        <v>850</v>
      </c>
      <c r="AA251" s="4">
        <v>1</v>
      </c>
      <c r="AB251" s="2" t="s">
        <v>254</v>
      </c>
      <c r="AC251" s="209">
        <v>0</v>
      </c>
      <c r="AD251" s="209">
        <v>17296.300000000003</v>
      </c>
      <c r="AE251" s="209">
        <v>2394.4700000000003</v>
      </c>
      <c r="AF251" s="209">
        <v>258.11999999999995</v>
      </c>
      <c r="AG251" s="209">
        <v>14643.710000000001</v>
      </c>
      <c r="AH251" s="209">
        <v>0</v>
      </c>
    </row>
    <row r="252" spans="1:34" x14ac:dyDescent="0.2">
      <c r="A252" s="4">
        <v>852</v>
      </c>
      <c r="B252" s="4">
        <v>1</v>
      </c>
      <c r="C252" s="2" t="s">
        <v>255</v>
      </c>
      <c r="D252" s="183">
        <v>738.25999999999988</v>
      </c>
      <c r="E252" s="183">
        <v>164.95000000000002</v>
      </c>
      <c r="F252" s="183">
        <v>1876.4000000000003</v>
      </c>
      <c r="G252" s="183">
        <v>0</v>
      </c>
      <c r="H252" s="3">
        <f t="shared" si="14"/>
        <v>2779.61</v>
      </c>
      <c r="J252" s="209">
        <v>0</v>
      </c>
      <c r="K252" s="209">
        <v>0</v>
      </c>
      <c r="L252" s="209">
        <v>0</v>
      </c>
      <c r="M252" s="209">
        <v>0</v>
      </c>
      <c r="N252" s="209">
        <f t="shared" si="12"/>
        <v>0</v>
      </c>
      <c r="P252" s="4"/>
      <c r="Q252" s="4"/>
      <c r="Y252" s="2">
        <f t="shared" si="13"/>
        <v>0</v>
      </c>
      <c r="Z252" s="4">
        <v>852</v>
      </c>
      <c r="AA252" s="4">
        <v>1</v>
      </c>
      <c r="AB252" s="2" t="s">
        <v>255</v>
      </c>
      <c r="AC252" s="209">
        <v>0</v>
      </c>
      <c r="AD252" s="209">
        <v>2779.61</v>
      </c>
      <c r="AE252" s="209">
        <v>738.25999999999988</v>
      </c>
      <c r="AF252" s="209">
        <v>164.95000000000002</v>
      </c>
      <c r="AG252" s="209">
        <v>1876.4000000000003</v>
      </c>
      <c r="AH252" s="209">
        <v>0</v>
      </c>
    </row>
    <row r="253" spans="1:34" x14ac:dyDescent="0.2">
      <c r="A253" s="4">
        <v>857</v>
      </c>
      <c r="B253" s="4">
        <v>1</v>
      </c>
      <c r="C253" s="2" t="s">
        <v>256</v>
      </c>
      <c r="D253" s="183">
        <v>1215.02</v>
      </c>
      <c r="E253" s="183">
        <v>1992.8400000000001</v>
      </c>
      <c r="F253" s="183">
        <v>12829.9</v>
      </c>
      <c r="G253" s="183">
        <v>0</v>
      </c>
      <c r="H253" s="3">
        <f t="shared" si="14"/>
        <v>16037.76</v>
      </c>
      <c r="J253" s="209">
        <v>0</v>
      </c>
      <c r="K253" s="209">
        <v>0</v>
      </c>
      <c r="L253" s="209">
        <v>0</v>
      </c>
      <c r="M253" s="209">
        <v>0</v>
      </c>
      <c r="N253" s="209">
        <f t="shared" si="12"/>
        <v>0</v>
      </c>
      <c r="P253" s="4"/>
      <c r="Q253" s="4"/>
      <c r="Y253" s="2">
        <f t="shared" si="13"/>
        <v>0</v>
      </c>
      <c r="Z253" s="4">
        <v>857</v>
      </c>
      <c r="AA253" s="4">
        <v>1</v>
      </c>
      <c r="AB253" s="2" t="s">
        <v>256</v>
      </c>
      <c r="AC253" s="209">
        <v>0</v>
      </c>
      <c r="AD253" s="209">
        <v>16037.76</v>
      </c>
      <c r="AE253" s="209">
        <v>1215.02</v>
      </c>
      <c r="AF253" s="209">
        <v>1992.8400000000001</v>
      </c>
      <c r="AG253" s="209">
        <v>12829.9</v>
      </c>
      <c r="AH253" s="209">
        <v>0</v>
      </c>
    </row>
    <row r="254" spans="1:34" x14ac:dyDescent="0.2">
      <c r="A254" s="4">
        <v>858</v>
      </c>
      <c r="B254" s="4">
        <v>1</v>
      </c>
      <c r="C254" s="2" t="s">
        <v>257</v>
      </c>
      <c r="D254" s="183">
        <v>4632.54</v>
      </c>
      <c r="E254" s="183">
        <v>1348.28</v>
      </c>
      <c r="F254" s="183">
        <v>14380.55</v>
      </c>
      <c r="G254" s="183">
        <v>0</v>
      </c>
      <c r="H254" s="3">
        <f t="shared" si="14"/>
        <v>20361.37</v>
      </c>
      <c r="J254" s="209">
        <v>0</v>
      </c>
      <c r="K254" s="209">
        <v>0</v>
      </c>
      <c r="L254" s="209">
        <v>0</v>
      </c>
      <c r="M254" s="209">
        <v>0</v>
      </c>
      <c r="N254" s="209">
        <f t="shared" si="12"/>
        <v>0</v>
      </c>
      <c r="P254" s="4"/>
      <c r="Q254" s="4"/>
      <c r="Y254" s="2">
        <f t="shared" si="13"/>
        <v>0</v>
      </c>
      <c r="Z254" s="4">
        <v>858</v>
      </c>
      <c r="AA254" s="4">
        <v>1</v>
      </c>
      <c r="AB254" s="2" t="s">
        <v>257</v>
      </c>
      <c r="AC254" s="209">
        <v>0</v>
      </c>
      <c r="AD254" s="209">
        <v>20361.37</v>
      </c>
      <c r="AE254" s="209">
        <v>4632.54</v>
      </c>
      <c r="AF254" s="209">
        <v>1348.28</v>
      </c>
      <c r="AG254" s="209">
        <v>14380.55</v>
      </c>
      <c r="AH254" s="209">
        <v>0</v>
      </c>
    </row>
    <row r="255" spans="1:34" x14ac:dyDescent="0.2">
      <c r="A255" s="4">
        <v>861</v>
      </c>
      <c r="B255" s="4">
        <v>1</v>
      </c>
      <c r="C255" s="2" t="s">
        <v>1196</v>
      </c>
      <c r="D255" s="183">
        <v>22210.39</v>
      </c>
      <c r="E255" s="183">
        <v>6348.5999999999995</v>
      </c>
      <c r="F255" s="183">
        <v>36804.340000000004</v>
      </c>
      <c r="G255" s="183">
        <v>13109.99</v>
      </c>
      <c r="H255" s="3">
        <f t="shared" si="14"/>
        <v>78473.320000000007</v>
      </c>
      <c r="J255" s="209">
        <v>0</v>
      </c>
      <c r="K255" s="209">
        <v>0</v>
      </c>
      <c r="L255" s="209">
        <v>0</v>
      </c>
      <c r="M255" s="209">
        <v>0</v>
      </c>
      <c r="N255" s="209">
        <f t="shared" si="12"/>
        <v>0</v>
      </c>
      <c r="P255" s="4"/>
      <c r="Q255" s="4"/>
      <c r="Y255" s="2">
        <f t="shared" si="13"/>
        <v>0</v>
      </c>
      <c r="Z255" s="4">
        <v>861</v>
      </c>
      <c r="AA255" s="4">
        <v>1</v>
      </c>
      <c r="AB255" s="2" t="s">
        <v>1196</v>
      </c>
      <c r="AC255" s="209">
        <v>0</v>
      </c>
      <c r="AD255" s="209">
        <v>78473.320000000007</v>
      </c>
      <c r="AE255" s="209">
        <v>22210.39</v>
      </c>
      <c r="AF255" s="209">
        <v>6348.5999999999995</v>
      </c>
      <c r="AG255" s="209">
        <v>36804.340000000004</v>
      </c>
      <c r="AH255" s="209">
        <v>13109.99</v>
      </c>
    </row>
    <row r="256" spans="1:34" x14ac:dyDescent="0.2">
      <c r="A256" s="4">
        <v>876</v>
      </c>
      <c r="B256" s="4">
        <v>1</v>
      </c>
      <c r="C256" s="2" t="s">
        <v>259</v>
      </c>
      <c r="D256" s="183">
        <v>6252.59</v>
      </c>
      <c r="E256" s="183">
        <v>1239.9000000000003</v>
      </c>
      <c r="F256" s="183">
        <v>19600.019999999997</v>
      </c>
      <c r="G256" s="183">
        <v>0</v>
      </c>
      <c r="H256" s="3">
        <f t="shared" si="14"/>
        <v>27092.51</v>
      </c>
      <c r="J256" s="209">
        <v>0</v>
      </c>
      <c r="K256" s="209">
        <v>0</v>
      </c>
      <c r="L256" s="209">
        <v>0</v>
      </c>
      <c r="M256" s="209">
        <v>0</v>
      </c>
      <c r="N256" s="209">
        <f t="shared" si="12"/>
        <v>0</v>
      </c>
      <c r="P256" s="4"/>
      <c r="Q256" s="4"/>
      <c r="Y256" s="2">
        <f t="shared" si="13"/>
        <v>0</v>
      </c>
      <c r="Z256" s="4">
        <v>876</v>
      </c>
      <c r="AA256" s="4">
        <v>1</v>
      </c>
      <c r="AB256" s="2" t="s">
        <v>259</v>
      </c>
      <c r="AC256" s="209">
        <v>0</v>
      </c>
      <c r="AD256" s="209">
        <v>27092.509999999995</v>
      </c>
      <c r="AE256" s="209">
        <v>6252.59</v>
      </c>
      <c r="AF256" s="209">
        <v>1239.9000000000003</v>
      </c>
      <c r="AG256" s="209">
        <v>19600.019999999997</v>
      </c>
      <c r="AH256" s="209">
        <v>0</v>
      </c>
    </row>
    <row r="257" spans="1:34" x14ac:dyDescent="0.2">
      <c r="A257" s="4">
        <v>877</v>
      </c>
      <c r="B257" s="4">
        <v>1</v>
      </c>
      <c r="C257" s="2" t="s">
        <v>1005</v>
      </c>
      <c r="D257" s="183">
        <v>9774.43</v>
      </c>
      <c r="E257" s="183">
        <v>2555.2100000000009</v>
      </c>
      <c r="F257" s="183">
        <v>33358.670000000006</v>
      </c>
      <c r="G257" s="183">
        <v>2623.6500000000005</v>
      </c>
      <c r="H257" s="3">
        <f t="shared" si="14"/>
        <v>48311.960000000006</v>
      </c>
      <c r="J257" s="209">
        <v>0</v>
      </c>
      <c r="K257" s="209">
        <v>0</v>
      </c>
      <c r="L257" s="209">
        <v>0</v>
      </c>
      <c r="M257" s="209">
        <v>0</v>
      </c>
      <c r="N257" s="209">
        <f t="shared" si="12"/>
        <v>0</v>
      </c>
      <c r="P257" s="4"/>
      <c r="Q257" s="4"/>
      <c r="Y257" s="2">
        <f t="shared" si="13"/>
        <v>0</v>
      </c>
      <c r="Z257" s="4">
        <v>877</v>
      </c>
      <c r="AA257" s="4">
        <v>1</v>
      </c>
      <c r="AB257" s="2" t="s">
        <v>1005</v>
      </c>
      <c r="AC257" s="209">
        <v>0</v>
      </c>
      <c r="AD257" s="209">
        <v>48311.960000000006</v>
      </c>
      <c r="AE257" s="209">
        <v>9774.43</v>
      </c>
      <c r="AF257" s="209">
        <v>2555.2100000000009</v>
      </c>
      <c r="AG257" s="209">
        <v>33358.670000000006</v>
      </c>
      <c r="AH257" s="209">
        <v>2623.6500000000005</v>
      </c>
    </row>
    <row r="258" spans="1:34" x14ac:dyDescent="0.2">
      <c r="A258" s="4">
        <v>879</v>
      </c>
      <c r="B258" s="4">
        <v>1</v>
      </c>
      <c r="C258" s="2" t="s">
        <v>261</v>
      </c>
      <c r="D258" s="183">
        <v>4285.2600000000011</v>
      </c>
      <c r="E258" s="183">
        <v>869.15</v>
      </c>
      <c r="F258" s="183">
        <v>13341.869999999999</v>
      </c>
      <c r="G258" s="183">
        <v>0</v>
      </c>
      <c r="H258" s="3">
        <f t="shared" si="14"/>
        <v>18496.28</v>
      </c>
      <c r="J258" s="209">
        <v>0</v>
      </c>
      <c r="K258" s="209">
        <v>0</v>
      </c>
      <c r="L258" s="209">
        <v>0</v>
      </c>
      <c r="M258" s="209">
        <v>0</v>
      </c>
      <c r="N258" s="209">
        <f t="shared" si="12"/>
        <v>0</v>
      </c>
      <c r="P258" s="4"/>
      <c r="Q258" s="4"/>
      <c r="Y258" s="2">
        <f t="shared" si="13"/>
        <v>0</v>
      </c>
      <c r="Z258" s="4">
        <v>879</v>
      </c>
      <c r="AA258" s="4">
        <v>1</v>
      </c>
      <c r="AB258" s="2" t="s">
        <v>261</v>
      </c>
      <c r="AC258" s="209">
        <v>0</v>
      </c>
      <c r="AD258" s="209">
        <v>18496.28</v>
      </c>
      <c r="AE258" s="209">
        <v>4285.2600000000011</v>
      </c>
      <c r="AF258" s="209">
        <v>869.15</v>
      </c>
      <c r="AG258" s="209">
        <v>13341.869999999999</v>
      </c>
      <c r="AH258" s="209">
        <v>0</v>
      </c>
    </row>
    <row r="259" spans="1:34" x14ac:dyDescent="0.2">
      <c r="A259" s="4">
        <v>881</v>
      </c>
      <c r="B259" s="4">
        <v>1</v>
      </c>
      <c r="C259" s="2" t="s">
        <v>262</v>
      </c>
      <c r="D259" s="183">
        <v>2874.38</v>
      </c>
      <c r="E259" s="183">
        <v>643.73</v>
      </c>
      <c r="F259" s="183">
        <v>14296.97</v>
      </c>
      <c r="G259" s="183">
        <v>754.73</v>
      </c>
      <c r="H259" s="3">
        <f t="shared" si="14"/>
        <v>18569.809999999998</v>
      </c>
      <c r="J259" s="209">
        <v>0</v>
      </c>
      <c r="K259" s="209">
        <v>0</v>
      </c>
      <c r="L259" s="209">
        <v>0</v>
      </c>
      <c r="M259" s="209">
        <v>0</v>
      </c>
      <c r="N259" s="209">
        <f t="shared" si="12"/>
        <v>0</v>
      </c>
      <c r="P259" s="4"/>
      <c r="Q259" s="4"/>
      <c r="Y259" s="2">
        <f t="shared" si="13"/>
        <v>0</v>
      </c>
      <c r="Z259" s="4">
        <v>881</v>
      </c>
      <c r="AA259" s="4">
        <v>1</v>
      </c>
      <c r="AB259" s="2" t="s">
        <v>262</v>
      </c>
      <c r="AC259" s="209">
        <v>0</v>
      </c>
      <c r="AD259" s="209">
        <v>18569.810000000001</v>
      </c>
      <c r="AE259" s="209">
        <v>2874.38</v>
      </c>
      <c r="AF259" s="209">
        <v>643.73</v>
      </c>
      <c r="AG259" s="209">
        <v>14296.97</v>
      </c>
      <c r="AH259" s="209">
        <v>754.73</v>
      </c>
    </row>
    <row r="260" spans="1:34" x14ac:dyDescent="0.2">
      <c r="A260" s="4">
        <v>882</v>
      </c>
      <c r="B260" s="4">
        <v>1</v>
      </c>
      <c r="C260" s="2" t="s">
        <v>263</v>
      </c>
      <c r="D260" s="183">
        <v>4932.5600000000004</v>
      </c>
      <c r="E260" s="183">
        <v>743.38</v>
      </c>
      <c r="F260" s="183">
        <v>13872.470000000001</v>
      </c>
      <c r="G260" s="183">
        <v>0</v>
      </c>
      <c r="H260" s="3">
        <f t="shared" si="14"/>
        <v>19548.410000000003</v>
      </c>
      <c r="J260" s="209">
        <v>0</v>
      </c>
      <c r="K260" s="209">
        <v>0</v>
      </c>
      <c r="L260" s="209">
        <v>0</v>
      </c>
      <c r="M260" s="209">
        <v>0</v>
      </c>
      <c r="N260" s="209">
        <f t="shared" si="12"/>
        <v>0</v>
      </c>
      <c r="P260" s="4"/>
      <c r="Q260" s="4"/>
      <c r="Y260" s="2">
        <f t="shared" si="13"/>
        <v>0</v>
      </c>
      <c r="Z260" s="4">
        <v>882</v>
      </c>
      <c r="AA260" s="4">
        <v>1</v>
      </c>
      <c r="AB260" s="2" t="s">
        <v>263</v>
      </c>
      <c r="AC260" s="209">
        <v>0</v>
      </c>
      <c r="AD260" s="209">
        <v>19548.410000000003</v>
      </c>
      <c r="AE260" s="209">
        <v>4932.5600000000004</v>
      </c>
      <c r="AF260" s="209">
        <v>743.38</v>
      </c>
      <c r="AG260" s="209">
        <v>13872.470000000001</v>
      </c>
      <c r="AH260" s="209">
        <v>0</v>
      </c>
    </row>
    <row r="261" spans="1:34" x14ac:dyDescent="0.2">
      <c r="A261" s="4">
        <v>883</v>
      </c>
      <c r="B261" s="4">
        <v>1</v>
      </c>
      <c r="C261" s="2" t="s">
        <v>264</v>
      </c>
      <c r="D261" s="183">
        <v>1186.2399999999998</v>
      </c>
      <c r="E261" s="183">
        <v>401.51</v>
      </c>
      <c r="F261" s="183">
        <v>12388.390000000001</v>
      </c>
      <c r="G261" s="183">
        <v>1048.8399999999999</v>
      </c>
      <c r="H261" s="3">
        <f t="shared" si="14"/>
        <v>15024.980000000001</v>
      </c>
      <c r="J261" s="209">
        <v>0</v>
      </c>
      <c r="K261" s="209">
        <v>0</v>
      </c>
      <c r="L261" s="209">
        <v>0</v>
      </c>
      <c r="M261" s="209">
        <v>0</v>
      </c>
      <c r="N261" s="209">
        <f t="shared" si="12"/>
        <v>0</v>
      </c>
      <c r="P261" s="4"/>
      <c r="Q261" s="4"/>
      <c r="Y261" s="2">
        <f t="shared" si="13"/>
        <v>0</v>
      </c>
      <c r="Z261" s="4">
        <v>883</v>
      </c>
      <c r="AA261" s="4">
        <v>1</v>
      </c>
      <c r="AB261" s="2" t="s">
        <v>264</v>
      </c>
      <c r="AC261" s="209">
        <v>0</v>
      </c>
      <c r="AD261" s="209">
        <v>15024.980000000001</v>
      </c>
      <c r="AE261" s="209">
        <v>1186.2399999999998</v>
      </c>
      <c r="AF261" s="209">
        <v>401.51</v>
      </c>
      <c r="AG261" s="209">
        <v>12388.390000000001</v>
      </c>
      <c r="AH261" s="209">
        <v>1048.8399999999999</v>
      </c>
    </row>
    <row r="262" spans="1:34" x14ac:dyDescent="0.2">
      <c r="A262" s="4">
        <v>885</v>
      </c>
      <c r="B262" s="4">
        <v>1</v>
      </c>
      <c r="C262" s="2" t="s">
        <v>1197</v>
      </c>
      <c r="D262" s="183">
        <v>1253.4900000000002</v>
      </c>
      <c r="E262" s="183">
        <v>293.96999999999997</v>
      </c>
      <c r="F262" s="183">
        <v>8290.119999999999</v>
      </c>
      <c r="G262" s="183">
        <v>0</v>
      </c>
      <c r="H262" s="3">
        <f t="shared" si="14"/>
        <v>9837.58</v>
      </c>
      <c r="J262" s="209">
        <v>0</v>
      </c>
      <c r="K262" s="209">
        <v>0</v>
      </c>
      <c r="L262" s="209">
        <v>0</v>
      </c>
      <c r="M262" s="209">
        <v>0</v>
      </c>
      <c r="N262" s="209">
        <f t="shared" si="12"/>
        <v>0</v>
      </c>
      <c r="P262" s="4"/>
      <c r="Q262" s="4"/>
      <c r="Y262" s="2">
        <f t="shared" si="13"/>
        <v>0</v>
      </c>
      <c r="Z262" s="4">
        <v>885</v>
      </c>
      <c r="AA262" s="4">
        <v>1</v>
      </c>
      <c r="AB262" s="2" t="s">
        <v>1197</v>
      </c>
      <c r="AC262" s="209">
        <v>0</v>
      </c>
      <c r="AD262" s="209">
        <v>9837.58</v>
      </c>
      <c r="AE262" s="209">
        <v>1253.4900000000002</v>
      </c>
      <c r="AF262" s="209">
        <v>293.96999999999997</v>
      </c>
      <c r="AG262" s="209">
        <v>8290.119999999999</v>
      </c>
      <c r="AH262" s="209">
        <v>0</v>
      </c>
    </row>
    <row r="263" spans="1:34" x14ac:dyDescent="0.2">
      <c r="A263" s="4">
        <v>891</v>
      </c>
      <c r="B263" s="4">
        <v>1</v>
      </c>
      <c r="C263" s="2" t="s">
        <v>266</v>
      </c>
      <c r="D263" s="183">
        <v>19416.53</v>
      </c>
      <c r="E263" s="183">
        <v>1879.2</v>
      </c>
      <c r="F263" s="183">
        <v>18955.73</v>
      </c>
      <c r="G263" s="183">
        <v>0</v>
      </c>
      <c r="H263" s="3">
        <f t="shared" si="14"/>
        <v>40251.46</v>
      </c>
      <c r="J263" s="209">
        <v>0</v>
      </c>
      <c r="K263" s="209">
        <v>0</v>
      </c>
      <c r="L263" s="209">
        <v>0</v>
      </c>
      <c r="M263" s="209">
        <v>0</v>
      </c>
      <c r="N263" s="209">
        <f t="shared" si="12"/>
        <v>0</v>
      </c>
      <c r="P263" s="4"/>
      <c r="Q263" s="4"/>
      <c r="Y263" s="2">
        <f t="shared" si="13"/>
        <v>0</v>
      </c>
      <c r="Z263" s="4">
        <v>891</v>
      </c>
      <c r="AA263" s="4">
        <v>1</v>
      </c>
      <c r="AB263" s="2" t="s">
        <v>266</v>
      </c>
      <c r="AC263" s="209">
        <v>0</v>
      </c>
      <c r="AD263" s="209">
        <v>40251.46</v>
      </c>
      <c r="AE263" s="209">
        <v>19416.53</v>
      </c>
      <c r="AF263" s="209">
        <v>1879.2</v>
      </c>
      <c r="AG263" s="209">
        <v>18955.73</v>
      </c>
      <c r="AH263" s="209">
        <v>0</v>
      </c>
    </row>
    <row r="264" spans="1:34" x14ac:dyDescent="0.2">
      <c r="A264" s="4">
        <v>911</v>
      </c>
      <c r="B264" s="4">
        <v>1</v>
      </c>
      <c r="C264" s="2" t="s">
        <v>267</v>
      </c>
      <c r="D264" s="183">
        <v>17897.189999999995</v>
      </c>
      <c r="E264" s="183">
        <v>4350.3899999999994</v>
      </c>
      <c r="F264" s="183">
        <v>82297.100000000006</v>
      </c>
      <c r="G264" s="183">
        <v>0</v>
      </c>
      <c r="H264" s="3">
        <f t="shared" si="14"/>
        <v>104544.68</v>
      </c>
      <c r="J264" s="209">
        <v>0</v>
      </c>
      <c r="K264" s="209">
        <v>0</v>
      </c>
      <c r="L264" s="209">
        <v>0</v>
      </c>
      <c r="M264" s="209">
        <v>0</v>
      </c>
      <c r="N264" s="209">
        <f t="shared" si="12"/>
        <v>0</v>
      </c>
      <c r="P264" s="4"/>
      <c r="Q264" s="4"/>
      <c r="Y264" s="2">
        <f t="shared" si="13"/>
        <v>0</v>
      </c>
      <c r="Z264" s="4">
        <v>911</v>
      </c>
      <c r="AA264" s="4">
        <v>1</v>
      </c>
      <c r="AB264" s="2" t="s">
        <v>267</v>
      </c>
      <c r="AC264" s="209">
        <v>0</v>
      </c>
      <c r="AD264" s="209">
        <v>104544.67999999996</v>
      </c>
      <c r="AE264" s="209">
        <v>17897.189999999995</v>
      </c>
      <c r="AF264" s="209">
        <v>4350.3899999999994</v>
      </c>
      <c r="AG264" s="209">
        <v>82297.100000000006</v>
      </c>
      <c r="AH264" s="209">
        <v>0</v>
      </c>
    </row>
    <row r="265" spans="1:34" x14ac:dyDescent="0.2">
      <c r="A265" s="4">
        <v>912</v>
      </c>
      <c r="B265" s="4">
        <v>1</v>
      </c>
      <c r="C265" s="2" t="s">
        <v>268</v>
      </c>
      <c r="D265" s="183">
        <v>4426.3399999999992</v>
      </c>
      <c r="E265" s="183">
        <v>2166.14</v>
      </c>
      <c r="F265" s="183">
        <v>33184.929999999993</v>
      </c>
      <c r="G265" s="183">
        <v>7281.3899999999985</v>
      </c>
      <c r="H265" s="3">
        <f t="shared" si="14"/>
        <v>47058.799999999988</v>
      </c>
      <c r="J265" s="209">
        <v>0</v>
      </c>
      <c r="K265" s="209">
        <v>0</v>
      </c>
      <c r="L265" s="209">
        <v>0</v>
      </c>
      <c r="M265" s="209">
        <v>0</v>
      </c>
      <c r="N265" s="209">
        <f t="shared" ref="N265:N328" si="15">SUM(J265:M265)</f>
        <v>0</v>
      </c>
      <c r="P265" s="4"/>
      <c r="Q265" s="4"/>
      <c r="Y265" s="2">
        <f t="shared" ref="Y265:Y328" si="16">Z265-A265</f>
        <v>0</v>
      </c>
      <c r="Z265" s="4">
        <v>912</v>
      </c>
      <c r="AA265" s="4">
        <v>1</v>
      </c>
      <c r="AB265" s="2" t="s">
        <v>268</v>
      </c>
      <c r="AC265" s="209">
        <v>0</v>
      </c>
      <c r="AD265" s="209">
        <v>47058.8</v>
      </c>
      <c r="AE265" s="209">
        <v>4426.3399999999992</v>
      </c>
      <c r="AF265" s="209">
        <v>2166.14</v>
      </c>
      <c r="AG265" s="209">
        <v>33184.929999999993</v>
      </c>
      <c r="AH265" s="209">
        <v>7281.3899999999985</v>
      </c>
    </row>
    <row r="266" spans="1:34" x14ac:dyDescent="0.2">
      <c r="A266" s="4">
        <v>914</v>
      </c>
      <c r="B266" s="4">
        <v>1</v>
      </c>
      <c r="C266" s="2" t="s">
        <v>269</v>
      </c>
      <c r="D266" s="183">
        <v>1926.3899999999999</v>
      </c>
      <c r="E266" s="183">
        <v>364.60999999999996</v>
      </c>
      <c r="F266" s="183">
        <v>11149.279999999999</v>
      </c>
      <c r="G266" s="183">
        <v>0</v>
      </c>
      <c r="H266" s="3">
        <f t="shared" ref="H266:H329" si="17">SUM(D266:G266)</f>
        <v>13440.279999999999</v>
      </c>
      <c r="J266" s="209">
        <v>0</v>
      </c>
      <c r="K266" s="209">
        <v>0</v>
      </c>
      <c r="L266" s="209">
        <v>0</v>
      </c>
      <c r="M266" s="209">
        <v>0</v>
      </c>
      <c r="N266" s="209">
        <f t="shared" si="15"/>
        <v>0</v>
      </c>
      <c r="P266" s="4"/>
      <c r="Q266" s="4"/>
      <c r="Y266" s="2">
        <f t="shared" si="16"/>
        <v>0</v>
      </c>
      <c r="Z266" s="4">
        <v>914</v>
      </c>
      <c r="AA266" s="4">
        <v>1</v>
      </c>
      <c r="AB266" s="2" t="s">
        <v>269</v>
      </c>
      <c r="AC266" s="209">
        <v>0</v>
      </c>
      <c r="AD266" s="209">
        <v>13440.279999999999</v>
      </c>
      <c r="AE266" s="209">
        <v>1926.3899999999999</v>
      </c>
      <c r="AF266" s="209">
        <v>364.60999999999996</v>
      </c>
      <c r="AG266" s="209">
        <v>11149.279999999999</v>
      </c>
      <c r="AH266" s="209">
        <v>0</v>
      </c>
    </row>
    <row r="267" spans="1:34" x14ac:dyDescent="0.2">
      <c r="A267" s="4">
        <v>2071</v>
      </c>
      <c r="B267" s="4">
        <v>1</v>
      </c>
      <c r="C267" s="2" t="s">
        <v>1166</v>
      </c>
      <c r="D267" s="183">
        <v>9883.1499999999978</v>
      </c>
      <c r="E267" s="183">
        <v>1360.83</v>
      </c>
      <c r="F267" s="183">
        <v>19472.240000000002</v>
      </c>
      <c r="G267" s="183">
        <v>2771.25</v>
      </c>
      <c r="H267" s="3">
        <f t="shared" si="17"/>
        <v>33487.47</v>
      </c>
      <c r="J267" s="209">
        <v>0</v>
      </c>
      <c r="K267" s="209">
        <v>0</v>
      </c>
      <c r="L267" s="209">
        <v>0</v>
      </c>
      <c r="M267" s="209">
        <v>0</v>
      </c>
      <c r="N267" s="209">
        <f t="shared" si="15"/>
        <v>0</v>
      </c>
      <c r="P267" s="4"/>
      <c r="Q267" s="4"/>
      <c r="Y267" s="2">
        <f t="shared" si="16"/>
        <v>0</v>
      </c>
      <c r="Z267" s="4">
        <v>2071</v>
      </c>
      <c r="AA267" s="4">
        <v>1</v>
      </c>
      <c r="AB267" s="2" t="s">
        <v>1166</v>
      </c>
      <c r="AC267" s="209">
        <v>0</v>
      </c>
      <c r="AD267" s="209">
        <v>33487.469999999987</v>
      </c>
      <c r="AE267" s="209">
        <v>9883.1499999999978</v>
      </c>
      <c r="AF267" s="209">
        <v>1360.83</v>
      </c>
      <c r="AG267" s="209">
        <v>19472.240000000002</v>
      </c>
      <c r="AH267" s="209">
        <v>2771.25</v>
      </c>
    </row>
    <row r="268" spans="1:34" x14ac:dyDescent="0.2">
      <c r="A268" s="4">
        <v>2125</v>
      </c>
      <c r="B268" s="4">
        <v>1</v>
      </c>
      <c r="C268" s="2" t="s">
        <v>271</v>
      </c>
      <c r="D268" s="183">
        <v>23128.3</v>
      </c>
      <c r="E268" s="183">
        <v>5134.7000000000007</v>
      </c>
      <c r="F268" s="183">
        <v>41176.449999999997</v>
      </c>
      <c r="G268" s="183">
        <v>0</v>
      </c>
      <c r="H268" s="3">
        <f t="shared" si="17"/>
        <v>69439.45</v>
      </c>
      <c r="J268" s="209">
        <v>0</v>
      </c>
      <c r="K268" s="209">
        <v>0</v>
      </c>
      <c r="L268" s="209">
        <v>0</v>
      </c>
      <c r="M268" s="209">
        <v>0</v>
      </c>
      <c r="N268" s="209">
        <f t="shared" si="15"/>
        <v>0</v>
      </c>
      <c r="P268" s="4"/>
      <c r="Q268" s="4"/>
      <c r="Y268" s="2">
        <f t="shared" si="16"/>
        <v>0</v>
      </c>
      <c r="Z268" s="4">
        <v>2125</v>
      </c>
      <c r="AA268" s="4">
        <v>1</v>
      </c>
      <c r="AB268" s="2" t="s">
        <v>271</v>
      </c>
      <c r="AC268" s="209">
        <v>0</v>
      </c>
      <c r="AD268" s="209">
        <v>69439.45</v>
      </c>
      <c r="AE268" s="209">
        <v>23128.3</v>
      </c>
      <c r="AF268" s="209">
        <v>5134.7000000000007</v>
      </c>
      <c r="AG268" s="209">
        <v>41176.449999999997</v>
      </c>
      <c r="AH268" s="209">
        <v>0</v>
      </c>
    </row>
    <row r="269" spans="1:34" x14ac:dyDescent="0.2">
      <c r="A269" s="4">
        <v>2134</v>
      </c>
      <c r="B269" s="4">
        <v>1</v>
      </c>
      <c r="C269" s="2" t="s">
        <v>1165</v>
      </c>
      <c r="D269" s="183">
        <v>5571.57</v>
      </c>
      <c r="E269" s="183">
        <v>1827.46</v>
      </c>
      <c r="F269" s="183">
        <v>44563.349999999991</v>
      </c>
      <c r="G269" s="183">
        <v>3913.3199999999997</v>
      </c>
      <c r="H269" s="3">
        <f t="shared" si="17"/>
        <v>55875.69999999999</v>
      </c>
      <c r="J269" s="209">
        <v>0</v>
      </c>
      <c r="K269" s="209">
        <v>0</v>
      </c>
      <c r="L269" s="209">
        <v>0</v>
      </c>
      <c r="M269" s="209">
        <v>0</v>
      </c>
      <c r="N269" s="209">
        <f t="shared" si="15"/>
        <v>0</v>
      </c>
      <c r="P269" s="4"/>
      <c r="Q269" s="4"/>
      <c r="Y269" s="2">
        <f t="shared" si="16"/>
        <v>0</v>
      </c>
      <c r="Z269" s="4">
        <v>2134</v>
      </c>
      <c r="AA269" s="4">
        <v>1</v>
      </c>
      <c r="AB269" s="2" t="s">
        <v>1165</v>
      </c>
      <c r="AC269" s="209">
        <v>0</v>
      </c>
      <c r="AD269" s="209">
        <v>55875.700000000012</v>
      </c>
      <c r="AE269" s="209">
        <v>5571.57</v>
      </c>
      <c r="AF269" s="209">
        <v>1827.46</v>
      </c>
      <c r="AG269" s="209">
        <v>44563.349999999991</v>
      </c>
      <c r="AH269" s="209">
        <v>3913.3199999999997</v>
      </c>
    </row>
    <row r="270" spans="1:34" x14ac:dyDescent="0.2">
      <c r="A270" s="4">
        <v>2135</v>
      </c>
      <c r="B270" s="4">
        <v>1</v>
      </c>
      <c r="C270" s="2" t="s">
        <v>273</v>
      </c>
      <c r="D270" s="183">
        <v>32786.5</v>
      </c>
      <c r="E270" s="183">
        <v>5772.6299999999992</v>
      </c>
      <c r="F270" s="183">
        <v>27970.61</v>
      </c>
      <c r="G270" s="183">
        <v>0</v>
      </c>
      <c r="H270" s="3">
        <f t="shared" si="17"/>
        <v>66529.739999999991</v>
      </c>
      <c r="J270" s="209">
        <v>0</v>
      </c>
      <c r="K270" s="209">
        <v>0</v>
      </c>
      <c r="L270" s="209">
        <v>0</v>
      </c>
      <c r="M270" s="209">
        <v>0</v>
      </c>
      <c r="N270" s="209">
        <f t="shared" si="15"/>
        <v>0</v>
      </c>
      <c r="P270" s="4"/>
      <c r="Q270" s="4"/>
      <c r="Y270" s="2">
        <f t="shared" si="16"/>
        <v>0</v>
      </c>
      <c r="Z270" s="4">
        <v>2135</v>
      </c>
      <c r="AA270" s="4">
        <v>1</v>
      </c>
      <c r="AB270" s="2" t="s">
        <v>273</v>
      </c>
      <c r="AC270" s="209">
        <v>0</v>
      </c>
      <c r="AD270" s="209">
        <v>66529.740000000005</v>
      </c>
      <c r="AE270" s="209">
        <v>32786.5</v>
      </c>
      <c r="AF270" s="209">
        <v>5772.6299999999992</v>
      </c>
      <c r="AG270" s="209">
        <v>27970.61</v>
      </c>
      <c r="AH270" s="209">
        <v>0</v>
      </c>
    </row>
    <row r="271" spans="1:34" x14ac:dyDescent="0.2">
      <c r="A271" s="4">
        <v>2137</v>
      </c>
      <c r="B271" s="4">
        <v>1</v>
      </c>
      <c r="C271" s="2" t="s">
        <v>274</v>
      </c>
      <c r="D271" s="183">
        <v>17043.919999999998</v>
      </c>
      <c r="E271" s="183">
        <v>4098.7199999999993</v>
      </c>
      <c r="F271" s="183">
        <v>58246.110000000008</v>
      </c>
      <c r="G271" s="183">
        <v>4640.24</v>
      </c>
      <c r="H271" s="3">
        <f t="shared" si="17"/>
        <v>84028.99</v>
      </c>
      <c r="J271" s="209">
        <v>0</v>
      </c>
      <c r="K271" s="209">
        <v>0</v>
      </c>
      <c r="L271" s="209">
        <v>0</v>
      </c>
      <c r="M271" s="209">
        <v>0</v>
      </c>
      <c r="N271" s="209">
        <f t="shared" si="15"/>
        <v>0</v>
      </c>
      <c r="P271" s="4"/>
      <c r="Q271" s="4"/>
      <c r="Y271" s="2">
        <f t="shared" si="16"/>
        <v>0</v>
      </c>
      <c r="Z271" s="4">
        <v>2137</v>
      </c>
      <c r="AA271" s="4">
        <v>1</v>
      </c>
      <c r="AB271" s="2" t="s">
        <v>274</v>
      </c>
      <c r="AC271" s="209">
        <v>0</v>
      </c>
      <c r="AD271" s="209">
        <v>84028.989999999991</v>
      </c>
      <c r="AE271" s="209">
        <v>17043.919999999998</v>
      </c>
      <c r="AF271" s="209">
        <v>4098.7199999999993</v>
      </c>
      <c r="AG271" s="209">
        <v>58246.110000000008</v>
      </c>
      <c r="AH271" s="209">
        <v>4640.24</v>
      </c>
    </row>
    <row r="272" spans="1:34" x14ac:dyDescent="0.2">
      <c r="A272" s="4">
        <v>2142</v>
      </c>
      <c r="B272" s="4">
        <v>1</v>
      </c>
      <c r="C272" s="2" t="s">
        <v>275</v>
      </c>
      <c r="D272" s="183">
        <v>28521.360000000001</v>
      </c>
      <c r="E272" s="183">
        <v>0</v>
      </c>
      <c r="F272" s="183">
        <v>95457.00999999998</v>
      </c>
      <c r="G272" s="183">
        <v>0</v>
      </c>
      <c r="H272" s="3">
        <f t="shared" si="17"/>
        <v>123978.36999999998</v>
      </c>
      <c r="J272" s="209">
        <v>85028.21</v>
      </c>
      <c r="K272" s="209">
        <v>0</v>
      </c>
      <c r="L272" s="209">
        <v>284222.99</v>
      </c>
      <c r="M272" s="209">
        <v>0</v>
      </c>
      <c r="N272" s="209">
        <f t="shared" si="15"/>
        <v>369251.2</v>
      </c>
      <c r="P272" s="4"/>
      <c r="Q272" s="4"/>
      <c r="Y272" s="2">
        <f t="shared" si="16"/>
        <v>0</v>
      </c>
      <c r="Z272" s="4">
        <v>2142</v>
      </c>
      <c r="AA272" s="4">
        <v>1</v>
      </c>
      <c r="AB272" s="2" t="s">
        <v>275</v>
      </c>
      <c r="AC272" s="209">
        <v>0</v>
      </c>
      <c r="AD272" s="209">
        <v>123978.37</v>
      </c>
      <c r="AE272" s="209">
        <v>28521.360000000001</v>
      </c>
      <c r="AF272" s="209">
        <v>0</v>
      </c>
      <c r="AG272" s="209">
        <v>95457.00999999998</v>
      </c>
      <c r="AH272" s="209">
        <v>0</v>
      </c>
    </row>
    <row r="273" spans="1:34" x14ac:dyDescent="0.2">
      <c r="A273" s="4">
        <v>2143</v>
      </c>
      <c r="B273" s="4">
        <v>1</v>
      </c>
      <c r="C273" s="2" t="s">
        <v>1164</v>
      </c>
      <c r="D273" s="183">
        <v>21370.19</v>
      </c>
      <c r="E273" s="183">
        <v>6236.2900000000009</v>
      </c>
      <c r="F273" s="183">
        <v>0</v>
      </c>
      <c r="G273" s="183">
        <v>0</v>
      </c>
      <c r="H273" s="3">
        <f t="shared" si="17"/>
        <v>27606.48</v>
      </c>
      <c r="J273" s="209">
        <v>0</v>
      </c>
      <c r="K273" s="209">
        <v>0</v>
      </c>
      <c r="L273" s="209">
        <v>0</v>
      </c>
      <c r="M273" s="209">
        <v>0</v>
      </c>
      <c r="N273" s="209">
        <f t="shared" si="15"/>
        <v>0</v>
      </c>
      <c r="P273" s="4"/>
      <c r="Q273" s="4"/>
      <c r="Y273" s="2">
        <f t="shared" si="16"/>
        <v>0</v>
      </c>
      <c r="Z273" s="4">
        <v>2143</v>
      </c>
      <c r="AA273" s="4">
        <v>1</v>
      </c>
      <c r="AB273" s="2" t="s">
        <v>1164</v>
      </c>
      <c r="AC273" s="209">
        <v>0</v>
      </c>
      <c r="AD273" s="209">
        <v>27606.48</v>
      </c>
      <c r="AE273" s="209">
        <v>21370.19</v>
      </c>
      <c r="AF273" s="209">
        <v>6236.2900000000009</v>
      </c>
      <c r="AG273" s="209">
        <v>0</v>
      </c>
      <c r="AH273" s="209">
        <v>0</v>
      </c>
    </row>
    <row r="274" spans="1:34" x14ac:dyDescent="0.2">
      <c r="A274" s="4">
        <v>2144</v>
      </c>
      <c r="B274" s="4">
        <v>1</v>
      </c>
      <c r="C274" s="2" t="s">
        <v>277</v>
      </c>
      <c r="D274" s="183">
        <v>8193.4399999999987</v>
      </c>
      <c r="E274" s="183">
        <v>1671.67</v>
      </c>
      <c r="F274" s="183">
        <v>18399.770000000004</v>
      </c>
      <c r="G274" s="183">
        <v>0</v>
      </c>
      <c r="H274" s="3">
        <f t="shared" si="17"/>
        <v>28264.880000000005</v>
      </c>
      <c r="J274" s="209">
        <v>0</v>
      </c>
      <c r="K274" s="209">
        <v>0</v>
      </c>
      <c r="L274" s="209">
        <v>0</v>
      </c>
      <c r="M274" s="209">
        <v>0</v>
      </c>
      <c r="N274" s="209">
        <f t="shared" si="15"/>
        <v>0</v>
      </c>
      <c r="P274" s="4"/>
      <c r="Q274" s="4"/>
      <c r="Y274" s="2">
        <f t="shared" si="16"/>
        <v>0</v>
      </c>
      <c r="Z274" s="4">
        <v>2144</v>
      </c>
      <c r="AA274" s="4">
        <v>1</v>
      </c>
      <c r="AB274" s="2" t="s">
        <v>277</v>
      </c>
      <c r="AC274" s="209">
        <v>0</v>
      </c>
      <c r="AD274" s="209">
        <v>28264.879999999997</v>
      </c>
      <c r="AE274" s="209">
        <v>8193.4399999999987</v>
      </c>
      <c r="AF274" s="209">
        <v>1671.67</v>
      </c>
      <c r="AG274" s="209">
        <v>18399.770000000004</v>
      </c>
      <c r="AH274" s="209">
        <v>0</v>
      </c>
    </row>
    <row r="275" spans="1:34" x14ac:dyDescent="0.2">
      <c r="A275" s="4">
        <v>2149</v>
      </c>
      <c r="B275" s="4">
        <v>1</v>
      </c>
      <c r="C275" s="2" t="s">
        <v>278</v>
      </c>
      <c r="D275" s="183">
        <v>17384.839999999997</v>
      </c>
      <c r="E275" s="183">
        <v>3452.0699999999997</v>
      </c>
      <c r="F275" s="183">
        <v>21144.35</v>
      </c>
      <c r="G275" s="183">
        <v>13109.079999999996</v>
      </c>
      <c r="H275" s="3">
        <f t="shared" si="17"/>
        <v>55090.339999999989</v>
      </c>
      <c r="J275" s="209">
        <v>0</v>
      </c>
      <c r="K275" s="209">
        <v>0</v>
      </c>
      <c r="L275" s="209">
        <v>0</v>
      </c>
      <c r="M275" s="209">
        <v>0</v>
      </c>
      <c r="N275" s="209">
        <f t="shared" si="15"/>
        <v>0</v>
      </c>
      <c r="P275" s="4"/>
      <c r="Q275" s="4"/>
      <c r="Y275" s="2">
        <f t="shared" si="16"/>
        <v>0</v>
      </c>
      <c r="Z275" s="4">
        <v>2149</v>
      </c>
      <c r="AA275" s="4">
        <v>1</v>
      </c>
      <c r="AB275" s="2" t="s">
        <v>278</v>
      </c>
      <c r="AC275" s="209">
        <v>0</v>
      </c>
      <c r="AD275" s="209">
        <v>55090.34</v>
      </c>
      <c r="AE275" s="209">
        <v>17384.839999999997</v>
      </c>
      <c r="AF275" s="209">
        <v>3452.0699999999997</v>
      </c>
      <c r="AG275" s="209">
        <v>21144.35</v>
      </c>
      <c r="AH275" s="209">
        <v>13109.079999999996</v>
      </c>
    </row>
    <row r="276" spans="1:34" x14ac:dyDescent="0.2">
      <c r="A276" s="4">
        <v>2154</v>
      </c>
      <c r="B276" s="4">
        <v>1</v>
      </c>
      <c r="C276" s="2" t="s">
        <v>279</v>
      </c>
      <c r="D276" s="183">
        <v>0</v>
      </c>
      <c r="E276" s="183">
        <v>0</v>
      </c>
      <c r="F276" s="183">
        <v>34006.43</v>
      </c>
      <c r="G276" s="183">
        <v>0</v>
      </c>
      <c r="H276" s="3">
        <f t="shared" si="17"/>
        <v>34006.43</v>
      </c>
      <c r="J276" s="209">
        <v>59.79</v>
      </c>
      <c r="K276" s="209">
        <v>0</v>
      </c>
      <c r="L276" s="209">
        <v>3825.98</v>
      </c>
      <c r="M276" s="209">
        <v>0</v>
      </c>
      <c r="N276" s="209">
        <f t="shared" si="15"/>
        <v>3885.77</v>
      </c>
      <c r="P276" s="4"/>
      <c r="Q276" s="4"/>
      <c r="Y276" s="2">
        <f t="shared" si="16"/>
        <v>0</v>
      </c>
      <c r="Z276" s="4">
        <v>2154</v>
      </c>
      <c r="AA276" s="4">
        <v>1</v>
      </c>
      <c r="AB276" s="2" t="s">
        <v>279</v>
      </c>
      <c r="AC276" s="209">
        <v>0</v>
      </c>
      <c r="AD276" s="209">
        <v>34006.43</v>
      </c>
      <c r="AE276" s="209">
        <v>0</v>
      </c>
      <c r="AF276" s="209">
        <v>0</v>
      </c>
      <c r="AG276" s="209">
        <v>34006.43</v>
      </c>
      <c r="AH276" s="209">
        <v>0</v>
      </c>
    </row>
    <row r="277" spans="1:34" x14ac:dyDescent="0.2">
      <c r="A277" s="4">
        <v>2155</v>
      </c>
      <c r="B277" s="4">
        <v>1</v>
      </c>
      <c r="C277" s="2" t="s">
        <v>1163</v>
      </c>
      <c r="D277" s="183">
        <v>12155.649999999998</v>
      </c>
      <c r="E277" s="183">
        <v>1596.76</v>
      </c>
      <c r="F277" s="183">
        <v>33633.15</v>
      </c>
      <c r="G277" s="183">
        <v>0</v>
      </c>
      <c r="H277" s="3">
        <f t="shared" si="17"/>
        <v>47385.56</v>
      </c>
      <c r="J277" s="209">
        <v>0</v>
      </c>
      <c r="K277" s="209">
        <v>0</v>
      </c>
      <c r="L277" s="209">
        <v>0</v>
      </c>
      <c r="M277" s="209">
        <v>0</v>
      </c>
      <c r="N277" s="209">
        <f t="shared" si="15"/>
        <v>0</v>
      </c>
      <c r="P277" s="4"/>
      <c r="Q277" s="4"/>
      <c r="Y277" s="2">
        <f t="shared" si="16"/>
        <v>0</v>
      </c>
      <c r="Z277" s="4">
        <v>2155</v>
      </c>
      <c r="AA277" s="4">
        <v>1</v>
      </c>
      <c r="AB277" s="2" t="s">
        <v>1163</v>
      </c>
      <c r="AC277" s="209">
        <v>0</v>
      </c>
      <c r="AD277" s="209">
        <v>47385.560000000005</v>
      </c>
      <c r="AE277" s="209">
        <v>12155.649999999998</v>
      </c>
      <c r="AF277" s="209">
        <v>1596.76</v>
      </c>
      <c r="AG277" s="209">
        <v>33633.15</v>
      </c>
      <c r="AH277" s="209">
        <v>0</v>
      </c>
    </row>
    <row r="278" spans="1:34" x14ac:dyDescent="0.2">
      <c r="A278" s="4">
        <v>2159</v>
      </c>
      <c r="B278" s="4">
        <v>1</v>
      </c>
      <c r="C278" s="2" t="s">
        <v>1162</v>
      </c>
      <c r="D278" s="183">
        <v>26132.33</v>
      </c>
      <c r="E278" s="183">
        <v>3055.54</v>
      </c>
      <c r="F278" s="183">
        <v>0</v>
      </c>
      <c r="G278" s="183">
        <v>0</v>
      </c>
      <c r="H278" s="3">
        <f t="shared" si="17"/>
        <v>29187.870000000003</v>
      </c>
      <c r="J278" s="209">
        <v>0</v>
      </c>
      <c r="K278" s="209">
        <v>0</v>
      </c>
      <c r="L278" s="209">
        <v>0</v>
      </c>
      <c r="M278" s="209">
        <v>0</v>
      </c>
      <c r="N278" s="209">
        <f t="shared" si="15"/>
        <v>0</v>
      </c>
      <c r="P278" s="4"/>
      <c r="Q278" s="4"/>
      <c r="Y278" s="2">
        <f t="shared" si="16"/>
        <v>0</v>
      </c>
      <c r="Z278" s="4">
        <v>2159</v>
      </c>
      <c r="AA278" s="4">
        <v>1</v>
      </c>
      <c r="AB278" s="2" t="s">
        <v>1162</v>
      </c>
      <c r="AC278" s="209">
        <v>0</v>
      </c>
      <c r="AD278" s="209">
        <v>29187.870000000003</v>
      </c>
      <c r="AE278" s="209">
        <v>26132.33</v>
      </c>
      <c r="AF278" s="209">
        <v>3055.54</v>
      </c>
      <c r="AG278" s="209">
        <v>0</v>
      </c>
      <c r="AH278" s="209">
        <v>0</v>
      </c>
    </row>
    <row r="279" spans="1:34" x14ac:dyDescent="0.2">
      <c r="A279" s="4">
        <v>2164</v>
      </c>
      <c r="B279" s="4">
        <v>1</v>
      </c>
      <c r="C279" s="2" t="s">
        <v>1161</v>
      </c>
      <c r="D279" s="183">
        <v>14180.83</v>
      </c>
      <c r="E279" s="183">
        <v>3766.26</v>
      </c>
      <c r="F279" s="183">
        <v>58532.600000000006</v>
      </c>
      <c r="G279" s="183">
        <v>2563.8900000000003</v>
      </c>
      <c r="H279" s="3">
        <f t="shared" si="17"/>
        <v>79043.58</v>
      </c>
      <c r="J279" s="209">
        <v>0</v>
      </c>
      <c r="K279" s="209">
        <v>0</v>
      </c>
      <c r="L279" s="209">
        <v>0</v>
      </c>
      <c r="M279" s="209">
        <v>0</v>
      </c>
      <c r="N279" s="209">
        <f t="shared" si="15"/>
        <v>0</v>
      </c>
      <c r="P279" s="4"/>
      <c r="Q279" s="4"/>
      <c r="Y279" s="2">
        <f t="shared" si="16"/>
        <v>0</v>
      </c>
      <c r="Z279" s="4">
        <v>2164</v>
      </c>
      <c r="AA279" s="4">
        <v>1</v>
      </c>
      <c r="AB279" s="2" t="s">
        <v>1161</v>
      </c>
      <c r="AC279" s="209">
        <v>0</v>
      </c>
      <c r="AD279" s="209">
        <v>79043.58</v>
      </c>
      <c r="AE279" s="209">
        <v>14180.83</v>
      </c>
      <c r="AF279" s="209">
        <v>3766.26</v>
      </c>
      <c r="AG279" s="209">
        <v>58532.600000000006</v>
      </c>
      <c r="AH279" s="209">
        <v>2563.8900000000003</v>
      </c>
    </row>
    <row r="280" spans="1:34" x14ac:dyDescent="0.2">
      <c r="A280" s="4">
        <v>2165</v>
      </c>
      <c r="B280" s="4">
        <v>1</v>
      </c>
      <c r="C280" s="2" t="s">
        <v>1160</v>
      </c>
      <c r="D280" s="183">
        <v>5804.58</v>
      </c>
      <c r="E280" s="183">
        <v>1675.8899999999999</v>
      </c>
      <c r="F280" s="183">
        <v>17732.829999999998</v>
      </c>
      <c r="G280" s="183">
        <v>0</v>
      </c>
      <c r="H280" s="3">
        <f t="shared" si="17"/>
        <v>25213.299999999996</v>
      </c>
      <c r="J280" s="209">
        <v>0</v>
      </c>
      <c r="K280" s="209">
        <v>0</v>
      </c>
      <c r="L280" s="209">
        <v>0</v>
      </c>
      <c r="M280" s="209">
        <v>0</v>
      </c>
      <c r="N280" s="209">
        <f t="shared" si="15"/>
        <v>0</v>
      </c>
      <c r="P280" s="4"/>
      <c r="Q280" s="4"/>
      <c r="Y280" s="2">
        <f t="shared" si="16"/>
        <v>0</v>
      </c>
      <c r="Z280" s="4">
        <v>2165</v>
      </c>
      <c r="AA280" s="4">
        <v>1</v>
      </c>
      <c r="AB280" s="2" t="s">
        <v>1160</v>
      </c>
      <c r="AC280" s="209">
        <v>0</v>
      </c>
      <c r="AD280" s="209">
        <v>25213.300000000003</v>
      </c>
      <c r="AE280" s="209">
        <v>5804.58</v>
      </c>
      <c r="AF280" s="209">
        <v>1675.8899999999999</v>
      </c>
      <c r="AG280" s="209">
        <v>17732.829999999998</v>
      </c>
      <c r="AH280" s="209">
        <v>0</v>
      </c>
    </row>
    <row r="281" spans="1:34" x14ac:dyDescent="0.2">
      <c r="A281" s="4">
        <v>2167</v>
      </c>
      <c r="B281" s="4">
        <v>1</v>
      </c>
      <c r="C281" s="2" t="s">
        <v>284</v>
      </c>
      <c r="D281" s="183">
        <v>4900.8900000000003</v>
      </c>
      <c r="E281" s="183">
        <v>825.24</v>
      </c>
      <c r="F281" s="183">
        <v>14278.43</v>
      </c>
      <c r="G281" s="183">
        <v>0</v>
      </c>
      <c r="H281" s="3">
        <f t="shared" si="17"/>
        <v>20004.560000000001</v>
      </c>
      <c r="J281" s="209">
        <v>0</v>
      </c>
      <c r="K281" s="209">
        <v>0</v>
      </c>
      <c r="L281" s="209">
        <v>0</v>
      </c>
      <c r="M281" s="209">
        <v>0</v>
      </c>
      <c r="N281" s="209">
        <f t="shared" si="15"/>
        <v>0</v>
      </c>
      <c r="P281" s="4"/>
      <c r="Q281" s="4"/>
      <c r="Y281" s="2">
        <f t="shared" si="16"/>
        <v>0</v>
      </c>
      <c r="Z281" s="4">
        <v>2167</v>
      </c>
      <c r="AA281" s="4">
        <v>1</v>
      </c>
      <c r="AB281" s="2" t="s">
        <v>284</v>
      </c>
      <c r="AC281" s="209">
        <v>0</v>
      </c>
      <c r="AD281" s="209">
        <v>20004.560000000001</v>
      </c>
      <c r="AE281" s="209">
        <v>4900.8900000000003</v>
      </c>
      <c r="AF281" s="209">
        <v>825.24</v>
      </c>
      <c r="AG281" s="209">
        <v>14278.43</v>
      </c>
      <c r="AH281" s="209">
        <v>0</v>
      </c>
    </row>
    <row r="282" spans="1:34" x14ac:dyDescent="0.2">
      <c r="A282" s="4">
        <v>2168</v>
      </c>
      <c r="B282" s="4">
        <v>1</v>
      </c>
      <c r="C282" s="2" t="s">
        <v>285</v>
      </c>
      <c r="D282" s="183">
        <v>9006.8700000000008</v>
      </c>
      <c r="E282" s="183">
        <v>1266.0400000000002</v>
      </c>
      <c r="F282" s="183">
        <v>13548.469999999998</v>
      </c>
      <c r="G282" s="183">
        <v>0</v>
      </c>
      <c r="H282" s="3">
        <f t="shared" si="17"/>
        <v>23821.379999999997</v>
      </c>
      <c r="J282" s="209">
        <v>0</v>
      </c>
      <c r="K282" s="209">
        <v>0</v>
      </c>
      <c r="L282" s="209">
        <v>0</v>
      </c>
      <c r="M282" s="209">
        <v>0</v>
      </c>
      <c r="N282" s="209">
        <f t="shared" si="15"/>
        <v>0</v>
      </c>
      <c r="P282" s="4"/>
      <c r="Q282" s="4"/>
      <c r="Y282" s="2">
        <f t="shared" si="16"/>
        <v>0</v>
      </c>
      <c r="Z282" s="4">
        <v>2168</v>
      </c>
      <c r="AA282" s="4">
        <v>1</v>
      </c>
      <c r="AB282" s="2" t="s">
        <v>285</v>
      </c>
      <c r="AC282" s="209">
        <v>0</v>
      </c>
      <c r="AD282" s="209">
        <v>23821.38</v>
      </c>
      <c r="AE282" s="209">
        <v>9006.8700000000008</v>
      </c>
      <c r="AF282" s="209">
        <v>1266.0400000000002</v>
      </c>
      <c r="AG282" s="209">
        <v>13548.469999999998</v>
      </c>
      <c r="AH282" s="209">
        <v>0</v>
      </c>
    </row>
    <row r="283" spans="1:34" x14ac:dyDescent="0.2">
      <c r="A283" s="4">
        <v>2169</v>
      </c>
      <c r="B283" s="4">
        <v>1</v>
      </c>
      <c r="C283" s="2" t="s">
        <v>1159</v>
      </c>
      <c r="D283" s="183">
        <v>16351.029999999999</v>
      </c>
      <c r="E283" s="183">
        <v>3628.78</v>
      </c>
      <c r="F283" s="183">
        <v>30213.279999999999</v>
      </c>
      <c r="G283" s="183">
        <v>0</v>
      </c>
      <c r="H283" s="3">
        <f t="shared" si="17"/>
        <v>50193.09</v>
      </c>
      <c r="J283" s="209">
        <v>0</v>
      </c>
      <c r="K283" s="209">
        <v>0</v>
      </c>
      <c r="L283" s="209">
        <v>0</v>
      </c>
      <c r="M283" s="209">
        <v>0</v>
      </c>
      <c r="N283" s="209">
        <f t="shared" si="15"/>
        <v>0</v>
      </c>
      <c r="P283" s="4"/>
      <c r="Q283" s="4"/>
      <c r="Y283" s="2">
        <f t="shared" si="16"/>
        <v>0</v>
      </c>
      <c r="Z283" s="4">
        <v>2169</v>
      </c>
      <c r="AA283" s="4">
        <v>1</v>
      </c>
      <c r="AB283" s="2" t="s">
        <v>1159</v>
      </c>
      <c r="AC283" s="209">
        <v>0</v>
      </c>
      <c r="AD283" s="209">
        <v>50193.09</v>
      </c>
      <c r="AE283" s="209">
        <v>16351.029999999999</v>
      </c>
      <c r="AF283" s="209">
        <v>3628.78</v>
      </c>
      <c r="AG283" s="209">
        <v>30213.279999999999</v>
      </c>
      <c r="AH283" s="209">
        <v>0</v>
      </c>
    </row>
    <row r="284" spans="1:34" x14ac:dyDescent="0.2">
      <c r="A284" s="4">
        <v>2170</v>
      </c>
      <c r="B284" s="4">
        <v>1</v>
      </c>
      <c r="C284" s="2" t="s">
        <v>287</v>
      </c>
      <c r="D284" s="183">
        <v>30824.769999999997</v>
      </c>
      <c r="E284" s="183">
        <v>6442.26</v>
      </c>
      <c r="F284" s="183">
        <v>13314.310000000001</v>
      </c>
      <c r="G284" s="183">
        <v>6507.1500000000015</v>
      </c>
      <c r="H284" s="3">
        <f t="shared" si="17"/>
        <v>57088.49</v>
      </c>
      <c r="J284" s="209">
        <v>0</v>
      </c>
      <c r="K284" s="209">
        <v>0</v>
      </c>
      <c r="L284" s="209">
        <v>0</v>
      </c>
      <c r="M284" s="209">
        <v>0</v>
      </c>
      <c r="N284" s="209">
        <f t="shared" si="15"/>
        <v>0</v>
      </c>
      <c r="P284" s="4"/>
      <c r="Q284" s="4"/>
      <c r="Y284" s="2">
        <f t="shared" si="16"/>
        <v>0</v>
      </c>
      <c r="Z284" s="4">
        <v>2170</v>
      </c>
      <c r="AA284" s="4">
        <v>1</v>
      </c>
      <c r="AB284" s="2" t="s">
        <v>287</v>
      </c>
      <c r="AC284" s="209">
        <v>0</v>
      </c>
      <c r="AD284" s="209">
        <v>57088.489999999991</v>
      </c>
      <c r="AE284" s="209">
        <v>30824.769999999997</v>
      </c>
      <c r="AF284" s="209">
        <v>6442.26</v>
      </c>
      <c r="AG284" s="209">
        <v>13314.310000000001</v>
      </c>
      <c r="AH284" s="209">
        <v>6507.1500000000015</v>
      </c>
    </row>
    <row r="285" spans="1:34" x14ac:dyDescent="0.2">
      <c r="A285" s="4">
        <v>2171</v>
      </c>
      <c r="B285" s="4">
        <v>1</v>
      </c>
      <c r="C285" s="2" t="s">
        <v>288</v>
      </c>
      <c r="D285" s="183">
        <v>3449.5900000000006</v>
      </c>
      <c r="E285" s="183">
        <v>482.65</v>
      </c>
      <c r="F285" s="183">
        <v>6174.52</v>
      </c>
      <c r="G285" s="183">
        <v>0</v>
      </c>
      <c r="H285" s="3">
        <f t="shared" si="17"/>
        <v>10106.760000000002</v>
      </c>
      <c r="J285" s="209">
        <v>0</v>
      </c>
      <c r="K285" s="209">
        <v>0</v>
      </c>
      <c r="L285" s="209">
        <v>0</v>
      </c>
      <c r="M285" s="209">
        <v>0</v>
      </c>
      <c r="N285" s="209">
        <f t="shared" si="15"/>
        <v>0</v>
      </c>
      <c r="P285" s="4"/>
      <c r="Q285" s="4"/>
      <c r="Y285" s="2">
        <f t="shared" si="16"/>
        <v>0</v>
      </c>
      <c r="Z285" s="4">
        <v>2171</v>
      </c>
      <c r="AA285" s="4">
        <v>1</v>
      </c>
      <c r="AB285" s="2" t="s">
        <v>288</v>
      </c>
      <c r="AC285" s="209">
        <v>0</v>
      </c>
      <c r="AD285" s="209">
        <v>10106.76</v>
      </c>
      <c r="AE285" s="209">
        <v>3449.5900000000006</v>
      </c>
      <c r="AF285" s="209">
        <v>482.65</v>
      </c>
      <c r="AG285" s="209">
        <v>6174.52</v>
      </c>
      <c r="AH285" s="209">
        <v>0</v>
      </c>
    </row>
    <row r="286" spans="1:34" x14ac:dyDescent="0.2">
      <c r="A286" s="4">
        <v>2172</v>
      </c>
      <c r="B286" s="4">
        <v>1</v>
      </c>
      <c r="C286" s="2" t="s">
        <v>289</v>
      </c>
      <c r="D286" s="183">
        <v>7488.8199999999988</v>
      </c>
      <c r="E286" s="183">
        <v>2784.6499999999996</v>
      </c>
      <c r="F286" s="183">
        <v>22955.83</v>
      </c>
      <c r="G286" s="183">
        <v>0</v>
      </c>
      <c r="H286" s="3">
        <f t="shared" si="17"/>
        <v>33229.300000000003</v>
      </c>
      <c r="J286" s="209">
        <v>0</v>
      </c>
      <c r="K286" s="209">
        <v>0</v>
      </c>
      <c r="L286" s="209">
        <v>0</v>
      </c>
      <c r="M286" s="209">
        <v>0</v>
      </c>
      <c r="N286" s="209">
        <f t="shared" si="15"/>
        <v>0</v>
      </c>
      <c r="P286" s="4"/>
      <c r="Q286" s="4"/>
      <c r="Y286" s="2">
        <f t="shared" si="16"/>
        <v>0</v>
      </c>
      <c r="Z286" s="4">
        <v>2172</v>
      </c>
      <c r="AA286" s="4">
        <v>1</v>
      </c>
      <c r="AB286" s="2" t="s">
        <v>289</v>
      </c>
      <c r="AC286" s="209">
        <v>0</v>
      </c>
      <c r="AD286" s="209">
        <v>33229.300000000003</v>
      </c>
      <c r="AE286" s="209">
        <v>7488.8199999999988</v>
      </c>
      <c r="AF286" s="209">
        <v>2784.6499999999996</v>
      </c>
      <c r="AG286" s="209">
        <v>22955.83</v>
      </c>
      <c r="AH286" s="209">
        <v>0</v>
      </c>
    </row>
    <row r="287" spans="1:34" x14ac:dyDescent="0.2">
      <c r="A287" s="4">
        <v>2174</v>
      </c>
      <c r="B287" s="4">
        <v>1</v>
      </c>
      <c r="C287" s="2" t="s">
        <v>1158</v>
      </c>
      <c r="D287" s="183">
        <v>3807.3600000000006</v>
      </c>
      <c r="E287" s="183">
        <v>1407.16</v>
      </c>
      <c r="F287" s="183">
        <v>4910.68</v>
      </c>
      <c r="G287" s="183">
        <v>0</v>
      </c>
      <c r="H287" s="3">
        <f t="shared" si="17"/>
        <v>10125.200000000001</v>
      </c>
      <c r="J287" s="209">
        <v>0</v>
      </c>
      <c r="K287" s="209">
        <v>0</v>
      </c>
      <c r="L287" s="209">
        <v>0</v>
      </c>
      <c r="M287" s="209">
        <v>0</v>
      </c>
      <c r="N287" s="209">
        <f t="shared" si="15"/>
        <v>0</v>
      </c>
      <c r="P287" s="4"/>
      <c r="Q287" s="4"/>
      <c r="Y287" s="2">
        <f t="shared" si="16"/>
        <v>0</v>
      </c>
      <c r="Z287" s="4">
        <v>2174</v>
      </c>
      <c r="AA287" s="4">
        <v>1</v>
      </c>
      <c r="AB287" s="2" t="s">
        <v>1158</v>
      </c>
      <c r="AC287" s="209">
        <v>0</v>
      </c>
      <c r="AD287" s="209">
        <v>10125.200000000001</v>
      </c>
      <c r="AE287" s="209">
        <v>3807.3600000000006</v>
      </c>
      <c r="AF287" s="209">
        <v>1407.16</v>
      </c>
      <c r="AG287" s="209">
        <v>4910.68</v>
      </c>
      <c r="AH287" s="209">
        <v>0</v>
      </c>
    </row>
    <row r="288" spans="1:34" x14ac:dyDescent="0.2">
      <c r="A288" s="4">
        <v>2176</v>
      </c>
      <c r="B288" s="4">
        <v>1</v>
      </c>
      <c r="C288" s="2" t="s">
        <v>1157</v>
      </c>
      <c r="D288" s="183">
        <v>4107.8600000000006</v>
      </c>
      <c r="E288" s="183">
        <v>1675.08</v>
      </c>
      <c r="F288" s="183">
        <v>5317.65</v>
      </c>
      <c r="G288" s="183">
        <v>0</v>
      </c>
      <c r="H288" s="3">
        <f t="shared" si="17"/>
        <v>11100.59</v>
      </c>
      <c r="J288" s="209">
        <v>0</v>
      </c>
      <c r="K288" s="209">
        <v>0</v>
      </c>
      <c r="L288" s="209">
        <v>0</v>
      </c>
      <c r="M288" s="209">
        <v>0</v>
      </c>
      <c r="N288" s="209">
        <f t="shared" si="15"/>
        <v>0</v>
      </c>
      <c r="P288" s="4"/>
      <c r="Q288" s="4"/>
      <c r="Y288" s="2">
        <f t="shared" si="16"/>
        <v>0</v>
      </c>
      <c r="Z288" s="4">
        <v>2176</v>
      </c>
      <c r="AA288" s="4">
        <v>1</v>
      </c>
      <c r="AB288" s="2" t="s">
        <v>1157</v>
      </c>
      <c r="AC288" s="209">
        <v>0</v>
      </c>
      <c r="AD288" s="209">
        <v>11100.59</v>
      </c>
      <c r="AE288" s="209">
        <v>4107.8600000000006</v>
      </c>
      <c r="AF288" s="209">
        <v>1675.08</v>
      </c>
      <c r="AG288" s="209">
        <v>5317.65</v>
      </c>
      <c r="AH288" s="209">
        <v>0</v>
      </c>
    </row>
    <row r="289" spans="1:34" x14ac:dyDescent="0.2">
      <c r="A289" s="4">
        <v>2180</v>
      </c>
      <c r="B289" s="4">
        <v>1</v>
      </c>
      <c r="C289" s="2" t="s">
        <v>292</v>
      </c>
      <c r="D289" s="183">
        <v>11315.36</v>
      </c>
      <c r="E289" s="183">
        <v>1108.8499999999999</v>
      </c>
      <c r="F289" s="183">
        <v>17448.520000000004</v>
      </c>
      <c r="G289" s="183">
        <v>0</v>
      </c>
      <c r="H289" s="3">
        <f t="shared" si="17"/>
        <v>29872.730000000003</v>
      </c>
      <c r="J289" s="209">
        <v>0</v>
      </c>
      <c r="K289" s="209">
        <v>0</v>
      </c>
      <c r="L289" s="209">
        <v>0</v>
      </c>
      <c r="M289" s="209">
        <v>0</v>
      </c>
      <c r="N289" s="209">
        <f t="shared" si="15"/>
        <v>0</v>
      </c>
      <c r="P289" s="4"/>
      <c r="Q289" s="4"/>
      <c r="Y289" s="2">
        <f t="shared" si="16"/>
        <v>0</v>
      </c>
      <c r="Z289" s="4">
        <v>2180</v>
      </c>
      <c r="AA289" s="4">
        <v>1</v>
      </c>
      <c r="AB289" s="2" t="s">
        <v>292</v>
      </c>
      <c r="AC289" s="209">
        <v>0</v>
      </c>
      <c r="AD289" s="209">
        <v>29872.729999999996</v>
      </c>
      <c r="AE289" s="209">
        <v>11315.36</v>
      </c>
      <c r="AF289" s="209">
        <v>1108.8499999999999</v>
      </c>
      <c r="AG289" s="209">
        <v>17448.520000000004</v>
      </c>
      <c r="AH289" s="209">
        <v>0</v>
      </c>
    </row>
    <row r="290" spans="1:34" x14ac:dyDescent="0.2">
      <c r="A290" s="4">
        <v>2184</v>
      </c>
      <c r="B290" s="4">
        <v>1</v>
      </c>
      <c r="C290" s="2" t="s">
        <v>293</v>
      </c>
      <c r="D290" s="183">
        <v>8906.880000000001</v>
      </c>
      <c r="E290" s="183">
        <v>2021.5000000000002</v>
      </c>
      <c r="F290" s="183">
        <v>20962.86</v>
      </c>
      <c r="G290" s="183">
        <v>0</v>
      </c>
      <c r="H290" s="3">
        <f t="shared" si="17"/>
        <v>31891.24</v>
      </c>
      <c r="J290" s="209">
        <v>0</v>
      </c>
      <c r="K290" s="209">
        <v>0</v>
      </c>
      <c r="L290" s="209">
        <v>0</v>
      </c>
      <c r="M290" s="209">
        <v>0</v>
      </c>
      <c r="N290" s="209">
        <f t="shared" si="15"/>
        <v>0</v>
      </c>
      <c r="P290" s="4"/>
      <c r="Q290" s="4"/>
      <c r="Y290" s="2">
        <f t="shared" si="16"/>
        <v>0</v>
      </c>
      <c r="Z290" s="4">
        <v>2184</v>
      </c>
      <c r="AA290" s="4">
        <v>1</v>
      </c>
      <c r="AB290" s="2" t="s">
        <v>293</v>
      </c>
      <c r="AC290" s="209">
        <v>0</v>
      </c>
      <c r="AD290" s="209">
        <v>31891.24</v>
      </c>
      <c r="AE290" s="209">
        <v>8906.880000000001</v>
      </c>
      <c r="AF290" s="209">
        <v>2021.5000000000002</v>
      </c>
      <c r="AG290" s="209">
        <v>20962.86</v>
      </c>
      <c r="AH290" s="209">
        <v>0</v>
      </c>
    </row>
    <row r="291" spans="1:34" x14ac:dyDescent="0.2">
      <c r="A291" s="4">
        <v>2190</v>
      </c>
      <c r="B291" s="4">
        <v>1</v>
      </c>
      <c r="C291" s="2" t="s">
        <v>1156</v>
      </c>
      <c r="D291" s="183">
        <v>8015.7</v>
      </c>
      <c r="E291" s="183">
        <v>4132.5</v>
      </c>
      <c r="F291" s="183">
        <v>20730.580000000002</v>
      </c>
      <c r="G291" s="183">
        <v>5827.2100000000009</v>
      </c>
      <c r="H291" s="3">
        <f t="shared" si="17"/>
        <v>38705.99</v>
      </c>
      <c r="J291" s="209">
        <v>0</v>
      </c>
      <c r="K291" s="209">
        <v>0</v>
      </c>
      <c r="L291" s="209">
        <v>0</v>
      </c>
      <c r="M291" s="209">
        <v>0</v>
      </c>
      <c r="N291" s="209">
        <f t="shared" si="15"/>
        <v>0</v>
      </c>
      <c r="P291" s="4"/>
      <c r="Q291" s="4"/>
      <c r="Y291" s="2">
        <f t="shared" si="16"/>
        <v>0</v>
      </c>
      <c r="Z291" s="4">
        <v>2190</v>
      </c>
      <c r="AA291" s="4">
        <v>1</v>
      </c>
      <c r="AB291" s="2" t="s">
        <v>1156</v>
      </c>
      <c r="AC291" s="209">
        <v>0</v>
      </c>
      <c r="AD291" s="209">
        <v>38705.989999999991</v>
      </c>
      <c r="AE291" s="209">
        <v>8015.7</v>
      </c>
      <c r="AF291" s="209">
        <v>4132.5</v>
      </c>
      <c r="AG291" s="209">
        <v>20730.580000000002</v>
      </c>
      <c r="AH291" s="209">
        <v>5827.2100000000009</v>
      </c>
    </row>
    <row r="292" spans="1:34" x14ac:dyDescent="0.2">
      <c r="A292" s="4">
        <v>2198</v>
      </c>
      <c r="B292" s="4">
        <v>1</v>
      </c>
      <c r="C292" s="2" t="s">
        <v>295</v>
      </c>
      <c r="D292" s="183">
        <v>34643.300000000003</v>
      </c>
      <c r="E292" s="183">
        <v>4894.99</v>
      </c>
      <c r="F292" s="183">
        <v>29409.170000000002</v>
      </c>
      <c r="G292" s="183">
        <v>6533.92</v>
      </c>
      <c r="H292" s="3">
        <f t="shared" si="17"/>
        <v>75481.38</v>
      </c>
      <c r="J292" s="209">
        <v>0</v>
      </c>
      <c r="K292" s="209">
        <v>0</v>
      </c>
      <c r="L292" s="209">
        <v>0</v>
      </c>
      <c r="M292" s="209">
        <v>0</v>
      </c>
      <c r="N292" s="209">
        <f t="shared" si="15"/>
        <v>0</v>
      </c>
      <c r="P292" s="4"/>
      <c r="Q292" s="4"/>
      <c r="Y292" s="2">
        <f t="shared" si="16"/>
        <v>0</v>
      </c>
      <c r="Z292" s="4">
        <v>2198</v>
      </c>
      <c r="AA292" s="4">
        <v>1</v>
      </c>
      <c r="AB292" s="2" t="s">
        <v>295</v>
      </c>
      <c r="AC292" s="209">
        <v>0</v>
      </c>
      <c r="AD292" s="209">
        <v>75481.38</v>
      </c>
      <c r="AE292" s="209">
        <v>34643.300000000003</v>
      </c>
      <c r="AF292" s="209">
        <v>4894.99</v>
      </c>
      <c r="AG292" s="209">
        <v>29409.170000000002</v>
      </c>
      <c r="AH292" s="209">
        <v>6533.92</v>
      </c>
    </row>
    <row r="293" spans="1:34" x14ac:dyDescent="0.2">
      <c r="A293" s="4">
        <v>2215</v>
      </c>
      <c r="B293" s="4">
        <v>1</v>
      </c>
      <c r="C293" s="2" t="s">
        <v>1155</v>
      </c>
      <c r="D293" s="183">
        <v>7720.2800000000007</v>
      </c>
      <c r="E293" s="183">
        <v>1369.1799999999998</v>
      </c>
      <c r="F293" s="183">
        <v>17251.440000000002</v>
      </c>
      <c r="G293" s="183">
        <v>0</v>
      </c>
      <c r="H293" s="3">
        <f t="shared" si="17"/>
        <v>26340.9</v>
      </c>
      <c r="J293" s="209">
        <v>0</v>
      </c>
      <c r="K293" s="209">
        <v>0</v>
      </c>
      <c r="L293" s="209">
        <v>0</v>
      </c>
      <c r="M293" s="209">
        <v>0</v>
      </c>
      <c r="N293" s="209">
        <f t="shared" si="15"/>
        <v>0</v>
      </c>
      <c r="P293" s="4"/>
      <c r="Q293" s="4"/>
      <c r="Y293" s="2">
        <f t="shared" si="16"/>
        <v>0</v>
      </c>
      <c r="Z293" s="4">
        <v>2215</v>
      </c>
      <c r="AA293" s="4">
        <v>1</v>
      </c>
      <c r="AB293" s="2" t="s">
        <v>1155</v>
      </c>
      <c r="AC293" s="209">
        <v>0</v>
      </c>
      <c r="AD293" s="209">
        <v>26340.9</v>
      </c>
      <c r="AE293" s="209">
        <v>7720.2800000000007</v>
      </c>
      <c r="AF293" s="209">
        <v>1369.1799999999998</v>
      </c>
      <c r="AG293" s="209">
        <v>17251.440000000002</v>
      </c>
      <c r="AH293" s="209">
        <v>0</v>
      </c>
    </row>
    <row r="294" spans="1:34" x14ac:dyDescent="0.2">
      <c r="A294" s="4">
        <v>2310</v>
      </c>
      <c r="B294" s="4">
        <v>1</v>
      </c>
      <c r="C294" s="2" t="s">
        <v>297</v>
      </c>
      <c r="D294" s="183">
        <v>39074.310000000005</v>
      </c>
      <c r="E294" s="183">
        <v>7300.9600000000009</v>
      </c>
      <c r="F294" s="183">
        <v>0</v>
      </c>
      <c r="G294" s="183">
        <v>0</v>
      </c>
      <c r="H294" s="3">
        <f t="shared" si="17"/>
        <v>46375.270000000004</v>
      </c>
      <c r="J294" s="209">
        <v>0</v>
      </c>
      <c r="K294" s="209">
        <v>0</v>
      </c>
      <c r="L294" s="209">
        <v>0</v>
      </c>
      <c r="M294" s="209">
        <v>0</v>
      </c>
      <c r="N294" s="209">
        <f t="shared" si="15"/>
        <v>0</v>
      </c>
      <c r="P294" s="4"/>
      <c r="Q294" s="4"/>
      <c r="Y294" s="2">
        <f t="shared" si="16"/>
        <v>0</v>
      </c>
      <c r="Z294" s="4">
        <v>2310</v>
      </c>
      <c r="AA294" s="4">
        <v>1</v>
      </c>
      <c r="AB294" s="2" t="s">
        <v>297</v>
      </c>
      <c r="AC294" s="209">
        <v>0</v>
      </c>
      <c r="AD294" s="209">
        <v>46375.270000000004</v>
      </c>
      <c r="AE294" s="209">
        <v>39074.310000000005</v>
      </c>
      <c r="AF294" s="209">
        <v>7300.9600000000009</v>
      </c>
      <c r="AG294" s="209">
        <v>0</v>
      </c>
      <c r="AH294" s="209">
        <v>0</v>
      </c>
    </row>
    <row r="295" spans="1:34" x14ac:dyDescent="0.2">
      <c r="A295" s="4">
        <v>2311</v>
      </c>
      <c r="B295" s="4">
        <v>1</v>
      </c>
      <c r="C295" s="2" t="s">
        <v>1154</v>
      </c>
      <c r="D295" s="183">
        <v>3634.25</v>
      </c>
      <c r="E295" s="183">
        <v>1405.4899999999998</v>
      </c>
      <c r="F295" s="183">
        <v>23550.03</v>
      </c>
      <c r="G295" s="183">
        <v>0</v>
      </c>
      <c r="H295" s="3">
        <f t="shared" si="17"/>
        <v>28589.769999999997</v>
      </c>
      <c r="J295" s="209">
        <v>0</v>
      </c>
      <c r="K295" s="209">
        <v>0</v>
      </c>
      <c r="L295" s="209">
        <v>0</v>
      </c>
      <c r="M295" s="209">
        <v>0</v>
      </c>
      <c r="N295" s="209">
        <f t="shared" si="15"/>
        <v>0</v>
      </c>
      <c r="P295" s="4"/>
      <c r="Q295" s="4"/>
      <c r="Y295" s="2">
        <f t="shared" si="16"/>
        <v>0</v>
      </c>
      <c r="Z295" s="4">
        <v>2311</v>
      </c>
      <c r="AA295" s="4">
        <v>1</v>
      </c>
      <c r="AB295" s="2" t="s">
        <v>1154</v>
      </c>
      <c r="AC295" s="209">
        <v>0</v>
      </c>
      <c r="AD295" s="209">
        <v>28589.77</v>
      </c>
      <c r="AE295" s="209">
        <v>3634.25</v>
      </c>
      <c r="AF295" s="209">
        <v>1405.4899999999998</v>
      </c>
      <c r="AG295" s="209">
        <v>23550.03</v>
      </c>
      <c r="AH295" s="209">
        <v>0</v>
      </c>
    </row>
    <row r="296" spans="1:34" x14ac:dyDescent="0.2">
      <c r="A296" s="4">
        <v>2342</v>
      </c>
      <c r="B296" s="4">
        <v>1</v>
      </c>
      <c r="C296" s="2" t="s">
        <v>1153</v>
      </c>
      <c r="D296" s="183">
        <v>16882.989999999998</v>
      </c>
      <c r="E296" s="183">
        <v>1786.13</v>
      </c>
      <c r="F296" s="183">
        <v>0</v>
      </c>
      <c r="G296" s="183">
        <v>0</v>
      </c>
      <c r="H296" s="3">
        <f t="shared" si="17"/>
        <v>18669.12</v>
      </c>
      <c r="J296" s="209">
        <v>0</v>
      </c>
      <c r="K296" s="209">
        <v>0</v>
      </c>
      <c r="L296" s="209">
        <v>0</v>
      </c>
      <c r="M296" s="209">
        <v>0</v>
      </c>
      <c r="N296" s="209">
        <f t="shared" si="15"/>
        <v>0</v>
      </c>
      <c r="P296" s="4"/>
      <c r="Q296" s="4"/>
      <c r="Y296" s="2">
        <f t="shared" si="16"/>
        <v>0</v>
      </c>
      <c r="Z296" s="4">
        <v>2342</v>
      </c>
      <c r="AA296" s="4">
        <v>1</v>
      </c>
      <c r="AB296" s="2" t="s">
        <v>1153</v>
      </c>
      <c r="AC296" s="209">
        <v>0</v>
      </c>
      <c r="AD296" s="209">
        <v>18669.120000000003</v>
      </c>
      <c r="AE296" s="209">
        <v>16882.989999999998</v>
      </c>
      <c r="AF296" s="209">
        <v>1786.13</v>
      </c>
      <c r="AG296" s="209">
        <v>0</v>
      </c>
      <c r="AH296" s="209">
        <v>0</v>
      </c>
    </row>
    <row r="297" spans="1:34" x14ac:dyDescent="0.2">
      <c r="A297" s="4">
        <v>2358</v>
      </c>
      <c r="B297" s="4">
        <v>1</v>
      </c>
      <c r="C297" s="2" t="s">
        <v>300</v>
      </c>
      <c r="D297" s="183">
        <v>4320.3499999999995</v>
      </c>
      <c r="E297" s="183">
        <v>1147.0700000000002</v>
      </c>
      <c r="F297" s="183">
        <v>9300.98</v>
      </c>
      <c r="G297" s="183">
        <v>0</v>
      </c>
      <c r="H297" s="3">
        <f t="shared" si="17"/>
        <v>14768.4</v>
      </c>
      <c r="J297" s="209">
        <v>0</v>
      </c>
      <c r="K297" s="209">
        <v>0</v>
      </c>
      <c r="L297" s="209">
        <v>0</v>
      </c>
      <c r="M297" s="209">
        <v>0</v>
      </c>
      <c r="N297" s="209">
        <f t="shared" si="15"/>
        <v>0</v>
      </c>
      <c r="P297" s="4"/>
      <c r="Q297" s="4"/>
      <c r="Y297" s="2">
        <f t="shared" si="16"/>
        <v>0</v>
      </c>
      <c r="Z297" s="4">
        <v>2358</v>
      </c>
      <c r="AA297" s="4">
        <v>1</v>
      </c>
      <c r="AB297" s="2" t="s">
        <v>300</v>
      </c>
      <c r="AC297" s="209">
        <v>0</v>
      </c>
      <c r="AD297" s="209">
        <v>14768.400000000001</v>
      </c>
      <c r="AE297" s="209">
        <v>4320.3499999999995</v>
      </c>
      <c r="AF297" s="209">
        <v>1147.0700000000002</v>
      </c>
      <c r="AG297" s="209">
        <v>9300.98</v>
      </c>
      <c r="AH297" s="209">
        <v>0</v>
      </c>
    </row>
    <row r="298" spans="1:34" x14ac:dyDescent="0.2">
      <c r="A298" s="4">
        <v>2364</v>
      </c>
      <c r="B298" s="4">
        <v>1</v>
      </c>
      <c r="C298" s="2" t="s">
        <v>1152</v>
      </c>
      <c r="D298" s="183">
        <v>8338.5400000000009</v>
      </c>
      <c r="E298" s="183">
        <v>1781.1100000000001</v>
      </c>
      <c r="F298" s="183">
        <v>3759.8900000000003</v>
      </c>
      <c r="G298" s="183">
        <v>0</v>
      </c>
      <c r="H298" s="3">
        <f t="shared" si="17"/>
        <v>13879.54</v>
      </c>
      <c r="J298" s="209">
        <v>0</v>
      </c>
      <c r="K298" s="209">
        <v>0</v>
      </c>
      <c r="L298" s="209">
        <v>0</v>
      </c>
      <c r="M298" s="209">
        <v>0</v>
      </c>
      <c r="N298" s="209">
        <f t="shared" si="15"/>
        <v>0</v>
      </c>
      <c r="P298" s="4"/>
      <c r="Q298" s="4"/>
      <c r="Y298" s="2">
        <f t="shared" si="16"/>
        <v>0</v>
      </c>
      <c r="Z298" s="4">
        <v>2364</v>
      </c>
      <c r="AA298" s="4">
        <v>1</v>
      </c>
      <c r="AB298" s="2" t="s">
        <v>1152</v>
      </c>
      <c r="AC298" s="209">
        <v>0</v>
      </c>
      <c r="AD298" s="209">
        <v>13879.54</v>
      </c>
      <c r="AE298" s="209">
        <v>8338.5400000000009</v>
      </c>
      <c r="AF298" s="209">
        <v>1781.1100000000001</v>
      </c>
      <c r="AG298" s="209">
        <v>3759.8900000000003</v>
      </c>
      <c r="AH298" s="209">
        <v>0</v>
      </c>
    </row>
    <row r="299" spans="1:34" x14ac:dyDescent="0.2">
      <c r="A299" s="4">
        <v>2365</v>
      </c>
      <c r="B299" s="4">
        <v>1</v>
      </c>
      <c r="C299" s="2" t="s">
        <v>302</v>
      </c>
      <c r="D299" s="183">
        <v>29182.589999999997</v>
      </c>
      <c r="E299" s="183">
        <v>3121.22</v>
      </c>
      <c r="F299" s="183">
        <v>13241.18</v>
      </c>
      <c r="G299" s="183">
        <v>4883.7700000000004</v>
      </c>
      <c r="H299" s="3">
        <f t="shared" si="17"/>
        <v>50428.759999999995</v>
      </c>
      <c r="J299" s="209">
        <v>0</v>
      </c>
      <c r="K299" s="209">
        <v>0</v>
      </c>
      <c r="L299" s="209">
        <v>0</v>
      </c>
      <c r="M299" s="209">
        <v>0</v>
      </c>
      <c r="N299" s="209">
        <f t="shared" si="15"/>
        <v>0</v>
      </c>
      <c r="P299" s="4"/>
      <c r="Q299" s="4"/>
      <c r="Y299" s="2">
        <f t="shared" si="16"/>
        <v>0</v>
      </c>
      <c r="Z299" s="4">
        <v>2365</v>
      </c>
      <c r="AA299" s="4">
        <v>1</v>
      </c>
      <c r="AB299" s="2" t="s">
        <v>302</v>
      </c>
      <c r="AC299" s="209">
        <v>0</v>
      </c>
      <c r="AD299" s="209">
        <v>50428.76</v>
      </c>
      <c r="AE299" s="209">
        <v>29182.589999999997</v>
      </c>
      <c r="AF299" s="209">
        <v>3121.22</v>
      </c>
      <c r="AG299" s="209">
        <v>13241.18</v>
      </c>
      <c r="AH299" s="209">
        <v>4883.7700000000004</v>
      </c>
    </row>
    <row r="300" spans="1:34" x14ac:dyDescent="0.2">
      <c r="A300" s="4">
        <v>2396</v>
      </c>
      <c r="B300" s="4">
        <v>1</v>
      </c>
      <c r="C300" s="2" t="s">
        <v>303</v>
      </c>
      <c r="D300" s="183">
        <v>11998.039999999997</v>
      </c>
      <c r="E300" s="183">
        <v>4560.3799999999992</v>
      </c>
      <c r="F300" s="183">
        <v>24191.489999999998</v>
      </c>
      <c r="G300" s="183">
        <v>0</v>
      </c>
      <c r="H300" s="3">
        <f t="shared" si="17"/>
        <v>40749.909999999996</v>
      </c>
      <c r="J300" s="209">
        <v>0</v>
      </c>
      <c r="K300" s="209">
        <v>0</v>
      </c>
      <c r="L300" s="209">
        <v>0</v>
      </c>
      <c r="M300" s="209">
        <v>0</v>
      </c>
      <c r="N300" s="209">
        <f t="shared" si="15"/>
        <v>0</v>
      </c>
      <c r="P300" s="4"/>
      <c r="Q300" s="4"/>
      <c r="Y300" s="2">
        <f t="shared" si="16"/>
        <v>0</v>
      </c>
      <c r="Z300" s="4">
        <v>2396</v>
      </c>
      <c r="AA300" s="4">
        <v>1</v>
      </c>
      <c r="AB300" s="2" t="s">
        <v>303</v>
      </c>
      <c r="AC300" s="209">
        <v>0</v>
      </c>
      <c r="AD300" s="209">
        <v>40749.910000000003</v>
      </c>
      <c r="AE300" s="209">
        <v>11998.039999999997</v>
      </c>
      <c r="AF300" s="209">
        <v>4560.3799999999992</v>
      </c>
      <c r="AG300" s="209">
        <v>24191.489999999998</v>
      </c>
      <c r="AH300" s="209">
        <v>0</v>
      </c>
    </row>
    <row r="301" spans="1:34" x14ac:dyDescent="0.2">
      <c r="A301" s="4">
        <v>2397</v>
      </c>
      <c r="B301" s="4">
        <v>1</v>
      </c>
      <c r="C301" s="2" t="s">
        <v>1151</v>
      </c>
      <c r="D301" s="183">
        <v>8664.6999999999989</v>
      </c>
      <c r="E301" s="183">
        <v>1783.31</v>
      </c>
      <c r="F301" s="183">
        <v>27037.47</v>
      </c>
      <c r="G301" s="183">
        <v>0</v>
      </c>
      <c r="H301" s="3">
        <f t="shared" si="17"/>
        <v>37485.479999999996</v>
      </c>
      <c r="J301" s="209">
        <v>0</v>
      </c>
      <c r="K301" s="209">
        <v>0</v>
      </c>
      <c r="L301" s="209">
        <v>0</v>
      </c>
      <c r="M301" s="209">
        <v>0</v>
      </c>
      <c r="N301" s="209">
        <f t="shared" si="15"/>
        <v>0</v>
      </c>
      <c r="P301" s="4"/>
      <c r="Q301" s="4"/>
      <c r="Y301" s="2">
        <f t="shared" si="16"/>
        <v>0</v>
      </c>
      <c r="Z301" s="4">
        <v>2397</v>
      </c>
      <c r="AA301" s="4">
        <v>1</v>
      </c>
      <c r="AB301" s="2" t="s">
        <v>1151</v>
      </c>
      <c r="AC301" s="209">
        <v>0</v>
      </c>
      <c r="AD301" s="209">
        <v>37485.480000000003</v>
      </c>
      <c r="AE301" s="209">
        <v>8664.6999999999989</v>
      </c>
      <c r="AF301" s="209">
        <v>1783.31</v>
      </c>
      <c r="AG301" s="209">
        <v>27037.47</v>
      </c>
      <c r="AH301" s="209">
        <v>0</v>
      </c>
    </row>
    <row r="302" spans="1:34" x14ac:dyDescent="0.2">
      <c r="A302" s="4">
        <v>2448</v>
      </c>
      <c r="B302" s="4">
        <v>1</v>
      </c>
      <c r="C302" s="2" t="s">
        <v>1150</v>
      </c>
      <c r="D302" s="183">
        <v>22618.6</v>
      </c>
      <c r="E302" s="183">
        <v>2682.01</v>
      </c>
      <c r="F302" s="183">
        <v>5406.42</v>
      </c>
      <c r="G302" s="183">
        <v>0</v>
      </c>
      <c r="H302" s="3">
        <f t="shared" si="17"/>
        <v>30707.03</v>
      </c>
      <c r="J302" s="209">
        <v>0</v>
      </c>
      <c r="K302" s="209">
        <v>0</v>
      </c>
      <c r="L302" s="209">
        <v>0</v>
      </c>
      <c r="M302" s="209">
        <v>0</v>
      </c>
      <c r="N302" s="209">
        <f t="shared" si="15"/>
        <v>0</v>
      </c>
      <c r="P302" s="4"/>
      <c r="Q302" s="4"/>
      <c r="Y302" s="2">
        <f t="shared" si="16"/>
        <v>0</v>
      </c>
      <c r="Z302" s="4">
        <v>2448</v>
      </c>
      <c r="AA302" s="4">
        <v>1</v>
      </c>
      <c r="AB302" s="2" t="s">
        <v>1150</v>
      </c>
      <c r="AC302" s="209">
        <v>0</v>
      </c>
      <c r="AD302" s="209">
        <v>30707.030000000002</v>
      </c>
      <c r="AE302" s="209">
        <v>22618.6</v>
      </c>
      <c r="AF302" s="209">
        <v>2682.01</v>
      </c>
      <c r="AG302" s="209">
        <v>5406.42</v>
      </c>
      <c r="AH302" s="209">
        <v>0</v>
      </c>
    </row>
    <row r="303" spans="1:34" x14ac:dyDescent="0.2">
      <c r="A303" s="4">
        <v>2527</v>
      </c>
      <c r="B303" s="4">
        <v>1</v>
      </c>
      <c r="C303" s="2" t="s">
        <v>1149</v>
      </c>
      <c r="D303" s="183">
        <v>3812.6</v>
      </c>
      <c r="E303" s="183">
        <v>413.73</v>
      </c>
      <c r="F303" s="183">
        <v>0</v>
      </c>
      <c r="G303" s="183">
        <v>0</v>
      </c>
      <c r="H303" s="3">
        <f t="shared" si="17"/>
        <v>4226.33</v>
      </c>
      <c r="J303" s="209">
        <v>0</v>
      </c>
      <c r="K303" s="209">
        <v>0</v>
      </c>
      <c r="L303" s="209">
        <v>0</v>
      </c>
      <c r="M303" s="209">
        <v>0</v>
      </c>
      <c r="N303" s="209">
        <f t="shared" si="15"/>
        <v>0</v>
      </c>
      <c r="P303" s="4"/>
      <c r="Q303" s="4"/>
      <c r="Y303" s="2">
        <f t="shared" si="16"/>
        <v>0</v>
      </c>
      <c r="Z303" s="4">
        <v>2527</v>
      </c>
      <c r="AA303" s="4">
        <v>1</v>
      </c>
      <c r="AB303" s="2" t="s">
        <v>1149</v>
      </c>
      <c r="AC303" s="209">
        <v>0</v>
      </c>
      <c r="AD303" s="209">
        <v>4226.33</v>
      </c>
      <c r="AE303" s="209">
        <v>3812.6</v>
      </c>
      <c r="AF303" s="209">
        <v>413.73</v>
      </c>
      <c r="AG303" s="209">
        <v>0</v>
      </c>
      <c r="AH303" s="209">
        <v>0</v>
      </c>
    </row>
    <row r="304" spans="1:34" x14ac:dyDescent="0.2">
      <c r="A304" s="4">
        <v>2534</v>
      </c>
      <c r="B304" s="4">
        <v>1</v>
      </c>
      <c r="C304" s="2" t="s">
        <v>1148</v>
      </c>
      <c r="D304" s="183">
        <v>18582.859999999997</v>
      </c>
      <c r="E304" s="183">
        <v>2993.12</v>
      </c>
      <c r="F304" s="183">
        <v>17785.82</v>
      </c>
      <c r="G304" s="183">
        <v>0</v>
      </c>
      <c r="H304" s="3">
        <f t="shared" si="17"/>
        <v>39361.799999999996</v>
      </c>
      <c r="J304" s="209">
        <v>0</v>
      </c>
      <c r="K304" s="209">
        <v>0</v>
      </c>
      <c r="L304" s="209">
        <v>0</v>
      </c>
      <c r="M304" s="209">
        <v>0</v>
      </c>
      <c r="N304" s="209">
        <f t="shared" si="15"/>
        <v>0</v>
      </c>
      <c r="P304" s="4"/>
      <c r="Q304" s="4"/>
      <c r="Y304" s="2">
        <f t="shared" si="16"/>
        <v>0</v>
      </c>
      <c r="Z304" s="4">
        <v>2534</v>
      </c>
      <c r="AA304" s="4">
        <v>1</v>
      </c>
      <c r="AB304" s="2" t="s">
        <v>1148</v>
      </c>
      <c r="AC304" s="209">
        <v>0</v>
      </c>
      <c r="AD304" s="209">
        <v>39361.800000000003</v>
      </c>
      <c r="AE304" s="209">
        <v>18582.859999999997</v>
      </c>
      <c r="AF304" s="209">
        <v>2993.12</v>
      </c>
      <c r="AG304" s="209">
        <v>17785.82</v>
      </c>
      <c r="AH304" s="209">
        <v>0</v>
      </c>
    </row>
    <row r="305" spans="1:34" x14ac:dyDescent="0.2">
      <c r="A305" s="4">
        <v>2536</v>
      </c>
      <c r="B305" s="4">
        <v>1</v>
      </c>
      <c r="C305" s="2" t="s">
        <v>1146</v>
      </c>
      <c r="D305" s="183">
        <v>3199.01</v>
      </c>
      <c r="E305" s="183">
        <v>711.85000000000014</v>
      </c>
      <c r="F305" s="183">
        <v>3872.94</v>
      </c>
      <c r="G305" s="183">
        <v>0</v>
      </c>
      <c r="H305" s="3">
        <f t="shared" si="17"/>
        <v>7783.8000000000011</v>
      </c>
      <c r="J305" s="209">
        <v>0</v>
      </c>
      <c r="K305" s="209">
        <v>0</v>
      </c>
      <c r="L305" s="209">
        <v>0</v>
      </c>
      <c r="M305" s="209">
        <v>0</v>
      </c>
      <c r="N305" s="209">
        <f t="shared" si="15"/>
        <v>0</v>
      </c>
      <c r="P305" s="4"/>
      <c r="Q305" s="4"/>
      <c r="Y305" s="2">
        <f t="shared" si="16"/>
        <v>0</v>
      </c>
      <c r="Z305" s="4">
        <v>2536</v>
      </c>
      <c r="AA305" s="4">
        <v>1</v>
      </c>
      <c r="AB305" s="2" t="s">
        <v>1146</v>
      </c>
      <c r="AC305" s="209">
        <v>0</v>
      </c>
      <c r="AD305" s="209">
        <v>7783.8000000000011</v>
      </c>
      <c r="AE305" s="209">
        <v>3199.01</v>
      </c>
      <c r="AF305" s="209">
        <v>711.85000000000014</v>
      </c>
      <c r="AG305" s="209">
        <v>3872.94</v>
      </c>
      <c r="AH305" s="209">
        <v>0</v>
      </c>
    </row>
    <row r="306" spans="1:34" x14ac:dyDescent="0.2">
      <c r="A306" s="4">
        <v>2580</v>
      </c>
      <c r="B306" s="4">
        <v>1</v>
      </c>
      <c r="C306" s="2" t="s">
        <v>1147</v>
      </c>
      <c r="D306" s="183">
        <v>4817.8099999999995</v>
      </c>
      <c r="E306" s="183">
        <v>1017.6699999999998</v>
      </c>
      <c r="F306" s="183">
        <v>22017.570000000003</v>
      </c>
      <c r="G306" s="183">
        <v>0</v>
      </c>
      <c r="H306" s="3">
        <f t="shared" si="17"/>
        <v>27853.050000000003</v>
      </c>
      <c r="J306" s="209">
        <v>0</v>
      </c>
      <c r="K306" s="209">
        <v>0</v>
      </c>
      <c r="L306" s="209">
        <v>0</v>
      </c>
      <c r="M306" s="209">
        <v>0</v>
      </c>
      <c r="N306" s="209">
        <f t="shared" si="15"/>
        <v>0</v>
      </c>
      <c r="P306" s="4"/>
      <c r="Q306" s="4"/>
      <c r="Y306" s="2">
        <f t="shared" si="16"/>
        <v>0</v>
      </c>
      <c r="Z306" s="4">
        <v>2580</v>
      </c>
      <c r="AA306" s="4">
        <v>1</v>
      </c>
      <c r="AB306" s="2" t="s">
        <v>1147</v>
      </c>
      <c r="AC306" s="209">
        <v>0</v>
      </c>
      <c r="AD306" s="209">
        <v>27853.05</v>
      </c>
      <c r="AE306" s="209">
        <v>4817.8099999999995</v>
      </c>
      <c r="AF306" s="209">
        <v>1017.6699999999998</v>
      </c>
      <c r="AG306" s="209">
        <v>22017.570000000003</v>
      </c>
      <c r="AH306" s="209">
        <v>0</v>
      </c>
    </row>
    <row r="307" spans="1:34" x14ac:dyDescent="0.2">
      <c r="A307" s="4">
        <v>2609</v>
      </c>
      <c r="B307" s="4">
        <v>1</v>
      </c>
      <c r="C307" s="2" t="s">
        <v>310</v>
      </c>
      <c r="D307" s="183">
        <v>4090.1800000000007</v>
      </c>
      <c r="E307" s="183">
        <v>947.38999999999987</v>
      </c>
      <c r="F307" s="183">
        <v>21908.46</v>
      </c>
      <c r="G307" s="183">
        <v>0</v>
      </c>
      <c r="H307" s="3">
        <f t="shared" si="17"/>
        <v>26946.03</v>
      </c>
      <c r="J307" s="209">
        <v>0</v>
      </c>
      <c r="K307" s="209">
        <v>0</v>
      </c>
      <c r="L307" s="209">
        <v>0</v>
      </c>
      <c r="M307" s="209">
        <v>0</v>
      </c>
      <c r="N307" s="209">
        <f t="shared" si="15"/>
        <v>0</v>
      </c>
      <c r="P307" s="4"/>
      <c r="Q307" s="4"/>
      <c r="Y307" s="2">
        <f t="shared" si="16"/>
        <v>0</v>
      </c>
      <c r="Z307" s="4">
        <v>2609</v>
      </c>
      <c r="AA307" s="4">
        <v>1</v>
      </c>
      <c r="AB307" s="2" t="s">
        <v>310</v>
      </c>
      <c r="AC307" s="209">
        <v>0</v>
      </c>
      <c r="AD307" s="209">
        <v>26946.03</v>
      </c>
      <c r="AE307" s="209">
        <v>4090.1800000000007</v>
      </c>
      <c r="AF307" s="209">
        <v>947.38999999999987</v>
      </c>
      <c r="AG307" s="209">
        <v>21908.46</v>
      </c>
      <c r="AH307" s="209">
        <v>0</v>
      </c>
    </row>
    <row r="308" spans="1:34" x14ac:dyDescent="0.2">
      <c r="A308" s="4">
        <v>2683</v>
      </c>
      <c r="B308" s="4">
        <v>1</v>
      </c>
      <c r="C308" s="2" t="s">
        <v>1145</v>
      </c>
      <c r="D308" s="183">
        <v>6079.5300000000007</v>
      </c>
      <c r="E308" s="183">
        <v>1632.5</v>
      </c>
      <c r="F308" s="183">
        <v>3347.9400000000005</v>
      </c>
      <c r="G308" s="183">
        <v>0</v>
      </c>
      <c r="H308" s="3">
        <f t="shared" si="17"/>
        <v>11059.970000000001</v>
      </c>
      <c r="J308" s="209">
        <v>0</v>
      </c>
      <c r="K308" s="209">
        <v>0</v>
      </c>
      <c r="L308" s="209">
        <v>0</v>
      </c>
      <c r="M308" s="209">
        <v>0</v>
      </c>
      <c r="N308" s="209">
        <f t="shared" si="15"/>
        <v>0</v>
      </c>
      <c r="P308" s="4"/>
      <c r="Q308" s="4"/>
      <c r="Y308" s="2">
        <f t="shared" si="16"/>
        <v>0</v>
      </c>
      <c r="Z308" s="4">
        <v>2683</v>
      </c>
      <c r="AA308" s="4">
        <v>1</v>
      </c>
      <c r="AB308" s="2" t="s">
        <v>1145</v>
      </c>
      <c r="AC308" s="209">
        <v>0</v>
      </c>
      <c r="AD308" s="209">
        <v>11059.969999999998</v>
      </c>
      <c r="AE308" s="209">
        <v>6079.5300000000007</v>
      </c>
      <c r="AF308" s="209">
        <v>1632.5</v>
      </c>
      <c r="AG308" s="209">
        <v>3347.9400000000005</v>
      </c>
      <c r="AH308" s="209">
        <v>0</v>
      </c>
    </row>
    <row r="309" spans="1:34" x14ac:dyDescent="0.2">
      <c r="A309" s="4">
        <v>2687</v>
      </c>
      <c r="B309" s="4">
        <v>1</v>
      </c>
      <c r="C309" s="2" t="s">
        <v>1144</v>
      </c>
      <c r="D309" s="183">
        <v>6502.54</v>
      </c>
      <c r="E309" s="183">
        <v>1530.69</v>
      </c>
      <c r="F309" s="183">
        <v>41687.219999999994</v>
      </c>
      <c r="G309" s="183">
        <v>0</v>
      </c>
      <c r="H309" s="3">
        <f t="shared" si="17"/>
        <v>49720.45</v>
      </c>
      <c r="J309" s="209">
        <v>0</v>
      </c>
      <c r="K309" s="209">
        <v>0</v>
      </c>
      <c r="L309" s="209">
        <v>0</v>
      </c>
      <c r="M309" s="209">
        <v>0</v>
      </c>
      <c r="N309" s="209">
        <f t="shared" si="15"/>
        <v>0</v>
      </c>
      <c r="P309" s="4"/>
      <c r="Q309" s="4"/>
      <c r="Y309" s="2">
        <f t="shared" si="16"/>
        <v>0</v>
      </c>
      <c r="Z309" s="4">
        <v>2687</v>
      </c>
      <c r="AA309" s="4">
        <v>1</v>
      </c>
      <c r="AB309" s="2" t="s">
        <v>1144</v>
      </c>
      <c r="AC309" s="209">
        <v>0</v>
      </c>
      <c r="AD309" s="209">
        <v>49720.450000000004</v>
      </c>
      <c r="AE309" s="209">
        <v>6502.54</v>
      </c>
      <c r="AF309" s="209">
        <v>1530.69</v>
      </c>
      <c r="AG309" s="209">
        <v>41687.219999999994</v>
      </c>
      <c r="AH309" s="209">
        <v>0</v>
      </c>
    </row>
    <row r="310" spans="1:34" x14ac:dyDescent="0.2">
      <c r="A310" s="4">
        <v>2689</v>
      </c>
      <c r="B310" s="4">
        <v>1</v>
      </c>
      <c r="C310" s="2" t="s">
        <v>1143</v>
      </c>
      <c r="D310" s="183">
        <v>21102.46</v>
      </c>
      <c r="E310" s="183">
        <v>4144.4400000000005</v>
      </c>
      <c r="F310" s="183">
        <v>67172.399999999994</v>
      </c>
      <c r="G310" s="183">
        <v>0</v>
      </c>
      <c r="H310" s="3">
        <f t="shared" si="17"/>
        <v>92419.299999999988</v>
      </c>
      <c r="J310" s="209">
        <v>0</v>
      </c>
      <c r="K310" s="209">
        <v>0</v>
      </c>
      <c r="L310" s="209">
        <v>0</v>
      </c>
      <c r="M310" s="209">
        <v>0</v>
      </c>
      <c r="N310" s="209">
        <f t="shared" si="15"/>
        <v>0</v>
      </c>
      <c r="P310" s="4"/>
      <c r="Q310" s="4"/>
      <c r="Y310" s="2">
        <f t="shared" si="16"/>
        <v>0</v>
      </c>
      <c r="Z310" s="4">
        <v>2689</v>
      </c>
      <c r="AA310" s="4">
        <v>1</v>
      </c>
      <c r="AB310" s="2" t="s">
        <v>1143</v>
      </c>
      <c r="AC310" s="209">
        <v>0</v>
      </c>
      <c r="AD310" s="209">
        <v>92419.299999999988</v>
      </c>
      <c r="AE310" s="209">
        <v>21102.46</v>
      </c>
      <c r="AF310" s="209">
        <v>4144.4400000000005</v>
      </c>
      <c r="AG310" s="209">
        <v>67172.399999999994</v>
      </c>
      <c r="AH310" s="209">
        <v>0</v>
      </c>
    </row>
    <row r="311" spans="1:34" x14ac:dyDescent="0.2">
      <c r="A311" s="4">
        <v>2711</v>
      </c>
      <c r="B311" s="4">
        <v>1</v>
      </c>
      <c r="C311" s="2" t="s">
        <v>314</v>
      </c>
      <c r="D311" s="183">
        <v>0</v>
      </c>
      <c r="E311" s="183">
        <v>0</v>
      </c>
      <c r="F311" s="183">
        <v>73978.740000000005</v>
      </c>
      <c r="G311" s="183">
        <v>148778.09000000003</v>
      </c>
      <c r="H311" s="3">
        <f t="shared" si="17"/>
        <v>222756.83000000002</v>
      </c>
      <c r="J311" s="209">
        <v>50.95</v>
      </c>
      <c r="K311" s="209">
        <v>0</v>
      </c>
      <c r="L311" s="209">
        <v>46169.85</v>
      </c>
      <c r="M311" s="209">
        <v>92850.83</v>
      </c>
      <c r="N311" s="209">
        <f t="shared" si="15"/>
        <v>139071.63</v>
      </c>
      <c r="P311" s="4"/>
      <c r="Q311" s="4"/>
      <c r="Y311" s="2">
        <f t="shared" si="16"/>
        <v>0</v>
      </c>
      <c r="Z311" s="4">
        <v>2711</v>
      </c>
      <c r="AA311" s="4">
        <v>1</v>
      </c>
      <c r="AB311" s="2" t="s">
        <v>314</v>
      </c>
      <c r="AC311" s="209">
        <v>0</v>
      </c>
      <c r="AD311" s="209">
        <v>222756.83</v>
      </c>
      <c r="AE311" s="209">
        <v>0</v>
      </c>
      <c r="AF311" s="209">
        <v>0</v>
      </c>
      <c r="AG311" s="209">
        <v>73978.740000000005</v>
      </c>
      <c r="AH311" s="209">
        <v>148778.09000000003</v>
      </c>
    </row>
    <row r="312" spans="1:34" x14ac:dyDescent="0.2">
      <c r="A312" s="4">
        <v>2752</v>
      </c>
      <c r="B312" s="4">
        <v>1</v>
      </c>
      <c r="C312" s="2" t="s">
        <v>1142</v>
      </c>
      <c r="D312" s="183">
        <v>18457.09</v>
      </c>
      <c r="E312" s="183">
        <v>2386.71</v>
      </c>
      <c r="F312" s="183">
        <v>39668.560000000005</v>
      </c>
      <c r="G312" s="183">
        <v>0</v>
      </c>
      <c r="H312" s="3">
        <f t="shared" si="17"/>
        <v>60512.36</v>
      </c>
      <c r="J312" s="209">
        <v>0</v>
      </c>
      <c r="K312" s="209">
        <v>0</v>
      </c>
      <c r="L312" s="209">
        <v>0</v>
      </c>
      <c r="M312" s="209">
        <v>0</v>
      </c>
      <c r="N312" s="209">
        <f t="shared" si="15"/>
        <v>0</v>
      </c>
      <c r="P312" s="4"/>
      <c r="Q312" s="4"/>
      <c r="Y312" s="2">
        <f t="shared" si="16"/>
        <v>0</v>
      </c>
      <c r="Z312" s="4">
        <v>2752</v>
      </c>
      <c r="AA312" s="4">
        <v>1</v>
      </c>
      <c r="AB312" s="2" t="s">
        <v>1142</v>
      </c>
      <c r="AC312" s="209">
        <v>0</v>
      </c>
      <c r="AD312" s="209">
        <v>60512.359999999986</v>
      </c>
      <c r="AE312" s="209">
        <v>18457.09</v>
      </c>
      <c r="AF312" s="209">
        <v>2386.71</v>
      </c>
      <c r="AG312" s="209">
        <v>39668.560000000005</v>
      </c>
      <c r="AH312" s="209">
        <v>0</v>
      </c>
    </row>
    <row r="313" spans="1:34" x14ac:dyDescent="0.2">
      <c r="A313" s="4">
        <v>2753</v>
      </c>
      <c r="B313" s="4">
        <v>1</v>
      </c>
      <c r="C313" s="2" t="s">
        <v>1141</v>
      </c>
      <c r="D313" s="183">
        <v>13738.289999999997</v>
      </c>
      <c r="E313" s="183">
        <v>2796.5500000000006</v>
      </c>
      <c r="F313" s="183">
        <v>32737.319999999996</v>
      </c>
      <c r="G313" s="183">
        <v>0</v>
      </c>
      <c r="H313" s="3">
        <f t="shared" si="17"/>
        <v>49272.159999999989</v>
      </c>
      <c r="J313" s="209">
        <v>0</v>
      </c>
      <c r="K313" s="209">
        <v>0</v>
      </c>
      <c r="L313" s="209">
        <v>0</v>
      </c>
      <c r="M313" s="209">
        <v>0</v>
      </c>
      <c r="N313" s="209">
        <f t="shared" si="15"/>
        <v>0</v>
      </c>
      <c r="P313" s="4"/>
      <c r="Q313" s="4"/>
      <c r="Y313" s="2">
        <f t="shared" si="16"/>
        <v>0</v>
      </c>
      <c r="Z313" s="4">
        <v>2753</v>
      </c>
      <c r="AA313" s="4">
        <v>1</v>
      </c>
      <c r="AB313" s="2" t="s">
        <v>1141</v>
      </c>
      <c r="AC313" s="209">
        <v>0</v>
      </c>
      <c r="AD313" s="209">
        <v>49272.159999999989</v>
      </c>
      <c r="AE313" s="209">
        <v>13738.289999999997</v>
      </c>
      <c r="AF313" s="209">
        <v>2796.5500000000006</v>
      </c>
      <c r="AG313" s="209">
        <v>32737.319999999996</v>
      </c>
      <c r="AH313" s="209">
        <v>0</v>
      </c>
    </row>
    <row r="314" spans="1:34" x14ac:dyDescent="0.2">
      <c r="A314" s="4">
        <v>2754</v>
      </c>
      <c r="B314" s="4">
        <v>1</v>
      </c>
      <c r="C314" s="2" t="s">
        <v>317</v>
      </c>
      <c r="D314" s="183">
        <v>17420.48</v>
      </c>
      <c r="E314" s="183">
        <v>2147.25</v>
      </c>
      <c r="F314" s="183">
        <v>11832.54</v>
      </c>
      <c r="G314" s="183">
        <v>0</v>
      </c>
      <c r="H314" s="3">
        <f t="shared" si="17"/>
        <v>31400.27</v>
      </c>
      <c r="J314" s="209">
        <v>0</v>
      </c>
      <c r="K314" s="209">
        <v>0</v>
      </c>
      <c r="L314" s="209">
        <v>0</v>
      </c>
      <c r="M314" s="209">
        <v>0</v>
      </c>
      <c r="N314" s="209">
        <f t="shared" si="15"/>
        <v>0</v>
      </c>
      <c r="P314" s="4"/>
      <c r="Q314" s="4"/>
      <c r="Y314" s="2">
        <f t="shared" si="16"/>
        <v>0</v>
      </c>
      <c r="Z314" s="4">
        <v>2754</v>
      </c>
      <c r="AA314" s="4">
        <v>1</v>
      </c>
      <c r="AB314" s="2" t="s">
        <v>317</v>
      </c>
      <c r="AC314" s="209">
        <v>0</v>
      </c>
      <c r="AD314" s="209">
        <v>31400.27</v>
      </c>
      <c r="AE314" s="209">
        <v>17420.48</v>
      </c>
      <c r="AF314" s="209">
        <v>2147.25</v>
      </c>
      <c r="AG314" s="209">
        <v>11832.54</v>
      </c>
      <c r="AH314" s="209">
        <v>0</v>
      </c>
    </row>
    <row r="315" spans="1:34" x14ac:dyDescent="0.2">
      <c r="A315" s="4">
        <v>2759</v>
      </c>
      <c r="B315" s="4">
        <v>1</v>
      </c>
      <c r="C315" s="2" t="s">
        <v>1140</v>
      </c>
      <c r="D315" s="183">
        <v>29345.15</v>
      </c>
      <c r="E315" s="183">
        <v>5126.67</v>
      </c>
      <c r="F315" s="183">
        <v>5624.8099999999995</v>
      </c>
      <c r="G315" s="183">
        <v>0</v>
      </c>
      <c r="H315" s="3">
        <f t="shared" si="17"/>
        <v>40096.629999999997</v>
      </c>
      <c r="J315" s="209">
        <v>0</v>
      </c>
      <c r="K315" s="209">
        <v>0</v>
      </c>
      <c r="L315" s="209">
        <v>0</v>
      </c>
      <c r="M315" s="209">
        <v>0</v>
      </c>
      <c r="N315" s="209">
        <f t="shared" si="15"/>
        <v>0</v>
      </c>
      <c r="P315" s="4"/>
      <c r="Q315" s="4"/>
      <c r="Y315" s="2">
        <f t="shared" si="16"/>
        <v>0</v>
      </c>
      <c r="Z315" s="4">
        <v>2759</v>
      </c>
      <c r="AA315" s="4">
        <v>1</v>
      </c>
      <c r="AB315" s="2" t="s">
        <v>1140</v>
      </c>
      <c r="AC315" s="209">
        <v>0</v>
      </c>
      <c r="AD315" s="209">
        <v>40096.629999999997</v>
      </c>
      <c r="AE315" s="209">
        <v>29345.15</v>
      </c>
      <c r="AF315" s="209">
        <v>5126.67</v>
      </c>
      <c r="AG315" s="209">
        <v>5624.8099999999995</v>
      </c>
      <c r="AH315" s="209">
        <v>0</v>
      </c>
    </row>
    <row r="316" spans="1:34" x14ac:dyDescent="0.2">
      <c r="A316" s="4">
        <v>2769</v>
      </c>
      <c r="B316" s="4">
        <v>1</v>
      </c>
      <c r="C316" s="2" t="s">
        <v>1167</v>
      </c>
      <c r="D316" s="183">
        <v>13680.909999999996</v>
      </c>
      <c r="E316" s="183">
        <v>3020.7799999999997</v>
      </c>
      <c r="F316" s="183">
        <v>60277.26</v>
      </c>
      <c r="G316" s="183">
        <v>2853.87</v>
      </c>
      <c r="H316" s="3">
        <f t="shared" si="17"/>
        <v>79832.819999999992</v>
      </c>
      <c r="J316" s="209">
        <v>0</v>
      </c>
      <c r="K316" s="209">
        <v>0</v>
      </c>
      <c r="L316" s="209">
        <v>0</v>
      </c>
      <c r="M316" s="209">
        <v>0</v>
      </c>
      <c r="N316" s="209">
        <f t="shared" si="15"/>
        <v>0</v>
      </c>
      <c r="P316" s="4"/>
      <c r="Q316" s="4"/>
      <c r="Y316" s="2">
        <f t="shared" si="16"/>
        <v>0</v>
      </c>
      <c r="Z316" s="4">
        <v>2769</v>
      </c>
      <c r="AA316" s="4">
        <v>1</v>
      </c>
      <c r="AB316" s="2" t="s">
        <v>1167</v>
      </c>
      <c r="AC316" s="209">
        <v>0</v>
      </c>
      <c r="AD316" s="209">
        <v>79832.820000000007</v>
      </c>
      <c r="AE316" s="209">
        <v>13680.909999999996</v>
      </c>
      <c r="AF316" s="209">
        <v>3020.7799999999997</v>
      </c>
      <c r="AG316" s="209">
        <v>60277.26</v>
      </c>
      <c r="AH316" s="209">
        <v>2853.87</v>
      </c>
    </row>
    <row r="317" spans="1:34" x14ac:dyDescent="0.2">
      <c r="A317" s="4">
        <v>2805</v>
      </c>
      <c r="B317" s="4">
        <v>1</v>
      </c>
      <c r="C317" s="2" t="s">
        <v>319</v>
      </c>
      <c r="D317" s="183">
        <v>9631.6200000000008</v>
      </c>
      <c r="E317" s="183">
        <v>3582.84</v>
      </c>
      <c r="F317" s="183">
        <v>21192.75</v>
      </c>
      <c r="G317" s="183">
        <v>0</v>
      </c>
      <c r="H317" s="3">
        <f t="shared" si="17"/>
        <v>34407.21</v>
      </c>
      <c r="J317" s="209">
        <v>0</v>
      </c>
      <c r="K317" s="209">
        <v>0</v>
      </c>
      <c r="L317" s="209">
        <v>0</v>
      </c>
      <c r="M317" s="209">
        <v>0</v>
      </c>
      <c r="N317" s="209">
        <f t="shared" si="15"/>
        <v>0</v>
      </c>
      <c r="P317" s="4"/>
      <c r="Q317" s="4"/>
      <c r="Y317" s="2">
        <f t="shared" si="16"/>
        <v>0</v>
      </c>
      <c r="Z317" s="4">
        <v>2805</v>
      </c>
      <c r="AA317" s="4">
        <v>1</v>
      </c>
      <c r="AB317" s="2" t="s">
        <v>319</v>
      </c>
      <c r="AC317" s="209">
        <v>0</v>
      </c>
      <c r="AD317" s="209">
        <v>34407.210000000006</v>
      </c>
      <c r="AE317" s="209">
        <v>9631.6200000000008</v>
      </c>
      <c r="AF317" s="209">
        <v>3582.84</v>
      </c>
      <c r="AG317" s="209">
        <v>21192.75</v>
      </c>
      <c r="AH317" s="209">
        <v>0</v>
      </c>
    </row>
    <row r="318" spans="1:34" x14ac:dyDescent="0.2">
      <c r="A318" s="4">
        <v>2835</v>
      </c>
      <c r="B318" s="4">
        <v>1</v>
      </c>
      <c r="C318" s="2" t="s">
        <v>1139</v>
      </c>
      <c r="D318" s="183">
        <v>7338.3499999999985</v>
      </c>
      <c r="E318" s="183">
        <v>1012.02</v>
      </c>
      <c r="F318" s="183">
        <v>19983.88</v>
      </c>
      <c r="G318" s="183">
        <v>0</v>
      </c>
      <c r="H318" s="3">
        <f t="shared" si="17"/>
        <v>28334.25</v>
      </c>
      <c r="J318" s="209">
        <v>0</v>
      </c>
      <c r="K318" s="209">
        <v>0</v>
      </c>
      <c r="L318" s="209">
        <v>0</v>
      </c>
      <c r="M318" s="209">
        <v>0</v>
      </c>
      <c r="N318" s="209">
        <f t="shared" si="15"/>
        <v>0</v>
      </c>
      <c r="P318" s="4"/>
      <c r="Q318" s="4"/>
      <c r="Y318" s="2">
        <f t="shared" si="16"/>
        <v>0</v>
      </c>
      <c r="Z318" s="4">
        <v>2835</v>
      </c>
      <c r="AA318" s="4">
        <v>1</v>
      </c>
      <c r="AB318" s="2" t="s">
        <v>1139</v>
      </c>
      <c r="AC318" s="209">
        <v>0</v>
      </c>
      <c r="AD318" s="209">
        <v>28334.25</v>
      </c>
      <c r="AE318" s="209">
        <v>7338.3499999999985</v>
      </c>
      <c r="AF318" s="209">
        <v>1012.02</v>
      </c>
      <c r="AG318" s="209">
        <v>19983.88</v>
      </c>
      <c r="AH318" s="209">
        <v>0</v>
      </c>
    </row>
    <row r="319" spans="1:34" x14ac:dyDescent="0.2">
      <c r="A319" s="4">
        <v>2853</v>
      </c>
      <c r="B319" s="4">
        <v>1</v>
      </c>
      <c r="C319" s="2" t="s">
        <v>1138</v>
      </c>
      <c r="D319" s="183">
        <v>23801.230000000003</v>
      </c>
      <c r="E319" s="183">
        <v>5529.43</v>
      </c>
      <c r="F319" s="183">
        <v>5741.1200000000008</v>
      </c>
      <c r="G319" s="183">
        <v>8315.3100000000013</v>
      </c>
      <c r="H319" s="3">
        <f t="shared" si="17"/>
        <v>43387.090000000011</v>
      </c>
      <c r="J319" s="209">
        <v>0</v>
      </c>
      <c r="K319" s="209">
        <v>0</v>
      </c>
      <c r="L319" s="209">
        <v>0</v>
      </c>
      <c r="M319" s="209">
        <v>0</v>
      </c>
      <c r="N319" s="209">
        <f t="shared" si="15"/>
        <v>0</v>
      </c>
      <c r="P319" s="4"/>
      <c r="Q319" s="4"/>
      <c r="Y319" s="2">
        <f t="shared" si="16"/>
        <v>0</v>
      </c>
      <c r="Z319" s="4">
        <v>2853</v>
      </c>
      <c r="AA319" s="4">
        <v>1</v>
      </c>
      <c r="AB319" s="2" t="s">
        <v>1138</v>
      </c>
      <c r="AC319" s="209">
        <v>0</v>
      </c>
      <c r="AD319" s="209">
        <v>43387.09</v>
      </c>
      <c r="AE319" s="209">
        <v>23801.230000000003</v>
      </c>
      <c r="AF319" s="209">
        <v>5529.43</v>
      </c>
      <c r="AG319" s="209">
        <v>5741.1200000000008</v>
      </c>
      <c r="AH319" s="209">
        <v>8315.3100000000013</v>
      </c>
    </row>
    <row r="320" spans="1:34" x14ac:dyDescent="0.2">
      <c r="A320" s="4">
        <v>2854</v>
      </c>
      <c r="B320" s="4">
        <v>1</v>
      </c>
      <c r="C320" s="2" t="s">
        <v>322</v>
      </c>
      <c r="D320" s="183">
        <v>12011.1</v>
      </c>
      <c r="E320" s="183">
        <v>1834.4499999999998</v>
      </c>
      <c r="F320" s="183">
        <v>0</v>
      </c>
      <c r="G320" s="183">
        <v>0</v>
      </c>
      <c r="H320" s="3">
        <f t="shared" si="17"/>
        <v>13845.55</v>
      </c>
      <c r="J320" s="209">
        <v>0</v>
      </c>
      <c r="K320" s="209">
        <v>0</v>
      </c>
      <c r="L320" s="209">
        <v>0</v>
      </c>
      <c r="M320" s="209">
        <v>0</v>
      </c>
      <c r="N320" s="209">
        <f t="shared" si="15"/>
        <v>0</v>
      </c>
      <c r="P320" s="4"/>
      <c r="Q320" s="4"/>
      <c r="Y320" s="2">
        <f t="shared" si="16"/>
        <v>0</v>
      </c>
      <c r="Z320" s="4">
        <v>2854</v>
      </c>
      <c r="AA320" s="4">
        <v>1</v>
      </c>
      <c r="AB320" s="2" t="s">
        <v>322</v>
      </c>
      <c r="AC320" s="209">
        <v>0</v>
      </c>
      <c r="AD320" s="209">
        <v>13845.55</v>
      </c>
      <c r="AE320" s="209">
        <v>12011.1</v>
      </c>
      <c r="AF320" s="209">
        <v>1834.4499999999998</v>
      </c>
      <c r="AG320" s="209">
        <v>0</v>
      </c>
      <c r="AH320" s="209">
        <v>0</v>
      </c>
    </row>
    <row r="321" spans="1:34" x14ac:dyDescent="0.2">
      <c r="A321" s="4">
        <v>2856</v>
      </c>
      <c r="B321" s="4">
        <v>1</v>
      </c>
      <c r="C321" s="2" t="s">
        <v>1137</v>
      </c>
      <c r="D321" s="183">
        <v>1735.5</v>
      </c>
      <c r="E321" s="183">
        <v>846.24999999999989</v>
      </c>
      <c r="F321" s="183">
        <v>2729.7300000000005</v>
      </c>
      <c r="G321" s="183">
        <v>0</v>
      </c>
      <c r="H321" s="3">
        <f t="shared" si="17"/>
        <v>5311.4800000000005</v>
      </c>
      <c r="J321" s="209">
        <v>0</v>
      </c>
      <c r="K321" s="209">
        <v>0</v>
      </c>
      <c r="L321" s="209">
        <v>0</v>
      </c>
      <c r="M321" s="209">
        <v>0</v>
      </c>
      <c r="N321" s="209">
        <f t="shared" si="15"/>
        <v>0</v>
      </c>
      <c r="P321" s="4"/>
      <c r="Q321" s="4"/>
      <c r="Y321" s="2">
        <f t="shared" si="16"/>
        <v>0</v>
      </c>
      <c r="Z321" s="4">
        <v>2856</v>
      </c>
      <c r="AA321" s="4">
        <v>1</v>
      </c>
      <c r="AB321" s="2" t="s">
        <v>1137</v>
      </c>
      <c r="AC321" s="209">
        <v>0</v>
      </c>
      <c r="AD321" s="209">
        <v>5311.4800000000005</v>
      </c>
      <c r="AE321" s="209">
        <v>1735.5</v>
      </c>
      <c r="AF321" s="209">
        <v>846.24999999999989</v>
      </c>
      <c r="AG321" s="209">
        <v>2729.7300000000005</v>
      </c>
      <c r="AH321" s="209">
        <v>0</v>
      </c>
    </row>
    <row r="322" spans="1:34" x14ac:dyDescent="0.2">
      <c r="A322" s="4">
        <v>2859</v>
      </c>
      <c r="B322" s="4">
        <v>1</v>
      </c>
      <c r="C322" s="2" t="s">
        <v>1136</v>
      </c>
      <c r="D322" s="183">
        <v>40096.25</v>
      </c>
      <c r="E322" s="183">
        <v>9495.34</v>
      </c>
      <c r="F322" s="183">
        <v>0</v>
      </c>
      <c r="G322" s="183">
        <v>0</v>
      </c>
      <c r="H322" s="3">
        <f t="shared" si="17"/>
        <v>49591.59</v>
      </c>
      <c r="J322" s="209">
        <v>0</v>
      </c>
      <c r="K322" s="209">
        <v>0</v>
      </c>
      <c r="L322" s="209">
        <v>0</v>
      </c>
      <c r="M322" s="209">
        <v>0</v>
      </c>
      <c r="N322" s="209">
        <f t="shared" si="15"/>
        <v>0</v>
      </c>
      <c r="P322" s="4"/>
      <c r="Q322" s="4"/>
      <c r="Y322" s="2">
        <f t="shared" si="16"/>
        <v>0</v>
      </c>
      <c r="Z322" s="4">
        <v>2859</v>
      </c>
      <c r="AA322" s="4">
        <v>1</v>
      </c>
      <c r="AB322" s="2" t="s">
        <v>1136</v>
      </c>
      <c r="AC322" s="209">
        <v>0</v>
      </c>
      <c r="AD322" s="209">
        <v>49591.59</v>
      </c>
      <c r="AE322" s="209">
        <v>40096.25</v>
      </c>
      <c r="AF322" s="209">
        <v>9495.34</v>
      </c>
      <c r="AG322" s="209">
        <v>0</v>
      </c>
      <c r="AH322" s="209">
        <v>0</v>
      </c>
    </row>
    <row r="323" spans="1:34" x14ac:dyDescent="0.2">
      <c r="A323" s="4">
        <v>2860</v>
      </c>
      <c r="B323" s="4">
        <v>1</v>
      </c>
      <c r="C323" s="2" t="s">
        <v>325</v>
      </c>
      <c r="D323" s="183">
        <v>40328</v>
      </c>
      <c r="E323" s="183">
        <v>10635.079999999998</v>
      </c>
      <c r="F323" s="183">
        <v>39228.769999999997</v>
      </c>
      <c r="G323" s="183">
        <v>0</v>
      </c>
      <c r="H323" s="3">
        <f t="shared" si="17"/>
        <v>90191.85</v>
      </c>
      <c r="J323" s="209">
        <v>0</v>
      </c>
      <c r="K323" s="209">
        <v>0</v>
      </c>
      <c r="L323" s="209">
        <v>0</v>
      </c>
      <c r="M323" s="209">
        <v>0</v>
      </c>
      <c r="N323" s="209">
        <f t="shared" si="15"/>
        <v>0</v>
      </c>
      <c r="P323" s="4"/>
      <c r="Q323" s="4"/>
      <c r="Y323" s="2">
        <f t="shared" si="16"/>
        <v>0</v>
      </c>
      <c r="Z323" s="4">
        <v>2860</v>
      </c>
      <c r="AA323" s="4">
        <v>1</v>
      </c>
      <c r="AB323" s="2" t="s">
        <v>325</v>
      </c>
      <c r="AC323" s="209">
        <v>0</v>
      </c>
      <c r="AD323" s="209">
        <v>90191.85</v>
      </c>
      <c r="AE323" s="209">
        <v>40328</v>
      </c>
      <c r="AF323" s="209">
        <v>10635.079999999998</v>
      </c>
      <c r="AG323" s="209">
        <v>39228.769999999997</v>
      </c>
      <c r="AH323" s="209">
        <v>0</v>
      </c>
    </row>
    <row r="324" spans="1:34" x14ac:dyDescent="0.2">
      <c r="A324" s="4">
        <v>2884</v>
      </c>
      <c r="B324" s="4">
        <v>1</v>
      </c>
      <c r="C324" s="2" t="s">
        <v>326</v>
      </c>
      <c r="D324" s="183">
        <v>15362.800000000003</v>
      </c>
      <c r="E324" s="183">
        <v>1052.01</v>
      </c>
      <c r="F324" s="183">
        <v>0</v>
      </c>
      <c r="G324" s="183">
        <v>0</v>
      </c>
      <c r="H324" s="3">
        <f t="shared" si="17"/>
        <v>16414.810000000001</v>
      </c>
      <c r="J324" s="209">
        <v>0</v>
      </c>
      <c r="K324" s="209">
        <v>0</v>
      </c>
      <c r="L324" s="209">
        <v>0</v>
      </c>
      <c r="M324" s="209">
        <v>0</v>
      </c>
      <c r="N324" s="209">
        <f t="shared" si="15"/>
        <v>0</v>
      </c>
      <c r="P324" s="4"/>
      <c r="Q324" s="4"/>
      <c r="Y324" s="2">
        <f t="shared" si="16"/>
        <v>0</v>
      </c>
      <c r="Z324" s="4">
        <v>2884</v>
      </c>
      <c r="AA324" s="4">
        <v>1</v>
      </c>
      <c r="AB324" s="2" t="s">
        <v>326</v>
      </c>
      <c r="AC324" s="209">
        <v>0</v>
      </c>
      <c r="AD324" s="209">
        <v>16414.809999999998</v>
      </c>
      <c r="AE324" s="209">
        <v>15362.800000000003</v>
      </c>
      <c r="AF324" s="209">
        <v>1052.01</v>
      </c>
      <c r="AG324" s="209">
        <v>0</v>
      </c>
      <c r="AH324" s="209">
        <v>0</v>
      </c>
    </row>
    <row r="325" spans="1:34" x14ac:dyDescent="0.2">
      <c r="A325" s="4">
        <v>2886</v>
      </c>
      <c r="B325" s="4">
        <v>1</v>
      </c>
      <c r="C325" s="2" t="s">
        <v>327</v>
      </c>
      <c r="D325" s="183">
        <v>5693.6399999999994</v>
      </c>
      <c r="E325" s="183">
        <v>794.07999999999993</v>
      </c>
      <c r="F325" s="183">
        <v>0</v>
      </c>
      <c r="G325" s="183">
        <v>0</v>
      </c>
      <c r="H325" s="3">
        <f t="shared" si="17"/>
        <v>6487.7199999999993</v>
      </c>
      <c r="J325" s="209">
        <v>0</v>
      </c>
      <c r="K325" s="209">
        <v>0</v>
      </c>
      <c r="L325" s="209">
        <v>0</v>
      </c>
      <c r="M325" s="209">
        <v>0</v>
      </c>
      <c r="N325" s="209">
        <f t="shared" si="15"/>
        <v>0</v>
      </c>
      <c r="P325" s="4"/>
      <c r="Q325" s="4"/>
      <c r="Y325" s="2">
        <f t="shared" si="16"/>
        <v>0</v>
      </c>
      <c r="Z325" s="4">
        <v>2886</v>
      </c>
      <c r="AA325" s="4">
        <v>1</v>
      </c>
      <c r="AB325" s="2" t="s">
        <v>327</v>
      </c>
      <c r="AC325" s="209">
        <v>0</v>
      </c>
      <c r="AD325" s="209">
        <v>6487.7199999999993</v>
      </c>
      <c r="AE325" s="209">
        <v>5693.6399999999994</v>
      </c>
      <c r="AF325" s="209">
        <v>794.07999999999993</v>
      </c>
      <c r="AG325" s="209">
        <v>0</v>
      </c>
      <c r="AH325" s="209">
        <v>0</v>
      </c>
    </row>
    <row r="326" spans="1:34" x14ac:dyDescent="0.2">
      <c r="A326" s="4">
        <v>2888</v>
      </c>
      <c r="B326" s="4">
        <v>1</v>
      </c>
      <c r="C326" s="2" t="s">
        <v>1135</v>
      </c>
      <c r="D326" s="183">
        <v>6321.7100000000009</v>
      </c>
      <c r="E326" s="183">
        <v>665.21</v>
      </c>
      <c r="F326" s="183">
        <v>10095.740000000002</v>
      </c>
      <c r="G326" s="183">
        <v>0</v>
      </c>
      <c r="H326" s="3">
        <f t="shared" si="17"/>
        <v>17082.660000000003</v>
      </c>
      <c r="J326" s="209">
        <v>0</v>
      </c>
      <c r="K326" s="209">
        <v>0</v>
      </c>
      <c r="L326" s="209">
        <v>0</v>
      </c>
      <c r="M326" s="209">
        <v>0</v>
      </c>
      <c r="N326" s="209">
        <f t="shared" si="15"/>
        <v>0</v>
      </c>
      <c r="P326" s="4"/>
      <c r="Q326" s="4"/>
      <c r="Y326" s="2">
        <f t="shared" si="16"/>
        <v>0</v>
      </c>
      <c r="Z326" s="4">
        <v>2888</v>
      </c>
      <c r="AA326" s="4">
        <v>1</v>
      </c>
      <c r="AB326" s="2" t="s">
        <v>1135</v>
      </c>
      <c r="AC326" s="209">
        <v>0</v>
      </c>
      <c r="AD326" s="209">
        <v>17082.66</v>
      </c>
      <c r="AE326" s="209">
        <v>6321.7100000000009</v>
      </c>
      <c r="AF326" s="209">
        <v>665.21</v>
      </c>
      <c r="AG326" s="209">
        <v>10095.740000000002</v>
      </c>
      <c r="AH326" s="209">
        <v>0</v>
      </c>
    </row>
    <row r="327" spans="1:34" x14ac:dyDescent="0.2">
      <c r="A327" s="4">
        <v>2889</v>
      </c>
      <c r="B327" s="4">
        <v>1</v>
      </c>
      <c r="C327" s="2" t="s">
        <v>1134</v>
      </c>
      <c r="D327" s="183">
        <v>3995.0699999999993</v>
      </c>
      <c r="E327" s="183">
        <v>819.94</v>
      </c>
      <c r="F327" s="183">
        <v>14934.079999999998</v>
      </c>
      <c r="G327" s="183">
        <v>0</v>
      </c>
      <c r="H327" s="3">
        <f t="shared" si="17"/>
        <v>19749.089999999997</v>
      </c>
      <c r="J327" s="209">
        <v>0</v>
      </c>
      <c r="K327" s="209">
        <v>0</v>
      </c>
      <c r="L327" s="209">
        <v>0</v>
      </c>
      <c r="M327" s="209">
        <v>0</v>
      </c>
      <c r="N327" s="209">
        <f t="shared" si="15"/>
        <v>0</v>
      </c>
      <c r="P327" s="4"/>
      <c r="Q327" s="4"/>
      <c r="Y327" s="2">
        <f t="shared" si="16"/>
        <v>0</v>
      </c>
      <c r="Z327" s="4">
        <v>2889</v>
      </c>
      <c r="AA327" s="4">
        <v>1</v>
      </c>
      <c r="AB327" s="2" t="s">
        <v>1134</v>
      </c>
      <c r="AC327" s="209">
        <v>0</v>
      </c>
      <c r="AD327" s="209">
        <v>19749.090000000004</v>
      </c>
      <c r="AE327" s="209">
        <v>3995.0699999999993</v>
      </c>
      <c r="AF327" s="209">
        <v>819.94</v>
      </c>
      <c r="AG327" s="209">
        <v>14934.079999999998</v>
      </c>
      <c r="AH327" s="209">
        <v>0</v>
      </c>
    </row>
    <row r="328" spans="1:34" x14ac:dyDescent="0.2">
      <c r="A328" s="4">
        <v>2890</v>
      </c>
      <c r="B328" s="4">
        <v>1</v>
      </c>
      <c r="C328" s="2" t="s">
        <v>1133</v>
      </c>
      <c r="D328" s="183">
        <v>16050.09</v>
      </c>
      <c r="E328" s="183">
        <v>3022.83</v>
      </c>
      <c r="F328" s="183">
        <v>17643.739999999998</v>
      </c>
      <c r="G328" s="183">
        <v>0</v>
      </c>
      <c r="H328" s="3">
        <f t="shared" si="17"/>
        <v>36716.659999999996</v>
      </c>
      <c r="J328" s="209">
        <v>0</v>
      </c>
      <c r="K328" s="209">
        <v>0</v>
      </c>
      <c r="L328" s="209">
        <v>0</v>
      </c>
      <c r="M328" s="209">
        <v>0</v>
      </c>
      <c r="N328" s="209">
        <f t="shared" si="15"/>
        <v>0</v>
      </c>
      <c r="P328" s="4"/>
      <c r="Q328" s="4"/>
      <c r="Y328" s="2">
        <f t="shared" si="16"/>
        <v>0</v>
      </c>
      <c r="Z328" s="4">
        <v>2890</v>
      </c>
      <c r="AA328" s="4">
        <v>1</v>
      </c>
      <c r="AB328" s="2" t="s">
        <v>1133</v>
      </c>
      <c r="AC328" s="209">
        <v>0</v>
      </c>
      <c r="AD328" s="209">
        <v>36716.660000000003</v>
      </c>
      <c r="AE328" s="209">
        <v>16050.09</v>
      </c>
      <c r="AF328" s="209">
        <v>3022.83</v>
      </c>
      <c r="AG328" s="209">
        <v>17643.739999999998</v>
      </c>
      <c r="AH328" s="209">
        <v>0</v>
      </c>
    </row>
    <row r="329" spans="1:34" x14ac:dyDescent="0.2">
      <c r="A329" s="4">
        <v>2895</v>
      </c>
      <c r="B329" s="4">
        <v>1</v>
      </c>
      <c r="C329" s="2" t="s">
        <v>1132</v>
      </c>
      <c r="D329" s="183">
        <v>31785.02</v>
      </c>
      <c r="E329" s="183">
        <v>5140.7300000000005</v>
      </c>
      <c r="F329" s="183">
        <v>60319.83</v>
      </c>
      <c r="G329" s="183">
        <v>0</v>
      </c>
      <c r="H329" s="3">
        <f t="shared" si="17"/>
        <v>97245.58</v>
      </c>
      <c r="J329" s="209">
        <v>0</v>
      </c>
      <c r="K329" s="209">
        <v>0</v>
      </c>
      <c r="L329" s="209">
        <v>0</v>
      </c>
      <c r="M329" s="209">
        <v>0</v>
      </c>
      <c r="N329" s="209">
        <f t="shared" ref="N329:N339" si="18">SUM(J329:M329)</f>
        <v>0</v>
      </c>
      <c r="P329" s="4"/>
      <c r="Q329" s="4"/>
      <c r="Y329" s="2">
        <f t="shared" ref="Y329:Y339" si="19">Z329-A329</f>
        <v>0</v>
      </c>
      <c r="Z329" s="4">
        <v>2895</v>
      </c>
      <c r="AA329" s="4">
        <v>1</v>
      </c>
      <c r="AB329" s="2" t="s">
        <v>1132</v>
      </c>
      <c r="AC329" s="209">
        <v>0</v>
      </c>
      <c r="AD329" s="209">
        <v>97245.58</v>
      </c>
      <c r="AE329" s="209">
        <v>31785.02</v>
      </c>
      <c r="AF329" s="209">
        <v>5140.7300000000005</v>
      </c>
      <c r="AG329" s="209">
        <v>60319.83</v>
      </c>
      <c r="AH329" s="209">
        <v>0</v>
      </c>
    </row>
    <row r="330" spans="1:34" x14ac:dyDescent="0.2">
      <c r="A330" s="4">
        <v>2897</v>
      </c>
      <c r="B330" s="4">
        <v>1</v>
      </c>
      <c r="C330" s="2" t="s">
        <v>1131</v>
      </c>
      <c r="D330" s="183">
        <v>14884.4</v>
      </c>
      <c r="E330" s="183">
        <v>3356.9700000000003</v>
      </c>
      <c r="F330" s="183">
        <v>24706.339999999997</v>
      </c>
      <c r="G330" s="183">
        <v>0</v>
      </c>
      <c r="H330" s="3">
        <f t="shared" ref="H330:H339" si="20">SUM(D330:G330)</f>
        <v>42947.709999999992</v>
      </c>
      <c r="J330" s="209">
        <v>0</v>
      </c>
      <c r="K330" s="209">
        <v>0</v>
      </c>
      <c r="L330" s="209">
        <v>0</v>
      </c>
      <c r="M330" s="209">
        <v>0</v>
      </c>
      <c r="N330" s="209">
        <f t="shared" si="18"/>
        <v>0</v>
      </c>
      <c r="P330" s="4"/>
      <c r="Q330" s="4"/>
      <c r="Y330" s="2">
        <f t="shared" si="19"/>
        <v>0</v>
      </c>
      <c r="Z330" s="4">
        <v>2897</v>
      </c>
      <c r="AA330" s="4">
        <v>1</v>
      </c>
      <c r="AB330" s="2" t="s">
        <v>1131</v>
      </c>
      <c r="AC330" s="209">
        <v>0</v>
      </c>
      <c r="AD330" s="209">
        <v>42947.710000000006</v>
      </c>
      <c r="AE330" s="209">
        <v>14884.4</v>
      </c>
      <c r="AF330" s="209">
        <v>3356.9700000000003</v>
      </c>
      <c r="AG330" s="209">
        <v>24706.339999999997</v>
      </c>
      <c r="AH330" s="209">
        <v>0</v>
      </c>
    </row>
    <row r="331" spans="1:34" x14ac:dyDescent="0.2">
      <c r="A331" s="4">
        <v>2898</v>
      </c>
      <c r="B331" s="4">
        <v>1</v>
      </c>
      <c r="C331" s="2" t="s">
        <v>1130</v>
      </c>
      <c r="D331" s="183">
        <v>10832.05</v>
      </c>
      <c r="E331" s="183">
        <v>2044.2099999999996</v>
      </c>
      <c r="F331" s="183">
        <v>0</v>
      </c>
      <c r="G331" s="183">
        <v>0</v>
      </c>
      <c r="H331" s="3">
        <f t="shared" si="20"/>
        <v>12876.259999999998</v>
      </c>
      <c r="J331" s="209">
        <v>0</v>
      </c>
      <c r="K331" s="209">
        <v>0</v>
      </c>
      <c r="L331" s="209">
        <v>0</v>
      </c>
      <c r="M331" s="209">
        <v>0</v>
      </c>
      <c r="N331" s="209">
        <f t="shared" si="18"/>
        <v>0</v>
      </c>
      <c r="P331" s="4"/>
      <c r="Q331" s="4"/>
      <c r="Y331" s="2">
        <f t="shared" si="19"/>
        <v>0</v>
      </c>
      <c r="Z331" s="4">
        <v>2898</v>
      </c>
      <c r="AA331" s="4">
        <v>1</v>
      </c>
      <c r="AB331" s="2" t="s">
        <v>1130</v>
      </c>
      <c r="AC331" s="209">
        <v>0</v>
      </c>
      <c r="AD331" s="209">
        <v>12876.26</v>
      </c>
      <c r="AE331" s="209">
        <v>10832.05</v>
      </c>
      <c r="AF331" s="209">
        <v>2044.2099999999996</v>
      </c>
      <c r="AG331" s="209">
        <v>0</v>
      </c>
      <c r="AH331" s="209">
        <v>0</v>
      </c>
    </row>
    <row r="332" spans="1:34" x14ac:dyDescent="0.2">
      <c r="A332" s="4">
        <v>2899</v>
      </c>
      <c r="B332" s="4">
        <v>1</v>
      </c>
      <c r="C332" s="2" t="s">
        <v>1079</v>
      </c>
      <c r="D332" s="183">
        <v>11481.979999999998</v>
      </c>
      <c r="E332" s="183">
        <v>1372.18</v>
      </c>
      <c r="F332" s="183">
        <v>19745.449999999997</v>
      </c>
      <c r="G332" s="183">
        <v>0</v>
      </c>
      <c r="H332" s="3">
        <f t="shared" si="20"/>
        <v>32599.609999999993</v>
      </c>
      <c r="J332" s="209">
        <v>0</v>
      </c>
      <c r="K332" s="209">
        <v>0</v>
      </c>
      <c r="L332" s="209">
        <v>0</v>
      </c>
      <c r="M332" s="209">
        <v>0</v>
      </c>
      <c r="N332" s="209">
        <f t="shared" si="18"/>
        <v>0</v>
      </c>
      <c r="P332" s="4"/>
      <c r="Q332" s="4"/>
      <c r="Y332" s="2">
        <f t="shared" si="19"/>
        <v>0</v>
      </c>
      <c r="Z332" s="4">
        <v>2899</v>
      </c>
      <c r="AA332" s="4">
        <v>1</v>
      </c>
      <c r="AB332" s="2" t="s">
        <v>1079</v>
      </c>
      <c r="AC332" s="209">
        <v>0</v>
      </c>
      <c r="AD332" s="209">
        <v>32599.609999999997</v>
      </c>
      <c r="AE332" s="209">
        <v>11481.979999999998</v>
      </c>
      <c r="AF332" s="209">
        <v>1372.18</v>
      </c>
      <c r="AG332" s="209">
        <v>19745.449999999997</v>
      </c>
      <c r="AH332" s="209">
        <v>0</v>
      </c>
    </row>
    <row r="333" spans="1:34" x14ac:dyDescent="0.2">
      <c r="A333" s="4">
        <v>2902</v>
      </c>
      <c r="B333" s="4">
        <v>1</v>
      </c>
      <c r="C333" s="2" t="s">
        <v>493</v>
      </c>
      <c r="D333" s="183">
        <v>22775.559999999998</v>
      </c>
      <c r="E333" s="183">
        <v>2720.6299999999992</v>
      </c>
      <c r="F333" s="183">
        <v>4864.3</v>
      </c>
      <c r="G333" s="183">
        <v>0</v>
      </c>
      <c r="H333" s="3">
        <f t="shared" si="20"/>
        <v>30360.489999999994</v>
      </c>
      <c r="J333" s="209">
        <v>0</v>
      </c>
      <c r="K333" s="209">
        <v>0</v>
      </c>
      <c r="L333" s="209">
        <v>0</v>
      </c>
      <c r="M333" s="209">
        <v>0</v>
      </c>
      <c r="N333" s="209">
        <f t="shared" si="18"/>
        <v>0</v>
      </c>
      <c r="P333" s="4"/>
      <c r="Q333" s="4"/>
      <c r="Y333" s="2">
        <f t="shared" si="19"/>
        <v>0</v>
      </c>
      <c r="Z333" s="4">
        <v>2902</v>
      </c>
      <c r="AA333" s="4">
        <v>1</v>
      </c>
      <c r="AB333" s="2" t="s">
        <v>493</v>
      </c>
      <c r="AC333" s="209">
        <v>0</v>
      </c>
      <c r="AD333" s="209">
        <v>30360.489999999998</v>
      </c>
      <c r="AE333" s="209">
        <v>22775.559999999998</v>
      </c>
      <c r="AF333" s="209">
        <v>2720.6299999999992</v>
      </c>
      <c r="AG333" s="209">
        <v>4864.3</v>
      </c>
      <c r="AH333" s="209">
        <v>0</v>
      </c>
    </row>
    <row r="334" spans="1:34" x14ac:dyDescent="0.2">
      <c r="A334" s="4">
        <v>2903</v>
      </c>
      <c r="B334" s="4">
        <v>1</v>
      </c>
      <c r="C334" s="2" t="s">
        <v>633</v>
      </c>
      <c r="D334" s="183">
        <v>14029.92</v>
      </c>
      <c r="E334" s="183">
        <v>3270.1400000000003</v>
      </c>
      <c r="F334" s="183">
        <v>70793.87</v>
      </c>
      <c r="G334" s="183">
        <v>0</v>
      </c>
      <c r="H334" s="3">
        <f t="shared" si="20"/>
        <v>88093.93</v>
      </c>
      <c r="J334" s="209">
        <v>0</v>
      </c>
      <c r="K334" s="209">
        <v>0</v>
      </c>
      <c r="L334" s="209">
        <v>0</v>
      </c>
      <c r="M334" s="209">
        <v>0</v>
      </c>
      <c r="N334" s="209">
        <f t="shared" si="18"/>
        <v>0</v>
      </c>
      <c r="P334" s="4"/>
      <c r="Q334" s="4"/>
      <c r="Y334" s="2">
        <f t="shared" si="19"/>
        <v>0</v>
      </c>
      <c r="Z334" s="4">
        <v>2903</v>
      </c>
      <c r="AA334" s="4">
        <v>1</v>
      </c>
      <c r="AB334" s="2" t="s">
        <v>633</v>
      </c>
      <c r="AC334" s="209">
        <v>0</v>
      </c>
      <c r="AD334" s="209">
        <v>88093.93</v>
      </c>
      <c r="AE334" s="209">
        <v>14029.92</v>
      </c>
      <c r="AF334" s="209">
        <v>3270.1400000000003</v>
      </c>
      <c r="AG334" s="209">
        <v>70793.87</v>
      </c>
      <c r="AH334" s="209">
        <v>0</v>
      </c>
    </row>
    <row r="335" spans="1:34" x14ac:dyDescent="0.2">
      <c r="A335" s="4">
        <v>2904</v>
      </c>
      <c r="B335" s="4">
        <v>1</v>
      </c>
      <c r="C335" s="2" t="s">
        <v>634</v>
      </c>
      <c r="D335" s="183">
        <v>24313.610000000004</v>
      </c>
      <c r="E335" s="183">
        <v>2924.38</v>
      </c>
      <c r="F335" s="183">
        <v>10272.779999999999</v>
      </c>
      <c r="G335" s="183">
        <v>0</v>
      </c>
      <c r="H335" s="3">
        <f t="shared" si="20"/>
        <v>37510.770000000004</v>
      </c>
      <c r="J335" s="209">
        <v>0</v>
      </c>
      <c r="K335" s="209">
        <v>0</v>
      </c>
      <c r="L335" s="209">
        <v>0</v>
      </c>
      <c r="M335" s="209">
        <v>0</v>
      </c>
      <c r="N335" s="209">
        <f t="shared" si="18"/>
        <v>0</v>
      </c>
      <c r="P335" s="4"/>
      <c r="Q335" s="4"/>
      <c r="Y335" s="2">
        <f t="shared" si="19"/>
        <v>0</v>
      </c>
      <c r="Z335" s="4">
        <v>2904</v>
      </c>
      <c r="AA335" s="4">
        <v>1</v>
      </c>
      <c r="AB335" s="2" t="s">
        <v>634</v>
      </c>
      <c r="AC335" s="209">
        <v>0</v>
      </c>
      <c r="AD335" s="209">
        <v>37510.770000000004</v>
      </c>
      <c r="AE335" s="209">
        <v>24313.610000000004</v>
      </c>
      <c r="AF335" s="209">
        <v>2924.38</v>
      </c>
      <c r="AG335" s="209">
        <v>10272.779999999999</v>
      </c>
      <c r="AH335" s="209">
        <v>0</v>
      </c>
    </row>
    <row r="336" spans="1:34" x14ac:dyDescent="0.2">
      <c r="A336" s="4">
        <v>2905</v>
      </c>
      <c r="B336" s="4">
        <v>1</v>
      </c>
      <c r="C336" s="2" t="s">
        <v>1129</v>
      </c>
      <c r="D336" s="183">
        <v>22553.489999999998</v>
      </c>
      <c r="E336" s="183">
        <v>2713.68</v>
      </c>
      <c r="F336" s="183">
        <v>74037.709999999992</v>
      </c>
      <c r="G336" s="183">
        <v>0</v>
      </c>
      <c r="H336" s="3">
        <f t="shared" si="20"/>
        <v>99304.87999999999</v>
      </c>
      <c r="J336" s="209">
        <v>0</v>
      </c>
      <c r="K336" s="209">
        <v>0</v>
      </c>
      <c r="L336" s="209">
        <v>0</v>
      </c>
      <c r="M336" s="209">
        <v>0</v>
      </c>
      <c r="N336" s="209">
        <f t="shared" si="18"/>
        <v>0</v>
      </c>
      <c r="P336" s="4"/>
      <c r="Q336" s="4"/>
      <c r="Y336" s="2">
        <f t="shared" si="19"/>
        <v>0</v>
      </c>
      <c r="Z336" s="4">
        <v>2905</v>
      </c>
      <c r="AA336" s="4">
        <v>1</v>
      </c>
      <c r="AB336" s="2" t="s">
        <v>1129</v>
      </c>
      <c r="AC336" s="209">
        <v>0</v>
      </c>
      <c r="AD336" s="209">
        <v>99304.88</v>
      </c>
      <c r="AE336" s="209">
        <v>22553.489999999998</v>
      </c>
      <c r="AF336" s="209">
        <v>2713.68</v>
      </c>
      <c r="AG336" s="209">
        <v>74037.709999999992</v>
      </c>
      <c r="AH336" s="209">
        <v>0</v>
      </c>
    </row>
    <row r="337" spans="1:34" x14ac:dyDescent="0.2">
      <c r="A337" s="4">
        <v>2906</v>
      </c>
      <c r="B337" s="4">
        <v>1</v>
      </c>
      <c r="C337" s="2" t="s">
        <v>1085</v>
      </c>
      <c r="D337" s="183">
        <v>18391.150000000001</v>
      </c>
      <c r="E337" s="183">
        <v>1624.0700000000002</v>
      </c>
      <c r="F337" s="183">
        <v>10271.690000000002</v>
      </c>
      <c r="G337" s="183">
        <v>0</v>
      </c>
      <c r="H337" s="3">
        <f t="shared" si="20"/>
        <v>30286.910000000003</v>
      </c>
      <c r="J337" s="209">
        <v>0</v>
      </c>
      <c r="K337" s="209">
        <v>0</v>
      </c>
      <c r="L337" s="209">
        <v>0</v>
      </c>
      <c r="M337" s="209">
        <v>0</v>
      </c>
      <c r="N337" s="209">
        <f t="shared" si="18"/>
        <v>0</v>
      </c>
      <c r="P337" s="4"/>
      <c r="Q337" s="4"/>
      <c r="Y337" s="2">
        <f t="shared" si="19"/>
        <v>0</v>
      </c>
      <c r="Z337" s="4">
        <v>2906</v>
      </c>
      <c r="AA337" s="4">
        <v>1</v>
      </c>
      <c r="AB337" s="2" t="s">
        <v>1085</v>
      </c>
      <c r="AC337" s="209">
        <v>0</v>
      </c>
      <c r="AD337" s="209">
        <v>30286.910000000003</v>
      </c>
      <c r="AE337" s="209">
        <v>18391.150000000001</v>
      </c>
      <c r="AF337" s="209">
        <v>1624.0700000000002</v>
      </c>
      <c r="AG337" s="209">
        <v>10271.690000000002</v>
      </c>
      <c r="AH337" s="209">
        <v>0</v>
      </c>
    </row>
    <row r="338" spans="1:34" x14ac:dyDescent="0.2">
      <c r="A338" s="4">
        <v>2907</v>
      </c>
      <c r="B338" s="4">
        <v>1</v>
      </c>
      <c r="C338" s="2" t="s">
        <v>1127</v>
      </c>
      <c r="D338" s="183">
        <v>9757.2200000000012</v>
      </c>
      <c r="E338" s="183">
        <v>803.47</v>
      </c>
      <c r="F338" s="183">
        <v>0</v>
      </c>
      <c r="G338" s="183">
        <v>0</v>
      </c>
      <c r="H338" s="3">
        <f t="shared" si="20"/>
        <v>10560.69</v>
      </c>
      <c r="J338" s="209">
        <v>0</v>
      </c>
      <c r="K338" s="209">
        <v>0</v>
      </c>
      <c r="L338" s="209">
        <v>0</v>
      </c>
      <c r="M338" s="209">
        <v>0</v>
      </c>
      <c r="N338" s="209">
        <f t="shared" si="18"/>
        <v>0</v>
      </c>
      <c r="P338" s="4"/>
      <c r="Q338" s="4"/>
      <c r="Y338" s="2">
        <f t="shared" si="19"/>
        <v>0</v>
      </c>
      <c r="Z338" s="4">
        <v>2907</v>
      </c>
      <c r="AA338" s="4">
        <v>1</v>
      </c>
      <c r="AB338" s="2" t="s">
        <v>1127</v>
      </c>
      <c r="AC338" s="209">
        <v>0</v>
      </c>
      <c r="AD338" s="209">
        <v>10560.689999999999</v>
      </c>
      <c r="AE338" s="209">
        <v>9757.2200000000012</v>
      </c>
      <c r="AF338" s="209">
        <v>803.47</v>
      </c>
      <c r="AG338" s="209">
        <v>0</v>
      </c>
      <c r="AH338" s="209">
        <v>0</v>
      </c>
    </row>
    <row r="339" spans="1:34" x14ac:dyDescent="0.2">
      <c r="A339" s="4">
        <v>2908</v>
      </c>
      <c r="B339" s="4">
        <v>1</v>
      </c>
      <c r="C339" s="2" t="s">
        <v>1128</v>
      </c>
      <c r="D339" s="183">
        <v>6296.9600000000009</v>
      </c>
      <c r="E339" s="183">
        <v>838.98999999999978</v>
      </c>
      <c r="F339" s="183">
        <v>0</v>
      </c>
      <c r="G339" s="183">
        <v>0</v>
      </c>
      <c r="H339" s="3">
        <f t="shared" si="20"/>
        <v>7135.9500000000007</v>
      </c>
      <c r="J339" s="209">
        <v>0</v>
      </c>
      <c r="K339" s="209">
        <v>0</v>
      </c>
      <c r="L339" s="209">
        <v>0</v>
      </c>
      <c r="M339" s="209">
        <v>0</v>
      </c>
      <c r="N339" s="209">
        <f t="shared" si="18"/>
        <v>0</v>
      </c>
      <c r="P339" s="4"/>
      <c r="Q339" s="4"/>
      <c r="Y339" s="2">
        <f t="shared" si="19"/>
        <v>0</v>
      </c>
      <c r="Z339" s="4">
        <v>2908</v>
      </c>
      <c r="AA339" s="4">
        <v>1</v>
      </c>
      <c r="AB339" s="2" t="s">
        <v>1128</v>
      </c>
      <c r="AC339" s="209">
        <v>0</v>
      </c>
      <c r="AD339" s="209">
        <v>7135.9500000000007</v>
      </c>
      <c r="AE339" s="209">
        <v>6296.9600000000009</v>
      </c>
      <c r="AF339" s="209">
        <v>838.98999999999978</v>
      </c>
      <c r="AG339" s="209">
        <v>0</v>
      </c>
      <c r="AH339" s="209">
        <v>0</v>
      </c>
    </row>
    <row r="340" spans="1:34" x14ac:dyDescent="0.2">
      <c r="A340" s="159" t="s">
        <v>1241</v>
      </c>
    </row>
  </sheetData>
  <pageMargins left="0.75" right="0.75" top="1" bottom="1" header="0.5" footer="0.5"/>
  <pageSetup scale="27" fitToHeight="0" orientation="portrait" horizontalDpi="300" verticalDpi="300" r:id="rId1"/>
  <headerFooter alignWithMargins="0">
    <oddFooter>&amp;C&amp;P of &amp;N</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Q340"/>
  <sheetViews>
    <sheetView workbookViewId="0">
      <pane xSplit="3" ySplit="6" topLeftCell="D7" activePane="bottomRight" state="frozen"/>
      <selection pane="topRight" activeCell="D1" sqref="D1"/>
      <selection pane="bottomLeft" activeCell="A8" sqref="A8"/>
      <selection pane="bottomRight"/>
    </sheetView>
  </sheetViews>
  <sheetFormatPr defaultColWidth="9.33203125" defaultRowHeight="11.25" zeroHeight="1" x14ac:dyDescent="0.2"/>
  <cols>
    <col min="1" max="2" width="6.83203125" style="4" customWidth="1"/>
    <col min="3" max="3" width="20.83203125" style="2" customWidth="1"/>
    <col min="4" max="6" width="14.83203125" style="3" customWidth="1"/>
    <col min="7" max="7" width="19" style="3" customWidth="1"/>
    <col min="8" max="8" width="5.83203125" style="3" customWidth="1"/>
    <col min="9" max="11" width="14.83203125" style="3" customWidth="1"/>
    <col min="12" max="12" width="18.83203125" style="3" customWidth="1"/>
    <col min="13" max="13" width="11.5" style="3" customWidth="1"/>
    <col min="14" max="14" width="15.1640625" style="3" customWidth="1"/>
    <col min="15" max="15" width="16.6640625" style="2" customWidth="1"/>
    <col min="16" max="16" width="14.83203125" style="2" customWidth="1"/>
    <col min="17" max="17" width="16.6640625" style="2" customWidth="1"/>
    <col min="18" max="16384" width="9.33203125" style="2"/>
  </cols>
  <sheetData>
    <row r="1" spans="1:17" s="3" customFormat="1" ht="19.5" x14ac:dyDescent="0.3">
      <c r="A1" s="246" t="str">
        <f>"Compare "&amp;Instructions!P1&amp;" Gross Shift to Tax Receipts"</f>
        <v>Compare Pay 2014 Gross Shift to Tax Receipts</v>
      </c>
      <c r="B1" s="17"/>
      <c r="L1" s="137">
        <f>Report!I1</f>
        <v>41828</v>
      </c>
      <c r="M1" s="137"/>
      <c r="N1" s="137"/>
    </row>
    <row r="2" spans="1:17" s="3" customFormat="1" ht="46.5" customHeight="1" x14ac:dyDescent="0.2">
      <c r="A2" s="17" t="s">
        <v>458</v>
      </c>
      <c r="B2" s="139">
        <f>'Shift 14'!B2</f>
        <v>0</v>
      </c>
      <c r="D2" s="197" t="s">
        <v>459</v>
      </c>
      <c r="E2" s="198"/>
      <c r="F2" s="198"/>
      <c r="G2" s="198"/>
      <c r="I2" s="197" t="s">
        <v>498</v>
      </c>
      <c r="J2" s="198"/>
      <c r="K2" s="198"/>
      <c r="L2" s="198"/>
      <c r="M2" s="149"/>
      <c r="N2" s="201" t="s">
        <v>1236</v>
      </c>
      <c r="O2" s="199" t="str">
        <f>Instructions!P1&amp;" General + Comm Service Levies"</f>
        <v>Pay 2014 General + Comm Service Levies</v>
      </c>
      <c r="P2" s="200"/>
      <c r="Q2" s="200"/>
    </row>
    <row r="3" spans="1:17" s="7" customFormat="1" ht="55.5" customHeight="1" x14ac:dyDescent="0.2">
      <c r="A3" s="5"/>
      <c r="B3" s="5"/>
      <c r="D3" s="8" t="s">
        <v>491</v>
      </c>
      <c r="E3" s="8" t="str">
        <f>"Est Tax Receipts
May-July "&amp;Instructions!O1</f>
        <v>Est Tax Receipts
May-July 2014</v>
      </c>
      <c r="F3" s="8" t="s">
        <v>485</v>
      </c>
      <c r="G3" s="8" t="s">
        <v>607</v>
      </c>
      <c r="H3" s="8"/>
      <c r="I3" s="8" t="s">
        <v>491</v>
      </c>
      <c r="J3" s="8" t="str">
        <f>"Est Tax Receipts
May-July "&amp;Instructions!O1</f>
        <v>Est Tax Receipts
May-July 2014</v>
      </c>
      <c r="K3" s="8" t="s">
        <v>485</v>
      </c>
      <c r="L3" s="8" t="s">
        <v>607</v>
      </c>
      <c r="M3" s="8"/>
      <c r="N3" s="188"/>
      <c r="O3" s="151" t="s">
        <v>650</v>
      </c>
      <c r="P3" s="151" t="s">
        <v>651</v>
      </c>
      <c r="Q3" s="151" t="s">
        <v>652</v>
      </c>
    </row>
    <row r="4" spans="1:17" x14ac:dyDescent="0.2"/>
    <row r="5" spans="1:17" x14ac:dyDescent="0.2">
      <c r="C5" s="2" t="s">
        <v>340</v>
      </c>
      <c r="D5" s="3">
        <f>SUM(D7:D338)</f>
        <v>171122381.69000003</v>
      </c>
      <c r="E5" s="3">
        <f>SUM(E7:E338)</f>
        <v>702201280.43999994</v>
      </c>
      <c r="F5" s="3">
        <f>SUM(F7:F338)</f>
        <v>652437.24</v>
      </c>
      <c r="G5" s="3">
        <f>SUM(G7:G338)</f>
        <v>170509305.90000007</v>
      </c>
      <c r="I5" s="3">
        <f>SUM(I7:I338)</f>
        <v>0</v>
      </c>
      <c r="J5" s="3">
        <f>SUM(J7:J338)</f>
        <v>37039212.379999951</v>
      </c>
      <c r="K5" s="3">
        <f>SUM(K7:K338)</f>
        <v>0</v>
      </c>
      <c r="L5" s="3">
        <f>SUM(L7:L338)</f>
        <v>0</v>
      </c>
      <c r="N5" s="3">
        <f>SUM(N7:N338)</f>
        <v>170509305.90000007</v>
      </c>
      <c r="O5" s="3">
        <f>SUM(O7:O338)</f>
        <v>1484241305.1899998</v>
      </c>
      <c r="P5" s="3">
        <f>SUM(P7:P338)</f>
        <v>5762477.8000000063</v>
      </c>
      <c r="Q5" s="3">
        <f>SUM(Q7:Q338)</f>
        <v>1478478827.3899999</v>
      </c>
    </row>
    <row r="6" spans="1:17" x14ac:dyDescent="0.2"/>
    <row r="7" spans="1:17" x14ac:dyDescent="0.2">
      <c r="A7" s="4">
        <v>1</v>
      </c>
      <c r="B7" s="4">
        <v>1</v>
      </c>
      <c r="C7" s="2" t="s">
        <v>5</v>
      </c>
      <c r="D7" s="3">
        <f>SUM('Shift 14'!D6:L6)</f>
        <v>178003.41</v>
      </c>
      <c r="E7" s="3">
        <f>ROUND(MAX(0,(Levy!Q9+Data!D8+Data!E8-Levy!U9)*0.5),2)</f>
        <v>424563.77</v>
      </c>
      <c r="F7" s="3">
        <f>IF(D7&gt;E7,D7-E7,0)</f>
        <v>0</v>
      </c>
      <c r="G7" s="3">
        <f>MAX(0,MIN(D7,E7))</f>
        <v>178003.41</v>
      </c>
      <c r="I7" s="3">
        <f>SUM('Shift 14'!M6:N6)</f>
        <v>0</v>
      </c>
      <c r="J7" s="3">
        <f>ROUND(MAX(0,(Levy!R9-Levy!V9)*0.5),2)</f>
        <v>0</v>
      </c>
      <c r="K7" s="3">
        <f>IF(I7&gt;J7,I7-J7,0)</f>
        <v>0</v>
      </c>
      <c r="L7" s="3">
        <f>MAX(0,MIN(I7,J7))</f>
        <v>0</v>
      </c>
      <c r="N7" s="3">
        <f>G7+L7</f>
        <v>178003.41</v>
      </c>
      <c r="O7" s="2">
        <f>SUM(Levy!F9:J9)</f>
        <v>889098</v>
      </c>
      <c r="P7" s="2">
        <f>SUM(Levy!U9:V9)</f>
        <v>42125.599999999999</v>
      </c>
      <c r="Q7" s="2">
        <f>O7-P7</f>
        <v>846972.4</v>
      </c>
    </row>
    <row r="8" spans="1:17" x14ac:dyDescent="0.2">
      <c r="A8" s="4">
        <v>1.2</v>
      </c>
      <c r="B8" s="4">
        <v>3</v>
      </c>
      <c r="C8" s="2" t="s">
        <v>6</v>
      </c>
      <c r="D8" s="3">
        <f>SUM('Shift 14'!D7:L7)</f>
        <v>25554575.09</v>
      </c>
      <c r="E8" s="3">
        <f>ROUND(MAX(0,(Levy!Q10+Data!D9+Data!E9-Levy!U10)*0.5),2)</f>
        <v>57703013.259999998</v>
      </c>
      <c r="F8" s="3">
        <f>IF(D8&gt;E8,D8-E8,0)</f>
        <v>0</v>
      </c>
      <c r="G8" s="3">
        <f t="shared" ref="G8:G70" si="0">MAX(0,MIN(D8,E8))</f>
        <v>25554575.09</v>
      </c>
      <c r="I8" s="3">
        <f>SUM('Shift 14'!M7:N7)</f>
        <v>0</v>
      </c>
      <c r="J8" s="3">
        <f>ROUND(MAX(0,(Levy!R10-Levy!V10)*0.5),2)</f>
        <v>2468015.83</v>
      </c>
      <c r="K8" s="3">
        <f t="shared" ref="K8:K70" si="1">IF(I8&gt;J8,I8-J8,0)</f>
        <v>0</v>
      </c>
      <c r="L8" s="3">
        <f t="shared" ref="L8:L70" si="2">MAX(0,MIN(I8,J8))</f>
        <v>0</v>
      </c>
      <c r="N8" s="3">
        <f t="shared" ref="N8:N71" si="3">G8+L8</f>
        <v>25554575.09</v>
      </c>
      <c r="O8" s="2">
        <f>SUM(Levy!F10:J10)</f>
        <v>120543719.50999999</v>
      </c>
      <c r="P8" s="2">
        <f>SUM(Levy!U10:V10)</f>
        <v>201661.34000000003</v>
      </c>
      <c r="Q8" s="2">
        <f t="shared" ref="Q8:Q71" si="4">O8-P8</f>
        <v>120342058.16999999</v>
      </c>
    </row>
    <row r="9" spans="1:17" x14ac:dyDescent="0.2">
      <c r="A9" s="4">
        <v>2</v>
      </c>
      <c r="B9" s="4">
        <v>1</v>
      </c>
      <c r="C9" s="2" t="s">
        <v>7</v>
      </c>
      <c r="D9" s="3">
        <f>SUM('Shift 14'!D8:L8)</f>
        <v>-19946.370000000003</v>
      </c>
      <c r="E9" s="3">
        <f>ROUND(MAX(0,(Levy!Q11+Data!D10+Data!E10-Levy!U11)*0.5),2)</f>
        <v>57123.89</v>
      </c>
      <c r="F9" s="3">
        <f t="shared" ref="F9:F70" si="5">IF(D9&gt;E9,D9-E9,0)</f>
        <v>0</v>
      </c>
      <c r="G9" s="3">
        <f t="shared" si="0"/>
        <v>0</v>
      </c>
      <c r="I9" s="3">
        <f>SUM('Shift 14'!M8:N8)</f>
        <v>0</v>
      </c>
      <c r="J9" s="3">
        <f>ROUND(MAX(0,(Levy!R11-Levy!V11)*0.5),2)</f>
        <v>8935.24</v>
      </c>
      <c r="K9" s="3">
        <f t="shared" si="1"/>
        <v>0</v>
      </c>
      <c r="L9" s="3">
        <f t="shared" si="2"/>
        <v>0</v>
      </c>
      <c r="N9" s="3">
        <f t="shared" si="3"/>
        <v>0</v>
      </c>
      <c r="O9" s="2">
        <f>SUM(Levy!F11:J11)</f>
        <v>135076</v>
      </c>
      <c r="P9" s="2">
        <f>SUM(Levy!U11:V11)</f>
        <v>2957.75</v>
      </c>
      <c r="Q9" s="2">
        <f t="shared" si="4"/>
        <v>132118.25</v>
      </c>
    </row>
    <row r="10" spans="1:17" x14ac:dyDescent="0.2">
      <c r="A10" s="4">
        <v>4</v>
      </c>
      <c r="B10" s="4">
        <v>1</v>
      </c>
      <c r="C10" s="2" t="s">
        <v>8</v>
      </c>
      <c r="D10" s="3">
        <f>SUM('Shift 14'!D9:L9)</f>
        <v>77844.98</v>
      </c>
      <c r="E10" s="3">
        <f>ROUND(MAX(0,(Levy!Q12+Data!D11+Data!E11-Levy!U12)*0.5),2)</f>
        <v>208299.8</v>
      </c>
      <c r="F10" s="3">
        <f t="shared" si="5"/>
        <v>0</v>
      </c>
      <c r="G10" s="3">
        <f t="shared" si="0"/>
        <v>77844.98</v>
      </c>
      <c r="I10" s="3">
        <f>SUM('Shift 14'!M9:N9)</f>
        <v>0</v>
      </c>
      <c r="J10" s="3">
        <f>ROUND(MAX(0,(Levy!R12-Levy!V12)*0.5),2)</f>
        <v>26152.34</v>
      </c>
      <c r="K10" s="3">
        <f t="shared" si="1"/>
        <v>0</v>
      </c>
      <c r="L10" s="3">
        <f t="shared" si="2"/>
        <v>0</v>
      </c>
      <c r="N10" s="3">
        <f t="shared" si="3"/>
        <v>77844.98</v>
      </c>
      <c r="O10" s="2">
        <f>SUM(Levy!F12:J12)</f>
        <v>474000</v>
      </c>
      <c r="P10" s="2">
        <f>SUM(Levy!U12:V12)</f>
        <v>5095.7299999999996</v>
      </c>
      <c r="Q10" s="2">
        <f t="shared" si="4"/>
        <v>468904.27</v>
      </c>
    </row>
    <row r="11" spans="1:17" x14ac:dyDescent="0.2">
      <c r="A11" s="4">
        <v>6</v>
      </c>
      <c r="B11" s="4">
        <v>3</v>
      </c>
      <c r="C11" s="2" t="s">
        <v>9</v>
      </c>
      <c r="D11" s="3">
        <f>SUM('Shift 14'!D10:L10)</f>
        <v>412070.86000000004</v>
      </c>
      <c r="E11" s="3">
        <f>ROUND(MAX(0,(Levy!Q13+Data!D12+Data!E12-Levy!U13)*0.5),2)</f>
        <v>2679088</v>
      </c>
      <c r="F11" s="3">
        <f t="shared" si="5"/>
        <v>0</v>
      </c>
      <c r="G11" s="3">
        <f t="shared" si="0"/>
        <v>412070.86000000004</v>
      </c>
      <c r="I11" s="3">
        <f>SUM('Shift 14'!M10:N10)</f>
        <v>0</v>
      </c>
      <c r="J11" s="3">
        <f>ROUND(MAX(0,(Levy!R13-Levy!V13)*0.5),2)</f>
        <v>156794.5</v>
      </c>
      <c r="K11" s="3">
        <f t="shared" si="1"/>
        <v>0</v>
      </c>
      <c r="L11" s="3">
        <f t="shared" si="2"/>
        <v>0</v>
      </c>
      <c r="N11" s="3">
        <f t="shared" si="3"/>
        <v>412070.86000000004</v>
      </c>
      <c r="O11" s="2">
        <f>SUM(Levy!F13:J13)</f>
        <v>5671765</v>
      </c>
      <c r="P11" s="2">
        <f>SUM(Levy!U13:V13)</f>
        <v>0</v>
      </c>
      <c r="Q11" s="2">
        <f t="shared" si="4"/>
        <v>5671765</v>
      </c>
    </row>
    <row r="12" spans="1:17" x14ac:dyDescent="0.2">
      <c r="A12" s="4">
        <v>11</v>
      </c>
      <c r="B12" s="4">
        <v>1</v>
      </c>
      <c r="C12" s="2" t="s">
        <v>10</v>
      </c>
      <c r="D12" s="3">
        <f>SUM('Shift 14'!D11:L11)</f>
        <v>4173596.89</v>
      </c>
      <c r="E12" s="3">
        <f>ROUND(MAX(0,(Levy!Q14+Data!D13+Data!E13-Levy!U14)*0.5),2)</f>
        <v>34288025.759999998</v>
      </c>
      <c r="F12" s="3">
        <f t="shared" si="5"/>
        <v>0</v>
      </c>
      <c r="G12" s="3">
        <f t="shared" si="0"/>
        <v>4173596.89</v>
      </c>
      <c r="I12" s="3">
        <f>SUM('Shift 14'!M11:N11)</f>
        <v>0</v>
      </c>
      <c r="J12" s="3">
        <f>ROUND(MAX(0,(Levy!R14-Levy!V14)*0.5),2)</f>
        <v>1542233</v>
      </c>
      <c r="K12" s="3">
        <f t="shared" si="1"/>
        <v>0</v>
      </c>
      <c r="L12" s="3">
        <f t="shared" si="2"/>
        <v>0</v>
      </c>
      <c r="N12" s="3">
        <f t="shared" si="3"/>
        <v>4173596.89</v>
      </c>
      <c r="O12" s="2">
        <f>SUM(Levy!F14:J14)</f>
        <v>71666348.50999999</v>
      </c>
      <c r="P12" s="2">
        <f>SUM(Levy!U14:V14)</f>
        <v>5830.9999999999991</v>
      </c>
      <c r="Q12" s="2">
        <f t="shared" si="4"/>
        <v>71660517.50999999</v>
      </c>
    </row>
    <row r="13" spans="1:17" x14ac:dyDescent="0.2">
      <c r="A13" s="4">
        <v>12</v>
      </c>
      <c r="B13" s="4">
        <v>1</v>
      </c>
      <c r="C13" s="2" t="s">
        <v>11</v>
      </c>
      <c r="D13" s="3">
        <f>SUM('Shift 14'!D12:L12)</f>
        <v>438499.7</v>
      </c>
      <c r="E13" s="3">
        <f>ROUND(MAX(0,(Levy!Q15+Data!D14+Data!E14-Levy!U15)*0.5),2)</f>
        <v>4912307.91</v>
      </c>
      <c r="F13" s="3">
        <f t="shared" si="5"/>
        <v>0</v>
      </c>
      <c r="G13" s="3">
        <f t="shared" si="0"/>
        <v>438499.7</v>
      </c>
      <c r="I13" s="3">
        <f>SUM('Shift 14'!M12:N12)</f>
        <v>0</v>
      </c>
      <c r="J13" s="3">
        <f>ROUND(MAX(0,(Levy!R15-Levy!V15)*0.5),2)</f>
        <v>206891.53</v>
      </c>
      <c r="K13" s="3">
        <f t="shared" si="1"/>
        <v>0</v>
      </c>
      <c r="L13" s="3">
        <f t="shared" si="2"/>
        <v>0</v>
      </c>
      <c r="N13" s="3">
        <f t="shared" si="3"/>
        <v>438499.7</v>
      </c>
      <c r="O13" s="2">
        <f>SUM(Levy!F15:J15)</f>
        <v>10239208.689999999</v>
      </c>
      <c r="P13" s="2">
        <f>SUM(Levy!U15:V15)</f>
        <v>809.82</v>
      </c>
      <c r="Q13" s="2">
        <f t="shared" si="4"/>
        <v>10238398.869999999</v>
      </c>
    </row>
    <row r="14" spans="1:17" x14ac:dyDescent="0.2">
      <c r="A14" s="4">
        <v>13</v>
      </c>
      <c r="B14" s="4">
        <v>1</v>
      </c>
      <c r="C14" s="2" t="s">
        <v>12</v>
      </c>
      <c r="D14" s="3">
        <f>SUM('Shift 14'!D13:L13)</f>
        <v>936471.35</v>
      </c>
      <c r="E14" s="3">
        <f>ROUND(MAX(0,(Levy!Q16+Data!D15+Data!E15-Levy!U16)*0.5),2)</f>
        <v>2398310.17</v>
      </c>
      <c r="F14" s="3">
        <f t="shared" si="5"/>
        <v>0</v>
      </c>
      <c r="G14" s="3">
        <f t="shared" si="0"/>
        <v>936471.35</v>
      </c>
      <c r="I14" s="3">
        <f>SUM('Shift 14'!M13:N13)</f>
        <v>0</v>
      </c>
      <c r="J14" s="3">
        <f>ROUND(MAX(0,(Levy!R16-Levy!V16)*0.5),2)</f>
        <v>202017.38</v>
      </c>
      <c r="K14" s="3">
        <f t="shared" si="1"/>
        <v>0</v>
      </c>
      <c r="L14" s="3">
        <f t="shared" si="2"/>
        <v>0</v>
      </c>
      <c r="N14" s="3">
        <f t="shared" si="3"/>
        <v>936471.35</v>
      </c>
      <c r="O14" s="2">
        <f>SUM(Levy!F16:J16)</f>
        <v>5200743.2</v>
      </c>
      <c r="P14" s="2">
        <f>SUM(Levy!U16:V16)</f>
        <v>88.110000000000014</v>
      </c>
      <c r="Q14" s="2">
        <f t="shared" si="4"/>
        <v>5200655.09</v>
      </c>
    </row>
    <row r="15" spans="1:17" x14ac:dyDescent="0.2">
      <c r="A15" s="4">
        <v>14</v>
      </c>
      <c r="B15" s="4">
        <v>1</v>
      </c>
      <c r="C15" s="2" t="s">
        <v>13</v>
      </c>
      <c r="D15" s="3">
        <f>SUM('Shift 14'!D14:L14)</f>
        <v>474976.16000000003</v>
      </c>
      <c r="E15" s="3">
        <f>ROUND(MAX(0,(Levy!Q17+Data!D16+Data!E16-Levy!U17)*0.5),2)</f>
        <v>2063399.56</v>
      </c>
      <c r="F15" s="3">
        <f t="shared" si="5"/>
        <v>0</v>
      </c>
      <c r="G15" s="3">
        <f t="shared" si="0"/>
        <v>474976.16000000003</v>
      </c>
      <c r="I15" s="3">
        <f>SUM('Shift 14'!M14:N14)</f>
        <v>0</v>
      </c>
      <c r="J15" s="3">
        <f>ROUND(MAX(0,(Levy!R17-Levy!V17)*0.5),2)</f>
        <v>160892.89000000001</v>
      </c>
      <c r="K15" s="3">
        <f t="shared" si="1"/>
        <v>0</v>
      </c>
      <c r="L15" s="3">
        <f t="shared" si="2"/>
        <v>0</v>
      </c>
      <c r="N15" s="3">
        <f t="shared" si="3"/>
        <v>474976.16000000003</v>
      </c>
      <c r="O15" s="2">
        <f>SUM(Levy!F17:J17)</f>
        <v>4448584.8800000008</v>
      </c>
      <c r="P15" s="2">
        <f>SUM(Levy!U17:V17)</f>
        <v>0</v>
      </c>
      <c r="Q15" s="2">
        <f t="shared" si="4"/>
        <v>4448584.8800000008</v>
      </c>
    </row>
    <row r="16" spans="1:17" x14ac:dyDescent="0.2">
      <c r="A16" s="4">
        <v>15</v>
      </c>
      <c r="B16" s="4">
        <v>1</v>
      </c>
      <c r="C16" s="2" t="s">
        <v>14</v>
      </c>
      <c r="D16" s="3">
        <f>SUM('Shift 14'!D15:L15)</f>
        <v>390023.85000000003</v>
      </c>
      <c r="E16" s="3">
        <f>ROUND(MAX(0,(Levy!Q18+Data!D17+Data!E17-Levy!U18)*0.5),2)</f>
        <v>2274938.77</v>
      </c>
      <c r="F16" s="3">
        <f t="shared" si="5"/>
        <v>0</v>
      </c>
      <c r="G16" s="3">
        <f t="shared" si="0"/>
        <v>390023.85000000003</v>
      </c>
      <c r="I16" s="3">
        <f>SUM('Shift 14'!M15:N15)</f>
        <v>0</v>
      </c>
      <c r="J16" s="3">
        <f>ROUND(MAX(0,(Levy!R18-Levy!V18)*0.5),2)</f>
        <v>176214.38</v>
      </c>
      <c r="K16" s="3">
        <f t="shared" si="1"/>
        <v>0</v>
      </c>
      <c r="L16" s="3">
        <f t="shared" si="2"/>
        <v>0</v>
      </c>
      <c r="N16" s="3">
        <f t="shared" si="3"/>
        <v>390023.85000000003</v>
      </c>
      <c r="O16" s="2">
        <f>SUM(Levy!F18:J18)</f>
        <v>4908455.25</v>
      </c>
      <c r="P16" s="2">
        <f>SUM(Levy!U18:V18)</f>
        <v>6148.96</v>
      </c>
      <c r="Q16" s="2">
        <f t="shared" si="4"/>
        <v>4902306.29</v>
      </c>
    </row>
    <row r="17" spans="1:17" x14ac:dyDescent="0.2">
      <c r="A17" s="4">
        <v>16</v>
      </c>
      <c r="B17" s="4">
        <v>1</v>
      </c>
      <c r="C17" s="2" t="s">
        <v>15</v>
      </c>
      <c r="D17" s="3">
        <f>SUM('Shift 14'!D16:L16)</f>
        <v>1071962.6700000002</v>
      </c>
      <c r="E17" s="3">
        <f>ROUND(MAX(0,(Levy!Q19+Data!D18+Data!E18-Levy!U19)*0.5),2)</f>
        <v>4841591.6399999997</v>
      </c>
      <c r="F17" s="3">
        <f t="shared" si="5"/>
        <v>0</v>
      </c>
      <c r="G17" s="3">
        <f t="shared" si="0"/>
        <v>1071962.6700000002</v>
      </c>
      <c r="I17" s="3">
        <f>SUM('Shift 14'!M16:N16)</f>
        <v>0</v>
      </c>
      <c r="J17" s="3">
        <f>ROUND(MAX(0,(Levy!R19-Levy!V19)*0.5),2)</f>
        <v>230706.49</v>
      </c>
      <c r="K17" s="3">
        <f t="shared" si="1"/>
        <v>0</v>
      </c>
      <c r="L17" s="3">
        <f t="shared" si="2"/>
        <v>0</v>
      </c>
      <c r="N17" s="3">
        <f t="shared" si="3"/>
        <v>1071962.6700000002</v>
      </c>
      <c r="O17" s="2">
        <f>SUM(Levy!F19:J19)</f>
        <v>10144596.250000002</v>
      </c>
      <c r="P17" s="2">
        <f>SUM(Levy!U19:V19)</f>
        <v>0</v>
      </c>
      <c r="Q17" s="2">
        <f t="shared" si="4"/>
        <v>10144596.250000002</v>
      </c>
    </row>
    <row r="18" spans="1:17" x14ac:dyDescent="0.2">
      <c r="A18" s="4">
        <v>22</v>
      </c>
      <c r="B18" s="4">
        <v>1</v>
      </c>
      <c r="C18" s="2" t="s">
        <v>16</v>
      </c>
      <c r="D18" s="3">
        <f>SUM('Shift 14'!D17:L17)</f>
        <v>216904.09999999998</v>
      </c>
      <c r="E18" s="3">
        <f>ROUND(MAX(0,(Levy!Q20+Data!D19+Data!E19-Levy!U20)*0.5),2)</f>
        <v>1370593.2</v>
      </c>
      <c r="F18" s="3">
        <f t="shared" si="5"/>
        <v>0</v>
      </c>
      <c r="G18" s="3">
        <f t="shared" si="0"/>
        <v>216904.09999999998</v>
      </c>
      <c r="I18" s="3">
        <f>SUM('Shift 14'!M17:N17)</f>
        <v>0</v>
      </c>
      <c r="J18" s="3">
        <f>ROUND(MAX(0,(Levy!R20-Levy!V20)*0.5),2)</f>
        <v>106636.18</v>
      </c>
      <c r="K18" s="3">
        <f t="shared" si="1"/>
        <v>0</v>
      </c>
      <c r="L18" s="3">
        <f t="shared" si="2"/>
        <v>0</v>
      </c>
      <c r="N18" s="3">
        <f t="shared" si="3"/>
        <v>216904.09999999998</v>
      </c>
      <c r="O18" s="2">
        <f>SUM(Levy!F20:J20)</f>
        <v>2963164.44</v>
      </c>
      <c r="P18" s="2">
        <f>SUM(Levy!U20:V20)</f>
        <v>8705.6900000000023</v>
      </c>
      <c r="Q18" s="2">
        <f t="shared" si="4"/>
        <v>2954458.75</v>
      </c>
    </row>
    <row r="19" spans="1:17" x14ac:dyDescent="0.2">
      <c r="A19" s="4">
        <v>23</v>
      </c>
      <c r="B19" s="4">
        <v>1</v>
      </c>
      <c r="C19" s="2" t="s">
        <v>17</v>
      </c>
      <c r="D19" s="3">
        <f>SUM('Shift 14'!D18:L18)</f>
        <v>29658.190000000002</v>
      </c>
      <c r="E19" s="3">
        <f>ROUND(MAX(0,(Levy!Q21+Data!D20+Data!E20-Levy!U21)*0.5),2)</f>
        <v>463780.45</v>
      </c>
      <c r="F19" s="3">
        <f t="shared" si="5"/>
        <v>0</v>
      </c>
      <c r="G19" s="3">
        <f t="shared" si="0"/>
        <v>29658.190000000002</v>
      </c>
      <c r="I19" s="3">
        <f>SUM('Shift 14'!M18:N18)</f>
        <v>0</v>
      </c>
      <c r="J19" s="3">
        <f>ROUND(MAX(0,(Levy!R21-Levy!V21)*0.5),2)</f>
        <v>36776.32</v>
      </c>
      <c r="K19" s="3">
        <f t="shared" si="1"/>
        <v>0</v>
      </c>
      <c r="L19" s="3">
        <f t="shared" si="2"/>
        <v>0</v>
      </c>
      <c r="N19" s="3">
        <f t="shared" si="3"/>
        <v>29658.190000000002</v>
      </c>
      <c r="O19" s="2">
        <f>SUM(Levy!F21:J21)</f>
        <v>1008849.27</v>
      </c>
      <c r="P19" s="2">
        <f>SUM(Levy!U21:V21)</f>
        <v>7735.739999999998</v>
      </c>
      <c r="Q19" s="2">
        <f t="shared" si="4"/>
        <v>1001113.53</v>
      </c>
    </row>
    <row r="20" spans="1:17" x14ac:dyDescent="0.2">
      <c r="A20" s="4">
        <v>25</v>
      </c>
      <c r="B20" s="4">
        <v>1</v>
      </c>
      <c r="C20" s="2" t="s">
        <v>341</v>
      </c>
      <c r="D20" s="3">
        <f>SUM('Shift 14'!D19:L19)</f>
        <v>0</v>
      </c>
      <c r="E20" s="3">
        <f>ROUND(MAX(0,(Levy!Q22+Data!D21+Data!E21-Levy!U22)*0.5),2)</f>
        <v>0</v>
      </c>
      <c r="F20" s="3">
        <f t="shared" si="5"/>
        <v>0</v>
      </c>
      <c r="G20" s="3">
        <f t="shared" si="0"/>
        <v>0</v>
      </c>
      <c r="I20" s="3">
        <f>SUM('Shift 14'!M19:N19)</f>
        <v>0</v>
      </c>
      <c r="J20" s="3">
        <f>ROUND(MAX(0,(Levy!R22-Levy!V22)*0.5),2)</f>
        <v>0</v>
      </c>
      <c r="K20" s="3">
        <f t="shared" si="1"/>
        <v>0</v>
      </c>
      <c r="L20" s="3">
        <f t="shared" si="2"/>
        <v>0</v>
      </c>
      <c r="N20" s="3">
        <f t="shared" si="3"/>
        <v>0</v>
      </c>
      <c r="O20" s="2">
        <f>SUM(Levy!F22:J22)</f>
        <v>0</v>
      </c>
      <c r="P20" s="2">
        <f>SUM(Levy!U22:V22)</f>
        <v>0</v>
      </c>
      <c r="Q20" s="2">
        <f t="shared" si="4"/>
        <v>0</v>
      </c>
    </row>
    <row r="21" spans="1:17" x14ac:dyDescent="0.2">
      <c r="A21" s="4">
        <v>31</v>
      </c>
      <c r="B21" s="4">
        <v>1</v>
      </c>
      <c r="C21" s="2" t="s">
        <v>18</v>
      </c>
      <c r="D21" s="3">
        <f>SUM('Shift 14'!D20:L20)</f>
        <v>309696.05</v>
      </c>
      <c r="E21" s="3">
        <f>ROUND(MAX(0,(Levy!Q23+Data!D22+Data!E22-Levy!U23)*0.5),2)</f>
        <v>2083344.33</v>
      </c>
      <c r="F21" s="3">
        <f t="shared" si="5"/>
        <v>0</v>
      </c>
      <c r="G21" s="3">
        <f t="shared" si="0"/>
        <v>309696.05</v>
      </c>
      <c r="I21" s="3">
        <f>SUM('Shift 14'!M20:N20)</f>
        <v>0</v>
      </c>
      <c r="J21" s="3">
        <f>ROUND(MAX(0,(Levy!R23-Levy!V23)*0.5),2)</f>
        <v>194686.52</v>
      </c>
      <c r="K21" s="3">
        <f t="shared" si="1"/>
        <v>0</v>
      </c>
      <c r="L21" s="3">
        <f t="shared" si="2"/>
        <v>0</v>
      </c>
      <c r="N21" s="3">
        <f>G21+L21</f>
        <v>309696.05</v>
      </c>
      <c r="O21" s="2">
        <f>SUM(Levy!F23:J23)</f>
        <v>4572764.41</v>
      </c>
      <c r="P21" s="2">
        <f>SUM(Levy!U23:V23)</f>
        <v>16702.72</v>
      </c>
      <c r="Q21" s="2">
        <f t="shared" si="4"/>
        <v>4556061.6900000004</v>
      </c>
    </row>
    <row r="22" spans="1:17" x14ac:dyDescent="0.2">
      <c r="A22" s="4">
        <v>32</v>
      </c>
      <c r="B22" s="4">
        <v>1</v>
      </c>
      <c r="C22" s="2" t="s">
        <v>19</v>
      </c>
      <c r="D22" s="3">
        <f>SUM('Shift 14'!D21:L21)</f>
        <v>28331.829999999998</v>
      </c>
      <c r="E22" s="3">
        <f>ROUND(MAX(0,(Levy!Q24+Data!D23+Data!E23-Levy!U24)*0.5),2)</f>
        <v>163792.59</v>
      </c>
      <c r="F22" s="3">
        <f t="shared" si="5"/>
        <v>0</v>
      </c>
      <c r="G22" s="3">
        <f t="shared" si="0"/>
        <v>28331.829999999998</v>
      </c>
      <c r="I22" s="3">
        <f>SUM('Shift 14'!M21:N21)</f>
        <v>0</v>
      </c>
      <c r="J22" s="3">
        <f>ROUND(MAX(0,(Levy!R24-Levy!V24)*0.5),2)</f>
        <v>14772.33</v>
      </c>
      <c r="K22" s="3">
        <f t="shared" si="1"/>
        <v>0</v>
      </c>
      <c r="L22" s="3">
        <f t="shared" si="2"/>
        <v>0</v>
      </c>
      <c r="N22" s="3">
        <f t="shared" si="3"/>
        <v>28331.829999999998</v>
      </c>
      <c r="O22" s="2">
        <f>SUM(Levy!F24:J24)</f>
        <v>366467.61</v>
      </c>
      <c r="P22" s="2">
        <f>SUM(Levy!U24:V24)</f>
        <v>9337.77</v>
      </c>
      <c r="Q22" s="2">
        <f t="shared" si="4"/>
        <v>357129.83999999997</v>
      </c>
    </row>
    <row r="23" spans="1:17" x14ac:dyDescent="0.2">
      <c r="A23" s="4">
        <v>36</v>
      </c>
      <c r="B23" s="4">
        <v>1</v>
      </c>
      <c r="C23" s="2" t="s">
        <v>20</v>
      </c>
      <c r="D23" s="3">
        <f>SUM('Shift 14'!D22:L22)</f>
        <v>0</v>
      </c>
      <c r="E23" s="3">
        <f>ROUND(MAX(0,(Levy!Q25+Data!D24+Data!E24-Levy!U25)*0.5),2)</f>
        <v>30453.4</v>
      </c>
      <c r="F23" s="3">
        <f t="shared" si="5"/>
        <v>0</v>
      </c>
      <c r="G23" s="3">
        <f t="shared" si="0"/>
        <v>0</v>
      </c>
      <c r="I23" s="3">
        <f>SUM('Shift 14'!M22:N22)</f>
        <v>0</v>
      </c>
      <c r="J23" s="3">
        <f>ROUND(MAX(0,(Levy!R25-Levy!V25)*0.5),2)</f>
        <v>5599.04</v>
      </c>
      <c r="K23" s="3">
        <f t="shared" si="1"/>
        <v>0</v>
      </c>
      <c r="L23" s="3">
        <f t="shared" si="2"/>
        <v>0</v>
      </c>
      <c r="N23" s="3">
        <f t="shared" si="3"/>
        <v>0</v>
      </c>
      <c r="O23" s="2">
        <f>SUM(Levy!F25:J25)</f>
        <v>73068.14</v>
      </c>
      <c r="P23" s="2">
        <f>SUM(Levy!U25:V25)</f>
        <v>963.26999999999987</v>
      </c>
      <c r="Q23" s="2">
        <f t="shared" si="4"/>
        <v>72104.87</v>
      </c>
    </row>
    <row r="24" spans="1:17" x14ac:dyDescent="0.2">
      <c r="A24" s="4">
        <v>38</v>
      </c>
      <c r="B24" s="4">
        <v>1</v>
      </c>
      <c r="C24" s="2" t="s">
        <v>21</v>
      </c>
      <c r="D24" s="3">
        <f>SUM('Shift 14'!D23:L23)</f>
        <v>149.12</v>
      </c>
      <c r="E24" s="3">
        <f>ROUND(MAX(0,(Levy!Q26+Data!D25+Data!E25-Levy!U26)*0.5),2)</f>
        <v>2154.27</v>
      </c>
      <c r="F24" s="3">
        <f t="shared" si="5"/>
        <v>0</v>
      </c>
      <c r="G24" s="3">
        <f t="shared" si="0"/>
        <v>149.12</v>
      </c>
      <c r="I24" s="3">
        <f>SUM('Shift 14'!M23:N23)</f>
        <v>0</v>
      </c>
      <c r="J24" s="3">
        <f>ROUND(MAX(0,(Levy!R26-Levy!V26)*0.5),2)</f>
        <v>73.959999999999994</v>
      </c>
      <c r="K24" s="3">
        <f t="shared" si="1"/>
        <v>0</v>
      </c>
      <c r="L24" s="3">
        <f t="shared" si="2"/>
        <v>0</v>
      </c>
      <c r="N24" s="3">
        <f t="shared" si="3"/>
        <v>149.12</v>
      </c>
      <c r="O24" s="2">
        <f>SUM(Levy!F26:J26)</f>
        <v>4456.45</v>
      </c>
      <c r="P24" s="2">
        <f>SUM(Levy!U26:V26)</f>
        <v>0</v>
      </c>
      <c r="Q24" s="2">
        <f t="shared" si="4"/>
        <v>4456.45</v>
      </c>
    </row>
    <row r="25" spans="1:17" x14ac:dyDescent="0.2">
      <c r="A25" s="4">
        <v>47</v>
      </c>
      <c r="B25" s="4">
        <v>1</v>
      </c>
      <c r="C25" s="2" t="s">
        <v>22</v>
      </c>
      <c r="D25" s="3">
        <f>SUM('Shift 14'!D24:L24)</f>
        <v>180338.27</v>
      </c>
      <c r="E25" s="3">
        <f>ROUND(MAX(0,(Levy!Q27+Data!D26+Data!E26-Levy!U27)*0.5),2)</f>
        <v>1329215.3899999999</v>
      </c>
      <c r="F25" s="3">
        <f t="shared" si="5"/>
        <v>0</v>
      </c>
      <c r="G25" s="3">
        <f t="shared" si="0"/>
        <v>180338.27</v>
      </c>
      <c r="I25" s="3">
        <f>SUM('Shift 14'!M24:N24)</f>
        <v>0</v>
      </c>
      <c r="J25" s="3">
        <f>ROUND(MAX(0,(Levy!R27-Levy!V27)*0.5),2)</f>
        <v>104305.83</v>
      </c>
      <c r="K25" s="3">
        <f t="shared" si="1"/>
        <v>0</v>
      </c>
      <c r="L25" s="3">
        <f t="shared" si="2"/>
        <v>0</v>
      </c>
      <c r="N25" s="3">
        <f t="shared" si="3"/>
        <v>180338.27</v>
      </c>
      <c r="O25" s="2">
        <f>SUM(Levy!F27:J27)</f>
        <v>2873933.1900000004</v>
      </c>
      <c r="P25" s="2">
        <f>SUM(Levy!U27:V27)</f>
        <v>6890.7599999999993</v>
      </c>
      <c r="Q25" s="2">
        <f t="shared" si="4"/>
        <v>2867042.4300000006</v>
      </c>
    </row>
    <row r="26" spans="1:17" x14ac:dyDescent="0.2">
      <c r="A26" s="4">
        <v>51</v>
      </c>
      <c r="B26" s="4">
        <v>1</v>
      </c>
      <c r="C26" s="2" t="s">
        <v>23</v>
      </c>
      <c r="D26" s="3">
        <f>SUM('Shift 14'!D25:L25)</f>
        <v>87240.14</v>
      </c>
      <c r="E26" s="3">
        <f>ROUND(MAX(0,(Levy!Q28+Data!D27+Data!E27-Levy!U28)*0.5),2)</f>
        <v>340840.93</v>
      </c>
      <c r="F26" s="3">
        <f t="shared" si="5"/>
        <v>0</v>
      </c>
      <c r="G26" s="3">
        <f t="shared" si="0"/>
        <v>87240.14</v>
      </c>
      <c r="I26" s="3">
        <f>SUM('Shift 14'!M25:N25)</f>
        <v>0</v>
      </c>
      <c r="J26" s="3">
        <f>ROUND(MAX(0,(Levy!R28-Levy!V28)*0.5),2)</f>
        <v>42202.48</v>
      </c>
      <c r="K26" s="3">
        <f t="shared" si="1"/>
        <v>0</v>
      </c>
      <c r="L26" s="3">
        <f t="shared" si="2"/>
        <v>0</v>
      </c>
      <c r="N26" s="3">
        <f t="shared" si="3"/>
        <v>87240.14</v>
      </c>
      <c r="O26" s="2">
        <f>SUM(Levy!F28:J28)</f>
        <v>780248.46000000008</v>
      </c>
      <c r="P26" s="2">
        <f>SUM(Levy!U28:V28)</f>
        <v>14161.640000000001</v>
      </c>
      <c r="Q26" s="2">
        <f t="shared" si="4"/>
        <v>766086.82000000007</v>
      </c>
    </row>
    <row r="27" spans="1:17" x14ac:dyDescent="0.2">
      <c r="A27" s="4">
        <v>75</v>
      </c>
      <c r="B27" s="4">
        <v>1</v>
      </c>
      <c r="C27" s="2" t="s">
        <v>24</v>
      </c>
      <c r="D27" s="3">
        <f>SUM('Shift 14'!D26:L26)</f>
        <v>68132.970000000016</v>
      </c>
      <c r="E27" s="3">
        <f>ROUND(MAX(0,(Levy!Q29+Data!D28+Data!E28-Levy!U29)*0.5),2)</f>
        <v>245324.21</v>
      </c>
      <c r="F27" s="3">
        <f t="shared" si="5"/>
        <v>0</v>
      </c>
      <c r="G27" s="3">
        <f t="shared" si="0"/>
        <v>68132.970000000016</v>
      </c>
      <c r="I27" s="3">
        <f>SUM('Shift 14'!M26:N26)</f>
        <v>0</v>
      </c>
      <c r="J27" s="3">
        <f>ROUND(MAX(0,(Levy!R29-Levy!V29)*0.5),2)</f>
        <v>17009.64</v>
      </c>
      <c r="K27" s="3">
        <f t="shared" si="1"/>
        <v>0</v>
      </c>
      <c r="L27" s="3">
        <f t="shared" si="2"/>
        <v>0</v>
      </c>
      <c r="N27" s="3">
        <f t="shared" si="3"/>
        <v>68132.970000000016</v>
      </c>
      <c r="O27" s="2">
        <f>SUM(Levy!F29:J29)</f>
        <v>527543.59</v>
      </c>
      <c r="P27" s="2">
        <f>SUM(Levy!U29:V29)</f>
        <v>2875.9100000000008</v>
      </c>
      <c r="Q27" s="2">
        <f t="shared" si="4"/>
        <v>524667.67999999993</v>
      </c>
    </row>
    <row r="28" spans="1:17" x14ac:dyDescent="0.2">
      <c r="A28" s="4">
        <v>77</v>
      </c>
      <c r="B28" s="4">
        <v>1</v>
      </c>
      <c r="C28" s="2" t="s">
        <v>25</v>
      </c>
      <c r="D28" s="3">
        <f>SUM('Shift 14'!D27:L27)</f>
        <v>948295.33</v>
      </c>
      <c r="E28" s="3">
        <f>ROUND(MAX(0,(Levy!Q30+Data!D29+Data!E29-Levy!U30)*0.5),2)</f>
        <v>5317229.76</v>
      </c>
      <c r="F28" s="3">
        <f t="shared" si="5"/>
        <v>0</v>
      </c>
      <c r="G28" s="3">
        <f t="shared" si="0"/>
        <v>948295.33</v>
      </c>
      <c r="I28" s="3">
        <f>SUM('Shift 14'!M27:N27)</f>
        <v>0</v>
      </c>
      <c r="J28" s="3">
        <f>ROUND(MAX(0,(Levy!R30-Levy!V30)*0.5),2)</f>
        <v>430524.03</v>
      </c>
      <c r="K28" s="3">
        <f t="shared" si="1"/>
        <v>0</v>
      </c>
      <c r="L28" s="3">
        <f t="shared" si="2"/>
        <v>0</v>
      </c>
      <c r="N28" s="3">
        <f t="shared" si="3"/>
        <v>948295.33</v>
      </c>
      <c r="O28" s="2">
        <f>SUM(Levy!F30:J30)</f>
        <v>11519852.1</v>
      </c>
      <c r="P28" s="2">
        <f>SUM(Levy!U30:V30)</f>
        <v>24344.54</v>
      </c>
      <c r="Q28" s="2">
        <f t="shared" si="4"/>
        <v>11495507.560000001</v>
      </c>
    </row>
    <row r="29" spans="1:17" x14ac:dyDescent="0.2">
      <c r="A29" s="4">
        <v>81</v>
      </c>
      <c r="B29" s="4">
        <v>1</v>
      </c>
      <c r="C29" s="2" t="s">
        <v>26</v>
      </c>
      <c r="D29" s="3">
        <f>SUM('Shift 14'!D28:L28)</f>
        <v>81220.37</v>
      </c>
      <c r="E29" s="3">
        <f>ROUND(MAX(0,(Levy!Q31+Data!D30+Data!E30-Levy!U31)*0.5),2)</f>
        <v>172645.74</v>
      </c>
      <c r="F29" s="3">
        <f t="shared" si="5"/>
        <v>0</v>
      </c>
      <c r="G29" s="3">
        <f t="shared" si="0"/>
        <v>81220.37</v>
      </c>
      <c r="I29" s="3">
        <f>SUM('Shift 14'!M28:N28)</f>
        <v>0</v>
      </c>
      <c r="J29" s="3">
        <f>ROUND(MAX(0,(Levy!R31-Levy!V31)*0.5),2)</f>
        <v>12889.65</v>
      </c>
      <c r="K29" s="3">
        <f t="shared" si="1"/>
        <v>0</v>
      </c>
      <c r="L29" s="3">
        <f t="shared" si="2"/>
        <v>0</v>
      </c>
      <c r="N29" s="3">
        <f t="shared" si="3"/>
        <v>81220.37</v>
      </c>
      <c r="O29" s="2">
        <f>SUM(Levy!F31:J31)</f>
        <v>380584</v>
      </c>
      <c r="P29" s="2">
        <f>SUM(Levy!U31:V31)</f>
        <v>9513.23</v>
      </c>
      <c r="Q29" s="2">
        <f t="shared" si="4"/>
        <v>371070.77</v>
      </c>
    </row>
    <row r="30" spans="1:17" x14ac:dyDescent="0.2">
      <c r="A30" s="4">
        <v>84</v>
      </c>
      <c r="B30" s="4">
        <v>1</v>
      </c>
      <c r="C30" s="2" t="s">
        <v>27</v>
      </c>
      <c r="D30" s="3">
        <f>SUM('Shift 14'!D29:L29)</f>
        <v>90084.28</v>
      </c>
      <c r="E30" s="3">
        <f>ROUND(MAX(0,(Levy!Q32+Data!D31+Data!E31-Levy!U32)*0.5),2)</f>
        <v>232209.91</v>
      </c>
      <c r="F30" s="3">
        <f t="shared" si="5"/>
        <v>0</v>
      </c>
      <c r="G30" s="3">
        <f t="shared" si="0"/>
        <v>90084.28</v>
      </c>
      <c r="I30" s="3">
        <f>SUM('Shift 14'!M29:N29)</f>
        <v>0</v>
      </c>
      <c r="J30" s="3">
        <f>ROUND(MAX(0,(Levy!R32-Levy!V32)*0.5),2)</f>
        <v>36012.949999999997</v>
      </c>
      <c r="K30" s="3">
        <f t="shared" si="1"/>
        <v>0</v>
      </c>
      <c r="L30" s="3">
        <f t="shared" si="2"/>
        <v>0</v>
      </c>
      <c r="N30" s="3">
        <f t="shared" si="3"/>
        <v>90084.28</v>
      </c>
      <c r="O30" s="2">
        <f>SUM(Levy!F32:J32)</f>
        <v>548443</v>
      </c>
      <c r="P30" s="2">
        <f>SUM(Levy!U32:V32)</f>
        <v>11997.300000000001</v>
      </c>
      <c r="Q30" s="2">
        <f t="shared" si="4"/>
        <v>536445.69999999995</v>
      </c>
    </row>
    <row r="31" spans="1:17" x14ac:dyDescent="0.2">
      <c r="A31" s="4">
        <v>85</v>
      </c>
      <c r="B31" s="4">
        <v>1</v>
      </c>
      <c r="C31" s="2" t="s">
        <v>28</v>
      </c>
      <c r="D31" s="3">
        <f>SUM('Shift 14'!D30:L30)</f>
        <v>40831.53</v>
      </c>
      <c r="E31" s="3">
        <f>ROUND(MAX(0,(Levy!Q33+Data!D32+Data!E32-Levy!U33)*0.5),2)</f>
        <v>201735.99</v>
      </c>
      <c r="F31" s="3">
        <f t="shared" si="5"/>
        <v>0</v>
      </c>
      <c r="G31" s="3">
        <f t="shared" si="0"/>
        <v>40831.53</v>
      </c>
      <c r="I31" s="3">
        <f>SUM('Shift 14'!M30:N30)</f>
        <v>0</v>
      </c>
      <c r="J31" s="3">
        <f>ROUND(MAX(0,(Levy!R33-Levy!V33)*0.5),2)</f>
        <v>22777.599999999999</v>
      </c>
      <c r="K31" s="3">
        <f t="shared" si="1"/>
        <v>0</v>
      </c>
      <c r="L31" s="3">
        <f t="shared" si="2"/>
        <v>0</v>
      </c>
      <c r="N31" s="3">
        <f t="shared" si="3"/>
        <v>40831.53</v>
      </c>
      <c r="O31" s="2">
        <f>SUM(Levy!F33:J33)</f>
        <v>461090</v>
      </c>
      <c r="P31" s="2">
        <f>SUM(Levy!U33:V33)</f>
        <v>12062.829999999998</v>
      </c>
      <c r="Q31" s="2">
        <f t="shared" si="4"/>
        <v>449027.17</v>
      </c>
    </row>
    <row r="32" spans="1:17" x14ac:dyDescent="0.2">
      <c r="A32" s="4">
        <v>88</v>
      </c>
      <c r="B32" s="4">
        <v>1</v>
      </c>
      <c r="C32" s="2" t="s">
        <v>29</v>
      </c>
      <c r="D32" s="3">
        <f>SUM('Shift 14'!D31:L31)</f>
        <v>318273.63</v>
      </c>
      <c r="E32" s="3">
        <f>ROUND(MAX(0,(Levy!Q34+Data!D33+Data!E33-Levy!U34)*0.5),2)</f>
        <v>2178075.81</v>
      </c>
      <c r="F32" s="3">
        <f t="shared" si="5"/>
        <v>0</v>
      </c>
      <c r="G32" s="3">
        <f t="shared" si="0"/>
        <v>318273.63</v>
      </c>
      <c r="I32" s="3">
        <f>SUM('Shift 14'!M31:N31)</f>
        <v>0</v>
      </c>
      <c r="J32" s="3">
        <f>ROUND(MAX(0,(Levy!R34-Levy!V34)*0.5),2)</f>
        <v>113425.45</v>
      </c>
      <c r="K32" s="3">
        <f t="shared" si="1"/>
        <v>0</v>
      </c>
      <c r="L32" s="3">
        <f t="shared" si="2"/>
        <v>0</v>
      </c>
      <c r="N32" s="3">
        <f t="shared" si="3"/>
        <v>318273.63</v>
      </c>
      <c r="O32" s="2">
        <f>SUM(Levy!F34:J34)</f>
        <v>4615794.03</v>
      </c>
      <c r="P32" s="2">
        <f>SUM(Levy!U34:V34)</f>
        <v>32791.53</v>
      </c>
      <c r="Q32" s="2">
        <f t="shared" si="4"/>
        <v>4583002.5</v>
      </c>
    </row>
    <row r="33" spans="1:17" x14ac:dyDescent="0.2">
      <c r="A33" s="4">
        <v>91</v>
      </c>
      <c r="B33" s="4">
        <v>1</v>
      </c>
      <c r="C33" s="2" t="s">
        <v>30</v>
      </c>
      <c r="D33" s="3">
        <f>SUM('Shift 14'!D32:L32)</f>
        <v>27940.18</v>
      </c>
      <c r="E33" s="3">
        <f>ROUND(MAX(0,(Levy!Q35+Data!D34+Data!E34-Levy!U35)*0.5),2)</f>
        <v>199848.65</v>
      </c>
      <c r="F33" s="3">
        <f t="shared" si="5"/>
        <v>0</v>
      </c>
      <c r="G33" s="3">
        <f t="shared" si="0"/>
        <v>27940.18</v>
      </c>
      <c r="I33" s="3">
        <f>SUM('Shift 14'!M32:N32)</f>
        <v>0</v>
      </c>
      <c r="J33" s="3">
        <f>ROUND(MAX(0,(Levy!R35-Levy!V35)*0.5),2)</f>
        <v>24525.4</v>
      </c>
      <c r="K33" s="3">
        <f t="shared" si="1"/>
        <v>0</v>
      </c>
      <c r="L33" s="3">
        <f t="shared" si="2"/>
        <v>0</v>
      </c>
      <c r="N33" s="3">
        <f t="shared" si="3"/>
        <v>27940.18</v>
      </c>
      <c r="O33" s="2">
        <f>SUM(Levy!F35:J35)</f>
        <v>458760.28</v>
      </c>
      <c r="P33" s="2">
        <f>SUM(Levy!U35:V35)</f>
        <v>10012.200000000001</v>
      </c>
      <c r="Q33" s="2">
        <f t="shared" si="4"/>
        <v>448748.08</v>
      </c>
    </row>
    <row r="34" spans="1:17" x14ac:dyDescent="0.2">
      <c r="A34" s="4">
        <v>93</v>
      </c>
      <c r="B34" s="4">
        <v>1</v>
      </c>
      <c r="C34" s="2" t="s">
        <v>31</v>
      </c>
      <c r="D34" s="3">
        <f>SUM('Shift 14'!D33:L33)</f>
        <v>60899.23</v>
      </c>
      <c r="E34" s="3">
        <f>ROUND(MAX(0,(Levy!Q36+Data!D35+Data!E35-Levy!U36)*0.5),2)</f>
        <v>406108</v>
      </c>
      <c r="F34" s="3">
        <f t="shared" si="5"/>
        <v>0</v>
      </c>
      <c r="G34" s="3">
        <f t="shared" si="0"/>
        <v>60899.23</v>
      </c>
      <c r="I34" s="3">
        <f>SUM('Shift 14'!M33:N33)</f>
        <v>0</v>
      </c>
      <c r="J34" s="3">
        <f>ROUND(MAX(0,(Levy!R36-Levy!V36)*0.5),2)</f>
        <v>24904.15</v>
      </c>
      <c r="K34" s="3">
        <f t="shared" si="1"/>
        <v>0</v>
      </c>
      <c r="L34" s="3">
        <f t="shared" si="2"/>
        <v>0</v>
      </c>
      <c r="N34" s="3">
        <f t="shared" si="3"/>
        <v>60899.23</v>
      </c>
      <c r="O34" s="2">
        <f>SUM(Levy!F36:J36)</f>
        <v>873409.72</v>
      </c>
      <c r="P34" s="2">
        <f>SUM(Levy!U36:V36)</f>
        <v>11385.44</v>
      </c>
      <c r="Q34" s="2">
        <f t="shared" si="4"/>
        <v>862024.28</v>
      </c>
    </row>
    <row r="35" spans="1:17" x14ac:dyDescent="0.2">
      <c r="A35" s="4">
        <v>94</v>
      </c>
      <c r="B35" s="4">
        <v>1</v>
      </c>
      <c r="C35" s="2" t="s">
        <v>32</v>
      </c>
      <c r="D35" s="3">
        <f>SUM('Shift 14'!D34:L34)</f>
        <v>117571.63</v>
      </c>
      <c r="E35" s="3">
        <f>ROUND(MAX(0,(Levy!Q37+Data!D36+Data!E36-Levy!U37)*0.5),2)</f>
        <v>672737.64</v>
      </c>
      <c r="F35" s="3">
        <f t="shared" si="5"/>
        <v>0</v>
      </c>
      <c r="G35" s="3">
        <f t="shared" si="0"/>
        <v>117571.63</v>
      </c>
      <c r="I35" s="3">
        <f>SUM('Shift 14'!M34:N34)</f>
        <v>0</v>
      </c>
      <c r="J35" s="3">
        <f>ROUND(MAX(0,(Levy!R37-Levy!V37)*0.5),2)</f>
        <v>131993.32999999999</v>
      </c>
      <c r="K35" s="3">
        <f t="shared" si="1"/>
        <v>0</v>
      </c>
      <c r="L35" s="3">
        <f t="shared" si="2"/>
        <v>0</v>
      </c>
      <c r="N35" s="3">
        <f t="shared" si="3"/>
        <v>117571.63</v>
      </c>
      <c r="O35" s="2">
        <f>SUM(Levy!F37:J37)</f>
        <v>1648935.1099999999</v>
      </c>
      <c r="P35" s="2">
        <f>SUM(Levy!U37:V37)</f>
        <v>39473.19</v>
      </c>
      <c r="Q35" s="2">
        <f t="shared" si="4"/>
        <v>1609461.92</v>
      </c>
    </row>
    <row r="36" spans="1:17" x14ac:dyDescent="0.2">
      <c r="A36" s="4">
        <v>95</v>
      </c>
      <c r="B36" s="4">
        <v>1</v>
      </c>
      <c r="C36" s="2" t="s">
        <v>33</v>
      </c>
      <c r="D36" s="3">
        <f>SUM('Shift 14'!D35:L35)</f>
        <v>8303.1</v>
      </c>
      <c r="E36" s="3">
        <f>ROUND(MAX(0,(Levy!Q38+Data!D37+Data!E37-Levy!U38)*0.5),2)</f>
        <v>79603.66</v>
      </c>
      <c r="F36" s="3">
        <f t="shared" si="5"/>
        <v>0</v>
      </c>
      <c r="G36" s="3">
        <f t="shared" si="0"/>
        <v>8303.1</v>
      </c>
      <c r="I36" s="3">
        <f>SUM('Shift 14'!M35:N35)</f>
        <v>0</v>
      </c>
      <c r="J36" s="3">
        <f>ROUND(MAX(0,(Levy!R38-Levy!V38)*0.5),2)</f>
        <v>11074.24</v>
      </c>
      <c r="K36" s="3">
        <f t="shared" si="1"/>
        <v>0</v>
      </c>
      <c r="L36" s="3">
        <f t="shared" si="2"/>
        <v>0</v>
      </c>
      <c r="N36" s="3">
        <f t="shared" si="3"/>
        <v>8303.1</v>
      </c>
      <c r="O36" s="2">
        <f>SUM(Levy!F38:J38)</f>
        <v>183305.59000000003</v>
      </c>
      <c r="P36" s="2">
        <f>SUM(Levy!U38:V38)</f>
        <v>1949.81</v>
      </c>
      <c r="Q36" s="2">
        <f t="shared" si="4"/>
        <v>181355.78000000003</v>
      </c>
    </row>
    <row r="37" spans="1:17" x14ac:dyDescent="0.2">
      <c r="A37" s="4">
        <v>97</v>
      </c>
      <c r="B37" s="4">
        <v>1</v>
      </c>
      <c r="C37" s="2" t="s">
        <v>34</v>
      </c>
      <c r="D37" s="3">
        <f>SUM('Shift 14'!D36:L36)</f>
        <v>56079.360000000001</v>
      </c>
      <c r="E37" s="3">
        <f>ROUND(MAX(0,(Levy!Q39+Data!D38+Data!E38-Levy!U39)*0.5),2)</f>
        <v>223425.05</v>
      </c>
      <c r="F37" s="3">
        <f t="shared" si="5"/>
        <v>0</v>
      </c>
      <c r="G37" s="3">
        <f t="shared" si="0"/>
        <v>56079.360000000001</v>
      </c>
      <c r="I37" s="3">
        <f>SUM('Shift 14'!M36:N36)</f>
        <v>0</v>
      </c>
      <c r="J37" s="3">
        <f>ROUND(MAX(0,(Levy!R39-Levy!V39)*0.5),2)</f>
        <v>24675.48</v>
      </c>
      <c r="K37" s="3">
        <f t="shared" si="1"/>
        <v>0</v>
      </c>
      <c r="L37" s="3">
        <f t="shared" si="2"/>
        <v>0</v>
      </c>
      <c r="N37" s="3">
        <f t="shared" si="3"/>
        <v>56079.360000000001</v>
      </c>
      <c r="O37" s="2">
        <f>SUM(Levy!F39:J39)</f>
        <v>527202.02</v>
      </c>
      <c r="P37" s="2">
        <f>SUM(Levy!U39:V39)</f>
        <v>31000.959999999999</v>
      </c>
      <c r="Q37" s="2">
        <f t="shared" si="4"/>
        <v>496201.06</v>
      </c>
    </row>
    <row r="38" spans="1:17" x14ac:dyDescent="0.2">
      <c r="A38" s="4">
        <v>99</v>
      </c>
      <c r="B38" s="4">
        <v>1</v>
      </c>
      <c r="C38" s="2" t="s">
        <v>35</v>
      </c>
      <c r="D38" s="3">
        <f>SUM('Shift 14'!D37:L37)</f>
        <v>47296.17</v>
      </c>
      <c r="E38" s="3">
        <f>ROUND(MAX(0,(Levy!Q40+Data!D39+Data!E39-Levy!U40)*0.5),2)</f>
        <v>286370.34999999998</v>
      </c>
      <c r="F38" s="3">
        <f t="shared" si="5"/>
        <v>0</v>
      </c>
      <c r="G38" s="3">
        <f t="shared" si="0"/>
        <v>47296.17</v>
      </c>
      <c r="I38" s="3">
        <f>SUM('Shift 14'!M37:N37)</f>
        <v>0</v>
      </c>
      <c r="J38" s="3">
        <f>ROUND(MAX(0,(Levy!R40-Levy!V40)*0.5),2)</f>
        <v>22606.77</v>
      </c>
      <c r="K38" s="3">
        <f t="shared" si="1"/>
        <v>0</v>
      </c>
      <c r="L38" s="3">
        <f t="shared" si="2"/>
        <v>0</v>
      </c>
      <c r="N38" s="3">
        <f t="shared" si="3"/>
        <v>47296.17</v>
      </c>
      <c r="O38" s="2">
        <f>SUM(Levy!F40:J40)</f>
        <v>623318.37</v>
      </c>
      <c r="P38" s="2">
        <f>SUM(Levy!U40:V40)</f>
        <v>5364.1399999999985</v>
      </c>
      <c r="Q38" s="2">
        <f t="shared" si="4"/>
        <v>617954.23</v>
      </c>
    </row>
    <row r="39" spans="1:17" x14ac:dyDescent="0.2">
      <c r="A39" s="4">
        <v>100</v>
      </c>
      <c r="B39" s="4">
        <v>1</v>
      </c>
      <c r="C39" s="2" t="s">
        <v>36</v>
      </c>
      <c r="D39" s="3">
        <f>SUM('Shift 14'!D38:L38)</f>
        <v>52973.67</v>
      </c>
      <c r="E39" s="3">
        <f>ROUND(MAX(0,(Levy!Q41+Data!D40+Data!E40-Levy!U41)*0.5),2)</f>
        <v>255197.22</v>
      </c>
      <c r="F39" s="3">
        <f t="shared" si="5"/>
        <v>0</v>
      </c>
      <c r="G39" s="3">
        <f t="shared" si="0"/>
        <v>52973.67</v>
      </c>
      <c r="I39" s="3">
        <f>SUM('Shift 14'!M38:N38)</f>
        <v>0</v>
      </c>
      <c r="J39" s="3">
        <f>ROUND(MAX(0,(Levy!R41-Levy!V41)*0.5),2)</f>
        <v>13486.31</v>
      </c>
      <c r="K39" s="3">
        <f t="shared" si="1"/>
        <v>0</v>
      </c>
      <c r="L39" s="3">
        <f t="shared" si="2"/>
        <v>0</v>
      </c>
      <c r="N39" s="3">
        <f t="shared" si="3"/>
        <v>52973.67</v>
      </c>
      <c r="O39" s="2">
        <f>SUM(Levy!F41:J41)</f>
        <v>540245.4</v>
      </c>
      <c r="P39" s="2">
        <f>SUM(Levy!U41:V41)</f>
        <v>2878.35</v>
      </c>
      <c r="Q39" s="2">
        <f t="shared" si="4"/>
        <v>537367.05000000005</v>
      </c>
    </row>
    <row r="40" spans="1:17" x14ac:dyDescent="0.2">
      <c r="A40" s="4">
        <v>108</v>
      </c>
      <c r="B40" s="4">
        <v>1</v>
      </c>
      <c r="C40" s="2" t="s">
        <v>1168</v>
      </c>
      <c r="D40" s="3">
        <f>SUM('Shift 14'!D39:L39)</f>
        <v>106261.62</v>
      </c>
      <c r="E40" s="3">
        <f>ROUND(MAX(0,(Levy!Q42+Data!D41+Data!E41-Levy!U42)*0.5),2)</f>
        <v>641179.4</v>
      </c>
      <c r="F40" s="3">
        <f t="shared" si="5"/>
        <v>0</v>
      </c>
      <c r="G40" s="3">
        <f t="shared" si="0"/>
        <v>106261.62</v>
      </c>
      <c r="I40" s="3">
        <f>SUM('Shift 14'!M39:N39)</f>
        <v>0</v>
      </c>
      <c r="J40" s="3">
        <f>ROUND(MAX(0,(Levy!R42-Levy!V42)*0.5),2)</f>
        <v>62826.23</v>
      </c>
      <c r="K40" s="3">
        <f t="shared" si="1"/>
        <v>0</v>
      </c>
      <c r="L40" s="3">
        <f t="shared" si="2"/>
        <v>0</v>
      </c>
      <c r="N40" s="3">
        <f t="shared" si="3"/>
        <v>106261.62</v>
      </c>
      <c r="O40" s="2">
        <f>SUM(Levy!F42:J42)</f>
        <v>1423718</v>
      </c>
      <c r="P40" s="2">
        <f>SUM(Levy!U42:V42)</f>
        <v>15706.739999999998</v>
      </c>
      <c r="Q40" s="2">
        <f t="shared" si="4"/>
        <v>1408011.26</v>
      </c>
    </row>
    <row r="41" spans="1:17" x14ac:dyDescent="0.2">
      <c r="A41" s="4">
        <v>110</v>
      </c>
      <c r="B41" s="4">
        <v>1</v>
      </c>
      <c r="C41" s="2" t="s">
        <v>38</v>
      </c>
      <c r="D41" s="3">
        <f>SUM('Shift 14'!D40:L40)</f>
        <v>398900.54000000004</v>
      </c>
      <c r="E41" s="3">
        <f>ROUND(MAX(0,(Levy!Q43+Data!D42+Data!E42-Levy!U43)*0.5),2)</f>
        <v>2031735.23</v>
      </c>
      <c r="F41" s="3">
        <f t="shared" si="5"/>
        <v>0</v>
      </c>
      <c r="G41" s="3">
        <f t="shared" si="0"/>
        <v>398900.54000000004</v>
      </c>
      <c r="I41" s="3">
        <f>SUM('Shift 14'!M40:N40)</f>
        <v>0</v>
      </c>
      <c r="J41" s="3">
        <f>ROUND(MAX(0,(Levy!R43-Levy!V43)*0.5),2)</f>
        <v>130540.6</v>
      </c>
      <c r="K41" s="3">
        <f t="shared" si="1"/>
        <v>0</v>
      </c>
      <c r="L41" s="3">
        <f t="shared" si="2"/>
        <v>0</v>
      </c>
      <c r="N41" s="3">
        <f t="shared" si="3"/>
        <v>398900.54000000004</v>
      </c>
      <c r="O41" s="2">
        <f>SUM(Levy!F43:J43)</f>
        <v>4337660</v>
      </c>
      <c r="P41" s="2">
        <f>SUM(Levy!U43:V43)</f>
        <v>13108.34</v>
      </c>
      <c r="Q41" s="2">
        <f t="shared" si="4"/>
        <v>4324551.66</v>
      </c>
    </row>
    <row r="42" spans="1:17" x14ac:dyDescent="0.2">
      <c r="A42" s="4">
        <v>111</v>
      </c>
      <c r="B42" s="4">
        <v>1</v>
      </c>
      <c r="C42" s="2" t="s">
        <v>39</v>
      </c>
      <c r="D42" s="3">
        <f>SUM('Shift 14'!D41:L41)</f>
        <v>112797.67000000001</v>
      </c>
      <c r="E42" s="3">
        <f>ROUND(MAX(0,(Levy!Q44+Data!D43+Data!E43-Levy!U44)*0.5),2)</f>
        <v>579583.51</v>
      </c>
      <c r="F42" s="3">
        <f t="shared" si="5"/>
        <v>0</v>
      </c>
      <c r="G42" s="3">
        <f t="shared" si="0"/>
        <v>112797.67000000001</v>
      </c>
      <c r="I42" s="3">
        <f>SUM('Shift 14'!M41:N41)</f>
        <v>0</v>
      </c>
      <c r="J42" s="3">
        <f>ROUND(MAX(0,(Levy!R44-Levy!V44)*0.5),2)</f>
        <v>140600.17000000001</v>
      </c>
      <c r="K42" s="3">
        <f t="shared" si="1"/>
        <v>0</v>
      </c>
      <c r="L42" s="3">
        <f t="shared" si="2"/>
        <v>0</v>
      </c>
      <c r="N42" s="3">
        <f t="shared" si="3"/>
        <v>112797.67000000001</v>
      </c>
      <c r="O42" s="2">
        <f>SUM(Levy!F44:J44)</f>
        <v>1450452</v>
      </c>
      <c r="P42" s="2">
        <f>SUM(Levy!U44:V44)</f>
        <v>10084.650000000003</v>
      </c>
      <c r="Q42" s="2">
        <f t="shared" si="4"/>
        <v>1440367.35</v>
      </c>
    </row>
    <row r="43" spans="1:17" x14ac:dyDescent="0.2">
      <c r="A43" s="4">
        <v>112</v>
      </c>
      <c r="B43" s="4">
        <v>1</v>
      </c>
      <c r="C43" s="2" t="s">
        <v>1169</v>
      </c>
      <c r="D43" s="3">
        <f>SUM('Shift 14'!D42:L42)</f>
        <v>1927793.7699999998</v>
      </c>
      <c r="E43" s="3">
        <f>ROUND(MAX(0,(Levy!Q45+Data!D44+Data!E44-Levy!U45)*0.5),2)</f>
        <v>9389490.5099999998</v>
      </c>
      <c r="F43" s="3">
        <f t="shared" si="5"/>
        <v>0</v>
      </c>
      <c r="G43" s="3">
        <f t="shared" si="0"/>
        <v>1927793.7699999998</v>
      </c>
      <c r="I43" s="3">
        <f>SUM('Shift 14'!M42:N42)</f>
        <v>0</v>
      </c>
      <c r="J43" s="3">
        <f>ROUND(MAX(0,(Levy!R45-Levy!V45)*0.5),2)</f>
        <v>365081.33</v>
      </c>
      <c r="K43" s="3">
        <f t="shared" si="1"/>
        <v>0</v>
      </c>
      <c r="L43" s="3">
        <f t="shared" si="2"/>
        <v>0</v>
      </c>
      <c r="N43" s="3">
        <f t="shared" si="3"/>
        <v>1927793.7699999998</v>
      </c>
      <c r="O43" s="2">
        <f>SUM(Levy!F45:J45)</f>
        <v>19520046</v>
      </c>
      <c r="P43" s="2">
        <f>SUM(Levy!U45:V45)</f>
        <v>10902.320000000002</v>
      </c>
      <c r="Q43" s="2">
        <f t="shared" si="4"/>
        <v>19509143.68</v>
      </c>
    </row>
    <row r="44" spans="1:17" x14ac:dyDescent="0.2">
      <c r="A44" s="4">
        <v>113</v>
      </c>
      <c r="B44" s="4">
        <v>1</v>
      </c>
      <c r="C44" s="2" t="s">
        <v>1170</v>
      </c>
      <c r="D44" s="3">
        <f>SUM('Shift 14'!D43:L43)</f>
        <v>32554.65</v>
      </c>
      <c r="E44" s="3">
        <f>ROUND(MAX(0,(Levy!Q46+Data!D45+Data!E45-Levy!U46)*0.5),2)</f>
        <v>460251.06</v>
      </c>
      <c r="F44" s="3">
        <f t="shared" si="5"/>
        <v>0</v>
      </c>
      <c r="G44" s="3">
        <f t="shared" si="0"/>
        <v>32554.65</v>
      </c>
      <c r="I44" s="3">
        <f>SUM('Shift 14'!M43:N43)</f>
        <v>0</v>
      </c>
      <c r="J44" s="3">
        <f>ROUND(MAX(0,(Levy!R46-Levy!V46)*0.5),2)</f>
        <v>51817.61</v>
      </c>
      <c r="K44" s="3">
        <f t="shared" si="1"/>
        <v>0</v>
      </c>
      <c r="L44" s="3">
        <f t="shared" si="2"/>
        <v>0</v>
      </c>
      <c r="N44" s="3">
        <f t="shared" si="3"/>
        <v>32554.65</v>
      </c>
      <c r="O44" s="2">
        <f>SUM(Levy!F46:J46)</f>
        <v>1026407.0800000001</v>
      </c>
      <c r="P44" s="2">
        <f>SUM(Levy!U46:V46)</f>
        <v>2269.75</v>
      </c>
      <c r="Q44" s="2">
        <f t="shared" si="4"/>
        <v>1024137.3300000001</v>
      </c>
    </row>
    <row r="45" spans="1:17" x14ac:dyDescent="0.2">
      <c r="A45" s="4">
        <v>115</v>
      </c>
      <c r="B45" s="4">
        <v>1</v>
      </c>
      <c r="C45" s="2" t="s">
        <v>1171</v>
      </c>
      <c r="D45" s="3">
        <f>SUM('Shift 14'!D44:L44)</f>
        <v>30929.740000000005</v>
      </c>
      <c r="E45" s="3">
        <f>ROUND(MAX(0,(Levy!Q47+Data!D46+Data!E46-Levy!U47)*0.5),2)</f>
        <v>358365.52</v>
      </c>
      <c r="F45" s="3">
        <f t="shared" si="5"/>
        <v>0</v>
      </c>
      <c r="G45" s="3">
        <f t="shared" si="0"/>
        <v>30929.740000000005</v>
      </c>
      <c r="I45" s="3">
        <f>SUM('Shift 14'!M44:N44)</f>
        <v>0</v>
      </c>
      <c r="J45" s="3">
        <f>ROUND(MAX(0,(Levy!R47-Levy!V47)*0.5),2)</f>
        <v>29938.41</v>
      </c>
      <c r="K45" s="3">
        <f t="shared" si="1"/>
        <v>0</v>
      </c>
      <c r="L45" s="3">
        <f t="shared" si="2"/>
        <v>0</v>
      </c>
      <c r="N45" s="3">
        <f t="shared" si="3"/>
        <v>30929.740000000005</v>
      </c>
      <c r="O45" s="2">
        <f>SUM(Levy!F47:J47)</f>
        <v>777844.84000000008</v>
      </c>
      <c r="P45" s="2">
        <f>SUM(Levy!U47:V47)</f>
        <v>1236.98</v>
      </c>
      <c r="Q45" s="2">
        <f t="shared" si="4"/>
        <v>776607.8600000001</v>
      </c>
    </row>
    <row r="46" spans="1:17" x14ac:dyDescent="0.2">
      <c r="A46" s="4">
        <v>116</v>
      </c>
      <c r="B46" s="4">
        <v>1</v>
      </c>
      <c r="C46" s="2" t="s">
        <v>43</v>
      </c>
      <c r="D46" s="3">
        <f>SUM('Shift 14'!D45:L45)</f>
        <v>-13713.48</v>
      </c>
      <c r="E46" s="3">
        <f>ROUND(MAX(0,(Levy!Q48+Data!D47+Data!E47-Levy!U48)*0.5),2)</f>
        <v>304107.57</v>
      </c>
      <c r="F46" s="3">
        <f t="shared" si="5"/>
        <v>0</v>
      </c>
      <c r="G46" s="3">
        <f t="shared" si="0"/>
        <v>0</v>
      </c>
      <c r="I46" s="3">
        <f>SUM('Shift 14'!M45:N45)</f>
        <v>0</v>
      </c>
      <c r="J46" s="3">
        <f>ROUND(MAX(0,(Levy!R48-Levy!V48)*0.5),2)</f>
        <v>46059.62</v>
      </c>
      <c r="K46" s="3">
        <f t="shared" si="1"/>
        <v>0</v>
      </c>
      <c r="L46" s="3">
        <f t="shared" si="2"/>
        <v>0</v>
      </c>
      <c r="N46" s="3">
        <f t="shared" si="3"/>
        <v>0</v>
      </c>
      <c r="O46" s="2">
        <f>SUM(Levy!F48:J48)</f>
        <v>702245.07</v>
      </c>
      <c r="P46" s="2">
        <f>SUM(Levy!U48:V48)</f>
        <v>1910.6899999999998</v>
      </c>
      <c r="Q46" s="2">
        <f t="shared" si="4"/>
        <v>700334.38</v>
      </c>
    </row>
    <row r="47" spans="1:17" x14ac:dyDescent="0.2">
      <c r="A47" s="4">
        <v>118</v>
      </c>
      <c r="B47" s="4">
        <v>1</v>
      </c>
      <c r="C47" s="2" t="s">
        <v>44</v>
      </c>
      <c r="D47" s="3">
        <f>SUM('Shift 14'!D46:L46)</f>
        <v>92298.76999999999</v>
      </c>
      <c r="E47" s="3">
        <f>ROUND(MAX(0,(Levy!Q49+Data!D48+Data!E48-Levy!U49)*0.5),2)</f>
        <v>278775.25</v>
      </c>
      <c r="F47" s="3">
        <f t="shared" si="5"/>
        <v>0</v>
      </c>
      <c r="G47" s="3">
        <f t="shared" si="0"/>
        <v>92298.76999999999</v>
      </c>
      <c r="I47" s="3">
        <f>SUM('Shift 14'!M46:N46)</f>
        <v>0</v>
      </c>
      <c r="J47" s="3">
        <f>ROUND(MAX(0,(Levy!R49-Levy!V49)*0.5),2)</f>
        <v>18193.53</v>
      </c>
      <c r="K47" s="3">
        <f t="shared" si="1"/>
        <v>0</v>
      </c>
      <c r="L47" s="3">
        <f t="shared" si="2"/>
        <v>0</v>
      </c>
      <c r="N47" s="3">
        <f t="shared" si="3"/>
        <v>92298.76999999999</v>
      </c>
      <c r="O47" s="2">
        <f>SUM(Levy!F49:J49)</f>
        <v>595009.22000000009</v>
      </c>
      <c r="P47" s="2">
        <f>SUM(Levy!U49:V49)</f>
        <v>1071.68</v>
      </c>
      <c r="Q47" s="2">
        <f t="shared" si="4"/>
        <v>593937.54</v>
      </c>
    </row>
    <row r="48" spans="1:17" x14ac:dyDescent="0.2">
      <c r="A48" s="4">
        <v>129</v>
      </c>
      <c r="B48" s="4">
        <v>1</v>
      </c>
      <c r="C48" s="2" t="s">
        <v>45</v>
      </c>
      <c r="D48" s="3">
        <f>SUM('Shift 14'!D47:L47)</f>
        <v>122638.04</v>
      </c>
      <c r="E48" s="3">
        <f>ROUND(MAX(0,(Levy!Q50+Data!D49+Data!E49-Levy!U50)*0.5),2)</f>
        <v>528902.52</v>
      </c>
      <c r="F48" s="3">
        <f t="shared" si="5"/>
        <v>0</v>
      </c>
      <c r="G48" s="3">
        <f t="shared" si="0"/>
        <v>122638.04</v>
      </c>
      <c r="I48" s="3">
        <f>SUM('Shift 14'!M47:N47)</f>
        <v>0</v>
      </c>
      <c r="J48" s="3">
        <f>ROUND(MAX(0,(Levy!R50-Levy!V50)*0.5),2)</f>
        <v>50662.81</v>
      </c>
      <c r="K48" s="3">
        <f t="shared" si="1"/>
        <v>0</v>
      </c>
      <c r="L48" s="3">
        <f t="shared" si="2"/>
        <v>0</v>
      </c>
      <c r="N48" s="3">
        <f t="shared" si="3"/>
        <v>122638.04</v>
      </c>
      <c r="O48" s="2">
        <f>SUM(Levy!F50:J50)</f>
        <v>1178524.4899999998</v>
      </c>
      <c r="P48" s="2">
        <f>SUM(Levy!U50:V50)</f>
        <v>19393.849999999999</v>
      </c>
      <c r="Q48" s="2">
        <f t="shared" si="4"/>
        <v>1159130.6399999997</v>
      </c>
    </row>
    <row r="49" spans="1:17" x14ac:dyDescent="0.2">
      <c r="A49" s="4">
        <v>138</v>
      </c>
      <c r="B49" s="4">
        <v>1</v>
      </c>
      <c r="C49" s="2" t="s">
        <v>46</v>
      </c>
      <c r="D49" s="3">
        <f>SUM('Shift 14'!D48:L48)</f>
        <v>174633.65</v>
      </c>
      <c r="E49" s="3">
        <f>ROUND(MAX(0,(Levy!Q51+Data!D50+Data!E50-Levy!U51)*0.5),2)</f>
        <v>1005190.53</v>
      </c>
      <c r="F49" s="3">
        <f t="shared" si="5"/>
        <v>0</v>
      </c>
      <c r="G49" s="3">
        <f t="shared" si="0"/>
        <v>174633.65</v>
      </c>
      <c r="I49" s="3">
        <f>SUM('Shift 14'!M48:N48)</f>
        <v>0</v>
      </c>
      <c r="J49" s="3">
        <f>ROUND(MAX(0,(Levy!R51-Levy!V51)*0.5),2)</f>
        <v>99215</v>
      </c>
      <c r="K49" s="3">
        <f t="shared" si="1"/>
        <v>0</v>
      </c>
      <c r="L49" s="3">
        <f t="shared" si="2"/>
        <v>0</v>
      </c>
      <c r="N49" s="3">
        <f t="shared" si="3"/>
        <v>174633.65</v>
      </c>
      <c r="O49" s="2">
        <f>SUM(Levy!F51:J51)</f>
        <v>2217679.9099999997</v>
      </c>
      <c r="P49" s="2">
        <f>SUM(Levy!U51:V51)</f>
        <v>8868.8499999999985</v>
      </c>
      <c r="Q49" s="2">
        <f t="shared" si="4"/>
        <v>2208811.0599999996</v>
      </c>
    </row>
    <row r="50" spans="1:17" x14ac:dyDescent="0.2">
      <c r="A50" s="4">
        <v>139</v>
      </c>
      <c r="B50" s="4">
        <v>1</v>
      </c>
      <c r="C50" s="2" t="s">
        <v>47</v>
      </c>
      <c r="D50" s="3">
        <f>SUM('Shift 14'!D49:L49)</f>
        <v>14312.07</v>
      </c>
      <c r="E50" s="3">
        <f>ROUND(MAX(0,(Levy!Q52+Data!D51+Data!E51-Levy!U52)*0.5),2)</f>
        <v>271779.96000000002</v>
      </c>
      <c r="F50" s="3">
        <f t="shared" si="5"/>
        <v>0</v>
      </c>
      <c r="G50" s="3">
        <f t="shared" si="0"/>
        <v>14312.07</v>
      </c>
      <c r="I50" s="3">
        <f>SUM('Shift 14'!M49:N49)</f>
        <v>0</v>
      </c>
      <c r="J50" s="3">
        <f>ROUND(MAX(0,(Levy!R52-Levy!V52)*0.5),2)</f>
        <v>28431.919999999998</v>
      </c>
      <c r="K50" s="3">
        <f t="shared" si="1"/>
        <v>0</v>
      </c>
      <c r="L50" s="3">
        <f t="shared" si="2"/>
        <v>0</v>
      </c>
      <c r="N50" s="3">
        <f t="shared" si="3"/>
        <v>14312.07</v>
      </c>
      <c r="O50" s="2">
        <f>SUM(Levy!F52:J52)</f>
        <v>606079.93999999994</v>
      </c>
      <c r="P50" s="2">
        <f>SUM(Levy!U52:V52)</f>
        <v>5656.1900000000005</v>
      </c>
      <c r="Q50" s="2">
        <f t="shared" si="4"/>
        <v>600423.75</v>
      </c>
    </row>
    <row r="51" spans="1:17" x14ac:dyDescent="0.2">
      <c r="A51" s="4">
        <v>146</v>
      </c>
      <c r="B51" s="4">
        <v>1</v>
      </c>
      <c r="C51" s="2" t="s">
        <v>48</v>
      </c>
      <c r="D51" s="3">
        <f>SUM('Shift 14'!D50:L50)</f>
        <v>68070.52</v>
      </c>
      <c r="E51" s="3">
        <f>ROUND(MAX(0,(Levy!Q53+Data!D52+Data!E52-Levy!U53)*0.5),2)</f>
        <v>401547.54</v>
      </c>
      <c r="F51" s="3">
        <f t="shared" si="5"/>
        <v>0</v>
      </c>
      <c r="G51" s="3">
        <f t="shared" si="0"/>
        <v>68070.52</v>
      </c>
      <c r="I51" s="3">
        <f>SUM('Shift 14'!M50:N50)</f>
        <v>0</v>
      </c>
      <c r="J51" s="3">
        <f>ROUND(MAX(0,(Levy!R53-Levy!V53)*0.5),2)</f>
        <v>29512.27</v>
      </c>
      <c r="K51" s="3">
        <f t="shared" si="1"/>
        <v>0</v>
      </c>
      <c r="L51" s="3">
        <f t="shared" si="2"/>
        <v>0</v>
      </c>
      <c r="N51" s="3">
        <f t="shared" si="3"/>
        <v>68070.52</v>
      </c>
      <c r="O51" s="2">
        <f>SUM(Levy!F53:J53)</f>
        <v>869099</v>
      </c>
      <c r="P51" s="2">
        <f>SUM(Levy!U53:V53)</f>
        <v>6979.3899999999994</v>
      </c>
      <c r="Q51" s="2">
        <f t="shared" si="4"/>
        <v>862119.61</v>
      </c>
    </row>
    <row r="52" spans="1:17" x14ac:dyDescent="0.2">
      <c r="A52" s="4">
        <v>150</v>
      </c>
      <c r="B52" s="4">
        <v>1</v>
      </c>
      <c r="C52" s="2" t="s">
        <v>49</v>
      </c>
      <c r="D52" s="3">
        <f>SUM('Shift 14'!D51:L51)</f>
        <v>21132.04</v>
      </c>
      <c r="E52" s="3">
        <f>ROUND(MAX(0,(Levy!Q54+Data!D53+Data!E53-Levy!U54)*0.5),2)</f>
        <v>209486.99</v>
      </c>
      <c r="F52" s="3">
        <f t="shared" si="5"/>
        <v>0</v>
      </c>
      <c r="G52" s="3">
        <f t="shared" si="0"/>
        <v>21132.04</v>
      </c>
      <c r="I52" s="3">
        <f>SUM('Shift 14'!M51:N51)</f>
        <v>0</v>
      </c>
      <c r="J52" s="3">
        <f>ROUND(MAX(0,(Levy!R54-Levy!V54)*0.5),2)</f>
        <v>22074.63</v>
      </c>
      <c r="K52" s="3">
        <f t="shared" si="1"/>
        <v>0</v>
      </c>
      <c r="L52" s="3">
        <f t="shared" si="2"/>
        <v>0</v>
      </c>
      <c r="N52" s="3">
        <f t="shared" si="3"/>
        <v>21132.04</v>
      </c>
      <c r="O52" s="2">
        <f>SUM(Levy!F54:J54)</f>
        <v>466424</v>
      </c>
      <c r="P52" s="2">
        <f>SUM(Levy!U54:V54)</f>
        <v>3300.7699999999995</v>
      </c>
      <c r="Q52" s="2">
        <f t="shared" si="4"/>
        <v>463123.23</v>
      </c>
    </row>
    <row r="53" spans="1:17" x14ac:dyDescent="0.2">
      <c r="A53" s="4">
        <v>152</v>
      </c>
      <c r="B53" s="4">
        <v>1</v>
      </c>
      <c r="C53" s="2" t="s">
        <v>50</v>
      </c>
      <c r="D53" s="3">
        <f>SUM('Shift 14'!D52:L52)</f>
        <v>302494</v>
      </c>
      <c r="E53" s="3">
        <f>ROUND(MAX(0,(Levy!Q55+Data!D54+Data!E54-Levy!U55)*0.5),2)</f>
        <v>3001472.09</v>
      </c>
      <c r="F53" s="3">
        <f t="shared" si="5"/>
        <v>0</v>
      </c>
      <c r="G53" s="3">
        <f t="shared" si="0"/>
        <v>302494</v>
      </c>
      <c r="I53" s="3">
        <f>SUM('Shift 14'!M52:N52)</f>
        <v>0</v>
      </c>
      <c r="J53" s="3">
        <f>ROUND(MAX(0,(Levy!R55-Levy!V55)*0.5),2)</f>
        <v>186092.14</v>
      </c>
      <c r="K53" s="3">
        <f t="shared" si="1"/>
        <v>0</v>
      </c>
      <c r="L53" s="3">
        <f t="shared" si="2"/>
        <v>0</v>
      </c>
      <c r="N53" s="3">
        <f t="shared" si="3"/>
        <v>302494</v>
      </c>
      <c r="O53" s="2">
        <f>SUM(Levy!F55:J55)</f>
        <v>6770103</v>
      </c>
      <c r="P53" s="2">
        <f>SUM(Levy!U55:V55)</f>
        <v>394974.55000000005</v>
      </c>
      <c r="Q53" s="2">
        <f t="shared" si="4"/>
        <v>6375128.4500000002</v>
      </c>
    </row>
    <row r="54" spans="1:17" x14ac:dyDescent="0.2">
      <c r="A54" s="4">
        <v>162</v>
      </c>
      <c r="B54" s="4">
        <v>1</v>
      </c>
      <c r="C54" s="2" t="s">
        <v>51</v>
      </c>
      <c r="D54" s="3">
        <f>SUM('Shift 14'!D53:L53)</f>
        <v>-5701.5999999999985</v>
      </c>
      <c r="E54" s="3">
        <f>ROUND(MAX(0,(Levy!Q56+Data!D55+Data!E55-Levy!U56)*0.5),2)</f>
        <v>403146.38</v>
      </c>
      <c r="F54" s="3">
        <f t="shared" si="5"/>
        <v>0</v>
      </c>
      <c r="G54" s="3">
        <f t="shared" si="0"/>
        <v>0</v>
      </c>
      <c r="I54" s="3">
        <f>SUM('Shift 14'!M53:N53)</f>
        <v>0</v>
      </c>
      <c r="J54" s="3">
        <f>ROUND(MAX(0,(Levy!R56-Levy!V56)*0.5),2)</f>
        <v>27866.23</v>
      </c>
      <c r="K54" s="3">
        <f t="shared" si="1"/>
        <v>0</v>
      </c>
      <c r="L54" s="3">
        <f t="shared" si="2"/>
        <v>0</v>
      </c>
      <c r="N54" s="3">
        <f t="shared" si="3"/>
        <v>0</v>
      </c>
      <c r="O54" s="2">
        <f>SUM(Levy!F56:J56)</f>
        <v>911891</v>
      </c>
      <c r="P54" s="2">
        <f>SUM(Levy!U56:V56)</f>
        <v>49865.790000000008</v>
      </c>
      <c r="Q54" s="2">
        <f t="shared" si="4"/>
        <v>862025.21</v>
      </c>
    </row>
    <row r="55" spans="1:17" x14ac:dyDescent="0.2">
      <c r="A55" s="4">
        <v>166</v>
      </c>
      <c r="B55" s="4">
        <v>1</v>
      </c>
      <c r="C55" s="2" t="s">
        <v>52</v>
      </c>
      <c r="D55" s="3">
        <f>SUM('Shift 14'!D54:L54)</f>
        <v>36018.19</v>
      </c>
      <c r="E55" s="3">
        <f>ROUND(MAX(0,(Levy!Q57+Data!D56+Data!E56-Levy!U57)*0.5),2)</f>
        <v>241166.03</v>
      </c>
      <c r="F55" s="3">
        <f t="shared" si="5"/>
        <v>0</v>
      </c>
      <c r="G55" s="3">
        <f t="shared" si="0"/>
        <v>36018.19</v>
      </c>
      <c r="I55" s="3">
        <f>SUM('Shift 14'!M54:N54)</f>
        <v>0</v>
      </c>
      <c r="J55" s="3">
        <f>ROUND(MAX(0,(Levy!R57-Levy!V57)*0.5),2)</f>
        <v>0</v>
      </c>
      <c r="K55" s="3">
        <f t="shared" si="1"/>
        <v>0</v>
      </c>
      <c r="L55" s="3">
        <f t="shared" si="2"/>
        <v>0</v>
      </c>
      <c r="N55" s="3">
        <f t="shared" si="3"/>
        <v>36018.19</v>
      </c>
      <c r="O55" s="2">
        <f>SUM(Levy!F57:J57)</f>
        <v>485835.61</v>
      </c>
      <c r="P55" s="2">
        <f>SUM(Levy!U57:V57)</f>
        <v>3503.55</v>
      </c>
      <c r="Q55" s="2">
        <f t="shared" si="4"/>
        <v>482332.06</v>
      </c>
    </row>
    <row r="56" spans="1:17" x14ac:dyDescent="0.2">
      <c r="A56" s="4">
        <v>173</v>
      </c>
      <c r="B56" s="4">
        <v>1</v>
      </c>
      <c r="C56" s="2" t="s">
        <v>53</v>
      </c>
      <c r="D56" s="3">
        <f>SUM('Shift 14'!D55:L55)</f>
        <v>123212.47</v>
      </c>
      <c r="E56" s="3">
        <f>ROUND(MAX(0,(Levy!Q58+Data!D57+Data!E57-Levy!U58)*0.5),2)</f>
        <v>391196.87</v>
      </c>
      <c r="F56" s="3">
        <f t="shared" si="5"/>
        <v>0</v>
      </c>
      <c r="G56" s="3">
        <f t="shared" si="0"/>
        <v>123212.47</v>
      </c>
      <c r="I56" s="3">
        <f>SUM('Shift 14'!M55:N55)</f>
        <v>0</v>
      </c>
      <c r="J56" s="3">
        <f>ROUND(MAX(0,(Levy!R58-Levy!V58)*0.5),2)</f>
        <v>25188.49</v>
      </c>
      <c r="K56" s="3">
        <f t="shared" si="1"/>
        <v>0</v>
      </c>
      <c r="L56" s="3">
        <f t="shared" si="2"/>
        <v>0</v>
      </c>
      <c r="N56" s="3">
        <f t="shared" si="3"/>
        <v>123212.47</v>
      </c>
      <c r="O56" s="2">
        <f>SUM(Levy!F58:J58)</f>
        <v>857168</v>
      </c>
      <c r="P56" s="2">
        <f>SUM(Levy!U58:V58)</f>
        <v>24397.29</v>
      </c>
      <c r="Q56" s="2">
        <f t="shared" si="4"/>
        <v>832770.71</v>
      </c>
    </row>
    <row r="57" spans="1:17" x14ac:dyDescent="0.2">
      <c r="A57" s="4">
        <v>177</v>
      </c>
      <c r="B57" s="4">
        <v>1</v>
      </c>
      <c r="C57" s="2" t="s">
        <v>54</v>
      </c>
      <c r="D57" s="3">
        <f>SUM('Shift 14'!D56:L56)</f>
        <v>124631.04000000001</v>
      </c>
      <c r="E57" s="3">
        <f>ROUND(MAX(0,(Levy!Q59+Data!D58+Data!E58-Levy!U59)*0.5),2)</f>
        <v>734431.04</v>
      </c>
      <c r="F57" s="3">
        <f t="shared" si="5"/>
        <v>0</v>
      </c>
      <c r="G57" s="3">
        <f t="shared" si="0"/>
        <v>124631.04000000001</v>
      </c>
      <c r="I57" s="3">
        <f>SUM('Shift 14'!M56:N56)</f>
        <v>0</v>
      </c>
      <c r="J57" s="3">
        <f>ROUND(MAX(0,(Levy!R59-Levy!V59)*0.5),2)</f>
        <v>42179.49</v>
      </c>
      <c r="K57" s="3">
        <f t="shared" si="1"/>
        <v>0</v>
      </c>
      <c r="L57" s="3">
        <f t="shared" si="2"/>
        <v>0</v>
      </c>
      <c r="N57" s="3">
        <f t="shared" si="3"/>
        <v>124631.04000000001</v>
      </c>
      <c r="O57" s="2">
        <f>SUM(Levy!F59:J59)</f>
        <v>1572424</v>
      </c>
      <c r="P57" s="2">
        <f>SUM(Levy!U59:V59)</f>
        <v>19202.96</v>
      </c>
      <c r="Q57" s="2">
        <f t="shared" si="4"/>
        <v>1553221.04</v>
      </c>
    </row>
    <row r="58" spans="1:17" x14ac:dyDescent="0.2">
      <c r="A58" s="4">
        <v>181</v>
      </c>
      <c r="B58" s="4">
        <v>1</v>
      </c>
      <c r="C58" s="2" t="s">
        <v>55</v>
      </c>
      <c r="D58" s="3">
        <f>SUM('Shift 14'!D57:L57)</f>
        <v>696253.5199999999</v>
      </c>
      <c r="E58" s="3">
        <f>ROUND(MAX(0,(Levy!Q60+Data!D59+Data!E59-Levy!U60)*0.5),2)</f>
        <v>3558934.97</v>
      </c>
      <c r="F58" s="3">
        <f t="shared" si="5"/>
        <v>0</v>
      </c>
      <c r="G58" s="3">
        <f t="shared" si="0"/>
        <v>696253.5199999999</v>
      </c>
      <c r="I58" s="3">
        <f>SUM('Shift 14'!M57:N57)</f>
        <v>0</v>
      </c>
      <c r="J58" s="3">
        <f>ROUND(MAX(0,(Levy!R60-Levy!V60)*0.5),2)</f>
        <v>291699.55</v>
      </c>
      <c r="K58" s="3">
        <f t="shared" si="1"/>
        <v>0</v>
      </c>
      <c r="L58" s="3">
        <f t="shared" si="2"/>
        <v>0</v>
      </c>
      <c r="N58" s="3">
        <f t="shared" si="3"/>
        <v>696253.5199999999</v>
      </c>
      <c r="O58" s="2">
        <f>SUM(Levy!F60:J60)</f>
        <v>7720646.3500000006</v>
      </c>
      <c r="P58" s="2">
        <f>SUM(Levy!U60:V60)</f>
        <v>19377.329999999998</v>
      </c>
      <c r="Q58" s="2">
        <f t="shared" si="4"/>
        <v>7701269.0200000005</v>
      </c>
    </row>
    <row r="59" spans="1:17" x14ac:dyDescent="0.2">
      <c r="A59" s="4">
        <v>182</v>
      </c>
      <c r="B59" s="4">
        <v>1</v>
      </c>
      <c r="C59" s="2" t="s">
        <v>56</v>
      </c>
      <c r="D59" s="3">
        <f>SUM('Shift 14'!D58:L58)</f>
        <v>79113.33</v>
      </c>
      <c r="E59" s="3">
        <f>ROUND(MAX(0,(Levy!Q61+Data!D60+Data!E60-Levy!U61)*0.5),2)</f>
        <v>599554.68000000005</v>
      </c>
      <c r="F59" s="3">
        <f t="shared" si="5"/>
        <v>0</v>
      </c>
      <c r="G59" s="3">
        <f t="shared" si="0"/>
        <v>79113.33</v>
      </c>
      <c r="I59" s="3">
        <f>SUM('Shift 14'!M58:N58)</f>
        <v>0</v>
      </c>
      <c r="J59" s="3">
        <f>ROUND(MAX(0,(Levy!R61-Levy!V61)*0.5),2)</f>
        <v>0</v>
      </c>
      <c r="K59" s="3">
        <f t="shared" si="1"/>
        <v>0</v>
      </c>
      <c r="L59" s="3">
        <f t="shared" si="2"/>
        <v>0</v>
      </c>
      <c r="N59" s="3">
        <f t="shared" si="3"/>
        <v>79113.33</v>
      </c>
      <c r="O59" s="2">
        <f>SUM(Levy!F61:J61)</f>
        <v>1236419.1099999999</v>
      </c>
      <c r="P59" s="2">
        <f>SUM(Levy!U61:V61)</f>
        <v>37309.759999999995</v>
      </c>
      <c r="Q59" s="2">
        <f t="shared" si="4"/>
        <v>1199109.3499999999</v>
      </c>
    </row>
    <row r="60" spans="1:17" x14ac:dyDescent="0.2">
      <c r="A60" s="4">
        <v>186</v>
      </c>
      <c r="B60" s="4">
        <v>1</v>
      </c>
      <c r="C60" s="2" t="s">
        <v>57</v>
      </c>
      <c r="D60" s="3">
        <f>SUM('Shift 14'!D59:L59)</f>
        <v>56285.619999999995</v>
      </c>
      <c r="E60" s="3">
        <f>ROUND(MAX(0,(Levy!Q62+Data!D61+Data!E61-Levy!U62)*0.5),2)</f>
        <v>607377.19999999995</v>
      </c>
      <c r="F60" s="3">
        <f t="shared" si="5"/>
        <v>0</v>
      </c>
      <c r="G60" s="3">
        <f t="shared" si="0"/>
        <v>56285.619999999995</v>
      </c>
      <c r="I60" s="3">
        <f>SUM('Shift 14'!M59:N59)</f>
        <v>0</v>
      </c>
      <c r="J60" s="3">
        <f>ROUND(MAX(0,(Levy!R62-Levy!V62)*0.5),2)</f>
        <v>93913.3</v>
      </c>
      <c r="K60" s="3">
        <f t="shared" si="1"/>
        <v>0</v>
      </c>
      <c r="L60" s="3">
        <f t="shared" si="2"/>
        <v>0</v>
      </c>
      <c r="N60" s="3">
        <f t="shared" si="3"/>
        <v>56285.619999999995</v>
      </c>
      <c r="O60" s="2">
        <f>SUM(Levy!F62:J62)</f>
        <v>1403412.1300000001</v>
      </c>
      <c r="P60" s="2">
        <f>SUM(Levy!U62:V62)</f>
        <v>831.12999999999988</v>
      </c>
      <c r="Q60" s="2">
        <f t="shared" si="4"/>
        <v>1402581.0000000002</v>
      </c>
    </row>
    <row r="61" spans="1:17" x14ac:dyDescent="0.2">
      <c r="A61" s="4">
        <v>191</v>
      </c>
      <c r="B61" s="4">
        <v>1</v>
      </c>
      <c r="C61" s="2" t="s">
        <v>58</v>
      </c>
      <c r="D61" s="3">
        <f>SUM('Shift 14'!D60:L60)</f>
        <v>3973035.9000000004</v>
      </c>
      <c r="E61" s="3">
        <f>ROUND(MAX(0,(Levy!Q63+Data!D62+Data!E62-Levy!U63)*0.5),2)</f>
        <v>11151280</v>
      </c>
      <c r="F61" s="3">
        <f t="shared" si="5"/>
        <v>0</v>
      </c>
      <c r="G61" s="3">
        <f t="shared" si="0"/>
        <v>3973035.9000000004</v>
      </c>
      <c r="I61" s="3">
        <f>SUM('Shift 14'!M60:N60)</f>
        <v>0</v>
      </c>
      <c r="J61" s="3">
        <f>ROUND(MAX(0,(Levy!R63-Levy!V63)*0.5),2)</f>
        <v>542497.5</v>
      </c>
      <c r="K61" s="3">
        <f t="shared" si="1"/>
        <v>0</v>
      </c>
      <c r="L61" s="3">
        <f t="shared" si="2"/>
        <v>0</v>
      </c>
      <c r="N61" s="3">
        <f t="shared" si="3"/>
        <v>3973035.9000000004</v>
      </c>
      <c r="O61" s="2">
        <f>SUM(Levy!F63:J63)</f>
        <v>23387555</v>
      </c>
      <c r="P61" s="2">
        <f>SUM(Levy!U63:V63)</f>
        <v>0</v>
      </c>
      <c r="Q61" s="2">
        <f t="shared" si="4"/>
        <v>23387555</v>
      </c>
    </row>
    <row r="62" spans="1:17" x14ac:dyDescent="0.2">
      <c r="A62" s="4">
        <v>192</v>
      </c>
      <c r="B62" s="4">
        <v>1</v>
      </c>
      <c r="C62" s="2" t="s">
        <v>59</v>
      </c>
      <c r="D62" s="3">
        <f>SUM('Shift 14'!D61:L61)</f>
        <v>574571.47</v>
      </c>
      <c r="E62" s="3">
        <f>ROUND(MAX(0,(Levy!Q64+Data!D63+Data!E63-Levy!U64)*0.5),2)</f>
        <v>2454415.2599999998</v>
      </c>
      <c r="F62" s="3">
        <f t="shared" si="5"/>
        <v>0</v>
      </c>
      <c r="G62" s="3">
        <f t="shared" si="0"/>
        <v>574571.47</v>
      </c>
      <c r="I62" s="3">
        <f>SUM('Shift 14'!M61:N61)</f>
        <v>0</v>
      </c>
      <c r="J62" s="3">
        <f>ROUND(MAX(0,(Levy!R64-Levy!V64)*0.5),2)</f>
        <v>262179.15000000002</v>
      </c>
      <c r="K62" s="3">
        <f t="shared" si="1"/>
        <v>0</v>
      </c>
      <c r="L62" s="3">
        <f t="shared" si="2"/>
        <v>0</v>
      </c>
      <c r="N62" s="3">
        <f t="shared" si="3"/>
        <v>574571.47</v>
      </c>
      <c r="O62" s="2">
        <f>SUM(Levy!F64:J64)</f>
        <v>5446463</v>
      </c>
      <c r="P62" s="2">
        <f>SUM(Levy!U64:V64)</f>
        <v>13274.190000000002</v>
      </c>
      <c r="Q62" s="2">
        <f t="shared" si="4"/>
        <v>5433188.8099999996</v>
      </c>
    </row>
    <row r="63" spans="1:17" x14ac:dyDescent="0.2">
      <c r="A63" s="4">
        <v>194</v>
      </c>
      <c r="B63" s="4">
        <v>1</v>
      </c>
      <c r="C63" s="2" t="s">
        <v>60</v>
      </c>
      <c r="D63" s="3">
        <f>SUM('Shift 14'!D62:L62)</f>
        <v>2732201.71</v>
      </c>
      <c r="E63" s="3">
        <f>ROUND(MAX(0,(Levy!Q65+Data!D64+Data!E64-Levy!U65)*0.5),2)</f>
        <v>9671904.2699999996</v>
      </c>
      <c r="F63" s="3">
        <f t="shared" si="5"/>
        <v>0</v>
      </c>
      <c r="G63" s="3">
        <f t="shared" si="0"/>
        <v>2732201.71</v>
      </c>
      <c r="I63" s="3">
        <f>SUM('Shift 14'!M62:N62)</f>
        <v>0</v>
      </c>
      <c r="J63" s="3">
        <f>ROUND(MAX(0,(Levy!R65-Levy!V65)*0.5),2)</f>
        <v>477095.69</v>
      </c>
      <c r="K63" s="3">
        <f t="shared" si="1"/>
        <v>0</v>
      </c>
      <c r="L63" s="3">
        <f t="shared" si="2"/>
        <v>0</v>
      </c>
      <c r="N63" s="3">
        <f t="shared" si="3"/>
        <v>2732201.71</v>
      </c>
      <c r="O63" s="2">
        <f>SUM(Levy!F65:J65)</f>
        <v>20301893</v>
      </c>
      <c r="P63" s="2">
        <f>SUM(Levy!U65:V65)</f>
        <v>3893.0800000000004</v>
      </c>
      <c r="Q63" s="2">
        <f t="shared" si="4"/>
        <v>20297999.920000002</v>
      </c>
    </row>
    <row r="64" spans="1:17" x14ac:dyDescent="0.2">
      <c r="A64" s="4">
        <v>195</v>
      </c>
      <c r="B64" s="4">
        <v>1</v>
      </c>
      <c r="C64" s="2" t="s">
        <v>61</v>
      </c>
      <c r="D64" s="3">
        <f>SUM('Shift 14'!D63:L63)</f>
        <v>155214.50999999998</v>
      </c>
      <c r="E64" s="3">
        <f>ROUND(MAX(0,(Levy!Q66+Data!D65+Data!E65-Levy!U66)*0.5),2)</f>
        <v>229599.8</v>
      </c>
      <c r="F64" s="3">
        <f t="shared" si="5"/>
        <v>0</v>
      </c>
      <c r="G64" s="3">
        <f t="shared" si="0"/>
        <v>155214.50999999998</v>
      </c>
      <c r="I64" s="3">
        <f>SUM('Shift 14'!M63:N63)</f>
        <v>0</v>
      </c>
      <c r="J64" s="3">
        <f>ROUND(MAX(0,(Levy!R66-Levy!V66)*0.5),2)</f>
        <v>9384.59</v>
      </c>
      <c r="K64" s="3">
        <f t="shared" si="1"/>
        <v>0</v>
      </c>
      <c r="L64" s="3">
        <f t="shared" si="2"/>
        <v>0</v>
      </c>
      <c r="N64" s="3">
        <f t="shared" si="3"/>
        <v>155214.50999999998</v>
      </c>
      <c r="O64" s="2">
        <f>SUM(Levy!F66:J66)</f>
        <v>481344</v>
      </c>
      <c r="P64" s="2">
        <f>SUM(Levy!U66:V66)</f>
        <v>3375.22</v>
      </c>
      <c r="Q64" s="2">
        <f t="shared" si="4"/>
        <v>477968.78</v>
      </c>
    </row>
    <row r="65" spans="1:17" x14ac:dyDescent="0.2">
      <c r="A65" s="4">
        <v>196</v>
      </c>
      <c r="B65" s="4">
        <v>1</v>
      </c>
      <c r="C65" s="2" t="s">
        <v>62</v>
      </c>
      <c r="D65" s="3">
        <f>SUM('Shift 14'!D64:L64)</f>
        <v>3225511.5700000003</v>
      </c>
      <c r="E65" s="3">
        <f>ROUND(MAX(0,(Levy!Q67+Data!D66+Data!E66-Levy!U67)*0.5),2)</f>
        <v>28695630.300000001</v>
      </c>
      <c r="F65" s="3">
        <f t="shared" si="5"/>
        <v>0</v>
      </c>
      <c r="G65" s="3">
        <f t="shared" si="0"/>
        <v>3225511.5700000003</v>
      </c>
      <c r="I65" s="3">
        <f>SUM('Shift 14'!M64:N64)</f>
        <v>0</v>
      </c>
      <c r="J65" s="3">
        <f>ROUND(MAX(0,(Levy!R67-Levy!V67)*0.5),2)</f>
        <v>837957.27</v>
      </c>
      <c r="K65" s="3">
        <f t="shared" si="1"/>
        <v>0</v>
      </c>
      <c r="L65" s="3">
        <f t="shared" si="2"/>
        <v>0</v>
      </c>
      <c r="N65" s="3">
        <f t="shared" si="3"/>
        <v>3225511.5700000003</v>
      </c>
      <c r="O65" s="2">
        <f>SUM(Levy!F67:J67)</f>
        <v>59071061</v>
      </c>
      <c r="P65" s="2">
        <f>SUM(Levy!U67:V67)</f>
        <v>3885.88</v>
      </c>
      <c r="Q65" s="2">
        <f t="shared" si="4"/>
        <v>59067175.119999997</v>
      </c>
    </row>
    <row r="66" spans="1:17" x14ac:dyDescent="0.2">
      <c r="A66" s="4">
        <v>197</v>
      </c>
      <c r="B66" s="4">
        <v>1</v>
      </c>
      <c r="C66" s="2" t="s">
        <v>815</v>
      </c>
      <c r="D66" s="3">
        <f>SUM('Shift 14'!D65:L65)</f>
        <v>1944043.1600000001</v>
      </c>
      <c r="E66" s="3">
        <f>ROUND(MAX(0,(Levy!Q68+Data!D67+Data!E67-Levy!U68)*0.5),2)</f>
        <v>7241193.5800000001</v>
      </c>
      <c r="F66" s="3">
        <f t="shared" si="5"/>
        <v>0</v>
      </c>
      <c r="G66" s="3">
        <f t="shared" si="0"/>
        <v>1944043.1600000001</v>
      </c>
      <c r="I66" s="3">
        <f>SUM('Shift 14'!M65:N65)</f>
        <v>0</v>
      </c>
      <c r="J66" s="3">
        <f>ROUND(MAX(0,(Levy!R68-Levy!V68)*0.5),2)</f>
        <v>445455.69</v>
      </c>
      <c r="K66" s="3">
        <f t="shared" si="1"/>
        <v>0</v>
      </c>
      <c r="L66" s="3">
        <f t="shared" si="2"/>
        <v>0</v>
      </c>
      <c r="N66" s="3">
        <f t="shared" si="3"/>
        <v>1944043.1600000001</v>
      </c>
      <c r="O66" s="2">
        <f>SUM(Levy!F68:J68)</f>
        <v>15373453</v>
      </c>
      <c r="P66" s="2">
        <f>SUM(Levy!U68:V68)</f>
        <v>154.48000000000002</v>
      </c>
      <c r="Q66" s="2">
        <f t="shared" si="4"/>
        <v>15373298.52</v>
      </c>
    </row>
    <row r="67" spans="1:17" x14ac:dyDescent="0.2">
      <c r="A67" s="4">
        <v>199</v>
      </c>
      <c r="B67" s="4">
        <v>1</v>
      </c>
      <c r="C67" s="2" t="s">
        <v>1172</v>
      </c>
      <c r="D67" s="3">
        <f>SUM('Shift 14'!D66:L66)</f>
        <v>1123512.8099999998</v>
      </c>
      <c r="E67" s="3">
        <f>ROUND(MAX(0,(Levy!Q69+Data!D68+Data!E68-Levy!U69)*0.5),2)</f>
        <v>3339155.76</v>
      </c>
      <c r="F67" s="3">
        <f t="shared" si="5"/>
        <v>0</v>
      </c>
      <c r="G67" s="3">
        <f t="shared" si="0"/>
        <v>1123512.8099999998</v>
      </c>
      <c r="I67" s="3">
        <f>SUM('Shift 14'!M66:N66)</f>
        <v>0</v>
      </c>
      <c r="J67" s="3">
        <f>ROUND(MAX(0,(Levy!R69-Levy!V69)*0.5),2)</f>
        <v>220689.75</v>
      </c>
      <c r="K67" s="3">
        <f t="shared" si="1"/>
        <v>0</v>
      </c>
      <c r="L67" s="3">
        <f t="shared" si="2"/>
        <v>0</v>
      </c>
      <c r="N67" s="3">
        <f t="shared" si="3"/>
        <v>1123512.8099999998</v>
      </c>
      <c r="O67" s="2">
        <f>SUM(Levy!F69:J69)</f>
        <v>7119958</v>
      </c>
      <c r="P67" s="2">
        <f>SUM(Levy!U69:V69)</f>
        <v>266.98999999999995</v>
      </c>
      <c r="Q67" s="2">
        <f t="shared" si="4"/>
        <v>7119691.0099999998</v>
      </c>
    </row>
    <row r="68" spans="1:17" x14ac:dyDescent="0.2">
      <c r="A68" s="4">
        <v>200</v>
      </c>
      <c r="B68" s="4">
        <v>1</v>
      </c>
      <c r="C68" s="2" t="s">
        <v>65</v>
      </c>
      <c r="D68" s="3">
        <f>SUM('Shift 14'!D67:L67)</f>
        <v>598110.18000000005</v>
      </c>
      <c r="E68" s="3">
        <f>ROUND(MAX(0,(Levy!Q70+Data!D69+Data!E69-Levy!U70)*0.5),2)</f>
        <v>4588101.3</v>
      </c>
      <c r="F68" s="3">
        <f t="shared" si="5"/>
        <v>0</v>
      </c>
      <c r="G68" s="3">
        <f t="shared" si="0"/>
        <v>598110.18000000005</v>
      </c>
      <c r="I68" s="3">
        <f>SUM('Shift 14'!M67:N67)</f>
        <v>0</v>
      </c>
      <c r="J68" s="3">
        <f>ROUND(MAX(0,(Levy!R70-Levy!V70)*0.5),2)</f>
        <v>239899.62</v>
      </c>
      <c r="K68" s="3">
        <f t="shared" si="1"/>
        <v>0</v>
      </c>
      <c r="L68" s="3">
        <f t="shared" si="2"/>
        <v>0</v>
      </c>
      <c r="N68" s="3">
        <f t="shared" si="3"/>
        <v>598110.18000000005</v>
      </c>
      <c r="O68" s="2">
        <f>SUM(Levy!F70:J70)</f>
        <v>9669626</v>
      </c>
      <c r="P68" s="2">
        <f>SUM(Levy!U70:V70)</f>
        <v>13624.16</v>
      </c>
      <c r="Q68" s="2">
        <f t="shared" si="4"/>
        <v>9656001.8399999999</v>
      </c>
    </row>
    <row r="69" spans="1:17" x14ac:dyDescent="0.2">
      <c r="A69" s="4">
        <v>203</v>
      </c>
      <c r="B69" s="4">
        <v>1</v>
      </c>
      <c r="C69" s="2" t="s">
        <v>66</v>
      </c>
      <c r="D69" s="3">
        <f>SUM('Shift 14'!D68:L68)</f>
        <v>20777.870000000003</v>
      </c>
      <c r="E69" s="3">
        <f>ROUND(MAX(0,(Levy!Q71+Data!D70+Data!E70-Levy!U71)*0.5),2)</f>
        <v>450997.99</v>
      </c>
      <c r="F69" s="3">
        <f t="shared" si="5"/>
        <v>0</v>
      </c>
      <c r="G69" s="3">
        <f t="shared" si="0"/>
        <v>20777.870000000003</v>
      </c>
      <c r="I69" s="3">
        <f>SUM('Shift 14'!M68:N68)</f>
        <v>0</v>
      </c>
      <c r="J69" s="3">
        <f>ROUND(MAX(0,(Levy!R71-Levy!V71)*0.5),2)</f>
        <v>34022.22</v>
      </c>
      <c r="K69" s="3">
        <f t="shared" si="1"/>
        <v>0</v>
      </c>
      <c r="L69" s="3">
        <f t="shared" si="2"/>
        <v>0</v>
      </c>
      <c r="N69" s="3">
        <f t="shared" si="3"/>
        <v>20777.870000000003</v>
      </c>
      <c r="O69" s="2">
        <f>SUM(Levy!F71:J71)</f>
        <v>985867.26</v>
      </c>
      <c r="P69" s="2">
        <f>SUM(Levy!U71:V71)</f>
        <v>15826.849999999999</v>
      </c>
      <c r="Q69" s="2">
        <f t="shared" si="4"/>
        <v>970040.41</v>
      </c>
    </row>
    <row r="70" spans="1:17" x14ac:dyDescent="0.2">
      <c r="A70" s="4">
        <v>204</v>
      </c>
      <c r="B70" s="4">
        <v>1</v>
      </c>
      <c r="C70" s="2" t="s">
        <v>1173</v>
      </c>
      <c r="D70" s="3">
        <f>SUM('Shift 14'!D69:L69)</f>
        <v>106349.47</v>
      </c>
      <c r="E70" s="3">
        <f>ROUND(MAX(0,(Levy!Q72+Data!D71+Data!E71-Levy!U72)*0.5),2)</f>
        <v>373089.63</v>
      </c>
      <c r="F70" s="3">
        <f t="shared" si="5"/>
        <v>0</v>
      </c>
      <c r="G70" s="3">
        <f t="shared" si="0"/>
        <v>106349.47</v>
      </c>
      <c r="I70" s="3">
        <f>SUM('Shift 14'!M69:N69)</f>
        <v>0</v>
      </c>
      <c r="J70" s="3">
        <f>ROUND(MAX(0,(Levy!R72-Levy!V72)*0.5),2)</f>
        <v>53140.93</v>
      </c>
      <c r="K70" s="3">
        <f t="shared" si="1"/>
        <v>0</v>
      </c>
      <c r="L70" s="3">
        <f t="shared" si="2"/>
        <v>0</v>
      </c>
      <c r="N70" s="3">
        <f t="shared" si="3"/>
        <v>106349.47</v>
      </c>
      <c r="O70" s="2">
        <f>SUM(Levy!F72:J72)</f>
        <v>858640.05999999994</v>
      </c>
      <c r="P70" s="2">
        <f>SUM(Levy!U72:V72)</f>
        <v>6178.9600000000009</v>
      </c>
      <c r="Q70" s="2">
        <f t="shared" si="4"/>
        <v>852461.1</v>
      </c>
    </row>
    <row r="71" spans="1:17" x14ac:dyDescent="0.2">
      <c r="A71" s="4">
        <v>206</v>
      </c>
      <c r="B71" s="4">
        <v>1</v>
      </c>
      <c r="C71" s="2" t="s">
        <v>68</v>
      </c>
      <c r="D71" s="3">
        <f>SUM('Shift 14'!D70:L70)</f>
        <v>475118.30999999994</v>
      </c>
      <c r="E71" s="3">
        <f>ROUND(MAX(0,(Levy!Q73+Data!D72+Data!E72-Levy!U73)*0.5),2)</f>
        <v>1985667.91</v>
      </c>
      <c r="F71" s="3">
        <f t="shared" ref="F71:F130" si="6">IF(D71&gt;E71,D71-E71,0)</f>
        <v>0</v>
      </c>
      <c r="G71" s="3">
        <f t="shared" ref="G71:G130" si="7">MAX(0,MIN(D71,E71))</f>
        <v>475118.30999999994</v>
      </c>
      <c r="I71" s="3">
        <f>SUM('Shift 14'!M70:N70)</f>
        <v>0</v>
      </c>
      <c r="J71" s="3">
        <f>ROUND(MAX(0,(Levy!R73-Levy!V73)*0.5),2)</f>
        <v>229423.27</v>
      </c>
      <c r="K71" s="3">
        <f t="shared" ref="K71:K130" si="8">IF(I71&gt;J71,I71-J71,0)</f>
        <v>0</v>
      </c>
      <c r="L71" s="3">
        <f t="shared" ref="L71:L130" si="9">MAX(0,MIN(I71,J71))</f>
        <v>0</v>
      </c>
      <c r="N71" s="3">
        <f t="shared" si="3"/>
        <v>475118.30999999994</v>
      </c>
      <c r="O71" s="2">
        <f>SUM(Levy!F73:J73)</f>
        <v>4439640.4400000004</v>
      </c>
      <c r="P71" s="2">
        <f>SUM(Levy!U73:V73)</f>
        <v>9458.090000000002</v>
      </c>
      <c r="Q71" s="2">
        <f t="shared" si="4"/>
        <v>4430182.3500000006</v>
      </c>
    </row>
    <row r="72" spans="1:17" x14ac:dyDescent="0.2">
      <c r="A72" s="4">
        <v>213</v>
      </c>
      <c r="B72" s="4">
        <v>1</v>
      </c>
      <c r="C72" s="2" t="s">
        <v>71</v>
      </c>
      <c r="D72" s="3">
        <f>SUM('Shift 14'!D71:L71)</f>
        <v>29347.559999999998</v>
      </c>
      <c r="E72" s="3">
        <f>ROUND(MAX(0,(Levy!Q74+Data!D73+Data!E73-Levy!U74)*0.5),2)</f>
        <v>167735.20000000001</v>
      </c>
      <c r="F72" s="3">
        <f t="shared" si="6"/>
        <v>0</v>
      </c>
      <c r="G72" s="3">
        <f t="shared" si="7"/>
        <v>29347.559999999998</v>
      </c>
      <c r="I72" s="3">
        <f>SUM('Shift 14'!M71:N71)</f>
        <v>0</v>
      </c>
      <c r="J72" s="3">
        <f>ROUND(MAX(0,(Levy!R74-Levy!V74)*0.5),2)</f>
        <v>23846.78</v>
      </c>
      <c r="K72" s="3">
        <f t="shared" si="8"/>
        <v>0</v>
      </c>
      <c r="L72" s="3">
        <f t="shared" si="9"/>
        <v>0</v>
      </c>
      <c r="N72" s="3">
        <f t="shared" ref="N72:N133" si="10">G72+L72</f>
        <v>29347.559999999998</v>
      </c>
      <c r="O72" s="2">
        <f>SUM(Levy!F74:J74)</f>
        <v>387894.79</v>
      </c>
      <c r="P72" s="2">
        <f>SUM(Levy!U74:V74)</f>
        <v>4730.84</v>
      </c>
      <c r="Q72" s="2">
        <f t="shared" ref="Q72:Q133" si="11">O72-P72</f>
        <v>383163.94999999995</v>
      </c>
    </row>
    <row r="73" spans="1:17" x14ac:dyDescent="0.2">
      <c r="A73" s="4">
        <v>227</v>
      </c>
      <c r="B73" s="4">
        <v>1</v>
      </c>
      <c r="C73" s="2" t="s">
        <v>72</v>
      </c>
      <c r="D73" s="3">
        <f>SUM('Shift 14'!D72:L72)</f>
        <v>53831.590000000004</v>
      </c>
      <c r="E73" s="3">
        <f>ROUND(MAX(0,(Levy!Q75+Data!D74+Data!E74-Levy!U75)*0.5),2)</f>
        <v>311359.19</v>
      </c>
      <c r="F73" s="3">
        <f t="shared" si="6"/>
        <v>0</v>
      </c>
      <c r="G73" s="3">
        <f t="shared" si="7"/>
        <v>53831.590000000004</v>
      </c>
      <c r="I73" s="3">
        <f>SUM('Shift 14'!M72:N72)</f>
        <v>0</v>
      </c>
      <c r="J73" s="3">
        <f>ROUND(MAX(0,(Levy!R75-Levy!V75)*0.5),2)</f>
        <v>36445.61</v>
      </c>
      <c r="K73" s="3">
        <f t="shared" si="8"/>
        <v>0</v>
      </c>
      <c r="L73" s="3">
        <f t="shared" si="9"/>
        <v>0</v>
      </c>
      <c r="N73" s="3">
        <f t="shared" si="10"/>
        <v>53831.590000000004</v>
      </c>
      <c r="O73" s="2">
        <f>SUM(Levy!F75:J75)</f>
        <v>701643</v>
      </c>
      <c r="P73" s="2">
        <f>SUM(Levy!U75:V75)</f>
        <v>6033.41</v>
      </c>
      <c r="Q73" s="2">
        <f t="shared" si="11"/>
        <v>695609.59</v>
      </c>
    </row>
    <row r="74" spans="1:17" x14ac:dyDescent="0.2">
      <c r="A74" s="4">
        <v>229</v>
      </c>
      <c r="B74" s="4">
        <v>1</v>
      </c>
      <c r="C74" s="2" t="s">
        <v>73</v>
      </c>
      <c r="D74" s="3">
        <f>SUM('Shift 14'!D73:L73)</f>
        <v>37675.17</v>
      </c>
      <c r="E74" s="3">
        <f>ROUND(MAX(0,(Levy!Q76+Data!D75+Data!E75-Levy!U76)*0.5),2)</f>
        <v>120894.89</v>
      </c>
      <c r="F74" s="3">
        <f t="shared" si="6"/>
        <v>0</v>
      </c>
      <c r="G74" s="3">
        <f t="shared" si="7"/>
        <v>37675.17</v>
      </c>
      <c r="I74" s="3">
        <f>SUM('Shift 14'!M73:N73)</f>
        <v>0</v>
      </c>
      <c r="J74" s="3">
        <f>ROUND(MAX(0,(Levy!R76-Levy!V76)*0.5),2)</f>
        <v>10279.469999999999</v>
      </c>
      <c r="K74" s="3">
        <f t="shared" si="8"/>
        <v>0</v>
      </c>
      <c r="L74" s="3">
        <f t="shared" si="9"/>
        <v>0</v>
      </c>
      <c r="N74" s="3">
        <f t="shared" si="10"/>
        <v>37675.17</v>
      </c>
      <c r="O74" s="2">
        <f>SUM(Levy!F76:J76)</f>
        <v>275308</v>
      </c>
      <c r="P74" s="2">
        <f>SUM(Levy!U76:V76)</f>
        <v>12959.28</v>
      </c>
      <c r="Q74" s="2">
        <f t="shared" si="11"/>
        <v>262348.71999999997</v>
      </c>
    </row>
    <row r="75" spans="1:17" x14ac:dyDescent="0.2">
      <c r="A75" s="4">
        <v>238</v>
      </c>
      <c r="B75" s="4">
        <v>1</v>
      </c>
      <c r="C75" s="2" t="s">
        <v>74</v>
      </c>
      <c r="D75" s="3">
        <f>SUM('Shift 14'!D74:L74)</f>
        <v>63865.090000000004</v>
      </c>
      <c r="E75" s="3">
        <f>ROUND(MAX(0,(Levy!Q77+Data!D76+Data!E76-Levy!U77)*0.5),2)</f>
        <v>215799.54</v>
      </c>
      <c r="F75" s="3">
        <f t="shared" si="6"/>
        <v>0</v>
      </c>
      <c r="G75" s="3">
        <f t="shared" si="7"/>
        <v>63865.090000000004</v>
      </c>
      <c r="I75" s="3">
        <f>SUM('Shift 14'!M74:N74)</f>
        <v>0</v>
      </c>
      <c r="J75" s="3">
        <f>ROUND(MAX(0,(Levy!R77-Levy!V77)*0.5),2)</f>
        <v>5143.95</v>
      </c>
      <c r="K75" s="3">
        <f t="shared" si="8"/>
        <v>0</v>
      </c>
      <c r="L75" s="3">
        <f t="shared" si="9"/>
        <v>0</v>
      </c>
      <c r="N75" s="3">
        <f t="shared" si="10"/>
        <v>63865.090000000004</v>
      </c>
      <c r="O75" s="2">
        <f>SUM(Levy!F77:J77)</f>
        <v>448611</v>
      </c>
      <c r="P75" s="2">
        <f>SUM(Levy!U77:V77)</f>
        <v>6724.04</v>
      </c>
      <c r="Q75" s="2">
        <f t="shared" si="11"/>
        <v>441886.96</v>
      </c>
    </row>
    <row r="76" spans="1:17" x14ac:dyDescent="0.2">
      <c r="A76" s="4">
        <v>239</v>
      </c>
      <c r="B76" s="4">
        <v>1</v>
      </c>
      <c r="C76" s="2" t="s">
        <v>1174</v>
      </c>
      <c r="D76" s="3">
        <f>SUM('Shift 14'!D75:L75)</f>
        <v>43191.87000000001</v>
      </c>
      <c r="E76" s="3">
        <f>ROUND(MAX(0,(Levy!Q78+Data!D77+Data!E77-Levy!U78)*0.5),2)</f>
        <v>422452.27</v>
      </c>
      <c r="F76" s="3">
        <f t="shared" si="6"/>
        <v>0</v>
      </c>
      <c r="G76" s="3">
        <f t="shared" si="7"/>
        <v>43191.87000000001</v>
      </c>
      <c r="I76" s="3">
        <f>SUM('Shift 14'!M75:N75)</f>
        <v>0</v>
      </c>
      <c r="J76" s="3">
        <f>ROUND(MAX(0,(Levy!R78-Levy!V78)*0.5),2)</f>
        <v>22431.200000000001</v>
      </c>
      <c r="K76" s="3">
        <f t="shared" si="8"/>
        <v>0</v>
      </c>
      <c r="L76" s="3">
        <f t="shared" si="9"/>
        <v>0</v>
      </c>
      <c r="N76" s="3">
        <f t="shared" si="10"/>
        <v>43191.87000000001</v>
      </c>
      <c r="O76" s="2">
        <f>SUM(Levy!F78:J78)</f>
        <v>917813</v>
      </c>
      <c r="P76" s="2">
        <f>SUM(Levy!U78:V78)</f>
        <v>28046.059999999998</v>
      </c>
      <c r="Q76" s="2">
        <f t="shared" si="11"/>
        <v>889766.94</v>
      </c>
    </row>
    <row r="77" spans="1:17" x14ac:dyDescent="0.2">
      <c r="A77" s="4">
        <v>241</v>
      </c>
      <c r="B77" s="4">
        <v>1</v>
      </c>
      <c r="C77" s="2" t="s">
        <v>76</v>
      </c>
      <c r="D77" s="3">
        <f>SUM('Shift 14'!D76:L76)</f>
        <v>352394.65</v>
      </c>
      <c r="E77" s="3">
        <f>ROUND(MAX(0,(Levy!Q79+Data!D78+Data!E78-Levy!U79)*0.5),2)</f>
        <v>2159949.11</v>
      </c>
      <c r="F77" s="3">
        <f t="shared" si="6"/>
        <v>0</v>
      </c>
      <c r="G77" s="3">
        <f t="shared" si="7"/>
        <v>352394.65</v>
      </c>
      <c r="I77" s="3">
        <f>SUM('Shift 14'!M76:N76)</f>
        <v>0</v>
      </c>
      <c r="J77" s="3">
        <f>ROUND(MAX(0,(Levy!R79-Levy!V79)*0.5),2)</f>
        <v>118072.22</v>
      </c>
      <c r="K77" s="3">
        <f t="shared" si="8"/>
        <v>0</v>
      </c>
      <c r="L77" s="3">
        <f t="shared" si="9"/>
        <v>0</v>
      </c>
      <c r="N77" s="3">
        <f t="shared" si="10"/>
        <v>352394.65</v>
      </c>
      <c r="O77" s="2">
        <f>SUM(Levy!F79:J79)</f>
        <v>4575468</v>
      </c>
      <c r="P77" s="2">
        <f>SUM(Levy!U79:V79)</f>
        <v>19425.36</v>
      </c>
      <c r="Q77" s="2">
        <f t="shared" si="11"/>
        <v>4556042.6399999997</v>
      </c>
    </row>
    <row r="78" spans="1:17" x14ac:dyDescent="0.2">
      <c r="A78" s="4">
        <v>242</v>
      </c>
      <c r="B78" s="4">
        <v>1</v>
      </c>
      <c r="C78" s="2" t="s">
        <v>1175</v>
      </c>
      <c r="D78" s="3">
        <f>SUM('Shift 14'!D77:L77)</f>
        <v>51597.039999999994</v>
      </c>
      <c r="E78" s="3">
        <f>ROUND(MAX(0,(Levy!Q80+Data!D79+Data!E79-Levy!U80)*0.5),2)</f>
        <v>180550.41</v>
      </c>
      <c r="F78" s="3">
        <f t="shared" si="6"/>
        <v>0</v>
      </c>
      <c r="G78" s="3">
        <f t="shared" si="7"/>
        <v>51597.039999999994</v>
      </c>
      <c r="I78" s="3">
        <f>SUM('Shift 14'!M77:N77)</f>
        <v>0</v>
      </c>
      <c r="J78" s="3">
        <f>ROUND(MAX(0,(Levy!R80-Levy!V80)*0.5),2)</f>
        <v>10130.6</v>
      </c>
      <c r="K78" s="3">
        <f t="shared" si="8"/>
        <v>0</v>
      </c>
      <c r="L78" s="3">
        <f t="shared" si="9"/>
        <v>0</v>
      </c>
      <c r="N78" s="3">
        <f t="shared" si="10"/>
        <v>51597.039999999994</v>
      </c>
      <c r="O78" s="2">
        <f>SUM(Levy!F80:J80)</f>
        <v>385428</v>
      </c>
      <c r="P78" s="2">
        <f>SUM(Levy!U80:V80)</f>
        <v>4065.99</v>
      </c>
      <c r="Q78" s="2">
        <f t="shared" si="11"/>
        <v>381362.01</v>
      </c>
    </row>
    <row r="79" spans="1:17" x14ac:dyDescent="0.2">
      <c r="A79" s="4">
        <v>252</v>
      </c>
      <c r="B79" s="4">
        <v>1</v>
      </c>
      <c r="C79" s="2" t="s">
        <v>78</v>
      </c>
      <c r="D79" s="3">
        <f>SUM('Shift 14'!D78:L78)</f>
        <v>144248.66</v>
      </c>
      <c r="E79" s="3">
        <f>ROUND(MAX(0,(Levy!Q81+Data!D80+Data!E80-Levy!U81)*0.5),2)</f>
        <v>650414.84</v>
      </c>
      <c r="F79" s="3">
        <f t="shared" si="6"/>
        <v>0</v>
      </c>
      <c r="G79" s="3">
        <f t="shared" si="7"/>
        <v>144248.66</v>
      </c>
      <c r="I79" s="3">
        <f>SUM('Shift 14'!M78:N78)</f>
        <v>0</v>
      </c>
      <c r="J79" s="3">
        <f>ROUND(MAX(0,(Levy!R81-Levy!V81)*0.5),2)</f>
        <v>75196.27</v>
      </c>
      <c r="K79" s="3">
        <f t="shared" si="8"/>
        <v>0</v>
      </c>
      <c r="L79" s="3">
        <f t="shared" si="9"/>
        <v>0</v>
      </c>
      <c r="N79" s="3">
        <f t="shared" si="10"/>
        <v>144248.66</v>
      </c>
      <c r="O79" s="2">
        <f>SUM(Levy!F81:J81)</f>
        <v>1459779</v>
      </c>
      <c r="P79" s="2">
        <f>SUM(Levy!U81:V81)</f>
        <v>8556.7900000000009</v>
      </c>
      <c r="Q79" s="2">
        <f t="shared" si="11"/>
        <v>1451222.21</v>
      </c>
    </row>
    <row r="80" spans="1:17" x14ac:dyDescent="0.2">
      <c r="A80" s="4">
        <v>253</v>
      </c>
      <c r="B80" s="4">
        <v>1</v>
      </c>
      <c r="C80" s="2" t="s">
        <v>79</v>
      </c>
      <c r="D80" s="3">
        <f>SUM('Shift 14'!D79:L79)</f>
        <v>43154.689999999995</v>
      </c>
      <c r="E80" s="3">
        <f>ROUND(MAX(0,(Levy!Q82+Data!D81+Data!E81-Levy!U82)*0.5),2)</f>
        <v>202037.72</v>
      </c>
      <c r="F80" s="3">
        <f t="shared" si="6"/>
        <v>0</v>
      </c>
      <c r="G80" s="3">
        <f t="shared" si="7"/>
        <v>43154.689999999995</v>
      </c>
      <c r="I80" s="3">
        <f>SUM('Shift 14'!M79:N79)</f>
        <v>0</v>
      </c>
      <c r="J80" s="3">
        <f>ROUND(MAX(0,(Levy!R82-Levy!V82)*0.5),2)</f>
        <v>16797.93</v>
      </c>
      <c r="K80" s="3">
        <f t="shared" si="8"/>
        <v>0</v>
      </c>
      <c r="L80" s="3">
        <f t="shared" si="9"/>
        <v>0</v>
      </c>
      <c r="N80" s="3">
        <f t="shared" si="10"/>
        <v>43154.689999999995</v>
      </c>
      <c r="O80" s="2">
        <f>SUM(Levy!F82:J82)</f>
        <v>443028</v>
      </c>
      <c r="P80" s="2">
        <f>SUM(Levy!U82:V82)</f>
        <v>5356.7199999999993</v>
      </c>
      <c r="Q80" s="2">
        <f t="shared" si="11"/>
        <v>437671.28</v>
      </c>
    </row>
    <row r="81" spans="1:17" x14ac:dyDescent="0.2">
      <c r="A81" s="4">
        <v>255</v>
      </c>
      <c r="B81" s="4">
        <v>1</v>
      </c>
      <c r="C81" s="2" t="s">
        <v>80</v>
      </c>
      <c r="D81" s="3">
        <f>SUM('Shift 14'!D80:L80)</f>
        <v>56410.55</v>
      </c>
      <c r="E81" s="3">
        <f>ROUND(MAX(0,(Levy!Q83+Data!D82+Data!E82-Levy!U83)*0.5),2)</f>
        <v>537242.62</v>
      </c>
      <c r="F81" s="3">
        <f t="shared" si="6"/>
        <v>0</v>
      </c>
      <c r="G81" s="3">
        <f t="shared" si="7"/>
        <v>56410.55</v>
      </c>
      <c r="I81" s="3">
        <f>SUM('Shift 14'!M80:N80)</f>
        <v>0</v>
      </c>
      <c r="J81" s="3">
        <f>ROUND(MAX(0,(Levy!R83-Levy!V83)*0.5),2)</f>
        <v>82643.42</v>
      </c>
      <c r="K81" s="3">
        <f t="shared" si="8"/>
        <v>0</v>
      </c>
      <c r="L81" s="3">
        <f t="shared" si="9"/>
        <v>0</v>
      </c>
      <c r="N81" s="3">
        <f t="shared" si="10"/>
        <v>56410.55</v>
      </c>
      <c r="O81" s="2">
        <f>SUM(Levy!F83:J83)</f>
        <v>1253013</v>
      </c>
      <c r="P81" s="2">
        <f>SUM(Levy!U83:V83)</f>
        <v>13240.92</v>
      </c>
      <c r="Q81" s="2">
        <f t="shared" si="11"/>
        <v>1239772.08</v>
      </c>
    </row>
    <row r="82" spans="1:17" x14ac:dyDescent="0.2">
      <c r="A82" s="4">
        <v>256</v>
      </c>
      <c r="B82" s="4">
        <v>1</v>
      </c>
      <c r="C82" s="2" t="s">
        <v>81</v>
      </c>
      <c r="D82" s="3">
        <f>SUM('Shift 14'!D81:L81)</f>
        <v>526215.65</v>
      </c>
      <c r="E82" s="3">
        <f>ROUND(MAX(0,(Levy!Q84+Data!D83+Data!E83-Levy!U84)*0.5),2)</f>
        <v>2709069.89</v>
      </c>
      <c r="F82" s="3">
        <f t="shared" si="6"/>
        <v>0</v>
      </c>
      <c r="G82" s="3">
        <f t="shared" si="7"/>
        <v>526215.65</v>
      </c>
      <c r="I82" s="3">
        <f>SUM('Shift 14'!M81:N81)</f>
        <v>0</v>
      </c>
      <c r="J82" s="3">
        <f>ROUND(MAX(0,(Levy!R84-Levy!V84)*0.5),2)</f>
        <v>159461.64000000001</v>
      </c>
      <c r="K82" s="3">
        <f t="shared" si="8"/>
        <v>0</v>
      </c>
      <c r="L82" s="3">
        <f t="shared" si="9"/>
        <v>0</v>
      </c>
      <c r="N82" s="3">
        <f t="shared" si="10"/>
        <v>526215.65</v>
      </c>
      <c r="O82" s="2">
        <f>SUM(Levy!F84:J84)</f>
        <v>5758736</v>
      </c>
      <c r="P82" s="2">
        <f>SUM(Levy!U84:V84)</f>
        <v>21672.94</v>
      </c>
      <c r="Q82" s="2">
        <f t="shared" si="11"/>
        <v>5737063.0599999996</v>
      </c>
    </row>
    <row r="83" spans="1:17" x14ac:dyDescent="0.2">
      <c r="A83" s="4">
        <v>261</v>
      </c>
      <c r="B83" s="4">
        <v>1</v>
      </c>
      <c r="C83" s="2" t="s">
        <v>82</v>
      </c>
      <c r="D83" s="3">
        <f>SUM('Shift 14'!D82:L82)</f>
        <v>19201.739999999998</v>
      </c>
      <c r="E83" s="3">
        <f>ROUND(MAX(0,(Levy!Q85+Data!D84+Data!E84-Levy!U85)*0.5),2)</f>
        <v>197040.64000000001</v>
      </c>
      <c r="F83" s="3">
        <f t="shared" si="6"/>
        <v>0</v>
      </c>
      <c r="G83" s="3">
        <f t="shared" si="7"/>
        <v>19201.739999999998</v>
      </c>
      <c r="I83" s="3">
        <f>SUM('Shift 14'!M82:N82)</f>
        <v>0</v>
      </c>
      <c r="J83" s="3">
        <f>ROUND(MAX(0,(Levy!R85-Levy!V85)*0.5),2)</f>
        <v>8848.2900000000009</v>
      </c>
      <c r="K83" s="3">
        <f t="shared" si="8"/>
        <v>0</v>
      </c>
      <c r="L83" s="3">
        <f t="shared" si="9"/>
        <v>0</v>
      </c>
      <c r="N83" s="3">
        <f t="shared" si="10"/>
        <v>19201.739999999998</v>
      </c>
      <c r="O83" s="2">
        <f>SUM(Levy!F85:J85)</f>
        <v>414525.72</v>
      </c>
      <c r="P83" s="2">
        <f>SUM(Levy!U85:V85)</f>
        <v>2747.8799999999997</v>
      </c>
      <c r="Q83" s="2">
        <f t="shared" si="11"/>
        <v>411777.83999999997</v>
      </c>
    </row>
    <row r="84" spans="1:17" x14ac:dyDescent="0.2">
      <c r="A84" s="4">
        <v>264</v>
      </c>
      <c r="B84" s="4">
        <v>1</v>
      </c>
      <c r="C84" s="2" t="s">
        <v>83</v>
      </c>
      <c r="D84" s="3">
        <f>SUM('Shift 14'!D83:L83)</f>
        <v>130285.40000000001</v>
      </c>
      <c r="E84" s="3">
        <f>ROUND(MAX(0,(Levy!Q86+Data!D85+Data!E85-Levy!U86)*0.5),2)</f>
        <v>100018.31</v>
      </c>
      <c r="F84" s="3">
        <f t="shared" si="6"/>
        <v>30267.090000000011</v>
      </c>
      <c r="G84" s="3">
        <f t="shared" si="7"/>
        <v>100018.31</v>
      </c>
      <c r="I84" s="3">
        <f>SUM('Shift 14'!M83:N83)</f>
        <v>0</v>
      </c>
      <c r="J84" s="3">
        <f>ROUND(MAX(0,(Levy!R86-Levy!V86)*0.5),2)</f>
        <v>12120.93</v>
      </c>
      <c r="K84" s="3">
        <f t="shared" si="8"/>
        <v>0</v>
      </c>
      <c r="L84" s="3">
        <f t="shared" si="9"/>
        <v>0</v>
      </c>
      <c r="N84" s="3">
        <f t="shared" si="10"/>
        <v>100018.31</v>
      </c>
      <c r="O84" s="2">
        <f>SUM(Levy!F86:J86)</f>
        <v>228383.6</v>
      </c>
      <c r="P84" s="2">
        <f>SUM(Levy!U86:V86)</f>
        <v>4105.1400000000003</v>
      </c>
      <c r="Q84" s="2">
        <f t="shared" si="11"/>
        <v>224278.46</v>
      </c>
    </row>
    <row r="85" spans="1:17" x14ac:dyDescent="0.2">
      <c r="A85" s="4">
        <v>270</v>
      </c>
      <c r="B85" s="4">
        <v>1</v>
      </c>
      <c r="C85" s="2" t="s">
        <v>84</v>
      </c>
      <c r="D85" s="3">
        <f>SUM('Shift 14'!D84:L84)</f>
        <v>4399785.4300000006</v>
      </c>
      <c r="E85" s="3">
        <f>ROUND(MAX(0,(Levy!Q87+Data!D86+Data!E86-Levy!U87)*0.5),2)</f>
        <v>15940455.970000001</v>
      </c>
      <c r="F85" s="3">
        <f t="shared" si="6"/>
        <v>0</v>
      </c>
      <c r="G85" s="3">
        <f t="shared" si="7"/>
        <v>4399785.4300000006</v>
      </c>
      <c r="I85" s="3">
        <f>SUM('Shift 14'!M84:N84)</f>
        <v>0</v>
      </c>
      <c r="J85" s="3">
        <f>ROUND(MAX(0,(Levy!R87-Levy!V87)*0.5),2)</f>
        <v>817519.82</v>
      </c>
      <c r="K85" s="3">
        <f t="shared" si="8"/>
        <v>0</v>
      </c>
      <c r="L85" s="3">
        <f t="shared" si="9"/>
        <v>0</v>
      </c>
      <c r="N85" s="3">
        <f t="shared" si="10"/>
        <v>4399785.4300000006</v>
      </c>
      <c r="O85" s="2">
        <f>SUM(Levy!F87:J87)</f>
        <v>33515605.899999999</v>
      </c>
      <c r="P85" s="2">
        <f>SUM(Levy!U87:V87)</f>
        <v>-345.67</v>
      </c>
      <c r="Q85" s="2">
        <f t="shared" si="11"/>
        <v>33515951.57</v>
      </c>
    </row>
    <row r="86" spans="1:17" x14ac:dyDescent="0.2">
      <c r="A86" s="4">
        <v>271</v>
      </c>
      <c r="B86" s="4">
        <v>1</v>
      </c>
      <c r="C86" s="2" t="s">
        <v>85</v>
      </c>
      <c r="D86" s="3">
        <f>SUM('Shift 14'!D85:L85)</f>
        <v>4358615.79</v>
      </c>
      <c r="E86" s="3">
        <f>ROUND(MAX(0,(Levy!Q88+Data!D87+Data!E87-Levy!U88)*0.5),2)</f>
        <v>18880841.27</v>
      </c>
      <c r="F86" s="3">
        <f t="shared" si="6"/>
        <v>0</v>
      </c>
      <c r="G86" s="3">
        <f t="shared" si="7"/>
        <v>4358615.79</v>
      </c>
      <c r="I86" s="3">
        <f>SUM('Shift 14'!M85:N85)</f>
        <v>0</v>
      </c>
      <c r="J86" s="3">
        <f>ROUND(MAX(0,(Levy!R88-Levy!V88)*0.5),2)</f>
        <v>799565.29</v>
      </c>
      <c r="K86" s="3">
        <f t="shared" si="8"/>
        <v>0</v>
      </c>
      <c r="L86" s="3">
        <f t="shared" si="9"/>
        <v>0</v>
      </c>
      <c r="N86" s="3">
        <f t="shared" si="10"/>
        <v>4358615.79</v>
      </c>
      <c r="O86" s="2">
        <f>SUM(Levy!F88:J88)</f>
        <v>39360858.019999996</v>
      </c>
      <c r="P86" s="2">
        <f>SUM(Levy!U88:V88)</f>
        <v>44.9</v>
      </c>
      <c r="Q86" s="2">
        <f t="shared" si="11"/>
        <v>39360813.119999997</v>
      </c>
    </row>
    <row r="87" spans="1:17" x14ac:dyDescent="0.2">
      <c r="A87" s="4">
        <v>272</v>
      </c>
      <c r="B87" s="4">
        <v>1</v>
      </c>
      <c r="C87" s="2" t="s">
        <v>86</v>
      </c>
      <c r="D87" s="3">
        <f>SUM('Shift 14'!D86:L86)</f>
        <v>3696676.8200000003</v>
      </c>
      <c r="E87" s="3">
        <f>ROUND(MAX(0,(Levy!Q89+Data!D88+Data!E88-Levy!U89)*0.5),2)</f>
        <v>12764591.18</v>
      </c>
      <c r="F87" s="3">
        <f t="shared" si="6"/>
        <v>0</v>
      </c>
      <c r="G87" s="3">
        <f t="shared" si="7"/>
        <v>3696676.8200000003</v>
      </c>
      <c r="I87" s="3">
        <f>SUM('Shift 14'!M86:N86)</f>
        <v>0</v>
      </c>
      <c r="J87" s="3">
        <f>ROUND(MAX(0,(Levy!R89-Levy!V89)*0.5),2)</f>
        <v>587964.56000000006</v>
      </c>
      <c r="K87" s="3">
        <f t="shared" si="8"/>
        <v>0</v>
      </c>
      <c r="L87" s="3">
        <f t="shared" si="9"/>
        <v>0</v>
      </c>
      <c r="N87" s="3">
        <f t="shared" si="10"/>
        <v>3696676.8200000003</v>
      </c>
      <c r="O87" s="2">
        <f>SUM(Levy!F89:J89)</f>
        <v>26705290.230000004</v>
      </c>
      <c r="P87" s="2">
        <f>SUM(Levy!U89:V89)</f>
        <v>178.75</v>
      </c>
      <c r="Q87" s="2">
        <f t="shared" si="11"/>
        <v>26705111.480000004</v>
      </c>
    </row>
    <row r="88" spans="1:17" x14ac:dyDescent="0.2">
      <c r="A88" s="4">
        <v>273</v>
      </c>
      <c r="B88" s="4">
        <v>1</v>
      </c>
      <c r="C88" s="2" t="s">
        <v>87</v>
      </c>
      <c r="D88" s="3">
        <f>SUM('Shift 14'!D87:L87)</f>
        <v>3690191.81</v>
      </c>
      <c r="E88" s="3">
        <f>ROUND(MAX(0,(Levy!Q90+Data!D89+Data!E89-Levy!U90)*0.5),2)</f>
        <v>15861361.960000001</v>
      </c>
      <c r="F88" s="3">
        <f t="shared" si="6"/>
        <v>0</v>
      </c>
      <c r="G88" s="3">
        <f t="shared" si="7"/>
        <v>3690191.81</v>
      </c>
      <c r="I88" s="3">
        <f>SUM('Shift 14'!M87:N87)</f>
        <v>0</v>
      </c>
      <c r="J88" s="3">
        <f>ROUND(MAX(0,(Levy!R90-Levy!V90)*0.5),2)</f>
        <v>571124.61</v>
      </c>
      <c r="K88" s="3">
        <f t="shared" si="8"/>
        <v>0</v>
      </c>
      <c r="L88" s="3">
        <f t="shared" si="9"/>
        <v>0</v>
      </c>
      <c r="N88" s="3">
        <f t="shared" si="10"/>
        <v>3690191.81</v>
      </c>
      <c r="O88" s="2">
        <f>SUM(Levy!F90:J90)</f>
        <v>32864973.130000003</v>
      </c>
      <c r="P88" s="2">
        <f>SUM(Levy!U90:V90)</f>
        <v>0</v>
      </c>
      <c r="Q88" s="2">
        <f t="shared" si="11"/>
        <v>32864973.130000003</v>
      </c>
    </row>
    <row r="89" spans="1:17" x14ac:dyDescent="0.2">
      <c r="A89" s="4">
        <v>276</v>
      </c>
      <c r="B89" s="4">
        <v>1</v>
      </c>
      <c r="C89" s="2" t="s">
        <v>88</v>
      </c>
      <c r="D89" s="3">
        <f>SUM('Shift 14'!D88:L88)</f>
        <v>4151022.3200000003</v>
      </c>
      <c r="E89" s="3">
        <f>ROUND(MAX(0,(Levy!Q91+Data!D90+Data!E90-Levy!U91)*0.5),2)</f>
        <v>14576489.09</v>
      </c>
      <c r="F89" s="3">
        <f t="shared" si="6"/>
        <v>0</v>
      </c>
      <c r="G89" s="3">
        <f t="shared" si="7"/>
        <v>4151022.3200000003</v>
      </c>
      <c r="I89" s="3">
        <f>SUM('Shift 14'!M88:N88)</f>
        <v>0</v>
      </c>
      <c r="J89" s="3">
        <f>ROUND(MAX(0,(Levy!R91-Levy!V91)*0.5),2)</f>
        <v>508465.16</v>
      </c>
      <c r="K89" s="3">
        <f t="shared" si="8"/>
        <v>0</v>
      </c>
      <c r="L89" s="3">
        <f t="shared" si="9"/>
        <v>0</v>
      </c>
      <c r="N89" s="3">
        <f t="shared" si="10"/>
        <v>4151022.3200000003</v>
      </c>
      <c r="O89" s="2">
        <f>SUM(Levy!F91:J91)</f>
        <v>30169982.52</v>
      </c>
      <c r="P89" s="2">
        <f>SUM(Levy!U91:V91)</f>
        <v>74.03</v>
      </c>
      <c r="Q89" s="2">
        <f t="shared" si="11"/>
        <v>30169908.489999998</v>
      </c>
    </row>
    <row r="90" spans="1:17" x14ac:dyDescent="0.2">
      <c r="A90" s="4">
        <v>277</v>
      </c>
      <c r="B90" s="4">
        <v>1</v>
      </c>
      <c r="C90" s="2" t="s">
        <v>89</v>
      </c>
      <c r="D90" s="3">
        <f>SUM('Shift 14'!D89:L89)</f>
        <v>905516.89999999991</v>
      </c>
      <c r="E90" s="3">
        <f>ROUND(MAX(0,(Levy!Q92+Data!D91+Data!E91-Levy!U92)*0.5),2)</f>
        <v>3342047.96</v>
      </c>
      <c r="F90" s="3">
        <f t="shared" si="6"/>
        <v>0</v>
      </c>
      <c r="G90" s="3">
        <f t="shared" si="7"/>
        <v>905516.89999999991</v>
      </c>
      <c r="I90" s="3">
        <f>SUM('Shift 14'!M89:N89)</f>
        <v>0</v>
      </c>
      <c r="J90" s="3">
        <f>ROUND(MAX(0,(Levy!R92-Levy!V92)*0.5),2)</f>
        <v>251873.68</v>
      </c>
      <c r="K90" s="3">
        <f t="shared" si="8"/>
        <v>0</v>
      </c>
      <c r="L90" s="3">
        <f t="shared" si="9"/>
        <v>0</v>
      </c>
      <c r="N90" s="3">
        <f t="shared" si="10"/>
        <v>905516.89999999991</v>
      </c>
      <c r="O90" s="2">
        <f>SUM(Levy!F92:J92)</f>
        <v>7188310.9500000002</v>
      </c>
      <c r="P90" s="2">
        <f>SUM(Levy!U92:V92)</f>
        <v>467.67</v>
      </c>
      <c r="Q90" s="2">
        <f t="shared" si="11"/>
        <v>7187843.2800000003</v>
      </c>
    </row>
    <row r="91" spans="1:17" x14ac:dyDescent="0.2">
      <c r="A91" s="4">
        <v>278</v>
      </c>
      <c r="B91" s="4">
        <v>1</v>
      </c>
      <c r="C91" s="2" t="s">
        <v>90</v>
      </c>
      <c r="D91" s="3">
        <f>SUM('Shift 14'!D90:L90)</f>
        <v>945970.13</v>
      </c>
      <c r="E91" s="3">
        <f>ROUND(MAX(0,(Levy!Q93+Data!D92+Data!E92-Levy!U93)*0.5),2)</f>
        <v>4082773.09</v>
      </c>
      <c r="F91" s="3">
        <f t="shared" si="6"/>
        <v>0</v>
      </c>
      <c r="G91" s="3">
        <f t="shared" si="7"/>
        <v>945970.13</v>
      </c>
      <c r="I91" s="3">
        <f>SUM('Shift 14'!M90:N90)</f>
        <v>0</v>
      </c>
      <c r="J91" s="3">
        <f>ROUND(MAX(0,(Levy!R93-Levy!V93)*0.5),2)</f>
        <v>133630.39000000001</v>
      </c>
      <c r="K91" s="3">
        <f t="shared" si="8"/>
        <v>0</v>
      </c>
      <c r="L91" s="3">
        <f t="shared" si="9"/>
        <v>0</v>
      </c>
      <c r="N91" s="3">
        <f t="shared" si="10"/>
        <v>945970.13</v>
      </c>
      <c r="O91" s="2">
        <f>SUM(Levy!F93:J93)</f>
        <v>8434340.6699999999</v>
      </c>
      <c r="P91" s="2">
        <f>SUM(Levy!U93:V93)</f>
        <v>1533.7199999999998</v>
      </c>
      <c r="Q91" s="2">
        <f t="shared" si="11"/>
        <v>8432806.9499999993</v>
      </c>
    </row>
    <row r="92" spans="1:17" x14ac:dyDescent="0.2">
      <c r="A92" s="4">
        <v>279</v>
      </c>
      <c r="B92" s="4">
        <v>1</v>
      </c>
      <c r="C92" s="2" t="s">
        <v>91</v>
      </c>
      <c r="D92" s="3">
        <f>SUM('Shift 14'!D91:L91)</f>
        <v>4223125.66</v>
      </c>
      <c r="E92" s="3">
        <f>ROUND(MAX(0,(Levy!Q94+Data!D93+Data!E93-Levy!U94)*0.5),2)</f>
        <v>30810988.489999998</v>
      </c>
      <c r="F92" s="3">
        <f t="shared" si="6"/>
        <v>0</v>
      </c>
      <c r="G92" s="3">
        <f t="shared" si="7"/>
        <v>4223125.66</v>
      </c>
      <c r="I92" s="3">
        <f>SUM('Shift 14'!M91:N91)</f>
        <v>0</v>
      </c>
      <c r="J92" s="3">
        <f>ROUND(MAX(0,(Levy!R94-Levy!V94)*0.5),2)</f>
        <v>918400.11</v>
      </c>
      <c r="K92" s="3">
        <f t="shared" si="8"/>
        <v>0</v>
      </c>
      <c r="L92" s="3">
        <f t="shared" si="9"/>
        <v>0</v>
      </c>
      <c r="N92" s="3">
        <f t="shared" si="10"/>
        <v>4223125.66</v>
      </c>
      <c r="O92" s="2">
        <f>SUM(Levy!F94:J94)</f>
        <v>63459562.890000008</v>
      </c>
      <c r="P92" s="2">
        <f>SUM(Levy!U94:V94)</f>
        <v>785.69</v>
      </c>
      <c r="Q92" s="2">
        <f t="shared" si="11"/>
        <v>63458777.20000001</v>
      </c>
    </row>
    <row r="93" spans="1:17" x14ac:dyDescent="0.2">
      <c r="A93" s="4">
        <v>280</v>
      </c>
      <c r="B93" s="4">
        <v>1</v>
      </c>
      <c r="C93" s="2" t="s">
        <v>92</v>
      </c>
      <c r="D93" s="3">
        <f>SUM('Shift 14'!D92:L92)</f>
        <v>1537229.18</v>
      </c>
      <c r="E93" s="3">
        <f>ROUND(MAX(0,(Levy!Q95+Data!D94+Data!E94-Levy!U95)*0.5),2)</f>
        <v>6205805.46</v>
      </c>
      <c r="F93" s="3">
        <f t="shared" si="6"/>
        <v>0</v>
      </c>
      <c r="G93" s="3">
        <f t="shared" si="7"/>
        <v>1537229.18</v>
      </c>
      <c r="I93" s="3">
        <f>SUM('Shift 14'!M92:N92)</f>
        <v>0</v>
      </c>
      <c r="J93" s="3">
        <f>ROUND(MAX(0,(Levy!R95-Levy!V95)*0.5),2)</f>
        <v>219958.5</v>
      </c>
      <c r="K93" s="3">
        <f t="shared" si="8"/>
        <v>0</v>
      </c>
      <c r="L93" s="3">
        <f t="shared" si="9"/>
        <v>0</v>
      </c>
      <c r="N93" s="3">
        <f t="shared" si="10"/>
        <v>1537229.18</v>
      </c>
      <c r="O93" s="2">
        <f>SUM(Levy!F95:J95)</f>
        <v>12851527.910000002</v>
      </c>
      <c r="P93" s="2">
        <f>SUM(Levy!U95:V95)</f>
        <v>0</v>
      </c>
      <c r="Q93" s="2">
        <f t="shared" si="11"/>
        <v>12851527.910000002</v>
      </c>
    </row>
    <row r="94" spans="1:17" x14ac:dyDescent="0.2">
      <c r="A94" s="4">
        <v>281</v>
      </c>
      <c r="B94" s="4">
        <v>1</v>
      </c>
      <c r="C94" s="2" t="s">
        <v>93</v>
      </c>
      <c r="D94" s="3">
        <f>SUM('Shift 14'!D93:L93)</f>
        <v>3613734.27</v>
      </c>
      <c r="E94" s="3">
        <f>ROUND(MAX(0,(Levy!Q96+Data!D95+Data!E95-Levy!U96)*0.5),2)</f>
        <v>17184667.379999999</v>
      </c>
      <c r="F94" s="3">
        <f t="shared" si="6"/>
        <v>0</v>
      </c>
      <c r="G94" s="3">
        <f t="shared" si="7"/>
        <v>3613734.27</v>
      </c>
      <c r="I94" s="3">
        <f>SUM('Shift 14'!M93:N93)</f>
        <v>0</v>
      </c>
      <c r="J94" s="3">
        <f>ROUND(MAX(0,(Levy!R96-Levy!V96)*0.5),2)</f>
        <v>896554.13</v>
      </c>
      <c r="K94" s="3">
        <f t="shared" si="8"/>
        <v>0</v>
      </c>
      <c r="L94" s="3">
        <f t="shared" si="9"/>
        <v>0</v>
      </c>
      <c r="N94" s="3">
        <f t="shared" si="10"/>
        <v>3613734.27</v>
      </c>
      <c r="O94" s="2">
        <f>SUM(Levy!F96:J96)</f>
        <v>36162469.849999994</v>
      </c>
      <c r="P94" s="2">
        <f>SUM(Levy!U96:V96)</f>
        <v>26.85</v>
      </c>
      <c r="Q94" s="2">
        <f t="shared" si="11"/>
        <v>36162442.999999993</v>
      </c>
    </row>
    <row r="95" spans="1:17" x14ac:dyDescent="0.2">
      <c r="A95" s="4">
        <v>282</v>
      </c>
      <c r="B95" s="4">
        <v>1</v>
      </c>
      <c r="C95" s="2" t="s">
        <v>1176</v>
      </c>
      <c r="D95" s="3">
        <f>SUM('Shift 14'!D94:L94)</f>
        <v>334110.61</v>
      </c>
      <c r="E95" s="3">
        <f>ROUND(MAX(0,(Levy!Q97+Data!D96+Data!E96-Levy!U97)*0.5),2)</f>
        <v>1783000.62</v>
      </c>
      <c r="F95" s="3">
        <f t="shared" si="6"/>
        <v>0</v>
      </c>
      <c r="G95" s="3">
        <f t="shared" si="7"/>
        <v>334110.61</v>
      </c>
      <c r="I95" s="3">
        <f>SUM('Shift 14'!M94:N94)</f>
        <v>0</v>
      </c>
      <c r="J95" s="3">
        <f>ROUND(MAX(0,(Levy!R97-Levy!V97)*0.5),2)</f>
        <v>44510.84</v>
      </c>
      <c r="K95" s="3">
        <f t="shared" si="8"/>
        <v>0</v>
      </c>
      <c r="L95" s="3">
        <f t="shared" si="9"/>
        <v>0</v>
      </c>
      <c r="N95" s="3">
        <f t="shared" si="10"/>
        <v>334110.61</v>
      </c>
      <c r="O95" s="2">
        <f>SUM(Levy!F97:J97)</f>
        <v>3655022.9</v>
      </c>
      <c r="P95" s="2">
        <f>SUM(Levy!U97:V97)</f>
        <v>0</v>
      </c>
      <c r="Q95" s="2">
        <f t="shared" si="11"/>
        <v>3655022.9</v>
      </c>
    </row>
    <row r="96" spans="1:17" x14ac:dyDescent="0.2">
      <c r="A96" s="4">
        <v>283</v>
      </c>
      <c r="B96" s="4">
        <v>1</v>
      </c>
      <c r="C96" s="2" t="s">
        <v>95</v>
      </c>
      <c r="D96" s="3">
        <f>SUM('Shift 14'!D95:L95)</f>
        <v>2312470.4699999997</v>
      </c>
      <c r="E96" s="3">
        <f>ROUND(MAX(0,(Levy!Q98+Data!D97+Data!E97-Levy!U98)*0.5),2)</f>
        <v>8186621.6900000004</v>
      </c>
      <c r="F96" s="3">
        <f t="shared" si="6"/>
        <v>0</v>
      </c>
      <c r="G96" s="3">
        <f t="shared" si="7"/>
        <v>2312470.4699999997</v>
      </c>
      <c r="I96" s="3">
        <f>SUM('Shift 14'!M95:N95)</f>
        <v>0</v>
      </c>
      <c r="J96" s="3">
        <f>ROUND(MAX(0,(Levy!R98-Levy!V98)*0.5),2)</f>
        <v>459696.83</v>
      </c>
      <c r="K96" s="3">
        <f t="shared" si="8"/>
        <v>0</v>
      </c>
      <c r="L96" s="3">
        <f t="shared" si="9"/>
        <v>0</v>
      </c>
      <c r="N96" s="3">
        <f t="shared" si="10"/>
        <v>2312470.4699999997</v>
      </c>
      <c r="O96" s="2">
        <f>SUM(Levy!F98:J98)</f>
        <v>17292637.030000001</v>
      </c>
      <c r="P96" s="2">
        <f>SUM(Levy!U98:V98)</f>
        <v>0</v>
      </c>
      <c r="Q96" s="2">
        <f t="shared" si="11"/>
        <v>17292637.030000001</v>
      </c>
    </row>
    <row r="97" spans="1:17" x14ac:dyDescent="0.2">
      <c r="A97" s="4">
        <v>284</v>
      </c>
      <c r="B97" s="4">
        <v>1</v>
      </c>
      <c r="C97" s="2" t="s">
        <v>96</v>
      </c>
      <c r="D97" s="3">
        <f>SUM('Shift 14'!D96:L96)</f>
        <v>3843467.87</v>
      </c>
      <c r="E97" s="3">
        <f>ROUND(MAX(0,(Levy!Q99+Data!D98+Data!E98-Levy!U99)*0.5),2)</f>
        <v>18448003.84</v>
      </c>
      <c r="F97" s="3">
        <f t="shared" si="6"/>
        <v>0</v>
      </c>
      <c r="G97" s="3">
        <f t="shared" si="7"/>
        <v>3843467.87</v>
      </c>
      <c r="I97" s="3">
        <f>SUM('Shift 14'!M96:N96)</f>
        <v>0</v>
      </c>
      <c r="J97" s="3">
        <f>ROUND(MAX(0,(Levy!R99-Levy!V99)*0.5),2)</f>
        <v>773014.97</v>
      </c>
      <c r="K97" s="3">
        <f t="shared" si="8"/>
        <v>0</v>
      </c>
      <c r="L97" s="3">
        <f t="shared" si="9"/>
        <v>0</v>
      </c>
      <c r="N97" s="3">
        <f t="shared" si="10"/>
        <v>3843467.87</v>
      </c>
      <c r="O97" s="2">
        <f>SUM(Levy!F99:J99)</f>
        <v>38442756.980000004</v>
      </c>
      <c r="P97" s="2">
        <f>SUM(Levy!U99:V99)</f>
        <v>719.36999999999978</v>
      </c>
      <c r="Q97" s="2">
        <f t="shared" si="11"/>
        <v>38442037.610000007</v>
      </c>
    </row>
    <row r="98" spans="1:17" x14ac:dyDescent="0.2">
      <c r="A98" s="4">
        <v>286</v>
      </c>
      <c r="B98" s="4">
        <v>1</v>
      </c>
      <c r="C98" s="2" t="s">
        <v>97</v>
      </c>
      <c r="D98" s="3">
        <f>SUM('Shift 14'!D97:L97)</f>
        <v>512898.42000000004</v>
      </c>
      <c r="E98" s="3">
        <f>ROUND(MAX(0,(Levy!Q100+Data!D99+Data!E99-Levy!U100)*0.5),2)</f>
        <v>1018839.92</v>
      </c>
      <c r="F98" s="3">
        <f t="shared" si="6"/>
        <v>0</v>
      </c>
      <c r="G98" s="3">
        <f t="shared" si="7"/>
        <v>512898.42000000004</v>
      </c>
      <c r="I98" s="3">
        <f>SUM('Shift 14'!M97:N97)</f>
        <v>0</v>
      </c>
      <c r="J98" s="3">
        <f>ROUND(MAX(0,(Levy!R100-Levy!V100)*0.5),2)</f>
        <v>73818.820000000007</v>
      </c>
      <c r="K98" s="3">
        <f t="shared" si="8"/>
        <v>0</v>
      </c>
      <c r="L98" s="3">
        <f t="shared" si="9"/>
        <v>0</v>
      </c>
      <c r="N98" s="3">
        <f t="shared" si="10"/>
        <v>512898.42000000004</v>
      </c>
      <c r="O98" s="2">
        <f>SUM(Levy!F100:J100)</f>
        <v>2185317.4700000002</v>
      </c>
      <c r="P98" s="2">
        <f>SUM(Levy!U100:V100)</f>
        <v>0</v>
      </c>
      <c r="Q98" s="2">
        <f t="shared" si="11"/>
        <v>2185317.4700000002</v>
      </c>
    </row>
    <row r="99" spans="1:17" x14ac:dyDescent="0.2">
      <c r="A99" s="4">
        <v>294</v>
      </c>
      <c r="B99" s="4">
        <v>1</v>
      </c>
      <c r="C99" s="2" t="s">
        <v>98</v>
      </c>
      <c r="D99" s="3">
        <f>SUM('Shift 14'!D98:L98)</f>
        <v>112566.73999999999</v>
      </c>
      <c r="E99" s="3">
        <f>ROUND(MAX(0,(Levy!Q101+Data!D100+Data!E100-Levy!U101)*0.5),2)</f>
        <v>444231</v>
      </c>
      <c r="F99" s="3">
        <f t="shared" si="6"/>
        <v>0</v>
      </c>
      <c r="G99" s="3">
        <f t="shared" si="7"/>
        <v>112566.73999999999</v>
      </c>
      <c r="I99" s="3">
        <f>SUM('Shift 14'!M98:N98)</f>
        <v>0</v>
      </c>
      <c r="J99" s="3">
        <f>ROUND(MAX(0,(Levy!R101-Levy!V101)*0.5),2)</f>
        <v>15758.43</v>
      </c>
      <c r="K99" s="3">
        <f t="shared" si="8"/>
        <v>0</v>
      </c>
      <c r="L99" s="3">
        <f t="shared" si="9"/>
        <v>0</v>
      </c>
      <c r="N99" s="3">
        <f t="shared" si="10"/>
        <v>112566.73999999999</v>
      </c>
      <c r="O99" s="2">
        <f>SUM(Levy!F101:J101)</f>
        <v>932673</v>
      </c>
      <c r="P99" s="2">
        <f>SUM(Levy!U101:V101)</f>
        <v>12694.150000000001</v>
      </c>
      <c r="Q99" s="2">
        <f t="shared" si="11"/>
        <v>919978.85</v>
      </c>
    </row>
    <row r="100" spans="1:17" x14ac:dyDescent="0.2">
      <c r="A100" s="4">
        <v>297</v>
      </c>
      <c r="B100" s="4">
        <v>1</v>
      </c>
      <c r="C100" s="2" t="s">
        <v>99</v>
      </c>
      <c r="D100" s="3">
        <f>SUM('Shift 14'!D99:L99)</f>
        <v>70208.91</v>
      </c>
      <c r="E100" s="3">
        <f>ROUND(MAX(0,(Levy!Q102+Data!D101+Data!E101-Levy!U102)*0.5),2)</f>
        <v>247885.33</v>
      </c>
      <c r="F100" s="3">
        <f t="shared" si="6"/>
        <v>0</v>
      </c>
      <c r="G100" s="3">
        <f t="shared" si="7"/>
        <v>70208.91</v>
      </c>
      <c r="I100" s="3">
        <f>SUM('Shift 14'!M99:N99)</f>
        <v>0</v>
      </c>
      <c r="J100" s="3">
        <f>ROUND(MAX(0,(Levy!R102-Levy!V102)*0.5),2)</f>
        <v>9726.2199999999993</v>
      </c>
      <c r="K100" s="3">
        <f t="shared" si="8"/>
        <v>0</v>
      </c>
      <c r="L100" s="3">
        <f t="shared" si="9"/>
        <v>0</v>
      </c>
      <c r="N100" s="3">
        <f t="shared" si="10"/>
        <v>70208.91</v>
      </c>
      <c r="O100" s="2">
        <f>SUM(Levy!F102:J102)</f>
        <v>551151</v>
      </c>
      <c r="P100" s="2">
        <f>SUM(Levy!U102:V102)</f>
        <v>35927.919999999998</v>
      </c>
      <c r="Q100" s="2">
        <f t="shared" si="11"/>
        <v>515223.08</v>
      </c>
    </row>
    <row r="101" spans="1:17" x14ac:dyDescent="0.2">
      <c r="A101" s="4">
        <v>299</v>
      </c>
      <c r="B101" s="4">
        <v>1</v>
      </c>
      <c r="C101" s="2" t="s">
        <v>100</v>
      </c>
      <c r="D101" s="3">
        <f>SUM('Shift 14'!D100:L100)</f>
        <v>95648.639999999999</v>
      </c>
      <c r="E101" s="3">
        <f>ROUND(MAX(0,(Levy!Q103+Data!D102+Data!E102-Levy!U103)*0.5),2)</f>
        <v>416044.15</v>
      </c>
      <c r="F101" s="3">
        <f t="shared" si="6"/>
        <v>0</v>
      </c>
      <c r="G101" s="3">
        <f t="shared" si="7"/>
        <v>95648.639999999999</v>
      </c>
      <c r="I101" s="3">
        <f>SUM('Shift 14'!M100:N100)</f>
        <v>0</v>
      </c>
      <c r="J101" s="3">
        <f>ROUND(MAX(0,(Levy!R103-Levy!V103)*0.5),2)</f>
        <v>35971.300000000003</v>
      </c>
      <c r="K101" s="3">
        <f t="shared" si="8"/>
        <v>0</v>
      </c>
      <c r="L101" s="3">
        <f t="shared" si="9"/>
        <v>0</v>
      </c>
      <c r="N101" s="3">
        <f t="shared" si="10"/>
        <v>95648.639999999999</v>
      </c>
      <c r="O101" s="2">
        <f>SUM(Levy!F103:J103)</f>
        <v>921249</v>
      </c>
      <c r="P101" s="2">
        <f>SUM(Levy!U103:V103)</f>
        <v>17218.12</v>
      </c>
      <c r="Q101" s="2">
        <f t="shared" si="11"/>
        <v>904030.88</v>
      </c>
    </row>
    <row r="102" spans="1:17" x14ac:dyDescent="0.2">
      <c r="A102" s="4">
        <v>300</v>
      </c>
      <c r="B102" s="4">
        <v>1</v>
      </c>
      <c r="C102" s="2" t="s">
        <v>101</v>
      </c>
      <c r="D102" s="3">
        <f>SUM('Shift 14'!D101:L101)</f>
        <v>53829.079999999994</v>
      </c>
      <c r="E102" s="3">
        <f>ROUND(MAX(0,(Levy!Q104+Data!D103+Data!E103-Levy!U104)*0.5),2)</f>
        <v>593905.88</v>
      </c>
      <c r="F102" s="3">
        <f t="shared" si="6"/>
        <v>0</v>
      </c>
      <c r="G102" s="3">
        <f t="shared" si="7"/>
        <v>53829.079999999994</v>
      </c>
      <c r="I102" s="3">
        <f>SUM('Shift 14'!M101:N101)</f>
        <v>0</v>
      </c>
      <c r="J102" s="3">
        <f>ROUND(MAX(0,(Levy!R104-Levy!V104)*0.5),2)</f>
        <v>72439.66</v>
      </c>
      <c r="K102" s="3">
        <f t="shared" si="8"/>
        <v>0</v>
      </c>
      <c r="L102" s="3">
        <f t="shared" si="9"/>
        <v>0</v>
      </c>
      <c r="N102" s="3">
        <f t="shared" si="10"/>
        <v>53829.079999999994</v>
      </c>
      <c r="O102" s="2">
        <f>SUM(Levy!F104:J104)</f>
        <v>1351490</v>
      </c>
      <c r="P102" s="2">
        <f>SUM(Levy!U104:V104)</f>
        <v>18798.919999999998</v>
      </c>
      <c r="Q102" s="2">
        <f t="shared" si="11"/>
        <v>1332691.08</v>
      </c>
    </row>
    <row r="103" spans="1:17" x14ac:dyDescent="0.2">
      <c r="A103" s="4">
        <v>306</v>
      </c>
      <c r="B103" s="4">
        <v>1</v>
      </c>
      <c r="C103" s="2" t="s">
        <v>102</v>
      </c>
      <c r="D103" s="3">
        <f>SUM('Shift 14'!D102:L102)</f>
        <v>19975.419999999998</v>
      </c>
      <c r="E103" s="3">
        <f>ROUND(MAX(0,(Levy!Q105+Data!D104+Data!E104-Levy!U105)*0.5),2)</f>
        <v>117569.26</v>
      </c>
      <c r="F103" s="3">
        <f t="shared" si="6"/>
        <v>0</v>
      </c>
      <c r="G103" s="3">
        <f t="shared" si="7"/>
        <v>19975.419999999998</v>
      </c>
      <c r="I103" s="3">
        <f>SUM('Shift 14'!M102:N102)</f>
        <v>0</v>
      </c>
      <c r="J103" s="3">
        <f>ROUND(MAX(0,(Levy!R105-Levy!V105)*0.5),2)</f>
        <v>12236.95</v>
      </c>
      <c r="K103" s="3">
        <f t="shared" si="8"/>
        <v>0</v>
      </c>
      <c r="L103" s="3">
        <f t="shared" si="9"/>
        <v>0</v>
      </c>
      <c r="N103" s="3">
        <f t="shared" si="10"/>
        <v>19975.419999999998</v>
      </c>
      <c r="O103" s="2">
        <f>SUM(Levy!F105:J105)</f>
        <v>260763</v>
      </c>
      <c r="P103" s="2">
        <f>SUM(Levy!U105:V105)</f>
        <v>1150.5800000000002</v>
      </c>
      <c r="Q103" s="2">
        <f t="shared" si="11"/>
        <v>259612.42</v>
      </c>
    </row>
    <row r="104" spans="1:17" x14ac:dyDescent="0.2">
      <c r="A104" s="4">
        <v>308</v>
      </c>
      <c r="B104" s="4">
        <v>1</v>
      </c>
      <c r="C104" s="2" t="s">
        <v>103</v>
      </c>
      <c r="D104" s="3">
        <f>SUM('Shift 14'!D103:L103)</f>
        <v>61882.22</v>
      </c>
      <c r="E104" s="3">
        <f>ROUND(MAX(0,(Levy!Q106+Data!D105+Data!E105-Levy!U106)*0.5),2)</f>
        <v>241384.11</v>
      </c>
      <c r="F104" s="3">
        <f t="shared" si="6"/>
        <v>0</v>
      </c>
      <c r="G104" s="3">
        <f t="shared" si="7"/>
        <v>61882.22</v>
      </c>
      <c r="I104" s="3">
        <f>SUM('Shift 14'!M103:N103)</f>
        <v>0</v>
      </c>
      <c r="J104" s="3">
        <f>ROUND(MAX(0,(Levy!R106-Levy!V106)*0.5),2)</f>
        <v>17595.25</v>
      </c>
      <c r="K104" s="3">
        <f t="shared" si="8"/>
        <v>0</v>
      </c>
      <c r="L104" s="3">
        <f t="shared" si="9"/>
        <v>0</v>
      </c>
      <c r="N104" s="3">
        <f t="shared" si="10"/>
        <v>61882.22</v>
      </c>
      <c r="O104" s="2">
        <f>SUM(Levy!F106:J106)</f>
        <v>519187</v>
      </c>
      <c r="P104" s="2">
        <f>SUM(Levy!U106:V106)</f>
        <v>1228.28</v>
      </c>
      <c r="Q104" s="2">
        <f t="shared" si="11"/>
        <v>517958.72</v>
      </c>
    </row>
    <row r="105" spans="1:17" x14ac:dyDescent="0.2">
      <c r="A105" s="4">
        <v>309</v>
      </c>
      <c r="B105" s="4">
        <v>1</v>
      </c>
      <c r="C105" s="2" t="s">
        <v>104</v>
      </c>
      <c r="D105" s="3">
        <f>SUM('Shift 14'!D104:L104)</f>
        <v>123153.05</v>
      </c>
      <c r="E105" s="3">
        <f>ROUND(MAX(0,(Levy!Q107+Data!D106+Data!E106-Levy!U107)*0.5),2)</f>
        <v>912127.23</v>
      </c>
      <c r="F105" s="3">
        <f t="shared" si="6"/>
        <v>0</v>
      </c>
      <c r="G105" s="3">
        <f t="shared" si="7"/>
        <v>123153.05</v>
      </c>
      <c r="I105" s="3">
        <f>SUM('Shift 14'!M104:N104)</f>
        <v>0</v>
      </c>
      <c r="J105" s="3">
        <f>ROUND(MAX(0,(Levy!R107-Levy!V107)*0.5),2)</f>
        <v>95819.68</v>
      </c>
      <c r="K105" s="3">
        <f t="shared" si="8"/>
        <v>0</v>
      </c>
      <c r="L105" s="3">
        <f t="shared" si="9"/>
        <v>0</v>
      </c>
      <c r="N105" s="3">
        <f t="shared" si="10"/>
        <v>123153.05</v>
      </c>
      <c r="O105" s="2">
        <f>SUM(Levy!F107:J107)</f>
        <v>2020068</v>
      </c>
      <c r="P105" s="2">
        <f>SUM(Levy!U107:V107)</f>
        <v>4174.2000000000007</v>
      </c>
      <c r="Q105" s="2">
        <f t="shared" si="11"/>
        <v>2015893.8</v>
      </c>
    </row>
    <row r="106" spans="1:17" x14ac:dyDescent="0.2">
      <c r="A106" s="4">
        <v>314</v>
      </c>
      <c r="B106" s="4">
        <v>1</v>
      </c>
      <c r="C106" s="2" t="s">
        <v>105</v>
      </c>
      <c r="D106" s="3">
        <f>SUM('Shift 14'!D105:L105)</f>
        <v>72690.64</v>
      </c>
      <c r="E106" s="3">
        <f>ROUND(MAX(0,(Levy!Q108+Data!D107+Data!E107-Levy!U108)*0.5),2)</f>
        <v>235133.5</v>
      </c>
      <c r="F106" s="3">
        <f t="shared" si="6"/>
        <v>0</v>
      </c>
      <c r="G106" s="3">
        <f t="shared" si="7"/>
        <v>72690.64</v>
      </c>
      <c r="I106" s="3">
        <f>SUM('Shift 14'!M105:N105)</f>
        <v>0</v>
      </c>
      <c r="J106" s="3">
        <f>ROUND(MAX(0,(Levy!R108-Levy!V108)*0.5),2)</f>
        <v>20042.919999999998</v>
      </c>
      <c r="K106" s="3">
        <f t="shared" si="8"/>
        <v>0</v>
      </c>
      <c r="L106" s="3">
        <f t="shared" si="9"/>
        <v>0</v>
      </c>
      <c r="N106" s="3">
        <f t="shared" si="10"/>
        <v>72690.64</v>
      </c>
      <c r="O106" s="2">
        <f>SUM(Levy!F108:J108)</f>
        <v>517802.03</v>
      </c>
      <c r="P106" s="2">
        <f>SUM(Levy!U108:V108)</f>
        <v>7449.2</v>
      </c>
      <c r="Q106" s="2">
        <f t="shared" si="11"/>
        <v>510352.83</v>
      </c>
    </row>
    <row r="107" spans="1:17" x14ac:dyDescent="0.2">
      <c r="A107" s="4">
        <v>316</v>
      </c>
      <c r="B107" s="4">
        <v>1</v>
      </c>
      <c r="C107" s="2" t="s">
        <v>106</v>
      </c>
      <c r="D107" s="3">
        <f>SUM('Shift 14'!D106:L106)</f>
        <v>431751.3</v>
      </c>
      <c r="E107" s="3">
        <f>ROUND(MAX(0,(Levy!Q109+Data!D108+Data!E108-Levy!U109)*0.5),2)</f>
        <v>194334.89</v>
      </c>
      <c r="F107" s="3">
        <f t="shared" si="6"/>
        <v>237416.40999999997</v>
      </c>
      <c r="G107" s="3">
        <f t="shared" si="7"/>
        <v>194334.89</v>
      </c>
      <c r="I107" s="3">
        <f>SUM('Shift 14'!M106:N106)</f>
        <v>0</v>
      </c>
      <c r="J107" s="3">
        <f>ROUND(MAX(0,(Levy!R109-Levy!V109)*0.5),2)</f>
        <v>0</v>
      </c>
      <c r="K107" s="3">
        <f t="shared" si="8"/>
        <v>0</v>
      </c>
      <c r="L107" s="3">
        <f t="shared" si="9"/>
        <v>0</v>
      </c>
      <c r="N107" s="3">
        <f t="shared" si="10"/>
        <v>194334.89</v>
      </c>
      <c r="O107" s="2">
        <f>SUM(Levy!F109:J109)</f>
        <v>399902.36000000004</v>
      </c>
      <c r="P107" s="2">
        <f>SUM(Levy!U109:V109)</f>
        <v>11232.58</v>
      </c>
      <c r="Q107" s="2">
        <f t="shared" si="11"/>
        <v>388669.78</v>
      </c>
    </row>
    <row r="108" spans="1:17" x14ac:dyDescent="0.2">
      <c r="A108" s="4">
        <v>317</v>
      </c>
      <c r="B108" s="4">
        <v>1</v>
      </c>
      <c r="C108" s="2" t="s">
        <v>107</v>
      </c>
      <c r="D108" s="3">
        <f>SUM('Shift 14'!D107:L107)</f>
        <v>89640</v>
      </c>
      <c r="E108" s="3">
        <f>ROUND(MAX(0,(Levy!Q110+Data!D109+Data!E109-Levy!U110)*0.5),2)</f>
        <v>118464.11</v>
      </c>
      <c r="F108" s="3">
        <f t="shared" si="6"/>
        <v>0</v>
      </c>
      <c r="G108" s="3">
        <f t="shared" si="7"/>
        <v>89640</v>
      </c>
      <c r="I108" s="3">
        <f>SUM('Shift 14'!M107:N107)</f>
        <v>0</v>
      </c>
      <c r="J108" s="3">
        <f>ROUND(MAX(0,(Levy!R110-Levy!V110)*0.5),2)</f>
        <v>0</v>
      </c>
      <c r="K108" s="3">
        <f t="shared" si="8"/>
        <v>0</v>
      </c>
      <c r="L108" s="3">
        <f t="shared" si="9"/>
        <v>0</v>
      </c>
      <c r="N108" s="3">
        <f t="shared" si="10"/>
        <v>89640</v>
      </c>
      <c r="O108" s="2">
        <f>SUM(Levy!F110:J110)</f>
        <v>236956.59</v>
      </c>
      <c r="P108" s="2">
        <f>SUM(Levy!U110:V110)</f>
        <v>28.37</v>
      </c>
      <c r="Q108" s="2">
        <f t="shared" si="11"/>
        <v>236928.22</v>
      </c>
    </row>
    <row r="109" spans="1:17" x14ac:dyDescent="0.2">
      <c r="A109" s="4">
        <v>318</v>
      </c>
      <c r="B109" s="4">
        <v>1</v>
      </c>
      <c r="C109" s="2" t="s">
        <v>108</v>
      </c>
      <c r="D109" s="3">
        <f>SUM('Shift 14'!D108:L108)</f>
        <v>989846.27</v>
      </c>
      <c r="E109" s="3">
        <f>ROUND(MAX(0,(Levy!Q111+Data!D110+Data!E110-Levy!U111)*0.5),2)</f>
        <v>2426361.62</v>
      </c>
      <c r="F109" s="3">
        <f t="shared" si="6"/>
        <v>0</v>
      </c>
      <c r="G109" s="3">
        <f t="shared" si="7"/>
        <v>989846.27</v>
      </c>
      <c r="I109" s="3">
        <f>SUM('Shift 14'!M108:N108)</f>
        <v>0</v>
      </c>
      <c r="J109" s="3">
        <f>ROUND(MAX(0,(Levy!R111-Levy!V111)*0.5),2)</f>
        <v>0</v>
      </c>
      <c r="K109" s="3">
        <f t="shared" si="8"/>
        <v>0</v>
      </c>
      <c r="L109" s="3">
        <f t="shared" si="9"/>
        <v>0</v>
      </c>
      <c r="N109" s="3">
        <f t="shared" si="10"/>
        <v>989846.27</v>
      </c>
      <c r="O109" s="2">
        <f>SUM(Levy!F111:J111)</f>
        <v>5022850.4800000004</v>
      </c>
      <c r="P109" s="2">
        <f>SUM(Levy!U111:V111)</f>
        <v>170127.24</v>
      </c>
      <c r="Q109" s="2">
        <f t="shared" si="11"/>
        <v>4852723.24</v>
      </c>
    </row>
    <row r="110" spans="1:17" x14ac:dyDescent="0.2">
      <c r="A110" s="4">
        <v>319</v>
      </c>
      <c r="B110" s="4">
        <v>1</v>
      </c>
      <c r="C110" s="2" t="s">
        <v>1177</v>
      </c>
      <c r="D110" s="3">
        <f>SUM('Shift 14'!D109:L109)</f>
        <v>76756.239999999991</v>
      </c>
      <c r="E110" s="3">
        <f>ROUND(MAX(0,(Levy!Q112+Data!D111+Data!E111-Levy!U112)*0.5),2)</f>
        <v>197255.05</v>
      </c>
      <c r="F110" s="3">
        <f t="shared" si="6"/>
        <v>0</v>
      </c>
      <c r="G110" s="3">
        <f t="shared" si="7"/>
        <v>76756.239999999991</v>
      </c>
      <c r="I110" s="3">
        <f>SUM('Shift 14'!M109:N109)</f>
        <v>0</v>
      </c>
      <c r="J110" s="3">
        <f>ROUND(MAX(0,(Levy!R112-Levy!V112)*0.5),2)</f>
        <v>0</v>
      </c>
      <c r="K110" s="3">
        <f t="shared" si="8"/>
        <v>0</v>
      </c>
      <c r="L110" s="3">
        <f t="shared" si="9"/>
        <v>0</v>
      </c>
      <c r="N110" s="3">
        <f t="shared" si="10"/>
        <v>76756.239999999991</v>
      </c>
      <c r="O110" s="2">
        <f>SUM(Levy!F112:J112)</f>
        <v>413555.85</v>
      </c>
      <c r="P110" s="2">
        <f>SUM(Levy!U112:V112)</f>
        <v>19045.759999999998</v>
      </c>
      <c r="Q110" s="2">
        <f t="shared" si="11"/>
        <v>394510.08999999997</v>
      </c>
    </row>
    <row r="111" spans="1:17" x14ac:dyDescent="0.2">
      <c r="A111" s="4">
        <v>323</v>
      </c>
      <c r="B111" s="4">
        <v>2</v>
      </c>
      <c r="C111" s="2" t="s">
        <v>110</v>
      </c>
      <c r="D111" s="3">
        <f>SUM('Shift 14'!D110:L110)</f>
        <v>7317.68</v>
      </c>
      <c r="E111" s="3">
        <f>ROUND(MAX(0,(Levy!Q113+Data!D112+Data!E112-Levy!U113)*0.5),2)</f>
        <v>28786.22</v>
      </c>
      <c r="F111" s="3">
        <f t="shared" si="6"/>
        <v>0</v>
      </c>
      <c r="G111" s="3">
        <f t="shared" si="7"/>
        <v>7317.68</v>
      </c>
      <c r="I111" s="3">
        <f>SUM('Shift 14'!M110:N110)</f>
        <v>0</v>
      </c>
      <c r="J111" s="3">
        <f>ROUND(MAX(0,(Levy!R113-Levy!V113)*0.5),2)</f>
        <v>0</v>
      </c>
      <c r="K111" s="3">
        <f t="shared" si="8"/>
        <v>0</v>
      </c>
      <c r="L111" s="3">
        <f t="shared" si="9"/>
        <v>0</v>
      </c>
      <c r="N111" s="3">
        <f t="shared" si="10"/>
        <v>7317.68</v>
      </c>
      <c r="O111" s="2">
        <f>SUM(Levy!F113:J113)</f>
        <v>57633.31</v>
      </c>
      <c r="P111" s="2">
        <f>SUM(Levy!U113:V113)</f>
        <v>60.88</v>
      </c>
      <c r="Q111" s="2">
        <f t="shared" si="11"/>
        <v>57572.43</v>
      </c>
    </row>
    <row r="112" spans="1:17" x14ac:dyDescent="0.2">
      <c r="A112" s="4">
        <v>330</v>
      </c>
      <c r="B112" s="4">
        <v>1</v>
      </c>
      <c r="C112" s="2" t="s">
        <v>1178</v>
      </c>
      <c r="D112" s="3">
        <f>SUM('Shift 14'!D111:L111)</f>
        <v>112748.84000000001</v>
      </c>
      <c r="E112" s="3">
        <f>ROUND(MAX(0,(Levy!Q114+Data!D113+Data!E113-Levy!U114)*0.5),2)</f>
        <v>324895.78000000003</v>
      </c>
      <c r="F112" s="3">
        <f t="shared" si="6"/>
        <v>0</v>
      </c>
      <c r="G112" s="3">
        <f t="shared" si="7"/>
        <v>112748.84000000001</v>
      </c>
      <c r="I112" s="3">
        <f>SUM('Shift 14'!M111:N111)</f>
        <v>0</v>
      </c>
      <c r="J112" s="3">
        <f>ROUND(MAX(0,(Levy!R114-Levy!V114)*0.5),2)</f>
        <v>13059.02</v>
      </c>
      <c r="K112" s="3">
        <f t="shared" si="8"/>
        <v>0</v>
      </c>
      <c r="L112" s="3">
        <f t="shared" si="9"/>
        <v>0</v>
      </c>
      <c r="N112" s="3">
        <f t="shared" si="10"/>
        <v>112748.84000000001</v>
      </c>
      <c r="O112" s="2">
        <f>SUM(Levy!F114:J114)</f>
        <v>684966.21</v>
      </c>
      <c r="P112" s="2">
        <f>SUM(Levy!U114:V114)</f>
        <v>9056.61</v>
      </c>
      <c r="Q112" s="2">
        <f t="shared" si="11"/>
        <v>675909.6</v>
      </c>
    </row>
    <row r="113" spans="1:17" x14ac:dyDescent="0.2">
      <c r="A113" s="4">
        <v>332</v>
      </c>
      <c r="B113" s="4">
        <v>1</v>
      </c>
      <c r="C113" s="2" t="s">
        <v>112</v>
      </c>
      <c r="D113" s="3">
        <f>SUM('Shift 14'!D112:L112)</f>
        <v>14479.5</v>
      </c>
      <c r="E113" s="3">
        <f>ROUND(MAX(0,(Levy!Q115+Data!D114+Data!E114-Levy!U115)*0.5),2)</f>
        <v>389653.91</v>
      </c>
      <c r="F113" s="3">
        <f t="shared" si="6"/>
        <v>0</v>
      </c>
      <c r="G113" s="3">
        <f t="shared" si="7"/>
        <v>14479.5</v>
      </c>
      <c r="I113" s="3">
        <f>SUM('Shift 14'!M112:N112)</f>
        <v>0</v>
      </c>
      <c r="J113" s="3">
        <f>ROUND(MAX(0,(Levy!R115-Levy!V115)*0.5),2)</f>
        <v>41945.08</v>
      </c>
      <c r="K113" s="3">
        <f t="shared" si="8"/>
        <v>0</v>
      </c>
      <c r="L113" s="3">
        <f t="shared" si="9"/>
        <v>0</v>
      </c>
      <c r="N113" s="3">
        <f t="shared" si="10"/>
        <v>14479.5</v>
      </c>
      <c r="O113" s="2">
        <f>SUM(Levy!F115:J115)</f>
        <v>872127.42999999993</v>
      </c>
      <c r="P113" s="2">
        <f>SUM(Levy!U115:V115)</f>
        <v>8929.4600000000009</v>
      </c>
      <c r="Q113" s="2">
        <f t="shared" si="11"/>
        <v>863197.97</v>
      </c>
    </row>
    <row r="114" spans="1:17" x14ac:dyDescent="0.2">
      <c r="A114" s="4">
        <v>333</v>
      </c>
      <c r="B114" s="4">
        <v>1</v>
      </c>
      <c r="C114" s="2" t="s">
        <v>113</v>
      </c>
      <c r="D114" s="3">
        <f>SUM('Shift 14'!D113:L113)</f>
        <v>52536.87</v>
      </c>
      <c r="E114" s="3">
        <f>ROUND(MAX(0,(Levy!Q116+Data!D115+Data!E115-Levy!U116)*0.5),2)</f>
        <v>136070.12</v>
      </c>
      <c r="F114" s="3">
        <f t="shared" si="6"/>
        <v>0</v>
      </c>
      <c r="G114" s="3">
        <f t="shared" si="7"/>
        <v>52536.87</v>
      </c>
      <c r="I114" s="3">
        <f>SUM('Shift 14'!M113:N113)</f>
        <v>0</v>
      </c>
      <c r="J114" s="3">
        <f>ROUND(MAX(0,(Levy!R116-Levy!V116)*0.5),2)</f>
        <v>13499.37</v>
      </c>
      <c r="K114" s="3">
        <f t="shared" si="8"/>
        <v>0</v>
      </c>
      <c r="L114" s="3">
        <f t="shared" si="9"/>
        <v>0</v>
      </c>
      <c r="N114" s="3">
        <f t="shared" si="10"/>
        <v>52536.87</v>
      </c>
      <c r="O114" s="2">
        <f>SUM(Levy!F116:J116)</f>
        <v>305775.72000000003</v>
      </c>
      <c r="P114" s="2">
        <f>SUM(Levy!U116:V116)</f>
        <v>6636.74</v>
      </c>
      <c r="Q114" s="2">
        <f t="shared" si="11"/>
        <v>299138.98000000004</v>
      </c>
    </row>
    <row r="115" spans="1:17" x14ac:dyDescent="0.2">
      <c r="A115" s="4">
        <v>345</v>
      </c>
      <c r="B115" s="4">
        <v>1</v>
      </c>
      <c r="C115" s="2" t="s">
        <v>1179</v>
      </c>
      <c r="D115" s="3">
        <f>SUM('Shift 14'!D114:L114)</f>
        <v>158722.74</v>
      </c>
      <c r="E115" s="3">
        <f>ROUND(MAX(0,(Levy!Q117+Data!D116+Data!E116-Levy!U117)*0.5),2)</f>
        <v>875918.29</v>
      </c>
      <c r="F115" s="3">
        <f t="shared" si="6"/>
        <v>0</v>
      </c>
      <c r="G115" s="3">
        <f t="shared" si="7"/>
        <v>158722.74</v>
      </c>
      <c r="I115" s="3">
        <f>SUM('Shift 14'!M114:N114)</f>
        <v>0</v>
      </c>
      <c r="J115" s="3">
        <f>ROUND(MAX(0,(Levy!R117-Levy!V117)*0.5),2)</f>
        <v>74519.17</v>
      </c>
      <c r="K115" s="3">
        <f t="shared" si="8"/>
        <v>0</v>
      </c>
      <c r="L115" s="3">
        <f t="shared" si="9"/>
        <v>0</v>
      </c>
      <c r="N115" s="3">
        <f t="shared" si="10"/>
        <v>158722.74</v>
      </c>
      <c r="O115" s="2">
        <f>SUM(Levy!F117:J117)</f>
        <v>1909364.97</v>
      </c>
      <c r="P115" s="2">
        <f>SUM(Levy!U117:V117)</f>
        <v>8490.0600000000013</v>
      </c>
      <c r="Q115" s="2">
        <f t="shared" si="11"/>
        <v>1900874.91</v>
      </c>
    </row>
    <row r="116" spans="1:17" x14ac:dyDescent="0.2">
      <c r="A116" s="4">
        <v>347</v>
      </c>
      <c r="B116" s="4">
        <v>1</v>
      </c>
      <c r="C116" s="2" t="s">
        <v>115</v>
      </c>
      <c r="D116" s="3">
        <f>SUM('Shift 14'!D115:L115)</f>
        <v>282629.38</v>
      </c>
      <c r="E116" s="3">
        <f>ROUND(MAX(0,(Levy!Q118+Data!D117+Data!E117-Levy!U118)*0.5),2)</f>
        <v>1824931.76</v>
      </c>
      <c r="F116" s="3">
        <f t="shared" si="6"/>
        <v>0</v>
      </c>
      <c r="G116" s="3">
        <f t="shared" si="7"/>
        <v>282629.38</v>
      </c>
      <c r="I116" s="3">
        <f>SUM('Shift 14'!M115:N115)</f>
        <v>0</v>
      </c>
      <c r="J116" s="3">
        <f>ROUND(MAX(0,(Levy!R118-Levy!V118)*0.5),2)</f>
        <v>187489.49</v>
      </c>
      <c r="K116" s="3">
        <f t="shared" si="8"/>
        <v>0</v>
      </c>
      <c r="L116" s="3">
        <f t="shared" si="9"/>
        <v>0</v>
      </c>
      <c r="N116" s="3">
        <f t="shared" si="10"/>
        <v>282629.38</v>
      </c>
      <c r="O116" s="2">
        <f>SUM(Levy!F118:J118)</f>
        <v>4034273.76</v>
      </c>
      <c r="P116" s="2">
        <f>SUM(Levy!U118:V118)</f>
        <v>9431.26</v>
      </c>
      <c r="Q116" s="2">
        <f t="shared" si="11"/>
        <v>4024842.5</v>
      </c>
    </row>
    <row r="117" spans="1:17" x14ac:dyDescent="0.2">
      <c r="A117" s="4">
        <v>356</v>
      </c>
      <c r="B117" s="4">
        <v>1</v>
      </c>
      <c r="C117" s="2" t="s">
        <v>116</v>
      </c>
      <c r="D117" s="3">
        <f>SUM('Shift 14'!D116:L116)</f>
        <v>98643.450000000012</v>
      </c>
      <c r="E117" s="3">
        <f>ROUND(MAX(0,(Levy!Q119+Data!D118+Data!E118-Levy!U119)*0.5),2)</f>
        <v>180472.84</v>
      </c>
      <c r="F117" s="3">
        <f t="shared" si="6"/>
        <v>0</v>
      </c>
      <c r="G117" s="3">
        <f t="shared" si="7"/>
        <v>98643.450000000012</v>
      </c>
      <c r="I117" s="3">
        <f>SUM('Shift 14'!M116:N116)</f>
        <v>0</v>
      </c>
      <c r="J117" s="3">
        <f>ROUND(MAX(0,(Levy!R119-Levy!V119)*0.5),2)</f>
        <v>5802.36</v>
      </c>
      <c r="K117" s="3">
        <f t="shared" si="8"/>
        <v>0</v>
      </c>
      <c r="L117" s="3">
        <f t="shared" si="9"/>
        <v>0</v>
      </c>
      <c r="N117" s="3">
        <f t="shared" si="10"/>
        <v>98643.450000000012</v>
      </c>
      <c r="O117" s="2">
        <f>SUM(Levy!F119:J119)</f>
        <v>378055</v>
      </c>
      <c r="P117" s="2">
        <f>SUM(Levy!U119:V119)</f>
        <v>5504.61</v>
      </c>
      <c r="Q117" s="2">
        <f t="shared" si="11"/>
        <v>372550.39</v>
      </c>
    </row>
    <row r="118" spans="1:17" x14ac:dyDescent="0.2">
      <c r="A118" s="4">
        <v>361</v>
      </c>
      <c r="B118" s="4">
        <v>1</v>
      </c>
      <c r="C118" s="2" t="s">
        <v>1180</v>
      </c>
      <c r="D118" s="3">
        <f>SUM('Shift 14'!D117:L117)</f>
        <v>103341.13</v>
      </c>
      <c r="E118" s="3">
        <f>ROUND(MAX(0,(Levy!Q120+Data!D119+Data!E119-Levy!U120)*0.5),2)</f>
        <v>927673.05</v>
      </c>
      <c r="F118" s="3">
        <f t="shared" si="6"/>
        <v>0</v>
      </c>
      <c r="G118" s="3">
        <f t="shared" si="7"/>
        <v>103341.13</v>
      </c>
      <c r="I118" s="3">
        <f>SUM('Shift 14'!M117:N117)</f>
        <v>0</v>
      </c>
      <c r="J118" s="3">
        <f>ROUND(MAX(0,(Levy!R120-Levy!V120)*0.5),2)</f>
        <v>58469.23</v>
      </c>
      <c r="K118" s="3">
        <f t="shared" si="8"/>
        <v>0</v>
      </c>
      <c r="L118" s="3">
        <f t="shared" si="9"/>
        <v>0</v>
      </c>
      <c r="N118" s="3">
        <f t="shared" si="10"/>
        <v>103341.13</v>
      </c>
      <c r="O118" s="2">
        <f>SUM(Levy!F120:J120)</f>
        <v>2119171.9900000002</v>
      </c>
      <c r="P118" s="2">
        <f>SUM(Levy!U120:V120)</f>
        <v>146887.44</v>
      </c>
      <c r="Q118" s="2">
        <f t="shared" si="11"/>
        <v>1972284.5500000003</v>
      </c>
    </row>
    <row r="119" spans="1:17" x14ac:dyDescent="0.2">
      <c r="A119" s="4">
        <v>362</v>
      </c>
      <c r="B119" s="4">
        <v>1</v>
      </c>
      <c r="C119" s="2" t="s">
        <v>1181</v>
      </c>
      <c r="D119" s="3">
        <f>SUM('Shift 14'!D118:L118)</f>
        <v>11680.02</v>
      </c>
      <c r="E119" s="3">
        <f>ROUND(MAX(0,(Levy!Q121+Data!D120+Data!E120-Levy!U121)*0.5),2)</f>
        <v>84697.87</v>
      </c>
      <c r="F119" s="3">
        <f t="shared" si="6"/>
        <v>0</v>
      </c>
      <c r="G119" s="3">
        <f t="shared" si="7"/>
        <v>11680.02</v>
      </c>
      <c r="I119" s="3">
        <f>SUM('Shift 14'!M118:N118)</f>
        <v>0</v>
      </c>
      <c r="J119" s="3">
        <f>ROUND(MAX(0,(Levy!R121-Levy!V121)*0.5),2)</f>
        <v>8786.27</v>
      </c>
      <c r="K119" s="3">
        <f t="shared" si="8"/>
        <v>0</v>
      </c>
      <c r="L119" s="3">
        <f t="shared" si="9"/>
        <v>0</v>
      </c>
      <c r="N119" s="3">
        <f t="shared" si="10"/>
        <v>11680.02</v>
      </c>
      <c r="O119" s="2">
        <f>SUM(Levy!F121:J121)</f>
        <v>193026.66999999998</v>
      </c>
      <c r="P119" s="2">
        <f>SUM(Levy!U121:V121)</f>
        <v>6058.4000000000005</v>
      </c>
      <c r="Q119" s="2">
        <f t="shared" si="11"/>
        <v>186968.27</v>
      </c>
    </row>
    <row r="120" spans="1:17" x14ac:dyDescent="0.2">
      <c r="A120" s="4">
        <v>363</v>
      </c>
      <c r="B120" s="4">
        <v>1</v>
      </c>
      <c r="C120" s="2" t="s">
        <v>1182</v>
      </c>
      <c r="D120" s="3">
        <f>SUM('Shift 14'!D119:L119)</f>
        <v>4738.84</v>
      </c>
      <c r="E120" s="3">
        <f>ROUND(MAX(0,(Levy!Q122+Data!D121+Data!E121-Levy!U122)*0.5),2)</f>
        <v>73914.710000000006</v>
      </c>
      <c r="F120" s="3">
        <f t="shared" si="6"/>
        <v>0</v>
      </c>
      <c r="G120" s="3">
        <f t="shared" si="7"/>
        <v>4738.84</v>
      </c>
      <c r="I120" s="3">
        <f>SUM('Shift 14'!M119:N119)</f>
        <v>0</v>
      </c>
      <c r="J120" s="3">
        <f>ROUND(MAX(0,(Levy!R122-Levy!V122)*0.5),2)</f>
        <v>3434.01</v>
      </c>
      <c r="K120" s="3">
        <f t="shared" si="8"/>
        <v>0</v>
      </c>
      <c r="L120" s="3">
        <f t="shared" si="9"/>
        <v>0</v>
      </c>
      <c r="N120" s="3">
        <f t="shared" si="10"/>
        <v>4738.84</v>
      </c>
      <c r="O120" s="2">
        <f>SUM(Levy!F122:J122)</f>
        <v>161616.57999999999</v>
      </c>
      <c r="P120" s="2">
        <f>SUM(Levy!U122:V122)</f>
        <v>6919.16</v>
      </c>
      <c r="Q120" s="2">
        <f t="shared" si="11"/>
        <v>154697.41999999998</v>
      </c>
    </row>
    <row r="121" spans="1:17" x14ac:dyDescent="0.2">
      <c r="A121" s="4">
        <v>378</v>
      </c>
      <c r="B121" s="4">
        <v>1</v>
      </c>
      <c r="C121" s="2" t="s">
        <v>120</v>
      </c>
      <c r="D121" s="3">
        <f>SUM('Shift 14'!D120:L120)</f>
        <v>57019.499999999993</v>
      </c>
      <c r="E121" s="3">
        <f>ROUND(MAX(0,(Levy!Q123+Data!D122+Data!E122-Levy!U123)*0.5),2)</f>
        <v>298493.2</v>
      </c>
      <c r="F121" s="3">
        <f t="shared" si="6"/>
        <v>0</v>
      </c>
      <c r="G121" s="3">
        <f t="shared" si="7"/>
        <v>57019.499999999993</v>
      </c>
      <c r="I121" s="3">
        <f>SUM('Shift 14'!M120:N120)</f>
        <v>0</v>
      </c>
      <c r="J121" s="3">
        <f>ROUND(MAX(0,(Levy!R123-Levy!V123)*0.5),2)</f>
        <v>32163.439999999999</v>
      </c>
      <c r="K121" s="3">
        <f t="shared" si="8"/>
        <v>0</v>
      </c>
      <c r="L121" s="3">
        <f t="shared" si="9"/>
        <v>0</v>
      </c>
      <c r="N121" s="3">
        <f t="shared" si="10"/>
        <v>57019.499999999993</v>
      </c>
      <c r="O121" s="2">
        <f>SUM(Levy!F123:J123)</f>
        <v>696143.52</v>
      </c>
      <c r="P121" s="2">
        <f>SUM(Levy!U123:V123)</f>
        <v>34830.240000000005</v>
      </c>
      <c r="Q121" s="2">
        <f t="shared" si="11"/>
        <v>661313.28000000003</v>
      </c>
    </row>
    <row r="122" spans="1:17" x14ac:dyDescent="0.2">
      <c r="A122" s="4">
        <v>381</v>
      </c>
      <c r="B122" s="4">
        <v>1</v>
      </c>
      <c r="C122" s="2" t="s">
        <v>121</v>
      </c>
      <c r="D122" s="3">
        <f>SUM('Shift 14'!D121:L121)</f>
        <v>241804.35</v>
      </c>
      <c r="E122" s="3">
        <f>ROUND(MAX(0,(Levy!Q124+Data!D123+Data!E123-Levy!U124)*0.5),2)</f>
        <v>374887.21</v>
      </c>
      <c r="F122" s="3">
        <f t="shared" si="6"/>
        <v>0</v>
      </c>
      <c r="G122" s="3">
        <f t="shared" si="7"/>
        <v>241804.35</v>
      </c>
      <c r="I122" s="3">
        <f>SUM('Shift 14'!M121:N121)</f>
        <v>0</v>
      </c>
      <c r="J122" s="3">
        <f>ROUND(MAX(0,(Levy!R124-Levy!V124)*0.5),2)</f>
        <v>0</v>
      </c>
      <c r="K122" s="3">
        <f t="shared" si="8"/>
        <v>0</v>
      </c>
      <c r="L122" s="3">
        <f t="shared" si="9"/>
        <v>0</v>
      </c>
      <c r="N122" s="3">
        <f t="shared" si="10"/>
        <v>241804.35</v>
      </c>
      <c r="O122" s="2">
        <f>SUM(Levy!F124:J124)</f>
        <v>768312.46000000008</v>
      </c>
      <c r="P122" s="2">
        <f>SUM(Levy!U124:V124)</f>
        <v>18538.04</v>
      </c>
      <c r="Q122" s="2">
        <f t="shared" si="11"/>
        <v>749774.42</v>
      </c>
    </row>
    <row r="123" spans="1:17" x14ac:dyDescent="0.2">
      <c r="A123" s="4">
        <v>390</v>
      </c>
      <c r="B123" s="4">
        <v>1</v>
      </c>
      <c r="C123" s="2" t="s">
        <v>1183</v>
      </c>
      <c r="D123" s="3">
        <f>SUM('Shift 14'!D122:L122)</f>
        <v>8876.75</v>
      </c>
      <c r="E123" s="3">
        <f>ROUND(MAX(0,(Levy!Q125+Data!D124+Data!E124-Levy!U125)*0.5),2)</f>
        <v>304759.15999999997</v>
      </c>
      <c r="F123" s="3">
        <f t="shared" si="6"/>
        <v>0</v>
      </c>
      <c r="G123" s="3">
        <f t="shared" si="7"/>
        <v>8876.75</v>
      </c>
      <c r="I123" s="3">
        <f>SUM('Shift 14'!M122:N122)</f>
        <v>0</v>
      </c>
      <c r="J123" s="3">
        <f>ROUND(MAX(0,(Levy!R125-Levy!V125)*0.5),2)</f>
        <v>23579.66</v>
      </c>
      <c r="K123" s="3">
        <f t="shared" si="8"/>
        <v>0</v>
      </c>
      <c r="L123" s="3">
        <f t="shared" si="9"/>
        <v>0</v>
      </c>
      <c r="N123" s="3">
        <f t="shared" si="10"/>
        <v>8876.75</v>
      </c>
      <c r="O123" s="2">
        <f>SUM(Levy!F125:J125)</f>
        <v>663351</v>
      </c>
      <c r="P123" s="2">
        <f>SUM(Levy!U125:V125)</f>
        <v>6673.3600000000006</v>
      </c>
      <c r="Q123" s="2">
        <f t="shared" si="11"/>
        <v>656677.64</v>
      </c>
    </row>
    <row r="124" spans="1:17" x14ac:dyDescent="0.2">
      <c r="A124" s="4">
        <v>391</v>
      </c>
      <c r="B124" s="4">
        <v>1</v>
      </c>
      <c r="C124" s="2" t="s">
        <v>123</v>
      </c>
      <c r="D124" s="3">
        <f>SUM('Shift 14'!D123:L123)</f>
        <v>74571.88</v>
      </c>
      <c r="E124" s="3">
        <f>ROUND(MAX(0,(Levy!Q126+Data!D125+Data!E125-Levy!U126)*0.5),2)</f>
        <v>284641.75</v>
      </c>
      <c r="F124" s="3">
        <f t="shared" si="6"/>
        <v>0</v>
      </c>
      <c r="G124" s="3">
        <f t="shared" si="7"/>
        <v>74571.88</v>
      </c>
      <c r="I124" s="3">
        <f>SUM('Shift 14'!M123:N123)</f>
        <v>0</v>
      </c>
      <c r="J124" s="3">
        <f>ROUND(MAX(0,(Levy!R126-Levy!V126)*0.5),2)</f>
        <v>18340.34</v>
      </c>
      <c r="K124" s="3">
        <f t="shared" si="8"/>
        <v>0</v>
      </c>
      <c r="L124" s="3">
        <f t="shared" si="9"/>
        <v>0</v>
      </c>
      <c r="N124" s="3">
        <f t="shared" si="10"/>
        <v>74571.88</v>
      </c>
      <c r="O124" s="2">
        <f>SUM(Levy!F126:J126)</f>
        <v>615398.74000000011</v>
      </c>
      <c r="P124" s="2">
        <f>SUM(Levy!U126:V126)</f>
        <v>9434.57</v>
      </c>
      <c r="Q124" s="2">
        <f t="shared" si="11"/>
        <v>605964.17000000016</v>
      </c>
    </row>
    <row r="125" spans="1:17" x14ac:dyDescent="0.2">
      <c r="A125" s="4">
        <v>402</v>
      </c>
      <c r="B125" s="4">
        <v>1</v>
      </c>
      <c r="C125" s="2" t="s">
        <v>124</v>
      </c>
      <c r="D125" s="3">
        <f>SUM('Shift 14'!D124:L124)</f>
        <v>24490.36</v>
      </c>
      <c r="E125" s="3">
        <f>ROUND(MAX(0,(Levy!Q127+Data!D126+Data!E126-Levy!U127)*0.5),2)</f>
        <v>190906.74</v>
      </c>
      <c r="F125" s="3">
        <f t="shared" si="6"/>
        <v>0</v>
      </c>
      <c r="G125" s="3">
        <f t="shared" si="7"/>
        <v>24490.36</v>
      </c>
      <c r="I125" s="3">
        <f>SUM('Shift 14'!M124:N124)</f>
        <v>0</v>
      </c>
      <c r="J125" s="3">
        <f>ROUND(MAX(0,(Levy!R127-Levy!V127)*0.5),2)</f>
        <v>17325.5</v>
      </c>
      <c r="K125" s="3">
        <f t="shared" si="8"/>
        <v>0</v>
      </c>
      <c r="L125" s="3">
        <f t="shared" si="9"/>
        <v>0</v>
      </c>
      <c r="N125" s="3">
        <f t="shared" si="10"/>
        <v>24490.36</v>
      </c>
      <c r="O125" s="2">
        <f>SUM(Levy!F127:J127)</f>
        <v>420053.45999999996</v>
      </c>
      <c r="P125" s="2">
        <f>SUM(Levy!U127:V127)</f>
        <v>3588.9900000000002</v>
      </c>
      <c r="Q125" s="2">
        <f t="shared" si="11"/>
        <v>416464.47</v>
      </c>
    </row>
    <row r="126" spans="1:17" x14ac:dyDescent="0.2">
      <c r="A126" s="4">
        <v>403</v>
      </c>
      <c r="B126" s="4">
        <v>1</v>
      </c>
      <c r="C126" s="2" t="s">
        <v>125</v>
      </c>
      <c r="D126" s="3">
        <f>SUM('Shift 14'!D125:L125)</f>
        <v>31434.31</v>
      </c>
      <c r="E126" s="3">
        <f>ROUND(MAX(0,(Levy!Q128+Data!D127+Data!E127-Levy!U128)*0.5),2)</f>
        <v>183248.59</v>
      </c>
      <c r="F126" s="3">
        <f>IF(D126&gt;E126,D126-E126,0)</f>
        <v>0</v>
      </c>
      <c r="G126" s="3">
        <f>MAX(0,MIN(D126,E126))</f>
        <v>31434.31</v>
      </c>
      <c r="I126" s="3">
        <f>SUM('Shift 14'!M125:N125)</f>
        <v>0</v>
      </c>
      <c r="J126" s="3">
        <f>ROUND(MAX(0,(Levy!R128-Levy!V128)*0.5),2)</f>
        <v>8535.7900000000009</v>
      </c>
      <c r="K126" s="3">
        <f t="shared" si="8"/>
        <v>0</v>
      </c>
      <c r="L126" s="3">
        <f t="shared" si="9"/>
        <v>0</v>
      </c>
      <c r="N126" s="3">
        <f t="shared" si="10"/>
        <v>31434.31</v>
      </c>
      <c r="O126" s="2">
        <f>SUM(Levy!F128:J128)</f>
        <v>387534.24</v>
      </c>
      <c r="P126" s="2">
        <f>SUM(Levy!U128:V128)</f>
        <v>3965.49</v>
      </c>
      <c r="Q126" s="2">
        <f t="shared" si="11"/>
        <v>383568.75</v>
      </c>
    </row>
    <row r="127" spans="1:17" x14ac:dyDescent="0.2">
      <c r="A127" s="4">
        <v>404</v>
      </c>
      <c r="B127" s="4">
        <v>1</v>
      </c>
      <c r="C127" s="2" t="s">
        <v>126</v>
      </c>
      <c r="D127" s="3">
        <f>SUM('Shift 14'!D126:L126)</f>
        <v>74922.149999999994</v>
      </c>
      <c r="E127" s="3">
        <f>ROUND(MAX(0,(Levy!Q129+Data!D128+Data!E128-Levy!U129)*0.5),2)</f>
        <v>215512.26</v>
      </c>
      <c r="F127" s="3">
        <f>IF(D127&gt;E127,D127-E127,0)</f>
        <v>0</v>
      </c>
      <c r="G127" s="3">
        <f>MAX(0,MIN(D127,E127))</f>
        <v>74922.149999999994</v>
      </c>
      <c r="I127" s="3">
        <f>SUM('Shift 14'!M126:N126)</f>
        <v>0</v>
      </c>
      <c r="J127" s="3">
        <f>ROUND(MAX(0,(Levy!R129-Levy!V129)*0.5),2)</f>
        <v>7140.47</v>
      </c>
      <c r="K127" s="3">
        <f t="shared" si="8"/>
        <v>0</v>
      </c>
      <c r="L127" s="3">
        <f t="shared" si="9"/>
        <v>0</v>
      </c>
      <c r="N127" s="3">
        <f t="shared" si="10"/>
        <v>74922.149999999994</v>
      </c>
      <c r="O127" s="2">
        <f>SUM(Levy!F129:J129)</f>
        <v>449697.5</v>
      </c>
      <c r="P127" s="2">
        <f>SUM(Levy!U129:V129)</f>
        <v>4392.05</v>
      </c>
      <c r="Q127" s="2">
        <f t="shared" si="11"/>
        <v>445305.45</v>
      </c>
    </row>
    <row r="128" spans="1:17" x14ac:dyDescent="0.2">
      <c r="A128" s="4">
        <v>413</v>
      </c>
      <c r="B128" s="4">
        <v>1</v>
      </c>
      <c r="C128" s="2" t="s">
        <v>127</v>
      </c>
      <c r="D128" s="3">
        <f>SUM('Shift 14'!D127:L127)</f>
        <v>237320.72</v>
      </c>
      <c r="E128" s="3">
        <f>ROUND(MAX(0,(Levy!Q130+Data!D129+Data!E129-Levy!U130)*0.5),2)</f>
        <v>1342011.83</v>
      </c>
      <c r="F128" s="3">
        <f t="shared" si="6"/>
        <v>0</v>
      </c>
      <c r="G128" s="3">
        <f t="shared" si="7"/>
        <v>237320.72</v>
      </c>
      <c r="I128" s="3">
        <f>SUM('Shift 14'!M127:N127)</f>
        <v>0</v>
      </c>
      <c r="J128" s="3">
        <f>ROUND(MAX(0,(Levy!R130-Levy!V130)*0.5),2)</f>
        <v>93000.19</v>
      </c>
      <c r="K128" s="3">
        <f t="shared" si="8"/>
        <v>0</v>
      </c>
      <c r="L128" s="3">
        <f t="shared" si="9"/>
        <v>0</v>
      </c>
      <c r="N128" s="3">
        <f t="shared" si="10"/>
        <v>237320.72</v>
      </c>
      <c r="O128" s="2">
        <f>SUM(Levy!F130:J130)</f>
        <v>2878995</v>
      </c>
      <c r="P128" s="2">
        <f>SUM(Levy!U130:V130)</f>
        <v>8970.9700000000012</v>
      </c>
      <c r="Q128" s="2">
        <f t="shared" si="11"/>
        <v>2870024.03</v>
      </c>
    </row>
    <row r="129" spans="1:17" x14ac:dyDescent="0.2">
      <c r="A129" s="4">
        <v>414</v>
      </c>
      <c r="B129" s="4">
        <v>1</v>
      </c>
      <c r="C129" s="2" t="s">
        <v>128</v>
      </c>
      <c r="D129" s="3">
        <f>SUM('Shift 14'!D128:L128)</f>
        <v>38244.89</v>
      </c>
      <c r="E129" s="3">
        <f>ROUND(MAX(0,(Levy!Q131+Data!D130+Data!E130-Levy!U131)*0.5),2)</f>
        <v>240331.58</v>
      </c>
      <c r="F129" s="3">
        <f t="shared" si="6"/>
        <v>0</v>
      </c>
      <c r="G129" s="3">
        <f t="shared" si="7"/>
        <v>38244.89</v>
      </c>
      <c r="I129" s="3">
        <f>SUM('Shift 14'!M128:N128)</f>
        <v>0</v>
      </c>
      <c r="J129" s="3">
        <f>ROUND(MAX(0,(Levy!R131-Levy!V131)*0.5),2)</f>
        <v>19092.3</v>
      </c>
      <c r="K129" s="3">
        <f t="shared" si="8"/>
        <v>0</v>
      </c>
      <c r="L129" s="3">
        <f t="shared" si="9"/>
        <v>0</v>
      </c>
      <c r="N129" s="3">
        <f t="shared" si="10"/>
        <v>38244.89</v>
      </c>
      <c r="O129" s="2">
        <f>SUM(Levy!F131:J131)</f>
        <v>526802</v>
      </c>
      <c r="P129" s="2">
        <f>SUM(Levy!U131:V131)</f>
        <v>7954.25</v>
      </c>
      <c r="Q129" s="2">
        <f t="shared" si="11"/>
        <v>518847.75</v>
      </c>
    </row>
    <row r="130" spans="1:17" x14ac:dyDescent="0.2">
      <c r="A130" s="4">
        <v>415</v>
      </c>
      <c r="B130" s="4">
        <v>1</v>
      </c>
      <c r="C130" s="2" t="s">
        <v>129</v>
      </c>
      <c r="D130" s="3">
        <f>SUM('Shift 14'!D129:L129)</f>
        <v>22271.360000000001</v>
      </c>
      <c r="E130" s="3">
        <f>ROUND(MAX(0,(Levy!Q132+Data!D131+Data!E131-Levy!U132)*0.5),2)</f>
        <v>189927.18</v>
      </c>
      <c r="F130" s="3">
        <f t="shared" si="6"/>
        <v>0</v>
      </c>
      <c r="G130" s="3">
        <f t="shared" si="7"/>
        <v>22271.360000000001</v>
      </c>
      <c r="I130" s="3">
        <f>SUM('Shift 14'!M129:N129)</f>
        <v>0</v>
      </c>
      <c r="J130" s="3">
        <f>ROUND(MAX(0,(Levy!R132-Levy!V132)*0.5),2)</f>
        <v>23494.41</v>
      </c>
      <c r="K130" s="3">
        <f t="shared" si="8"/>
        <v>0</v>
      </c>
      <c r="L130" s="3">
        <f t="shared" si="9"/>
        <v>0</v>
      </c>
      <c r="N130" s="3">
        <f t="shared" si="10"/>
        <v>22271.360000000001</v>
      </c>
      <c r="O130" s="2">
        <f>SUM(Levy!F132:J132)</f>
        <v>431516</v>
      </c>
      <c r="P130" s="2">
        <f>SUM(Levy!U132:V132)</f>
        <v>4672.83</v>
      </c>
      <c r="Q130" s="2">
        <f t="shared" si="11"/>
        <v>426843.17</v>
      </c>
    </row>
    <row r="131" spans="1:17" x14ac:dyDescent="0.2">
      <c r="A131" s="4">
        <v>423</v>
      </c>
      <c r="B131" s="4">
        <v>1</v>
      </c>
      <c r="C131" s="2" t="s">
        <v>130</v>
      </c>
      <c r="D131" s="3">
        <f>SUM('Shift 14'!D130:L130)</f>
        <v>206228.57</v>
      </c>
      <c r="E131" s="3">
        <f>ROUND(MAX(0,(Levy!Q133+Data!D132+Data!E132-Levy!U133)*0.5),2)</f>
        <v>1669721.2</v>
      </c>
      <c r="F131" s="3">
        <f t="shared" ref="F131:F193" si="12">IF(D131&gt;E131,D131-E131,0)</f>
        <v>0</v>
      </c>
      <c r="G131" s="3">
        <f t="shared" ref="G131:G193" si="13">MAX(0,MIN(D131,E131))</f>
        <v>206228.57</v>
      </c>
      <c r="I131" s="3">
        <f>SUM('Shift 14'!M130:N130)</f>
        <v>0</v>
      </c>
      <c r="J131" s="3">
        <f>ROUND(MAX(0,(Levy!R133-Levy!V133)*0.5),2)</f>
        <v>96103.08</v>
      </c>
      <c r="K131" s="3">
        <f t="shared" ref="K131:K193" si="14">IF(I131&gt;J131,I131-J131,0)</f>
        <v>0</v>
      </c>
      <c r="L131" s="3">
        <f t="shared" ref="L131:L193" si="15">MAX(0,MIN(I131,J131))</f>
        <v>0</v>
      </c>
      <c r="N131" s="3">
        <f t="shared" si="10"/>
        <v>206228.57</v>
      </c>
      <c r="O131" s="2">
        <f>SUM(Levy!F133:J133)</f>
        <v>3554461</v>
      </c>
      <c r="P131" s="2">
        <f>SUM(Levy!U133:V133)</f>
        <v>22812.450000000004</v>
      </c>
      <c r="Q131" s="2">
        <f t="shared" si="11"/>
        <v>3531648.55</v>
      </c>
    </row>
    <row r="132" spans="1:17" x14ac:dyDescent="0.2">
      <c r="A132" s="4">
        <v>424</v>
      </c>
      <c r="B132" s="4">
        <v>1</v>
      </c>
      <c r="C132" s="2" t="s">
        <v>131</v>
      </c>
      <c r="D132" s="3">
        <f>SUM('Shift 14'!D131:L131)</f>
        <v>50591.710000000006</v>
      </c>
      <c r="E132" s="3">
        <f>ROUND(MAX(0,(Levy!Q134+Data!D133+Data!E133-Levy!U134)*0.5),2)</f>
        <v>221672.93</v>
      </c>
      <c r="F132" s="3">
        <f t="shared" si="12"/>
        <v>0</v>
      </c>
      <c r="G132" s="3">
        <f t="shared" si="13"/>
        <v>50591.710000000006</v>
      </c>
      <c r="I132" s="3">
        <f>SUM('Shift 14'!M131:N131)</f>
        <v>0</v>
      </c>
      <c r="J132" s="3">
        <f>ROUND(MAX(0,(Levy!R134-Levy!V134)*0.5),2)</f>
        <v>10949.06</v>
      </c>
      <c r="K132" s="3">
        <f t="shared" si="14"/>
        <v>0</v>
      </c>
      <c r="L132" s="3">
        <f t="shared" si="15"/>
        <v>0</v>
      </c>
      <c r="N132" s="3">
        <f t="shared" si="10"/>
        <v>50591.710000000006</v>
      </c>
      <c r="O132" s="2">
        <f>SUM(Levy!F134:J134)</f>
        <v>468098</v>
      </c>
      <c r="P132" s="2">
        <f>SUM(Levy!U134:V134)</f>
        <v>2854.0299999999997</v>
      </c>
      <c r="Q132" s="2">
        <f t="shared" si="11"/>
        <v>465243.97</v>
      </c>
    </row>
    <row r="133" spans="1:17" x14ac:dyDescent="0.2">
      <c r="A133" s="4">
        <v>432</v>
      </c>
      <c r="B133" s="4">
        <v>1</v>
      </c>
      <c r="C133" s="2" t="s">
        <v>132</v>
      </c>
      <c r="D133" s="3">
        <f>SUM('Shift 14'!D132:L132)</f>
        <v>11463.260000000002</v>
      </c>
      <c r="E133" s="3">
        <f>ROUND(MAX(0,(Levy!Q135+Data!D134+Data!E134-Levy!U135)*0.5),2)</f>
        <v>75513.55</v>
      </c>
      <c r="F133" s="3">
        <f t="shared" si="12"/>
        <v>0</v>
      </c>
      <c r="G133" s="3">
        <f t="shared" si="13"/>
        <v>11463.260000000002</v>
      </c>
      <c r="I133" s="3">
        <f>SUM('Shift 14'!M132:N132)</f>
        <v>0</v>
      </c>
      <c r="J133" s="3">
        <f>ROUND(MAX(0,(Levy!R135-Levy!V135)*0.5),2)</f>
        <v>17495.68</v>
      </c>
      <c r="K133" s="3">
        <f t="shared" si="14"/>
        <v>0</v>
      </c>
      <c r="L133" s="3">
        <f t="shared" si="15"/>
        <v>0</v>
      </c>
      <c r="N133" s="3">
        <f t="shared" si="10"/>
        <v>11463.260000000002</v>
      </c>
      <c r="O133" s="2">
        <f>SUM(Levy!F135:J135)</f>
        <v>198227.34</v>
      </c>
      <c r="P133" s="2">
        <f>SUM(Levy!U135:V135)</f>
        <v>12208.880000000001</v>
      </c>
      <c r="Q133" s="2">
        <f t="shared" si="11"/>
        <v>186018.46</v>
      </c>
    </row>
    <row r="134" spans="1:17" x14ac:dyDescent="0.2">
      <c r="A134" s="4">
        <v>435</v>
      </c>
      <c r="B134" s="4">
        <v>1</v>
      </c>
      <c r="C134" s="2" t="s">
        <v>1184</v>
      </c>
      <c r="D134" s="3">
        <f>SUM('Shift 14'!D133:L133)</f>
        <v>20950.850000000002</v>
      </c>
      <c r="E134" s="3">
        <f>ROUND(MAX(0,(Levy!Q136+Data!D135+Data!E135-Levy!U136)*0.5),2)</f>
        <v>131525.93</v>
      </c>
      <c r="F134" s="3">
        <f t="shared" si="12"/>
        <v>0</v>
      </c>
      <c r="G134" s="3">
        <f t="shared" si="13"/>
        <v>20950.850000000002</v>
      </c>
      <c r="I134" s="3">
        <f>SUM('Shift 14'!M133:N133)</f>
        <v>0</v>
      </c>
      <c r="J134" s="3">
        <f>ROUND(MAX(0,(Levy!R136-Levy!V136)*0.5),2)</f>
        <v>17318.32</v>
      </c>
      <c r="K134" s="3">
        <f t="shared" si="14"/>
        <v>0</v>
      </c>
      <c r="L134" s="3">
        <f t="shared" si="15"/>
        <v>0</v>
      </c>
      <c r="N134" s="3">
        <f t="shared" ref="N134:N197" si="16">G134+L134</f>
        <v>20950.850000000002</v>
      </c>
      <c r="O134" s="2">
        <f>SUM(Levy!F136:J136)</f>
        <v>301900.36</v>
      </c>
      <c r="P134" s="2">
        <f>SUM(Levy!U136:V136)</f>
        <v>4211.8599999999997</v>
      </c>
      <c r="Q134" s="2">
        <f t="shared" ref="Q134:Q197" si="17">O134-P134</f>
        <v>297688.5</v>
      </c>
    </row>
    <row r="135" spans="1:17" x14ac:dyDescent="0.2">
      <c r="A135" s="4">
        <v>441</v>
      </c>
      <c r="B135" s="4">
        <v>1</v>
      </c>
      <c r="C135" s="2" t="s">
        <v>134</v>
      </c>
      <c r="D135" s="3">
        <f>SUM('Shift 14'!D134:L134)</f>
        <v>72714.850000000006</v>
      </c>
      <c r="E135" s="3">
        <f>ROUND(MAX(0,(Levy!Q137+Data!D136+Data!E136-Levy!U137)*0.5),2)</f>
        <v>392726.69</v>
      </c>
      <c r="F135" s="3">
        <f t="shared" si="12"/>
        <v>0</v>
      </c>
      <c r="G135" s="3">
        <f t="shared" si="13"/>
        <v>72714.850000000006</v>
      </c>
      <c r="I135" s="3">
        <f>SUM('Shift 14'!M134:N134)</f>
        <v>0</v>
      </c>
      <c r="J135" s="3">
        <f>ROUND(MAX(0,(Levy!R137-Levy!V137)*0.5),2)</f>
        <v>17349.79</v>
      </c>
      <c r="K135" s="3">
        <f t="shared" si="14"/>
        <v>0</v>
      </c>
      <c r="L135" s="3">
        <f t="shared" si="15"/>
        <v>0</v>
      </c>
      <c r="N135" s="3">
        <f t="shared" si="16"/>
        <v>72714.850000000006</v>
      </c>
      <c r="O135" s="2">
        <f>SUM(Levy!F137:J137)</f>
        <v>832079.81</v>
      </c>
      <c r="P135" s="2">
        <f>SUM(Levy!U137:V137)</f>
        <v>11926.869999999999</v>
      </c>
      <c r="Q135" s="2">
        <f t="shared" si="17"/>
        <v>820152.94000000006</v>
      </c>
    </row>
    <row r="136" spans="1:17" x14ac:dyDescent="0.2">
      <c r="A136" s="4">
        <v>447</v>
      </c>
      <c r="B136" s="4">
        <v>1</v>
      </c>
      <c r="C136" s="2" t="s">
        <v>135</v>
      </c>
      <c r="D136" s="3">
        <f>SUM('Shift 14'!D135:L135)</f>
        <v>10338.830000000002</v>
      </c>
      <c r="E136" s="3">
        <f>ROUND(MAX(0,(Levy!Q138+Data!D137+Data!E137-Levy!U138)*0.5),2)</f>
        <v>64000.04</v>
      </c>
      <c r="F136" s="3">
        <f t="shared" si="12"/>
        <v>0</v>
      </c>
      <c r="G136" s="3">
        <f t="shared" si="13"/>
        <v>10338.830000000002</v>
      </c>
      <c r="I136" s="3">
        <f>SUM('Shift 14'!M135:N135)</f>
        <v>0</v>
      </c>
      <c r="J136" s="3">
        <f>ROUND(MAX(0,(Levy!R138-Levy!V138)*0.5),2)</f>
        <v>6628.45</v>
      </c>
      <c r="K136" s="3">
        <f t="shared" si="14"/>
        <v>0</v>
      </c>
      <c r="L136" s="3">
        <f t="shared" si="15"/>
        <v>0</v>
      </c>
      <c r="N136" s="3">
        <f t="shared" si="16"/>
        <v>10338.830000000002</v>
      </c>
      <c r="O136" s="2">
        <f>SUM(Levy!F138:J138)</f>
        <v>145334.35</v>
      </c>
      <c r="P136" s="2">
        <f>SUM(Levy!U138:V138)</f>
        <v>4077.3799999999992</v>
      </c>
      <c r="Q136" s="2">
        <f t="shared" si="17"/>
        <v>141256.97</v>
      </c>
    </row>
    <row r="137" spans="1:17" x14ac:dyDescent="0.2">
      <c r="A137" s="4">
        <v>458</v>
      </c>
      <c r="B137" s="4">
        <v>1</v>
      </c>
      <c r="C137" s="2" t="s">
        <v>136</v>
      </c>
      <c r="D137" s="3">
        <f>SUM('Shift 14'!D136:L136)</f>
        <v>217050.11000000002</v>
      </c>
      <c r="E137" s="3">
        <f>ROUND(MAX(0,(Levy!Q139+Data!D138+Data!E138-Levy!U139)*0.5),2)</f>
        <v>313168.42</v>
      </c>
      <c r="F137" s="3">
        <f t="shared" si="12"/>
        <v>0</v>
      </c>
      <c r="G137" s="3">
        <f t="shared" si="13"/>
        <v>217050.11000000002</v>
      </c>
      <c r="I137" s="3">
        <f>SUM('Shift 14'!M136:N136)</f>
        <v>0</v>
      </c>
      <c r="J137" s="3">
        <f>ROUND(MAX(0,(Levy!R139-Levy!V139)*0.5),2)</f>
        <v>17738.02</v>
      </c>
      <c r="K137" s="3">
        <f t="shared" si="14"/>
        <v>0</v>
      </c>
      <c r="L137" s="3">
        <f t="shared" si="15"/>
        <v>0</v>
      </c>
      <c r="N137" s="3">
        <f t="shared" si="16"/>
        <v>217050.11000000002</v>
      </c>
      <c r="O137" s="2">
        <f>SUM(Levy!F139:J139)</f>
        <v>678395</v>
      </c>
      <c r="P137" s="2">
        <f>SUM(Levy!U139:V139)</f>
        <v>16582.14</v>
      </c>
      <c r="Q137" s="2">
        <f t="shared" si="17"/>
        <v>661812.86</v>
      </c>
    </row>
    <row r="138" spans="1:17" x14ac:dyDescent="0.2">
      <c r="A138" s="4">
        <v>463</v>
      </c>
      <c r="B138" s="4">
        <v>1</v>
      </c>
      <c r="C138" s="2" t="s">
        <v>1185</v>
      </c>
      <c r="D138" s="3">
        <f>SUM('Shift 14'!D137:L137)</f>
        <v>48375.549999999996</v>
      </c>
      <c r="E138" s="3">
        <f>ROUND(MAX(0,(Levy!Q140+Data!D139+Data!E139-Levy!U140)*0.5),2)</f>
        <v>291300.3</v>
      </c>
      <c r="F138" s="3">
        <f t="shared" si="12"/>
        <v>0</v>
      </c>
      <c r="G138" s="3">
        <f t="shared" si="13"/>
        <v>48375.549999999996</v>
      </c>
      <c r="I138" s="3">
        <f>SUM('Shift 14'!M137:N137)</f>
        <v>0</v>
      </c>
      <c r="J138" s="3">
        <f>ROUND(MAX(0,(Levy!R140-Levy!V140)*0.5),2)</f>
        <v>29928.53</v>
      </c>
      <c r="K138" s="3">
        <f t="shared" si="14"/>
        <v>0</v>
      </c>
      <c r="L138" s="3">
        <f t="shared" si="15"/>
        <v>0</v>
      </c>
      <c r="N138" s="3">
        <f t="shared" si="16"/>
        <v>48375.549999999996</v>
      </c>
      <c r="O138" s="2">
        <f>SUM(Levy!F140:J140)</f>
        <v>645299</v>
      </c>
      <c r="P138" s="2">
        <f>SUM(Levy!U140:V140)</f>
        <v>2841.3599999999997</v>
      </c>
      <c r="Q138" s="2">
        <f t="shared" si="17"/>
        <v>642457.64</v>
      </c>
    </row>
    <row r="139" spans="1:17" x14ac:dyDescent="0.2">
      <c r="A139" s="4">
        <v>465</v>
      </c>
      <c r="B139" s="4">
        <v>1</v>
      </c>
      <c r="C139" s="2" t="s">
        <v>138</v>
      </c>
      <c r="D139" s="3">
        <f>SUM('Shift 14'!D138:L138)</f>
        <v>141364.88999999998</v>
      </c>
      <c r="E139" s="3">
        <f>ROUND(MAX(0,(Levy!Q141+Data!D140+Data!E140-Levy!U141)*0.5),2)</f>
        <v>651478.99</v>
      </c>
      <c r="F139" s="3">
        <f t="shared" si="12"/>
        <v>0</v>
      </c>
      <c r="G139" s="3">
        <f t="shared" si="13"/>
        <v>141364.88999999998</v>
      </c>
      <c r="I139" s="3">
        <f>SUM('Shift 14'!M138:N138)</f>
        <v>0</v>
      </c>
      <c r="J139" s="3">
        <f>ROUND(MAX(0,(Levy!R141-Levy!V141)*0.5),2)</f>
        <v>70912.09</v>
      </c>
      <c r="K139" s="3">
        <f t="shared" si="14"/>
        <v>0</v>
      </c>
      <c r="L139" s="3">
        <f t="shared" si="15"/>
        <v>0</v>
      </c>
      <c r="N139" s="3">
        <f t="shared" si="16"/>
        <v>141364.88999999998</v>
      </c>
      <c r="O139" s="2">
        <f>SUM(Levy!F141:J141)</f>
        <v>1451109</v>
      </c>
      <c r="P139" s="2">
        <f>SUM(Levy!U141:V141)</f>
        <v>6326.86</v>
      </c>
      <c r="Q139" s="2">
        <f t="shared" si="17"/>
        <v>1444782.14</v>
      </c>
    </row>
    <row r="140" spans="1:17" x14ac:dyDescent="0.2">
      <c r="A140" s="4">
        <v>466</v>
      </c>
      <c r="B140" s="4">
        <v>1</v>
      </c>
      <c r="C140" s="2" t="s">
        <v>139</v>
      </c>
      <c r="D140" s="3">
        <f>SUM('Shift 14'!D139:L139)</f>
        <v>107652.30999999998</v>
      </c>
      <c r="E140" s="3">
        <f>ROUND(MAX(0,(Levy!Q142+Data!D141+Data!E141-Levy!U142)*0.5),2)</f>
        <v>559684.31000000006</v>
      </c>
      <c r="F140" s="3">
        <f t="shared" si="12"/>
        <v>0</v>
      </c>
      <c r="G140" s="3">
        <f t="shared" si="13"/>
        <v>107652.30999999998</v>
      </c>
      <c r="I140" s="3">
        <f>SUM('Shift 14'!M139:N139)</f>
        <v>0</v>
      </c>
      <c r="J140" s="3">
        <f>ROUND(MAX(0,(Levy!R142-Levy!V142)*0.5),2)</f>
        <v>60531.78</v>
      </c>
      <c r="K140" s="3">
        <f t="shared" si="14"/>
        <v>0</v>
      </c>
      <c r="L140" s="3">
        <f t="shared" si="15"/>
        <v>0</v>
      </c>
      <c r="N140" s="3">
        <f t="shared" si="16"/>
        <v>107652.30999999998</v>
      </c>
      <c r="O140" s="2">
        <f>SUM(Levy!F142:J142)</f>
        <v>1250302</v>
      </c>
      <c r="P140" s="2">
        <f>SUM(Levy!U142:V142)</f>
        <v>9869.83</v>
      </c>
      <c r="Q140" s="2">
        <f t="shared" si="17"/>
        <v>1240432.17</v>
      </c>
    </row>
    <row r="141" spans="1:17" x14ac:dyDescent="0.2">
      <c r="A141" s="4">
        <v>473</v>
      </c>
      <c r="B141" s="4">
        <v>1</v>
      </c>
      <c r="C141" s="2" t="s">
        <v>140</v>
      </c>
      <c r="D141" s="3">
        <f>SUM('Shift 14'!D140:L140)</f>
        <v>32746.750000000004</v>
      </c>
      <c r="E141" s="3">
        <f>ROUND(MAX(0,(Levy!Q143+Data!D142+Data!E142-Levy!U143)*0.5),2)</f>
        <v>185455.42</v>
      </c>
      <c r="F141" s="3">
        <f t="shared" si="12"/>
        <v>0</v>
      </c>
      <c r="G141" s="3">
        <f t="shared" si="13"/>
        <v>32746.750000000004</v>
      </c>
      <c r="I141" s="3">
        <f>SUM('Shift 14'!M140:N140)</f>
        <v>0</v>
      </c>
      <c r="J141" s="3">
        <f>ROUND(MAX(0,(Levy!R143-Levy!V143)*0.5),2)</f>
        <v>22443.279999999999</v>
      </c>
      <c r="K141" s="3">
        <f t="shared" si="14"/>
        <v>0</v>
      </c>
      <c r="L141" s="3">
        <f t="shared" si="15"/>
        <v>0</v>
      </c>
      <c r="N141" s="3">
        <f t="shared" si="16"/>
        <v>32746.750000000004</v>
      </c>
      <c r="O141" s="2">
        <f>SUM(Levy!F143:J143)</f>
        <v>417587.23000000004</v>
      </c>
      <c r="P141" s="2">
        <f>SUM(Levy!U143:V143)</f>
        <v>1789.8400000000001</v>
      </c>
      <c r="Q141" s="2">
        <f t="shared" si="17"/>
        <v>415797.39</v>
      </c>
    </row>
    <row r="142" spans="1:17" x14ac:dyDescent="0.2">
      <c r="A142" s="4">
        <v>477</v>
      </c>
      <c r="B142" s="4">
        <v>1</v>
      </c>
      <c r="C142" s="2" t="s">
        <v>141</v>
      </c>
      <c r="D142" s="3">
        <f>SUM('Shift 14'!D141:L141)</f>
        <v>72167.320000000007</v>
      </c>
      <c r="E142" s="3">
        <f>ROUND(MAX(0,(Levy!Q144+Data!D143+Data!E143-Levy!U144)*0.5),2)</f>
        <v>1037823.84</v>
      </c>
      <c r="F142" s="3">
        <f t="shared" si="12"/>
        <v>0</v>
      </c>
      <c r="G142" s="3">
        <f t="shared" si="13"/>
        <v>72167.320000000007</v>
      </c>
      <c r="I142" s="3">
        <f>SUM('Shift 14'!M141:N141)</f>
        <v>0</v>
      </c>
      <c r="J142" s="3">
        <f>ROUND(MAX(0,(Levy!R144-Levy!V144)*0.5),2)</f>
        <v>117726.69</v>
      </c>
      <c r="K142" s="3">
        <f t="shared" si="14"/>
        <v>0</v>
      </c>
      <c r="L142" s="3">
        <f t="shared" si="15"/>
        <v>0</v>
      </c>
      <c r="N142" s="3">
        <f t="shared" si="16"/>
        <v>72167.320000000007</v>
      </c>
      <c r="O142" s="2">
        <f>SUM(Levy!F144:J144)</f>
        <v>2331678.9299999997</v>
      </c>
      <c r="P142" s="2">
        <f>SUM(Levy!U144:V144)</f>
        <v>20577.88</v>
      </c>
      <c r="Q142" s="2">
        <f t="shared" si="17"/>
        <v>2311101.0499999998</v>
      </c>
    </row>
    <row r="143" spans="1:17" x14ac:dyDescent="0.2">
      <c r="A143" s="4">
        <v>480</v>
      </c>
      <c r="B143" s="4">
        <v>1</v>
      </c>
      <c r="C143" s="2" t="s">
        <v>142</v>
      </c>
      <c r="D143" s="3">
        <f>SUM('Shift 14'!D142:L142)</f>
        <v>33737.21</v>
      </c>
      <c r="E143" s="3">
        <f>ROUND(MAX(0,(Levy!Q145+Data!D144+Data!E144-Levy!U145)*0.5),2)</f>
        <v>358536.99</v>
      </c>
      <c r="F143" s="3">
        <f t="shared" si="12"/>
        <v>0</v>
      </c>
      <c r="G143" s="3">
        <f t="shared" si="13"/>
        <v>33737.21</v>
      </c>
      <c r="I143" s="3">
        <f>SUM('Shift 14'!M142:N142)</f>
        <v>0</v>
      </c>
      <c r="J143" s="3">
        <f>ROUND(MAX(0,(Levy!R145-Levy!V145)*0.5),2)</f>
        <v>36312.800000000003</v>
      </c>
      <c r="K143" s="3">
        <f t="shared" si="14"/>
        <v>0</v>
      </c>
      <c r="L143" s="3">
        <f t="shared" si="15"/>
        <v>0</v>
      </c>
      <c r="N143" s="3">
        <f t="shared" si="16"/>
        <v>33737.21</v>
      </c>
      <c r="O143" s="2">
        <f>SUM(Levy!F145:J145)</f>
        <v>793196.83</v>
      </c>
      <c r="P143" s="2">
        <f>SUM(Levy!U145:V145)</f>
        <v>3497.2599999999993</v>
      </c>
      <c r="Q143" s="2">
        <f t="shared" si="17"/>
        <v>789699.57</v>
      </c>
    </row>
    <row r="144" spans="1:17" x14ac:dyDescent="0.2">
      <c r="A144" s="4">
        <v>482</v>
      </c>
      <c r="B144" s="4">
        <v>1</v>
      </c>
      <c r="C144" s="2" t="s">
        <v>143</v>
      </c>
      <c r="D144" s="3">
        <f>SUM('Shift 14'!D143:L143)</f>
        <v>138999.56</v>
      </c>
      <c r="E144" s="3">
        <f>ROUND(MAX(0,(Levy!Q146+Data!D145+Data!E145-Levy!U146)*0.5),2)</f>
        <v>1012924.86</v>
      </c>
      <c r="F144" s="3">
        <f t="shared" si="12"/>
        <v>0</v>
      </c>
      <c r="G144" s="3">
        <f t="shared" si="13"/>
        <v>138999.56</v>
      </c>
      <c r="I144" s="3">
        <f>SUM('Shift 14'!M143:N143)</f>
        <v>0</v>
      </c>
      <c r="J144" s="3">
        <f>ROUND(MAX(0,(Levy!R146-Levy!V146)*0.5),2)</f>
        <v>80981.98</v>
      </c>
      <c r="K144" s="3">
        <f t="shared" si="14"/>
        <v>0</v>
      </c>
      <c r="L144" s="3">
        <f t="shared" si="15"/>
        <v>0</v>
      </c>
      <c r="N144" s="3">
        <f t="shared" si="16"/>
        <v>138999.56</v>
      </c>
      <c r="O144" s="2">
        <f>SUM(Levy!F146:J146)</f>
        <v>2213174.92</v>
      </c>
      <c r="P144" s="2">
        <f>SUM(Levy!U146:V146)</f>
        <v>25361.25</v>
      </c>
      <c r="Q144" s="2">
        <f t="shared" si="17"/>
        <v>2187813.67</v>
      </c>
    </row>
    <row r="145" spans="1:17" x14ac:dyDescent="0.2">
      <c r="A145" s="4">
        <v>484</v>
      </c>
      <c r="B145" s="4">
        <v>1</v>
      </c>
      <c r="C145" s="2" t="s">
        <v>144</v>
      </c>
      <c r="D145" s="3">
        <f>SUM('Shift 14'!D144:L144)</f>
        <v>55397.81</v>
      </c>
      <c r="E145" s="3">
        <f>ROUND(MAX(0,(Levy!Q147+Data!D146+Data!E146-Levy!U147)*0.5),2)</f>
        <v>383947.47</v>
      </c>
      <c r="F145" s="3">
        <f t="shared" si="12"/>
        <v>0</v>
      </c>
      <c r="G145" s="3">
        <f t="shared" si="13"/>
        <v>55397.81</v>
      </c>
      <c r="I145" s="3">
        <f>SUM('Shift 14'!M144:N144)</f>
        <v>0</v>
      </c>
      <c r="J145" s="3">
        <f>ROUND(MAX(0,(Levy!R147-Levy!V147)*0.5),2)</f>
        <v>28415.09</v>
      </c>
      <c r="K145" s="3">
        <f t="shared" si="14"/>
        <v>0</v>
      </c>
      <c r="L145" s="3">
        <f t="shared" si="15"/>
        <v>0</v>
      </c>
      <c r="N145" s="3">
        <f t="shared" si="16"/>
        <v>55397.81</v>
      </c>
      <c r="O145" s="2">
        <f>SUM(Levy!F147:J147)</f>
        <v>844616.87</v>
      </c>
      <c r="P145" s="2">
        <f>SUM(Levy!U147:V147)</f>
        <v>19891.75</v>
      </c>
      <c r="Q145" s="2">
        <f t="shared" si="17"/>
        <v>824725.12</v>
      </c>
    </row>
    <row r="146" spans="1:17" x14ac:dyDescent="0.2">
      <c r="A146" s="4">
        <v>485</v>
      </c>
      <c r="B146" s="4">
        <v>1</v>
      </c>
      <c r="C146" s="2" t="s">
        <v>145</v>
      </c>
      <c r="D146" s="3">
        <f>SUM('Shift 14'!D145:L145)</f>
        <v>7973.7499999999964</v>
      </c>
      <c r="E146" s="3">
        <f>ROUND(MAX(0,(Levy!Q148+Data!D147+Data!E147-Levy!U148)*0.5),2)</f>
        <v>145685</v>
      </c>
      <c r="F146" s="3">
        <f t="shared" si="12"/>
        <v>0</v>
      </c>
      <c r="G146" s="3">
        <f t="shared" si="13"/>
        <v>7973.7499999999964</v>
      </c>
      <c r="I146" s="3">
        <f>SUM('Shift 14'!M145:N145)</f>
        <v>0</v>
      </c>
      <c r="J146" s="3">
        <f>ROUND(MAX(0,(Levy!R148-Levy!V148)*0.5),2)</f>
        <v>13262.27</v>
      </c>
      <c r="K146" s="3">
        <f t="shared" si="14"/>
        <v>0</v>
      </c>
      <c r="L146" s="3">
        <f t="shared" si="15"/>
        <v>0</v>
      </c>
      <c r="N146" s="3">
        <f t="shared" si="16"/>
        <v>7973.7499999999964</v>
      </c>
      <c r="O146" s="2">
        <f>SUM(Levy!F148:J148)</f>
        <v>321226.89</v>
      </c>
      <c r="P146" s="2">
        <f>SUM(Levy!U148:V148)</f>
        <v>3332.3599999999997</v>
      </c>
      <c r="Q146" s="2">
        <f t="shared" si="17"/>
        <v>317894.53000000003</v>
      </c>
    </row>
    <row r="147" spans="1:17" x14ac:dyDescent="0.2">
      <c r="A147" s="4">
        <v>486</v>
      </c>
      <c r="B147" s="4">
        <v>1</v>
      </c>
      <c r="C147" s="2" t="s">
        <v>146</v>
      </c>
      <c r="D147" s="3">
        <f>SUM('Shift 14'!D146:L146)</f>
        <v>16695.760000000002</v>
      </c>
      <c r="E147" s="3">
        <f>ROUND(MAX(0,(Levy!Q149+Data!D148+Data!E148-Levy!U149)*0.5),2)</f>
        <v>135920.34</v>
      </c>
      <c r="F147" s="3">
        <f t="shared" si="12"/>
        <v>0</v>
      </c>
      <c r="G147" s="3">
        <f t="shared" si="13"/>
        <v>16695.760000000002</v>
      </c>
      <c r="I147" s="3">
        <f>SUM('Shift 14'!M146:N146)</f>
        <v>0</v>
      </c>
      <c r="J147" s="3">
        <f>ROUND(MAX(0,(Levy!R149-Levy!V149)*0.5),2)</f>
        <v>10592.3</v>
      </c>
      <c r="K147" s="3">
        <f t="shared" si="14"/>
        <v>0</v>
      </c>
      <c r="L147" s="3">
        <f t="shared" si="15"/>
        <v>0</v>
      </c>
      <c r="N147" s="3">
        <f t="shared" si="16"/>
        <v>16695.760000000002</v>
      </c>
      <c r="O147" s="2">
        <f>SUM(Levy!F149:J149)</f>
        <v>295966.95999999996</v>
      </c>
      <c r="P147" s="2">
        <f>SUM(Levy!U149:V149)</f>
        <v>2941.6899999999996</v>
      </c>
      <c r="Q147" s="2">
        <f t="shared" si="17"/>
        <v>293025.26999999996</v>
      </c>
    </row>
    <row r="148" spans="1:17" x14ac:dyDescent="0.2">
      <c r="A148" s="4">
        <v>487</v>
      </c>
      <c r="B148" s="4">
        <v>1</v>
      </c>
      <c r="C148" s="2" t="s">
        <v>147</v>
      </c>
      <c r="D148" s="3">
        <f>SUM('Shift 14'!D147:L147)</f>
        <v>37386.770000000004</v>
      </c>
      <c r="E148" s="3">
        <f>ROUND(MAX(0,(Levy!Q150+Data!D149+Data!E149-Levy!U150)*0.5),2)</f>
        <v>141506.04999999999</v>
      </c>
      <c r="F148" s="3">
        <f t="shared" si="12"/>
        <v>0</v>
      </c>
      <c r="G148" s="3">
        <f t="shared" si="13"/>
        <v>37386.770000000004</v>
      </c>
      <c r="I148" s="3">
        <f>SUM('Shift 14'!M147:N147)</f>
        <v>0</v>
      </c>
      <c r="J148" s="3">
        <f>ROUND(MAX(0,(Levy!R150-Levy!V150)*0.5),2)</f>
        <v>9794.89</v>
      </c>
      <c r="K148" s="3">
        <f t="shared" si="14"/>
        <v>0</v>
      </c>
      <c r="L148" s="3">
        <f t="shared" si="15"/>
        <v>0</v>
      </c>
      <c r="N148" s="3">
        <f t="shared" si="16"/>
        <v>37386.770000000004</v>
      </c>
      <c r="O148" s="2">
        <f>SUM(Levy!F150:J150)</f>
        <v>306367.8</v>
      </c>
      <c r="P148" s="2">
        <f>SUM(Levy!U150:V150)</f>
        <v>3765.9200000000005</v>
      </c>
      <c r="Q148" s="2">
        <f t="shared" si="17"/>
        <v>302601.88</v>
      </c>
    </row>
    <row r="149" spans="1:17" x14ac:dyDescent="0.2">
      <c r="A149" s="4">
        <v>492</v>
      </c>
      <c r="B149" s="4">
        <v>1</v>
      </c>
      <c r="C149" s="2" t="s">
        <v>148</v>
      </c>
      <c r="D149" s="3">
        <f>SUM('Shift 14'!D148:L148)</f>
        <v>352087.37999999995</v>
      </c>
      <c r="E149" s="3">
        <f>ROUND(MAX(0,(Levy!Q151+Data!D150+Data!E150-Levy!U151)*0.5),2)</f>
        <v>1777847.16</v>
      </c>
      <c r="F149" s="3">
        <f t="shared" si="12"/>
        <v>0</v>
      </c>
      <c r="G149" s="3">
        <f t="shared" si="13"/>
        <v>352087.37999999995</v>
      </c>
      <c r="I149" s="3">
        <f>SUM('Shift 14'!M148:N148)</f>
        <v>0</v>
      </c>
      <c r="J149" s="3">
        <f>ROUND(MAX(0,(Levy!R151-Levy!V151)*0.5),2)</f>
        <v>126926.37</v>
      </c>
      <c r="K149" s="3">
        <f t="shared" si="14"/>
        <v>0</v>
      </c>
      <c r="L149" s="3">
        <f t="shared" si="15"/>
        <v>0</v>
      </c>
      <c r="N149" s="3">
        <f t="shared" si="16"/>
        <v>352087.37999999995</v>
      </c>
      <c r="O149" s="2">
        <f>SUM(Levy!F151:J151)</f>
        <v>3873314</v>
      </c>
      <c r="P149" s="2">
        <f>SUM(Levy!U151:V151)</f>
        <v>63766.94000000001</v>
      </c>
      <c r="Q149" s="2">
        <f t="shared" si="17"/>
        <v>3809547.06</v>
      </c>
    </row>
    <row r="150" spans="1:17" x14ac:dyDescent="0.2">
      <c r="A150" s="4">
        <v>495</v>
      </c>
      <c r="B150" s="4">
        <v>1</v>
      </c>
      <c r="C150" s="2" t="s">
        <v>149</v>
      </c>
      <c r="D150" s="3">
        <f>SUM('Shift 14'!D149:L149)</f>
        <v>77106.66</v>
      </c>
      <c r="E150" s="3">
        <f>ROUND(MAX(0,(Levy!Q152+Data!D151+Data!E151-Levy!U152)*0.5),2)</f>
        <v>289056.5</v>
      </c>
      <c r="F150" s="3">
        <f t="shared" si="12"/>
        <v>0</v>
      </c>
      <c r="G150" s="3">
        <f t="shared" si="13"/>
        <v>77106.66</v>
      </c>
      <c r="I150" s="3">
        <f>SUM('Shift 14'!M149:N149)</f>
        <v>0</v>
      </c>
      <c r="J150" s="3">
        <f>ROUND(MAX(0,(Levy!R152-Levy!V152)*0.5),2)</f>
        <v>16247.76</v>
      </c>
      <c r="K150" s="3">
        <f t="shared" si="14"/>
        <v>0</v>
      </c>
      <c r="L150" s="3">
        <f t="shared" si="15"/>
        <v>0</v>
      </c>
      <c r="N150" s="3">
        <f t="shared" si="16"/>
        <v>77106.66</v>
      </c>
      <c r="O150" s="2">
        <f>SUM(Levy!F152:J152)</f>
        <v>617032</v>
      </c>
      <c r="P150" s="2">
        <f>SUM(Levy!U152:V152)</f>
        <v>6423.49</v>
      </c>
      <c r="Q150" s="2">
        <f t="shared" si="17"/>
        <v>610608.51</v>
      </c>
    </row>
    <row r="151" spans="1:17" x14ac:dyDescent="0.2">
      <c r="A151" s="4">
        <v>497</v>
      </c>
      <c r="B151" s="4">
        <v>1</v>
      </c>
      <c r="C151" s="2" t="s">
        <v>150</v>
      </c>
      <c r="D151" s="3">
        <f>SUM('Shift 14'!D150:L150)</f>
        <v>72528.34</v>
      </c>
      <c r="E151" s="3">
        <f>ROUND(MAX(0,(Levy!Q153+Data!D152+Data!E152-Levy!U153)*0.5),2)</f>
        <v>80004.23</v>
      </c>
      <c r="F151" s="3">
        <f t="shared" si="12"/>
        <v>0</v>
      </c>
      <c r="G151" s="3">
        <f t="shared" si="13"/>
        <v>72528.34</v>
      </c>
      <c r="I151" s="3">
        <f>SUM('Shift 14'!M150:N150)</f>
        <v>0</v>
      </c>
      <c r="J151" s="3">
        <f>ROUND(MAX(0,(Levy!R153-Levy!V153)*0.5),2)</f>
        <v>6092.49</v>
      </c>
      <c r="K151" s="3">
        <f t="shared" si="14"/>
        <v>0</v>
      </c>
      <c r="L151" s="3">
        <f t="shared" si="15"/>
        <v>0</v>
      </c>
      <c r="N151" s="3">
        <f t="shared" si="16"/>
        <v>72528.34</v>
      </c>
      <c r="O151" s="2">
        <f>SUM(Levy!F153:J153)</f>
        <v>174432</v>
      </c>
      <c r="P151" s="2">
        <f>SUM(Levy!U153:V153)</f>
        <v>2238.58</v>
      </c>
      <c r="Q151" s="2">
        <f t="shared" si="17"/>
        <v>172193.42</v>
      </c>
    </row>
    <row r="152" spans="1:17" x14ac:dyDescent="0.2">
      <c r="A152" s="4">
        <v>499</v>
      </c>
      <c r="B152" s="4">
        <v>1</v>
      </c>
      <c r="C152" s="2" t="s">
        <v>1186</v>
      </c>
      <c r="D152" s="3">
        <f>SUM('Shift 14'!D151:L151)</f>
        <v>132247.69</v>
      </c>
      <c r="E152" s="3">
        <f>ROUND(MAX(0,(Levy!Q154+Data!D153+Data!E153-Levy!U154)*0.5),2)</f>
        <v>281560.99</v>
      </c>
      <c r="F152" s="3">
        <f t="shared" si="12"/>
        <v>0</v>
      </c>
      <c r="G152" s="3">
        <f t="shared" si="13"/>
        <v>132247.69</v>
      </c>
      <c r="I152" s="3">
        <f>SUM('Shift 14'!M151:N151)</f>
        <v>0</v>
      </c>
      <c r="J152" s="3">
        <f>ROUND(MAX(0,(Levy!R154-Levy!V154)*0.5),2)</f>
        <v>44171.97</v>
      </c>
      <c r="K152" s="3">
        <f t="shared" si="14"/>
        <v>0</v>
      </c>
      <c r="L152" s="3">
        <f t="shared" si="15"/>
        <v>0</v>
      </c>
      <c r="N152" s="3">
        <f t="shared" si="16"/>
        <v>132247.69</v>
      </c>
      <c r="O152" s="2">
        <f>SUM(Levy!F154:J154)</f>
        <v>658153</v>
      </c>
      <c r="P152" s="2">
        <f>SUM(Levy!U154:V154)</f>
        <v>6687.08</v>
      </c>
      <c r="Q152" s="2">
        <f t="shared" si="17"/>
        <v>651465.92000000004</v>
      </c>
    </row>
    <row r="153" spans="1:17" x14ac:dyDescent="0.2">
      <c r="A153" s="4">
        <v>500</v>
      </c>
      <c r="B153" s="4">
        <v>1</v>
      </c>
      <c r="C153" s="2" t="s">
        <v>152</v>
      </c>
      <c r="D153" s="3">
        <f>SUM('Shift 14'!D152:L152)</f>
        <v>120537.25</v>
      </c>
      <c r="E153" s="3">
        <f>ROUND(MAX(0,(Levy!Q155+Data!D154+Data!E154-Levy!U155)*0.5),2)</f>
        <v>225098.03</v>
      </c>
      <c r="F153" s="3">
        <f t="shared" si="12"/>
        <v>0</v>
      </c>
      <c r="G153" s="3">
        <f t="shared" si="13"/>
        <v>120537.25</v>
      </c>
      <c r="I153" s="3">
        <f>SUM('Shift 14'!M152:N152)</f>
        <v>0</v>
      </c>
      <c r="J153" s="3">
        <f>ROUND(MAX(0,(Levy!R155-Levy!V155)*0.5),2)</f>
        <v>22551.97</v>
      </c>
      <c r="K153" s="3">
        <f t="shared" si="14"/>
        <v>0</v>
      </c>
      <c r="L153" s="3">
        <f t="shared" si="15"/>
        <v>0</v>
      </c>
      <c r="N153" s="3">
        <f t="shared" si="16"/>
        <v>120537.25</v>
      </c>
      <c r="O153" s="2">
        <f>SUM(Levy!F155:J155)</f>
        <v>508556.61000000004</v>
      </c>
      <c r="P153" s="2">
        <f>SUM(Levy!U155:V155)</f>
        <v>13256.62</v>
      </c>
      <c r="Q153" s="2">
        <f t="shared" si="17"/>
        <v>495299.99000000005</v>
      </c>
    </row>
    <row r="154" spans="1:17" x14ac:dyDescent="0.2">
      <c r="A154" s="4">
        <v>505</v>
      </c>
      <c r="B154" s="4">
        <v>1</v>
      </c>
      <c r="C154" s="2" t="s">
        <v>153</v>
      </c>
      <c r="D154" s="3">
        <f>SUM('Shift 14'!D153:L153)</f>
        <v>105480.40000000001</v>
      </c>
      <c r="E154" s="3">
        <f>ROUND(MAX(0,(Levy!Q156+Data!D155+Data!E155-Levy!U156)*0.5),2)</f>
        <v>186453.45</v>
      </c>
      <c r="F154" s="3">
        <f t="shared" si="12"/>
        <v>0</v>
      </c>
      <c r="G154" s="3">
        <f t="shared" si="13"/>
        <v>105480.40000000001</v>
      </c>
      <c r="I154" s="3">
        <f>SUM('Shift 14'!M153:N153)</f>
        <v>0</v>
      </c>
      <c r="J154" s="3">
        <f>ROUND(MAX(0,(Levy!R156-Levy!V156)*0.5),2)</f>
        <v>18561.36</v>
      </c>
      <c r="K154" s="3">
        <f t="shared" si="14"/>
        <v>0</v>
      </c>
      <c r="L154" s="3">
        <f t="shared" si="15"/>
        <v>0</v>
      </c>
      <c r="N154" s="3">
        <f t="shared" si="16"/>
        <v>105480.40000000001</v>
      </c>
      <c r="O154" s="2">
        <f>SUM(Levy!F156:J156)</f>
        <v>419494.3</v>
      </c>
      <c r="P154" s="2">
        <f>SUM(Levy!U156:V156)</f>
        <v>9464.69</v>
      </c>
      <c r="Q154" s="2">
        <f t="shared" si="17"/>
        <v>410029.61</v>
      </c>
    </row>
    <row r="155" spans="1:17" x14ac:dyDescent="0.2">
      <c r="A155" s="4">
        <v>507</v>
      </c>
      <c r="B155" s="4">
        <v>1</v>
      </c>
      <c r="C155" s="2" t="s">
        <v>154</v>
      </c>
      <c r="D155" s="3">
        <f>SUM('Shift 14'!D154:L154)</f>
        <v>136940.4</v>
      </c>
      <c r="E155" s="3">
        <f>ROUND(MAX(0,(Levy!Q157+Data!D156+Data!E156-Levy!U157)*0.5),2)</f>
        <v>333889.98</v>
      </c>
      <c r="F155" s="3">
        <f t="shared" si="12"/>
        <v>0</v>
      </c>
      <c r="G155" s="3">
        <f t="shared" si="13"/>
        <v>136940.4</v>
      </c>
      <c r="I155" s="3">
        <f>SUM('Shift 14'!M154:N154)</f>
        <v>0</v>
      </c>
      <c r="J155" s="3">
        <f>ROUND(MAX(0,(Levy!R157-Levy!V157)*0.5),2)</f>
        <v>18751.63</v>
      </c>
      <c r="K155" s="3">
        <f t="shared" si="14"/>
        <v>0</v>
      </c>
      <c r="L155" s="3">
        <f t="shared" si="15"/>
        <v>0</v>
      </c>
      <c r="N155" s="3">
        <f t="shared" si="16"/>
        <v>136940.4</v>
      </c>
      <c r="O155" s="2">
        <f>SUM(Levy!F157:J157)</f>
        <v>708452</v>
      </c>
      <c r="P155" s="2">
        <f>SUM(Levy!U157:V157)</f>
        <v>3168.7900000000004</v>
      </c>
      <c r="Q155" s="2">
        <f t="shared" si="17"/>
        <v>705283.21</v>
      </c>
    </row>
    <row r="156" spans="1:17" x14ac:dyDescent="0.2">
      <c r="A156" s="4">
        <v>508</v>
      </c>
      <c r="B156" s="4">
        <v>1</v>
      </c>
      <c r="C156" s="2" t="s">
        <v>155</v>
      </c>
      <c r="D156" s="3">
        <f>SUM('Shift 14'!D155:L155)</f>
        <v>189550.72</v>
      </c>
      <c r="E156" s="3">
        <f>ROUND(MAX(0,(Levy!Q158+Data!D157+Data!E157-Levy!U158)*0.5),2)</f>
        <v>1466797.67</v>
      </c>
      <c r="F156" s="3">
        <f t="shared" si="12"/>
        <v>0</v>
      </c>
      <c r="G156" s="3">
        <f t="shared" si="13"/>
        <v>189550.72</v>
      </c>
      <c r="I156" s="3">
        <f>SUM('Shift 14'!M155:N155)</f>
        <v>0</v>
      </c>
      <c r="J156" s="3">
        <f>ROUND(MAX(0,(Levy!R158-Levy!V158)*0.5),2)</f>
        <v>71865.990000000005</v>
      </c>
      <c r="K156" s="3">
        <f t="shared" si="14"/>
        <v>0</v>
      </c>
      <c r="L156" s="3">
        <f t="shared" si="15"/>
        <v>0</v>
      </c>
      <c r="N156" s="3">
        <f t="shared" si="16"/>
        <v>189550.72</v>
      </c>
      <c r="O156" s="2">
        <f>SUM(Levy!F158:J158)</f>
        <v>3089707</v>
      </c>
      <c r="P156" s="2">
        <f>SUM(Levy!U158:V158)</f>
        <v>12379.69</v>
      </c>
      <c r="Q156" s="2">
        <f t="shared" si="17"/>
        <v>3077327.31</v>
      </c>
    </row>
    <row r="157" spans="1:17" x14ac:dyDescent="0.2">
      <c r="A157" s="4">
        <v>511</v>
      </c>
      <c r="B157" s="4">
        <v>1</v>
      </c>
      <c r="C157" s="2" t="s">
        <v>156</v>
      </c>
      <c r="D157" s="3">
        <f>SUM('Shift 14'!D156:L156)</f>
        <v>37980.11</v>
      </c>
      <c r="E157" s="3">
        <f>ROUND(MAX(0,(Levy!Q159+Data!D158+Data!E158-Levy!U159)*0.5),2)</f>
        <v>340163.95</v>
      </c>
      <c r="F157" s="3">
        <f t="shared" si="12"/>
        <v>0</v>
      </c>
      <c r="G157" s="3">
        <f t="shared" si="13"/>
        <v>37980.11</v>
      </c>
      <c r="I157" s="3">
        <f>SUM('Shift 14'!M156:N156)</f>
        <v>0</v>
      </c>
      <c r="J157" s="3">
        <f>ROUND(MAX(0,(Levy!R159-Levy!V159)*0.5),2)</f>
        <v>12252.04</v>
      </c>
      <c r="K157" s="3">
        <f t="shared" si="14"/>
        <v>0</v>
      </c>
      <c r="L157" s="3">
        <f t="shared" si="15"/>
        <v>0</v>
      </c>
      <c r="N157" s="3">
        <f t="shared" si="16"/>
        <v>37980.11</v>
      </c>
      <c r="O157" s="2">
        <f>SUM(Levy!F159:J159)</f>
        <v>714742.38</v>
      </c>
      <c r="P157" s="2">
        <f>SUM(Levy!U159:V159)</f>
        <v>9910.41</v>
      </c>
      <c r="Q157" s="2">
        <f t="shared" si="17"/>
        <v>704831.97</v>
      </c>
    </row>
    <row r="158" spans="1:17" x14ac:dyDescent="0.2">
      <c r="A158" s="4">
        <v>514</v>
      </c>
      <c r="B158" s="4">
        <v>1</v>
      </c>
      <c r="C158" s="2" t="s">
        <v>158</v>
      </c>
      <c r="D158" s="3">
        <f>SUM('Shift 14'!D157:L157)</f>
        <v>69297.45</v>
      </c>
      <c r="E158" s="3">
        <f>ROUND(MAX(0,(Levy!Q160+Data!D159+Data!E159-Levy!U160)*0.5),2)</f>
        <v>169229.08</v>
      </c>
      <c r="F158" s="3">
        <f t="shared" si="12"/>
        <v>0</v>
      </c>
      <c r="G158" s="3">
        <f t="shared" si="13"/>
        <v>69297.45</v>
      </c>
      <c r="I158" s="3">
        <f>SUM('Shift 14'!M157:N157)</f>
        <v>0</v>
      </c>
      <c r="J158" s="3">
        <f>ROUND(MAX(0,(Levy!R160-Levy!V160)*0.5),2)</f>
        <v>1785.2</v>
      </c>
      <c r="K158" s="3">
        <f t="shared" si="14"/>
        <v>0</v>
      </c>
      <c r="L158" s="3">
        <f t="shared" si="15"/>
        <v>0</v>
      </c>
      <c r="N158" s="3">
        <f t="shared" si="16"/>
        <v>69297.45</v>
      </c>
      <c r="O158" s="2">
        <f>SUM(Levy!F160:J160)</f>
        <v>346560.22</v>
      </c>
      <c r="P158" s="2">
        <f>SUM(Levy!U160:V160)</f>
        <v>4531.6799999999994</v>
      </c>
      <c r="Q158" s="2">
        <f t="shared" si="17"/>
        <v>342028.54</v>
      </c>
    </row>
    <row r="159" spans="1:17" x14ac:dyDescent="0.2">
      <c r="A159" s="4">
        <v>518</v>
      </c>
      <c r="B159" s="4">
        <v>1</v>
      </c>
      <c r="C159" s="2" t="s">
        <v>160</v>
      </c>
      <c r="D159" s="3">
        <f>SUM('Shift 14'!D158:L158)</f>
        <v>93782.34</v>
      </c>
      <c r="E159" s="3">
        <f>ROUND(MAX(0,(Levy!Q161+Data!D160+Data!E160-Levy!U161)*0.5),2)</f>
        <v>1173825.6100000001</v>
      </c>
      <c r="F159" s="3">
        <f t="shared" si="12"/>
        <v>0</v>
      </c>
      <c r="G159" s="3">
        <f t="shared" si="13"/>
        <v>93782.34</v>
      </c>
      <c r="I159" s="3">
        <f>SUM('Shift 14'!M158:N158)</f>
        <v>0</v>
      </c>
      <c r="J159" s="3">
        <f>ROUND(MAX(0,(Levy!R161-Levy!V161)*0.5),2)</f>
        <v>94967.96</v>
      </c>
      <c r="K159" s="3">
        <f t="shared" si="14"/>
        <v>0</v>
      </c>
      <c r="L159" s="3">
        <f t="shared" si="15"/>
        <v>0</v>
      </c>
      <c r="N159" s="3">
        <f t="shared" si="16"/>
        <v>93782.34</v>
      </c>
      <c r="O159" s="2">
        <f>SUM(Levy!F161:J161)</f>
        <v>2571641.6599999997</v>
      </c>
      <c r="P159" s="2">
        <f>SUM(Levy!U161:V161)</f>
        <v>34054.520000000004</v>
      </c>
      <c r="Q159" s="2">
        <f t="shared" si="17"/>
        <v>2537587.1399999997</v>
      </c>
    </row>
    <row r="160" spans="1:17" x14ac:dyDescent="0.2">
      <c r="A160" s="4">
        <v>531</v>
      </c>
      <c r="B160" s="4">
        <v>1</v>
      </c>
      <c r="C160" s="2" t="s">
        <v>161</v>
      </c>
      <c r="D160" s="3">
        <f>SUM('Shift 14'!D159:L159)</f>
        <v>82729.01999999999</v>
      </c>
      <c r="E160" s="3">
        <f>ROUND(MAX(0,(Levy!Q162+Data!D161+Data!E161-Levy!U162)*0.5),2)</f>
        <v>425123.93</v>
      </c>
      <c r="F160" s="3">
        <f t="shared" si="12"/>
        <v>0</v>
      </c>
      <c r="G160" s="3">
        <f t="shared" si="13"/>
        <v>82729.01999999999</v>
      </c>
      <c r="I160" s="3">
        <f>SUM('Shift 14'!M159:N159)</f>
        <v>0</v>
      </c>
      <c r="J160" s="3">
        <f>ROUND(MAX(0,(Levy!R162-Levy!V162)*0.5),2)</f>
        <v>50905.07</v>
      </c>
      <c r="K160" s="3">
        <f t="shared" si="14"/>
        <v>0</v>
      </c>
      <c r="L160" s="3">
        <f t="shared" si="15"/>
        <v>0</v>
      </c>
      <c r="N160" s="3">
        <f t="shared" si="16"/>
        <v>82729.01999999999</v>
      </c>
      <c r="O160" s="2">
        <f>SUM(Levy!F162:J162)</f>
        <v>956560</v>
      </c>
      <c r="P160" s="2">
        <f>SUM(Levy!U162:V162)</f>
        <v>4502.01</v>
      </c>
      <c r="Q160" s="2">
        <f t="shared" si="17"/>
        <v>952057.99</v>
      </c>
    </row>
    <row r="161" spans="1:17" x14ac:dyDescent="0.2">
      <c r="A161" s="4">
        <v>533</v>
      </c>
      <c r="B161" s="4">
        <v>1</v>
      </c>
      <c r="C161" s="2" t="s">
        <v>162</v>
      </c>
      <c r="D161" s="3">
        <f>SUM('Shift 14'!D160:L160)</f>
        <v>4624.9799999999996</v>
      </c>
      <c r="E161" s="3">
        <f>ROUND(MAX(0,(Levy!Q163+Data!D162+Data!E162-Levy!U163)*0.5),2)</f>
        <v>215993.88</v>
      </c>
      <c r="F161" s="3">
        <f t="shared" si="12"/>
        <v>0</v>
      </c>
      <c r="G161" s="3">
        <f t="shared" si="13"/>
        <v>4624.9799999999996</v>
      </c>
      <c r="I161" s="3">
        <f>SUM('Shift 14'!M160:N160)</f>
        <v>0</v>
      </c>
      <c r="J161" s="3">
        <f>ROUND(MAX(0,(Levy!R163-Levy!V163)*0.5),2)</f>
        <v>26407.52</v>
      </c>
      <c r="K161" s="3">
        <f t="shared" si="14"/>
        <v>0</v>
      </c>
      <c r="L161" s="3">
        <f t="shared" si="15"/>
        <v>0</v>
      </c>
      <c r="N161" s="3">
        <f t="shared" si="16"/>
        <v>4624.9799999999996</v>
      </c>
      <c r="O161" s="2">
        <f>SUM(Levy!F163:J163)</f>
        <v>488883</v>
      </c>
      <c r="P161" s="2">
        <f>SUM(Levy!U163:V163)</f>
        <v>4080.2</v>
      </c>
      <c r="Q161" s="2">
        <f t="shared" si="17"/>
        <v>484802.8</v>
      </c>
    </row>
    <row r="162" spans="1:17" x14ac:dyDescent="0.2">
      <c r="A162" s="4">
        <v>534</v>
      </c>
      <c r="B162" s="4">
        <v>1</v>
      </c>
      <c r="C162" s="2" t="s">
        <v>163</v>
      </c>
      <c r="D162" s="3">
        <f>SUM('Shift 14'!D161:L161)</f>
        <v>99563.250000000015</v>
      </c>
      <c r="E162" s="3">
        <f>ROUND(MAX(0,(Levy!Q164+Data!D163+Data!E163-Levy!U164)*0.5),2)</f>
        <v>968705.53</v>
      </c>
      <c r="F162" s="3">
        <f t="shared" si="12"/>
        <v>0</v>
      </c>
      <c r="G162" s="3">
        <f t="shared" si="13"/>
        <v>99563.250000000015</v>
      </c>
      <c r="I162" s="3">
        <f>SUM('Shift 14'!M161:N161)</f>
        <v>0</v>
      </c>
      <c r="J162" s="3">
        <f>ROUND(MAX(0,(Levy!R164-Levy!V164)*0.5),2)</f>
        <v>51432.31</v>
      </c>
      <c r="K162" s="3">
        <f t="shared" si="14"/>
        <v>0</v>
      </c>
      <c r="L162" s="3">
        <f t="shared" si="15"/>
        <v>0</v>
      </c>
      <c r="N162" s="3">
        <f t="shared" si="16"/>
        <v>99563.250000000015</v>
      </c>
      <c r="O162" s="2">
        <f>SUM(Levy!F164:J164)</f>
        <v>2049636</v>
      </c>
      <c r="P162" s="2">
        <f>SUM(Levy!U164:V164)</f>
        <v>9360.3299999999981</v>
      </c>
      <c r="Q162" s="2">
        <f t="shared" si="17"/>
        <v>2040275.67</v>
      </c>
    </row>
    <row r="163" spans="1:17" x14ac:dyDescent="0.2">
      <c r="A163" s="4">
        <v>535</v>
      </c>
      <c r="B163" s="4">
        <v>1</v>
      </c>
      <c r="C163" s="2" t="s">
        <v>164</v>
      </c>
      <c r="D163" s="3">
        <f>SUM('Shift 14'!D162:L162)</f>
        <v>2196128.08</v>
      </c>
      <c r="E163" s="3">
        <f>ROUND(MAX(0,(Levy!Q165+Data!D164+Data!E164-Levy!U165)*0.5),2)</f>
        <v>12263673.789999999</v>
      </c>
      <c r="F163" s="3">
        <f t="shared" si="12"/>
        <v>0</v>
      </c>
      <c r="G163" s="3">
        <f t="shared" si="13"/>
        <v>2196128.08</v>
      </c>
      <c r="I163" s="3">
        <f>SUM('Shift 14'!M162:N162)</f>
        <v>0</v>
      </c>
      <c r="J163" s="3">
        <f>ROUND(MAX(0,(Levy!R165-Levy!V165)*0.5),2)</f>
        <v>909189.1</v>
      </c>
      <c r="K163" s="3">
        <f t="shared" si="14"/>
        <v>0</v>
      </c>
      <c r="L163" s="3">
        <f t="shared" si="15"/>
        <v>0</v>
      </c>
      <c r="N163" s="3">
        <f t="shared" si="16"/>
        <v>2196128.08</v>
      </c>
      <c r="O163" s="2">
        <f>SUM(Levy!F165:J165)</f>
        <v>26362188</v>
      </c>
      <c r="P163" s="2">
        <f>SUM(Levy!U165:V165)</f>
        <v>16462.229999999996</v>
      </c>
      <c r="Q163" s="2">
        <f t="shared" si="17"/>
        <v>26345725.77</v>
      </c>
    </row>
    <row r="164" spans="1:17" x14ac:dyDescent="0.2">
      <c r="A164" s="4">
        <v>542</v>
      </c>
      <c r="B164" s="4">
        <v>1</v>
      </c>
      <c r="C164" s="2" t="s">
        <v>165</v>
      </c>
      <c r="D164" s="3">
        <f>SUM('Shift 14'!D163:L163)</f>
        <v>18910.21</v>
      </c>
      <c r="E164" s="3">
        <f>ROUND(MAX(0,(Levy!Q166+Data!D165+Data!E165-Levy!U166)*0.5),2)</f>
        <v>451277.41</v>
      </c>
      <c r="F164" s="3">
        <f t="shared" si="12"/>
        <v>0</v>
      </c>
      <c r="G164" s="3">
        <f t="shared" si="13"/>
        <v>18910.21</v>
      </c>
      <c r="I164" s="3">
        <f>SUM('Shift 14'!M163:N163)</f>
        <v>0</v>
      </c>
      <c r="J164" s="3">
        <f>ROUND(MAX(0,(Levy!R166-Levy!V166)*0.5),2)</f>
        <v>24854.2</v>
      </c>
      <c r="K164" s="3">
        <f t="shared" si="14"/>
        <v>0</v>
      </c>
      <c r="L164" s="3">
        <f t="shared" si="15"/>
        <v>0</v>
      </c>
      <c r="N164" s="3">
        <f t="shared" si="16"/>
        <v>18910.21</v>
      </c>
      <c r="O164" s="2">
        <f>SUM(Levy!F166:J166)</f>
        <v>957024.33</v>
      </c>
      <c r="P164" s="2">
        <f>SUM(Levy!U166:V166)</f>
        <v>4761.13</v>
      </c>
      <c r="Q164" s="2">
        <f t="shared" si="17"/>
        <v>952263.2</v>
      </c>
    </row>
    <row r="165" spans="1:17" x14ac:dyDescent="0.2">
      <c r="A165" s="4">
        <v>544</v>
      </c>
      <c r="B165" s="4">
        <v>1</v>
      </c>
      <c r="C165" s="2" t="s">
        <v>166</v>
      </c>
      <c r="D165" s="3">
        <f>SUM('Shift 14'!D164:L164)</f>
        <v>268098.75</v>
      </c>
      <c r="E165" s="3">
        <f>ROUND(MAX(0,(Levy!Q167+Data!D166+Data!E166-Levy!U167)*0.5),2)</f>
        <v>1146820.1599999999</v>
      </c>
      <c r="F165" s="3">
        <f t="shared" si="12"/>
        <v>0</v>
      </c>
      <c r="G165" s="3">
        <f t="shared" si="13"/>
        <v>268098.75</v>
      </c>
      <c r="I165" s="3">
        <f>SUM('Shift 14'!M164:N164)</f>
        <v>0</v>
      </c>
      <c r="J165" s="3">
        <f>ROUND(MAX(0,(Levy!R167-Levy!V167)*0.5),2)</f>
        <v>113722.37</v>
      </c>
      <c r="K165" s="3">
        <f t="shared" si="14"/>
        <v>0</v>
      </c>
      <c r="L165" s="3">
        <f t="shared" si="15"/>
        <v>0</v>
      </c>
      <c r="N165" s="3">
        <f t="shared" si="16"/>
        <v>268098.75</v>
      </c>
      <c r="O165" s="2">
        <f>SUM(Levy!F167:J167)</f>
        <v>2532730.0199999996</v>
      </c>
      <c r="P165" s="2">
        <f>SUM(Levy!U167:V167)</f>
        <v>11644.97</v>
      </c>
      <c r="Q165" s="2">
        <f t="shared" si="17"/>
        <v>2521085.0499999993</v>
      </c>
    </row>
    <row r="166" spans="1:17" x14ac:dyDescent="0.2">
      <c r="A166" s="4">
        <v>545</v>
      </c>
      <c r="B166" s="4">
        <v>1</v>
      </c>
      <c r="C166" s="2" t="s">
        <v>167</v>
      </c>
      <c r="D166" s="3">
        <f>SUM('Shift 14'!D165:L165)</f>
        <v>46401.08</v>
      </c>
      <c r="E166" s="3">
        <f>ROUND(MAX(0,(Levy!Q168+Data!D167+Data!E167-Levy!U168)*0.5),2)</f>
        <v>320598.17</v>
      </c>
      <c r="F166" s="3">
        <f t="shared" si="12"/>
        <v>0</v>
      </c>
      <c r="G166" s="3">
        <f t="shared" si="13"/>
        <v>46401.08</v>
      </c>
      <c r="I166" s="3">
        <f>SUM('Shift 14'!M165:N165)</f>
        <v>0</v>
      </c>
      <c r="J166" s="3">
        <f>ROUND(MAX(0,(Levy!R168-Levy!V168)*0.5),2)</f>
        <v>19766.73</v>
      </c>
      <c r="K166" s="3">
        <f t="shared" si="14"/>
        <v>0</v>
      </c>
      <c r="L166" s="3">
        <f t="shared" si="15"/>
        <v>0</v>
      </c>
      <c r="N166" s="3">
        <f t="shared" si="16"/>
        <v>46401.08</v>
      </c>
      <c r="O166" s="2">
        <f>SUM(Levy!F168:J168)</f>
        <v>688230.79999999993</v>
      </c>
      <c r="P166" s="2">
        <f>SUM(Levy!U168:V168)</f>
        <v>7501.01</v>
      </c>
      <c r="Q166" s="2">
        <f t="shared" si="17"/>
        <v>680729.78999999992</v>
      </c>
    </row>
    <row r="167" spans="1:17" x14ac:dyDescent="0.2">
      <c r="A167" s="4">
        <v>547</v>
      </c>
      <c r="B167" s="4">
        <v>1</v>
      </c>
      <c r="C167" s="2" t="s">
        <v>168</v>
      </c>
      <c r="D167" s="3">
        <f>SUM('Shift 14'!D166:L166)</f>
        <v>52395.259999999995</v>
      </c>
      <c r="E167" s="3">
        <f>ROUND(MAX(0,(Levy!Q169+Data!D168+Data!E168-Levy!U169)*0.5),2)</f>
        <v>335035.52000000002</v>
      </c>
      <c r="F167" s="3">
        <f t="shared" si="12"/>
        <v>0</v>
      </c>
      <c r="G167" s="3">
        <f t="shared" si="13"/>
        <v>52395.259999999995</v>
      </c>
      <c r="I167" s="3">
        <f>SUM('Shift 14'!M166:N166)</f>
        <v>0</v>
      </c>
      <c r="J167" s="3">
        <f>ROUND(MAX(0,(Levy!R169-Levy!V169)*0.5),2)</f>
        <v>19223.41</v>
      </c>
      <c r="K167" s="3">
        <f t="shared" si="14"/>
        <v>0</v>
      </c>
      <c r="L167" s="3">
        <f t="shared" si="15"/>
        <v>0</v>
      </c>
      <c r="N167" s="3">
        <f t="shared" si="16"/>
        <v>52395.259999999995</v>
      </c>
      <c r="O167" s="2">
        <f>SUM(Levy!F169:J169)</f>
        <v>715165.47000000009</v>
      </c>
      <c r="P167" s="2">
        <f>SUM(Levy!U169:V169)</f>
        <v>6647.6200000000008</v>
      </c>
      <c r="Q167" s="2">
        <f t="shared" si="17"/>
        <v>708517.85000000009</v>
      </c>
    </row>
    <row r="168" spans="1:17" x14ac:dyDescent="0.2">
      <c r="A168" s="4">
        <v>548</v>
      </c>
      <c r="B168" s="4">
        <v>1</v>
      </c>
      <c r="C168" s="2" t="s">
        <v>169</v>
      </c>
      <c r="D168" s="3">
        <f>SUM('Shift 14'!D167:L167)</f>
        <v>36678.28</v>
      </c>
      <c r="E168" s="3">
        <f>ROUND(MAX(0,(Levy!Q170+Data!D169+Data!E169-Levy!U170)*0.5),2)</f>
        <v>581865.06999999995</v>
      </c>
      <c r="F168" s="3">
        <f t="shared" si="12"/>
        <v>0</v>
      </c>
      <c r="G168" s="3">
        <f t="shared" si="13"/>
        <v>36678.28</v>
      </c>
      <c r="I168" s="3">
        <f>SUM('Shift 14'!M167:N167)</f>
        <v>0</v>
      </c>
      <c r="J168" s="3">
        <f>ROUND(MAX(0,(Levy!R170-Levy!V170)*0.5),2)</f>
        <v>50558.39</v>
      </c>
      <c r="K168" s="3">
        <f t="shared" si="14"/>
        <v>0</v>
      </c>
      <c r="L168" s="3">
        <f t="shared" si="15"/>
        <v>0</v>
      </c>
      <c r="N168" s="3">
        <f t="shared" si="16"/>
        <v>36678.28</v>
      </c>
      <c r="O168" s="2">
        <f>SUM(Levy!F170:J170)</f>
        <v>1269630.02</v>
      </c>
      <c r="P168" s="2">
        <f>SUM(Levy!U170:V170)</f>
        <v>4783.1099999999997</v>
      </c>
      <c r="Q168" s="2">
        <f t="shared" si="17"/>
        <v>1264846.9099999999</v>
      </c>
    </row>
    <row r="169" spans="1:17" x14ac:dyDescent="0.2">
      <c r="A169" s="4">
        <v>549</v>
      </c>
      <c r="B169" s="4">
        <v>1</v>
      </c>
      <c r="C169" s="2" t="s">
        <v>1187</v>
      </c>
      <c r="D169" s="3">
        <f>SUM('Shift 14'!D168:L168)</f>
        <v>135927.23000000001</v>
      </c>
      <c r="E169" s="3">
        <f>ROUND(MAX(0,(Levy!Q171+Data!D170+Data!E170-Levy!U171)*0.5),2)</f>
        <v>823739.29</v>
      </c>
      <c r="F169" s="3">
        <f t="shared" si="12"/>
        <v>0</v>
      </c>
      <c r="G169" s="3">
        <f t="shared" si="13"/>
        <v>135927.23000000001</v>
      </c>
      <c r="I169" s="3">
        <f>SUM('Shift 14'!M168:N168)</f>
        <v>0</v>
      </c>
      <c r="J169" s="3">
        <f>ROUND(MAX(0,(Levy!R171-Levy!V171)*0.5),2)</f>
        <v>67596.399999999994</v>
      </c>
      <c r="K169" s="3">
        <f t="shared" si="14"/>
        <v>0</v>
      </c>
      <c r="L169" s="3">
        <f t="shared" si="15"/>
        <v>0</v>
      </c>
      <c r="N169" s="3">
        <f t="shared" si="16"/>
        <v>135927.23000000001</v>
      </c>
      <c r="O169" s="2">
        <f>SUM(Levy!F171:J171)</f>
        <v>1794190.79</v>
      </c>
      <c r="P169" s="2">
        <f>SUM(Levy!U171:V171)</f>
        <v>11519.410000000003</v>
      </c>
      <c r="Q169" s="2">
        <f t="shared" si="17"/>
        <v>1782671.3800000001</v>
      </c>
    </row>
    <row r="170" spans="1:17" x14ac:dyDescent="0.2">
      <c r="A170" s="4">
        <v>550</v>
      </c>
      <c r="B170" s="4">
        <v>1</v>
      </c>
      <c r="C170" s="2" t="s">
        <v>171</v>
      </c>
      <c r="D170" s="3">
        <f>SUM('Shift 14'!D169:L169)</f>
        <v>23379.510000000002</v>
      </c>
      <c r="E170" s="3">
        <f>ROUND(MAX(0,(Levy!Q172+Data!D171+Data!E171-Levy!U172)*0.5),2)</f>
        <v>44771.48</v>
      </c>
      <c r="F170" s="3">
        <f t="shared" si="12"/>
        <v>0</v>
      </c>
      <c r="G170" s="3">
        <f t="shared" si="13"/>
        <v>23379.510000000002</v>
      </c>
      <c r="I170" s="3">
        <f>SUM('Shift 14'!M169:N169)</f>
        <v>0</v>
      </c>
      <c r="J170" s="3">
        <f>ROUND(MAX(0,(Levy!R172-Levy!V172)*0.5),2)</f>
        <v>15333.74</v>
      </c>
      <c r="K170" s="3">
        <f t="shared" si="14"/>
        <v>0</v>
      </c>
      <c r="L170" s="3">
        <f t="shared" si="15"/>
        <v>0</v>
      </c>
      <c r="N170" s="3">
        <f t="shared" si="16"/>
        <v>23379.510000000002</v>
      </c>
      <c r="O170" s="2">
        <f>SUM(Levy!F172:J172)</f>
        <v>121396.90000000001</v>
      </c>
      <c r="P170" s="2">
        <f>SUM(Levy!U172:V172)</f>
        <v>1186.4700000000003</v>
      </c>
      <c r="Q170" s="2">
        <f t="shared" si="17"/>
        <v>120210.43000000001</v>
      </c>
    </row>
    <row r="171" spans="1:17" x14ac:dyDescent="0.2">
      <c r="A171" s="4">
        <v>553</v>
      </c>
      <c r="B171" s="4">
        <v>1</v>
      </c>
      <c r="C171" s="2" t="s">
        <v>172</v>
      </c>
      <c r="D171" s="3">
        <f>SUM('Shift 14'!D170:L170)</f>
        <v>29768.310000000005</v>
      </c>
      <c r="E171" s="3">
        <f>ROUND(MAX(0,(Levy!Q173+Data!D172+Data!E172-Levy!U173)*0.5),2)</f>
        <v>125459.69</v>
      </c>
      <c r="F171" s="3">
        <f t="shared" si="12"/>
        <v>0</v>
      </c>
      <c r="G171" s="3">
        <f t="shared" si="13"/>
        <v>29768.310000000005</v>
      </c>
      <c r="I171" s="3">
        <f>SUM('Shift 14'!M170:N170)</f>
        <v>0</v>
      </c>
      <c r="J171" s="3">
        <f>ROUND(MAX(0,(Levy!R173-Levy!V173)*0.5),2)</f>
        <v>18526.990000000002</v>
      </c>
      <c r="K171" s="3">
        <f t="shared" si="14"/>
        <v>0</v>
      </c>
      <c r="L171" s="3">
        <f t="shared" si="15"/>
        <v>0</v>
      </c>
      <c r="N171" s="3">
        <f t="shared" si="16"/>
        <v>29768.310000000005</v>
      </c>
      <c r="O171" s="2">
        <f>SUM(Levy!F173:J173)</f>
        <v>292725.81</v>
      </c>
      <c r="P171" s="2">
        <f>SUM(Levy!U173:V173)</f>
        <v>4752.46</v>
      </c>
      <c r="Q171" s="2">
        <f t="shared" si="17"/>
        <v>287973.34999999998</v>
      </c>
    </row>
    <row r="172" spans="1:17" x14ac:dyDescent="0.2">
      <c r="A172" s="4">
        <v>561</v>
      </c>
      <c r="B172" s="4">
        <v>1</v>
      </c>
      <c r="C172" s="2" t="s">
        <v>173</v>
      </c>
      <c r="D172" s="3">
        <f>SUM('Shift 14'!D171:L171)</f>
        <v>16894.05</v>
      </c>
      <c r="E172" s="3">
        <f>ROUND(MAX(0,(Levy!Q174+Data!D173+Data!E173-Levy!U174)*0.5),2)</f>
        <v>109856.04</v>
      </c>
      <c r="F172" s="3">
        <f t="shared" si="12"/>
        <v>0</v>
      </c>
      <c r="G172" s="3">
        <f t="shared" si="13"/>
        <v>16894.05</v>
      </c>
      <c r="I172" s="3">
        <f>SUM('Shift 14'!M171:N171)</f>
        <v>0</v>
      </c>
      <c r="J172" s="3">
        <f>ROUND(MAX(0,(Levy!R174-Levy!V174)*0.5),2)</f>
        <v>5489.89</v>
      </c>
      <c r="K172" s="3">
        <f t="shared" si="14"/>
        <v>0</v>
      </c>
      <c r="L172" s="3">
        <f t="shared" si="15"/>
        <v>0</v>
      </c>
      <c r="N172" s="3">
        <f t="shared" si="16"/>
        <v>16894.05</v>
      </c>
      <c r="O172" s="2">
        <f>SUM(Levy!F174:J174)</f>
        <v>243932.61</v>
      </c>
      <c r="P172" s="2">
        <f>SUM(Levy!U174:V174)</f>
        <v>13240.769999999999</v>
      </c>
      <c r="Q172" s="2">
        <f t="shared" si="17"/>
        <v>230691.84</v>
      </c>
    </row>
    <row r="173" spans="1:17" x14ac:dyDescent="0.2">
      <c r="A173" s="4">
        <v>564</v>
      </c>
      <c r="B173" s="4">
        <v>1</v>
      </c>
      <c r="C173" s="2" t="s">
        <v>1188</v>
      </c>
      <c r="D173" s="3">
        <f>SUM('Shift 14'!D172:L172)</f>
        <v>97806.920000000013</v>
      </c>
      <c r="E173" s="3">
        <f>ROUND(MAX(0,(Levy!Q175+Data!D174+Data!E174-Levy!U175)*0.5),2)</f>
        <v>870878.42</v>
      </c>
      <c r="F173" s="3">
        <f t="shared" si="12"/>
        <v>0</v>
      </c>
      <c r="G173" s="3">
        <f t="shared" si="13"/>
        <v>97806.920000000013</v>
      </c>
      <c r="I173" s="3">
        <f>SUM('Shift 14'!M172:N172)</f>
        <v>0</v>
      </c>
      <c r="J173" s="3">
        <f>ROUND(MAX(0,(Levy!R175-Levy!V175)*0.5),2)</f>
        <v>76068.56</v>
      </c>
      <c r="K173" s="3">
        <f t="shared" si="14"/>
        <v>0</v>
      </c>
      <c r="L173" s="3">
        <f t="shared" si="15"/>
        <v>0</v>
      </c>
      <c r="N173" s="3">
        <f t="shared" si="16"/>
        <v>97806.920000000013</v>
      </c>
      <c r="O173" s="2">
        <f>SUM(Levy!F175:J175)</f>
        <v>1919570.86</v>
      </c>
      <c r="P173" s="2">
        <f>SUM(Levy!U175:V175)</f>
        <v>25676.91</v>
      </c>
      <c r="Q173" s="2">
        <f t="shared" si="17"/>
        <v>1893893.9500000002</v>
      </c>
    </row>
    <row r="174" spans="1:17" x14ac:dyDescent="0.2">
      <c r="A174" s="4">
        <v>577</v>
      </c>
      <c r="B174" s="4">
        <v>1</v>
      </c>
      <c r="C174" s="2" t="s">
        <v>175</v>
      </c>
      <c r="D174" s="3">
        <f>SUM('Shift 14'!D173:L173)</f>
        <v>52671.08</v>
      </c>
      <c r="E174" s="3">
        <f>ROUND(MAX(0,(Levy!Q176+Data!D175+Data!E175-Levy!U176)*0.5),2)</f>
        <v>135395.04999999999</v>
      </c>
      <c r="F174" s="3">
        <f t="shared" si="12"/>
        <v>0</v>
      </c>
      <c r="G174" s="3">
        <f t="shared" si="13"/>
        <v>52671.08</v>
      </c>
      <c r="I174" s="3">
        <f>SUM('Shift 14'!M173:N173)</f>
        <v>0</v>
      </c>
      <c r="J174" s="3">
        <f>ROUND(MAX(0,(Levy!R176-Levy!V176)*0.5),2)</f>
        <v>20310.64</v>
      </c>
      <c r="K174" s="3">
        <f t="shared" si="14"/>
        <v>0</v>
      </c>
      <c r="L174" s="3">
        <f t="shared" si="15"/>
        <v>0</v>
      </c>
      <c r="N174" s="3">
        <f t="shared" si="16"/>
        <v>52671.08</v>
      </c>
      <c r="O174" s="2">
        <f>SUM(Levy!F176:J176)</f>
        <v>315002.52</v>
      </c>
      <c r="P174" s="2">
        <f>SUM(Levy!U176:V176)</f>
        <v>3591.1500000000005</v>
      </c>
      <c r="Q174" s="2">
        <f t="shared" si="17"/>
        <v>311411.37</v>
      </c>
    </row>
    <row r="175" spans="1:17" x14ac:dyDescent="0.2">
      <c r="A175" s="4">
        <v>578</v>
      </c>
      <c r="B175" s="4">
        <v>1</v>
      </c>
      <c r="C175" s="2" t="s">
        <v>176</v>
      </c>
      <c r="D175" s="3">
        <f>SUM('Shift 14'!D174:L174)</f>
        <v>134573.54</v>
      </c>
      <c r="E175" s="3">
        <f>ROUND(MAX(0,(Levy!Q177+Data!D176+Data!E176-Levy!U177)*0.5),2)</f>
        <v>781827.45</v>
      </c>
      <c r="F175" s="3">
        <f t="shared" si="12"/>
        <v>0</v>
      </c>
      <c r="G175" s="3">
        <f t="shared" si="13"/>
        <v>134573.54</v>
      </c>
      <c r="I175" s="3">
        <f>SUM('Shift 14'!M174:N174)</f>
        <v>0</v>
      </c>
      <c r="J175" s="3">
        <f>ROUND(MAX(0,(Levy!R177-Levy!V177)*0.5),2)</f>
        <v>53178.64</v>
      </c>
      <c r="K175" s="3">
        <f t="shared" si="14"/>
        <v>0</v>
      </c>
      <c r="L175" s="3">
        <f t="shared" si="15"/>
        <v>0</v>
      </c>
      <c r="N175" s="3">
        <f t="shared" si="16"/>
        <v>134573.54</v>
      </c>
      <c r="O175" s="2">
        <f>SUM(Levy!F177:J177)</f>
        <v>1678672.47</v>
      </c>
      <c r="P175" s="2">
        <f>SUM(Levy!U177:V177)</f>
        <v>8660.2999999999993</v>
      </c>
      <c r="Q175" s="2">
        <f t="shared" si="17"/>
        <v>1670012.17</v>
      </c>
    </row>
    <row r="176" spans="1:17" x14ac:dyDescent="0.2">
      <c r="A176" s="4">
        <v>581</v>
      </c>
      <c r="B176" s="4">
        <v>1</v>
      </c>
      <c r="C176" s="2" t="s">
        <v>177</v>
      </c>
      <c r="D176" s="3">
        <f>SUM('Shift 14'!D175:L175)</f>
        <v>66151.45</v>
      </c>
      <c r="E176" s="3">
        <f>ROUND(MAX(0,(Levy!Q178+Data!D177+Data!E177-Levy!U178)*0.5),2)</f>
        <v>229850.12</v>
      </c>
      <c r="F176" s="3">
        <f t="shared" si="12"/>
        <v>0</v>
      </c>
      <c r="G176" s="3">
        <f t="shared" si="13"/>
        <v>66151.45</v>
      </c>
      <c r="I176" s="3">
        <f>SUM('Shift 14'!M175:N175)</f>
        <v>0</v>
      </c>
      <c r="J176" s="3">
        <f>ROUND(MAX(0,(Levy!R178-Levy!V178)*0.5),2)</f>
        <v>15961.31</v>
      </c>
      <c r="K176" s="3">
        <f t="shared" si="14"/>
        <v>0</v>
      </c>
      <c r="L176" s="3">
        <f t="shared" si="15"/>
        <v>0</v>
      </c>
      <c r="N176" s="3">
        <f t="shared" si="16"/>
        <v>66151.45</v>
      </c>
      <c r="O176" s="2">
        <f>SUM(Levy!F178:J178)</f>
        <v>505610.10000000003</v>
      </c>
      <c r="P176" s="2">
        <f>SUM(Levy!U178:V178)</f>
        <v>13987.25</v>
      </c>
      <c r="Q176" s="2">
        <f t="shared" si="17"/>
        <v>491622.85000000003</v>
      </c>
    </row>
    <row r="177" spans="1:17" x14ac:dyDescent="0.2">
      <c r="A177" s="4">
        <v>592</v>
      </c>
      <c r="B177" s="4">
        <v>1</v>
      </c>
      <c r="C177" s="2" t="s">
        <v>1189</v>
      </c>
      <c r="D177" s="3">
        <f>SUM('Shift 14'!D176:L176)</f>
        <v>79898.960000000006</v>
      </c>
      <c r="E177" s="3">
        <f>ROUND(MAX(0,(Levy!Q179+Data!D178+Data!E178-Levy!U179)*0.5),2)</f>
        <v>129940.96</v>
      </c>
      <c r="F177" s="3">
        <f t="shared" si="12"/>
        <v>0</v>
      </c>
      <c r="G177" s="3">
        <f t="shared" si="13"/>
        <v>79898.960000000006</v>
      </c>
      <c r="I177" s="3">
        <f>SUM('Shift 14'!M176:N176)</f>
        <v>0</v>
      </c>
      <c r="J177" s="3">
        <f>ROUND(MAX(0,(Levy!R179-Levy!V179)*0.5),2)</f>
        <v>5873.31</v>
      </c>
      <c r="K177" s="3">
        <f t="shared" si="14"/>
        <v>0</v>
      </c>
      <c r="L177" s="3">
        <f t="shared" si="15"/>
        <v>0</v>
      </c>
      <c r="N177" s="3">
        <f t="shared" si="16"/>
        <v>79898.960000000006</v>
      </c>
      <c r="O177" s="2">
        <f>SUM(Levy!F179:J179)</f>
        <v>274697.07</v>
      </c>
      <c r="P177" s="2">
        <f>SUM(Levy!U179:V179)</f>
        <v>3068.54</v>
      </c>
      <c r="Q177" s="2">
        <f t="shared" si="17"/>
        <v>271628.53000000003</v>
      </c>
    </row>
    <row r="178" spans="1:17" x14ac:dyDescent="0.2">
      <c r="A178" s="4">
        <v>593</v>
      </c>
      <c r="B178" s="4">
        <v>1</v>
      </c>
      <c r="C178" s="2" t="s">
        <v>179</v>
      </c>
      <c r="D178" s="3">
        <f>SUM('Shift 14'!D177:L177)</f>
        <v>18716.120000000003</v>
      </c>
      <c r="E178" s="3">
        <f>ROUND(MAX(0,(Levy!Q180+Data!D179+Data!E179-Levy!U180)*0.5),2)</f>
        <v>1068626.6399999999</v>
      </c>
      <c r="F178" s="3">
        <f t="shared" si="12"/>
        <v>0</v>
      </c>
      <c r="G178" s="3">
        <f t="shared" si="13"/>
        <v>18716.120000000003</v>
      </c>
      <c r="I178" s="3">
        <f>SUM('Shift 14'!M177:N177)</f>
        <v>0</v>
      </c>
      <c r="J178" s="3">
        <f>ROUND(MAX(0,(Levy!R180-Levy!V180)*0.5),2)</f>
        <v>72046.399999999994</v>
      </c>
      <c r="K178" s="3">
        <f t="shared" si="14"/>
        <v>0</v>
      </c>
      <c r="L178" s="3">
        <f t="shared" si="15"/>
        <v>0</v>
      </c>
      <c r="N178" s="3">
        <f t="shared" si="16"/>
        <v>18716.120000000003</v>
      </c>
      <c r="O178" s="2">
        <f>SUM(Levy!F180:J180)</f>
        <v>2313510.54</v>
      </c>
      <c r="P178" s="2">
        <f>SUM(Levy!U180:V180)</f>
        <v>32164.48</v>
      </c>
      <c r="Q178" s="2">
        <f t="shared" si="17"/>
        <v>2281346.06</v>
      </c>
    </row>
    <row r="179" spans="1:17" x14ac:dyDescent="0.2">
      <c r="A179" s="4">
        <v>595</v>
      </c>
      <c r="B179" s="4">
        <v>1</v>
      </c>
      <c r="C179" s="2" t="s">
        <v>180</v>
      </c>
      <c r="D179" s="3">
        <f>SUM('Shift 14'!D178:L178)</f>
        <v>46246.899999999994</v>
      </c>
      <c r="E179" s="3">
        <f>ROUND(MAX(0,(Levy!Q181+Data!D180+Data!E180-Levy!U181)*0.5),2)</f>
        <v>567708.22</v>
      </c>
      <c r="F179" s="3">
        <f t="shared" si="12"/>
        <v>0</v>
      </c>
      <c r="G179" s="3">
        <f t="shared" si="13"/>
        <v>46246.899999999994</v>
      </c>
      <c r="I179" s="3">
        <f>SUM('Shift 14'!M178:N178)</f>
        <v>0</v>
      </c>
      <c r="J179" s="3">
        <f>ROUND(MAX(0,(Levy!R181-Levy!V181)*0.5),2)</f>
        <v>48849.83</v>
      </c>
      <c r="K179" s="3">
        <f t="shared" si="14"/>
        <v>0</v>
      </c>
      <c r="L179" s="3">
        <f t="shared" si="15"/>
        <v>0</v>
      </c>
      <c r="N179" s="3">
        <f t="shared" si="16"/>
        <v>46246.899999999994</v>
      </c>
      <c r="O179" s="2">
        <f>SUM(Levy!F181:J181)</f>
        <v>1297954.2300000002</v>
      </c>
      <c r="P179" s="2">
        <f>SUM(Levy!U181:V181)</f>
        <v>64838.149999999994</v>
      </c>
      <c r="Q179" s="2">
        <f t="shared" si="17"/>
        <v>1233116.0800000003</v>
      </c>
    </row>
    <row r="180" spans="1:17" x14ac:dyDescent="0.2">
      <c r="A180" s="4">
        <v>599</v>
      </c>
      <c r="B180" s="4">
        <v>1</v>
      </c>
      <c r="C180" s="2" t="s">
        <v>181</v>
      </c>
      <c r="D180" s="3">
        <f>SUM('Shift 14'!D179:L179)</f>
        <v>62779.8</v>
      </c>
      <c r="E180" s="3">
        <f>ROUND(MAX(0,(Levy!Q182+Data!D181+Data!E181-Levy!U182)*0.5),2)</f>
        <v>318116.61</v>
      </c>
      <c r="F180" s="3">
        <f t="shared" si="12"/>
        <v>0</v>
      </c>
      <c r="G180" s="3">
        <f t="shared" si="13"/>
        <v>62779.8</v>
      </c>
      <c r="I180" s="3">
        <f>SUM('Shift 14'!M179:N179)</f>
        <v>0</v>
      </c>
      <c r="J180" s="3">
        <f>ROUND(MAX(0,(Levy!R182-Levy!V182)*0.5),2)</f>
        <v>20171.48</v>
      </c>
      <c r="K180" s="3">
        <f t="shared" si="14"/>
        <v>0</v>
      </c>
      <c r="L180" s="3">
        <f t="shared" si="15"/>
        <v>0</v>
      </c>
      <c r="N180" s="3">
        <f t="shared" si="16"/>
        <v>62779.8</v>
      </c>
      <c r="O180" s="2">
        <f>SUM(Levy!F182:J182)</f>
        <v>684533.8</v>
      </c>
      <c r="P180" s="2">
        <f>SUM(Levy!U182:V182)</f>
        <v>7957.63</v>
      </c>
      <c r="Q180" s="2">
        <f t="shared" si="17"/>
        <v>676576.17</v>
      </c>
    </row>
    <row r="181" spans="1:17" x14ac:dyDescent="0.2">
      <c r="A181" s="4">
        <v>600</v>
      </c>
      <c r="B181" s="4">
        <v>1</v>
      </c>
      <c r="C181" s="2" t="s">
        <v>182</v>
      </c>
      <c r="D181" s="3">
        <f>SUM('Shift 14'!D180:L180)</f>
        <v>81904.41</v>
      </c>
      <c r="E181" s="3">
        <f>ROUND(MAX(0,(Levy!Q183+Data!D182+Data!E182-Levy!U183)*0.5),2)</f>
        <v>207868.58</v>
      </c>
      <c r="F181" s="3">
        <f t="shared" si="12"/>
        <v>0</v>
      </c>
      <c r="G181" s="3">
        <f t="shared" si="13"/>
        <v>81904.41</v>
      </c>
      <c r="I181" s="3">
        <f>SUM('Shift 14'!M180:N180)</f>
        <v>0</v>
      </c>
      <c r="J181" s="3">
        <f>ROUND(MAX(0,(Levy!R183-Levy!V183)*0.5),2)</f>
        <v>11765.05</v>
      </c>
      <c r="K181" s="3">
        <f t="shared" si="14"/>
        <v>0</v>
      </c>
      <c r="L181" s="3">
        <f t="shared" si="15"/>
        <v>0</v>
      </c>
      <c r="N181" s="3">
        <f t="shared" si="16"/>
        <v>81904.41</v>
      </c>
      <c r="O181" s="2">
        <f>SUM(Levy!F183:J183)</f>
        <v>442398.28</v>
      </c>
      <c r="P181" s="2">
        <f>SUM(Levy!U183:V183)</f>
        <v>3131.04</v>
      </c>
      <c r="Q181" s="2">
        <f t="shared" si="17"/>
        <v>439267.24000000005</v>
      </c>
    </row>
    <row r="182" spans="1:17" x14ac:dyDescent="0.2">
      <c r="A182" s="4">
        <v>601</v>
      </c>
      <c r="B182" s="4">
        <v>1</v>
      </c>
      <c r="C182" s="2" t="s">
        <v>183</v>
      </c>
      <c r="D182" s="3">
        <f>SUM('Shift 14'!D181:L181)</f>
        <v>29934.12</v>
      </c>
      <c r="E182" s="3">
        <f>ROUND(MAX(0,(Levy!Q184+Data!D183+Data!E183-Levy!U184)*0.5),2)</f>
        <v>373456.46</v>
      </c>
      <c r="F182" s="3">
        <f t="shared" si="12"/>
        <v>0</v>
      </c>
      <c r="G182" s="3">
        <f t="shared" si="13"/>
        <v>29934.12</v>
      </c>
      <c r="I182" s="3">
        <f>SUM('Shift 14'!M181:N181)</f>
        <v>0</v>
      </c>
      <c r="J182" s="3">
        <f>ROUND(MAX(0,(Levy!R184-Levy!V184)*0.5),2)</f>
        <v>19642.27</v>
      </c>
      <c r="K182" s="3">
        <f t="shared" si="14"/>
        <v>0</v>
      </c>
      <c r="L182" s="3">
        <f t="shared" si="15"/>
        <v>0</v>
      </c>
      <c r="N182" s="3">
        <f t="shared" si="16"/>
        <v>29934.12</v>
      </c>
      <c r="O182" s="2">
        <f>SUM(Levy!F184:J184)</f>
        <v>798909.9</v>
      </c>
      <c r="P182" s="2">
        <f>SUM(Levy!U184:V184)</f>
        <v>12712.449999999999</v>
      </c>
      <c r="Q182" s="2">
        <f t="shared" si="17"/>
        <v>786197.45000000007</v>
      </c>
    </row>
    <row r="183" spans="1:17" x14ac:dyDescent="0.2">
      <c r="A183" s="4">
        <v>621</v>
      </c>
      <c r="B183" s="4">
        <v>1</v>
      </c>
      <c r="C183" s="2" t="s">
        <v>185</v>
      </c>
      <c r="D183" s="3">
        <f>SUM('Shift 14'!D182:L182)</f>
        <v>3112074.96</v>
      </c>
      <c r="E183" s="3">
        <f>ROUND(MAX(0,(Levy!Q185+Data!D184+Data!E184-Levy!U185)*0.5),2)</f>
        <v>13587013.630000001</v>
      </c>
      <c r="F183" s="3">
        <f t="shared" si="12"/>
        <v>0</v>
      </c>
      <c r="G183" s="3">
        <f t="shared" si="13"/>
        <v>3112074.96</v>
      </c>
      <c r="I183" s="3">
        <f>SUM('Shift 14'!M182:N182)</f>
        <v>0</v>
      </c>
      <c r="J183" s="3">
        <f>ROUND(MAX(0,(Levy!R185-Levy!V185)*0.5),2)</f>
        <v>483273.96</v>
      </c>
      <c r="K183" s="3">
        <f t="shared" si="14"/>
        <v>0</v>
      </c>
      <c r="L183" s="3">
        <f t="shared" si="15"/>
        <v>0</v>
      </c>
      <c r="N183" s="3">
        <f t="shared" si="16"/>
        <v>3112074.96</v>
      </c>
      <c r="O183" s="2">
        <f>SUM(Levy!F185:J185)</f>
        <v>28140597</v>
      </c>
      <c r="P183" s="2">
        <f>SUM(Levy!U185:V185)</f>
        <v>21.830000000000002</v>
      </c>
      <c r="Q183" s="2">
        <f t="shared" si="17"/>
        <v>28140575.170000002</v>
      </c>
    </row>
    <row r="184" spans="1:17" x14ac:dyDescent="0.2">
      <c r="A184" s="4">
        <v>622</v>
      </c>
      <c r="B184" s="4">
        <v>1</v>
      </c>
      <c r="C184" s="2" t="s">
        <v>1190</v>
      </c>
      <c r="D184" s="3">
        <f>SUM('Shift 14'!D183:L183)</f>
        <v>3017278.82</v>
      </c>
      <c r="E184" s="3">
        <f>ROUND(MAX(0,(Levy!Q186+Data!D185+Data!E185-Levy!U186)*0.5),2)</f>
        <v>11318977.65</v>
      </c>
      <c r="F184" s="3">
        <f t="shared" si="12"/>
        <v>0</v>
      </c>
      <c r="G184" s="3">
        <f t="shared" si="13"/>
        <v>3017278.82</v>
      </c>
      <c r="I184" s="3">
        <f>SUM('Shift 14'!M183:N183)</f>
        <v>0</v>
      </c>
      <c r="J184" s="3">
        <f>ROUND(MAX(0,(Levy!R186-Levy!V186)*0.5),2)</f>
        <v>869731.81</v>
      </c>
      <c r="K184" s="3">
        <f t="shared" si="14"/>
        <v>0</v>
      </c>
      <c r="L184" s="3">
        <f t="shared" si="15"/>
        <v>0</v>
      </c>
      <c r="N184" s="3">
        <f t="shared" si="16"/>
        <v>3017278.82</v>
      </c>
      <c r="O184" s="2">
        <f>SUM(Levy!F186:J186)</f>
        <v>24377598</v>
      </c>
      <c r="P184" s="2">
        <f>SUM(Levy!U186:V186)</f>
        <v>179.09</v>
      </c>
      <c r="Q184" s="2">
        <f t="shared" si="17"/>
        <v>24377418.91</v>
      </c>
    </row>
    <row r="185" spans="1:17" x14ac:dyDescent="0.2">
      <c r="A185" s="4">
        <v>623</v>
      </c>
      <c r="B185" s="4">
        <v>1</v>
      </c>
      <c r="C185" s="2" t="s">
        <v>187</v>
      </c>
      <c r="D185" s="3">
        <f>SUM('Shift 14'!D184:L184)</f>
        <v>3059543.2800000003</v>
      </c>
      <c r="E185" s="3">
        <f>ROUND(MAX(0,(Levy!Q187+Data!D186+Data!E186-Levy!U187)*0.5),2)</f>
        <v>9212072.1199999992</v>
      </c>
      <c r="F185" s="3">
        <f t="shared" si="12"/>
        <v>0</v>
      </c>
      <c r="G185" s="3">
        <f t="shared" si="13"/>
        <v>3059543.2800000003</v>
      </c>
      <c r="I185" s="3">
        <f>SUM('Shift 14'!M184:N184)</f>
        <v>0</v>
      </c>
      <c r="J185" s="3">
        <f>ROUND(MAX(0,(Levy!R187-Levy!V187)*0.5),2)</f>
        <v>462450.5</v>
      </c>
      <c r="K185" s="3">
        <f t="shared" si="14"/>
        <v>0</v>
      </c>
      <c r="L185" s="3">
        <f t="shared" si="15"/>
        <v>0</v>
      </c>
      <c r="N185" s="3">
        <f t="shared" si="16"/>
        <v>3059543.2800000003</v>
      </c>
      <c r="O185" s="2">
        <f>SUM(Levy!F187:J187)</f>
        <v>19349066</v>
      </c>
      <c r="P185" s="2">
        <f>SUM(Levy!U187:V187)</f>
        <v>20.77</v>
      </c>
      <c r="Q185" s="2">
        <f t="shared" si="17"/>
        <v>19349045.23</v>
      </c>
    </row>
    <row r="186" spans="1:17" x14ac:dyDescent="0.2">
      <c r="A186" s="4">
        <v>624</v>
      </c>
      <c r="B186" s="4">
        <v>1</v>
      </c>
      <c r="C186" s="2" t="s">
        <v>188</v>
      </c>
      <c r="D186" s="3">
        <f>SUM('Shift 14'!D185:L185)</f>
        <v>1907592</v>
      </c>
      <c r="E186" s="3">
        <f>ROUND(MAX(0,(Levy!Q188+Data!D187+Data!E187-Levy!U188)*0.5),2)</f>
        <v>12234346.859999999</v>
      </c>
      <c r="F186" s="3">
        <f t="shared" si="12"/>
        <v>0</v>
      </c>
      <c r="G186" s="3">
        <f t="shared" si="13"/>
        <v>1907592</v>
      </c>
      <c r="I186" s="3">
        <f>SUM('Shift 14'!M185:N185)</f>
        <v>0</v>
      </c>
      <c r="J186" s="3">
        <f>ROUND(MAX(0,(Levy!R188-Levy!V188)*0.5),2)</f>
        <v>544872.16</v>
      </c>
      <c r="K186" s="3">
        <f t="shared" si="14"/>
        <v>0</v>
      </c>
      <c r="L186" s="3">
        <f t="shared" si="15"/>
        <v>0</v>
      </c>
      <c r="N186" s="3">
        <f t="shared" si="16"/>
        <v>1907592</v>
      </c>
      <c r="O186" s="2">
        <f>SUM(Levy!F188:J188)</f>
        <v>25559068</v>
      </c>
      <c r="P186" s="2">
        <f>SUM(Levy!U188:V188)</f>
        <v>629.96999999999991</v>
      </c>
      <c r="Q186" s="2">
        <f t="shared" si="17"/>
        <v>25558438.030000001</v>
      </c>
    </row>
    <row r="187" spans="1:17" x14ac:dyDescent="0.2">
      <c r="A187" s="4">
        <v>625</v>
      </c>
      <c r="B187" s="4">
        <v>1</v>
      </c>
      <c r="C187" s="2" t="s">
        <v>189</v>
      </c>
      <c r="D187" s="3">
        <f>SUM('Shift 14'!D186:L186)</f>
        <v>20812611.359999996</v>
      </c>
      <c r="E187" s="3">
        <f>ROUND(MAX(0,(Levy!Q189+Data!D188+Data!E188-Levy!U189)*0.5),2)</f>
        <v>45542784.640000001</v>
      </c>
      <c r="F187" s="3">
        <f t="shared" si="12"/>
        <v>0</v>
      </c>
      <c r="G187" s="3">
        <f t="shared" si="13"/>
        <v>20812611.359999996</v>
      </c>
      <c r="I187" s="3">
        <f>SUM('Shift 14'!M186:N186)</f>
        <v>0</v>
      </c>
      <c r="J187" s="3">
        <f>ROUND(MAX(0,(Levy!R189-Levy!V189)*0.5),2)</f>
        <v>1722896.76</v>
      </c>
      <c r="K187" s="3">
        <f t="shared" si="14"/>
        <v>0</v>
      </c>
      <c r="L187" s="3">
        <f t="shared" si="15"/>
        <v>0</v>
      </c>
      <c r="N187" s="3">
        <f t="shared" si="16"/>
        <v>20812611.359999996</v>
      </c>
      <c r="O187" s="2">
        <f>SUM(Levy!F189:J189)</f>
        <v>94729336</v>
      </c>
      <c r="P187" s="2">
        <f>SUM(Levy!U189:V189)</f>
        <v>197973.19999999998</v>
      </c>
      <c r="Q187" s="2">
        <f t="shared" si="17"/>
        <v>94531362.799999997</v>
      </c>
    </row>
    <row r="188" spans="1:17" x14ac:dyDescent="0.2">
      <c r="A188" s="4">
        <v>630</v>
      </c>
      <c r="B188" s="4">
        <v>1</v>
      </c>
      <c r="C188" s="2" t="s">
        <v>192</v>
      </c>
      <c r="D188" s="3">
        <f>SUM('Shift 14'!D187:L187)</f>
        <v>20268.379999999997</v>
      </c>
      <c r="E188" s="3">
        <f>ROUND(MAX(0,(Levy!Q190+Data!D189+Data!E189-Levy!U190)*0.5),2)</f>
        <v>224152.13</v>
      </c>
      <c r="F188" s="3">
        <f t="shared" si="12"/>
        <v>0</v>
      </c>
      <c r="G188" s="3">
        <f t="shared" si="13"/>
        <v>20268.379999999997</v>
      </c>
      <c r="I188" s="3">
        <f>SUM('Shift 14'!M187:N187)</f>
        <v>0</v>
      </c>
      <c r="J188" s="3">
        <f>ROUND(MAX(0,(Levy!R190-Levy!V190)*0.5),2)</f>
        <v>9234.58</v>
      </c>
      <c r="K188" s="3">
        <f t="shared" si="14"/>
        <v>0</v>
      </c>
      <c r="L188" s="3">
        <f t="shared" si="15"/>
        <v>0</v>
      </c>
      <c r="N188" s="3">
        <f t="shared" si="16"/>
        <v>20268.379999999997</v>
      </c>
      <c r="O188" s="2">
        <f>SUM(Levy!F190:J190)</f>
        <v>482804</v>
      </c>
      <c r="P188" s="2">
        <f>SUM(Levy!U190:V190)</f>
        <v>16030.59</v>
      </c>
      <c r="Q188" s="2">
        <f t="shared" si="17"/>
        <v>466773.41</v>
      </c>
    </row>
    <row r="189" spans="1:17" x14ac:dyDescent="0.2">
      <c r="A189" s="4">
        <v>635</v>
      </c>
      <c r="B189" s="4">
        <v>1</v>
      </c>
      <c r="C189" s="2" t="s">
        <v>193</v>
      </c>
      <c r="D189" s="3">
        <f>SUM('Shift 14'!D188:L188)</f>
        <v>36307.350000000006</v>
      </c>
      <c r="E189" s="3">
        <f>ROUND(MAX(0,(Levy!Q191+Data!D190+Data!E190-Levy!U191)*0.5),2)</f>
        <v>102659.75</v>
      </c>
      <c r="F189" s="3">
        <f t="shared" si="12"/>
        <v>0</v>
      </c>
      <c r="G189" s="3">
        <f t="shared" si="13"/>
        <v>36307.350000000006</v>
      </c>
      <c r="I189" s="3">
        <f>SUM('Shift 14'!M188:N188)</f>
        <v>0</v>
      </c>
      <c r="J189" s="3">
        <f>ROUND(MAX(0,(Levy!R191-Levy!V191)*0.5),2)</f>
        <v>7990.29</v>
      </c>
      <c r="K189" s="3">
        <f t="shared" si="14"/>
        <v>0</v>
      </c>
      <c r="L189" s="3">
        <f t="shared" si="15"/>
        <v>0</v>
      </c>
      <c r="N189" s="3">
        <f t="shared" si="16"/>
        <v>36307.350000000006</v>
      </c>
      <c r="O189" s="2">
        <f>SUM(Levy!F191:J191)</f>
        <v>225033</v>
      </c>
      <c r="P189" s="2">
        <f>SUM(Levy!U191:V191)</f>
        <v>3732.92</v>
      </c>
      <c r="Q189" s="2">
        <f t="shared" si="17"/>
        <v>221300.08</v>
      </c>
    </row>
    <row r="190" spans="1:17" x14ac:dyDescent="0.2">
      <c r="A190" s="4">
        <v>640</v>
      </c>
      <c r="B190" s="4">
        <v>1</v>
      </c>
      <c r="C190" s="2" t="s">
        <v>194</v>
      </c>
      <c r="D190" s="3">
        <f>SUM('Shift 14'!D189:L189)</f>
        <v>35971.269999999997</v>
      </c>
      <c r="E190" s="3">
        <f>ROUND(MAX(0,(Levy!Q192+Data!D191+Data!E191-Levy!U192)*0.5),2)</f>
        <v>256894.84</v>
      </c>
      <c r="F190" s="3">
        <f t="shared" si="12"/>
        <v>0</v>
      </c>
      <c r="G190" s="3">
        <f t="shared" si="13"/>
        <v>35971.269999999997</v>
      </c>
      <c r="I190" s="3">
        <f>SUM('Shift 14'!M189:N189)</f>
        <v>0</v>
      </c>
      <c r="J190" s="3">
        <f>ROUND(MAX(0,(Levy!R192-Levy!V192)*0.5),2)</f>
        <v>13943.66</v>
      </c>
      <c r="K190" s="3">
        <f t="shared" si="14"/>
        <v>0</v>
      </c>
      <c r="L190" s="3">
        <f t="shared" si="15"/>
        <v>0</v>
      </c>
      <c r="N190" s="3">
        <f t="shared" si="16"/>
        <v>35971.269999999997</v>
      </c>
      <c r="O190" s="2">
        <f>SUM(Levy!F192:J192)</f>
        <v>551202</v>
      </c>
      <c r="P190" s="2">
        <f>SUM(Levy!U192:V192)</f>
        <v>9525.01</v>
      </c>
      <c r="Q190" s="2">
        <f t="shared" si="17"/>
        <v>541676.99</v>
      </c>
    </row>
    <row r="191" spans="1:17" x14ac:dyDescent="0.2">
      <c r="A191" s="4">
        <v>656</v>
      </c>
      <c r="B191" s="4">
        <v>1</v>
      </c>
      <c r="C191" s="2" t="s">
        <v>195</v>
      </c>
      <c r="D191" s="3">
        <f>SUM('Shift 14'!D190:L190)</f>
        <v>483279.39</v>
      </c>
      <c r="E191" s="3">
        <f>ROUND(MAX(0,(Levy!Q193+Data!D192+Data!E192-Levy!U193)*0.5),2)</f>
        <v>2748700.48</v>
      </c>
      <c r="F191" s="3">
        <f t="shared" si="12"/>
        <v>0</v>
      </c>
      <c r="G191" s="3">
        <f t="shared" si="13"/>
        <v>483279.39</v>
      </c>
      <c r="I191" s="3">
        <f>SUM('Shift 14'!M190:N190)</f>
        <v>0</v>
      </c>
      <c r="J191" s="3">
        <f>ROUND(MAX(0,(Levy!R193-Levy!V193)*0.5),2)</f>
        <v>177843.02</v>
      </c>
      <c r="K191" s="3">
        <f t="shared" si="14"/>
        <v>0</v>
      </c>
      <c r="L191" s="3">
        <f t="shared" si="15"/>
        <v>0</v>
      </c>
      <c r="N191" s="3">
        <f t="shared" si="16"/>
        <v>483279.39</v>
      </c>
      <c r="O191" s="2">
        <f>SUM(Levy!F193:J193)</f>
        <v>5877693.1899999995</v>
      </c>
      <c r="P191" s="2">
        <f>SUM(Levy!U193:V193)</f>
        <v>24606.21</v>
      </c>
      <c r="Q191" s="2">
        <f t="shared" si="17"/>
        <v>5853086.9799999995</v>
      </c>
    </row>
    <row r="192" spans="1:17" x14ac:dyDescent="0.2">
      <c r="A192" s="4">
        <v>659</v>
      </c>
      <c r="B192" s="4">
        <v>1</v>
      </c>
      <c r="C192" s="2" t="s">
        <v>196</v>
      </c>
      <c r="D192" s="3">
        <f>SUM('Shift 14'!D191:L191)</f>
        <v>397743.48</v>
      </c>
      <c r="E192" s="3">
        <f>ROUND(MAX(0,(Levy!Q194+Data!D193+Data!E193-Levy!U194)*0.5),2)</f>
        <v>4631959.84</v>
      </c>
      <c r="F192" s="3">
        <f t="shared" si="12"/>
        <v>0</v>
      </c>
      <c r="G192" s="3">
        <f t="shared" si="13"/>
        <v>397743.48</v>
      </c>
      <c r="I192" s="3">
        <f>SUM('Shift 14'!M191:N191)</f>
        <v>0</v>
      </c>
      <c r="J192" s="3">
        <f>ROUND(MAX(0,(Levy!R194-Levy!V194)*0.5),2)</f>
        <v>197358.8</v>
      </c>
      <c r="K192" s="3">
        <f t="shared" si="14"/>
        <v>0</v>
      </c>
      <c r="L192" s="3">
        <f t="shared" si="15"/>
        <v>0</v>
      </c>
      <c r="N192" s="3">
        <f t="shared" si="16"/>
        <v>397743.48</v>
      </c>
      <c r="O192" s="2">
        <f>SUM(Levy!F194:J194)</f>
        <v>9684273.9399999995</v>
      </c>
      <c r="P192" s="2">
        <f>SUM(Levy!U194:V194)</f>
        <v>25636.670000000002</v>
      </c>
      <c r="Q192" s="2">
        <f t="shared" si="17"/>
        <v>9658637.2699999996</v>
      </c>
    </row>
    <row r="193" spans="1:17" x14ac:dyDescent="0.2">
      <c r="A193" s="4">
        <v>671</v>
      </c>
      <c r="B193" s="4">
        <v>1</v>
      </c>
      <c r="C193" s="2" t="s">
        <v>1191</v>
      </c>
      <c r="D193" s="3">
        <f>SUM('Shift 14'!D192:L192)</f>
        <v>76663.44</v>
      </c>
      <c r="E193" s="3">
        <f>ROUND(MAX(0,(Levy!Q195+Data!D194+Data!E194-Levy!U195)*0.5),2)</f>
        <v>214965.05</v>
      </c>
      <c r="F193" s="3">
        <f t="shared" si="12"/>
        <v>0</v>
      </c>
      <c r="G193" s="3">
        <f t="shared" si="13"/>
        <v>76663.44</v>
      </c>
      <c r="I193" s="3">
        <f>SUM('Shift 14'!M192:N192)</f>
        <v>0</v>
      </c>
      <c r="J193" s="3">
        <f>ROUND(MAX(0,(Levy!R195-Levy!V195)*0.5),2)</f>
        <v>2188.1999999999998</v>
      </c>
      <c r="K193" s="3">
        <f t="shared" si="14"/>
        <v>0</v>
      </c>
      <c r="L193" s="3">
        <f t="shared" si="15"/>
        <v>0</v>
      </c>
      <c r="N193" s="3">
        <f t="shared" si="16"/>
        <v>76663.44</v>
      </c>
      <c r="O193" s="2">
        <f>SUM(Levy!F195:J195)</f>
        <v>435488.62</v>
      </c>
      <c r="P193" s="2">
        <f>SUM(Levy!U195:V195)</f>
        <v>1182.1199999999997</v>
      </c>
      <c r="Q193" s="2">
        <f t="shared" si="17"/>
        <v>434306.5</v>
      </c>
    </row>
    <row r="194" spans="1:17" x14ac:dyDescent="0.2">
      <c r="A194" s="4">
        <v>676</v>
      </c>
      <c r="B194" s="4">
        <v>1</v>
      </c>
      <c r="C194" s="2" t="s">
        <v>198</v>
      </c>
      <c r="D194" s="3">
        <f>SUM('Shift 14'!D193:L193)</f>
        <v>86173.4</v>
      </c>
      <c r="E194" s="3">
        <f>ROUND(MAX(0,(Levy!Q196+Data!D195+Data!E195-Levy!U196)*0.5),2)</f>
        <v>122342.01</v>
      </c>
      <c r="F194" s="3">
        <f t="shared" ref="F194:F257" si="18">IF(D194&gt;E194,D194-E194,0)</f>
        <v>0</v>
      </c>
      <c r="G194" s="3">
        <f t="shared" ref="G194:G257" si="19">MAX(0,MIN(D194,E194))</f>
        <v>86173.4</v>
      </c>
      <c r="I194" s="3">
        <f>SUM('Shift 14'!M193:N193)</f>
        <v>0</v>
      </c>
      <c r="J194" s="3">
        <f>ROUND(MAX(0,(Levy!R196-Levy!V196)*0.5),2)</f>
        <v>5685.77</v>
      </c>
      <c r="K194" s="3">
        <f t="shared" ref="K194:K257" si="20">IF(I194&gt;J194,I194-J194,0)</f>
        <v>0</v>
      </c>
      <c r="L194" s="3">
        <f t="shared" ref="L194:L257" si="21">MAX(0,MIN(I194,J194))</f>
        <v>0</v>
      </c>
      <c r="N194" s="3">
        <f t="shared" si="16"/>
        <v>86173.4</v>
      </c>
      <c r="O194" s="2">
        <f>SUM(Levy!F196:J196)</f>
        <v>260658</v>
      </c>
      <c r="P194" s="2">
        <f>SUM(Levy!U196:V196)</f>
        <v>4602.45</v>
      </c>
      <c r="Q194" s="2">
        <f t="shared" si="17"/>
        <v>256055.55</v>
      </c>
    </row>
    <row r="195" spans="1:17" x14ac:dyDescent="0.2">
      <c r="A195" s="4">
        <v>682</v>
      </c>
      <c r="B195" s="4">
        <v>1</v>
      </c>
      <c r="C195" s="2" t="s">
        <v>199</v>
      </c>
      <c r="D195" s="3">
        <f>SUM('Shift 14'!D194:L194)</f>
        <v>68399.27</v>
      </c>
      <c r="E195" s="3">
        <f>ROUND(MAX(0,(Levy!Q197+Data!D196+Data!E196-Levy!U197)*0.5),2)</f>
        <v>386541.04</v>
      </c>
      <c r="F195" s="3">
        <f t="shared" si="18"/>
        <v>0</v>
      </c>
      <c r="G195" s="3">
        <f t="shared" si="19"/>
        <v>68399.27</v>
      </c>
      <c r="I195" s="3">
        <f>SUM('Shift 14'!M194:N194)</f>
        <v>0</v>
      </c>
      <c r="J195" s="3">
        <f>ROUND(MAX(0,(Levy!R197-Levy!V197)*0.5),2)</f>
        <v>36213.550000000003</v>
      </c>
      <c r="K195" s="3">
        <f t="shared" si="20"/>
        <v>0</v>
      </c>
      <c r="L195" s="3">
        <f t="shared" si="21"/>
        <v>0</v>
      </c>
      <c r="N195" s="3">
        <f t="shared" si="16"/>
        <v>68399.27</v>
      </c>
      <c r="O195" s="2">
        <f>SUM(Levy!F197:J197)</f>
        <v>857071</v>
      </c>
      <c r="P195" s="2">
        <f>SUM(Levy!U197:V197)</f>
        <v>11561.82</v>
      </c>
      <c r="Q195" s="2">
        <f t="shared" si="17"/>
        <v>845509.18</v>
      </c>
    </row>
    <row r="196" spans="1:17" x14ac:dyDescent="0.2">
      <c r="A196" s="4">
        <v>690</v>
      </c>
      <c r="B196" s="4">
        <v>1</v>
      </c>
      <c r="C196" s="2" t="s">
        <v>200</v>
      </c>
      <c r="D196" s="3">
        <f>SUM('Shift 14'!D195:L195)</f>
        <v>127885.37000000001</v>
      </c>
      <c r="E196" s="3">
        <f>ROUND(MAX(0,(Levy!Q198+Data!D197+Data!E197-Levy!U198)*0.5),2)</f>
        <v>412097.7</v>
      </c>
      <c r="F196" s="3">
        <f t="shared" si="18"/>
        <v>0</v>
      </c>
      <c r="G196" s="3">
        <f t="shared" si="19"/>
        <v>127885.37000000001</v>
      </c>
      <c r="I196" s="3">
        <f>SUM('Shift 14'!M195:N195)</f>
        <v>0</v>
      </c>
      <c r="J196" s="3">
        <f>ROUND(MAX(0,(Levy!R198-Levy!V198)*0.5),2)</f>
        <v>47083.39</v>
      </c>
      <c r="K196" s="3">
        <f t="shared" si="20"/>
        <v>0</v>
      </c>
      <c r="L196" s="3">
        <f t="shared" si="21"/>
        <v>0</v>
      </c>
      <c r="N196" s="3">
        <f t="shared" si="16"/>
        <v>127885.37000000001</v>
      </c>
      <c r="O196" s="2">
        <f>SUM(Levy!F198:J198)</f>
        <v>924156</v>
      </c>
      <c r="P196" s="2">
        <f>SUM(Levy!U198:V198)</f>
        <v>5793.83</v>
      </c>
      <c r="Q196" s="2">
        <f t="shared" si="17"/>
        <v>918362.17</v>
      </c>
    </row>
    <row r="197" spans="1:17" x14ac:dyDescent="0.2">
      <c r="A197" s="4">
        <v>695</v>
      </c>
      <c r="B197" s="4">
        <v>1</v>
      </c>
      <c r="C197" s="2" t="s">
        <v>201</v>
      </c>
      <c r="D197" s="3">
        <f>SUM('Shift 14'!D196:L196)</f>
        <v>167340.26999999996</v>
      </c>
      <c r="E197" s="3">
        <f>ROUND(MAX(0,(Levy!Q199+Data!D198+Data!E198-Levy!U199)*0.5),2)</f>
        <v>257572.31</v>
      </c>
      <c r="F197" s="3">
        <f t="shared" si="18"/>
        <v>0</v>
      </c>
      <c r="G197" s="3">
        <f t="shared" si="19"/>
        <v>167340.26999999996</v>
      </c>
      <c r="I197" s="3">
        <f>SUM('Shift 14'!M196:N196)</f>
        <v>0</v>
      </c>
      <c r="J197" s="3">
        <f>ROUND(MAX(0,(Levy!R199-Levy!V199)*0.5),2)</f>
        <v>0</v>
      </c>
      <c r="K197" s="3">
        <f t="shared" si="20"/>
        <v>0</v>
      </c>
      <c r="L197" s="3">
        <f t="shared" si="21"/>
        <v>0</v>
      </c>
      <c r="N197" s="3">
        <f t="shared" si="16"/>
        <v>167340.26999999996</v>
      </c>
      <c r="O197" s="2">
        <f>SUM(Levy!F199:J199)</f>
        <v>563605.53</v>
      </c>
      <c r="P197" s="2">
        <f>SUM(Levy!U199:V199)</f>
        <v>48460.920000000006</v>
      </c>
      <c r="Q197" s="2">
        <f t="shared" si="17"/>
        <v>515144.61000000004</v>
      </c>
    </row>
    <row r="198" spans="1:17" x14ac:dyDescent="0.2">
      <c r="A198" s="4">
        <v>696</v>
      </c>
      <c r="B198" s="4">
        <v>1</v>
      </c>
      <c r="C198" s="2" t="s">
        <v>202</v>
      </c>
      <c r="D198" s="3">
        <f>SUM('Shift 14'!D197:L197)</f>
        <v>192132.8</v>
      </c>
      <c r="E198" s="3">
        <f>ROUND(MAX(0,(Levy!Q200+Data!D199+Data!E199-Levy!U200)*0.5),2)</f>
        <v>658383.81999999995</v>
      </c>
      <c r="F198" s="3">
        <f t="shared" si="18"/>
        <v>0</v>
      </c>
      <c r="G198" s="3">
        <f t="shared" si="19"/>
        <v>192132.8</v>
      </c>
      <c r="I198" s="3">
        <f>SUM('Shift 14'!M197:N197)</f>
        <v>0</v>
      </c>
      <c r="J198" s="3">
        <f>ROUND(MAX(0,(Levy!R200-Levy!V200)*0.5),2)</f>
        <v>0</v>
      </c>
      <c r="K198" s="3">
        <f t="shared" si="20"/>
        <v>0</v>
      </c>
      <c r="L198" s="3">
        <f t="shared" si="21"/>
        <v>0</v>
      </c>
      <c r="N198" s="3">
        <f t="shared" ref="N198:N261" si="22">G198+L198</f>
        <v>192132.8</v>
      </c>
      <c r="O198" s="2">
        <f>SUM(Levy!F200:J200)</f>
        <v>1425913.27</v>
      </c>
      <c r="P198" s="2">
        <f>SUM(Levy!U200:V200)</f>
        <v>109145.64000000001</v>
      </c>
      <c r="Q198" s="2">
        <f t="shared" ref="Q198:Q261" si="23">O198-P198</f>
        <v>1316767.6299999999</v>
      </c>
    </row>
    <row r="199" spans="1:17" x14ac:dyDescent="0.2">
      <c r="A199" s="4">
        <v>698</v>
      </c>
      <c r="B199" s="4">
        <v>1</v>
      </c>
      <c r="C199" s="2" t="s">
        <v>203</v>
      </c>
      <c r="D199" s="3">
        <f>SUM('Shift 14'!D198:L198)</f>
        <v>36565.65</v>
      </c>
      <c r="E199" s="3">
        <f>ROUND(MAX(0,(Levy!Q201+Data!D200+Data!E200-Levy!U201)*0.5),2)</f>
        <v>110469.54</v>
      </c>
      <c r="F199" s="3">
        <f t="shared" si="18"/>
        <v>0</v>
      </c>
      <c r="G199" s="3">
        <f t="shared" si="19"/>
        <v>36565.65</v>
      </c>
      <c r="I199" s="3">
        <f>SUM('Shift 14'!M198:N198)</f>
        <v>0</v>
      </c>
      <c r="J199" s="3">
        <f>ROUND(MAX(0,(Levy!R201-Levy!V201)*0.5),2)</f>
        <v>11525.81</v>
      </c>
      <c r="K199" s="3">
        <f t="shared" si="20"/>
        <v>0</v>
      </c>
      <c r="L199" s="3">
        <f t="shared" si="21"/>
        <v>0</v>
      </c>
      <c r="N199" s="3">
        <f t="shared" si="22"/>
        <v>36565.65</v>
      </c>
      <c r="O199" s="2">
        <f>SUM(Levy!F201:J201)</f>
        <v>253423.32</v>
      </c>
      <c r="P199" s="2">
        <f>SUM(Levy!U201:V201)</f>
        <v>9432.6299999999992</v>
      </c>
      <c r="Q199" s="2">
        <f t="shared" si="23"/>
        <v>243990.69</v>
      </c>
    </row>
    <row r="200" spans="1:17" x14ac:dyDescent="0.2">
      <c r="A200" s="4">
        <v>700</v>
      </c>
      <c r="B200" s="4">
        <v>1</v>
      </c>
      <c r="C200" s="2" t="s">
        <v>204</v>
      </c>
      <c r="D200" s="3">
        <f>SUM('Shift 14'!D199:L199)</f>
        <v>93617.94</v>
      </c>
      <c r="E200" s="3">
        <f>ROUND(MAX(0,(Levy!Q202+Data!D201+Data!E201-Levy!U202)*0.5),2)</f>
        <v>673678.39</v>
      </c>
      <c r="F200" s="3">
        <f t="shared" si="18"/>
        <v>0</v>
      </c>
      <c r="G200" s="3">
        <f t="shared" si="19"/>
        <v>93617.94</v>
      </c>
      <c r="I200" s="3">
        <f>SUM('Shift 14'!M199:N199)</f>
        <v>0</v>
      </c>
      <c r="J200" s="3">
        <f>ROUND(MAX(0,(Levy!R202-Levy!V202)*0.5),2)</f>
        <v>82361.73</v>
      </c>
      <c r="K200" s="3">
        <f t="shared" si="20"/>
        <v>0</v>
      </c>
      <c r="L200" s="3">
        <f t="shared" si="21"/>
        <v>0</v>
      </c>
      <c r="N200" s="3">
        <f t="shared" si="22"/>
        <v>93617.94</v>
      </c>
      <c r="O200" s="2">
        <f>SUM(Levy!F202:J202)</f>
        <v>1532874.9</v>
      </c>
      <c r="P200" s="2">
        <f>SUM(Levy!U202:V202)</f>
        <v>20794.669999999998</v>
      </c>
      <c r="Q200" s="2">
        <f t="shared" si="23"/>
        <v>1512080.23</v>
      </c>
    </row>
    <row r="201" spans="1:17" x14ac:dyDescent="0.2">
      <c r="A201" s="4">
        <v>701</v>
      </c>
      <c r="B201" s="4">
        <v>1</v>
      </c>
      <c r="C201" s="2" t="s">
        <v>205</v>
      </c>
      <c r="D201" s="3">
        <f>SUM('Shift 14'!D200:L200)</f>
        <v>610806.89</v>
      </c>
      <c r="E201" s="3">
        <f>ROUND(MAX(0,(Levy!Q203+Data!D202+Data!E202-Levy!U203)*0.5),2)</f>
        <v>850870.32</v>
      </c>
      <c r="F201" s="3">
        <f t="shared" si="18"/>
        <v>0</v>
      </c>
      <c r="G201" s="3">
        <f t="shared" si="19"/>
        <v>610806.89</v>
      </c>
      <c r="I201" s="3">
        <f>SUM('Shift 14'!M200:N200)</f>
        <v>0</v>
      </c>
      <c r="J201" s="3">
        <f>ROUND(MAX(0,(Levy!R203-Levy!V203)*0.5),2)</f>
        <v>0</v>
      </c>
      <c r="K201" s="3">
        <f t="shared" si="20"/>
        <v>0</v>
      </c>
      <c r="L201" s="3">
        <f t="shared" si="21"/>
        <v>0</v>
      </c>
      <c r="N201" s="3">
        <f t="shared" si="22"/>
        <v>610806.89</v>
      </c>
      <c r="O201" s="2">
        <f>SUM(Levy!F203:J203)</f>
        <v>1993430.77</v>
      </c>
      <c r="P201" s="2">
        <f>SUM(Levy!U203:V203)</f>
        <v>291690.13</v>
      </c>
      <c r="Q201" s="2">
        <f t="shared" si="23"/>
        <v>1701740.6400000001</v>
      </c>
    </row>
    <row r="202" spans="1:17" x14ac:dyDescent="0.2">
      <c r="A202" s="4">
        <v>704</v>
      </c>
      <c r="B202" s="4">
        <v>1</v>
      </c>
      <c r="C202" s="2" t="s">
        <v>206</v>
      </c>
      <c r="D202" s="3">
        <f>SUM('Shift 14'!D201:L201)</f>
        <v>137356.65</v>
      </c>
      <c r="E202" s="3">
        <f>ROUND(MAX(0,(Levy!Q204+Data!D203+Data!E203-Levy!U204)*0.5),2)</f>
        <v>643455.82999999996</v>
      </c>
      <c r="F202" s="3">
        <f t="shared" si="18"/>
        <v>0</v>
      </c>
      <c r="G202" s="3">
        <f t="shared" si="19"/>
        <v>137356.65</v>
      </c>
      <c r="I202" s="3">
        <f>SUM('Shift 14'!M201:N201)</f>
        <v>0</v>
      </c>
      <c r="J202" s="3">
        <f>ROUND(MAX(0,(Levy!R204-Levy!V204)*0.5),2)</f>
        <v>74075.19</v>
      </c>
      <c r="K202" s="3">
        <f t="shared" si="20"/>
        <v>0</v>
      </c>
      <c r="L202" s="3">
        <f t="shared" si="21"/>
        <v>0</v>
      </c>
      <c r="N202" s="3">
        <f t="shared" si="22"/>
        <v>137356.65</v>
      </c>
      <c r="O202" s="2">
        <f>SUM(Levy!F204:J204)</f>
        <v>1475149.56</v>
      </c>
      <c r="P202" s="2">
        <f>SUM(Levy!U204:V204)</f>
        <v>40087.519999999997</v>
      </c>
      <c r="Q202" s="2">
        <f t="shared" si="23"/>
        <v>1435062.04</v>
      </c>
    </row>
    <row r="203" spans="1:17" x14ac:dyDescent="0.2">
      <c r="A203" s="4">
        <v>706</v>
      </c>
      <c r="B203" s="4">
        <v>1</v>
      </c>
      <c r="C203" s="2" t="s">
        <v>207</v>
      </c>
      <c r="D203" s="3">
        <f>SUM('Shift 14'!D202:L202)</f>
        <v>653262.42000000004</v>
      </c>
      <c r="E203" s="3">
        <f>ROUND(MAX(0,(Levy!Q205+Data!D204+Data!E204-Levy!U205)*0.5),2)</f>
        <v>562918.09</v>
      </c>
      <c r="F203" s="3">
        <f t="shared" si="18"/>
        <v>90344.330000000075</v>
      </c>
      <c r="G203" s="3">
        <f t="shared" si="19"/>
        <v>562918.09</v>
      </c>
      <c r="I203" s="3">
        <f>SUM('Shift 14'!M202:N202)</f>
        <v>0</v>
      </c>
      <c r="J203" s="3">
        <f>ROUND(MAX(0,(Levy!R205-Levy!V205)*0.5),2)</f>
        <v>0</v>
      </c>
      <c r="K203" s="3">
        <f t="shared" si="20"/>
        <v>0</v>
      </c>
      <c r="L203" s="3">
        <f t="shared" si="21"/>
        <v>0</v>
      </c>
      <c r="N203" s="3">
        <f t="shared" si="22"/>
        <v>562918.09</v>
      </c>
      <c r="O203" s="2">
        <f>SUM(Levy!F205:J205)</f>
        <v>1272768.78</v>
      </c>
      <c r="P203" s="2">
        <f>SUM(Levy!U205:V205)</f>
        <v>146932.60999999999</v>
      </c>
      <c r="Q203" s="2">
        <f t="shared" si="23"/>
        <v>1125836.17</v>
      </c>
    </row>
    <row r="204" spans="1:17" x14ac:dyDescent="0.2">
      <c r="A204" s="4">
        <v>707</v>
      </c>
      <c r="B204" s="4">
        <v>1</v>
      </c>
      <c r="C204" s="2" t="s">
        <v>208</v>
      </c>
      <c r="D204" s="3">
        <f>SUM('Shift 14'!D203:L203)</f>
        <v>9724.56</v>
      </c>
      <c r="E204" s="3">
        <f>ROUND(MAX(0,(Levy!Q206+Data!D205+Data!E205-Levy!U206)*0.5),2)</f>
        <v>20382.41</v>
      </c>
      <c r="F204" s="3">
        <f t="shared" si="18"/>
        <v>0</v>
      </c>
      <c r="G204" s="3">
        <f t="shared" si="19"/>
        <v>9724.56</v>
      </c>
      <c r="I204" s="3">
        <f>SUM('Shift 14'!M203:N203)</f>
        <v>0</v>
      </c>
      <c r="J204" s="3">
        <f>ROUND(MAX(0,(Levy!R206-Levy!V206)*0.5),2)</f>
        <v>712.21</v>
      </c>
      <c r="K204" s="3">
        <f t="shared" si="20"/>
        <v>0</v>
      </c>
      <c r="L204" s="3">
        <f t="shared" si="21"/>
        <v>0</v>
      </c>
      <c r="N204" s="3">
        <f t="shared" si="22"/>
        <v>9724.56</v>
      </c>
      <c r="O204" s="2">
        <f>SUM(Levy!F206:J206)</f>
        <v>42189.22</v>
      </c>
      <c r="P204" s="2">
        <f>SUM(Levy!U206:V206)</f>
        <v>0</v>
      </c>
      <c r="Q204" s="2">
        <f t="shared" si="23"/>
        <v>42189.22</v>
      </c>
    </row>
    <row r="205" spans="1:17" x14ac:dyDescent="0.2">
      <c r="A205" s="4">
        <v>709</v>
      </c>
      <c r="B205" s="4">
        <v>1</v>
      </c>
      <c r="C205" s="2" t="s">
        <v>209</v>
      </c>
      <c r="D205" s="3">
        <f>SUM('Shift 14'!D204:L204)</f>
        <v>1089511.6799999997</v>
      </c>
      <c r="E205" s="3">
        <f>ROUND(MAX(0,(Levy!Q207+Data!D206+Data!E206-Levy!U207)*0.5),2)</f>
        <v>5304794.18</v>
      </c>
      <c r="F205" s="3">
        <f t="shared" si="18"/>
        <v>0</v>
      </c>
      <c r="G205" s="3">
        <f t="shared" si="19"/>
        <v>1089511.6799999997</v>
      </c>
      <c r="I205" s="3">
        <f>SUM('Shift 14'!M204:N204)</f>
        <v>0</v>
      </c>
      <c r="J205" s="3">
        <f>ROUND(MAX(0,(Levy!R207-Levy!V207)*0.5),2)</f>
        <v>476878.07</v>
      </c>
      <c r="K205" s="3">
        <f t="shared" si="20"/>
        <v>0</v>
      </c>
      <c r="L205" s="3">
        <f t="shared" si="21"/>
        <v>0</v>
      </c>
      <c r="N205" s="3">
        <f t="shared" si="22"/>
        <v>1089511.6799999997</v>
      </c>
      <c r="O205" s="2">
        <f>SUM(Levy!F207:J207)</f>
        <v>11917624.490000002</v>
      </c>
      <c r="P205" s="2">
        <f>SUM(Levy!U207:V207)</f>
        <v>354280</v>
      </c>
      <c r="Q205" s="2">
        <f t="shared" si="23"/>
        <v>11563344.490000002</v>
      </c>
    </row>
    <row r="206" spans="1:17" x14ac:dyDescent="0.2">
      <c r="A206" s="4">
        <v>712</v>
      </c>
      <c r="B206" s="4">
        <v>1</v>
      </c>
      <c r="C206" s="2" t="s">
        <v>1192</v>
      </c>
      <c r="D206" s="3">
        <f>SUM('Shift 14'!D205:L205)</f>
        <v>115362.02</v>
      </c>
      <c r="E206" s="3">
        <f>ROUND(MAX(0,(Levy!Q208+Data!D207+Data!E207-Levy!U208)*0.5),2)</f>
        <v>65449.77</v>
      </c>
      <c r="F206" s="3">
        <f t="shared" si="18"/>
        <v>49912.250000000007</v>
      </c>
      <c r="G206" s="3">
        <f t="shared" si="19"/>
        <v>65449.77</v>
      </c>
      <c r="I206" s="3">
        <f>SUM('Shift 14'!M205:N205)</f>
        <v>0</v>
      </c>
      <c r="J206" s="3">
        <f>ROUND(MAX(0,(Levy!R208-Levy!V208)*0.5),2)</f>
        <v>0</v>
      </c>
      <c r="K206" s="3">
        <f t="shared" si="20"/>
        <v>0</v>
      </c>
      <c r="L206" s="3">
        <f t="shared" si="21"/>
        <v>0</v>
      </c>
      <c r="N206" s="3">
        <f t="shared" si="22"/>
        <v>65449.77</v>
      </c>
      <c r="O206" s="2">
        <f>SUM(Levy!F208:J208)</f>
        <v>130899.53</v>
      </c>
      <c r="P206" s="2">
        <f>SUM(Levy!U208:V208)</f>
        <v>0</v>
      </c>
      <c r="Q206" s="2">
        <f t="shared" si="23"/>
        <v>130899.53</v>
      </c>
    </row>
    <row r="207" spans="1:17" x14ac:dyDescent="0.2">
      <c r="A207" s="4">
        <v>716</v>
      </c>
      <c r="B207" s="4">
        <v>1</v>
      </c>
      <c r="C207" s="2" t="s">
        <v>211</v>
      </c>
      <c r="D207" s="3">
        <f>SUM('Shift 14'!D206:L206)</f>
        <v>96647.92</v>
      </c>
      <c r="E207" s="3">
        <f>ROUND(MAX(0,(Levy!Q209+Data!D208+Data!E208-Levy!U209)*0.5),2)</f>
        <v>631460.06000000006</v>
      </c>
      <c r="F207" s="3">
        <f t="shared" si="18"/>
        <v>0</v>
      </c>
      <c r="G207" s="3">
        <f t="shared" si="19"/>
        <v>96647.92</v>
      </c>
      <c r="I207" s="3">
        <f>SUM('Shift 14'!M206:N206)</f>
        <v>0</v>
      </c>
      <c r="J207" s="3">
        <f>ROUND(MAX(0,(Levy!R209-Levy!V209)*0.5),2)</f>
        <v>57040.77</v>
      </c>
      <c r="K207" s="3">
        <f t="shared" si="20"/>
        <v>0</v>
      </c>
      <c r="L207" s="3">
        <f t="shared" si="21"/>
        <v>0</v>
      </c>
      <c r="N207" s="3">
        <f t="shared" si="22"/>
        <v>96647.92</v>
      </c>
      <c r="O207" s="2">
        <f>SUM(Levy!F209:J209)</f>
        <v>1383798.54</v>
      </c>
      <c r="P207" s="2">
        <f>SUM(Levy!U209:V209)</f>
        <v>6796.88</v>
      </c>
      <c r="Q207" s="2">
        <f t="shared" si="23"/>
        <v>1377001.6600000001</v>
      </c>
    </row>
    <row r="208" spans="1:17" x14ac:dyDescent="0.2">
      <c r="A208" s="4">
        <v>717</v>
      </c>
      <c r="B208" s="4">
        <v>1</v>
      </c>
      <c r="C208" s="2" t="s">
        <v>212</v>
      </c>
      <c r="D208" s="3">
        <f>SUM('Shift 14'!D207:L207)</f>
        <v>86768.420000000013</v>
      </c>
      <c r="E208" s="3">
        <f>ROUND(MAX(0,(Levy!Q210+Data!D209+Data!E209-Levy!U210)*0.5),2)</f>
        <v>723871.14</v>
      </c>
      <c r="F208" s="3">
        <f t="shared" si="18"/>
        <v>0</v>
      </c>
      <c r="G208" s="3">
        <f t="shared" si="19"/>
        <v>86768.420000000013</v>
      </c>
      <c r="I208" s="3">
        <f>SUM('Shift 14'!M207:N207)</f>
        <v>0</v>
      </c>
      <c r="J208" s="3">
        <f>ROUND(MAX(0,(Levy!R210-Levy!V210)*0.5),2)</f>
        <v>62735.39</v>
      </c>
      <c r="K208" s="3">
        <f t="shared" si="20"/>
        <v>0</v>
      </c>
      <c r="L208" s="3">
        <f t="shared" si="21"/>
        <v>0</v>
      </c>
      <c r="N208" s="3">
        <f t="shared" si="22"/>
        <v>86768.420000000013</v>
      </c>
      <c r="O208" s="2">
        <f>SUM(Levy!F210:J210)</f>
        <v>1578325.7700000003</v>
      </c>
      <c r="P208" s="2">
        <f>SUM(Levy!U210:V210)</f>
        <v>5112.7199999999993</v>
      </c>
      <c r="Q208" s="2">
        <f t="shared" si="23"/>
        <v>1573213.0500000003</v>
      </c>
    </row>
    <row r="209" spans="1:17" x14ac:dyDescent="0.2">
      <c r="A209" s="4">
        <v>719</v>
      </c>
      <c r="B209" s="4">
        <v>1</v>
      </c>
      <c r="C209" s="2" t="s">
        <v>1193</v>
      </c>
      <c r="D209" s="3">
        <f>SUM('Shift 14'!D208:L208)</f>
        <v>1124671.3600000001</v>
      </c>
      <c r="E209" s="3">
        <f>ROUND(MAX(0,(Levy!Q211+Data!D210+Data!E210-Levy!U211)*0.5),2)</f>
        <v>6543326.6699999999</v>
      </c>
      <c r="F209" s="3">
        <f t="shared" si="18"/>
        <v>0</v>
      </c>
      <c r="G209" s="3">
        <f t="shared" si="19"/>
        <v>1124671.3600000001</v>
      </c>
      <c r="I209" s="3">
        <f>SUM('Shift 14'!M208:N208)</f>
        <v>0</v>
      </c>
      <c r="J209" s="3">
        <f>ROUND(MAX(0,(Levy!R211-Levy!V211)*0.5),2)</f>
        <v>298805.96999999997</v>
      </c>
      <c r="K209" s="3">
        <f t="shared" si="20"/>
        <v>0</v>
      </c>
      <c r="L209" s="3">
        <f t="shared" si="21"/>
        <v>0</v>
      </c>
      <c r="N209" s="3">
        <f t="shared" si="22"/>
        <v>1124671.3600000001</v>
      </c>
      <c r="O209" s="2">
        <f>SUM(Levy!F211:J211)</f>
        <v>13686363</v>
      </c>
      <c r="P209" s="2">
        <f>SUM(Levy!U211:V211)</f>
        <v>2097.73</v>
      </c>
      <c r="Q209" s="2">
        <f t="shared" si="23"/>
        <v>13684265.27</v>
      </c>
    </row>
    <row r="210" spans="1:17" x14ac:dyDescent="0.2">
      <c r="A210" s="4">
        <v>720</v>
      </c>
      <c r="B210" s="4">
        <v>1</v>
      </c>
      <c r="C210" s="2" t="s">
        <v>213</v>
      </c>
      <c r="D210" s="3">
        <f>SUM('Shift 14'!D209:L209)</f>
        <v>881681.82000000007</v>
      </c>
      <c r="E210" s="3">
        <f>ROUND(MAX(0,(Levy!Q212+Data!D211+Data!E211-Levy!U212)*0.5),2)</f>
        <v>4496537.8499999996</v>
      </c>
      <c r="F210" s="3">
        <f t="shared" si="18"/>
        <v>0</v>
      </c>
      <c r="G210" s="3">
        <f t="shared" si="19"/>
        <v>881681.82000000007</v>
      </c>
      <c r="I210" s="3">
        <f>SUM('Shift 14'!M209:N209)</f>
        <v>0</v>
      </c>
      <c r="J210" s="3">
        <f>ROUND(MAX(0,(Levy!R212-Levy!V212)*0.5),2)</f>
        <v>263095.15999999997</v>
      </c>
      <c r="K210" s="3">
        <f t="shared" si="20"/>
        <v>0</v>
      </c>
      <c r="L210" s="3">
        <f t="shared" si="21"/>
        <v>0</v>
      </c>
      <c r="N210" s="3">
        <f t="shared" si="22"/>
        <v>881681.82000000007</v>
      </c>
      <c r="O210" s="2">
        <f>SUM(Levy!F212:J212)</f>
        <v>9520932</v>
      </c>
      <c r="P210" s="2">
        <f>SUM(Levy!U212:V212)</f>
        <v>1665.9800000000002</v>
      </c>
      <c r="Q210" s="2">
        <f t="shared" si="23"/>
        <v>9519266.0199999996</v>
      </c>
    </row>
    <row r="211" spans="1:17" x14ac:dyDescent="0.2">
      <c r="A211" s="4">
        <v>721</v>
      </c>
      <c r="B211" s="4">
        <v>1</v>
      </c>
      <c r="C211" s="2" t="s">
        <v>214</v>
      </c>
      <c r="D211" s="3">
        <f>SUM('Shift 14'!D210:L210)</f>
        <v>201042.8</v>
      </c>
      <c r="E211" s="3">
        <f>ROUND(MAX(0,(Levy!Q213+Data!D212+Data!E212-Levy!U213)*0.5),2)</f>
        <v>1895167.99</v>
      </c>
      <c r="F211" s="3">
        <f t="shared" si="18"/>
        <v>0</v>
      </c>
      <c r="G211" s="3">
        <f t="shared" si="19"/>
        <v>201042.8</v>
      </c>
      <c r="I211" s="3">
        <f>SUM('Shift 14'!M210:N210)</f>
        <v>0</v>
      </c>
      <c r="J211" s="3">
        <f>ROUND(MAX(0,(Levy!R213-Levy!V213)*0.5),2)</f>
        <v>117682.55</v>
      </c>
      <c r="K211" s="3">
        <f t="shared" si="20"/>
        <v>0</v>
      </c>
      <c r="L211" s="3">
        <f t="shared" si="21"/>
        <v>0</v>
      </c>
      <c r="N211" s="3">
        <f t="shared" si="22"/>
        <v>201042.8</v>
      </c>
      <c r="O211" s="2">
        <f>SUM(Levy!F213:J213)</f>
        <v>4038000</v>
      </c>
      <c r="P211" s="2">
        <f>SUM(Levy!U213:V213)</f>
        <v>12298.93</v>
      </c>
      <c r="Q211" s="2">
        <f t="shared" si="23"/>
        <v>4025701.07</v>
      </c>
    </row>
    <row r="212" spans="1:17" x14ac:dyDescent="0.2">
      <c r="A212" s="4">
        <v>726</v>
      </c>
      <c r="B212" s="4">
        <v>1</v>
      </c>
      <c r="C212" s="2" t="s">
        <v>215</v>
      </c>
      <c r="D212" s="3">
        <f>SUM('Shift 14'!D211:L211)</f>
        <v>842672.54</v>
      </c>
      <c r="E212" s="3">
        <f>ROUND(MAX(0,(Levy!Q214+Data!D213+Data!E213-Levy!U214)*0.5),2)</f>
        <v>1747140.14</v>
      </c>
      <c r="F212" s="3">
        <f t="shared" si="18"/>
        <v>0</v>
      </c>
      <c r="G212" s="3">
        <f t="shared" si="19"/>
        <v>842672.54</v>
      </c>
      <c r="I212" s="3">
        <f>SUM('Shift 14'!M211:N211)</f>
        <v>0</v>
      </c>
      <c r="J212" s="3">
        <f>ROUND(MAX(0,(Levy!R214-Levy!V214)*0.5),2)</f>
        <v>104171.47</v>
      </c>
      <c r="K212" s="3">
        <f t="shared" si="20"/>
        <v>0</v>
      </c>
      <c r="L212" s="3">
        <f t="shared" si="21"/>
        <v>0</v>
      </c>
      <c r="N212" s="3">
        <f t="shared" si="22"/>
        <v>842672.54</v>
      </c>
      <c r="O212" s="2">
        <f>SUM(Levy!F214:J214)</f>
        <v>3705619.7600000002</v>
      </c>
      <c r="P212" s="2">
        <f>SUM(Levy!U214:V214)</f>
        <v>2996.55</v>
      </c>
      <c r="Q212" s="2">
        <f t="shared" si="23"/>
        <v>3702623.2100000004</v>
      </c>
    </row>
    <row r="213" spans="1:17" x14ac:dyDescent="0.2">
      <c r="A213" s="4">
        <v>727</v>
      </c>
      <c r="B213" s="4">
        <v>1</v>
      </c>
      <c r="C213" s="2" t="s">
        <v>216</v>
      </c>
      <c r="D213" s="3">
        <f>SUM('Shift 14'!D212:L212)</f>
        <v>166235.37</v>
      </c>
      <c r="E213" s="3">
        <f>ROUND(MAX(0,(Levy!Q215+Data!D214+Data!E214-Levy!U215)*0.5),2)</f>
        <v>1044604.6</v>
      </c>
      <c r="F213" s="3">
        <f t="shared" si="18"/>
        <v>0</v>
      </c>
      <c r="G213" s="3">
        <f t="shared" si="19"/>
        <v>166235.37</v>
      </c>
      <c r="I213" s="3">
        <f>SUM('Shift 14'!M212:N212)</f>
        <v>0</v>
      </c>
      <c r="J213" s="3">
        <f>ROUND(MAX(0,(Levy!R215-Levy!V215)*0.5),2)</f>
        <v>133485.13</v>
      </c>
      <c r="K213" s="3">
        <f t="shared" si="20"/>
        <v>0</v>
      </c>
      <c r="L213" s="3">
        <f t="shared" si="21"/>
        <v>0</v>
      </c>
      <c r="N213" s="3">
        <f t="shared" si="22"/>
        <v>166235.37</v>
      </c>
      <c r="O213" s="2">
        <f>SUM(Levy!F215:J215)</f>
        <v>2358132.67</v>
      </c>
      <c r="P213" s="2">
        <f>SUM(Levy!U215:V215)</f>
        <v>1953.2099999999998</v>
      </c>
      <c r="Q213" s="2">
        <f t="shared" si="23"/>
        <v>2356179.46</v>
      </c>
    </row>
    <row r="214" spans="1:17" x14ac:dyDescent="0.2">
      <c r="A214" s="4">
        <v>728</v>
      </c>
      <c r="B214" s="4">
        <v>1</v>
      </c>
      <c r="C214" s="2" t="s">
        <v>217</v>
      </c>
      <c r="D214" s="3">
        <f>SUM('Shift 14'!D213:L213)</f>
        <v>1776855.66</v>
      </c>
      <c r="E214" s="3">
        <f>ROUND(MAX(0,(Levy!Q216+Data!D215+Data!E215-Levy!U216)*0.5),2)</f>
        <v>9174084.9299999997</v>
      </c>
      <c r="F214" s="3">
        <f t="shared" si="18"/>
        <v>0</v>
      </c>
      <c r="G214" s="3">
        <f t="shared" si="19"/>
        <v>1776855.66</v>
      </c>
      <c r="I214" s="3">
        <f>SUM('Shift 14'!M213:N213)</f>
        <v>0</v>
      </c>
      <c r="J214" s="3">
        <f>ROUND(MAX(0,(Levy!R216-Levy!V216)*0.5),2)</f>
        <v>444371.61</v>
      </c>
      <c r="K214" s="3">
        <f t="shared" si="20"/>
        <v>0</v>
      </c>
      <c r="L214" s="3">
        <f t="shared" si="21"/>
        <v>0</v>
      </c>
      <c r="N214" s="3">
        <f t="shared" si="22"/>
        <v>1776855.66</v>
      </c>
      <c r="O214" s="2">
        <f>SUM(Levy!F216:J216)</f>
        <v>19248089.100000001</v>
      </c>
      <c r="P214" s="2">
        <f>SUM(Levy!U216:V216)</f>
        <v>11176.04</v>
      </c>
      <c r="Q214" s="2">
        <f t="shared" si="23"/>
        <v>19236913.060000002</v>
      </c>
    </row>
    <row r="215" spans="1:17" x14ac:dyDescent="0.2">
      <c r="A215" s="4">
        <v>738</v>
      </c>
      <c r="B215" s="4">
        <v>1</v>
      </c>
      <c r="C215" s="2" t="s">
        <v>218</v>
      </c>
      <c r="D215" s="3">
        <f>SUM('Shift 14'!D214:L214)</f>
        <v>60628.05</v>
      </c>
      <c r="E215" s="3">
        <f>ROUND(MAX(0,(Levy!Q217+Data!D216+Data!E216-Levy!U217)*0.5),2)</f>
        <v>235557.1</v>
      </c>
      <c r="F215" s="3">
        <f t="shared" si="18"/>
        <v>0</v>
      </c>
      <c r="G215" s="3">
        <f t="shared" si="19"/>
        <v>60628.05</v>
      </c>
      <c r="I215" s="3">
        <f>SUM('Shift 14'!M214:N214)</f>
        <v>0</v>
      </c>
      <c r="J215" s="3">
        <f>ROUND(MAX(0,(Levy!R217-Levy!V217)*0.5),2)</f>
        <v>23877.14</v>
      </c>
      <c r="K215" s="3">
        <f t="shared" si="20"/>
        <v>0</v>
      </c>
      <c r="L215" s="3">
        <f t="shared" si="21"/>
        <v>0</v>
      </c>
      <c r="N215" s="3">
        <f t="shared" si="22"/>
        <v>60628.05</v>
      </c>
      <c r="O215" s="2">
        <f>SUM(Levy!F217:J217)</f>
        <v>526528</v>
      </c>
      <c r="P215" s="2">
        <f>SUM(Levy!U217:V217)</f>
        <v>7659.5300000000007</v>
      </c>
      <c r="Q215" s="2">
        <f t="shared" si="23"/>
        <v>518868.47</v>
      </c>
    </row>
    <row r="216" spans="1:17" x14ac:dyDescent="0.2">
      <c r="A216" s="4">
        <v>739</v>
      </c>
      <c r="B216" s="4">
        <v>1</v>
      </c>
      <c r="C216" s="2" t="s">
        <v>219</v>
      </c>
      <c r="D216" s="3">
        <f>SUM('Shift 14'!D215:L215)</f>
        <v>67850.959999999992</v>
      </c>
      <c r="E216" s="3">
        <f>ROUND(MAX(0,(Levy!Q218+Data!D217+Data!E217-Levy!U218)*0.5),2)</f>
        <v>446513.12</v>
      </c>
      <c r="F216" s="3">
        <f t="shared" si="18"/>
        <v>0</v>
      </c>
      <c r="G216" s="3">
        <f t="shared" si="19"/>
        <v>67850.959999999992</v>
      </c>
      <c r="I216" s="3">
        <f>SUM('Shift 14'!M215:N215)</f>
        <v>0</v>
      </c>
      <c r="J216" s="3">
        <f>ROUND(MAX(0,(Levy!R218-Levy!V218)*0.5),2)</f>
        <v>33437.550000000003</v>
      </c>
      <c r="K216" s="3">
        <f t="shared" si="20"/>
        <v>0</v>
      </c>
      <c r="L216" s="3">
        <f t="shared" si="21"/>
        <v>0</v>
      </c>
      <c r="N216" s="3">
        <f t="shared" si="22"/>
        <v>67850.959999999992</v>
      </c>
      <c r="O216" s="2">
        <f>SUM(Levy!F218:J218)</f>
        <v>967546</v>
      </c>
      <c r="P216" s="2">
        <f>SUM(Levy!U218:V218)</f>
        <v>7644.67</v>
      </c>
      <c r="Q216" s="2">
        <f t="shared" si="23"/>
        <v>959901.33</v>
      </c>
    </row>
    <row r="217" spans="1:17" x14ac:dyDescent="0.2">
      <c r="A217" s="4">
        <v>740</v>
      </c>
      <c r="B217" s="4">
        <v>1</v>
      </c>
      <c r="C217" s="2" t="s">
        <v>220</v>
      </c>
      <c r="D217" s="3">
        <f>SUM('Shift 14'!D216:L216)</f>
        <v>79003.060000000012</v>
      </c>
      <c r="E217" s="3">
        <f>ROUND(MAX(0,(Levy!Q219+Data!D218+Data!E218-Levy!U219)*0.5),2)</f>
        <v>541168.06000000006</v>
      </c>
      <c r="F217" s="3">
        <f t="shared" si="18"/>
        <v>0</v>
      </c>
      <c r="G217" s="3">
        <f t="shared" si="19"/>
        <v>79003.060000000012</v>
      </c>
      <c r="I217" s="3">
        <f>SUM('Shift 14'!M216:N216)</f>
        <v>0</v>
      </c>
      <c r="J217" s="3">
        <f>ROUND(MAX(0,(Levy!R219-Levy!V219)*0.5),2)</f>
        <v>48634.18</v>
      </c>
      <c r="K217" s="3">
        <f t="shared" si="20"/>
        <v>0</v>
      </c>
      <c r="L217" s="3">
        <f t="shared" si="21"/>
        <v>0</v>
      </c>
      <c r="N217" s="3">
        <f t="shared" si="22"/>
        <v>79003.060000000012</v>
      </c>
      <c r="O217" s="2">
        <f>SUM(Levy!F219:J219)</f>
        <v>1193248</v>
      </c>
      <c r="P217" s="2">
        <f>SUM(Levy!U219:V219)</f>
        <v>13643.519999999995</v>
      </c>
      <c r="Q217" s="2">
        <f t="shared" si="23"/>
        <v>1179604.48</v>
      </c>
    </row>
    <row r="218" spans="1:17" x14ac:dyDescent="0.2">
      <c r="A218" s="4">
        <v>741</v>
      </c>
      <c r="B218" s="4">
        <v>1</v>
      </c>
      <c r="C218" s="2" t="s">
        <v>221</v>
      </c>
      <c r="D218" s="3">
        <f>SUM('Shift 14'!D217:L217)</f>
        <v>93132.040000000008</v>
      </c>
      <c r="E218" s="3">
        <f>ROUND(MAX(0,(Levy!Q220+Data!D219+Data!E219-Levy!U220)*0.5),2)</f>
        <v>454107.69</v>
      </c>
      <c r="F218" s="3">
        <f t="shared" si="18"/>
        <v>0</v>
      </c>
      <c r="G218" s="3">
        <f t="shared" si="19"/>
        <v>93132.040000000008</v>
      </c>
      <c r="I218" s="3">
        <f>SUM('Shift 14'!M217:N217)</f>
        <v>0</v>
      </c>
      <c r="J218" s="3">
        <f>ROUND(MAX(0,(Levy!R220-Levy!V220)*0.5),2)</f>
        <v>37759.97</v>
      </c>
      <c r="K218" s="3">
        <f t="shared" si="20"/>
        <v>0</v>
      </c>
      <c r="L218" s="3">
        <f t="shared" si="21"/>
        <v>0</v>
      </c>
      <c r="N218" s="3">
        <f t="shared" si="22"/>
        <v>93132.040000000008</v>
      </c>
      <c r="O218" s="2">
        <f>SUM(Levy!F220:J220)</f>
        <v>989898</v>
      </c>
      <c r="P218" s="2">
        <f>SUM(Levy!U220:V220)</f>
        <v>6162.7</v>
      </c>
      <c r="Q218" s="2">
        <f t="shared" si="23"/>
        <v>983735.3</v>
      </c>
    </row>
    <row r="219" spans="1:17" x14ac:dyDescent="0.2">
      <c r="A219" s="4">
        <v>742</v>
      </c>
      <c r="B219" s="4">
        <v>1</v>
      </c>
      <c r="C219" s="2" t="s">
        <v>222</v>
      </c>
      <c r="D219" s="3">
        <f>SUM('Shift 14'!D218:L218)</f>
        <v>1333500.2799999998</v>
      </c>
      <c r="E219" s="3">
        <f>ROUND(MAX(0,(Levy!Q221+Data!D220+Data!E220-Levy!U221)*0.5),2)</f>
        <v>9413255.6999999993</v>
      </c>
      <c r="F219" s="3">
        <f t="shared" si="18"/>
        <v>0</v>
      </c>
      <c r="G219" s="3">
        <f t="shared" si="19"/>
        <v>1333500.2799999998</v>
      </c>
      <c r="I219" s="3">
        <f>SUM('Shift 14'!M218:N218)</f>
        <v>0</v>
      </c>
      <c r="J219" s="3">
        <f>ROUND(MAX(0,(Levy!R221-Levy!V221)*0.5),2)</f>
        <v>563887.97</v>
      </c>
      <c r="K219" s="3">
        <f t="shared" si="20"/>
        <v>0</v>
      </c>
      <c r="L219" s="3">
        <f t="shared" si="21"/>
        <v>0</v>
      </c>
      <c r="N219" s="3">
        <f t="shared" si="22"/>
        <v>1333500.2799999998</v>
      </c>
      <c r="O219" s="2">
        <f>SUM(Levy!F221:J221)</f>
        <v>20001262</v>
      </c>
      <c r="P219" s="2">
        <f>SUM(Levy!U221:V221)</f>
        <v>46974.68</v>
      </c>
      <c r="Q219" s="2">
        <f t="shared" si="23"/>
        <v>19954287.32</v>
      </c>
    </row>
    <row r="220" spans="1:17" x14ac:dyDescent="0.2">
      <c r="A220" s="4">
        <v>743</v>
      </c>
      <c r="B220" s="4">
        <v>1</v>
      </c>
      <c r="C220" s="2" t="s">
        <v>223</v>
      </c>
      <c r="D220" s="3">
        <f>SUM('Shift 14'!D219:L219)</f>
        <v>71646.69</v>
      </c>
      <c r="E220" s="3">
        <f>ROUND(MAX(0,(Levy!Q222+Data!D221+Data!E221-Levy!U222)*0.5),2)</f>
        <v>613379.89</v>
      </c>
      <c r="F220" s="3">
        <f t="shared" si="18"/>
        <v>0</v>
      </c>
      <c r="G220" s="3">
        <f t="shared" si="19"/>
        <v>71646.69</v>
      </c>
      <c r="I220" s="3">
        <f>SUM('Shift 14'!M219:N219)</f>
        <v>0</v>
      </c>
      <c r="J220" s="3">
        <f>ROUND(MAX(0,(Levy!R222-Levy!V222)*0.5),2)</f>
        <v>45978.34</v>
      </c>
      <c r="K220" s="3">
        <f t="shared" si="20"/>
        <v>0</v>
      </c>
      <c r="L220" s="3">
        <f t="shared" si="21"/>
        <v>0</v>
      </c>
      <c r="N220" s="3">
        <f t="shared" si="22"/>
        <v>71646.69</v>
      </c>
      <c r="O220" s="2">
        <f>SUM(Levy!F222:J222)</f>
        <v>1321850</v>
      </c>
      <c r="P220" s="2">
        <f>SUM(Levy!U222:V222)</f>
        <v>3133.5399999999991</v>
      </c>
      <c r="Q220" s="2">
        <f t="shared" si="23"/>
        <v>1318716.46</v>
      </c>
    </row>
    <row r="221" spans="1:17" x14ac:dyDescent="0.2">
      <c r="A221" s="4">
        <v>745</v>
      </c>
      <c r="B221" s="4">
        <v>1</v>
      </c>
      <c r="C221" s="2" t="s">
        <v>224</v>
      </c>
      <c r="D221" s="3">
        <f>SUM('Shift 14'!D220:L220)</f>
        <v>95401.89</v>
      </c>
      <c r="E221" s="3">
        <f>ROUND(MAX(0,(Levy!Q223+Data!D222+Data!E222-Levy!U223)*0.5),2)</f>
        <v>488047.6</v>
      </c>
      <c r="F221" s="3">
        <f t="shared" si="18"/>
        <v>0</v>
      </c>
      <c r="G221" s="3">
        <f t="shared" si="19"/>
        <v>95401.89</v>
      </c>
      <c r="I221" s="3">
        <f>SUM('Shift 14'!M220:N220)</f>
        <v>0</v>
      </c>
      <c r="J221" s="3">
        <f>ROUND(MAX(0,(Levy!R223-Levy!V223)*0.5),2)</f>
        <v>55208.18</v>
      </c>
      <c r="K221" s="3">
        <f t="shared" si="20"/>
        <v>0</v>
      </c>
      <c r="L221" s="3">
        <f t="shared" si="21"/>
        <v>0</v>
      </c>
      <c r="N221" s="3">
        <f t="shared" si="22"/>
        <v>95401.89</v>
      </c>
      <c r="O221" s="2">
        <f>SUM(Levy!F223:J223)</f>
        <v>1098861</v>
      </c>
      <c r="P221" s="2">
        <f>SUM(Levy!U223:V223)</f>
        <v>12349.449999999999</v>
      </c>
      <c r="Q221" s="2">
        <f t="shared" si="23"/>
        <v>1086511.55</v>
      </c>
    </row>
    <row r="222" spans="1:17" x14ac:dyDescent="0.2">
      <c r="A222" s="4">
        <v>748</v>
      </c>
      <c r="B222" s="4">
        <v>1</v>
      </c>
      <c r="C222" s="2" t="s">
        <v>1194</v>
      </c>
      <c r="D222" s="3">
        <f>SUM('Shift 14'!D221:L221)</f>
        <v>235887.24</v>
      </c>
      <c r="E222" s="3">
        <f>ROUND(MAX(0,(Levy!Q224+Data!D223+Data!E223-Levy!U224)*0.5),2)</f>
        <v>1313774.05</v>
      </c>
      <c r="F222" s="3">
        <f t="shared" si="18"/>
        <v>0</v>
      </c>
      <c r="G222" s="3">
        <f t="shared" si="19"/>
        <v>235887.24</v>
      </c>
      <c r="I222" s="3">
        <f>SUM('Shift 14'!M221:N221)</f>
        <v>0</v>
      </c>
      <c r="J222" s="3">
        <f>ROUND(MAX(0,(Levy!R224-Levy!V224)*0.5),2)</f>
        <v>91494.14</v>
      </c>
      <c r="K222" s="3">
        <f t="shared" si="20"/>
        <v>0</v>
      </c>
      <c r="L222" s="3">
        <f t="shared" si="21"/>
        <v>0</v>
      </c>
      <c r="N222" s="3">
        <f t="shared" si="22"/>
        <v>235887.24</v>
      </c>
      <c r="O222" s="2">
        <f>SUM(Levy!F224:J224)</f>
        <v>2813906</v>
      </c>
      <c r="P222" s="2">
        <f>SUM(Levy!U224:V224)</f>
        <v>3369.6200000000008</v>
      </c>
      <c r="Q222" s="2">
        <f t="shared" si="23"/>
        <v>2810536.38</v>
      </c>
    </row>
    <row r="223" spans="1:17" x14ac:dyDescent="0.2">
      <c r="A223" s="4">
        <v>750</v>
      </c>
      <c r="B223" s="4">
        <v>1</v>
      </c>
      <c r="C223" s="2" t="s">
        <v>226</v>
      </c>
      <c r="D223" s="3">
        <f>SUM('Shift 14'!D222:L222)</f>
        <v>163420.70000000001</v>
      </c>
      <c r="E223" s="3">
        <f>ROUND(MAX(0,(Levy!Q225+Data!D224+Data!E224-Levy!U225)*0.5),2)</f>
        <v>926736.65</v>
      </c>
      <c r="F223" s="3">
        <f t="shared" si="18"/>
        <v>0</v>
      </c>
      <c r="G223" s="3">
        <f t="shared" si="19"/>
        <v>163420.70000000001</v>
      </c>
      <c r="I223" s="3">
        <f>SUM('Shift 14'!M222:N222)</f>
        <v>0</v>
      </c>
      <c r="J223" s="3">
        <f>ROUND(MAX(0,(Levy!R225-Levy!V225)*0.5),2)</f>
        <v>75363.44</v>
      </c>
      <c r="K223" s="3">
        <f t="shared" si="20"/>
        <v>0</v>
      </c>
      <c r="L223" s="3">
        <f t="shared" si="21"/>
        <v>0</v>
      </c>
      <c r="N223" s="3">
        <f t="shared" si="22"/>
        <v>163420.70000000001</v>
      </c>
      <c r="O223" s="2">
        <f>SUM(Levy!F225:J225)</f>
        <v>2012237</v>
      </c>
      <c r="P223" s="2">
        <f>SUM(Levy!U225:V225)</f>
        <v>8036.8200000000015</v>
      </c>
      <c r="Q223" s="2">
        <f t="shared" si="23"/>
        <v>2004200.18</v>
      </c>
    </row>
    <row r="224" spans="1:17" x14ac:dyDescent="0.2">
      <c r="A224" s="4">
        <v>756</v>
      </c>
      <c r="B224" s="4">
        <v>1</v>
      </c>
      <c r="C224" s="2" t="s">
        <v>227</v>
      </c>
      <c r="D224" s="3">
        <f>SUM('Shift 14'!D223:L223)</f>
        <v>81779.210000000006</v>
      </c>
      <c r="E224" s="3">
        <f>ROUND(MAX(0,(Levy!Q226+Data!D225+Data!E225-Levy!U226)*0.5),2)</f>
        <v>468022.88</v>
      </c>
      <c r="F224" s="3">
        <f t="shared" si="18"/>
        <v>0</v>
      </c>
      <c r="G224" s="3">
        <f t="shared" si="19"/>
        <v>81779.210000000006</v>
      </c>
      <c r="I224" s="3">
        <f>SUM('Shift 14'!M223:N223)</f>
        <v>0</v>
      </c>
      <c r="J224" s="3">
        <f>ROUND(MAX(0,(Levy!R226-Levy!V226)*0.5),2)</f>
        <v>24063.94</v>
      </c>
      <c r="K224" s="3">
        <f t="shared" si="20"/>
        <v>0</v>
      </c>
      <c r="L224" s="3">
        <f t="shared" si="21"/>
        <v>0</v>
      </c>
      <c r="N224" s="3">
        <f t="shared" si="22"/>
        <v>81779.210000000006</v>
      </c>
      <c r="O224" s="2">
        <f>SUM(Levy!F226:J226)</f>
        <v>994479.59</v>
      </c>
      <c r="P224" s="2">
        <f>SUM(Levy!U226:V226)</f>
        <v>10305.960000000001</v>
      </c>
      <c r="Q224" s="2">
        <f t="shared" si="23"/>
        <v>984173.63</v>
      </c>
    </row>
    <row r="225" spans="1:17" x14ac:dyDescent="0.2">
      <c r="A225" s="4">
        <v>761</v>
      </c>
      <c r="B225" s="4">
        <v>1</v>
      </c>
      <c r="C225" s="2" t="s">
        <v>228</v>
      </c>
      <c r="D225" s="3">
        <f>SUM('Shift 14'!D224:L224)</f>
        <v>489099.11</v>
      </c>
      <c r="E225" s="3">
        <f>ROUND(MAX(0,(Levy!Q227+Data!D226+Data!E226-Levy!U227)*0.5),2)</f>
        <v>2997319.29</v>
      </c>
      <c r="F225" s="3">
        <f t="shared" si="18"/>
        <v>0</v>
      </c>
      <c r="G225" s="3">
        <f t="shared" si="19"/>
        <v>489099.11</v>
      </c>
      <c r="I225" s="3">
        <f>SUM('Shift 14'!M224:N224)</f>
        <v>0</v>
      </c>
      <c r="J225" s="3">
        <f>ROUND(MAX(0,(Levy!R227-Levy!V227)*0.5),2)</f>
        <v>157555.35999999999</v>
      </c>
      <c r="K225" s="3">
        <f t="shared" si="20"/>
        <v>0</v>
      </c>
      <c r="L225" s="3">
        <f t="shared" si="21"/>
        <v>0</v>
      </c>
      <c r="N225" s="3">
        <f t="shared" si="22"/>
        <v>489099.11</v>
      </c>
      <c r="O225" s="2">
        <f>SUM(Levy!F227:J227)</f>
        <v>6338084</v>
      </c>
      <c r="P225" s="2">
        <f>SUM(Levy!U227:V227)</f>
        <v>28334.71</v>
      </c>
      <c r="Q225" s="2">
        <f t="shared" si="23"/>
        <v>6309749.29</v>
      </c>
    </row>
    <row r="226" spans="1:17" x14ac:dyDescent="0.2">
      <c r="A226" s="4">
        <v>763</v>
      </c>
      <c r="B226" s="4">
        <v>1</v>
      </c>
      <c r="C226" s="2" t="s">
        <v>229</v>
      </c>
      <c r="D226" s="3">
        <f>SUM('Shift 14'!D225:L225)</f>
        <v>100828.5</v>
      </c>
      <c r="E226" s="3">
        <f>ROUND(MAX(0,(Levy!Q228+Data!D227+Data!E227-Levy!U228)*0.5),2)</f>
        <v>156213.89000000001</v>
      </c>
      <c r="F226" s="3">
        <f t="shared" si="18"/>
        <v>0</v>
      </c>
      <c r="G226" s="3">
        <f t="shared" si="19"/>
        <v>100828.5</v>
      </c>
      <c r="I226" s="3">
        <f>SUM('Shift 14'!M225:N225)</f>
        <v>0</v>
      </c>
      <c r="J226" s="3">
        <f>ROUND(MAX(0,(Levy!R228-Levy!V228)*0.5),2)</f>
        <v>18279.03</v>
      </c>
      <c r="K226" s="3">
        <f t="shared" si="20"/>
        <v>0</v>
      </c>
      <c r="L226" s="3">
        <f t="shared" si="21"/>
        <v>0</v>
      </c>
      <c r="N226" s="3">
        <f t="shared" si="22"/>
        <v>100828.5</v>
      </c>
      <c r="O226" s="2">
        <f>SUM(Levy!F228:J228)</f>
        <v>351581</v>
      </c>
      <c r="P226" s="2">
        <f>SUM(Levy!U228:V228)</f>
        <v>2595.17</v>
      </c>
      <c r="Q226" s="2">
        <f t="shared" si="23"/>
        <v>348985.83</v>
      </c>
    </row>
    <row r="227" spans="1:17" x14ac:dyDescent="0.2">
      <c r="A227" s="4">
        <v>768</v>
      </c>
      <c r="B227" s="4">
        <v>1</v>
      </c>
      <c r="C227" s="2" t="s">
        <v>230</v>
      </c>
      <c r="D227" s="3">
        <f>SUM('Shift 14'!D226:L226)</f>
        <v>26657.51</v>
      </c>
      <c r="E227" s="3">
        <f>ROUND(MAX(0,(Levy!Q229+Data!D228+Data!E228-Levy!U229)*0.5),2)</f>
        <v>138272.56</v>
      </c>
      <c r="F227" s="3">
        <f t="shared" si="18"/>
        <v>0</v>
      </c>
      <c r="G227" s="3">
        <f t="shared" si="19"/>
        <v>26657.51</v>
      </c>
      <c r="I227" s="3">
        <f>SUM('Shift 14'!M226:N226)</f>
        <v>0</v>
      </c>
      <c r="J227" s="3">
        <f>ROUND(MAX(0,(Levy!R229-Levy!V229)*0.5),2)</f>
        <v>6635.65</v>
      </c>
      <c r="K227" s="3">
        <f t="shared" si="20"/>
        <v>0</v>
      </c>
      <c r="L227" s="3">
        <f t="shared" si="21"/>
        <v>0</v>
      </c>
      <c r="N227" s="3">
        <f t="shared" si="22"/>
        <v>26657.51</v>
      </c>
      <c r="O227" s="2">
        <f>SUM(Levy!F229:J229)</f>
        <v>293280.7</v>
      </c>
      <c r="P227" s="2">
        <f>SUM(Levy!U229:V229)</f>
        <v>3464.29</v>
      </c>
      <c r="Q227" s="2">
        <f t="shared" si="23"/>
        <v>289816.41000000003</v>
      </c>
    </row>
    <row r="228" spans="1:17" x14ac:dyDescent="0.2">
      <c r="A228" s="4">
        <v>771</v>
      </c>
      <c r="B228" s="4">
        <v>1</v>
      </c>
      <c r="C228" s="2" t="s">
        <v>232</v>
      </c>
      <c r="D228" s="3">
        <f>SUM('Shift 14'!D227:L227)</f>
        <v>99340.97</v>
      </c>
      <c r="E228" s="3">
        <f>ROUND(MAX(0,(Levy!Q230+Data!D229+Data!E229-Levy!U230)*0.5),2)</f>
        <v>299235.45</v>
      </c>
      <c r="F228" s="3">
        <f t="shared" si="18"/>
        <v>0</v>
      </c>
      <c r="G228" s="3">
        <f t="shared" si="19"/>
        <v>99340.97</v>
      </c>
      <c r="I228" s="3">
        <f>SUM('Shift 14'!M227:N227)</f>
        <v>0</v>
      </c>
      <c r="J228" s="3">
        <f>ROUND(MAX(0,(Levy!R230-Levy!V230)*0.5),2)</f>
        <v>11021.78</v>
      </c>
      <c r="K228" s="3">
        <f t="shared" si="20"/>
        <v>0</v>
      </c>
      <c r="L228" s="3">
        <f t="shared" si="21"/>
        <v>0</v>
      </c>
      <c r="N228" s="3">
        <f t="shared" si="22"/>
        <v>99340.97</v>
      </c>
      <c r="O228" s="2">
        <f>SUM(Levy!F230:J230)</f>
        <v>626264.34</v>
      </c>
      <c r="P228" s="2">
        <f>SUM(Levy!U230:V230)</f>
        <v>5749.8899999999994</v>
      </c>
      <c r="Q228" s="2">
        <f t="shared" si="23"/>
        <v>620514.44999999995</v>
      </c>
    </row>
    <row r="229" spans="1:17" x14ac:dyDescent="0.2">
      <c r="A229" s="4">
        <v>775</v>
      </c>
      <c r="B229" s="4">
        <v>1</v>
      </c>
      <c r="C229" s="2" t="s">
        <v>1195</v>
      </c>
      <c r="D229" s="3">
        <f>SUM('Shift 14'!D228:L228)</f>
        <v>94280.690000000017</v>
      </c>
      <c r="E229" s="3">
        <f>ROUND(MAX(0,(Levy!Q231+Data!D230+Data!E230-Levy!U231)*0.5),2)</f>
        <v>210865.59</v>
      </c>
      <c r="F229" s="3">
        <f t="shared" si="18"/>
        <v>0</v>
      </c>
      <c r="G229" s="3">
        <f t="shared" si="19"/>
        <v>94280.690000000017</v>
      </c>
      <c r="I229" s="3">
        <f>SUM('Shift 14'!M228:N228)</f>
        <v>0</v>
      </c>
      <c r="J229" s="3">
        <f>ROUND(MAX(0,(Levy!R231-Levy!V231)*0.5),2)</f>
        <v>19406.599999999999</v>
      </c>
      <c r="K229" s="3">
        <f t="shared" si="20"/>
        <v>0</v>
      </c>
      <c r="L229" s="3">
        <f t="shared" si="21"/>
        <v>0</v>
      </c>
      <c r="N229" s="3">
        <f t="shared" si="22"/>
        <v>94280.690000000017</v>
      </c>
      <c r="O229" s="2">
        <f>SUM(Levy!F231:J231)</f>
        <v>465802</v>
      </c>
      <c r="P229" s="2">
        <f>SUM(Levy!U231:V231)</f>
        <v>5257.6300000000019</v>
      </c>
      <c r="Q229" s="2">
        <f t="shared" si="23"/>
        <v>460544.37</v>
      </c>
    </row>
    <row r="230" spans="1:17" x14ac:dyDescent="0.2">
      <c r="A230" s="4">
        <v>777</v>
      </c>
      <c r="B230" s="4">
        <v>1</v>
      </c>
      <c r="C230" s="2" t="s">
        <v>234</v>
      </c>
      <c r="D230" s="3">
        <f>SUM('Shift 14'!D229:L229)</f>
        <v>102921.20000000001</v>
      </c>
      <c r="E230" s="3">
        <f>ROUND(MAX(0,(Levy!Q232+Data!D231+Data!E231-Levy!U232)*0.5),2)</f>
        <v>610610.68000000005</v>
      </c>
      <c r="F230" s="3">
        <f t="shared" si="18"/>
        <v>0</v>
      </c>
      <c r="G230" s="3">
        <f t="shared" si="19"/>
        <v>102921.20000000001</v>
      </c>
      <c r="I230" s="3">
        <f>SUM('Shift 14'!M229:N229)</f>
        <v>0</v>
      </c>
      <c r="J230" s="3">
        <f>ROUND(MAX(0,(Levy!R232-Levy!V232)*0.5),2)</f>
        <v>35159.29</v>
      </c>
      <c r="K230" s="3">
        <f t="shared" si="20"/>
        <v>0</v>
      </c>
      <c r="L230" s="3">
        <f t="shared" si="21"/>
        <v>0</v>
      </c>
      <c r="N230" s="3">
        <f t="shared" si="22"/>
        <v>102921.20000000001</v>
      </c>
      <c r="O230" s="2">
        <f>SUM(Levy!F232:J232)</f>
        <v>1301103</v>
      </c>
      <c r="P230" s="2">
        <f>SUM(Levy!U232:V232)</f>
        <v>9563.07</v>
      </c>
      <c r="Q230" s="2">
        <f t="shared" si="23"/>
        <v>1291539.93</v>
      </c>
    </row>
    <row r="231" spans="1:17" x14ac:dyDescent="0.2">
      <c r="A231" s="4">
        <v>786</v>
      </c>
      <c r="B231" s="4">
        <v>1</v>
      </c>
      <c r="C231" s="2" t="s">
        <v>235</v>
      </c>
      <c r="D231" s="3">
        <f>SUM('Shift 14'!D230:L230)</f>
        <v>8348.86</v>
      </c>
      <c r="E231" s="3">
        <f>ROUND(MAX(0,(Levy!Q233+Data!D232+Data!E232-Levy!U233)*0.5),2)</f>
        <v>106494.72</v>
      </c>
      <c r="F231" s="3">
        <f t="shared" si="18"/>
        <v>0</v>
      </c>
      <c r="G231" s="3">
        <f t="shared" si="19"/>
        <v>8348.86</v>
      </c>
      <c r="I231" s="3">
        <f>SUM('Shift 14'!M230:N230)</f>
        <v>0</v>
      </c>
      <c r="J231" s="3">
        <f>ROUND(MAX(0,(Levy!R233-Levy!V233)*0.5),2)</f>
        <v>23001.75</v>
      </c>
      <c r="K231" s="3">
        <f t="shared" si="20"/>
        <v>0</v>
      </c>
      <c r="L231" s="3">
        <f t="shared" si="21"/>
        <v>0</v>
      </c>
      <c r="N231" s="3">
        <f t="shared" si="22"/>
        <v>8348.86</v>
      </c>
      <c r="O231" s="2">
        <f>SUM(Levy!F233:J233)</f>
        <v>269364</v>
      </c>
      <c r="P231" s="2">
        <f>SUM(Levy!U233:V233)</f>
        <v>10371.06</v>
      </c>
      <c r="Q231" s="2">
        <f t="shared" si="23"/>
        <v>258992.94</v>
      </c>
    </row>
    <row r="232" spans="1:17" x14ac:dyDescent="0.2">
      <c r="A232" s="4">
        <v>787</v>
      </c>
      <c r="B232" s="4">
        <v>1</v>
      </c>
      <c r="C232" s="2" t="s">
        <v>236</v>
      </c>
      <c r="D232" s="3">
        <f>SUM('Shift 14'!D231:L231)</f>
        <v>27272.589999999997</v>
      </c>
      <c r="E232" s="3">
        <f>ROUND(MAX(0,(Levy!Q234+Data!D233+Data!E233-Levy!U234)*0.5),2)</f>
        <v>99930.49</v>
      </c>
      <c r="F232" s="3">
        <f t="shared" si="18"/>
        <v>0</v>
      </c>
      <c r="G232" s="3">
        <f t="shared" si="19"/>
        <v>27272.589999999997</v>
      </c>
      <c r="I232" s="3">
        <f>SUM('Shift 14'!M231:N231)</f>
        <v>0</v>
      </c>
      <c r="J232" s="3">
        <f>ROUND(MAX(0,(Levy!R234-Levy!V234)*0.5),2)</f>
        <v>10827.6</v>
      </c>
      <c r="K232" s="3">
        <f t="shared" si="20"/>
        <v>0</v>
      </c>
      <c r="L232" s="3">
        <f t="shared" si="21"/>
        <v>0</v>
      </c>
      <c r="N232" s="3">
        <f t="shared" si="22"/>
        <v>27272.589999999997</v>
      </c>
      <c r="O232" s="2">
        <f>SUM(Levy!F234:J234)</f>
        <v>229387</v>
      </c>
      <c r="P232" s="2">
        <f>SUM(Levy!U234:V234)</f>
        <v>7870.8399999999983</v>
      </c>
      <c r="Q232" s="2">
        <f t="shared" si="23"/>
        <v>221516.16</v>
      </c>
    </row>
    <row r="233" spans="1:17" x14ac:dyDescent="0.2">
      <c r="A233" s="4">
        <v>801</v>
      </c>
      <c r="B233" s="4">
        <v>1</v>
      </c>
      <c r="C233" s="2" t="s">
        <v>237</v>
      </c>
      <c r="D233" s="3">
        <f>SUM('Shift 14'!D232:L232)</f>
        <v>39497.69</v>
      </c>
      <c r="E233" s="3">
        <f>ROUND(MAX(0,(Levy!Q235+Data!D234+Data!E234-Levy!U235)*0.5),2)</f>
        <v>56585.69</v>
      </c>
      <c r="F233" s="3">
        <f t="shared" si="18"/>
        <v>0</v>
      </c>
      <c r="G233" s="3">
        <f t="shared" si="19"/>
        <v>39497.69</v>
      </c>
      <c r="I233" s="3">
        <f>SUM('Shift 14'!M232:N232)</f>
        <v>0</v>
      </c>
      <c r="J233" s="3">
        <f>ROUND(MAX(0,(Levy!R235-Levy!V235)*0.5),2)</f>
        <v>5809.27</v>
      </c>
      <c r="K233" s="3">
        <f t="shared" si="20"/>
        <v>0</v>
      </c>
      <c r="L233" s="3">
        <f t="shared" si="21"/>
        <v>0</v>
      </c>
      <c r="N233" s="3">
        <f t="shared" si="22"/>
        <v>39497.69</v>
      </c>
      <c r="O233" s="2">
        <f>SUM(Levy!F235:J235)</f>
        <v>129221.06000000001</v>
      </c>
      <c r="P233" s="2">
        <f>SUM(Levy!U235:V235)</f>
        <v>4431.1400000000003</v>
      </c>
      <c r="Q233" s="2">
        <f t="shared" si="23"/>
        <v>124789.92000000001</v>
      </c>
    </row>
    <row r="234" spans="1:17" x14ac:dyDescent="0.2">
      <c r="A234" s="4">
        <v>803</v>
      </c>
      <c r="B234" s="4">
        <v>1</v>
      </c>
      <c r="C234" s="2" t="s">
        <v>238</v>
      </c>
      <c r="D234" s="3">
        <f>SUM('Shift 14'!D233:L233)</f>
        <v>101408.19</v>
      </c>
      <c r="E234" s="3">
        <f>ROUND(MAX(0,(Levy!Q236+Data!D235+Data!E235-Levy!U236)*0.5),2)</f>
        <v>273465.12</v>
      </c>
      <c r="F234" s="3">
        <f t="shared" si="18"/>
        <v>0</v>
      </c>
      <c r="G234" s="3">
        <f t="shared" si="19"/>
        <v>101408.19</v>
      </c>
      <c r="I234" s="3">
        <f>SUM('Shift 14'!M233:N233)</f>
        <v>0</v>
      </c>
      <c r="J234" s="3">
        <f>ROUND(MAX(0,(Levy!R236-Levy!V236)*0.5),2)</f>
        <v>13784.49</v>
      </c>
      <c r="K234" s="3">
        <f t="shared" si="20"/>
        <v>0</v>
      </c>
      <c r="L234" s="3">
        <f t="shared" si="21"/>
        <v>0</v>
      </c>
      <c r="N234" s="3">
        <f t="shared" si="22"/>
        <v>101408.19</v>
      </c>
      <c r="O234" s="2">
        <f>SUM(Levy!F236:J236)</f>
        <v>588264.66999999993</v>
      </c>
      <c r="P234" s="2">
        <f>SUM(Levy!U236:V236)</f>
        <v>13765.47</v>
      </c>
      <c r="Q234" s="2">
        <f t="shared" si="23"/>
        <v>574499.19999999995</v>
      </c>
    </row>
    <row r="235" spans="1:17" x14ac:dyDescent="0.2">
      <c r="A235" s="4">
        <v>811</v>
      </c>
      <c r="B235" s="4">
        <v>1</v>
      </c>
      <c r="C235" s="2" t="s">
        <v>239</v>
      </c>
      <c r="D235" s="3">
        <f>SUM('Shift 14'!D234:L234)</f>
        <v>87048.12000000001</v>
      </c>
      <c r="E235" s="3">
        <f>ROUND(MAX(0,(Levy!Q237+Data!D236+Data!E236-Levy!U237)*0.5),2)</f>
        <v>438209.38</v>
      </c>
      <c r="F235" s="3">
        <f t="shared" si="18"/>
        <v>0</v>
      </c>
      <c r="G235" s="3">
        <f t="shared" si="19"/>
        <v>87048.12000000001</v>
      </c>
      <c r="I235" s="3">
        <f>SUM('Shift 14'!M234:N234)</f>
        <v>0</v>
      </c>
      <c r="J235" s="3">
        <f>ROUND(MAX(0,(Levy!R237-Levy!V237)*0.5),2)</f>
        <v>35655.9</v>
      </c>
      <c r="K235" s="3">
        <f t="shared" si="20"/>
        <v>0</v>
      </c>
      <c r="L235" s="3">
        <f t="shared" si="21"/>
        <v>0</v>
      </c>
      <c r="N235" s="3">
        <f t="shared" si="22"/>
        <v>87048.12000000001</v>
      </c>
      <c r="O235" s="2">
        <f>SUM(Levy!F237:J237)</f>
        <v>951742</v>
      </c>
      <c r="P235" s="2">
        <f>SUM(Levy!U237:V237)</f>
        <v>4011.45</v>
      </c>
      <c r="Q235" s="2">
        <f t="shared" si="23"/>
        <v>947730.55</v>
      </c>
    </row>
    <row r="236" spans="1:17" x14ac:dyDescent="0.2">
      <c r="A236" s="4">
        <v>813</v>
      </c>
      <c r="B236" s="4">
        <v>1</v>
      </c>
      <c r="C236" s="2" t="s">
        <v>240</v>
      </c>
      <c r="D236" s="3">
        <f>SUM('Shift 14'!D235:L235)</f>
        <v>18090.739999999998</v>
      </c>
      <c r="E236" s="3">
        <f>ROUND(MAX(0,(Levy!Q238+Data!D237+Data!E237-Levy!U238)*0.5),2)</f>
        <v>770507.72</v>
      </c>
      <c r="F236" s="3">
        <f t="shared" si="18"/>
        <v>0</v>
      </c>
      <c r="G236" s="3">
        <f t="shared" si="19"/>
        <v>18090.739999999998</v>
      </c>
      <c r="I236" s="3">
        <f>SUM('Shift 14'!M235:N235)</f>
        <v>0</v>
      </c>
      <c r="J236" s="3">
        <f>ROUND(MAX(0,(Levy!R238-Levy!V238)*0.5),2)</f>
        <v>56142.5</v>
      </c>
      <c r="K236" s="3">
        <f t="shared" si="20"/>
        <v>0</v>
      </c>
      <c r="L236" s="3">
        <f t="shared" si="21"/>
        <v>0</v>
      </c>
      <c r="N236" s="3">
        <f t="shared" si="22"/>
        <v>18090.739999999998</v>
      </c>
      <c r="O236" s="2">
        <f>SUM(Levy!F238:J238)</f>
        <v>1657734</v>
      </c>
      <c r="P236" s="2">
        <f>SUM(Levy!U238:V238)</f>
        <v>4433.5600000000013</v>
      </c>
      <c r="Q236" s="2">
        <f t="shared" si="23"/>
        <v>1653300.44</v>
      </c>
    </row>
    <row r="237" spans="1:17" x14ac:dyDescent="0.2">
      <c r="A237" s="4">
        <v>815</v>
      </c>
      <c r="B237" s="4">
        <v>2</v>
      </c>
      <c r="C237" s="2" t="s">
        <v>241</v>
      </c>
      <c r="D237" s="3">
        <f>SUM('Shift 14'!D236:L236)</f>
        <v>0</v>
      </c>
      <c r="E237" s="3">
        <f>ROUND(MAX(0,(Levy!Q239+Data!D238+Data!E238-Levy!U239)*0.5),2)</f>
        <v>30816.1</v>
      </c>
      <c r="F237" s="3">
        <f t="shared" si="18"/>
        <v>0</v>
      </c>
      <c r="G237" s="3">
        <f t="shared" si="19"/>
        <v>0</v>
      </c>
      <c r="I237" s="3">
        <f>SUM('Shift 14'!M236:N236)</f>
        <v>0</v>
      </c>
      <c r="J237" s="3">
        <f>ROUND(MAX(0,(Levy!R239-Levy!V239)*0.5),2)</f>
        <v>3553.44</v>
      </c>
      <c r="K237" s="3">
        <f t="shared" si="20"/>
        <v>0</v>
      </c>
      <c r="L237" s="3">
        <f t="shared" si="21"/>
        <v>0</v>
      </c>
      <c r="N237" s="3">
        <f t="shared" si="22"/>
        <v>0</v>
      </c>
      <c r="O237" s="2">
        <f>SUM(Levy!F239:J239)</f>
        <v>69681.899999999994</v>
      </c>
      <c r="P237" s="2">
        <f>SUM(Levy!U239:V239)</f>
        <v>942.82999999999993</v>
      </c>
      <c r="Q237" s="2">
        <f t="shared" si="23"/>
        <v>68739.069999999992</v>
      </c>
    </row>
    <row r="238" spans="1:17" x14ac:dyDescent="0.2">
      <c r="A238" s="4">
        <v>818</v>
      </c>
      <c r="B238" s="4">
        <v>1</v>
      </c>
      <c r="C238" s="2" t="s">
        <v>242</v>
      </c>
      <c r="D238" s="3">
        <f>SUM('Shift 14'!D237:L237)</f>
        <v>17585.32</v>
      </c>
      <c r="E238" s="3">
        <f>ROUND(MAX(0,(Levy!Q240+Data!D239+Data!E239-Levy!U240)*0.5),2)</f>
        <v>24805.5</v>
      </c>
      <c r="F238" s="3">
        <f t="shared" si="18"/>
        <v>0</v>
      </c>
      <c r="G238" s="3">
        <f t="shared" si="19"/>
        <v>17585.32</v>
      </c>
      <c r="I238" s="3">
        <f>SUM('Shift 14'!M237:N237)</f>
        <v>0</v>
      </c>
      <c r="J238" s="3">
        <f>ROUND(MAX(0,(Levy!R240-Levy!V240)*0.5),2)</f>
        <v>8902.27</v>
      </c>
      <c r="K238" s="3">
        <f t="shared" si="20"/>
        <v>0</v>
      </c>
      <c r="L238" s="3">
        <f t="shared" si="21"/>
        <v>0</v>
      </c>
      <c r="N238" s="3">
        <f t="shared" si="22"/>
        <v>17585.32</v>
      </c>
      <c r="O238" s="2">
        <f>SUM(Levy!F240:J240)</f>
        <v>68079</v>
      </c>
      <c r="P238" s="2">
        <f>SUM(Levy!U240:V240)</f>
        <v>663.47</v>
      </c>
      <c r="Q238" s="2">
        <f t="shared" si="23"/>
        <v>67415.53</v>
      </c>
    </row>
    <row r="239" spans="1:17" x14ac:dyDescent="0.2">
      <c r="A239" s="4">
        <v>820</v>
      </c>
      <c r="B239" s="4">
        <v>1</v>
      </c>
      <c r="C239" s="2" t="s">
        <v>243</v>
      </c>
      <c r="D239" s="3">
        <f>SUM('Shift 14'!D238:L238)</f>
        <v>24789.770000000004</v>
      </c>
      <c r="E239" s="3">
        <f>ROUND(MAX(0,(Levy!Q241+Data!D240+Data!E240-Levy!U241)*0.5),2)</f>
        <v>165838.34</v>
      </c>
      <c r="F239" s="3">
        <f t="shared" si="18"/>
        <v>0</v>
      </c>
      <c r="G239" s="3">
        <f t="shared" si="19"/>
        <v>24789.770000000004</v>
      </c>
      <c r="I239" s="3">
        <f>SUM('Shift 14'!M238:N238)</f>
        <v>0</v>
      </c>
      <c r="J239" s="3">
        <f>ROUND(MAX(0,(Levy!R241-Levy!V241)*0.5),2)</f>
        <v>13797.03</v>
      </c>
      <c r="K239" s="3">
        <f t="shared" si="20"/>
        <v>0</v>
      </c>
      <c r="L239" s="3">
        <f t="shared" si="21"/>
        <v>0</v>
      </c>
      <c r="N239" s="3">
        <f t="shared" si="22"/>
        <v>24789.770000000004</v>
      </c>
      <c r="O239" s="2">
        <f>SUM(Levy!F241:J241)</f>
        <v>373990</v>
      </c>
      <c r="P239" s="2">
        <f>SUM(Levy!U241:V241)</f>
        <v>14719.26</v>
      </c>
      <c r="Q239" s="2">
        <f t="shared" si="23"/>
        <v>359270.74</v>
      </c>
    </row>
    <row r="240" spans="1:17" x14ac:dyDescent="0.2">
      <c r="A240" s="4">
        <v>821</v>
      </c>
      <c r="B240" s="4">
        <v>1</v>
      </c>
      <c r="C240" s="2" t="s">
        <v>244</v>
      </c>
      <c r="D240" s="3">
        <f>SUM('Shift 14'!D239:L239)</f>
        <v>5330.8700000000008</v>
      </c>
      <c r="E240" s="3">
        <f>ROUND(MAX(0,(Levy!Q242+Data!D241+Data!E241-Levy!U242)*0.5),2)</f>
        <v>215733.38</v>
      </c>
      <c r="F240" s="3">
        <f t="shared" si="18"/>
        <v>0</v>
      </c>
      <c r="G240" s="3">
        <f t="shared" si="19"/>
        <v>5330.8700000000008</v>
      </c>
      <c r="I240" s="3">
        <f>SUM('Shift 14'!M239:N239)</f>
        <v>0</v>
      </c>
      <c r="J240" s="3">
        <f>ROUND(MAX(0,(Levy!R242-Levy!V242)*0.5),2)</f>
        <v>18817.93</v>
      </c>
      <c r="K240" s="3">
        <f t="shared" si="20"/>
        <v>0</v>
      </c>
      <c r="L240" s="3">
        <f t="shared" si="21"/>
        <v>0</v>
      </c>
      <c r="N240" s="3">
        <f t="shared" si="22"/>
        <v>5330.8700000000008</v>
      </c>
      <c r="O240" s="2">
        <f>SUM(Levy!F242:J242)</f>
        <v>479157</v>
      </c>
      <c r="P240" s="2">
        <f>SUM(Levy!U242:V242)</f>
        <v>10054.380000000001</v>
      </c>
      <c r="Q240" s="2">
        <f t="shared" si="23"/>
        <v>469102.62</v>
      </c>
    </row>
    <row r="241" spans="1:17" x14ac:dyDescent="0.2">
      <c r="A241" s="4">
        <v>829</v>
      </c>
      <c r="B241" s="4">
        <v>1</v>
      </c>
      <c r="C241" s="2" t="s">
        <v>245</v>
      </c>
      <c r="D241" s="3">
        <f>SUM('Shift 14'!D240:L240)</f>
        <v>132758.10999999999</v>
      </c>
      <c r="E241" s="3">
        <f>ROUND(MAX(0,(Levy!Q243+Data!D242+Data!E242-Levy!U243)*0.5),2)</f>
        <v>675545.72</v>
      </c>
      <c r="F241" s="3">
        <f t="shared" si="18"/>
        <v>0</v>
      </c>
      <c r="G241" s="3">
        <f t="shared" si="19"/>
        <v>132758.10999999999</v>
      </c>
      <c r="I241" s="3">
        <f>SUM('Shift 14'!M240:N240)</f>
        <v>0</v>
      </c>
      <c r="J241" s="3">
        <f>ROUND(MAX(0,(Levy!R243-Levy!V243)*0.5),2)</f>
        <v>86215.94</v>
      </c>
      <c r="K241" s="3">
        <f t="shared" si="20"/>
        <v>0</v>
      </c>
      <c r="L241" s="3">
        <f t="shared" si="21"/>
        <v>0</v>
      </c>
      <c r="N241" s="3">
        <f t="shared" si="22"/>
        <v>132758.10999999999</v>
      </c>
      <c r="O241" s="2">
        <f>SUM(Levy!F243:J243)</f>
        <v>1532747</v>
      </c>
      <c r="P241" s="2">
        <f>SUM(Levy!U243:V243)</f>
        <v>9223.6899999999987</v>
      </c>
      <c r="Q241" s="2">
        <f t="shared" si="23"/>
        <v>1523523.31</v>
      </c>
    </row>
    <row r="242" spans="1:17" x14ac:dyDescent="0.2">
      <c r="A242" s="4">
        <v>831</v>
      </c>
      <c r="B242" s="4">
        <v>1</v>
      </c>
      <c r="C242" s="2" t="s">
        <v>246</v>
      </c>
      <c r="D242" s="3">
        <f>SUM('Shift 14'!D241:L241)</f>
        <v>545918.80000000005</v>
      </c>
      <c r="E242" s="3">
        <f>ROUND(MAX(0,(Levy!Q244+Data!D243+Data!E243-Levy!U244)*0.5),2)</f>
        <v>5785360.8499999996</v>
      </c>
      <c r="F242" s="3">
        <f t="shared" si="18"/>
        <v>0</v>
      </c>
      <c r="G242" s="3">
        <f t="shared" si="19"/>
        <v>545918.80000000005</v>
      </c>
      <c r="I242" s="3">
        <f>SUM('Shift 14'!M241:N241)</f>
        <v>0</v>
      </c>
      <c r="J242" s="3">
        <f>ROUND(MAX(0,(Levy!R244-Levy!V244)*0.5),2)</f>
        <v>462952.77</v>
      </c>
      <c r="K242" s="3">
        <f t="shared" si="20"/>
        <v>0</v>
      </c>
      <c r="L242" s="3">
        <f t="shared" si="21"/>
        <v>0</v>
      </c>
      <c r="N242" s="3">
        <f t="shared" si="22"/>
        <v>545918.80000000005</v>
      </c>
      <c r="O242" s="2">
        <f>SUM(Levy!F244:J244)</f>
        <v>12508077</v>
      </c>
      <c r="P242" s="2">
        <f>SUM(Levy!U244:V244)</f>
        <v>11449.77</v>
      </c>
      <c r="Q242" s="2">
        <f t="shared" si="23"/>
        <v>12496627.23</v>
      </c>
    </row>
    <row r="243" spans="1:17" x14ac:dyDescent="0.2">
      <c r="A243" s="4">
        <v>832</v>
      </c>
      <c r="B243" s="4">
        <v>1</v>
      </c>
      <c r="C243" s="2" t="s">
        <v>247</v>
      </c>
      <c r="D243" s="3">
        <f>SUM('Shift 14'!D242:L242)</f>
        <v>661470.61</v>
      </c>
      <c r="E243" s="3">
        <f>ROUND(MAX(0,(Levy!Q245+Data!D244+Data!E244-Levy!U245)*0.5),2)</f>
        <v>2678799.9700000002</v>
      </c>
      <c r="F243" s="3">
        <f t="shared" si="18"/>
        <v>0</v>
      </c>
      <c r="G243" s="3">
        <f t="shared" si="19"/>
        <v>661470.61</v>
      </c>
      <c r="I243" s="3">
        <f>SUM('Shift 14'!M242:N242)</f>
        <v>0</v>
      </c>
      <c r="J243" s="3">
        <f>ROUND(MAX(0,(Levy!R245-Levy!V245)*0.5),2)</f>
        <v>143354.57999999999</v>
      </c>
      <c r="K243" s="3">
        <f t="shared" si="20"/>
        <v>0</v>
      </c>
      <c r="L243" s="3">
        <f t="shared" si="21"/>
        <v>0</v>
      </c>
      <c r="N243" s="3">
        <f t="shared" si="22"/>
        <v>661470.61</v>
      </c>
      <c r="O243" s="2">
        <f>SUM(Levy!F245:J245)</f>
        <v>5645859</v>
      </c>
      <c r="P243" s="2">
        <f>SUM(Levy!U245:V245)</f>
        <v>1549.9199999999998</v>
      </c>
      <c r="Q243" s="2">
        <f t="shared" si="23"/>
        <v>5644309.0800000001</v>
      </c>
    </row>
    <row r="244" spans="1:17" x14ac:dyDescent="0.2">
      <c r="A244" s="4">
        <v>833</v>
      </c>
      <c r="B244" s="4">
        <v>1</v>
      </c>
      <c r="C244" s="2" t="s">
        <v>248</v>
      </c>
      <c r="D244" s="3">
        <f>SUM('Shift 14'!D243:L243)</f>
        <v>3247460.7600000002</v>
      </c>
      <c r="E244" s="3">
        <f>ROUND(MAX(0,(Levy!Q246+Data!D245+Data!E245-Levy!U246)*0.5),2)</f>
        <v>14278839.77</v>
      </c>
      <c r="F244" s="3">
        <f t="shared" si="18"/>
        <v>0</v>
      </c>
      <c r="G244" s="3">
        <f t="shared" si="19"/>
        <v>3247460.7600000002</v>
      </c>
      <c r="I244" s="3">
        <f>SUM('Shift 14'!M243:N243)</f>
        <v>0</v>
      </c>
      <c r="J244" s="3">
        <f>ROUND(MAX(0,(Levy!R246-Levy!V246)*0.5),2)</f>
        <v>673458.47</v>
      </c>
      <c r="K244" s="3">
        <f t="shared" si="20"/>
        <v>0</v>
      </c>
      <c r="L244" s="3">
        <f t="shared" si="21"/>
        <v>0</v>
      </c>
      <c r="N244" s="3">
        <f t="shared" si="22"/>
        <v>3247460.7600000002</v>
      </c>
      <c r="O244" s="2">
        <f>SUM(Levy!F246:J246)</f>
        <v>29906520</v>
      </c>
      <c r="P244" s="2">
        <f>SUM(Levy!U246:V246)</f>
        <v>1923.52</v>
      </c>
      <c r="Q244" s="2">
        <f t="shared" si="23"/>
        <v>29904596.48</v>
      </c>
    </row>
    <row r="245" spans="1:17" x14ac:dyDescent="0.2">
      <c r="A245" s="4">
        <v>834</v>
      </c>
      <c r="B245" s="4">
        <v>1</v>
      </c>
      <c r="C245" s="2" t="s">
        <v>249</v>
      </c>
      <c r="D245" s="3">
        <f>SUM('Shift 14'!D244:L244)</f>
        <v>2137313.54</v>
      </c>
      <c r="E245" s="3">
        <f>ROUND(MAX(0,(Levy!Q247+Data!D246+Data!E246-Levy!U247)*0.5),2)</f>
        <v>12359959.810000001</v>
      </c>
      <c r="F245" s="3">
        <f t="shared" si="18"/>
        <v>0</v>
      </c>
      <c r="G245" s="3">
        <f t="shared" si="19"/>
        <v>2137313.54</v>
      </c>
      <c r="I245" s="3">
        <f>SUM('Shift 14'!M244:N244)</f>
        <v>0</v>
      </c>
      <c r="J245" s="3">
        <f>ROUND(MAX(0,(Levy!R247-Levy!V247)*0.5),2)</f>
        <v>449403.33</v>
      </c>
      <c r="K245" s="3">
        <f t="shared" si="20"/>
        <v>0</v>
      </c>
      <c r="L245" s="3">
        <f t="shared" si="21"/>
        <v>0</v>
      </c>
      <c r="N245" s="3">
        <f t="shared" si="22"/>
        <v>2137313.54</v>
      </c>
      <c r="O245" s="2">
        <f>SUM(Levy!F247:J247)</f>
        <v>25627907</v>
      </c>
      <c r="P245" s="2">
        <f>SUM(Levy!U247:V247)</f>
        <v>9180.7200000000012</v>
      </c>
      <c r="Q245" s="2">
        <f t="shared" si="23"/>
        <v>25618726.280000001</v>
      </c>
    </row>
    <row r="246" spans="1:17" x14ac:dyDescent="0.2">
      <c r="A246" s="4">
        <v>836</v>
      </c>
      <c r="B246" s="4">
        <v>1</v>
      </c>
      <c r="C246" s="2" t="s">
        <v>250</v>
      </c>
      <c r="D246" s="3">
        <f>SUM('Shift 14'!D245:L245)</f>
        <v>69630.76999999999</v>
      </c>
      <c r="E246" s="3">
        <f>ROUND(MAX(0,(Levy!Q248+Data!D247+Data!E247-Levy!U248)*0.5),2)</f>
        <v>201577.61</v>
      </c>
      <c r="F246" s="3">
        <f t="shared" si="18"/>
        <v>0</v>
      </c>
      <c r="G246" s="3">
        <f t="shared" si="19"/>
        <v>69630.76999999999</v>
      </c>
      <c r="I246" s="3">
        <f>SUM('Shift 14'!M245:N245)</f>
        <v>0</v>
      </c>
      <c r="J246" s="3">
        <f>ROUND(MAX(0,(Levy!R248-Levy!V248)*0.5),2)</f>
        <v>15990.72</v>
      </c>
      <c r="K246" s="3">
        <f t="shared" si="20"/>
        <v>0</v>
      </c>
      <c r="L246" s="3">
        <f t="shared" si="21"/>
        <v>0</v>
      </c>
      <c r="N246" s="3">
        <f t="shared" si="22"/>
        <v>69630.76999999999</v>
      </c>
      <c r="O246" s="2">
        <f>SUM(Levy!F248:J248)</f>
        <v>440000</v>
      </c>
      <c r="P246" s="2">
        <f>SUM(Levy!U248:V248)</f>
        <v>4863.3599999999997</v>
      </c>
      <c r="Q246" s="2">
        <f t="shared" si="23"/>
        <v>435136.64</v>
      </c>
    </row>
    <row r="247" spans="1:17" x14ac:dyDescent="0.2">
      <c r="A247" s="4">
        <v>837</v>
      </c>
      <c r="B247" s="4">
        <v>1</v>
      </c>
      <c r="C247" s="2" t="s">
        <v>251</v>
      </c>
      <c r="D247" s="3">
        <f>SUM('Shift 14'!D246:L246)</f>
        <v>126964.69</v>
      </c>
      <c r="E247" s="3">
        <f>ROUND(MAX(0,(Levy!Q249+Data!D248+Data!E248-Levy!U249)*0.5),2)</f>
        <v>369307.65</v>
      </c>
      <c r="F247" s="3">
        <f t="shared" si="18"/>
        <v>0</v>
      </c>
      <c r="G247" s="3">
        <f t="shared" si="19"/>
        <v>126964.69</v>
      </c>
      <c r="I247" s="3">
        <f>SUM('Shift 14'!M246:N246)</f>
        <v>0</v>
      </c>
      <c r="J247" s="3">
        <f>ROUND(MAX(0,(Levy!R249-Levy!V249)*0.5),2)</f>
        <v>25676.89</v>
      </c>
      <c r="K247" s="3">
        <f t="shared" si="20"/>
        <v>0</v>
      </c>
      <c r="L247" s="3">
        <f t="shared" si="21"/>
        <v>0</v>
      </c>
      <c r="N247" s="3">
        <f t="shared" si="22"/>
        <v>126964.69</v>
      </c>
      <c r="O247" s="2">
        <f>SUM(Levy!F249:J249)</f>
        <v>794302</v>
      </c>
      <c r="P247" s="2">
        <f>SUM(Levy!U249:V249)</f>
        <v>4332.9299999999994</v>
      </c>
      <c r="Q247" s="2">
        <f t="shared" si="23"/>
        <v>789969.07</v>
      </c>
    </row>
    <row r="248" spans="1:17" x14ac:dyDescent="0.2">
      <c r="A248" s="4">
        <v>840</v>
      </c>
      <c r="B248" s="4">
        <v>1</v>
      </c>
      <c r="C248" s="2" t="s">
        <v>252</v>
      </c>
      <c r="D248" s="3">
        <f>SUM('Shift 14'!D247:L247)</f>
        <v>121305.69</v>
      </c>
      <c r="E248" s="3">
        <f>ROUND(MAX(0,(Levy!Q250+Data!D249+Data!E249-Levy!U250)*0.5),2)</f>
        <v>595577.66</v>
      </c>
      <c r="F248" s="3">
        <f t="shared" si="18"/>
        <v>0</v>
      </c>
      <c r="G248" s="3">
        <f t="shared" si="19"/>
        <v>121305.69</v>
      </c>
      <c r="I248" s="3">
        <f>SUM('Shift 14'!M247:N247)</f>
        <v>0</v>
      </c>
      <c r="J248" s="3">
        <f>ROUND(MAX(0,(Levy!R250-Levy!V250)*0.5),2)</f>
        <v>61176.65</v>
      </c>
      <c r="K248" s="3">
        <f t="shared" si="20"/>
        <v>0</v>
      </c>
      <c r="L248" s="3">
        <f t="shared" si="21"/>
        <v>0</v>
      </c>
      <c r="N248" s="3">
        <f t="shared" si="22"/>
        <v>121305.69</v>
      </c>
      <c r="O248" s="2">
        <f>SUM(Levy!F250:J250)</f>
        <v>1326618</v>
      </c>
      <c r="P248" s="2">
        <f>SUM(Levy!U250:V250)</f>
        <v>13109.390000000003</v>
      </c>
      <c r="Q248" s="2">
        <f t="shared" si="23"/>
        <v>1313508.6100000001</v>
      </c>
    </row>
    <row r="249" spans="1:17" x14ac:dyDescent="0.2">
      <c r="A249" s="4">
        <v>846</v>
      </c>
      <c r="B249" s="4">
        <v>1</v>
      </c>
      <c r="C249" s="2" t="s">
        <v>253</v>
      </c>
      <c r="D249" s="3">
        <f>SUM('Shift 14'!D248:L248)</f>
        <v>44109.86</v>
      </c>
      <c r="E249" s="3">
        <f>ROUND(MAX(0,(Levy!Q251+Data!D250+Data!E250-Levy!U251)*0.5),2)</f>
        <v>486692.74</v>
      </c>
      <c r="F249" s="3">
        <f t="shared" si="18"/>
        <v>0</v>
      </c>
      <c r="G249" s="3">
        <f t="shared" si="19"/>
        <v>44109.86</v>
      </c>
      <c r="I249" s="3">
        <f>SUM('Shift 14'!M248:N248)</f>
        <v>0</v>
      </c>
      <c r="J249" s="3">
        <f>ROUND(MAX(0,(Levy!R251-Levy!V251)*0.5),2)</f>
        <v>39635.08</v>
      </c>
      <c r="K249" s="3">
        <f t="shared" si="20"/>
        <v>0</v>
      </c>
      <c r="L249" s="3">
        <f t="shared" si="21"/>
        <v>0</v>
      </c>
      <c r="N249" s="3">
        <f t="shared" si="22"/>
        <v>44109.86</v>
      </c>
      <c r="O249" s="2">
        <f>SUM(Levy!F251:J251)</f>
        <v>1078509.82</v>
      </c>
      <c r="P249" s="2">
        <f>SUM(Levy!U251:V251)</f>
        <v>25854.19</v>
      </c>
      <c r="Q249" s="2">
        <f t="shared" si="23"/>
        <v>1052655.6300000001</v>
      </c>
    </row>
    <row r="250" spans="1:17" x14ac:dyDescent="0.2">
      <c r="A250" s="4">
        <v>850</v>
      </c>
      <c r="B250" s="4">
        <v>1</v>
      </c>
      <c r="C250" s="2" t="s">
        <v>254</v>
      </c>
      <c r="D250" s="3">
        <f>SUM('Shift 14'!D249:L249)</f>
        <v>92277.63</v>
      </c>
      <c r="E250" s="3">
        <f>ROUND(MAX(0,(Levy!Q252+Data!D251+Data!E251-Levy!U252)*0.5),2)</f>
        <v>138055.48000000001</v>
      </c>
      <c r="F250" s="3">
        <f t="shared" si="18"/>
        <v>0</v>
      </c>
      <c r="G250" s="3">
        <f t="shared" si="19"/>
        <v>92277.63</v>
      </c>
      <c r="I250" s="3">
        <f>SUM('Shift 14'!M249:N249)</f>
        <v>0</v>
      </c>
      <c r="J250" s="3">
        <f>ROUND(MAX(0,(Levy!R252-Levy!V252)*0.5),2)</f>
        <v>10916.41</v>
      </c>
      <c r="K250" s="3">
        <f t="shared" si="20"/>
        <v>0</v>
      </c>
      <c r="L250" s="3">
        <f t="shared" si="21"/>
        <v>0</v>
      </c>
      <c r="N250" s="3">
        <f t="shared" si="22"/>
        <v>92277.63</v>
      </c>
      <c r="O250" s="2">
        <f>SUM(Levy!F252:J252)</f>
        <v>300596.36</v>
      </c>
      <c r="P250" s="2">
        <f>SUM(Levy!U252:V252)</f>
        <v>2652.59</v>
      </c>
      <c r="Q250" s="2">
        <f t="shared" si="23"/>
        <v>297943.76999999996</v>
      </c>
    </row>
    <row r="251" spans="1:17" x14ac:dyDescent="0.2">
      <c r="A251" s="4">
        <v>852</v>
      </c>
      <c r="B251" s="4">
        <v>1</v>
      </c>
      <c r="C251" s="2" t="s">
        <v>255</v>
      </c>
      <c r="D251" s="3">
        <f>SUM('Shift 14'!D250:L250)</f>
        <v>109053.16</v>
      </c>
      <c r="E251" s="3">
        <f>ROUND(MAX(0,(Levy!Q253+Data!D252+Data!E252-Levy!U253)*0.5),2)</f>
        <v>169973.91</v>
      </c>
      <c r="F251" s="3">
        <f t="shared" si="18"/>
        <v>0</v>
      </c>
      <c r="G251" s="3">
        <f t="shared" si="19"/>
        <v>109053.16</v>
      </c>
      <c r="I251" s="3">
        <f>SUM('Shift 14'!M250:N250)</f>
        <v>0</v>
      </c>
      <c r="J251" s="3">
        <f>ROUND(MAX(0,(Levy!R253-Levy!V253)*0.5),2)</f>
        <v>10794.24</v>
      </c>
      <c r="K251" s="3">
        <f t="shared" si="20"/>
        <v>0</v>
      </c>
      <c r="L251" s="3">
        <f t="shared" si="21"/>
        <v>0</v>
      </c>
      <c r="N251" s="3">
        <f t="shared" si="22"/>
        <v>109053.16</v>
      </c>
      <c r="O251" s="2">
        <f>SUM(Levy!F253:J253)</f>
        <v>362439.49999999994</v>
      </c>
      <c r="P251" s="2">
        <f>SUM(Levy!U253:V253)</f>
        <v>903.20999999999992</v>
      </c>
      <c r="Q251" s="2">
        <f t="shared" si="23"/>
        <v>361536.28999999992</v>
      </c>
    </row>
    <row r="252" spans="1:17" x14ac:dyDescent="0.2">
      <c r="A252" s="4">
        <v>857</v>
      </c>
      <c r="B252" s="4">
        <v>1</v>
      </c>
      <c r="C252" s="2" t="s">
        <v>256</v>
      </c>
      <c r="D252" s="3">
        <f>SUM('Shift 14'!D251:L251)</f>
        <v>5304.4400000000005</v>
      </c>
      <c r="E252" s="3">
        <f>ROUND(MAX(0,(Levy!Q254+Data!D253+Data!E253-Levy!U254)*0.5),2)</f>
        <v>222524.99</v>
      </c>
      <c r="F252" s="3">
        <f t="shared" si="18"/>
        <v>0</v>
      </c>
      <c r="G252" s="3">
        <f t="shared" si="19"/>
        <v>5304.4400000000005</v>
      </c>
      <c r="I252" s="3">
        <f>SUM('Shift 14'!M251:N251)</f>
        <v>0</v>
      </c>
      <c r="J252" s="3">
        <f>ROUND(MAX(0,(Levy!R254-Levy!V254)*0.5),2)</f>
        <v>31170.080000000002</v>
      </c>
      <c r="K252" s="3">
        <f t="shared" si="20"/>
        <v>0</v>
      </c>
      <c r="L252" s="3">
        <f t="shared" si="21"/>
        <v>0</v>
      </c>
      <c r="N252" s="3">
        <f t="shared" si="22"/>
        <v>5304.4400000000005</v>
      </c>
      <c r="O252" s="2">
        <f>SUM(Levy!F254:J254)</f>
        <v>510598</v>
      </c>
      <c r="P252" s="2">
        <f>SUM(Levy!U254:V254)</f>
        <v>3207.86</v>
      </c>
      <c r="Q252" s="2">
        <f t="shared" si="23"/>
        <v>507390.14</v>
      </c>
    </row>
    <row r="253" spans="1:17" x14ac:dyDescent="0.2">
      <c r="A253" s="4">
        <v>858</v>
      </c>
      <c r="B253" s="4">
        <v>1</v>
      </c>
      <c r="C253" s="2" t="s">
        <v>257</v>
      </c>
      <c r="D253" s="3">
        <f>SUM('Shift 14'!D252:L252)</f>
        <v>21565.72</v>
      </c>
      <c r="E253" s="3">
        <f>ROUND(MAX(0,(Levy!Q255+Data!D254+Data!E254-Levy!U255)*0.5),2)</f>
        <v>218503.23</v>
      </c>
      <c r="F253" s="3">
        <f t="shared" si="18"/>
        <v>0</v>
      </c>
      <c r="G253" s="3">
        <f t="shared" si="19"/>
        <v>21565.72</v>
      </c>
      <c r="I253" s="3">
        <f>SUM('Shift 14'!M252:N252)</f>
        <v>0</v>
      </c>
      <c r="J253" s="3">
        <f>ROUND(MAX(0,(Levy!R255-Levy!V255)*0.5),2)</f>
        <v>32689.360000000001</v>
      </c>
      <c r="K253" s="3">
        <f t="shared" si="20"/>
        <v>0</v>
      </c>
      <c r="L253" s="3">
        <f t="shared" si="21"/>
        <v>0</v>
      </c>
      <c r="N253" s="3">
        <f t="shared" si="22"/>
        <v>21565.72</v>
      </c>
      <c r="O253" s="2">
        <f>SUM(Levy!F255:J255)</f>
        <v>508366</v>
      </c>
      <c r="P253" s="2">
        <f>SUM(Levy!U255:V255)</f>
        <v>5980.82</v>
      </c>
      <c r="Q253" s="2">
        <f t="shared" si="23"/>
        <v>502385.18</v>
      </c>
    </row>
    <row r="254" spans="1:17" x14ac:dyDescent="0.2">
      <c r="A254" s="4">
        <v>861</v>
      </c>
      <c r="B254" s="4">
        <v>1</v>
      </c>
      <c r="C254" s="2" t="s">
        <v>1196</v>
      </c>
      <c r="D254" s="3">
        <f>SUM('Shift 14'!D253:L253)</f>
        <v>247607.85</v>
      </c>
      <c r="E254" s="3">
        <f>ROUND(MAX(0,(Levy!Q256+Data!D255+Data!E255-Levy!U256)*0.5),2)</f>
        <v>4171095.81</v>
      </c>
      <c r="F254" s="3">
        <f t="shared" si="18"/>
        <v>0</v>
      </c>
      <c r="G254" s="3">
        <f t="shared" si="19"/>
        <v>247607.85</v>
      </c>
      <c r="I254" s="3">
        <f>SUM('Shift 14'!M253:N253)</f>
        <v>0</v>
      </c>
      <c r="J254" s="3">
        <f>ROUND(MAX(0,(Levy!R256-Levy!V256)*0.5),2)</f>
        <v>177571.7</v>
      </c>
      <c r="K254" s="3">
        <f t="shared" si="20"/>
        <v>0</v>
      </c>
      <c r="L254" s="3">
        <f t="shared" si="21"/>
        <v>0</v>
      </c>
      <c r="N254" s="3">
        <f t="shared" si="22"/>
        <v>247607.85</v>
      </c>
      <c r="O254" s="2">
        <f>SUM(Levy!F256:J256)</f>
        <v>8725894</v>
      </c>
      <c r="P254" s="2">
        <f>SUM(Levy!U256:V256)</f>
        <v>28558.989999999998</v>
      </c>
      <c r="Q254" s="2">
        <f t="shared" si="23"/>
        <v>8697335.0099999998</v>
      </c>
    </row>
    <row r="255" spans="1:17" x14ac:dyDescent="0.2">
      <c r="A255" s="4">
        <v>876</v>
      </c>
      <c r="B255" s="4">
        <v>1</v>
      </c>
      <c r="C255" s="2" t="s">
        <v>259</v>
      </c>
      <c r="D255" s="3">
        <f>SUM('Shift 14'!D254:L254)</f>
        <v>327555.05</v>
      </c>
      <c r="E255" s="3">
        <f>ROUND(MAX(0,(Levy!Q257+Data!D256+Data!E256-Levy!U257)*0.5),2)</f>
        <v>1025892.08</v>
      </c>
      <c r="F255" s="3">
        <f t="shared" si="18"/>
        <v>0</v>
      </c>
      <c r="G255" s="3">
        <f t="shared" si="19"/>
        <v>327555.05</v>
      </c>
      <c r="I255" s="3">
        <f>SUM('Shift 14'!M254:N254)</f>
        <v>0</v>
      </c>
      <c r="J255" s="3">
        <f>ROUND(MAX(0,(Levy!R257-Levy!V257)*0.5),2)</f>
        <v>76259.289999999994</v>
      </c>
      <c r="K255" s="3">
        <f t="shared" si="20"/>
        <v>0</v>
      </c>
      <c r="L255" s="3">
        <f t="shared" si="21"/>
        <v>0</v>
      </c>
      <c r="N255" s="3">
        <f t="shared" si="22"/>
        <v>327555.05</v>
      </c>
      <c r="O255" s="2">
        <f>SUM(Levy!F257:J257)</f>
        <v>2211795.2100000004</v>
      </c>
      <c r="P255" s="2">
        <f>SUM(Levy!U257:V257)</f>
        <v>7492.4900000000007</v>
      </c>
      <c r="Q255" s="2">
        <f t="shared" si="23"/>
        <v>2204302.7200000002</v>
      </c>
    </row>
    <row r="256" spans="1:17" x14ac:dyDescent="0.2">
      <c r="A256" s="4">
        <v>877</v>
      </c>
      <c r="B256" s="4">
        <v>1</v>
      </c>
      <c r="C256" s="2" t="s">
        <v>1005</v>
      </c>
      <c r="D256" s="3">
        <f>SUM('Shift 14'!D255:L255)</f>
        <v>518184.06</v>
      </c>
      <c r="E256" s="3">
        <f>ROUND(MAX(0,(Levy!Q258+Data!D257+Data!E257-Levy!U258)*0.5),2)</f>
        <v>2515438.7400000002</v>
      </c>
      <c r="F256" s="3">
        <f t="shared" si="18"/>
        <v>0</v>
      </c>
      <c r="G256" s="3">
        <f t="shared" si="19"/>
        <v>518184.06</v>
      </c>
      <c r="I256" s="3">
        <f>SUM('Shift 14'!M255:N255)</f>
        <v>0</v>
      </c>
      <c r="J256" s="3">
        <f>ROUND(MAX(0,(Levy!R258-Levy!V258)*0.5),2)</f>
        <v>238499.95</v>
      </c>
      <c r="K256" s="3">
        <f t="shared" si="20"/>
        <v>0</v>
      </c>
      <c r="L256" s="3">
        <f t="shared" si="21"/>
        <v>0</v>
      </c>
      <c r="N256" s="3">
        <f t="shared" si="22"/>
        <v>518184.06</v>
      </c>
      <c r="O256" s="2">
        <f>SUM(Levy!F258:J258)</f>
        <v>5520207.0100000007</v>
      </c>
      <c r="P256" s="2">
        <f>SUM(Levy!U258:V258)</f>
        <v>12329.640000000001</v>
      </c>
      <c r="Q256" s="2">
        <f t="shared" si="23"/>
        <v>5507877.370000001</v>
      </c>
    </row>
    <row r="257" spans="1:17" x14ac:dyDescent="0.2">
      <c r="A257" s="4">
        <v>879</v>
      </c>
      <c r="B257" s="4">
        <v>1</v>
      </c>
      <c r="C257" s="2" t="s">
        <v>261</v>
      </c>
      <c r="D257" s="3">
        <f>SUM('Shift 14'!D256:L256)</f>
        <v>179002.75</v>
      </c>
      <c r="E257" s="3">
        <f>ROUND(MAX(0,(Levy!Q259+Data!D258+Data!E258-Levy!U259)*0.5),2)</f>
        <v>1213949.56</v>
      </c>
      <c r="F257" s="3">
        <f t="shared" si="18"/>
        <v>0</v>
      </c>
      <c r="G257" s="3">
        <f t="shared" si="19"/>
        <v>179002.75</v>
      </c>
      <c r="I257" s="3">
        <f>SUM('Shift 14'!M256:N256)</f>
        <v>0</v>
      </c>
      <c r="J257" s="3">
        <f>ROUND(MAX(0,(Levy!R259-Levy!V259)*0.5),2)</f>
        <v>75332.899999999994</v>
      </c>
      <c r="K257" s="3">
        <f t="shared" si="20"/>
        <v>0</v>
      </c>
      <c r="L257" s="3">
        <f t="shared" si="21"/>
        <v>0</v>
      </c>
      <c r="N257" s="3">
        <f t="shared" si="22"/>
        <v>179002.75</v>
      </c>
      <c r="O257" s="2">
        <f>SUM(Levy!F259:J259)</f>
        <v>2583719.3199999998</v>
      </c>
      <c r="P257" s="2">
        <f>SUM(Levy!U259:V259)</f>
        <v>5154.4100000000008</v>
      </c>
      <c r="Q257" s="2">
        <f t="shared" si="23"/>
        <v>2578564.9099999997</v>
      </c>
    </row>
    <row r="258" spans="1:17" x14ac:dyDescent="0.2">
      <c r="A258" s="4">
        <v>881</v>
      </c>
      <c r="B258" s="4">
        <v>1</v>
      </c>
      <c r="C258" s="2" t="s">
        <v>262</v>
      </c>
      <c r="D258" s="3">
        <f>SUM('Shift 14'!D257:L257)</f>
        <v>152438.17000000001</v>
      </c>
      <c r="E258" s="3">
        <f>ROUND(MAX(0,(Levy!Q260+Data!D259+Data!E259-Levy!U260)*0.5),2)</f>
        <v>413460.43</v>
      </c>
      <c r="F258" s="3">
        <f t="shared" ref="F258:F321" si="24">IF(D258&gt;E258,D258-E258,0)</f>
        <v>0</v>
      </c>
      <c r="G258" s="3">
        <f t="shared" ref="G258:G321" si="25">MAX(0,MIN(D258,E258))</f>
        <v>152438.17000000001</v>
      </c>
      <c r="I258" s="3">
        <f>SUM('Shift 14'!M257:N257)</f>
        <v>0</v>
      </c>
      <c r="J258" s="3">
        <f>ROUND(MAX(0,(Levy!R260-Levy!V260)*0.5),2)</f>
        <v>33163.269999999997</v>
      </c>
      <c r="K258" s="3">
        <f t="shared" ref="K258:K321" si="26">IF(I258&gt;J258,I258-J258,0)</f>
        <v>0</v>
      </c>
      <c r="L258" s="3">
        <f t="shared" ref="L258:L321" si="27">MAX(0,MIN(I258,J258))</f>
        <v>0</v>
      </c>
      <c r="N258" s="3">
        <f t="shared" si="22"/>
        <v>152438.17000000001</v>
      </c>
      <c r="O258" s="2">
        <f>SUM(Levy!F260:J260)</f>
        <v>896765.49</v>
      </c>
      <c r="P258" s="2">
        <f>SUM(Levy!U260:V260)</f>
        <v>3518.11</v>
      </c>
      <c r="Q258" s="2">
        <f t="shared" si="23"/>
        <v>893247.38</v>
      </c>
    </row>
    <row r="259" spans="1:17" x14ac:dyDescent="0.2">
      <c r="A259" s="4">
        <v>882</v>
      </c>
      <c r="B259" s="4">
        <v>1</v>
      </c>
      <c r="C259" s="2" t="s">
        <v>263</v>
      </c>
      <c r="D259" s="3">
        <f>SUM('Shift 14'!D258:L258)</f>
        <v>696323.87</v>
      </c>
      <c r="E259" s="3">
        <f>ROUND(MAX(0,(Levy!Q261+Data!D260+Data!E260-Levy!U261)*0.5),2)</f>
        <v>2694646.13</v>
      </c>
      <c r="F259" s="3">
        <f t="shared" si="24"/>
        <v>0</v>
      </c>
      <c r="G259" s="3">
        <f t="shared" si="25"/>
        <v>696323.87</v>
      </c>
      <c r="I259" s="3">
        <f>SUM('Shift 14'!M258:N258)</f>
        <v>0</v>
      </c>
      <c r="J259" s="3">
        <f>ROUND(MAX(0,(Levy!R261-Levy!V261)*0.5),2)</f>
        <v>136491.57999999999</v>
      </c>
      <c r="K259" s="3">
        <f t="shared" si="26"/>
        <v>0</v>
      </c>
      <c r="L259" s="3">
        <f t="shared" si="27"/>
        <v>0</v>
      </c>
      <c r="N259" s="3">
        <f t="shared" si="22"/>
        <v>696323.87</v>
      </c>
      <c r="O259" s="2">
        <f>SUM(Levy!F261:J261)</f>
        <v>5667951.3600000003</v>
      </c>
      <c r="P259" s="2">
        <f>SUM(Levy!U261:V261)</f>
        <v>5675.9400000000005</v>
      </c>
      <c r="Q259" s="2">
        <f t="shared" si="23"/>
        <v>5662275.4199999999</v>
      </c>
    </row>
    <row r="260" spans="1:17" x14ac:dyDescent="0.2">
      <c r="A260" s="4">
        <v>883</v>
      </c>
      <c r="B260" s="4">
        <v>1</v>
      </c>
      <c r="C260" s="2" t="s">
        <v>264</v>
      </c>
      <c r="D260" s="3">
        <f>SUM('Shift 14'!D259:L259)</f>
        <v>108455.29</v>
      </c>
      <c r="E260" s="3">
        <f>ROUND(MAX(0,(Levy!Q262+Data!D261+Data!E261-Levy!U262)*0.5),2)</f>
        <v>757212.09</v>
      </c>
      <c r="F260" s="3">
        <f t="shared" si="24"/>
        <v>0</v>
      </c>
      <c r="G260" s="3">
        <f t="shared" si="25"/>
        <v>108455.29</v>
      </c>
      <c r="I260" s="3">
        <f>SUM('Shift 14'!M259:N259)</f>
        <v>0</v>
      </c>
      <c r="J260" s="3">
        <f>ROUND(MAX(0,(Levy!R262-Levy!V262)*0.5),2)</f>
        <v>58425.67</v>
      </c>
      <c r="K260" s="3">
        <f t="shared" si="26"/>
        <v>0</v>
      </c>
      <c r="L260" s="3">
        <f t="shared" si="27"/>
        <v>0</v>
      </c>
      <c r="N260" s="3">
        <f t="shared" si="22"/>
        <v>108455.29</v>
      </c>
      <c r="O260" s="2">
        <f>SUM(Levy!F262:J262)</f>
        <v>1632863.2600000002</v>
      </c>
      <c r="P260" s="2">
        <f>SUM(Levy!U262:V262)</f>
        <v>1587.7499999999998</v>
      </c>
      <c r="Q260" s="2">
        <f t="shared" si="23"/>
        <v>1631275.5100000002</v>
      </c>
    </row>
    <row r="261" spans="1:17" x14ac:dyDescent="0.2">
      <c r="A261" s="4">
        <v>885</v>
      </c>
      <c r="B261" s="4">
        <v>1</v>
      </c>
      <c r="C261" s="2" t="s">
        <v>1197</v>
      </c>
      <c r="D261" s="3">
        <f>SUM('Shift 14'!D260:L260)</f>
        <v>187834.71000000002</v>
      </c>
      <c r="E261" s="3">
        <f>ROUND(MAX(0,(Levy!Q263+Data!D262+Data!E262-Levy!U263)*0.5),2)</f>
        <v>1630305.96</v>
      </c>
      <c r="F261" s="3">
        <f t="shared" si="24"/>
        <v>0</v>
      </c>
      <c r="G261" s="3">
        <f t="shared" si="25"/>
        <v>187834.71000000002</v>
      </c>
      <c r="I261" s="3">
        <f>SUM('Shift 14'!M260:N260)</f>
        <v>0</v>
      </c>
      <c r="J261" s="3">
        <f>ROUND(MAX(0,(Levy!R263-Levy!V263)*0.5),2)</f>
        <v>124797.23</v>
      </c>
      <c r="K261" s="3">
        <f t="shared" si="26"/>
        <v>0</v>
      </c>
      <c r="L261" s="3">
        <f t="shared" si="27"/>
        <v>0</v>
      </c>
      <c r="N261" s="3">
        <f t="shared" si="22"/>
        <v>187834.71000000002</v>
      </c>
      <c r="O261" s="2">
        <f>SUM(Levy!F263:J263)</f>
        <v>3511753.8299999996</v>
      </c>
      <c r="P261" s="2">
        <f>SUM(Levy!U263:V263)</f>
        <v>1547.4600000000003</v>
      </c>
      <c r="Q261" s="2">
        <f t="shared" si="23"/>
        <v>3510206.3699999996</v>
      </c>
    </row>
    <row r="262" spans="1:17" x14ac:dyDescent="0.2">
      <c r="A262" s="4">
        <v>891</v>
      </c>
      <c r="B262" s="4">
        <v>1</v>
      </c>
      <c r="C262" s="2" t="s">
        <v>266</v>
      </c>
      <c r="D262" s="3">
        <f>SUM('Shift 14'!D261:L261)</f>
        <v>71152.350000000006</v>
      </c>
      <c r="E262" s="3">
        <f>ROUND(MAX(0,(Levy!Q264+Data!D263+Data!E263-Levy!U264)*0.5),2)</f>
        <v>252301.74</v>
      </c>
      <c r="F262" s="3">
        <f t="shared" si="24"/>
        <v>0</v>
      </c>
      <c r="G262" s="3">
        <f t="shared" si="25"/>
        <v>71152.350000000006</v>
      </c>
      <c r="I262" s="3">
        <f>SUM('Shift 14'!M261:N261)</f>
        <v>0</v>
      </c>
      <c r="J262" s="3">
        <f>ROUND(MAX(0,(Levy!R264-Levy!V264)*0.5),2)</f>
        <v>14580.4</v>
      </c>
      <c r="K262" s="3">
        <f t="shared" si="26"/>
        <v>0</v>
      </c>
      <c r="L262" s="3">
        <f t="shared" si="27"/>
        <v>0</v>
      </c>
      <c r="N262" s="3">
        <f t="shared" ref="N262:N325" si="28">G262+L262</f>
        <v>71152.350000000006</v>
      </c>
      <c r="O262" s="2">
        <f>SUM(Levy!F264:J264)</f>
        <v>555060</v>
      </c>
      <c r="P262" s="2">
        <f>SUM(Levy!U264:V264)</f>
        <v>21295.73</v>
      </c>
      <c r="Q262" s="2">
        <f t="shared" ref="Q262:Q325" si="29">O262-P262</f>
        <v>533764.27</v>
      </c>
    </row>
    <row r="263" spans="1:17" x14ac:dyDescent="0.2">
      <c r="A263" s="4">
        <v>911</v>
      </c>
      <c r="B263" s="4">
        <v>1</v>
      </c>
      <c r="C263" s="2" t="s">
        <v>267</v>
      </c>
      <c r="D263" s="3">
        <f>SUM('Shift 14'!D262:L262)</f>
        <v>288753.83</v>
      </c>
      <c r="E263" s="3">
        <f>ROUND(MAX(0,(Levy!Q265+Data!D264+Data!E264-Levy!U265)*0.5),2)</f>
        <v>1527848.98</v>
      </c>
      <c r="F263" s="3">
        <f t="shared" si="24"/>
        <v>0</v>
      </c>
      <c r="G263" s="3">
        <f t="shared" si="25"/>
        <v>288753.83</v>
      </c>
      <c r="I263" s="3">
        <f>SUM('Shift 14'!M262:N262)</f>
        <v>0</v>
      </c>
      <c r="J263" s="3">
        <f>ROUND(MAX(0,(Levy!R265-Levy!V265)*0.5),2)</f>
        <v>156373.82</v>
      </c>
      <c r="K263" s="3">
        <f t="shared" si="26"/>
        <v>0</v>
      </c>
      <c r="L263" s="3">
        <f t="shared" si="27"/>
        <v>0</v>
      </c>
      <c r="N263" s="3">
        <f t="shared" si="28"/>
        <v>288753.83</v>
      </c>
      <c r="O263" s="2">
        <f>SUM(Levy!F265:J265)</f>
        <v>3390693.17</v>
      </c>
      <c r="P263" s="2">
        <f>SUM(Levy!U265:V265)</f>
        <v>22247.579999999994</v>
      </c>
      <c r="Q263" s="2">
        <f t="shared" si="29"/>
        <v>3368445.59</v>
      </c>
    </row>
    <row r="264" spans="1:17" x14ac:dyDescent="0.2">
      <c r="A264" s="4">
        <v>912</v>
      </c>
      <c r="B264" s="4">
        <v>1</v>
      </c>
      <c r="C264" s="2" t="s">
        <v>268</v>
      </c>
      <c r="D264" s="3">
        <f>SUM('Shift 14'!D263:L263)</f>
        <v>85008.45</v>
      </c>
      <c r="E264" s="3">
        <f>ROUND(MAX(0,(Levy!Q266+Data!D265+Data!E265-Levy!U266)*0.5),2)</f>
        <v>238593.95</v>
      </c>
      <c r="F264" s="3">
        <f t="shared" si="24"/>
        <v>0</v>
      </c>
      <c r="G264" s="3">
        <f t="shared" si="25"/>
        <v>85008.45</v>
      </c>
      <c r="I264" s="3">
        <f>SUM('Shift 14'!M263:N263)</f>
        <v>0</v>
      </c>
      <c r="J264" s="3">
        <f>ROUND(MAX(0,(Levy!R266-Levy!V266)*0.5),2)</f>
        <v>48085.97</v>
      </c>
      <c r="K264" s="3">
        <f t="shared" si="26"/>
        <v>0</v>
      </c>
      <c r="L264" s="3">
        <f t="shared" si="27"/>
        <v>0</v>
      </c>
      <c r="N264" s="3">
        <f t="shared" si="28"/>
        <v>85008.45</v>
      </c>
      <c r="O264" s="2">
        <f>SUM(Levy!F266:J266)</f>
        <v>579952.31000000006</v>
      </c>
      <c r="P264" s="2">
        <f>SUM(Levy!U266:V266)</f>
        <v>6592.48</v>
      </c>
      <c r="Q264" s="2">
        <f t="shared" si="29"/>
        <v>573359.83000000007</v>
      </c>
    </row>
    <row r="265" spans="1:17" x14ac:dyDescent="0.2">
      <c r="A265" s="4">
        <v>914</v>
      </c>
      <c r="B265" s="4">
        <v>1</v>
      </c>
      <c r="C265" s="2" t="s">
        <v>269</v>
      </c>
      <c r="D265" s="3">
        <f>SUM('Shift 14'!D264:L264)</f>
        <v>103167.40000000001</v>
      </c>
      <c r="E265" s="3">
        <f>ROUND(MAX(0,(Levy!Q267+Data!D266+Data!E266-Levy!U267)*0.5),2)</f>
        <v>247382.11</v>
      </c>
      <c r="F265" s="3">
        <f t="shared" si="24"/>
        <v>0</v>
      </c>
      <c r="G265" s="3">
        <f t="shared" si="25"/>
        <v>103167.40000000001</v>
      </c>
      <c r="I265" s="3">
        <f>SUM('Shift 14'!M264:N264)</f>
        <v>0</v>
      </c>
      <c r="J265" s="3">
        <f>ROUND(MAX(0,(Levy!R267-Levy!V267)*0.5),2)</f>
        <v>10076.719999999999</v>
      </c>
      <c r="K265" s="3">
        <f t="shared" si="26"/>
        <v>0</v>
      </c>
      <c r="L265" s="3">
        <f t="shared" si="27"/>
        <v>0</v>
      </c>
      <c r="N265" s="3">
        <f t="shared" si="28"/>
        <v>103167.40000000001</v>
      </c>
      <c r="O265" s="2">
        <f>SUM(Levy!F267:J267)</f>
        <v>517208.64999999997</v>
      </c>
      <c r="P265" s="2">
        <f>SUM(Levy!U267:V267)</f>
        <v>2291</v>
      </c>
      <c r="Q265" s="2">
        <f t="shared" si="29"/>
        <v>514917.64999999997</v>
      </c>
    </row>
    <row r="266" spans="1:17" x14ac:dyDescent="0.2">
      <c r="A266" s="4">
        <v>2071</v>
      </c>
      <c r="B266" s="4">
        <v>1</v>
      </c>
      <c r="C266" s="2" t="s">
        <v>1166</v>
      </c>
      <c r="D266" s="3">
        <f>SUM('Shift 14'!D265:L265)</f>
        <v>234725.25</v>
      </c>
      <c r="E266" s="3">
        <f>ROUND(MAX(0,(Levy!Q268+Data!D267+Data!E267-Levy!U268)*0.5),2)</f>
        <v>578359.07999999996</v>
      </c>
      <c r="F266" s="3">
        <f t="shared" si="24"/>
        <v>0</v>
      </c>
      <c r="G266" s="3">
        <f t="shared" si="25"/>
        <v>234725.25</v>
      </c>
      <c r="I266" s="3">
        <f>SUM('Shift 14'!M265:N265)</f>
        <v>0</v>
      </c>
      <c r="J266" s="3">
        <f>ROUND(MAX(0,(Levy!R268-Levy!V268)*0.5),2)</f>
        <v>44808.14</v>
      </c>
      <c r="K266" s="3">
        <f t="shared" si="26"/>
        <v>0</v>
      </c>
      <c r="L266" s="3">
        <f t="shared" si="27"/>
        <v>0</v>
      </c>
      <c r="N266" s="3">
        <f t="shared" si="28"/>
        <v>234725.25</v>
      </c>
      <c r="O266" s="2">
        <f>SUM(Levy!F268:J268)</f>
        <v>1257578.4200000002</v>
      </c>
      <c r="P266" s="2">
        <f>SUM(Levy!U268:V268)</f>
        <v>11243.979999999998</v>
      </c>
      <c r="Q266" s="2">
        <f t="shared" si="29"/>
        <v>1246334.4400000002</v>
      </c>
    </row>
    <row r="267" spans="1:17" x14ac:dyDescent="0.2">
      <c r="A267" s="4">
        <v>2125</v>
      </c>
      <c r="B267" s="4">
        <v>1</v>
      </c>
      <c r="C267" s="2" t="s">
        <v>271</v>
      </c>
      <c r="D267" s="3">
        <f>SUM('Shift 14'!D266:L266)</f>
        <v>132646.76</v>
      </c>
      <c r="E267" s="3">
        <f>ROUND(MAX(0,(Levy!Q269+Data!D268+Data!E268-Levy!U269)*0.5),2)</f>
        <v>378192.63</v>
      </c>
      <c r="F267" s="3">
        <f t="shared" si="24"/>
        <v>0</v>
      </c>
      <c r="G267" s="3">
        <f t="shared" si="25"/>
        <v>132646.76</v>
      </c>
      <c r="I267" s="3">
        <f>SUM('Shift 14'!M266:N266)</f>
        <v>0</v>
      </c>
      <c r="J267" s="3">
        <f>ROUND(MAX(0,(Levy!R269-Levy!V269)*0.5),2)</f>
        <v>54753.81</v>
      </c>
      <c r="K267" s="3">
        <f t="shared" si="26"/>
        <v>0</v>
      </c>
      <c r="L267" s="3">
        <f t="shared" si="27"/>
        <v>0</v>
      </c>
      <c r="N267" s="3">
        <f t="shared" si="28"/>
        <v>132646.76</v>
      </c>
      <c r="O267" s="2">
        <f>SUM(Levy!F269:J269)</f>
        <v>894155.88000000012</v>
      </c>
      <c r="P267" s="2">
        <f>SUM(Levy!U269:V269)</f>
        <v>28263</v>
      </c>
      <c r="Q267" s="2">
        <f t="shared" si="29"/>
        <v>865892.88000000012</v>
      </c>
    </row>
    <row r="268" spans="1:17" x14ac:dyDescent="0.2">
      <c r="A268" s="4">
        <v>2134</v>
      </c>
      <c r="B268" s="4">
        <v>1</v>
      </c>
      <c r="C268" s="2" t="s">
        <v>1165</v>
      </c>
      <c r="D268" s="3">
        <f>SUM('Shift 14'!D267:L267)</f>
        <v>265464.5</v>
      </c>
      <c r="E268" s="3">
        <f>ROUND(MAX(0,(Levy!Q270+Data!D269+Data!E269-Levy!U270)*0.5),2)</f>
        <v>572386.67000000004</v>
      </c>
      <c r="F268" s="3">
        <f t="shared" si="24"/>
        <v>0</v>
      </c>
      <c r="G268" s="3">
        <f t="shared" si="25"/>
        <v>265464.5</v>
      </c>
      <c r="I268" s="3">
        <f>SUM('Shift 14'!M267:N267)</f>
        <v>0</v>
      </c>
      <c r="J268" s="3">
        <f>ROUND(MAX(0,(Levy!R270-Levy!V270)*0.5),2)</f>
        <v>41146.050000000003</v>
      </c>
      <c r="K268" s="3">
        <f t="shared" si="26"/>
        <v>0</v>
      </c>
      <c r="L268" s="3">
        <f t="shared" si="27"/>
        <v>0</v>
      </c>
      <c r="N268" s="3">
        <f t="shared" si="28"/>
        <v>265464.5</v>
      </c>
      <c r="O268" s="2">
        <f>SUM(Levy!F270:J270)</f>
        <v>1234464.46</v>
      </c>
      <c r="P268" s="2">
        <f>SUM(Levy!U270:V270)</f>
        <v>7399.03</v>
      </c>
      <c r="Q268" s="2">
        <f t="shared" si="29"/>
        <v>1227065.43</v>
      </c>
    </row>
    <row r="269" spans="1:17" x14ac:dyDescent="0.2">
      <c r="A269" s="4">
        <v>2135</v>
      </c>
      <c r="B269" s="4">
        <v>1</v>
      </c>
      <c r="C269" s="2" t="s">
        <v>273</v>
      </c>
      <c r="D269" s="3">
        <f>SUM('Shift 14'!D268:L268)</f>
        <v>227761.67999999996</v>
      </c>
      <c r="E269" s="3">
        <f>ROUND(MAX(0,(Levy!Q271+Data!D270+Data!E270-Levy!U271)*0.5),2)</f>
        <v>616293.91</v>
      </c>
      <c r="F269" s="3">
        <f t="shared" si="24"/>
        <v>0</v>
      </c>
      <c r="G269" s="3">
        <f t="shared" si="25"/>
        <v>227761.67999999996</v>
      </c>
      <c r="I269" s="3">
        <f>SUM('Shift 14'!M268:N268)</f>
        <v>0</v>
      </c>
      <c r="J269" s="3">
        <f>ROUND(MAX(0,(Levy!R271-Levy!V271)*0.5),2)</f>
        <v>43678.6</v>
      </c>
      <c r="K269" s="3">
        <f t="shared" si="26"/>
        <v>0</v>
      </c>
      <c r="L269" s="3">
        <f t="shared" si="27"/>
        <v>0</v>
      </c>
      <c r="N269" s="3">
        <f t="shared" si="28"/>
        <v>227761.67999999996</v>
      </c>
      <c r="O269" s="2">
        <f>SUM(Levy!F271:J271)</f>
        <v>1358504.1500000001</v>
      </c>
      <c r="P269" s="2">
        <f>SUM(Levy!U271:V271)</f>
        <v>38559.129999999997</v>
      </c>
      <c r="Q269" s="2">
        <f t="shared" si="29"/>
        <v>1319945.0200000003</v>
      </c>
    </row>
    <row r="270" spans="1:17" x14ac:dyDescent="0.2">
      <c r="A270" s="4">
        <v>2137</v>
      </c>
      <c r="B270" s="4">
        <v>1</v>
      </c>
      <c r="C270" s="2" t="s">
        <v>274</v>
      </c>
      <c r="D270" s="3">
        <f>SUM('Shift 14'!D269:L269)</f>
        <v>76949.009999999995</v>
      </c>
      <c r="E270" s="3">
        <f>ROUND(MAX(0,(Levy!Q272+Data!D271+Data!E271-Levy!U272)*0.5),2)</f>
        <v>349665.04</v>
      </c>
      <c r="F270" s="3">
        <f t="shared" si="24"/>
        <v>0</v>
      </c>
      <c r="G270" s="3">
        <f t="shared" si="25"/>
        <v>76949.009999999995</v>
      </c>
      <c r="I270" s="3">
        <f>SUM('Shift 14'!M269:N269)</f>
        <v>0</v>
      </c>
      <c r="J270" s="3">
        <f>ROUND(MAX(0,(Levy!R272-Levy!V272)*0.5),2)</f>
        <v>34557.14</v>
      </c>
      <c r="K270" s="3">
        <f t="shared" si="26"/>
        <v>0</v>
      </c>
      <c r="L270" s="3">
        <f t="shared" si="27"/>
        <v>0</v>
      </c>
      <c r="N270" s="3">
        <f t="shared" si="28"/>
        <v>76949.009999999995</v>
      </c>
      <c r="O270" s="2">
        <f>SUM(Levy!F272:J272)</f>
        <v>789587</v>
      </c>
      <c r="P270" s="2">
        <f>SUM(Levy!U272:V272)</f>
        <v>21142.639999999999</v>
      </c>
      <c r="Q270" s="2">
        <f t="shared" si="29"/>
        <v>768444.36</v>
      </c>
    </row>
    <row r="271" spans="1:17" x14ac:dyDescent="0.2">
      <c r="A271" s="4">
        <v>2142</v>
      </c>
      <c r="B271" s="4">
        <v>1</v>
      </c>
      <c r="C271" s="2" t="s">
        <v>275</v>
      </c>
      <c r="D271" s="3">
        <f>SUM('Shift 14'!D270:L270)</f>
        <v>573466.24</v>
      </c>
      <c r="E271" s="3">
        <f>ROUND(MAX(0,(Levy!Q273+Data!D272+Data!E272-Levy!U273)*0.5),2)</f>
        <v>1096324.8700000001</v>
      </c>
      <c r="F271" s="3">
        <f t="shared" si="24"/>
        <v>0</v>
      </c>
      <c r="G271" s="3">
        <f t="shared" si="25"/>
        <v>573466.24</v>
      </c>
      <c r="I271" s="3">
        <f>SUM('Shift 14'!M270:N270)</f>
        <v>0</v>
      </c>
      <c r="J271" s="3">
        <f>ROUND(MAX(0,(Levy!R273-Levy!V273)*0.5),2)</f>
        <v>0</v>
      </c>
      <c r="K271" s="3">
        <f t="shared" si="26"/>
        <v>0</v>
      </c>
      <c r="L271" s="3">
        <f t="shared" si="27"/>
        <v>0</v>
      </c>
      <c r="N271" s="3">
        <f t="shared" si="28"/>
        <v>573466.24</v>
      </c>
      <c r="O271" s="2">
        <f>SUM(Levy!F273:J273)</f>
        <v>2306199.2999999998</v>
      </c>
      <c r="P271" s="2">
        <f>SUM(Levy!U273:V273)</f>
        <v>113549.57</v>
      </c>
      <c r="Q271" s="2">
        <f t="shared" si="29"/>
        <v>2192649.73</v>
      </c>
    </row>
    <row r="272" spans="1:17" x14ac:dyDescent="0.2">
      <c r="A272" s="4">
        <v>2143</v>
      </c>
      <c r="B272" s="4">
        <v>1</v>
      </c>
      <c r="C272" s="2" t="s">
        <v>1164</v>
      </c>
      <c r="D272" s="3">
        <f>SUM('Shift 14'!D271:L271)</f>
        <v>90017.790000000008</v>
      </c>
      <c r="E272" s="3">
        <f>ROUND(MAX(0,(Levy!Q274+Data!D273+Data!E273-Levy!U274)*0.5),2)</f>
        <v>786306.87</v>
      </c>
      <c r="F272" s="3">
        <f t="shared" si="24"/>
        <v>0</v>
      </c>
      <c r="G272" s="3">
        <f t="shared" si="25"/>
        <v>90017.790000000008</v>
      </c>
      <c r="I272" s="3">
        <f>SUM('Shift 14'!M271:N271)</f>
        <v>0</v>
      </c>
      <c r="J272" s="3">
        <f>ROUND(MAX(0,(Levy!R274-Levy!V274)*0.5),2)</f>
        <v>40626.61</v>
      </c>
      <c r="K272" s="3">
        <f t="shared" si="26"/>
        <v>0</v>
      </c>
      <c r="L272" s="3">
        <f t="shared" si="27"/>
        <v>0</v>
      </c>
      <c r="N272" s="3">
        <f t="shared" si="28"/>
        <v>90017.790000000008</v>
      </c>
      <c r="O272" s="2">
        <f>SUM(Levy!F274:J274)</f>
        <v>1681473.44</v>
      </c>
      <c r="P272" s="2">
        <f>SUM(Levy!U274:V274)</f>
        <v>27606.48</v>
      </c>
      <c r="Q272" s="2">
        <f t="shared" si="29"/>
        <v>1653866.96</v>
      </c>
    </row>
    <row r="273" spans="1:17" x14ac:dyDescent="0.2">
      <c r="A273" s="4">
        <v>2144</v>
      </c>
      <c r="B273" s="4">
        <v>1</v>
      </c>
      <c r="C273" s="2" t="s">
        <v>277</v>
      </c>
      <c r="D273" s="3">
        <f>SUM('Shift 14'!D272:L272)</f>
        <v>260690.69000000003</v>
      </c>
      <c r="E273" s="3">
        <f>ROUND(MAX(0,(Levy!Q275+Data!D274+Data!E274-Levy!U275)*0.5),2)</f>
        <v>2096480.96</v>
      </c>
      <c r="F273" s="3">
        <f t="shared" si="24"/>
        <v>0</v>
      </c>
      <c r="G273" s="3">
        <f t="shared" si="25"/>
        <v>260690.69000000003</v>
      </c>
      <c r="I273" s="3">
        <f>SUM('Shift 14'!M272:N272)</f>
        <v>0</v>
      </c>
      <c r="J273" s="3">
        <f>ROUND(MAX(0,(Levy!R275-Levy!V275)*0.5),2)</f>
        <v>139301.31</v>
      </c>
      <c r="K273" s="3">
        <f t="shared" si="26"/>
        <v>0</v>
      </c>
      <c r="L273" s="3">
        <f t="shared" si="27"/>
        <v>0</v>
      </c>
      <c r="N273" s="3">
        <f t="shared" si="28"/>
        <v>260690.69000000003</v>
      </c>
      <c r="O273" s="2">
        <f>SUM(Levy!F275:J275)</f>
        <v>4481429.63</v>
      </c>
      <c r="P273" s="2">
        <f>SUM(Levy!U275:V275)</f>
        <v>9865.1099999999988</v>
      </c>
      <c r="Q273" s="2">
        <f t="shared" si="29"/>
        <v>4471564.5199999996</v>
      </c>
    </row>
    <row r="274" spans="1:17" x14ac:dyDescent="0.2">
      <c r="A274" s="4">
        <v>2149</v>
      </c>
      <c r="B274" s="4">
        <v>1</v>
      </c>
      <c r="C274" s="2" t="s">
        <v>278</v>
      </c>
      <c r="D274" s="3">
        <f>SUM('Shift 14'!D273:L273)</f>
        <v>140437.72000000003</v>
      </c>
      <c r="E274" s="3">
        <f>ROUND(MAX(0,(Levy!Q276+Data!D275+Data!E275-Levy!U276)*0.5),2)</f>
        <v>807172.08</v>
      </c>
      <c r="F274" s="3">
        <f t="shared" si="24"/>
        <v>0</v>
      </c>
      <c r="G274" s="3">
        <f t="shared" si="25"/>
        <v>140437.72000000003</v>
      </c>
      <c r="I274" s="3">
        <f>SUM('Shift 14'!M273:N273)</f>
        <v>0</v>
      </c>
      <c r="J274" s="3">
        <f>ROUND(MAX(0,(Levy!R276-Levy!V276)*0.5),2)</f>
        <v>64212.97</v>
      </c>
      <c r="K274" s="3">
        <f t="shared" si="26"/>
        <v>0</v>
      </c>
      <c r="L274" s="3">
        <f t="shared" si="27"/>
        <v>0</v>
      </c>
      <c r="N274" s="3">
        <f t="shared" si="28"/>
        <v>140437.72000000003</v>
      </c>
      <c r="O274" s="2">
        <f>SUM(Levy!F276:J276)</f>
        <v>1763607</v>
      </c>
      <c r="P274" s="2">
        <f>SUM(Levy!U276:V276)</f>
        <v>20836.909999999996</v>
      </c>
      <c r="Q274" s="2">
        <f t="shared" si="29"/>
        <v>1742770.09</v>
      </c>
    </row>
    <row r="275" spans="1:17" x14ac:dyDescent="0.2">
      <c r="A275" s="4">
        <v>2154</v>
      </c>
      <c r="B275" s="4">
        <v>1</v>
      </c>
      <c r="C275" s="2" t="s">
        <v>279</v>
      </c>
      <c r="D275" s="3">
        <f>SUM('Shift 14'!D274:L274)</f>
        <v>190633.46</v>
      </c>
      <c r="E275" s="3">
        <f>ROUND(MAX(0,(Levy!Q277+Data!D276+Data!E276-Levy!U277)*0.5),2)</f>
        <v>236884.06</v>
      </c>
      <c r="F275" s="3">
        <f t="shared" si="24"/>
        <v>0</v>
      </c>
      <c r="G275" s="3">
        <f t="shared" si="25"/>
        <v>190633.46</v>
      </c>
      <c r="I275" s="3">
        <f>SUM('Shift 14'!M274:N274)</f>
        <v>0</v>
      </c>
      <c r="J275" s="3">
        <f>ROUND(MAX(0,(Levy!R277-Levy!V277)*0.5),2)</f>
        <v>0</v>
      </c>
      <c r="K275" s="3">
        <f t="shared" si="26"/>
        <v>0</v>
      </c>
      <c r="L275" s="3">
        <f t="shared" si="27"/>
        <v>0</v>
      </c>
      <c r="N275" s="3">
        <f t="shared" si="28"/>
        <v>190633.46</v>
      </c>
      <c r="O275" s="2">
        <f>SUM(Levy!F277:J277)</f>
        <v>473827.91</v>
      </c>
      <c r="P275" s="2">
        <f>SUM(Levy!U277:V277)</f>
        <v>59.79</v>
      </c>
      <c r="Q275" s="2">
        <f t="shared" si="29"/>
        <v>473768.12</v>
      </c>
    </row>
    <row r="276" spans="1:17" x14ac:dyDescent="0.2">
      <c r="A276" s="4">
        <v>2155</v>
      </c>
      <c r="B276" s="4">
        <v>1</v>
      </c>
      <c r="C276" s="2" t="s">
        <v>1163</v>
      </c>
      <c r="D276" s="3">
        <f>SUM('Shift 14'!D275:L275)</f>
        <v>64073.770000000004</v>
      </c>
      <c r="E276" s="3">
        <f>ROUND(MAX(0,(Levy!Q278+Data!D277+Data!E277-Levy!U278)*0.5),2)</f>
        <v>367853.68</v>
      </c>
      <c r="F276" s="3">
        <f t="shared" si="24"/>
        <v>0</v>
      </c>
      <c r="G276" s="3">
        <f t="shared" si="25"/>
        <v>64073.770000000004</v>
      </c>
      <c r="I276" s="3">
        <f>SUM('Shift 14'!M275:N275)</f>
        <v>0</v>
      </c>
      <c r="J276" s="3">
        <f>ROUND(MAX(0,(Levy!R278-Levy!V278)*0.5),2)</f>
        <v>12958.62</v>
      </c>
      <c r="K276" s="3">
        <f t="shared" si="26"/>
        <v>0</v>
      </c>
      <c r="L276" s="3">
        <f t="shared" si="27"/>
        <v>0</v>
      </c>
      <c r="N276" s="3">
        <f t="shared" si="28"/>
        <v>64073.770000000004</v>
      </c>
      <c r="O276" s="2">
        <f>SUM(Levy!F278:J278)</f>
        <v>775377</v>
      </c>
      <c r="P276" s="2">
        <f>SUM(Levy!U278:V278)</f>
        <v>13752.409999999998</v>
      </c>
      <c r="Q276" s="2">
        <f t="shared" si="29"/>
        <v>761624.59</v>
      </c>
    </row>
    <row r="277" spans="1:17" x14ac:dyDescent="0.2">
      <c r="A277" s="4">
        <v>2159</v>
      </c>
      <c r="B277" s="4">
        <v>1</v>
      </c>
      <c r="C277" s="2" t="s">
        <v>1162</v>
      </c>
      <c r="D277" s="3">
        <f>SUM('Shift 14'!D276:L276)</f>
        <v>138925.14000000001</v>
      </c>
      <c r="E277" s="3">
        <f>ROUND(MAX(0,(Levy!Q279+Data!D278+Data!E278-Levy!U279)*0.5),2)</f>
        <v>438128.03</v>
      </c>
      <c r="F277" s="3">
        <f t="shared" si="24"/>
        <v>0</v>
      </c>
      <c r="G277" s="3">
        <f t="shared" si="25"/>
        <v>138925.14000000001</v>
      </c>
      <c r="I277" s="3">
        <f>SUM('Shift 14'!M276:N276)</f>
        <v>0</v>
      </c>
      <c r="J277" s="3">
        <f>ROUND(MAX(0,(Levy!R279-Levy!V279)*0.5),2)</f>
        <v>19377.97</v>
      </c>
      <c r="K277" s="3">
        <f t="shared" si="26"/>
        <v>0</v>
      </c>
      <c r="L277" s="3">
        <f t="shared" si="27"/>
        <v>0</v>
      </c>
      <c r="N277" s="3">
        <f t="shared" si="28"/>
        <v>138925.14000000001</v>
      </c>
      <c r="O277" s="2">
        <f>SUM(Levy!F279:J279)</f>
        <v>944199.85</v>
      </c>
      <c r="P277" s="2">
        <f>SUM(Levy!U279:V279)</f>
        <v>29187.870000000003</v>
      </c>
      <c r="Q277" s="2">
        <f t="shared" si="29"/>
        <v>915011.98</v>
      </c>
    </row>
    <row r="278" spans="1:17" x14ac:dyDescent="0.2">
      <c r="A278" s="4">
        <v>2164</v>
      </c>
      <c r="B278" s="4">
        <v>1</v>
      </c>
      <c r="C278" s="2" t="s">
        <v>1161</v>
      </c>
      <c r="D278" s="3">
        <f>SUM('Shift 14'!D277:L277)</f>
        <v>85094.510000000009</v>
      </c>
      <c r="E278" s="3">
        <f>ROUND(MAX(0,(Levy!Q280+Data!D279+Data!E279-Levy!U280)*0.5),2)</f>
        <v>390849.54</v>
      </c>
      <c r="F278" s="3">
        <f t="shared" si="24"/>
        <v>0</v>
      </c>
      <c r="G278" s="3">
        <f t="shared" si="25"/>
        <v>85094.510000000009</v>
      </c>
      <c r="I278" s="3">
        <f>SUM('Shift 14'!M277:N277)</f>
        <v>0</v>
      </c>
      <c r="J278" s="3">
        <f>ROUND(MAX(0,(Levy!R280-Levy!V280)*0.5),2)</f>
        <v>38379.550000000003</v>
      </c>
      <c r="K278" s="3">
        <f t="shared" si="26"/>
        <v>0</v>
      </c>
      <c r="L278" s="3">
        <f t="shared" si="27"/>
        <v>0</v>
      </c>
      <c r="N278" s="3">
        <f t="shared" si="28"/>
        <v>85094.510000000009</v>
      </c>
      <c r="O278" s="2">
        <f>SUM(Levy!F280:J280)</f>
        <v>876405.2699999999</v>
      </c>
      <c r="P278" s="2">
        <f>SUM(Levy!U280:V280)</f>
        <v>17947.09</v>
      </c>
      <c r="Q278" s="2">
        <f t="shared" si="29"/>
        <v>858458.17999999993</v>
      </c>
    </row>
    <row r="279" spans="1:17" x14ac:dyDescent="0.2">
      <c r="A279" s="4">
        <v>2165</v>
      </c>
      <c r="B279" s="4">
        <v>1</v>
      </c>
      <c r="C279" s="2" t="s">
        <v>1160</v>
      </c>
      <c r="D279" s="3">
        <f>SUM('Shift 14'!D278:L278)</f>
        <v>86166.92</v>
      </c>
      <c r="E279" s="3">
        <f>ROUND(MAX(0,(Levy!Q281+Data!D280+Data!E280-Levy!U281)*0.5),2)</f>
        <v>259457.21</v>
      </c>
      <c r="F279" s="3">
        <f t="shared" si="24"/>
        <v>0</v>
      </c>
      <c r="G279" s="3">
        <f t="shared" si="25"/>
        <v>86166.92</v>
      </c>
      <c r="I279" s="3">
        <f>SUM('Shift 14'!M278:N278)</f>
        <v>0</v>
      </c>
      <c r="J279" s="3">
        <f>ROUND(MAX(0,(Levy!R281-Levy!V281)*0.5),2)</f>
        <v>40800.089999999997</v>
      </c>
      <c r="K279" s="3">
        <f t="shared" si="26"/>
        <v>0</v>
      </c>
      <c r="L279" s="3">
        <f t="shared" si="27"/>
        <v>0</v>
      </c>
      <c r="N279" s="3">
        <f t="shared" si="28"/>
        <v>86166.92</v>
      </c>
      <c r="O279" s="2">
        <f>SUM(Levy!F281:J281)</f>
        <v>607995.07000000007</v>
      </c>
      <c r="P279" s="2">
        <f>SUM(Levy!U281:V281)</f>
        <v>7480.4699999999993</v>
      </c>
      <c r="Q279" s="2">
        <f t="shared" si="29"/>
        <v>600514.60000000009</v>
      </c>
    </row>
    <row r="280" spans="1:17" x14ac:dyDescent="0.2">
      <c r="A280" s="4">
        <v>2167</v>
      </c>
      <c r="B280" s="4">
        <v>1</v>
      </c>
      <c r="C280" s="2" t="s">
        <v>284</v>
      </c>
      <c r="D280" s="3">
        <f>SUM('Shift 14'!D279:L279)</f>
        <v>51953.33</v>
      </c>
      <c r="E280" s="3">
        <f>ROUND(MAX(0,(Levy!Q282+Data!D281+Data!E281-Levy!U282)*0.5),2)</f>
        <v>262563.06</v>
      </c>
      <c r="F280" s="3">
        <f t="shared" si="24"/>
        <v>0</v>
      </c>
      <c r="G280" s="3">
        <f t="shared" si="25"/>
        <v>51953.33</v>
      </c>
      <c r="I280" s="3">
        <f>SUM('Shift 14'!M279:N279)</f>
        <v>0</v>
      </c>
      <c r="J280" s="3">
        <f>ROUND(MAX(0,(Levy!R282-Levy!V282)*0.5),2)</f>
        <v>23052.880000000001</v>
      </c>
      <c r="K280" s="3">
        <f t="shared" si="26"/>
        <v>0</v>
      </c>
      <c r="L280" s="3">
        <f t="shared" si="27"/>
        <v>0</v>
      </c>
      <c r="N280" s="3">
        <f t="shared" si="28"/>
        <v>51953.33</v>
      </c>
      <c r="O280" s="2">
        <f>SUM(Levy!F282:J282)</f>
        <v>576958</v>
      </c>
      <c r="P280" s="2">
        <f>SUM(Levy!U282:V282)</f>
        <v>5726.13</v>
      </c>
      <c r="Q280" s="2">
        <f t="shared" si="29"/>
        <v>571231.87</v>
      </c>
    </row>
    <row r="281" spans="1:17" x14ac:dyDescent="0.2">
      <c r="A281" s="4">
        <v>2168</v>
      </c>
      <c r="B281" s="4">
        <v>1</v>
      </c>
      <c r="C281" s="2" t="s">
        <v>285</v>
      </c>
      <c r="D281" s="3">
        <f>SUM('Shift 14'!D280:L280)</f>
        <v>102088.51</v>
      </c>
      <c r="E281" s="3">
        <f>ROUND(MAX(0,(Levy!Q283+Data!D282+Data!E282-Levy!U283)*0.5),2)</f>
        <v>359830.57</v>
      </c>
      <c r="F281" s="3">
        <f t="shared" si="24"/>
        <v>0</v>
      </c>
      <c r="G281" s="3">
        <f t="shared" si="25"/>
        <v>102088.51</v>
      </c>
      <c r="I281" s="3">
        <f>SUM('Shift 14'!M280:N280)</f>
        <v>0</v>
      </c>
      <c r="J281" s="3">
        <f>ROUND(MAX(0,(Levy!R283-Levy!V283)*0.5),2)</f>
        <v>29977.48</v>
      </c>
      <c r="K281" s="3">
        <f t="shared" si="26"/>
        <v>0</v>
      </c>
      <c r="L281" s="3">
        <f t="shared" si="27"/>
        <v>0</v>
      </c>
      <c r="N281" s="3">
        <f t="shared" si="28"/>
        <v>102088.51</v>
      </c>
      <c r="O281" s="2">
        <f>SUM(Levy!F283:J283)</f>
        <v>789889</v>
      </c>
      <c r="P281" s="2">
        <f>SUM(Levy!U283:V283)</f>
        <v>10272.910000000002</v>
      </c>
      <c r="Q281" s="2">
        <f t="shared" si="29"/>
        <v>779616.09</v>
      </c>
    </row>
    <row r="282" spans="1:17" x14ac:dyDescent="0.2">
      <c r="A282" s="4">
        <v>2169</v>
      </c>
      <c r="B282" s="4">
        <v>1</v>
      </c>
      <c r="C282" s="2" t="s">
        <v>1159</v>
      </c>
      <c r="D282" s="3">
        <f>SUM('Shift 14'!D281:L281)</f>
        <v>87701.45</v>
      </c>
      <c r="E282" s="3">
        <f>ROUND(MAX(0,(Levy!Q284+Data!D283+Data!E283-Levy!U284)*0.5),2)</f>
        <v>572621.80000000005</v>
      </c>
      <c r="F282" s="3">
        <f t="shared" si="24"/>
        <v>0</v>
      </c>
      <c r="G282" s="3">
        <f t="shared" si="25"/>
        <v>87701.45</v>
      </c>
      <c r="I282" s="3">
        <f>SUM('Shift 14'!M281:N281)</f>
        <v>0</v>
      </c>
      <c r="J282" s="3">
        <f>ROUND(MAX(0,(Levy!R284-Levy!V284)*0.5),2)</f>
        <v>37468.92</v>
      </c>
      <c r="K282" s="3">
        <f t="shared" si="26"/>
        <v>0</v>
      </c>
      <c r="L282" s="3">
        <f t="shared" si="27"/>
        <v>0</v>
      </c>
      <c r="N282" s="3">
        <f t="shared" si="28"/>
        <v>87701.45</v>
      </c>
      <c r="O282" s="2">
        <f>SUM(Levy!F284:J284)</f>
        <v>1240161.24</v>
      </c>
      <c r="P282" s="2">
        <f>SUM(Levy!U284:V284)</f>
        <v>19979.809999999998</v>
      </c>
      <c r="Q282" s="2">
        <f t="shared" si="29"/>
        <v>1220181.43</v>
      </c>
    </row>
    <row r="283" spans="1:17" x14ac:dyDescent="0.2">
      <c r="A283" s="4">
        <v>2170</v>
      </c>
      <c r="B283" s="4">
        <v>1</v>
      </c>
      <c r="C283" s="2" t="s">
        <v>287</v>
      </c>
      <c r="D283" s="3">
        <f>SUM('Shift 14'!D282:L282)</f>
        <v>158318.62000000002</v>
      </c>
      <c r="E283" s="3">
        <f>ROUND(MAX(0,(Levy!Q285+Data!D284+Data!E284-Levy!U285)*0.5),2)</f>
        <v>512107.62</v>
      </c>
      <c r="F283" s="3">
        <f t="shared" si="24"/>
        <v>0</v>
      </c>
      <c r="G283" s="3">
        <f t="shared" si="25"/>
        <v>158318.62000000002</v>
      </c>
      <c r="I283" s="3">
        <f>SUM('Shift 14'!M282:N282)</f>
        <v>0</v>
      </c>
      <c r="J283" s="3">
        <f>ROUND(MAX(0,(Levy!R285-Levy!V285)*0.5),2)</f>
        <v>57248.37</v>
      </c>
      <c r="K283" s="3">
        <f t="shared" si="26"/>
        <v>0</v>
      </c>
      <c r="L283" s="3">
        <f t="shared" si="27"/>
        <v>0</v>
      </c>
      <c r="N283" s="3">
        <f t="shared" si="28"/>
        <v>158318.62000000002</v>
      </c>
      <c r="O283" s="2">
        <f>SUM(Levy!F285:J285)</f>
        <v>1175979</v>
      </c>
      <c r="P283" s="2">
        <f>SUM(Levy!U285:V285)</f>
        <v>37267.03</v>
      </c>
      <c r="Q283" s="2">
        <f t="shared" si="29"/>
        <v>1138711.97</v>
      </c>
    </row>
    <row r="284" spans="1:17" x14ac:dyDescent="0.2">
      <c r="A284" s="4">
        <v>2171</v>
      </c>
      <c r="B284" s="4">
        <v>1</v>
      </c>
      <c r="C284" s="2" t="s">
        <v>288</v>
      </c>
      <c r="D284" s="3">
        <f>SUM('Shift 14'!D283:L283)</f>
        <v>324177.45999999996</v>
      </c>
      <c r="E284" s="3">
        <f>ROUND(MAX(0,(Levy!Q286+Data!D285+Data!E285-Levy!U286)*0.5),2)</f>
        <v>300077.21000000002</v>
      </c>
      <c r="F284" s="3">
        <f t="shared" si="24"/>
        <v>24100.249999999942</v>
      </c>
      <c r="G284" s="3">
        <f t="shared" si="25"/>
        <v>300077.21000000002</v>
      </c>
      <c r="I284" s="3">
        <f>SUM('Shift 14'!M283:N283)</f>
        <v>0</v>
      </c>
      <c r="J284" s="3">
        <f>ROUND(MAX(0,(Levy!R286-Levy!V286)*0.5),2)</f>
        <v>14314.18</v>
      </c>
      <c r="K284" s="3">
        <f t="shared" si="26"/>
        <v>0</v>
      </c>
      <c r="L284" s="3">
        <f t="shared" si="27"/>
        <v>0</v>
      </c>
      <c r="N284" s="3">
        <f t="shared" si="28"/>
        <v>300077.21000000002</v>
      </c>
      <c r="O284" s="2">
        <f>SUM(Levy!F286:J286)</f>
        <v>632715</v>
      </c>
      <c r="P284" s="2">
        <f>SUM(Levy!U286:V286)</f>
        <v>3932.2400000000007</v>
      </c>
      <c r="Q284" s="2">
        <f t="shared" si="29"/>
        <v>628782.76</v>
      </c>
    </row>
    <row r="285" spans="1:17" x14ac:dyDescent="0.2">
      <c r="A285" s="4">
        <v>2172</v>
      </c>
      <c r="B285" s="4">
        <v>1</v>
      </c>
      <c r="C285" s="2" t="s">
        <v>289</v>
      </c>
      <c r="D285" s="3">
        <f>SUM('Shift 14'!D284:L284)</f>
        <v>97693.409999999989</v>
      </c>
      <c r="E285" s="3">
        <f>ROUND(MAX(0,(Levy!Q287+Data!D286+Data!E286-Levy!U287)*0.5),2)</f>
        <v>514793.09</v>
      </c>
      <c r="F285" s="3">
        <f t="shared" si="24"/>
        <v>0</v>
      </c>
      <c r="G285" s="3">
        <f t="shared" si="25"/>
        <v>97693.409999999989</v>
      </c>
      <c r="I285" s="3">
        <f>SUM('Shift 14'!M284:N284)</f>
        <v>0</v>
      </c>
      <c r="J285" s="3">
        <f>ROUND(MAX(0,(Levy!R287-Levy!V287)*0.5),2)</f>
        <v>63983.18</v>
      </c>
      <c r="K285" s="3">
        <f t="shared" si="26"/>
        <v>0</v>
      </c>
      <c r="L285" s="3">
        <f t="shared" si="27"/>
        <v>0</v>
      </c>
      <c r="N285" s="3">
        <f t="shared" si="28"/>
        <v>97693.409999999989</v>
      </c>
      <c r="O285" s="2">
        <f>SUM(Levy!F287:J287)</f>
        <v>1167826</v>
      </c>
      <c r="P285" s="2">
        <f>SUM(Levy!U287:V287)</f>
        <v>10273.469999999998</v>
      </c>
      <c r="Q285" s="2">
        <f t="shared" si="29"/>
        <v>1157552.53</v>
      </c>
    </row>
    <row r="286" spans="1:17" x14ac:dyDescent="0.2">
      <c r="A286" s="4">
        <v>2174</v>
      </c>
      <c r="B286" s="4">
        <v>1</v>
      </c>
      <c r="C286" s="2" t="s">
        <v>1158</v>
      </c>
      <c r="D286" s="3">
        <f>SUM('Shift 14'!D285:L285)</f>
        <v>40766.19</v>
      </c>
      <c r="E286" s="3">
        <f>ROUND(MAX(0,(Levy!Q288+Data!D287+Data!E287-Levy!U288)*0.5),2)</f>
        <v>323291.43</v>
      </c>
      <c r="F286" s="3">
        <f t="shared" si="24"/>
        <v>0</v>
      </c>
      <c r="G286" s="3">
        <f t="shared" si="25"/>
        <v>40766.19</v>
      </c>
      <c r="I286" s="3">
        <f>SUM('Shift 14'!M285:N285)</f>
        <v>0</v>
      </c>
      <c r="J286" s="3">
        <f>ROUND(MAX(0,(Levy!R288-Levy!V288)*0.5),2)</f>
        <v>59682.17</v>
      </c>
      <c r="K286" s="3">
        <f t="shared" si="26"/>
        <v>0</v>
      </c>
      <c r="L286" s="3">
        <f t="shared" si="27"/>
        <v>0</v>
      </c>
      <c r="N286" s="3">
        <f t="shared" si="28"/>
        <v>40766.19</v>
      </c>
      <c r="O286" s="2">
        <f>SUM(Levy!F288:J288)</f>
        <v>771161.7</v>
      </c>
      <c r="P286" s="2">
        <f>SUM(Levy!U288:V288)</f>
        <v>5214.5200000000004</v>
      </c>
      <c r="Q286" s="2">
        <f t="shared" si="29"/>
        <v>765947.17999999993</v>
      </c>
    </row>
    <row r="287" spans="1:17" x14ac:dyDescent="0.2">
      <c r="A287" s="4">
        <v>2176</v>
      </c>
      <c r="B287" s="4">
        <v>1</v>
      </c>
      <c r="C287" s="2" t="s">
        <v>1157</v>
      </c>
      <c r="D287" s="3">
        <f>SUM('Shift 14'!D286:L286)</f>
        <v>233125.15</v>
      </c>
      <c r="E287" s="3">
        <f>ROUND(MAX(0,(Levy!Q289+Data!D288+Data!E288-Levy!U289)*0.5),2)</f>
        <v>314930.56</v>
      </c>
      <c r="F287" s="3">
        <f t="shared" si="24"/>
        <v>0</v>
      </c>
      <c r="G287" s="3">
        <f t="shared" si="25"/>
        <v>233125.15</v>
      </c>
      <c r="I287" s="3">
        <f>SUM('Shift 14'!M286:N286)</f>
        <v>0</v>
      </c>
      <c r="J287" s="3">
        <f>ROUND(MAX(0,(Levy!R289-Levy!V289)*0.5),2)</f>
        <v>27720.84</v>
      </c>
      <c r="K287" s="3">
        <f t="shared" si="26"/>
        <v>0</v>
      </c>
      <c r="L287" s="3">
        <f t="shared" si="27"/>
        <v>0</v>
      </c>
      <c r="N287" s="3">
        <f t="shared" si="28"/>
        <v>233125.15</v>
      </c>
      <c r="O287" s="2">
        <f>SUM(Levy!F289:J289)</f>
        <v>691085.73</v>
      </c>
      <c r="P287" s="2">
        <f>SUM(Levy!U289:V289)</f>
        <v>5782.9400000000005</v>
      </c>
      <c r="Q287" s="2">
        <f t="shared" si="29"/>
        <v>685302.79</v>
      </c>
    </row>
    <row r="288" spans="1:17" x14ac:dyDescent="0.2">
      <c r="A288" s="4">
        <v>2180</v>
      </c>
      <c r="B288" s="4">
        <v>1</v>
      </c>
      <c r="C288" s="2" t="s">
        <v>292</v>
      </c>
      <c r="D288" s="3">
        <f>SUM('Shift 14'!D287:L287)</f>
        <v>182360.21999999997</v>
      </c>
      <c r="E288" s="3">
        <f>ROUND(MAX(0,(Levy!Q290+Data!D289+Data!E289-Levy!U290)*0.5),2)</f>
        <v>739655.93</v>
      </c>
      <c r="F288" s="3">
        <f t="shared" si="24"/>
        <v>0</v>
      </c>
      <c r="G288" s="3">
        <f t="shared" si="25"/>
        <v>182360.21999999997</v>
      </c>
      <c r="I288" s="3">
        <f>SUM('Shift 14'!M287:N287)</f>
        <v>0</v>
      </c>
      <c r="J288" s="3">
        <f>ROUND(MAX(0,(Levy!R290-Levy!V290)*0.5),2)</f>
        <v>20221.830000000002</v>
      </c>
      <c r="K288" s="3">
        <f t="shared" si="26"/>
        <v>0</v>
      </c>
      <c r="L288" s="3">
        <f t="shared" si="27"/>
        <v>0</v>
      </c>
      <c r="N288" s="3">
        <f t="shared" si="28"/>
        <v>182360.21999999997</v>
      </c>
      <c r="O288" s="2">
        <f>SUM(Levy!F290:J290)</f>
        <v>1532179.72</v>
      </c>
      <c r="P288" s="2">
        <f>SUM(Levy!U290:V290)</f>
        <v>12424.210000000001</v>
      </c>
      <c r="Q288" s="2">
        <f t="shared" si="29"/>
        <v>1519755.51</v>
      </c>
    </row>
    <row r="289" spans="1:17" x14ac:dyDescent="0.2">
      <c r="A289" s="4">
        <v>2184</v>
      </c>
      <c r="B289" s="4">
        <v>1</v>
      </c>
      <c r="C289" s="2" t="s">
        <v>293</v>
      </c>
      <c r="D289" s="3">
        <f>SUM('Shift 14'!D288:L288)</f>
        <v>71963.58</v>
      </c>
      <c r="E289" s="3">
        <f>ROUND(MAX(0,(Levy!Q291+Data!D290+Data!E290-Levy!U291)*0.5),2)</f>
        <v>691793.72</v>
      </c>
      <c r="F289" s="3">
        <f t="shared" si="24"/>
        <v>0</v>
      </c>
      <c r="G289" s="3">
        <f t="shared" si="25"/>
        <v>71963.58</v>
      </c>
      <c r="I289" s="3">
        <f>SUM('Shift 14'!M288:N288)</f>
        <v>0</v>
      </c>
      <c r="J289" s="3">
        <f>ROUND(MAX(0,(Levy!R291-Levy!V291)*0.5),2)</f>
        <v>47741.13</v>
      </c>
      <c r="K289" s="3">
        <f t="shared" si="26"/>
        <v>0</v>
      </c>
      <c r="L289" s="3">
        <f t="shared" si="27"/>
        <v>0</v>
      </c>
      <c r="N289" s="3">
        <f t="shared" si="28"/>
        <v>71963.58</v>
      </c>
      <c r="O289" s="2">
        <f>SUM(Levy!F291:J291)</f>
        <v>1489998.06</v>
      </c>
      <c r="P289" s="2">
        <f>SUM(Levy!U291:V291)</f>
        <v>10928.380000000001</v>
      </c>
      <c r="Q289" s="2">
        <f t="shared" si="29"/>
        <v>1479069.6800000002</v>
      </c>
    </row>
    <row r="290" spans="1:17" x14ac:dyDescent="0.2">
      <c r="A290" s="4">
        <v>2190</v>
      </c>
      <c r="B290" s="4">
        <v>1</v>
      </c>
      <c r="C290" s="2" t="s">
        <v>1156</v>
      </c>
      <c r="D290" s="3">
        <f>SUM('Shift 14'!D289:L289)</f>
        <v>115344.41</v>
      </c>
      <c r="E290" s="3">
        <f>ROUND(MAX(0,(Levy!Q292+Data!D291+Data!E291-Levy!U292)*0.5),2)</f>
        <v>555098.15</v>
      </c>
      <c r="F290" s="3">
        <f t="shared" si="24"/>
        <v>0</v>
      </c>
      <c r="G290" s="3">
        <f t="shared" si="25"/>
        <v>115344.41</v>
      </c>
      <c r="I290" s="3">
        <f>SUM('Shift 14'!M289:N289)</f>
        <v>0</v>
      </c>
      <c r="J290" s="3">
        <f>ROUND(MAX(0,(Levy!R292-Levy!V292)*0.5),2)</f>
        <v>60355.25</v>
      </c>
      <c r="K290" s="3">
        <f t="shared" si="26"/>
        <v>0</v>
      </c>
      <c r="L290" s="3">
        <f t="shared" si="27"/>
        <v>0</v>
      </c>
      <c r="N290" s="3">
        <f t="shared" si="28"/>
        <v>115344.41</v>
      </c>
      <c r="O290" s="2">
        <f>SUM(Levy!F292:J292)</f>
        <v>1243055</v>
      </c>
      <c r="P290" s="2">
        <f>SUM(Levy!U292:V292)</f>
        <v>12148.2</v>
      </c>
      <c r="Q290" s="2">
        <f t="shared" si="29"/>
        <v>1230906.8</v>
      </c>
    </row>
    <row r="291" spans="1:17" x14ac:dyDescent="0.2">
      <c r="A291" s="4">
        <v>2198</v>
      </c>
      <c r="B291" s="4">
        <v>1</v>
      </c>
      <c r="C291" s="2" t="s">
        <v>295</v>
      </c>
      <c r="D291" s="3">
        <f>SUM('Shift 14'!D290:L290)</f>
        <v>130984.59</v>
      </c>
      <c r="E291" s="3">
        <f>ROUND(MAX(0,(Levy!Q293+Data!D292+Data!E292-Levy!U293)*0.5),2)</f>
        <v>555878.85</v>
      </c>
      <c r="F291" s="3">
        <f t="shared" si="24"/>
        <v>0</v>
      </c>
      <c r="G291" s="3">
        <f t="shared" si="25"/>
        <v>130984.59</v>
      </c>
      <c r="I291" s="3">
        <f>SUM('Shift 14'!M290:N290)</f>
        <v>0</v>
      </c>
      <c r="J291" s="3">
        <f>ROUND(MAX(0,(Levy!R293-Levy!V293)*0.5),2)</f>
        <v>37989.01</v>
      </c>
      <c r="K291" s="3">
        <f t="shared" si="26"/>
        <v>0</v>
      </c>
      <c r="L291" s="3">
        <f t="shared" si="27"/>
        <v>0</v>
      </c>
      <c r="N291" s="3">
        <f t="shared" si="28"/>
        <v>130984.59</v>
      </c>
      <c r="O291" s="2">
        <f>SUM(Levy!F293:J293)</f>
        <v>1227274</v>
      </c>
      <c r="P291" s="2">
        <f>SUM(Levy!U293:V293)</f>
        <v>39538.29</v>
      </c>
      <c r="Q291" s="2">
        <f t="shared" si="29"/>
        <v>1187735.71</v>
      </c>
    </row>
    <row r="292" spans="1:17" x14ac:dyDescent="0.2">
      <c r="A292" s="4">
        <v>2215</v>
      </c>
      <c r="B292" s="4">
        <v>1</v>
      </c>
      <c r="C292" s="2" t="s">
        <v>1155</v>
      </c>
      <c r="D292" s="3">
        <f>SUM('Shift 14'!D291:L291)</f>
        <v>72944.58</v>
      </c>
      <c r="E292" s="3">
        <f>ROUND(MAX(0,(Levy!Q294+Data!D293+Data!E293-Levy!U294)*0.5),2)</f>
        <v>216043.95</v>
      </c>
      <c r="F292" s="3">
        <f t="shared" si="24"/>
        <v>0</v>
      </c>
      <c r="G292" s="3">
        <f t="shared" si="25"/>
        <v>72944.58</v>
      </c>
      <c r="I292" s="3">
        <f>SUM('Shift 14'!M291:N291)</f>
        <v>0</v>
      </c>
      <c r="J292" s="3">
        <f>ROUND(MAX(0,(Levy!R294-Levy!V294)*0.5),2)</f>
        <v>13569.76</v>
      </c>
      <c r="K292" s="3">
        <f t="shared" si="26"/>
        <v>0</v>
      </c>
      <c r="L292" s="3">
        <f t="shared" si="27"/>
        <v>0</v>
      </c>
      <c r="N292" s="3">
        <f t="shared" si="28"/>
        <v>72944.58</v>
      </c>
      <c r="O292" s="2">
        <f>SUM(Levy!F294:J294)</f>
        <v>468316.87000000005</v>
      </c>
      <c r="P292" s="2">
        <f>SUM(Levy!U294:V294)</f>
        <v>9089.4600000000009</v>
      </c>
      <c r="Q292" s="2">
        <f t="shared" si="29"/>
        <v>459227.41000000003</v>
      </c>
    </row>
    <row r="293" spans="1:17" x14ac:dyDescent="0.2">
      <c r="A293" s="4">
        <v>2310</v>
      </c>
      <c r="B293" s="4">
        <v>1</v>
      </c>
      <c r="C293" s="2" t="s">
        <v>297</v>
      </c>
      <c r="D293" s="3">
        <f>SUM('Shift 14'!D292:L292)</f>
        <v>90948.510000000009</v>
      </c>
      <c r="E293" s="3">
        <f>ROUND(MAX(0,(Levy!Q295+Data!D294+Data!E294-Levy!U295)*0.5),2)</f>
        <v>468772.92</v>
      </c>
      <c r="F293" s="3">
        <f t="shared" si="24"/>
        <v>0</v>
      </c>
      <c r="G293" s="3">
        <f t="shared" si="25"/>
        <v>90948.510000000009</v>
      </c>
      <c r="I293" s="3">
        <f>SUM('Shift 14'!M292:N292)</f>
        <v>0</v>
      </c>
      <c r="J293" s="3">
        <f>ROUND(MAX(0,(Levy!R295-Levy!V295)*0.5),2)</f>
        <v>50037.02</v>
      </c>
      <c r="K293" s="3">
        <f t="shared" si="26"/>
        <v>0</v>
      </c>
      <c r="L293" s="3">
        <f t="shared" si="27"/>
        <v>0</v>
      </c>
      <c r="N293" s="3">
        <f t="shared" si="28"/>
        <v>90948.510000000009</v>
      </c>
      <c r="O293" s="2">
        <f>SUM(Levy!F295:J295)</f>
        <v>1083995.1400000001</v>
      </c>
      <c r="P293" s="2">
        <f>SUM(Levy!U295:V295)</f>
        <v>46375.270000000004</v>
      </c>
      <c r="Q293" s="2">
        <f t="shared" si="29"/>
        <v>1037619.8700000001</v>
      </c>
    </row>
    <row r="294" spans="1:17" x14ac:dyDescent="0.2">
      <c r="A294" s="4">
        <v>2311</v>
      </c>
      <c r="B294" s="4">
        <v>1</v>
      </c>
      <c r="C294" s="2" t="s">
        <v>1154</v>
      </c>
      <c r="D294" s="3">
        <f>SUM('Shift 14'!D293:L293)</f>
        <v>80558.48</v>
      </c>
      <c r="E294" s="3">
        <f>ROUND(MAX(0,(Levy!Q296+Data!D295+Data!E295-Levy!U296)*0.5),2)</f>
        <v>194409.88</v>
      </c>
      <c r="F294" s="3">
        <f t="shared" si="24"/>
        <v>0</v>
      </c>
      <c r="G294" s="3">
        <f t="shared" si="25"/>
        <v>80558.48</v>
      </c>
      <c r="I294" s="3">
        <f>SUM('Shift 14'!M293:N293)</f>
        <v>0</v>
      </c>
      <c r="J294" s="3">
        <f>ROUND(MAX(0,(Levy!R296-Levy!V296)*0.5),2)</f>
        <v>23550.76</v>
      </c>
      <c r="K294" s="3">
        <f t="shared" si="26"/>
        <v>0</v>
      </c>
      <c r="L294" s="3">
        <f t="shared" si="27"/>
        <v>0</v>
      </c>
      <c r="N294" s="3">
        <f t="shared" si="28"/>
        <v>80558.48</v>
      </c>
      <c r="O294" s="2">
        <f>SUM(Levy!F296:J296)</f>
        <v>440961</v>
      </c>
      <c r="P294" s="2">
        <f>SUM(Levy!U296:V296)</f>
        <v>5039.74</v>
      </c>
      <c r="Q294" s="2">
        <f t="shared" si="29"/>
        <v>435921.26</v>
      </c>
    </row>
    <row r="295" spans="1:17" x14ac:dyDescent="0.2">
      <c r="A295" s="4">
        <v>2342</v>
      </c>
      <c r="B295" s="4">
        <v>1</v>
      </c>
      <c r="C295" s="2" t="s">
        <v>1153</v>
      </c>
      <c r="D295" s="3">
        <f>SUM('Shift 14'!D294:L294)</f>
        <v>94673.680000000008</v>
      </c>
      <c r="E295" s="3">
        <f>ROUND(MAX(0,(Levy!Q297+Data!D296+Data!E296-Levy!U297)*0.5),2)</f>
        <v>824877.56</v>
      </c>
      <c r="F295" s="3">
        <f t="shared" si="24"/>
        <v>0</v>
      </c>
      <c r="G295" s="3">
        <f t="shared" si="25"/>
        <v>94673.680000000008</v>
      </c>
      <c r="I295" s="3">
        <f>SUM('Shift 14'!M294:N294)</f>
        <v>0</v>
      </c>
      <c r="J295" s="3">
        <f>ROUND(MAX(0,(Levy!R297-Levy!V297)*0.5),2)</f>
        <v>37608.19</v>
      </c>
      <c r="K295" s="3">
        <f t="shared" si="26"/>
        <v>0</v>
      </c>
      <c r="L295" s="3">
        <f t="shared" si="27"/>
        <v>0</v>
      </c>
      <c r="N295" s="3">
        <f t="shared" si="28"/>
        <v>94673.680000000008</v>
      </c>
      <c r="O295" s="2">
        <f>SUM(Levy!F297:J297)</f>
        <v>1743640.6099999999</v>
      </c>
      <c r="P295" s="2">
        <f>SUM(Levy!U297:V297)</f>
        <v>18669.12</v>
      </c>
      <c r="Q295" s="2">
        <f t="shared" si="29"/>
        <v>1724971.4899999998</v>
      </c>
    </row>
    <row r="296" spans="1:17" x14ac:dyDescent="0.2">
      <c r="A296" s="4">
        <v>2358</v>
      </c>
      <c r="B296" s="4">
        <v>1</v>
      </c>
      <c r="C296" s="2" t="s">
        <v>300</v>
      </c>
      <c r="D296" s="3">
        <f>SUM('Shift 14'!D295:L295)</f>
        <v>49283.91</v>
      </c>
      <c r="E296" s="3">
        <f>ROUND(MAX(0,(Levy!Q298+Data!D297+Data!E297-Levy!U298)*0.5),2)</f>
        <v>147107.82999999999</v>
      </c>
      <c r="F296" s="3">
        <f t="shared" si="24"/>
        <v>0</v>
      </c>
      <c r="G296" s="3">
        <f t="shared" si="25"/>
        <v>49283.91</v>
      </c>
      <c r="I296" s="3">
        <f>SUM('Shift 14'!M295:N295)</f>
        <v>0</v>
      </c>
      <c r="J296" s="3">
        <f>ROUND(MAX(0,(Levy!R298-Levy!V298)*0.5),2)</f>
        <v>10145.469999999999</v>
      </c>
      <c r="K296" s="3">
        <f t="shared" si="26"/>
        <v>0</v>
      </c>
      <c r="L296" s="3">
        <f t="shared" si="27"/>
        <v>0</v>
      </c>
      <c r="N296" s="3">
        <f t="shared" si="28"/>
        <v>49283.91</v>
      </c>
      <c r="O296" s="2">
        <f>SUM(Levy!F298:J298)</f>
        <v>319974</v>
      </c>
      <c r="P296" s="2">
        <f>SUM(Levy!U298:V298)</f>
        <v>5467.42</v>
      </c>
      <c r="Q296" s="2">
        <f t="shared" si="29"/>
        <v>314506.58</v>
      </c>
    </row>
    <row r="297" spans="1:17" x14ac:dyDescent="0.2">
      <c r="A297" s="4">
        <v>2364</v>
      </c>
      <c r="B297" s="4">
        <v>1</v>
      </c>
      <c r="C297" s="2" t="s">
        <v>1152</v>
      </c>
      <c r="D297" s="3">
        <f>SUM('Shift 14'!D296:L296)</f>
        <v>60201.179999999993</v>
      </c>
      <c r="E297" s="3">
        <f>ROUND(MAX(0,(Levy!Q299+Data!D298+Data!E298-Levy!U299)*0.5),2)</f>
        <v>335484.73</v>
      </c>
      <c r="F297" s="3">
        <f t="shared" si="24"/>
        <v>0</v>
      </c>
      <c r="G297" s="3">
        <f t="shared" si="25"/>
        <v>60201.179999999993</v>
      </c>
      <c r="I297" s="3">
        <f>SUM('Shift 14'!M296:N296)</f>
        <v>0</v>
      </c>
      <c r="J297" s="3">
        <f>ROUND(MAX(0,(Levy!R299-Levy!V299)*0.5),2)</f>
        <v>25048.45</v>
      </c>
      <c r="K297" s="3">
        <f t="shared" si="26"/>
        <v>0</v>
      </c>
      <c r="L297" s="3">
        <f t="shared" si="27"/>
        <v>0</v>
      </c>
      <c r="N297" s="3">
        <f t="shared" si="28"/>
        <v>60201.179999999993</v>
      </c>
      <c r="O297" s="2">
        <f>SUM(Levy!F299:J299)</f>
        <v>731186</v>
      </c>
      <c r="P297" s="2">
        <f>SUM(Levy!U299:V299)</f>
        <v>10119.650000000001</v>
      </c>
      <c r="Q297" s="2">
        <f t="shared" si="29"/>
        <v>721066.35</v>
      </c>
    </row>
    <row r="298" spans="1:17" x14ac:dyDescent="0.2">
      <c r="A298" s="4">
        <v>2365</v>
      </c>
      <c r="B298" s="4">
        <v>1</v>
      </c>
      <c r="C298" s="2" t="s">
        <v>302</v>
      </c>
      <c r="D298" s="3">
        <f>SUM('Shift 14'!D297:L297)</f>
        <v>194340.9</v>
      </c>
      <c r="E298" s="3">
        <f>ROUND(MAX(0,(Levy!Q300+Data!D299+Data!E299-Levy!U300)*0.5),2)</f>
        <v>614198.14</v>
      </c>
      <c r="F298" s="3">
        <f t="shared" si="24"/>
        <v>0</v>
      </c>
      <c r="G298" s="3">
        <f t="shared" si="25"/>
        <v>194340.9</v>
      </c>
      <c r="I298" s="3">
        <f>SUM('Shift 14'!M297:N297)</f>
        <v>0</v>
      </c>
      <c r="J298" s="3">
        <f>ROUND(MAX(0,(Levy!R300-Levy!V300)*0.5),2)</f>
        <v>34213.629999999997</v>
      </c>
      <c r="K298" s="3">
        <f t="shared" si="26"/>
        <v>0</v>
      </c>
      <c r="L298" s="3">
        <f t="shared" si="27"/>
        <v>0</v>
      </c>
      <c r="N298" s="3">
        <f t="shared" si="28"/>
        <v>194340.9</v>
      </c>
      <c r="O298" s="2">
        <f>SUM(Levy!F300:J300)</f>
        <v>1329127.3400000001</v>
      </c>
      <c r="P298" s="2">
        <f>SUM(Levy!U300:V300)</f>
        <v>32303.809999999998</v>
      </c>
      <c r="Q298" s="2">
        <f t="shared" si="29"/>
        <v>1296823.53</v>
      </c>
    </row>
    <row r="299" spans="1:17" x14ac:dyDescent="0.2">
      <c r="A299" s="4">
        <v>2396</v>
      </c>
      <c r="B299" s="4">
        <v>1</v>
      </c>
      <c r="C299" s="2" t="s">
        <v>303</v>
      </c>
      <c r="D299" s="3">
        <f>SUM('Shift 14'!D298:L298)</f>
        <v>137751.24</v>
      </c>
      <c r="E299" s="3">
        <f>ROUND(MAX(0,(Levy!Q301+Data!D300+Data!E300-Levy!U301)*0.5),2)</f>
        <v>622347.98</v>
      </c>
      <c r="F299" s="3">
        <f t="shared" si="24"/>
        <v>0</v>
      </c>
      <c r="G299" s="3">
        <f t="shared" si="25"/>
        <v>137751.24</v>
      </c>
      <c r="I299" s="3">
        <f>SUM('Shift 14'!M298:N298)</f>
        <v>0</v>
      </c>
      <c r="J299" s="3">
        <f>ROUND(MAX(0,(Levy!R301-Levy!V301)*0.5),2)</f>
        <v>84302.81</v>
      </c>
      <c r="K299" s="3">
        <f t="shared" si="26"/>
        <v>0</v>
      </c>
      <c r="L299" s="3">
        <f t="shared" si="27"/>
        <v>0</v>
      </c>
      <c r="N299" s="3">
        <f t="shared" si="28"/>
        <v>137751.24</v>
      </c>
      <c r="O299" s="2">
        <f>SUM(Levy!F301:J301)</f>
        <v>1429860</v>
      </c>
      <c r="P299" s="2">
        <f>SUM(Levy!U301:V301)</f>
        <v>16558.419999999998</v>
      </c>
      <c r="Q299" s="2">
        <f t="shared" si="29"/>
        <v>1413301.58</v>
      </c>
    </row>
    <row r="300" spans="1:17" x14ac:dyDescent="0.2">
      <c r="A300" s="4">
        <v>2397</v>
      </c>
      <c r="B300" s="4">
        <v>1</v>
      </c>
      <c r="C300" s="2" t="s">
        <v>1151</v>
      </c>
      <c r="D300" s="3">
        <f>SUM('Shift 14'!D299:L299)</f>
        <v>107423.89</v>
      </c>
      <c r="E300" s="3">
        <f>ROUND(MAX(0,(Levy!Q302+Data!D301+Data!E301-Levy!U302)*0.5),2)</f>
        <v>622518.32999999996</v>
      </c>
      <c r="F300" s="3">
        <f t="shared" si="24"/>
        <v>0</v>
      </c>
      <c r="G300" s="3">
        <f t="shared" si="25"/>
        <v>107423.89</v>
      </c>
      <c r="I300" s="3">
        <f>SUM('Shift 14'!M299:N299)</f>
        <v>0</v>
      </c>
      <c r="J300" s="3">
        <f>ROUND(MAX(0,(Levy!R302-Levy!V302)*0.5),2)</f>
        <v>48469.37</v>
      </c>
      <c r="K300" s="3">
        <f t="shared" si="26"/>
        <v>0</v>
      </c>
      <c r="L300" s="3">
        <f t="shared" si="27"/>
        <v>0</v>
      </c>
      <c r="N300" s="3">
        <f t="shared" si="28"/>
        <v>107423.89</v>
      </c>
      <c r="O300" s="2">
        <f>SUM(Levy!F302:J302)</f>
        <v>1352423.3900000001</v>
      </c>
      <c r="P300" s="2">
        <f>SUM(Levy!U302:V302)</f>
        <v>10448.009999999998</v>
      </c>
      <c r="Q300" s="2">
        <f t="shared" si="29"/>
        <v>1341975.3800000001</v>
      </c>
    </row>
    <row r="301" spans="1:17" x14ac:dyDescent="0.2">
      <c r="A301" s="4">
        <v>2448</v>
      </c>
      <c r="B301" s="4">
        <v>1</v>
      </c>
      <c r="C301" s="2" t="s">
        <v>1150</v>
      </c>
      <c r="D301" s="3">
        <f>SUM('Shift 14'!D300:L300)</f>
        <v>252937.62</v>
      </c>
      <c r="E301" s="3">
        <f>ROUND(MAX(0,(Levy!Q303+Data!D302+Data!E302-Levy!U303)*0.5),2)</f>
        <v>811940.7</v>
      </c>
      <c r="F301" s="3">
        <f t="shared" si="24"/>
        <v>0</v>
      </c>
      <c r="G301" s="3">
        <f t="shared" si="25"/>
        <v>252937.62</v>
      </c>
      <c r="I301" s="3">
        <f>SUM('Shift 14'!M300:N300)</f>
        <v>0</v>
      </c>
      <c r="J301" s="3">
        <f>ROUND(MAX(0,(Levy!R303-Levy!V303)*0.5),2)</f>
        <v>32415.5</v>
      </c>
      <c r="K301" s="3">
        <f t="shared" si="26"/>
        <v>0</v>
      </c>
      <c r="L301" s="3">
        <f t="shared" si="27"/>
        <v>0</v>
      </c>
      <c r="N301" s="3">
        <f t="shared" si="28"/>
        <v>252937.62</v>
      </c>
      <c r="O301" s="2">
        <f>SUM(Levy!F303:J303)</f>
        <v>1714013</v>
      </c>
      <c r="P301" s="2">
        <f>SUM(Levy!U303:V303)</f>
        <v>25300.61</v>
      </c>
      <c r="Q301" s="2">
        <f t="shared" si="29"/>
        <v>1688712.39</v>
      </c>
    </row>
    <row r="302" spans="1:17" x14ac:dyDescent="0.2">
      <c r="A302" s="4">
        <v>2527</v>
      </c>
      <c r="B302" s="4">
        <v>1</v>
      </c>
      <c r="C302" s="2" t="s">
        <v>1149</v>
      </c>
      <c r="D302" s="3">
        <f>SUM('Shift 14'!D301:L301)</f>
        <v>80554.959999999992</v>
      </c>
      <c r="E302" s="3">
        <f>ROUND(MAX(0,(Levy!Q304+Data!D303+Data!E303-Levy!U304)*0.5),2)</f>
        <v>237336.27</v>
      </c>
      <c r="F302" s="3">
        <f t="shared" si="24"/>
        <v>0</v>
      </c>
      <c r="G302" s="3">
        <f t="shared" si="25"/>
        <v>80554.959999999992</v>
      </c>
      <c r="I302" s="3">
        <f>SUM('Shift 14'!M301:N301)</f>
        <v>0</v>
      </c>
      <c r="J302" s="3">
        <f>ROUND(MAX(0,(Levy!R304-Levy!V304)*0.5),2)</f>
        <v>12022.28</v>
      </c>
      <c r="K302" s="3">
        <f t="shared" si="26"/>
        <v>0</v>
      </c>
      <c r="L302" s="3">
        <f t="shared" si="27"/>
        <v>0</v>
      </c>
      <c r="N302" s="3">
        <f t="shared" si="28"/>
        <v>80554.959999999992</v>
      </c>
      <c r="O302" s="2">
        <f>SUM(Levy!F304:J304)</f>
        <v>502943.42000000004</v>
      </c>
      <c r="P302" s="2">
        <f>SUM(Levy!U304:V304)</f>
        <v>4226.33</v>
      </c>
      <c r="Q302" s="2">
        <f t="shared" si="29"/>
        <v>498717.09</v>
      </c>
    </row>
    <row r="303" spans="1:17" x14ac:dyDescent="0.2">
      <c r="A303" s="4">
        <v>2534</v>
      </c>
      <c r="B303" s="4">
        <v>1</v>
      </c>
      <c r="C303" s="2" t="s">
        <v>1148</v>
      </c>
      <c r="D303" s="3">
        <f>SUM('Shift 14'!D302:L302)</f>
        <v>114895.14</v>
      </c>
      <c r="E303" s="3">
        <f>ROUND(MAX(0,(Levy!Q305+Data!D304+Data!E304-Levy!U305)*0.5),2)</f>
        <v>404071.13</v>
      </c>
      <c r="F303" s="3">
        <f t="shared" si="24"/>
        <v>0</v>
      </c>
      <c r="G303" s="3">
        <f t="shared" si="25"/>
        <v>114895.14</v>
      </c>
      <c r="I303" s="3">
        <f>SUM('Shift 14'!M302:N302)</f>
        <v>0</v>
      </c>
      <c r="J303" s="3">
        <f>ROUND(MAX(0,(Levy!R305-Levy!V305)*0.5),2)</f>
        <v>34250.639999999999</v>
      </c>
      <c r="K303" s="3">
        <f t="shared" si="26"/>
        <v>0</v>
      </c>
      <c r="L303" s="3">
        <f t="shared" si="27"/>
        <v>0</v>
      </c>
      <c r="N303" s="3">
        <f t="shared" si="28"/>
        <v>114895.14</v>
      </c>
      <c r="O303" s="2">
        <f>SUM(Levy!F305:J305)</f>
        <v>898219.5</v>
      </c>
      <c r="P303" s="2">
        <f>SUM(Levy!U305:V305)</f>
        <v>21575.979999999996</v>
      </c>
      <c r="Q303" s="2">
        <f t="shared" si="29"/>
        <v>876643.52</v>
      </c>
    </row>
    <row r="304" spans="1:17" x14ac:dyDescent="0.2">
      <c r="A304" s="4">
        <v>2536</v>
      </c>
      <c r="B304" s="4">
        <v>1</v>
      </c>
      <c r="C304" s="2" t="s">
        <v>1146</v>
      </c>
      <c r="D304" s="3">
        <f>SUM('Shift 14'!D303:L303)</f>
        <v>112538.9</v>
      </c>
      <c r="E304" s="3">
        <f>ROUND(MAX(0,(Levy!Q306+Data!D305+Data!E305-Levy!U306)*0.5),2)</f>
        <v>346674</v>
      </c>
      <c r="F304" s="3">
        <f t="shared" si="24"/>
        <v>0</v>
      </c>
      <c r="G304" s="3">
        <f t="shared" si="25"/>
        <v>112538.9</v>
      </c>
      <c r="I304" s="3">
        <f>SUM('Shift 14'!M303:N303)</f>
        <v>0</v>
      </c>
      <c r="J304" s="3">
        <f>ROUND(MAX(0,(Levy!R306-Levy!V306)*0.5),2)</f>
        <v>17648.580000000002</v>
      </c>
      <c r="K304" s="3">
        <f t="shared" si="26"/>
        <v>0</v>
      </c>
      <c r="L304" s="3">
        <f t="shared" si="27"/>
        <v>0</v>
      </c>
      <c r="N304" s="3">
        <f t="shared" si="28"/>
        <v>112538.9</v>
      </c>
      <c r="O304" s="2">
        <f>SUM(Levy!F306:J306)</f>
        <v>732556</v>
      </c>
      <c r="P304" s="2">
        <f>SUM(Levy!U306:V306)</f>
        <v>3910.8600000000006</v>
      </c>
      <c r="Q304" s="2">
        <f t="shared" si="29"/>
        <v>728645.14</v>
      </c>
    </row>
    <row r="305" spans="1:17" x14ac:dyDescent="0.2">
      <c r="A305" s="4">
        <v>2580</v>
      </c>
      <c r="B305" s="4">
        <v>1</v>
      </c>
      <c r="C305" s="2" t="s">
        <v>1147</v>
      </c>
      <c r="D305" s="3">
        <f>SUM('Shift 14'!D304:L304)</f>
        <v>150373.60999999999</v>
      </c>
      <c r="E305" s="3">
        <f>ROUND(MAX(0,(Levy!Q307+Data!D306+Data!E306-Levy!U307)*0.5),2)</f>
        <v>210540.77</v>
      </c>
      <c r="F305" s="3">
        <f t="shared" si="24"/>
        <v>0</v>
      </c>
      <c r="G305" s="3">
        <f t="shared" si="25"/>
        <v>150373.60999999999</v>
      </c>
      <c r="I305" s="3">
        <f>SUM('Shift 14'!M304:N304)</f>
        <v>0</v>
      </c>
      <c r="J305" s="3">
        <f>ROUND(MAX(0,(Levy!R307-Levy!V307)*0.5),2)</f>
        <v>28952.57</v>
      </c>
      <c r="K305" s="3">
        <f t="shared" si="26"/>
        <v>0</v>
      </c>
      <c r="L305" s="3">
        <f t="shared" si="27"/>
        <v>0</v>
      </c>
      <c r="N305" s="3">
        <f t="shared" si="28"/>
        <v>150373.60999999999</v>
      </c>
      <c r="O305" s="2">
        <f>SUM(Levy!F307:J307)</f>
        <v>484822.14999999997</v>
      </c>
      <c r="P305" s="2">
        <f>SUM(Levy!U307:V307)</f>
        <v>5835.48</v>
      </c>
      <c r="Q305" s="2">
        <f t="shared" si="29"/>
        <v>478986.67</v>
      </c>
    </row>
    <row r="306" spans="1:17" x14ac:dyDescent="0.2">
      <c r="A306" s="4">
        <v>2609</v>
      </c>
      <c r="B306" s="4">
        <v>1</v>
      </c>
      <c r="C306" s="2" t="s">
        <v>310</v>
      </c>
      <c r="D306" s="3">
        <f>SUM('Shift 14'!D305:L305)</f>
        <v>30148.74</v>
      </c>
      <c r="E306" s="3">
        <f>ROUND(MAX(0,(Levy!Q308+Data!D307+Data!E307-Levy!U308)*0.5),2)</f>
        <v>256597.29</v>
      </c>
      <c r="F306" s="3">
        <f t="shared" si="24"/>
        <v>0</v>
      </c>
      <c r="G306" s="3">
        <f t="shared" si="25"/>
        <v>30148.74</v>
      </c>
      <c r="I306" s="3">
        <f>SUM('Shift 14'!M305:N305)</f>
        <v>0</v>
      </c>
      <c r="J306" s="3">
        <f>ROUND(MAX(0,(Levy!R308-Levy!V308)*0.5),2)</f>
        <v>17566.009999999998</v>
      </c>
      <c r="K306" s="3">
        <f t="shared" si="26"/>
        <v>0</v>
      </c>
      <c r="L306" s="3">
        <f t="shared" si="27"/>
        <v>0</v>
      </c>
      <c r="N306" s="3">
        <f t="shared" si="28"/>
        <v>30148.74</v>
      </c>
      <c r="O306" s="2">
        <f>SUM(Levy!F308:J308)</f>
        <v>553364.17000000004</v>
      </c>
      <c r="P306" s="2">
        <f>SUM(Levy!U308:V308)</f>
        <v>5037.5700000000006</v>
      </c>
      <c r="Q306" s="2">
        <f t="shared" si="29"/>
        <v>548326.60000000009</v>
      </c>
    </row>
    <row r="307" spans="1:17" x14ac:dyDescent="0.2">
      <c r="A307" s="4">
        <v>2683</v>
      </c>
      <c r="B307" s="4">
        <v>1</v>
      </c>
      <c r="C307" s="2" t="s">
        <v>1145</v>
      </c>
      <c r="D307" s="3">
        <f>SUM('Shift 14'!D306:L306)</f>
        <v>56951.13</v>
      </c>
      <c r="E307" s="3">
        <f>ROUND(MAX(0,(Levy!Q309+Data!D308+Data!E308-Levy!U309)*0.5),2)</f>
        <v>173856.24</v>
      </c>
      <c r="F307" s="3">
        <f t="shared" si="24"/>
        <v>0</v>
      </c>
      <c r="G307" s="3">
        <f t="shared" si="25"/>
        <v>56951.13</v>
      </c>
      <c r="I307" s="3">
        <f>SUM('Shift 14'!M306:N306)</f>
        <v>0</v>
      </c>
      <c r="J307" s="3">
        <f>ROUND(MAX(0,(Levy!R309-Levy!V309)*0.5),2)</f>
        <v>14893.25</v>
      </c>
      <c r="K307" s="3">
        <f t="shared" si="26"/>
        <v>0</v>
      </c>
      <c r="L307" s="3">
        <f t="shared" si="27"/>
        <v>0</v>
      </c>
      <c r="N307" s="3">
        <f t="shared" si="28"/>
        <v>56951.13</v>
      </c>
      <c r="O307" s="2">
        <f>SUM(Levy!F309:J309)</f>
        <v>385211</v>
      </c>
      <c r="P307" s="2">
        <f>SUM(Levy!U309:V309)</f>
        <v>7712.0300000000007</v>
      </c>
      <c r="Q307" s="2">
        <f t="shared" si="29"/>
        <v>377498.97</v>
      </c>
    </row>
    <row r="308" spans="1:17" x14ac:dyDescent="0.2">
      <c r="A308" s="4">
        <v>2687</v>
      </c>
      <c r="B308" s="4">
        <v>1</v>
      </c>
      <c r="C308" s="2" t="s">
        <v>1144</v>
      </c>
      <c r="D308" s="3">
        <f>SUM('Shift 14'!D307:L307)</f>
        <v>164061.98000000001</v>
      </c>
      <c r="E308" s="3">
        <f>ROUND(MAX(0,(Levy!Q310+Data!D309+Data!E309-Levy!U310)*0.5),2)</f>
        <v>630058.35</v>
      </c>
      <c r="F308" s="3">
        <f t="shared" si="24"/>
        <v>0</v>
      </c>
      <c r="G308" s="3">
        <f t="shared" si="25"/>
        <v>164061.98000000001</v>
      </c>
      <c r="I308" s="3">
        <f>SUM('Shift 14'!M307:N307)</f>
        <v>0</v>
      </c>
      <c r="J308" s="3">
        <f>ROUND(MAX(0,(Levy!R310-Levy!V310)*0.5),2)</f>
        <v>57335.67</v>
      </c>
      <c r="K308" s="3">
        <f t="shared" si="26"/>
        <v>0</v>
      </c>
      <c r="L308" s="3">
        <f t="shared" si="27"/>
        <v>0</v>
      </c>
      <c r="N308" s="3">
        <f t="shared" si="28"/>
        <v>164061.98000000001</v>
      </c>
      <c r="O308" s="2">
        <f>SUM(Levy!F310:J310)</f>
        <v>1382821.27</v>
      </c>
      <c r="P308" s="2">
        <f>SUM(Levy!U310:V310)</f>
        <v>8033.23</v>
      </c>
      <c r="Q308" s="2">
        <f t="shared" si="29"/>
        <v>1374788.04</v>
      </c>
    </row>
    <row r="309" spans="1:17" x14ac:dyDescent="0.2">
      <c r="A309" s="4">
        <v>2689</v>
      </c>
      <c r="B309" s="4">
        <v>1</v>
      </c>
      <c r="C309" s="2" t="s">
        <v>1143</v>
      </c>
      <c r="D309" s="3">
        <f>SUM('Shift 14'!D308:L308)</f>
        <v>57380.38</v>
      </c>
      <c r="E309" s="3">
        <f>ROUND(MAX(0,(Levy!Q311+Data!D310+Data!E310-Levy!U311)*0.5),2)</f>
        <v>663168.30000000005</v>
      </c>
      <c r="F309" s="3">
        <f t="shared" si="24"/>
        <v>0</v>
      </c>
      <c r="G309" s="3">
        <f t="shared" si="25"/>
        <v>57380.38</v>
      </c>
      <c r="I309" s="3">
        <f>SUM('Shift 14'!M308:N308)</f>
        <v>0</v>
      </c>
      <c r="J309" s="3">
        <f>ROUND(MAX(0,(Levy!R311-Levy!V311)*0.5),2)</f>
        <v>43804.62</v>
      </c>
      <c r="K309" s="3">
        <f t="shared" si="26"/>
        <v>0</v>
      </c>
      <c r="L309" s="3">
        <f t="shared" si="27"/>
        <v>0</v>
      </c>
      <c r="N309" s="3">
        <f t="shared" si="28"/>
        <v>57380.38</v>
      </c>
      <c r="O309" s="2">
        <f>SUM(Levy!F311:J311)</f>
        <v>1439192.73</v>
      </c>
      <c r="P309" s="2">
        <f>SUM(Levy!U311:V311)</f>
        <v>25246.9</v>
      </c>
      <c r="Q309" s="2">
        <f t="shared" si="29"/>
        <v>1413945.83</v>
      </c>
    </row>
    <row r="310" spans="1:17" x14ac:dyDescent="0.2">
      <c r="A310" s="4">
        <v>2711</v>
      </c>
      <c r="B310" s="4">
        <v>1</v>
      </c>
      <c r="C310" s="2" t="s">
        <v>314</v>
      </c>
      <c r="D310" s="3">
        <f>SUM('Shift 14'!D309:L309)</f>
        <v>331251.71999999997</v>
      </c>
      <c r="E310" s="3">
        <f>ROUND(MAX(0,(Levy!Q312+Data!D311+Data!E311-Levy!U312)*0.5),2)</f>
        <v>110854.81</v>
      </c>
      <c r="F310" s="3">
        <f t="shared" si="24"/>
        <v>220396.90999999997</v>
      </c>
      <c r="G310" s="3">
        <f t="shared" si="25"/>
        <v>110854.81</v>
      </c>
      <c r="I310" s="3">
        <f>SUM('Shift 14'!M309:N309)</f>
        <v>0</v>
      </c>
      <c r="J310" s="3">
        <f>ROUND(MAX(0,(Levy!R312-Levy!V312)*0.5),2)</f>
        <v>0</v>
      </c>
      <c r="K310" s="3">
        <f t="shared" si="26"/>
        <v>0</v>
      </c>
      <c r="L310" s="3">
        <f t="shared" si="27"/>
        <v>0</v>
      </c>
      <c r="N310" s="3">
        <f t="shared" si="28"/>
        <v>110854.81</v>
      </c>
      <c r="O310" s="2">
        <f>SUM(Levy!F312:J312)</f>
        <v>221760.56</v>
      </c>
      <c r="P310" s="2">
        <f>SUM(Levy!U312:V312)</f>
        <v>50.95</v>
      </c>
      <c r="Q310" s="2">
        <f t="shared" si="29"/>
        <v>221709.61</v>
      </c>
    </row>
    <row r="311" spans="1:17" x14ac:dyDescent="0.2">
      <c r="A311" s="4">
        <v>2752</v>
      </c>
      <c r="B311" s="4">
        <v>1</v>
      </c>
      <c r="C311" s="2" t="s">
        <v>1142</v>
      </c>
      <c r="D311" s="3">
        <f>SUM('Shift 14'!D310:L310)</f>
        <v>200114.31</v>
      </c>
      <c r="E311" s="3">
        <f>ROUND(MAX(0,(Levy!Q313+Data!D312+Data!E312-Levy!U313)*0.5),2)</f>
        <v>1364957.46</v>
      </c>
      <c r="F311" s="3">
        <f t="shared" si="24"/>
        <v>0</v>
      </c>
      <c r="G311" s="3">
        <f t="shared" si="25"/>
        <v>200114.31</v>
      </c>
      <c r="I311" s="3">
        <f>SUM('Shift 14'!M310:N310)</f>
        <v>0</v>
      </c>
      <c r="J311" s="3">
        <f>ROUND(MAX(0,(Levy!R313-Levy!V313)*0.5),2)</f>
        <v>77028.149999999994</v>
      </c>
      <c r="K311" s="3">
        <f t="shared" si="26"/>
        <v>0</v>
      </c>
      <c r="L311" s="3">
        <f t="shared" si="27"/>
        <v>0</v>
      </c>
      <c r="N311" s="3">
        <f t="shared" si="28"/>
        <v>200114.31</v>
      </c>
      <c r="O311" s="2">
        <f>SUM(Levy!F313:J313)</f>
        <v>2904815</v>
      </c>
      <c r="P311" s="2">
        <f>SUM(Levy!U313:V313)</f>
        <v>20843.8</v>
      </c>
      <c r="Q311" s="2">
        <f t="shared" si="29"/>
        <v>2883971.2</v>
      </c>
    </row>
    <row r="312" spans="1:17" x14ac:dyDescent="0.2">
      <c r="A312" s="4">
        <v>2753</v>
      </c>
      <c r="B312" s="4">
        <v>1</v>
      </c>
      <c r="C312" s="2" t="s">
        <v>1141</v>
      </c>
      <c r="D312" s="3">
        <f>SUM('Shift 14'!D311:L311)</f>
        <v>114252.33</v>
      </c>
      <c r="E312" s="3">
        <f>ROUND(MAX(0,(Levy!Q314+Data!D313+Data!E313-Levy!U314)*0.5),2)</f>
        <v>541656.86</v>
      </c>
      <c r="F312" s="3">
        <f t="shared" si="24"/>
        <v>0</v>
      </c>
      <c r="G312" s="3">
        <f t="shared" si="25"/>
        <v>114252.33</v>
      </c>
      <c r="I312" s="3">
        <f>SUM('Shift 14'!M311:N311)</f>
        <v>0</v>
      </c>
      <c r="J312" s="3">
        <f>ROUND(MAX(0,(Levy!R314-Levy!V314)*0.5),2)</f>
        <v>46616.73</v>
      </c>
      <c r="K312" s="3">
        <f t="shared" si="26"/>
        <v>0</v>
      </c>
      <c r="L312" s="3">
        <f t="shared" si="27"/>
        <v>0</v>
      </c>
      <c r="N312" s="3">
        <f t="shared" si="28"/>
        <v>114252.33</v>
      </c>
      <c r="O312" s="2">
        <f>SUM(Levy!F314:J314)</f>
        <v>1193082</v>
      </c>
      <c r="P312" s="2">
        <f>SUM(Levy!U314:V314)</f>
        <v>16534.839999999997</v>
      </c>
      <c r="Q312" s="2">
        <f t="shared" si="29"/>
        <v>1176547.1599999999</v>
      </c>
    </row>
    <row r="313" spans="1:17" x14ac:dyDescent="0.2">
      <c r="A313" s="4">
        <v>2754</v>
      </c>
      <c r="B313" s="4">
        <v>1</v>
      </c>
      <c r="C313" s="2" t="s">
        <v>317</v>
      </c>
      <c r="D313" s="3">
        <f>SUM('Shift 14'!D312:L312)</f>
        <v>133452.76999999999</v>
      </c>
      <c r="E313" s="3">
        <f>ROUND(MAX(0,(Levy!Q315+Data!D314+Data!E314-Levy!U315)*0.5),2)</f>
        <v>211732.76</v>
      </c>
      <c r="F313" s="3">
        <f t="shared" si="24"/>
        <v>0</v>
      </c>
      <c r="G313" s="3">
        <f t="shared" si="25"/>
        <v>133452.76999999999</v>
      </c>
      <c r="I313" s="3">
        <f>SUM('Shift 14'!M312:N312)</f>
        <v>0</v>
      </c>
      <c r="J313" s="3">
        <f>ROUND(MAX(0,(Levy!R315-Levy!V315)*0.5),2)</f>
        <v>17669.38</v>
      </c>
      <c r="K313" s="3">
        <f t="shared" si="26"/>
        <v>0</v>
      </c>
      <c r="L313" s="3">
        <f t="shared" si="27"/>
        <v>0</v>
      </c>
      <c r="N313" s="3">
        <f t="shared" si="28"/>
        <v>133452.76999999999</v>
      </c>
      <c r="O313" s="2">
        <f>SUM(Levy!F315:J315)</f>
        <v>478372</v>
      </c>
      <c r="P313" s="2">
        <f>SUM(Levy!U315:V315)</f>
        <v>19567.73</v>
      </c>
      <c r="Q313" s="2">
        <f t="shared" si="29"/>
        <v>458804.27</v>
      </c>
    </row>
    <row r="314" spans="1:17" x14ac:dyDescent="0.2">
      <c r="A314" s="4">
        <v>2759</v>
      </c>
      <c r="B314" s="4">
        <v>1</v>
      </c>
      <c r="C314" s="2" t="s">
        <v>1140</v>
      </c>
      <c r="D314" s="3">
        <f>SUM('Shift 14'!D313:L313)</f>
        <v>26235.53</v>
      </c>
      <c r="E314" s="3">
        <f>ROUND(MAX(0,(Levy!Q316+Data!D315+Data!E315-Levy!U316)*0.5),2)</f>
        <v>130286.43</v>
      </c>
      <c r="F314" s="3">
        <f t="shared" si="24"/>
        <v>0</v>
      </c>
      <c r="G314" s="3">
        <f t="shared" si="25"/>
        <v>26235.53</v>
      </c>
      <c r="I314" s="3">
        <f>SUM('Shift 14'!M313:N313)</f>
        <v>0</v>
      </c>
      <c r="J314" s="3">
        <f>ROUND(MAX(0,(Levy!R316-Levy!V316)*0.5),2)</f>
        <v>8336.67</v>
      </c>
      <c r="K314" s="3">
        <f t="shared" si="26"/>
        <v>0</v>
      </c>
      <c r="L314" s="3">
        <f t="shared" si="27"/>
        <v>0</v>
      </c>
      <c r="N314" s="3">
        <f t="shared" si="28"/>
        <v>26235.53</v>
      </c>
      <c r="O314" s="2">
        <f>SUM(Levy!F316:J316)</f>
        <v>311718</v>
      </c>
      <c r="P314" s="2">
        <f>SUM(Levy!U316:V316)</f>
        <v>34471.82</v>
      </c>
      <c r="Q314" s="2">
        <f t="shared" si="29"/>
        <v>277246.18</v>
      </c>
    </row>
    <row r="315" spans="1:17" x14ac:dyDescent="0.2">
      <c r="A315" s="4">
        <v>2769</v>
      </c>
      <c r="B315" s="4">
        <v>1</v>
      </c>
      <c r="C315" s="2" t="s">
        <v>1167</v>
      </c>
      <c r="D315" s="3">
        <f>SUM('Shift 14'!D314:L314)</f>
        <v>188089.09</v>
      </c>
      <c r="E315" s="3">
        <f>ROUND(MAX(0,(Levy!Q317+Data!D316+Data!E316-Levy!U317)*0.5),2)</f>
        <v>633381.34</v>
      </c>
      <c r="F315" s="3">
        <f t="shared" si="24"/>
        <v>0</v>
      </c>
      <c r="G315" s="3">
        <f t="shared" si="25"/>
        <v>188089.09</v>
      </c>
      <c r="I315" s="3">
        <f>SUM('Shift 14'!M314:N314)</f>
        <v>0</v>
      </c>
      <c r="J315" s="3">
        <f>ROUND(MAX(0,(Levy!R317-Levy!V317)*0.5),2)</f>
        <v>53043.61</v>
      </c>
      <c r="K315" s="3">
        <f t="shared" si="26"/>
        <v>0</v>
      </c>
      <c r="L315" s="3">
        <f t="shared" si="27"/>
        <v>0</v>
      </c>
      <c r="N315" s="3">
        <f t="shared" si="28"/>
        <v>188089.09</v>
      </c>
      <c r="O315" s="2">
        <f>SUM(Levy!F317:J317)</f>
        <v>1389551.58</v>
      </c>
      <c r="P315" s="2">
        <f>SUM(Levy!U317:V317)</f>
        <v>16701.689999999995</v>
      </c>
      <c r="Q315" s="2">
        <f t="shared" si="29"/>
        <v>1372849.8900000001</v>
      </c>
    </row>
    <row r="316" spans="1:17" x14ac:dyDescent="0.2">
      <c r="A316" s="4">
        <v>2805</v>
      </c>
      <c r="B316" s="4">
        <v>1</v>
      </c>
      <c r="C316" s="2" t="s">
        <v>319</v>
      </c>
      <c r="D316" s="3">
        <f>SUM('Shift 14'!D315:L315)</f>
        <v>172934.16</v>
      </c>
      <c r="E316" s="3">
        <f>ROUND(MAX(0,(Levy!Q318+Data!D317+Data!E317-Levy!U318)*0.5),2)</f>
        <v>933443.19</v>
      </c>
      <c r="F316" s="3">
        <f t="shared" si="24"/>
        <v>0</v>
      </c>
      <c r="G316" s="3">
        <f t="shared" si="25"/>
        <v>172934.16</v>
      </c>
      <c r="I316" s="3">
        <f>SUM('Shift 14'!M315:N315)</f>
        <v>0</v>
      </c>
      <c r="J316" s="3">
        <f>ROUND(MAX(0,(Levy!R318-Levy!V318)*0.5),2)</f>
        <v>79214.58</v>
      </c>
      <c r="K316" s="3">
        <f t="shared" si="26"/>
        <v>0</v>
      </c>
      <c r="L316" s="3">
        <f t="shared" si="27"/>
        <v>0</v>
      </c>
      <c r="N316" s="3">
        <f t="shared" si="28"/>
        <v>172934.16</v>
      </c>
      <c r="O316" s="2">
        <f>SUM(Levy!F318:J318)</f>
        <v>2038530</v>
      </c>
      <c r="P316" s="2">
        <f>SUM(Levy!U318:V318)</f>
        <v>13214.460000000001</v>
      </c>
      <c r="Q316" s="2">
        <f t="shared" si="29"/>
        <v>2025315.54</v>
      </c>
    </row>
    <row r="317" spans="1:17" x14ac:dyDescent="0.2">
      <c r="A317" s="4">
        <v>2835</v>
      </c>
      <c r="B317" s="4">
        <v>1</v>
      </c>
      <c r="C317" s="2" t="s">
        <v>1139</v>
      </c>
      <c r="D317" s="3">
        <f>SUM('Shift 14'!D316:L316)</f>
        <v>187608.42</v>
      </c>
      <c r="E317" s="3">
        <f>ROUND(MAX(0,(Levy!Q319+Data!D318+Data!E318-Levy!U319)*0.5),2)</f>
        <v>720037.33</v>
      </c>
      <c r="F317" s="3">
        <f t="shared" si="24"/>
        <v>0</v>
      </c>
      <c r="G317" s="3">
        <f t="shared" si="25"/>
        <v>187608.42</v>
      </c>
      <c r="I317" s="3">
        <f>SUM('Shift 14'!M316:N316)</f>
        <v>0</v>
      </c>
      <c r="J317" s="3">
        <f>ROUND(MAX(0,(Levy!R319-Levy!V319)*0.5),2)</f>
        <v>19047.990000000002</v>
      </c>
      <c r="K317" s="3">
        <f t="shared" si="26"/>
        <v>0</v>
      </c>
      <c r="L317" s="3">
        <f t="shared" si="27"/>
        <v>0</v>
      </c>
      <c r="N317" s="3">
        <f t="shared" si="28"/>
        <v>187608.42</v>
      </c>
      <c r="O317" s="2">
        <f>SUM(Levy!F319:J319)</f>
        <v>1486521</v>
      </c>
      <c r="P317" s="2">
        <f>SUM(Levy!U319:V319)</f>
        <v>8350.369999999999</v>
      </c>
      <c r="Q317" s="2">
        <f t="shared" si="29"/>
        <v>1478170.63</v>
      </c>
    </row>
    <row r="318" spans="1:17" x14ac:dyDescent="0.2">
      <c r="A318" s="4">
        <v>2853</v>
      </c>
      <c r="B318" s="4">
        <v>1</v>
      </c>
      <c r="C318" s="2" t="s">
        <v>1138</v>
      </c>
      <c r="D318" s="3">
        <f>SUM('Shift 14'!D317:L317)</f>
        <v>129687.01</v>
      </c>
      <c r="E318" s="3">
        <f>ROUND(MAX(0,(Levy!Q320+Data!D319+Data!E319-Levy!U320)*0.5),2)</f>
        <v>602729.96</v>
      </c>
      <c r="F318" s="3">
        <f t="shared" si="24"/>
        <v>0</v>
      </c>
      <c r="G318" s="3">
        <f t="shared" si="25"/>
        <v>129687.01</v>
      </c>
      <c r="I318" s="3">
        <f>SUM('Shift 14'!M317:N317)</f>
        <v>0</v>
      </c>
      <c r="J318" s="3">
        <f>ROUND(MAX(0,(Levy!R320-Levy!V320)*0.5),2)</f>
        <v>52708.79</v>
      </c>
      <c r="K318" s="3">
        <f t="shared" si="26"/>
        <v>0</v>
      </c>
      <c r="L318" s="3">
        <f t="shared" si="27"/>
        <v>0</v>
      </c>
      <c r="N318" s="3">
        <f t="shared" si="28"/>
        <v>129687.01</v>
      </c>
      <c r="O318" s="2">
        <f>SUM(Levy!F320:J320)</f>
        <v>1340208.1500000001</v>
      </c>
      <c r="P318" s="2">
        <f>SUM(Levy!U320:V320)</f>
        <v>29330.660000000003</v>
      </c>
      <c r="Q318" s="2">
        <f t="shared" si="29"/>
        <v>1310877.4900000002</v>
      </c>
    </row>
    <row r="319" spans="1:17" x14ac:dyDescent="0.2">
      <c r="A319" s="4">
        <v>2854</v>
      </c>
      <c r="B319" s="4">
        <v>1</v>
      </c>
      <c r="C319" s="2" t="s">
        <v>322</v>
      </c>
      <c r="D319" s="3">
        <f>SUM('Shift 14'!D318:L318)</f>
        <v>71742.289999999994</v>
      </c>
      <c r="E319" s="3">
        <f>ROUND(MAX(0,(Levy!Q321+Data!D320+Data!E320-Levy!U321)*0.5),2)</f>
        <v>222311.63</v>
      </c>
      <c r="F319" s="3">
        <f t="shared" si="24"/>
        <v>0</v>
      </c>
      <c r="G319" s="3">
        <f t="shared" si="25"/>
        <v>71742.289999999994</v>
      </c>
      <c r="I319" s="3">
        <f>SUM('Shift 14'!M318:N318)</f>
        <v>0</v>
      </c>
      <c r="J319" s="3">
        <f>ROUND(MAX(0,(Levy!R321-Levy!V321)*0.5),2)</f>
        <v>19824.71</v>
      </c>
      <c r="K319" s="3">
        <f t="shared" si="26"/>
        <v>0</v>
      </c>
      <c r="L319" s="3">
        <f t="shared" si="27"/>
        <v>0</v>
      </c>
      <c r="N319" s="3">
        <f t="shared" si="28"/>
        <v>71742.289999999994</v>
      </c>
      <c r="O319" s="2">
        <f>SUM(Levy!F321:J321)</f>
        <v>498118.22000000003</v>
      </c>
      <c r="P319" s="2">
        <f>SUM(Levy!U321:V321)</f>
        <v>13845.55</v>
      </c>
      <c r="Q319" s="2">
        <f t="shared" si="29"/>
        <v>484272.67000000004</v>
      </c>
    </row>
    <row r="320" spans="1:17" x14ac:dyDescent="0.2">
      <c r="A320" s="4">
        <v>2856</v>
      </c>
      <c r="B320" s="4">
        <v>1</v>
      </c>
      <c r="C320" s="2" t="s">
        <v>1137</v>
      </c>
      <c r="D320" s="3">
        <f>SUM('Shift 14'!D319:L319)</f>
        <v>149713.26</v>
      </c>
      <c r="E320" s="3">
        <f>ROUND(MAX(0,(Levy!Q322+Data!D321+Data!E321-Levy!U322)*0.5),2)</f>
        <v>276509.93</v>
      </c>
      <c r="F320" s="3">
        <f t="shared" si="24"/>
        <v>0</v>
      </c>
      <c r="G320" s="3">
        <f t="shared" si="25"/>
        <v>149713.26</v>
      </c>
      <c r="I320" s="3">
        <f>SUM('Shift 14'!M319:N319)</f>
        <v>0</v>
      </c>
      <c r="J320" s="3">
        <f>ROUND(MAX(0,(Levy!R322-Levy!V322)*0.5),2)</f>
        <v>26704.87</v>
      </c>
      <c r="K320" s="3">
        <f t="shared" si="26"/>
        <v>0</v>
      </c>
      <c r="L320" s="3">
        <f t="shared" si="27"/>
        <v>0</v>
      </c>
      <c r="N320" s="3">
        <f t="shared" si="28"/>
        <v>149713.26</v>
      </c>
      <c r="O320" s="2">
        <f>SUM(Levy!F322:J322)</f>
        <v>609011.33000000007</v>
      </c>
      <c r="P320" s="2">
        <f>SUM(Levy!U322:V322)</f>
        <v>2581.75</v>
      </c>
      <c r="Q320" s="2">
        <f t="shared" si="29"/>
        <v>606429.58000000007</v>
      </c>
    </row>
    <row r="321" spans="1:17" x14ac:dyDescent="0.2">
      <c r="A321" s="4">
        <v>2859</v>
      </c>
      <c r="B321" s="4">
        <v>1</v>
      </c>
      <c r="C321" s="2" t="s">
        <v>1136</v>
      </c>
      <c r="D321" s="3">
        <f>SUM('Shift 14'!D320:L320)</f>
        <v>221762.44</v>
      </c>
      <c r="E321" s="3">
        <f>ROUND(MAX(0,(Levy!Q323+Data!D322+Data!E322-Levy!U323)*0.5),2)</f>
        <v>871046.38</v>
      </c>
      <c r="F321" s="3">
        <f t="shared" si="24"/>
        <v>0</v>
      </c>
      <c r="G321" s="3">
        <f t="shared" si="25"/>
        <v>221762.44</v>
      </c>
      <c r="I321" s="3">
        <f>SUM('Shift 14'!M320:N320)</f>
        <v>0</v>
      </c>
      <c r="J321" s="3">
        <f>ROUND(MAX(0,(Levy!R323-Levy!V323)*0.5),2)</f>
        <v>77639.33</v>
      </c>
      <c r="K321" s="3">
        <f t="shared" si="26"/>
        <v>0</v>
      </c>
      <c r="L321" s="3">
        <f t="shared" si="27"/>
        <v>0</v>
      </c>
      <c r="N321" s="3">
        <f t="shared" si="28"/>
        <v>221762.44</v>
      </c>
      <c r="O321" s="2">
        <f>SUM(Levy!F323:J323)</f>
        <v>1946963</v>
      </c>
      <c r="P321" s="2">
        <f>SUM(Levy!U323:V323)</f>
        <v>49591.59</v>
      </c>
      <c r="Q321" s="2">
        <f t="shared" si="29"/>
        <v>1897371.41</v>
      </c>
    </row>
    <row r="322" spans="1:17" x14ac:dyDescent="0.2">
      <c r="A322" s="4">
        <v>2860</v>
      </c>
      <c r="B322" s="4">
        <v>1</v>
      </c>
      <c r="C322" s="2" t="s">
        <v>325</v>
      </c>
      <c r="D322" s="3">
        <f>SUM('Shift 14'!D321:L321)</f>
        <v>161661.34</v>
      </c>
      <c r="E322" s="3">
        <f>ROUND(MAX(0,(Levy!Q324+Data!D323+Data!E323-Levy!U324)*0.5),2)</f>
        <v>483644.35</v>
      </c>
      <c r="F322" s="3">
        <f t="shared" ref="F322:F338" si="30">IF(D322&gt;E322,D322-E322,0)</f>
        <v>0</v>
      </c>
      <c r="G322" s="3">
        <f t="shared" ref="G322:G338" si="31">MAX(0,MIN(D322,E322))</f>
        <v>161661.34</v>
      </c>
      <c r="I322" s="3">
        <f>SUM('Shift 14'!M321:N321)</f>
        <v>0</v>
      </c>
      <c r="J322" s="3">
        <f>ROUND(MAX(0,(Levy!R324-Levy!V324)*0.5),2)</f>
        <v>63443.93</v>
      </c>
      <c r="K322" s="3">
        <f t="shared" ref="K322:K338" si="32">IF(I322&gt;J322,I322-J322,0)</f>
        <v>0</v>
      </c>
      <c r="L322" s="3">
        <f t="shared" ref="L322:L338" si="33">MAX(0,MIN(I322,J322))</f>
        <v>0</v>
      </c>
      <c r="N322" s="3">
        <f t="shared" si="28"/>
        <v>161661.34</v>
      </c>
      <c r="O322" s="2">
        <f>SUM(Levy!F324:J324)</f>
        <v>1145139.6399999999</v>
      </c>
      <c r="P322" s="2">
        <f>SUM(Levy!U324:V324)</f>
        <v>50963.08</v>
      </c>
      <c r="Q322" s="2">
        <f t="shared" si="29"/>
        <v>1094176.5599999998</v>
      </c>
    </row>
    <row r="323" spans="1:17" x14ac:dyDescent="0.2">
      <c r="A323" s="4">
        <v>2884</v>
      </c>
      <c r="B323" s="4">
        <v>1</v>
      </c>
      <c r="C323" s="2" t="s">
        <v>326</v>
      </c>
      <c r="D323" s="3">
        <f>SUM('Shift 14'!D322:L322)</f>
        <v>83203.09</v>
      </c>
      <c r="E323" s="3">
        <f>ROUND(MAX(0,(Levy!Q325+Data!D324+Data!E324-Levy!U325)*0.5),2)</f>
        <v>454243.6</v>
      </c>
      <c r="F323" s="3">
        <f t="shared" si="30"/>
        <v>0</v>
      </c>
      <c r="G323" s="3">
        <f t="shared" si="31"/>
        <v>83203.09</v>
      </c>
      <c r="I323" s="3">
        <f>SUM('Shift 14'!M322:N322)</f>
        <v>0</v>
      </c>
      <c r="J323" s="3">
        <f>ROUND(MAX(0,(Levy!R325-Levy!V325)*0.5),2)</f>
        <v>12477.5</v>
      </c>
      <c r="K323" s="3">
        <f t="shared" si="32"/>
        <v>0</v>
      </c>
      <c r="L323" s="3">
        <f t="shared" si="33"/>
        <v>0</v>
      </c>
      <c r="N323" s="3">
        <f t="shared" si="28"/>
        <v>83203.09</v>
      </c>
      <c r="O323" s="2">
        <f>SUM(Levy!F325:J325)</f>
        <v>949857</v>
      </c>
      <c r="P323" s="2">
        <f>SUM(Levy!U325:V325)</f>
        <v>16414.810000000001</v>
      </c>
      <c r="Q323" s="2">
        <f t="shared" si="29"/>
        <v>933442.19</v>
      </c>
    </row>
    <row r="324" spans="1:17" x14ac:dyDescent="0.2">
      <c r="A324" s="4">
        <v>2886</v>
      </c>
      <c r="B324" s="4">
        <v>1</v>
      </c>
      <c r="C324" s="2" t="s">
        <v>327</v>
      </c>
      <c r="D324" s="3">
        <f>SUM('Shift 14'!D323:L323)</f>
        <v>134657.77000000002</v>
      </c>
      <c r="E324" s="3">
        <f>ROUND(MAX(0,(Levy!Q326+Data!D325+Data!E325-Levy!U326)*0.5),2)</f>
        <v>231787.68</v>
      </c>
      <c r="F324" s="3">
        <f t="shared" si="30"/>
        <v>0</v>
      </c>
      <c r="G324" s="3">
        <f t="shared" si="31"/>
        <v>134657.77000000002</v>
      </c>
      <c r="I324" s="3">
        <f>SUM('Shift 14'!M323:N323)</f>
        <v>0</v>
      </c>
      <c r="J324" s="3">
        <f>ROUND(MAX(0,(Levy!R326-Levy!V326)*0.5),2)</f>
        <v>12436.96</v>
      </c>
      <c r="K324" s="3">
        <f t="shared" si="32"/>
        <v>0</v>
      </c>
      <c r="L324" s="3">
        <f t="shared" si="33"/>
        <v>0</v>
      </c>
      <c r="N324" s="3">
        <f t="shared" si="28"/>
        <v>134657.77000000002</v>
      </c>
      <c r="O324" s="2">
        <f>SUM(Levy!F326:J326)</f>
        <v>494937</v>
      </c>
      <c r="P324" s="2">
        <f>SUM(Levy!U326:V326)</f>
        <v>6487.7199999999993</v>
      </c>
      <c r="Q324" s="2">
        <f t="shared" si="29"/>
        <v>488449.28000000003</v>
      </c>
    </row>
    <row r="325" spans="1:17" x14ac:dyDescent="0.2">
      <c r="A325" s="4">
        <v>2888</v>
      </c>
      <c r="B325" s="4">
        <v>1</v>
      </c>
      <c r="C325" s="2" t="s">
        <v>1135</v>
      </c>
      <c r="D325" s="3">
        <f>SUM('Shift 14'!D324:L324)</f>
        <v>55484.25</v>
      </c>
      <c r="E325" s="3">
        <f>ROUND(MAX(0,(Levy!Q327+Data!D326+Data!E326-Levy!U327)*0.5),2)</f>
        <v>169655.76</v>
      </c>
      <c r="F325" s="3">
        <f t="shared" si="30"/>
        <v>0</v>
      </c>
      <c r="G325" s="3">
        <f t="shared" si="31"/>
        <v>55484.25</v>
      </c>
      <c r="I325" s="3">
        <f>SUM('Shift 14'!M324:N324)</f>
        <v>0</v>
      </c>
      <c r="J325" s="3">
        <f>ROUND(MAX(0,(Levy!R327-Levy!V327)*0.5),2)</f>
        <v>6681.14</v>
      </c>
      <c r="K325" s="3">
        <f t="shared" si="32"/>
        <v>0</v>
      </c>
      <c r="L325" s="3">
        <f t="shared" si="33"/>
        <v>0</v>
      </c>
      <c r="N325" s="3">
        <f t="shared" si="28"/>
        <v>55484.25</v>
      </c>
      <c r="O325" s="2">
        <f>SUM(Levy!F327:J327)</f>
        <v>359660.72</v>
      </c>
      <c r="P325" s="2">
        <f>SUM(Levy!U327:V327)</f>
        <v>6986.920000000001</v>
      </c>
      <c r="Q325" s="2">
        <f t="shared" si="29"/>
        <v>352673.8</v>
      </c>
    </row>
    <row r="326" spans="1:17" x14ac:dyDescent="0.2">
      <c r="A326" s="4">
        <v>2889</v>
      </c>
      <c r="B326" s="4">
        <v>1</v>
      </c>
      <c r="C326" s="2" t="s">
        <v>1134</v>
      </c>
      <c r="D326" s="3">
        <f>SUM('Shift 14'!D325:L325)</f>
        <v>100043.44</v>
      </c>
      <c r="E326" s="3">
        <f>ROUND(MAX(0,(Levy!Q328+Data!D327+Data!E327-Levy!U328)*0.5),2)</f>
        <v>521289.97</v>
      </c>
      <c r="F326" s="3">
        <f t="shared" si="30"/>
        <v>0</v>
      </c>
      <c r="G326" s="3">
        <f t="shared" si="31"/>
        <v>100043.44</v>
      </c>
      <c r="I326" s="3">
        <f>SUM('Shift 14'!M325:N325)</f>
        <v>0</v>
      </c>
      <c r="J326" s="3">
        <f>ROUND(MAX(0,(Levy!R328-Levy!V328)*0.5),2)</f>
        <v>36400.58</v>
      </c>
      <c r="K326" s="3">
        <f t="shared" si="32"/>
        <v>0</v>
      </c>
      <c r="L326" s="3">
        <f t="shared" si="33"/>
        <v>0</v>
      </c>
      <c r="N326" s="3">
        <f t="shared" ref="N326:N338" si="34">G326+L326</f>
        <v>100043.44</v>
      </c>
      <c r="O326" s="2">
        <f>SUM(Levy!F328:J328)</f>
        <v>1120196.1000000001</v>
      </c>
      <c r="P326" s="2">
        <f>SUM(Levy!U328:V328)</f>
        <v>4815.0099999999993</v>
      </c>
      <c r="Q326" s="2">
        <f t="shared" ref="Q326:Q338" si="35">O326-P326</f>
        <v>1115381.0900000001</v>
      </c>
    </row>
    <row r="327" spans="1:17" x14ac:dyDescent="0.2">
      <c r="A327" s="4">
        <v>2890</v>
      </c>
      <c r="B327" s="4">
        <v>1</v>
      </c>
      <c r="C327" s="2" t="s">
        <v>1133</v>
      </c>
      <c r="D327" s="3">
        <f>SUM('Shift 14'!D326:L326)</f>
        <v>222765.15</v>
      </c>
      <c r="E327" s="3">
        <f>ROUND(MAX(0,(Levy!Q329+Data!D328+Data!E328-Levy!U329)*0.5),2)</f>
        <v>646248.13</v>
      </c>
      <c r="F327" s="3">
        <f t="shared" si="30"/>
        <v>0</v>
      </c>
      <c r="G327" s="3">
        <f t="shared" si="31"/>
        <v>222765.15</v>
      </c>
      <c r="I327" s="3">
        <f>SUM('Shift 14'!M326:N326)</f>
        <v>0</v>
      </c>
      <c r="J327" s="3">
        <f>ROUND(MAX(0,(Levy!R329-Levy!V329)*0.5),2)</f>
        <v>32306.91</v>
      </c>
      <c r="K327" s="3">
        <f t="shared" si="32"/>
        <v>0</v>
      </c>
      <c r="L327" s="3">
        <f t="shared" si="33"/>
        <v>0</v>
      </c>
      <c r="N327" s="3">
        <f t="shared" si="34"/>
        <v>222765.15</v>
      </c>
      <c r="O327" s="2">
        <f>SUM(Levy!F329:J329)</f>
        <v>1376182.99</v>
      </c>
      <c r="P327" s="2">
        <f>SUM(Levy!U329:V329)</f>
        <v>19072.919999999998</v>
      </c>
      <c r="Q327" s="2">
        <f t="shared" si="35"/>
        <v>1357110.07</v>
      </c>
    </row>
    <row r="328" spans="1:17" x14ac:dyDescent="0.2">
      <c r="A328" s="4">
        <v>2895</v>
      </c>
      <c r="B328" s="4">
        <v>1</v>
      </c>
      <c r="C328" s="2" t="s">
        <v>1132</v>
      </c>
      <c r="D328" s="3">
        <f>SUM('Shift 14'!D327:L327)</f>
        <v>72103.98</v>
      </c>
      <c r="E328" s="3">
        <f>ROUND(MAX(0,(Levy!Q330+Data!D329+Data!E329-Levy!U330)*0.5),2)</f>
        <v>809864.95</v>
      </c>
      <c r="F328" s="3">
        <f t="shared" si="30"/>
        <v>0</v>
      </c>
      <c r="G328" s="3">
        <f t="shared" si="31"/>
        <v>72103.98</v>
      </c>
      <c r="I328" s="3">
        <f>SUM('Shift 14'!M327:N327)</f>
        <v>0</v>
      </c>
      <c r="J328" s="3">
        <f>ROUND(MAX(0,(Levy!R330-Levy!V330)*0.5),2)</f>
        <v>55658.41</v>
      </c>
      <c r="K328" s="3">
        <f t="shared" si="32"/>
        <v>0</v>
      </c>
      <c r="L328" s="3">
        <f t="shared" si="33"/>
        <v>0</v>
      </c>
      <c r="N328" s="3">
        <f t="shared" si="34"/>
        <v>72103.98</v>
      </c>
      <c r="O328" s="2">
        <f>SUM(Levy!F330:J330)</f>
        <v>1767972.46</v>
      </c>
      <c r="P328" s="2">
        <f>SUM(Levy!U330:V330)</f>
        <v>36925.75</v>
      </c>
      <c r="Q328" s="2">
        <f t="shared" si="35"/>
        <v>1731046.71</v>
      </c>
    </row>
    <row r="329" spans="1:17" x14ac:dyDescent="0.2">
      <c r="A329" s="4">
        <v>2897</v>
      </c>
      <c r="B329" s="4">
        <v>1</v>
      </c>
      <c r="C329" s="2" t="s">
        <v>1131</v>
      </c>
      <c r="D329" s="3">
        <f>SUM('Shift 14'!D328:L328)</f>
        <v>23707.01</v>
      </c>
      <c r="E329" s="3">
        <f>ROUND(MAX(0,(Levy!Q331+Data!D330+Data!E330-Levy!U331)*0.5),2)</f>
        <v>639785.30000000005</v>
      </c>
      <c r="F329" s="3">
        <f t="shared" si="30"/>
        <v>0</v>
      </c>
      <c r="G329" s="3">
        <f t="shared" si="31"/>
        <v>23707.01</v>
      </c>
      <c r="I329" s="3">
        <f>SUM('Shift 14'!M328:N328)</f>
        <v>0</v>
      </c>
      <c r="J329" s="3">
        <f>ROUND(MAX(0,(Levy!R331-Levy!V331)*0.5),2)</f>
        <v>59604.02</v>
      </c>
      <c r="K329" s="3">
        <f t="shared" si="32"/>
        <v>0</v>
      </c>
      <c r="L329" s="3">
        <f t="shared" si="33"/>
        <v>0</v>
      </c>
      <c r="N329" s="3">
        <f t="shared" si="34"/>
        <v>23707.01</v>
      </c>
      <c r="O329" s="2">
        <f>SUM(Levy!F331:J331)</f>
        <v>1417020</v>
      </c>
      <c r="P329" s="2">
        <f>SUM(Levy!U331:V331)</f>
        <v>18241.37</v>
      </c>
      <c r="Q329" s="2">
        <f t="shared" si="35"/>
        <v>1398778.63</v>
      </c>
    </row>
    <row r="330" spans="1:17" x14ac:dyDescent="0.2">
      <c r="A330" s="4">
        <v>2898</v>
      </c>
      <c r="B330" s="4">
        <v>1</v>
      </c>
      <c r="C330" s="2" t="s">
        <v>1130</v>
      </c>
      <c r="D330" s="3">
        <f>SUM('Shift 14'!D329:L329)</f>
        <v>139216.72999999998</v>
      </c>
      <c r="E330" s="3">
        <f>ROUND(MAX(0,(Levy!Q332+Data!D331+Data!E331-Levy!U332)*0.5),2)</f>
        <v>182945.48</v>
      </c>
      <c r="F330" s="3">
        <f t="shared" si="30"/>
        <v>0</v>
      </c>
      <c r="G330" s="3">
        <f t="shared" si="31"/>
        <v>139216.72999999998</v>
      </c>
      <c r="I330" s="3">
        <f>SUM('Shift 14'!M329:N329)</f>
        <v>0</v>
      </c>
      <c r="J330" s="3">
        <f>ROUND(MAX(0,(Levy!R332-Levy!V332)*0.5),2)</f>
        <v>19330.400000000001</v>
      </c>
      <c r="K330" s="3">
        <f t="shared" si="32"/>
        <v>0</v>
      </c>
      <c r="L330" s="3">
        <f t="shared" si="33"/>
        <v>0</v>
      </c>
      <c r="N330" s="3">
        <f t="shared" si="34"/>
        <v>139216.72999999998</v>
      </c>
      <c r="O330" s="2">
        <f>SUM(Levy!F332:J332)</f>
        <v>417428</v>
      </c>
      <c r="P330" s="2">
        <f>SUM(Levy!U332:V332)</f>
        <v>12876.259999999998</v>
      </c>
      <c r="Q330" s="2">
        <f t="shared" si="35"/>
        <v>404551.74</v>
      </c>
    </row>
    <row r="331" spans="1:17" x14ac:dyDescent="0.2">
      <c r="A331" s="4">
        <v>2899</v>
      </c>
      <c r="B331" s="4">
        <v>1</v>
      </c>
      <c r="C331" s="2" t="s">
        <v>1079</v>
      </c>
      <c r="D331" s="3">
        <f>SUM('Shift 14'!D330:L330)</f>
        <v>47105.62</v>
      </c>
      <c r="E331" s="3">
        <f>ROUND(MAX(0,(Levy!Q333+Data!D332+Data!E332-Levy!U333)*0.5),2)</f>
        <v>440921.51</v>
      </c>
      <c r="F331" s="3">
        <f t="shared" si="30"/>
        <v>0</v>
      </c>
      <c r="G331" s="3">
        <f t="shared" si="31"/>
        <v>47105.62</v>
      </c>
      <c r="I331" s="3">
        <f>SUM('Shift 14'!M330:N330)</f>
        <v>0</v>
      </c>
      <c r="J331" s="3">
        <f>ROUND(MAX(0,(Levy!R333-Levy!V333)*0.5),2)</f>
        <v>33602.910000000003</v>
      </c>
      <c r="K331" s="3">
        <f t="shared" si="32"/>
        <v>0</v>
      </c>
      <c r="L331" s="3">
        <f t="shared" si="33"/>
        <v>0</v>
      </c>
      <c r="N331" s="3">
        <f t="shared" si="34"/>
        <v>47105.62</v>
      </c>
      <c r="O331" s="2">
        <f>SUM(Levy!F333:J333)</f>
        <v>961903</v>
      </c>
      <c r="P331" s="2">
        <f>SUM(Levy!U333:V333)</f>
        <v>12854.159999999998</v>
      </c>
      <c r="Q331" s="2">
        <f t="shared" si="35"/>
        <v>949048.84</v>
      </c>
    </row>
    <row r="332" spans="1:17" x14ac:dyDescent="0.2">
      <c r="A332" s="4">
        <v>2902</v>
      </c>
      <c r="B332" s="4">
        <v>1</v>
      </c>
      <c r="C332" s="2" t="s">
        <v>493</v>
      </c>
      <c r="D332" s="3">
        <f>SUM('Shift 14'!D331:L331)</f>
        <v>65007.109999999993</v>
      </c>
      <c r="E332" s="3">
        <f>ROUND(MAX(0,(Levy!Q334+Data!D333+Data!E333-Levy!U334)*0.5),2)</f>
        <v>294301.21999999997</v>
      </c>
      <c r="F332" s="3">
        <f t="shared" si="30"/>
        <v>0</v>
      </c>
      <c r="G332" s="3">
        <f t="shared" si="31"/>
        <v>65007.109999999993</v>
      </c>
      <c r="I332" s="3">
        <f>SUM('Shift 14'!M331:N331)</f>
        <v>0</v>
      </c>
      <c r="J332" s="3">
        <f>ROUND(MAX(0,(Levy!R334-Levy!V334)*0.5),2)</f>
        <v>20694.689999999999</v>
      </c>
      <c r="K332" s="3">
        <f t="shared" si="32"/>
        <v>0</v>
      </c>
      <c r="L332" s="3">
        <f t="shared" si="33"/>
        <v>0</v>
      </c>
      <c r="N332" s="3">
        <f t="shared" si="34"/>
        <v>65007.109999999993</v>
      </c>
      <c r="O332" s="2">
        <f>SUM(Levy!F334:J334)</f>
        <v>655488</v>
      </c>
      <c r="P332" s="2">
        <f>SUM(Levy!U334:V334)</f>
        <v>25496.189999999995</v>
      </c>
      <c r="Q332" s="2">
        <f t="shared" si="35"/>
        <v>629991.81000000006</v>
      </c>
    </row>
    <row r="333" spans="1:17" x14ac:dyDescent="0.2">
      <c r="A333" s="4">
        <v>2903</v>
      </c>
      <c r="B333" s="4">
        <v>1</v>
      </c>
      <c r="C333" s="2" t="s">
        <v>633</v>
      </c>
      <c r="D333" s="3">
        <f>SUM('Shift 14'!D332:L332)</f>
        <v>92082.3</v>
      </c>
      <c r="E333" s="3">
        <f>ROUND(MAX(0,(Levy!Q335+Data!D334+Data!E334-Levy!U335)*0.5),2)</f>
        <v>313927.12</v>
      </c>
      <c r="F333" s="3">
        <f t="shared" si="30"/>
        <v>0</v>
      </c>
      <c r="G333" s="3">
        <f t="shared" si="31"/>
        <v>92082.3</v>
      </c>
      <c r="I333" s="3">
        <f>SUM('Shift 14'!M332:N332)</f>
        <v>0</v>
      </c>
      <c r="J333" s="3">
        <f>ROUND(MAX(0,(Levy!R335-Levy!V335)*0.5),2)</f>
        <v>22105.200000000001</v>
      </c>
      <c r="K333" s="3">
        <f t="shared" si="32"/>
        <v>0</v>
      </c>
      <c r="L333" s="3">
        <f t="shared" si="33"/>
        <v>0</v>
      </c>
      <c r="N333" s="3">
        <f t="shared" si="34"/>
        <v>92082.3</v>
      </c>
      <c r="O333" s="2">
        <f>SUM(Levy!F335:J335)</f>
        <v>689364.69</v>
      </c>
      <c r="P333" s="2">
        <f>SUM(Levy!U335:V335)</f>
        <v>17300.060000000001</v>
      </c>
      <c r="Q333" s="2">
        <f t="shared" si="35"/>
        <v>672064.62999999989</v>
      </c>
    </row>
    <row r="334" spans="1:17" x14ac:dyDescent="0.2">
      <c r="A334" s="4">
        <v>2904</v>
      </c>
      <c r="B334" s="4">
        <v>1</v>
      </c>
      <c r="C334" s="2" t="s">
        <v>634</v>
      </c>
      <c r="D334" s="3">
        <f>SUM('Shift 14'!D333:L333)</f>
        <v>127338.34</v>
      </c>
      <c r="E334" s="3">
        <f>ROUND(MAX(0,(Levy!Q336+Data!D335+Data!E335-Levy!U336)*0.5),2)</f>
        <v>550655.19999999995</v>
      </c>
      <c r="F334" s="3">
        <f t="shared" si="30"/>
        <v>0</v>
      </c>
      <c r="G334" s="3">
        <f t="shared" si="31"/>
        <v>127338.34</v>
      </c>
      <c r="I334" s="3">
        <f>SUM('Shift 14'!M333:N333)</f>
        <v>0</v>
      </c>
      <c r="J334" s="3">
        <f>ROUND(MAX(0,(Levy!R336-Levy!V336)*0.5),2)</f>
        <v>32031.31</v>
      </c>
      <c r="K334" s="3">
        <f t="shared" si="32"/>
        <v>0</v>
      </c>
      <c r="L334" s="3">
        <f t="shared" si="33"/>
        <v>0</v>
      </c>
      <c r="N334" s="3">
        <f t="shared" si="34"/>
        <v>127338.34</v>
      </c>
      <c r="O334" s="2">
        <f>SUM(Levy!F336:J336)</f>
        <v>1192611</v>
      </c>
      <c r="P334" s="2">
        <f>SUM(Levy!U336:V336)</f>
        <v>27237.990000000005</v>
      </c>
      <c r="Q334" s="2">
        <f t="shared" si="35"/>
        <v>1165373.01</v>
      </c>
    </row>
    <row r="335" spans="1:17" x14ac:dyDescent="0.2">
      <c r="A335" s="4">
        <v>2905</v>
      </c>
      <c r="B335" s="4">
        <v>1</v>
      </c>
      <c r="C335" s="2" t="s">
        <v>1129</v>
      </c>
      <c r="D335" s="3">
        <f>SUM('Shift 14'!D334:L334)</f>
        <v>73632.840000000011</v>
      </c>
      <c r="E335" s="3">
        <f>ROUND(MAX(0,(Levy!Q337+Data!D336+Data!E336-Levy!U337)*0.5),2)</f>
        <v>934301.93</v>
      </c>
      <c r="F335" s="3">
        <f t="shared" si="30"/>
        <v>0</v>
      </c>
      <c r="G335" s="3">
        <f t="shared" si="31"/>
        <v>73632.840000000011</v>
      </c>
      <c r="I335" s="3">
        <f>SUM('Shift 14'!M334:N334)</f>
        <v>0</v>
      </c>
      <c r="J335" s="3">
        <f>ROUND(MAX(0,(Levy!R337-Levy!V337)*0.5),2)</f>
        <v>71911.28</v>
      </c>
      <c r="K335" s="3">
        <f t="shared" si="32"/>
        <v>0</v>
      </c>
      <c r="L335" s="3">
        <f t="shared" si="33"/>
        <v>0</v>
      </c>
      <c r="N335" s="3">
        <f t="shared" si="34"/>
        <v>73632.840000000011</v>
      </c>
      <c r="O335" s="2">
        <f>SUM(Levy!F337:J337)</f>
        <v>2037693.57</v>
      </c>
      <c r="P335" s="2">
        <f>SUM(Levy!U337:V337)</f>
        <v>25267.17</v>
      </c>
      <c r="Q335" s="2">
        <f t="shared" si="35"/>
        <v>2012426.4000000001</v>
      </c>
    </row>
    <row r="336" spans="1:17" x14ac:dyDescent="0.2">
      <c r="A336" s="4">
        <v>2906</v>
      </c>
      <c r="B336" s="4">
        <v>1</v>
      </c>
      <c r="C336" s="2" t="s">
        <v>1085</v>
      </c>
      <c r="D336" s="3">
        <f>SUM('Shift 14'!D335:L335)</f>
        <v>112472.37</v>
      </c>
      <c r="E336" s="3">
        <f>ROUND(MAX(0,(Levy!Q338+Data!D337+Data!E337-Levy!U338)*0.5),2)</f>
        <v>445905.93</v>
      </c>
      <c r="F336" s="3">
        <f t="shared" si="30"/>
        <v>0</v>
      </c>
      <c r="G336" s="3">
        <f t="shared" si="31"/>
        <v>112472.37</v>
      </c>
      <c r="I336" s="3">
        <f>SUM('Shift 14'!M335:N335)</f>
        <v>0</v>
      </c>
      <c r="J336" s="3">
        <f>ROUND(MAX(0,(Levy!R338-Levy!V338)*0.5),2)</f>
        <v>23716.47</v>
      </c>
      <c r="K336" s="3">
        <f t="shared" si="32"/>
        <v>0</v>
      </c>
      <c r="L336" s="3">
        <f t="shared" si="33"/>
        <v>0</v>
      </c>
      <c r="N336" s="3">
        <f t="shared" si="34"/>
        <v>112472.37</v>
      </c>
      <c r="O336" s="2">
        <f>SUM(Levy!F338:J338)</f>
        <v>959260</v>
      </c>
      <c r="P336" s="2">
        <f>SUM(Levy!U338:V338)</f>
        <v>20015.22</v>
      </c>
      <c r="Q336" s="2">
        <f t="shared" si="35"/>
        <v>939244.78</v>
      </c>
    </row>
    <row r="337" spans="1:17" x14ac:dyDescent="0.2">
      <c r="A337" s="4">
        <v>2907</v>
      </c>
      <c r="B337" s="4">
        <v>1</v>
      </c>
      <c r="C337" s="2" t="s">
        <v>1127</v>
      </c>
      <c r="D337" s="3">
        <f>SUM('Shift 14'!D336:L336)</f>
        <v>90930.13</v>
      </c>
      <c r="E337" s="3">
        <f>ROUND(MAX(0,(Levy!Q339+Data!D338+Data!E338-Levy!U339)*0.5),2)</f>
        <v>343455.61</v>
      </c>
      <c r="F337" s="3">
        <f t="shared" si="30"/>
        <v>0</v>
      </c>
      <c r="G337" s="3">
        <f t="shared" si="31"/>
        <v>90930.13</v>
      </c>
      <c r="I337" s="3">
        <f>SUM('Shift 14'!M336:N336)</f>
        <v>0</v>
      </c>
      <c r="J337" s="3">
        <f>ROUND(MAX(0,(Levy!R339-Levy!V339)*0.5),2)</f>
        <v>13694.98</v>
      </c>
      <c r="K337" s="3">
        <f t="shared" si="32"/>
        <v>0</v>
      </c>
      <c r="L337" s="3">
        <f t="shared" si="33"/>
        <v>0</v>
      </c>
      <c r="N337" s="3">
        <f t="shared" si="34"/>
        <v>90930.13</v>
      </c>
      <c r="O337" s="2">
        <f>SUM(Levy!F339:J339)</f>
        <v>724861.85</v>
      </c>
      <c r="P337" s="2">
        <f>SUM(Levy!U339:V339)</f>
        <v>10560.69</v>
      </c>
      <c r="Q337" s="2">
        <f t="shared" si="35"/>
        <v>714301.16</v>
      </c>
    </row>
    <row r="338" spans="1:17" x14ac:dyDescent="0.2">
      <c r="A338" s="4">
        <v>2908</v>
      </c>
      <c r="B338" s="4">
        <v>1</v>
      </c>
      <c r="C338" s="2" t="s">
        <v>1128</v>
      </c>
      <c r="D338" s="3">
        <f>SUM('Shift 14'!D337:L337)</f>
        <v>22016</v>
      </c>
      <c r="E338" s="3">
        <f>ROUND(MAX(0,(Levy!Q340+Data!D339+Data!E339-Levy!U340)*0.5),2)</f>
        <v>343758.33</v>
      </c>
      <c r="F338" s="3">
        <f t="shared" si="30"/>
        <v>0</v>
      </c>
      <c r="G338" s="3">
        <f t="shared" si="31"/>
        <v>22016</v>
      </c>
      <c r="I338" s="3">
        <f>SUM('Shift 14'!M337:N337)</f>
        <v>0</v>
      </c>
      <c r="J338" s="3">
        <f>ROUND(MAX(0,(Levy!R340-Levy!V340)*0.5),2)</f>
        <v>20469.7</v>
      </c>
      <c r="K338" s="3">
        <f t="shared" si="32"/>
        <v>0</v>
      </c>
      <c r="L338" s="3">
        <f t="shared" si="33"/>
        <v>0</v>
      </c>
      <c r="N338" s="3">
        <f t="shared" si="34"/>
        <v>22016</v>
      </c>
      <c r="O338" s="2">
        <f>SUM(Levy!F340:J340)</f>
        <v>735592.01</v>
      </c>
      <c r="P338" s="2">
        <f>SUM(Levy!U340:V340)</f>
        <v>7135.9500000000007</v>
      </c>
      <c r="Q338" s="2">
        <f t="shared" si="35"/>
        <v>728456.06</v>
      </c>
    </row>
    <row r="339" spans="1:17" x14ac:dyDescent="0.2">
      <c r="A339" s="159" t="s">
        <v>1241</v>
      </c>
    </row>
    <row r="340" spans="1:17" x14ac:dyDescent="0.2"/>
  </sheetData>
  <phoneticPr fontId="0" type="noConversion"/>
  <pageMargins left="0.75" right="0.75" top="1" bottom="1" header="0.5" footer="0.5"/>
  <pageSetup scale="67" fitToHeight="7" orientation="portrait" r:id="rId1"/>
  <headerFooter alignWithMargins="0">
    <oddFooter>&amp;C&amp;P of &amp;N</oddFooter>
  </headerFooter>
  <ignoredErrors>
    <ignoredError sqref="O7:O126 O127:O338" formulaRange="1"/>
  </ignoredErrors>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41"/>
  <sheetViews>
    <sheetView workbookViewId="0">
      <selection activeCell="A2" sqref="A2"/>
    </sheetView>
  </sheetViews>
  <sheetFormatPr defaultColWidth="0" defaultRowHeight="11.25" zeroHeight="1" x14ac:dyDescent="0.2"/>
  <cols>
    <col min="1" max="1" width="7" style="4" customWidth="1"/>
    <col min="2" max="2" width="6.83203125" style="4" customWidth="1"/>
    <col min="3" max="3" width="18.33203125" style="2" customWidth="1"/>
    <col min="4" max="4" width="16.83203125" style="3" customWidth="1"/>
    <col min="5" max="5" width="15" style="3" bestFit="1" customWidth="1"/>
    <col min="6" max="6" width="15.5" style="3" customWidth="1"/>
    <col min="7" max="8" width="14.83203125" style="3" customWidth="1"/>
    <col min="9" max="14" width="9.33203125" style="2" customWidth="1"/>
    <col min="15" max="15" width="14.1640625" style="2" bestFit="1" customWidth="1"/>
    <col min="16" max="16" width="9.33203125" style="2" customWidth="1"/>
    <col min="17" max="16384" width="9.33203125" style="2" hidden="1"/>
  </cols>
  <sheetData>
    <row r="1" spans="1:16" ht="19.5" x14ac:dyDescent="0.3">
      <c r="A1" s="243" t="s">
        <v>694</v>
      </c>
      <c r="E1" s="3">
        <v>-1</v>
      </c>
    </row>
    <row r="2" spans="1:16" x14ac:dyDescent="0.2">
      <c r="A2" s="159" t="s">
        <v>696</v>
      </c>
    </row>
    <row r="3" spans="1:16" x14ac:dyDescent="0.2">
      <c r="H3" s="134">
        <f>Report!I1</f>
        <v>41828</v>
      </c>
    </row>
    <row r="4" spans="1:16" ht="22.7" customHeight="1" x14ac:dyDescent="0.2">
      <c r="D4" s="202" t="str">
        <f>"Est Aid Reductions (Payments) in "&amp;Instructions!R2&amp;" for Shift"</f>
        <v>Est Aid Reductions (Payments) in FY 2014 for Shift</v>
      </c>
      <c r="E4" s="203"/>
      <c r="G4" s="202" t="str">
        <f>"GNL 214 Account "&amp;Instructions!S3</f>
        <v>GNL 214 Account 06/30/13</v>
      </c>
      <c r="H4" s="202"/>
    </row>
    <row r="5" spans="1:16" s="7" customFormat="1" ht="11.25" customHeight="1" x14ac:dyDescent="0.2">
      <c r="A5" s="5"/>
      <c r="B5" s="5"/>
      <c r="D5" s="8" t="s">
        <v>459</v>
      </c>
      <c r="E5" s="138" t="s">
        <v>460</v>
      </c>
      <c r="F5" s="138"/>
      <c r="G5" s="8" t="s">
        <v>459</v>
      </c>
      <c r="H5" s="138" t="s">
        <v>460</v>
      </c>
    </row>
    <row r="6" spans="1:16" x14ac:dyDescent="0.2"/>
    <row r="7" spans="1:16" x14ac:dyDescent="0.2">
      <c r="C7" s="2" t="s">
        <v>340</v>
      </c>
      <c r="D7" s="2">
        <f>SUM(D9:D340)</f>
        <v>551059742.35000014</v>
      </c>
      <c r="E7" s="2">
        <f>SUM(E9:E340)</f>
        <v>0</v>
      </c>
      <c r="F7" s="3">
        <f>E7+D7</f>
        <v>551059742.35000014</v>
      </c>
      <c r="G7" s="2">
        <f>SUM(G9:G340)</f>
        <v>-10807542.82</v>
      </c>
      <c r="H7" s="2">
        <f>SUM(H9:H340)</f>
        <v>-92759.299999999988</v>
      </c>
    </row>
    <row r="8" spans="1:16" x14ac:dyDescent="0.2"/>
    <row r="9" spans="1:16" x14ac:dyDescent="0.2">
      <c r="A9" s="4">
        <v>1</v>
      </c>
      <c r="B9" s="4">
        <v>1</v>
      </c>
      <c r="C9" s="2" t="s">
        <v>5</v>
      </c>
      <c r="D9" s="184">
        <v>354088.31</v>
      </c>
      <c r="E9" s="185">
        <v>0</v>
      </c>
      <c r="G9" s="3">
        <f>SUMIF(Query1!$B$4:$B$125,A9,Query1!$F$4:$F$125)</f>
        <v>-113799.41</v>
      </c>
      <c r="H9" s="3">
        <f>SUMIF(Query4!$B$4:$B$48,A9,Query4!$F$4:$F$48)</f>
        <v>0</v>
      </c>
      <c r="J9" s="2">
        <f>L9-A9</f>
        <v>0</v>
      </c>
      <c r="K9" s="2" t="s">
        <v>1120</v>
      </c>
      <c r="L9" s="2">
        <v>1</v>
      </c>
      <c r="M9" s="2">
        <v>1</v>
      </c>
      <c r="N9" s="2" t="s">
        <v>756</v>
      </c>
      <c r="O9" s="2">
        <v>354088.31</v>
      </c>
      <c r="P9" s="2">
        <v>0</v>
      </c>
    </row>
    <row r="10" spans="1:16" x14ac:dyDescent="0.2">
      <c r="A10" s="4">
        <v>1.2</v>
      </c>
      <c r="B10" s="4">
        <v>3</v>
      </c>
      <c r="C10" s="2" t="s">
        <v>6</v>
      </c>
      <c r="D10" s="184">
        <v>34709030.640000001</v>
      </c>
      <c r="E10" s="185">
        <v>0</v>
      </c>
      <c r="G10" s="3">
        <f>SUMIF(Query1!$B$4:$B$125,A10,Query1!$F$4:$F$125)</f>
        <v>-6868314</v>
      </c>
      <c r="H10" s="3">
        <f>SUMIF(Query4!$B$4:$B$48,A10,Query4!$F$4:$F$48)</f>
        <v>0</v>
      </c>
      <c r="J10" s="2">
        <f t="shared" ref="J10:J73" si="0">L10-A10</f>
        <v>0</v>
      </c>
      <c r="K10" s="2" t="s">
        <v>1120</v>
      </c>
      <c r="L10" s="2">
        <v>1.2</v>
      </c>
      <c r="M10" s="2">
        <v>3</v>
      </c>
      <c r="N10" s="2" t="s">
        <v>757</v>
      </c>
      <c r="O10" s="2">
        <v>34709030.640000001</v>
      </c>
      <c r="P10" s="2">
        <v>0</v>
      </c>
    </row>
    <row r="11" spans="1:16" x14ac:dyDescent="0.2">
      <c r="A11" s="4">
        <v>2</v>
      </c>
      <c r="B11" s="4">
        <v>1</v>
      </c>
      <c r="C11" s="2" t="s">
        <v>7</v>
      </c>
      <c r="D11" s="184">
        <v>62600.18</v>
      </c>
      <c r="E11" s="185">
        <v>0</v>
      </c>
      <c r="G11" s="3">
        <f>SUMIF(Query1!$B$4:$B$125,A11,Query1!$F$4:$F$125)</f>
        <v>0</v>
      </c>
      <c r="H11" s="3">
        <f>SUMIF(Query4!$B$4:$B$48,A11,Query4!$F$4:$F$48)</f>
        <v>0</v>
      </c>
      <c r="J11" s="2">
        <f t="shared" si="0"/>
        <v>0</v>
      </c>
      <c r="K11" s="2" t="s">
        <v>1120</v>
      </c>
      <c r="L11" s="2">
        <v>2</v>
      </c>
      <c r="M11" s="2">
        <v>1</v>
      </c>
      <c r="N11" s="2" t="s">
        <v>758</v>
      </c>
      <c r="O11" s="2">
        <v>62600.18</v>
      </c>
      <c r="P11" s="2">
        <v>0</v>
      </c>
    </row>
    <row r="12" spans="1:16" x14ac:dyDescent="0.2">
      <c r="A12" s="4">
        <v>4</v>
      </c>
      <c r="B12" s="4">
        <v>1</v>
      </c>
      <c r="C12" s="2" t="s">
        <v>8</v>
      </c>
      <c r="D12" s="184">
        <v>197459</v>
      </c>
      <c r="E12" s="185">
        <v>0</v>
      </c>
      <c r="G12" s="3">
        <f>SUMIF(Query1!$B$4:$B$125,A12,Query1!$F$4:$F$125)</f>
        <v>-34513.74</v>
      </c>
      <c r="H12" s="3">
        <f>SUMIF(Query4!$B$4:$B$48,A12,Query4!$F$4:$F$48)</f>
        <v>0</v>
      </c>
      <c r="J12" s="2">
        <f t="shared" si="0"/>
        <v>0</v>
      </c>
      <c r="K12" s="2" t="s">
        <v>1120</v>
      </c>
      <c r="L12" s="2">
        <v>4</v>
      </c>
      <c r="M12" s="2">
        <v>1</v>
      </c>
      <c r="N12" s="2" t="s">
        <v>759</v>
      </c>
      <c r="O12" s="2">
        <v>197459</v>
      </c>
      <c r="P12" s="2">
        <v>0</v>
      </c>
    </row>
    <row r="13" spans="1:16" x14ac:dyDescent="0.2">
      <c r="A13" s="4">
        <v>6</v>
      </c>
      <c r="B13" s="4">
        <v>3</v>
      </c>
      <c r="C13" s="2" t="s">
        <v>9</v>
      </c>
      <c r="D13" s="184">
        <v>2618120.83</v>
      </c>
      <c r="E13" s="185">
        <v>0</v>
      </c>
      <c r="G13" s="3">
        <f>SUMIF(Query1!$B$4:$B$125,A13,Query1!$F$4:$F$125)</f>
        <v>0</v>
      </c>
      <c r="H13" s="3">
        <f>SUMIF(Query4!$B$4:$B$48,A13,Query4!$F$4:$F$48)</f>
        <v>0</v>
      </c>
      <c r="J13" s="2">
        <f t="shared" si="0"/>
        <v>0</v>
      </c>
      <c r="K13" s="2" t="s">
        <v>1120</v>
      </c>
      <c r="L13" s="2">
        <v>6</v>
      </c>
      <c r="M13" s="2">
        <v>3</v>
      </c>
      <c r="N13" s="2" t="s">
        <v>760</v>
      </c>
      <c r="O13" s="2">
        <v>2618120.83</v>
      </c>
      <c r="P13" s="2">
        <v>0</v>
      </c>
    </row>
    <row r="14" spans="1:16" x14ac:dyDescent="0.2">
      <c r="A14" s="4">
        <v>11</v>
      </c>
      <c r="B14" s="4">
        <v>1</v>
      </c>
      <c r="C14" s="2" t="s">
        <v>10</v>
      </c>
      <c r="D14" s="184">
        <v>32549579.809999999</v>
      </c>
      <c r="E14" s="185">
        <v>0</v>
      </c>
      <c r="G14" s="3">
        <f>SUMIF(Query1!$B$4:$B$125,A14,Query1!$F$4:$F$125)</f>
        <v>0</v>
      </c>
      <c r="H14" s="3">
        <f>SUMIF(Query4!$B$4:$B$48,A14,Query4!$F$4:$F$48)</f>
        <v>0</v>
      </c>
      <c r="J14" s="2">
        <f t="shared" si="0"/>
        <v>0</v>
      </c>
      <c r="K14" s="2" t="s">
        <v>1120</v>
      </c>
      <c r="L14" s="2">
        <v>11</v>
      </c>
      <c r="M14" s="2">
        <v>1</v>
      </c>
      <c r="N14" s="2" t="s">
        <v>761</v>
      </c>
      <c r="O14" s="2">
        <v>32549579.809999999</v>
      </c>
      <c r="P14" s="2">
        <v>0</v>
      </c>
    </row>
    <row r="15" spans="1:16" x14ac:dyDescent="0.2">
      <c r="A15" s="4">
        <v>12</v>
      </c>
      <c r="B15" s="4">
        <v>1</v>
      </c>
      <c r="C15" s="2" t="s">
        <v>11</v>
      </c>
      <c r="D15" s="184">
        <v>4213737.3</v>
      </c>
      <c r="E15" s="185">
        <v>0</v>
      </c>
      <c r="G15" s="3">
        <f>SUMIF(Query1!$B$4:$B$125,A15,Query1!$F$4:$F$125)</f>
        <v>0</v>
      </c>
      <c r="H15" s="3">
        <f>SUMIF(Query4!$B$4:$B$48,A15,Query4!$F$4:$F$48)</f>
        <v>0</v>
      </c>
      <c r="J15" s="2">
        <f t="shared" si="0"/>
        <v>0</v>
      </c>
      <c r="K15" s="2" t="s">
        <v>1120</v>
      </c>
      <c r="L15" s="2">
        <v>12</v>
      </c>
      <c r="M15" s="2">
        <v>1</v>
      </c>
      <c r="N15" s="2" t="s">
        <v>762</v>
      </c>
      <c r="O15" s="2">
        <v>4213737.3</v>
      </c>
      <c r="P15" s="2">
        <v>0</v>
      </c>
    </row>
    <row r="16" spans="1:16" x14ac:dyDescent="0.2">
      <c r="A16" s="4">
        <v>13</v>
      </c>
      <c r="B16" s="4">
        <v>1</v>
      </c>
      <c r="C16" s="2" t="s">
        <v>12</v>
      </c>
      <c r="D16" s="184">
        <v>2019263.56</v>
      </c>
      <c r="E16" s="185">
        <v>0</v>
      </c>
      <c r="G16" s="3">
        <f>SUMIF(Query1!$B$4:$B$125,A16,Query1!$F$4:$F$125)</f>
        <v>0</v>
      </c>
      <c r="H16" s="3">
        <f>SUMIF(Query4!$B$4:$B$48,A16,Query4!$F$4:$F$48)</f>
        <v>0</v>
      </c>
      <c r="J16" s="2">
        <f t="shared" si="0"/>
        <v>0</v>
      </c>
      <c r="K16" s="2" t="s">
        <v>1120</v>
      </c>
      <c r="L16" s="2">
        <v>13</v>
      </c>
      <c r="M16" s="2">
        <v>1</v>
      </c>
      <c r="N16" s="2" t="s">
        <v>763</v>
      </c>
      <c r="O16" s="2">
        <v>2019263.56</v>
      </c>
      <c r="P16" s="2">
        <v>0</v>
      </c>
    </row>
    <row r="17" spans="1:16" x14ac:dyDescent="0.2">
      <c r="A17" s="4">
        <v>14</v>
      </c>
      <c r="B17" s="4">
        <v>1</v>
      </c>
      <c r="C17" s="2" t="s">
        <v>13</v>
      </c>
      <c r="D17" s="184">
        <v>2099053.2400000002</v>
      </c>
      <c r="E17" s="185">
        <v>0</v>
      </c>
      <c r="G17" s="3">
        <f>SUMIF(Query1!$B$4:$B$125,A17,Query1!$F$4:$F$125)</f>
        <v>0</v>
      </c>
      <c r="H17" s="3">
        <f>SUMIF(Query4!$B$4:$B$48,A17,Query4!$F$4:$F$48)</f>
        <v>0</v>
      </c>
      <c r="J17" s="2">
        <f t="shared" si="0"/>
        <v>0</v>
      </c>
      <c r="K17" s="2" t="s">
        <v>1120</v>
      </c>
      <c r="L17" s="2">
        <v>14</v>
      </c>
      <c r="M17" s="2">
        <v>1</v>
      </c>
      <c r="N17" s="2" t="s">
        <v>764</v>
      </c>
      <c r="O17" s="2">
        <v>2099053.2400000002</v>
      </c>
      <c r="P17" s="2">
        <v>0</v>
      </c>
    </row>
    <row r="18" spans="1:16" x14ac:dyDescent="0.2">
      <c r="A18" s="4">
        <v>15</v>
      </c>
      <c r="B18" s="4">
        <v>1</v>
      </c>
      <c r="C18" s="2" t="s">
        <v>14</v>
      </c>
      <c r="D18" s="184">
        <v>1863798.13</v>
      </c>
      <c r="E18" s="185">
        <v>0</v>
      </c>
      <c r="G18" s="3">
        <f>SUMIF(Query1!$B$4:$B$125,A18,Query1!$F$4:$F$125)</f>
        <v>0</v>
      </c>
      <c r="H18" s="3">
        <f>SUMIF(Query4!$B$4:$B$48,A18,Query4!$F$4:$F$48)</f>
        <v>0</v>
      </c>
      <c r="J18" s="2">
        <f t="shared" si="0"/>
        <v>0</v>
      </c>
      <c r="K18" s="2" t="s">
        <v>1120</v>
      </c>
      <c r="L18" s="2">
        <v>15</v>
      </c>
      <c r="M18" s="2">
        <v>1</v>
      </c>
      <c r="N18" s="2" t="s">
        <v>765</v>
      </c>
      <c r="O18" s="2">
        <v>1863798.13</v>
      </c>
      <c r="P18" s="2">
        <v>0</v>
      </c>
    </row>
    <row r="19" spans="1:16" x14ac:dyDescent="0.2">
      <c r="A19" s="4">
        <v>16</v>
      </c>
      <c r="B19" s="4">
        <v>1</v>
      </c>
      <c r="C19" s="2" t="s">
        <v>15</v>
      </c>
      <c r="D19" s="184">
        <v>4228881.78</v>
      </c>
      <c r="E19" s="185">
        <v>0</v>
      </c>
      <c r="G19" s="3">
        <f>SUMIF(Query1!$B$4:$B$125,A19,Query1!$F$4:$F$125)</f>
        <v>0</v>
      </c>
      <c r="H19" s="3">
        <f>SUMIF(Query4!$B$4:$B$48,A19,Query4!$F$4:$F$48)</f>
        <v>0</v>
      </c>
      <c r="J19" s="2">
        <f t="shared" si="0"/>
        <v>0</v>
      </c>
      <c r="K19" s="2" t="s">
        <v>1120</v>
      </c>
      <c r="L19" s="2">
        <v>16</v>
      </c>
      <c r="M19" s="2">
        <v>1</v>
      </c>
      <c r="N19" s="2" t="s">
        <v>766</v>
      </c>
      <c r="O19" s="2">
        <v>4228881.78</v>
      </c>
      <c r="P19" s="2">
        <v>0</v>
      </c>
    </row>
    <row r="20" spans="1:16" x14ac:dyDescent="0.2">
      <c r="A20" s="4">
        <v>22</v>
      </c>
      <c r="B20" s="4">
        <v>1</v>
      </c>
      <c r="C20" s="2" t="s">
        <v>16</v>
      </c>
      <c r="D20" s="184">
        <v>1306664.96</v>
      </c>
      <c r="E20" s="185">
        <v>0</v>
      </c>
      <c r="G20" s="3">
        <f>SUMIF(Query1!$B$4:$B$125,A20,Query1!$F$4:$F$125)</f>
        <v>0</v>
      </c>
      <c r="H20" s="3">
        <f>SUMIF(Query4!$B$4:$B$48,A20,Query4!$F$4:$F$48)</f>
        <v>0</v>
      </c>
      <c r="J20" s="2">
        <f t="shared" si="0"/>
        <v>0</v>
      </c>
      <c r="K20" s="2" t="s">
        <v>1120</v>
      </c>
      <c r="L20" s="2">
        <v>22</v>
      </c>
      <c r="M20" s="2">
        <v>1</v>
      </c>
      <c r="N20" s="2" t="s">
        <v>767</v>
      </c>
      <c r="O20" s="2">
        <v>1306664.96</v>
      </c>
      <c r="P20" s="2">
        <v>0</v>
      </c>
    </row>
    <row r="21" spans="1:16" x14ac:dyDescent="0.2">
      <c r="A21" s="4">
        <v>23</v>
      </c>
      <c r="B21" s="4">
        <v>1</v>
      </c>
      <c r="C21" s="2" t="s">
        <v>17</v>
      </c>
      <c r="D21" s="184">
        <v>546197.17000000004</v>
      </c>
      <c r="E21" s="185">
        <v>0</v>
      </c>
      <c r="G21" s="3">
        <f>SUMIF(Query1!$B$4:$B$125,A21,Query1!$F$4:$F$125)</f>
        <v>0</v>
      </c>
      <c r="H21" s="3">
        <f>SUMIF(Query4!$B$4:$B$48,A21,Query4!$F$4:$F$48)</f>
        <v>0</v>
      </c>
      <c r="J21" s="2">
        <f t="shared" si="0"/>
        <v>0</v>
      </c>
      <c r="K21" s="2" t="s">
        <v>1120</v>
      </c>
      <c r="L21" s="2">
        <v>23</v>
      </c>
      <c r="M21" s="2">
        <v>1</v>
      </c>
      <c r="N21" s="2" t="s">
        <v>768</v>
      </c>
      <c r="O21" s="2">
        <v>546197.17000000004</v>
      </c>
      <c r="P21" s="2">
        <v>0</v>
      </c>
    </row>
    <row r="22" spans="1:16" x14ac:dyDescent="0.2">
      <c r="A22" s="4">
        <v>25</v>
      </c>
      <c r="B22" s="4">
        <v>1</v>
      </c>
      <c r="C22" s="2" t="s">
        <v>341</v>
      </c>
      <c r="D22" s="184">
        <v>0</v>
      </c>
      <c r="E22" s="185">
        <v>0</v>
      </c>
      <c r="G22" s="3">
        <f>SUMIF(Query1!$B$4:$B$125,A22,Query1!$F$4:$F$125)</f>
        <v>0</v>
      </c>
      <c r="H22" s="3">
        <f>SUMIF(Query4!$B$4:$B$48,A22,Query4!$F$4:$F$48)</f>
        <v>0</v>
      </c>
      <c r="J22" s="2">
        <f t="shared" si="0"/>
        <v>0</v>
      </c>
      <c r="K22" s="2" t="s">
        <v>1120</v>
      </c>
      <c r="L22" s="2">
        <v>25</v>
      </c>
      <c r="M22" s="2">
        <v>1</v>
      </c>
      <c r="N22" s="2" t="s">
        <v>769</v>
      </c>
      <c r="O22" s="2">
        <v>0</v>
      </c>
      <c r="P22" s="2">
        <v>0</v>
      </c>
    </row>
    <row r="23" spans="1:16" x14ac:dyDescent="0.2">
      <c r="A23" s="4">
        <v>31</v>
      </c>
      <c r="B23" s="4">
        <v>1</v>
      </c>
      <c r="C23" s="2" t="s">
        <v>18</v>
      </c>
      <c r="D23" s="184">
        <v>2150410.6</v>
      </c>
      <c r="E23" s="185">
        <v>0</v>
      </c>
      <c r="G23" s="3">
        <f>SUMIF(Query1!$B$4:$B$125,A23,Query1!$F$4:$F$125)</f>
        <v>0</v>
      </c>
      <c r="H23" s="3">
        <f>SUMIF(Query4!$B$4:$B$48,A23,Query4!$F$4:$F$48)</f>
        <v>0</v>
      </c>
      <c r="J23" s="2">
        <f t="shared" si="0"/>
        <v>0</v>
      </c>
      <c r="K23" s="2" t="s">
        <v>1120</v>
      </c>
      <c r="L23" s="2">
        <v>31</v>
      </c>
      <c r="M23" s="2">
        <v>1</v>
      </c>
      <c r="N23" s="2" t="s">
        <v>770</v>
      </c>
      <c r="O23" s="2">
        <v>2150410.6</v>
      </c>
      <c r="P23" s="2">
        <v>0</v>
      </c>
    </row>
    <row r="24" spans="1:16" x14ac:dyDescent="0.2">
      <c r="A24" s="4">
        <v>32</v>
      </c>
      <c r="B24" s="4">
        <v>1</v>
      </c>
      <c r="C24" s="2" t="s">
        <v>19</v>
      </c>
      <c r="D24" s="184">
        <v>155719.93</v>
      </c>
      <c r="E24" s="185">
        <v>0</v>
      </c>
      <c r="G24" s="3">
        <f>SUMIF(Query1!$B$4:$B$125,A24,Query1!$F$4:$F$125)</f>
        <v>0</v>
      </c>
      <c r="H24" s="3">
        <f>SUMIF(Query4!$B$4:$B$48,A24,Query4!$F$4:$F$48)</f>
        <v>0</v>
      </c>
      <c r="J24" s="2">
        <f t="shared" si="0"/>
        <v>0</v>
      </c>
      <c r="K24" s="2" t="s">
        <v>1120</v>
      </c>
      <c r="L24" s="2">
        <v>32</v>
      </c>
      <c r="M24" s="2">
        <v>1</v>
      </c>
      <c r="N24" s="2" t="s">
        <v>771</v>
      </c>
      <c r="O24" s="2">
        <v>155719.93</v>
      </c>
      <c r="P24" s="2">
        <v>0</v>
      </c>
    </row>
    <row r="25" spans="1:16" x14ac:dyDescent="0.2">
      <c r="A25" s="4">
        <v>36</v>
      </c>
      <c r="B25" s="4">
        <v>1</v>
      </c>
      <c r="C25" s="2" t="s">
        <v>20</v>
      </c>
      <c r="D25" s="184">
        <v>34390.81</v>
      </c>
      <c r="E25" s="185">
        <v>0</v>
      </c>
      <c r="G25" s="3">
        <f>SUMIF(Query1!$B$4:$B$125,A25,Query1!$F$4:$F$125)</f>
        <v>0</v>
      </c>
      <c r="H25" s="3">
        <f>SUMIF(Query4!$B$4:$B$48,A25,Query4!$F$4:$F$48)</f>
        <v>0</v>
      </c>
      <c r="J25" s="2">
        <f t="shared" si="0"/>
        <v>0</v>
      </c>
      <c r="K25" s="2" t="s">
        <v>1120</v>
      </c>
      <c r="L25" s="2">
        <v>36</v>
      </c>
      <c r="M25" s="2">
        <v>1</v>
      </c>
      <c r="N25" s="2" t="s">
        <v>772</v>
      </c>
      <c r="O25" s="2">
        <v>34390.81</v>
      </c>
      <c r="P25" s="2">
        <v>0</v>
      </c>
    </row>
    <row r="26" spans="1:16" x14ac:dyDescent="0.2">
      <c r="A26" s="4">
        <v>38</v>
      </c>
      <c r="B26" s="4">
        <v>1</v>
      </c>
      <c r="C26" s="2" t="s">
        <v>21</v>
      </c>
      <c r="D26" s="184">
        <v>2002.02</v>
      </c>
      <c r="E26" s="185">
        <v>0</v>
      </c>
      <c r="G26" s="3">
        <f>SUMIF(Query1!$B$4:$B$125,A26,Query1!$F$4:$F$125)</f>
        <v>0</v>
      </c>
      <c r="H26" s="3">
        <f>SUMIF(Query4!$B$4:$B$48,A26,Query4!$F$4:$F$48)</f>
        <v>0</v>
      </c>
      <c r="J26" s="2">
        <f t="shared" si="0"/>
        <v>0</v>
      </c>
      <c r="K26" s="2" t="s">
        <v>1120</v>
      </c>
      <c r="L26" s="2">
        <v>38</v>
      </c>
      <c r="M26" s="2">
        <v>1</v>
      </c>
      <c r="N26" s="2" t="s">
        <v>773</v>
      </c>
      <c r="O26" s="2">
        <v>2002.02</v>
      </c>
      <c r="P26" s="2">
        <v>0</v>
      </c>
    </row>
    <row r="27" spans="1:16" x14ac:dyDescent="0.2">
      <c r="A27" s="4">
        <v>47</v>
      </c>
      <c r="B27" s="4">
        <v>1</v>
      </c>
      <c r="C27" s="2" t="s">
        <v>22</v>
      </c>
      <c r="D27" s="184">
        <v>1194217.25</v>
      </c>
      <c r="E27" s="185">
        <v>0</v>
      </c>
      <c r="G27" s="3">
        <f>SUMIF(Query1!$B$4:$B$125,A27,Query1!$F$4:$F$125)</f>
        <v>-0.2</v>
      </c>
      <c r="H27" s="3">
        <f>SUMIF(Query4!$B$4:$B$48,A27,Query4!$F$4:$F$48)</f>
        <v>0</v>
      </c>
      <c r="J27" s="2">
        <f t="shared" si="0"/>
        <v>0</v>
      </c>
      <c r="K27" s="2" t="s">
        <v>1120</v>
      </c>
      <c r="L27" s="2">
        <v>47</v>
      </c>
      <c r="M27" s="2">
        <v>1</v>
      </c>
      <c r="N27" s="2" t="s">
        <v>774</v>
      </c>
      <c r="O27" s="2">
        <v>1194217.25</v>
      </c>
      <c r="P27" s="2">
        <v>0</v>
      </c>
    </row>
    <row r="28" spans="1:16" x14ac:dyDescent="0.2">
      <c r="A28" s="4">
        <v>51</v>
      </c>
      <c r="B28" s="4">
        <v>1</v>
      </c>
      <c r="C28" s="2" t="s">
        <v>23</v>
      </c>
      <c r="D28" s="184">
        <v>388161.26</v>
      </c>
      <c r="E28" s="185">
        <v>0</v>
      </c>
      <c r="G28" s="3">
        <f>SUMIF(Query1!$B$4:$B$125,A28,Query1!$F$4:$F$125)</f>
        <v>0</v>
      </c>
      <c r="H28" s="3">
        <f>SUMIF(Query4!$B$4:$B$48,A28,Query4!$F$4:$F$48)</f>
        <v>0</v>
      </c>
      <c r="J28" s="2">
        <f t="shared" si="0"/>
        <v>0</v>
      </c>
      <c r="K28" s="2" t="s">
        <v>1120</v>
      </c>
      <c r="L28" s="2">
        <v>51</v>
      </c>
      <c r="M28" s="2">
        <v>1</v>
      </c>
      <c r="N28" s="2" t="s">
        <v>775</v>
      </c>
      <c r="O28" s="2">
        <v>388161.26</v>
      </c>
      <c r="P28" s="2">
        <v>0</v>
      </c>
    </row>
    <row r="29" spans="1:16" x14ac:dyDescent="0.2">
      <c r="A29" s="4">
        <v>75</v>
      </c>
      <c r="B29" s="4">
        <v>1</v>
      </c>
      <c r="C29" s="2" t="s">
        <v>24</v>
      </c>
      <c r="D29" s="184">
        <v>235141.77</v>
      </c>
      <c r="E29" s="185">
        <v>0</v>
      </c>
      <c r="G29" s="3">
        <f>SUMIF(Query1!$B$4:$B$125,A29,Query1!$F$4:$F$125)</f>
        <v>0</v>
      </c>
      <c r="H29" s="3">
        <f>SUMIF(Query4!$B$4:$B$48,A29,Query4!$F$4:$F$48)</f>
        <v>0</v>
      </c>
      <c r="J29" s="2">
        <f t="shared" si="0"/>
        <v>0</v>
      </c>
      <c r="K29" s="2" t="s">
        <v>1120</v>
      </c>
      <c r="L29" s="2">
        <v>75</v>
      </c>
      <c r="M29" s="2">
        <v>1</v>
      </c>
      <c r="N29" s="2" t="s">
        <v>776</v>
      </c>
      <c r="O29" s="2">
        <v>235141.77</v>
      </c>
      <c r="P29" s="2">
        <v>0</v>
      </c>
    </row>
    <row r="30" spans="1:16" x14ac:dyDescent="0.2">
      <c r="A30" s="4">
        <v>77</v>
      </c>
      <c r="B30" s="4">
        <v>1</v>
      </c>
      <c r="C30" s="2" t="s">
        <v>25</v>
      </c>
      <c r="D30" s="184">
        <v>4954344.97</v>
      </c>
      <c r="E30" s="185">
        <v>0</v>
      </c>
      <c r="G30" s="3">
        <f>SUMIF(Query1!$B$4:$B$125,A30,Query1!$F$4:$F$125)</f>
        <v>0</v>
      </c>
      <c r="H30" s="3">
        <f>SUMIF(Query4!$B$4:$B$48,A30,Query4!$F$4:$F$48)</f>
        <v>0</v>
      </c>
      <c r="J30" s="2">
        <f t="shared" si="0"/>
        <v>0</v>
      </c>
      <c r="K30" s="2" t="s">
        <v>1120</v>
      </c>
      <c r="L30" s="2">
        <v>77</v>
      </c>
      <c r="M30" s="2">
        <v>1</v>
      </c>
      <c r="N30" s="2" t="s">
        <v>777</v>
      </c>
      <c r="O30" s="2">
        <v>4954344.97</v>
      </c>
      <c r="P30" s="2">
        <v>0</v>
      </c>
    </row>
    <row r="31" spans="1:16" x14ac:dyDescent="0.2">
      <c r="A31" s="4">
        <v>81</v>
      </c>
      <c r="B31" s="4">
        <v>1</v>
      </c>
      <c r="C31" s="2" t="s">
        <v>26</v>
      </c>
      <c r="D31" s="184">
        <v>109795.08</v>
      </c>
      <c r="E31" s="185">
        <v>0</v>
      </c>
      <c r="G31" s="3">
        <f>SUMIF(Query1!$B$4:$B$125,A31,Query1!$F$4:$F$125)</f>
        <v>-2763.2</v>
      </c>
      <c r="H31" s="3">
        <f>SUMIF(Query4!$B$4:$B$48,A31,Query4!$F$4:$F$48)</f>
        <v>0</v>
      </c>
      <c r="J31" s="2">
        <f t="shared" si="0"/>
        <v>0</v>
      </c>
      <c r="K31" s="2" t="s">
        <v>1120</v>
      </c>
      <c r="L31" s="2">
        <v>81</v>
      </c>
      <c r="M31" s="2">
        <v>1</v>
      </c>
      <c r="N31" s="2" t="s">
        <v>778</v>
      </c>
      <c r="O31" s="2">
        <v>109795.08</v>
      </c>
      <c r="P31" s="2">
        <v>0</v>
      </c>
    </row>
    <row r="32" spans="1:16" x14ac:dyDescent="0.2">
      <c r="A32" s="4">
        <v>84</v>
      </c>
      <c r="B32" s="4">
        <v>1</v>
      </c>
      <c r="C32" s="2" t="s">
        <v>27</v>
      </c>
      <c r="D32" s="184">
        <v>200775.04000000001</v>
      </c>
      <c r="E32" s="185">
        <v>0</v>
      </c>
      <c r="G32" s="3">
        <f>SUMIF(Query1!$B$4:$B$125,A32,Query1!$F$4:$F$125)</f>
        <v>-60338.91</v>
      </c>
      <c r="H32" s="3">
        <f>SUMIF(Query4!$B$4:$B$48,A32,Query4!$F$4:$F$48)</f>
        <v>0</v>
      </c>
      <c r="J32" s="2">
        <f t="shared" si="0"/>
        <v>0</v>
      </c>
      <c r="K32" s="2" t="s">
        <v>1120</v>
      </c>
      <c r="L32" s="2">
        <v>84</v>
      </c>
      <c r="M32" s="2">
        <v>1</v>
      </c>
      <c r="N32" s="2" t="s">
        <v>779</v>
      </c>
      <c r="O32" s="2">
        <v>200775.04000000001</v>
      </c>
      <c r="P32" s="2">
        <v>0</v>
      </c>
    </row>
    <row r="33" spans="1:16" x14ac:dyDescent="0.2">
      <c r="A33" s="4">
        <v>85</v>
      </c>
      <c r="B33" s="4">
        <v>1</v>
      </c>
      <c r="C33" s="2" t="s">
        <v>28</v>
      </c>
      <c r="D33" s="184">
        <v>218030.81</v>
      </c>
      <c r="E33" s="185">
        <v>0</v>
      </c>
      <c r="G33" s="3">
        <f>SUMIF(Query1!$B$4:$B$125,A33,Query1!$F$4:$F$125)</f>
        <v>0</v>
      </c>
      <c r="H33" s="3">
        <f>SUMIF(Query4!$B$4:$B$48,A33,Query4!$F$4:$F$48)</f>
        <v>0</v>
      </c>
      <c r="J33" s="2">
        <f t="shared" si="0"/>
        <v>0</v>
      </c>
      <c r="K33" s="2" t="s">
        <v>1120</v>
      </c>
      <c r="L33" s="2">
        <v>85</v>
      </c>
      <c r="M33" s="2">
        <v>1</v>
      </c>
      <c r="N33" s="2" t="s">
        <v>780</v>
      </c>
      <c r="O33" s="2">
        <v>218030.81</v>
      </c>
      <c r="P33" s="2">
        <v>0</v>
      </c>
    </row>
    <row r="34" spans="1:16" x14ac:dyDescent="0.2">
      <c r="A34" s="4">
        <v>88</v>
      </c>
      <c r="B34" s="4">
        <v>1</v>
      </c>
      <c r="C34" s="2" t="s">
        <v>29</v>
      </c>
      <c r="D34" s="184">
        <v>2010351.2</v>
      </c>
      <c r="E34" s="185">
        <v>0</v>
      </c>
      <c r="G34" s="3">
        <f>SUMIF(Query1!$B$4:$B$125,A34,Query1!$F$4:$F$125)</f>
        <v>0</v>
      </c>
      <c r="H34" s="3">
        <f>SUMIF(Query4!$B$4:$B$48,A34,Query4!$F$4:$F$48)</f>
        <v>0</v>
      </c>
      <c r="J34" s="2">
        <f t="shared" si="0"/>
        <v>0</v>
      </c>
      <c r="K34" s="2" t="s">
        <v>1120</v>
      </c>
      <c r="L34" s="2">
        <v>88</v>
      </c>
      <c r="M34" s="2">
        <v>1</v>
      </c>
      <c r="N34" s="2" t="s">
        <v>781</v>
      </c>
      <c r="O34" s="2">
        <v>2010351.2</v>
      </c>
      <c r="P34" s="2">
        <v>0</v>
      </c>
    </row>
    <row r="35" spans="1:16" x14ac:dyDescent="0.2">
      <c r="A35" s="4">
        <v>91</v>
      </c>
      <c r="B35" s="4">
        <v>1</v>
      </c>
      <c r="C35" s="2" t="s">
        <v>30</v>
      </c>
      <c r="D35" s="184">
        <v>163927.04999999999</v>
      </c>
      <c r="E35" s="185">
        <v>0</v>
      </c>
      <c r="G35" s="3">
        <f>SUMIF(Query1!$B$4:$B$125,A35,Query1!$F$4:$F$125)</f>
        <v>-14949.61</v>
      </c>
      <c r="H35" s="3">
        <f>SUMIF(Query4!$B$4:$B$48,A35,Query4!$F$4:$F$48)</f>
        <v>0</v>
      </c>
      <c r="J35" s="2">
        <f t="shared" si="0"/>
        <v>0</v>
      </c>
      <c r="K35" s="2" t="s">
        <v>1120</v>
      </c>
      <c r="L35" s="2">
        <v>91</v>
      </c>
      <c r="M35" s="2">
        <v>1</v>
      </c>
      <c r="N35" s="2" t="s">
        <v>782</v>
      </c>
      <c r="O35" s="2">
        <v>163927.04999999999</v>
      </c>
      <c r="P35" s="2">
        <v>0</v>
      </c>
    </row>
    <row r="36" spans="1:16" x14ac:dyDescent="0.2">
      <c r="A36" s="4">
        <v>93</v>
      </c>
      <c r="B36" s="4">
        <v>1</v>
      </c>
      <c r="C36" s="2" t="s">
        <v>31</v>
      </c>
      <c r="D36" s="184">
        <v>400383.35</v>
      </c>
      <c r="E36" s="185">
        <v>0</v>
      </c>
      <c r="G36" s="3">
        <f>SUMIF(Query1!$B$4:$B$125,A36,Query1!$F$4:$F$125)</f>
        <v>0</v>
      </c>
      <c r="H36" s="3">
        <f>SUMIF(Query4!$B$4:$B$48,A36,Query4!$F$4:$F$48)</f>
        <v>0</v>
      </c>
      <c r="J36" s="2">
        <f t="shared" si="0"/>
        <v>0</v>
      </c>
      <c r="K36" s="2" t="s">
        <v>1120</v>
      </c>
      <c r="L36" s="2">
        <v>93</v>
      </c>
      <c r="M36" s="2">
        <v>1</v>
      </c>
      <c r="N36" s="2" t="s">
        <v>783</v>
      </c>
      <c r="O36" s="2">
        <v>400383.35</v>
      </c>
      <c r="P36" s="2">
        <v>0</v>
      </c>
    </row>
    <row r="37" spans="1:16" x14ac:dyDescent="0.2">
      <c r="A37" s="4">
        <v>94</v>
      </c>
      <c r="B37" s="4">
        <v>1</v>
      </c>
      <c r="C37" s="2" t="s">
        <v>32</v>
      </c>
      <c r="D37" s="184">
        <v>441834.28</v>
      </c>
      <c r="E37" s="185">
        <v>0</v>
      </c>
      <c r="G37" s="3">
        <f>SUMIF(Query1!$B$4:$B$125,A37,Query1!$F$4:$F$125)</f>
        <v>-11100.62</v>
      </c>
      <c r="H37" s="3">
        <f>SUMIF(Query4!$B$4:$B$48,A37,Query4!$F$4:$F$48)</f>
        <v>0</v>
      </c>
      <c r="J37" s="2">
        <f t="shared" si="0"/>
        <v>0</v>
      </c>
      <c r="K37" s="2" t="s">
        <v>1120</v>
      </c>
      <c r="L37" s="2">
        <v>94</v>
      </c>
      <c r="M37" s="2">
        <v>1</v>
      </c>
      <c r="N37" s="2" t="s">
        <v>784</v>
      </c>
      <c r="O37" s="2">
        <v>441834.28</v>
      </c>
      <c r="P37" s="2">
        <v>0</v>
      </c>
    </row>
    <row r="38" spans="1:16" x14ac:dyDescent="0.2">
      <c r="A38" s="4">
        <v>95</v>
      </c>
      <c r="B38" s="4">
        <v>1</v>
      </c>
      <c r="C38" s="2" t="s">
        <v>33</v>
      </c>
      <c r="D38" s="184">
        <v>70253.11</v>
      </c>
      <c r="E38" s="185">
        <v>0</v>
      </c>
      <c r="G38" s="3">
        <f>SUMIF(Query1!$B$4:$B$125,A38,Query1!$F$4:$F$125)</f>
        <v>0</v>
      </c>
      <c r="H38" s="3">
        <f>SUMIF(Query4!$B$4:$B$48,A38,Query4!$F$4:$F$48)</f>
        <v>0</v>
      </c>
      <c r="J38" s="2">
        <f t="shared" si="0"/>
        <v>0</v>
      </c>
      <c r="K38" s="2" t="s">
        <v>1120</v>
      </c>
      <c r="L38" s="2">
        <v>95</v>
      </c>
      <c r="M38" s="2">
        <v>1</v>
      </c>
      <c r="N38" s="2" t="s">
        <v>785</v>
      </c>
      <c r="O38" s="2">
        <v>70253.11</v>
      </c>
      <c r="P38" s="2">
        <v>0</v>
      </c>
    </row>
    <row r="39" spans="1:16" x14ac:dyDescent="0.2">
      <c r="A39" s="4">
        <v>97</v>
      </c>
      <c r="B39" s="4">
        <v>1</v>
      </c>
      <c r="C39" s="2" t="s">
        <v>34</v>
      </c>
      <c r="D39" s="184">
        <v>305089.38</v>
      </c>
      <c r="E39" s="185">
        <v>0</v>
      </c>
      <c r="G39" s="3">
        <f>SUMIF(Query1!$B$4:$B$125,A39,Query1!$F$4:$F$125)</f>
        <v>0</v>
      </c>
      <c r="H39" s="3">
        <f>SUMIF(Query4!$B$4:$B$48,A39,Query4!$F$4:$F$48)</f>
        <v>0</v>
      </c>
      <c r="J39" s="2">
        <f t="shared" si="0"/>
        <v>0</v>
      </c>
      <c r="K39" s="2" t="s">
        <v>1120</v>
      </c>
      <c r="L39" s="2">
        <v>97</v>
      </c>
      <c r="M39" s="2">
        <v>1</v>
      </c>
      <c r="N39" s="2" t="s">
        <v>786</v>
      </c>
      <c r="O39" s="2">
        <v>305089.38</v>
      </c>
      <c r="P39" s="2">
        <v>0</v>
      </c>
    </row>
    <row r="40" spans="1:16" x14ac:dyDescent="0.2">
      <c r="A40" s="4">
        <v>99</v>
      </c>
      <c r="B40" s="4">
        <v>1</v>
      </c>
      <c r="C40" s="2" t="s">
        <v>35</v>
      </c>
      <c r="D40" s="184">
        <v>291664.21000000002</v>
      </c>
      <c r="E40" s="185">
        <v>0</v>
      </c>
      <c r="G40" s="3">
        <f>SUMIF(Query1!$B$4:$B$125,A40,Query1!$F$4:$F$125)</f>
        <v>-9321.4599999999991</v>
      </c>
      <c r="H40" s="3">
        <f>SUMIF(Query4!$B$4:$B$48,A40,Query4!$F$4:$F$48)</f>
        <v>0</v>
      </c>
      <c r="J40" s="2">
        <f t="shared" si="0"/>
        <v>0</v>
      </c>
      <c r="K40" s="2" t="s">
        <v>1120</v>
      </c>
      <c r="L40" s="2">
        <v>99</v>
      </c>
      <c r="M40" s="2">
        <v>1</v>
      </c>
      <c r="N40" s="2" t="s">
        <v>787</v>
      </c>
      <c r="O40" s="2">
        <v>291664.21000000002</v>
      </c>
      <c r="P40" s="2">
        <v>0</v>
      </c>
    </row>
    <row r="41" spans="1:16" x14ac:dyDescent="0.2">
      <c r="A41" s="4">
        <v>100</v>
      </c>
      <c r="B41" s="4">
        <v>1</v>
      </c>
      <c r="C41" s="2" t="s">
        <v>36</v>
      </c>
      <c r="D41" s="184">
        <v>146706.35</v>
      </c>
      <c r="E41" s="185">
        <v>0</v>
      </c>
      <c r="G41" s="3">
        <f>SUMIF(Query1!$B$4:$B$125,A41,Query1!$F$4:$F$125)</f>
        <v>0</v>
      </c>
      <c r="H41" s="3">
        <f>SUMIF(Query4!$B$4:$B$48,A41,Query4!$F$4:$F$48)</f>
        <v>0</v>
      </c>
      <c r="J41" s="2">
        <f t="shared" si="0"/>
        <v>0</v>
      </c>
      <c r="K41" s="2" t="s">
        <v>1120</v>
      </c>
      <c r="L41" s="2">
        <v>100</v>
      </c>
      <c r="M41" s="2">
        <v>1</v>
      </c>
      <c r="N41" s="2" t="s">
        <v>788</v>
      </c>
      <c r="O41" s="2">
        <v>146706.35</v>
      </c>
      <c r="P41" s="2">
        <v>0</v>
      </c>
    </row>
    <row r="42" spans="1:16" x14ac:dyDescent="0.2">
      <c r="A42" s="4">
        <v>108</v>
      </c>
      <c r="B42" s="4">
        <v>1</v>
      </c>
      <c r="C42" s="2" t="s">
        <v>1168</v>
      </c>
      <c r="D42" s="184">
        <v>634100.64</v>
      </c>
      <c r="E42" s="185">
        <v>0</v>
      </c>
      <c r="G42" s="3">
        <f>SUMIF(Query1!$B$4:$B$125,A42,Query1!$F$4:$F$125)</f>
        <v>-87067</v>
      </c>
      <c r="H42" s="3">
        <f>SUMIF(Query4!$B$4:$B$48,A42,Query4!$F$4:$F$48)</f>
        <v>-7554</v>
      </c>
      <c r="J42" s="2">
        <f t="shared" si="0"/>
        <v>0</v>
      </c>
      <c r="K42" s="2" t="s">
        <v>1120</v>
      </c>
      <c r="L42" s="2">
        <v>108</v>
      </c>
      <c r="M42" s="2">
        <v>1</v>
      </c>
      <c r="N42" s="2" t="s">
        <v>789</v>
      </c>
      <c r="O42" s="2">
        <v>634100.64</v>
      </c>
      <c r="P42" s="2">
        <v>0</v>
      </c>
    </row>
    <row r="43" spans="1:16" x14ac:dyDescent="0.2">
      <c r="A43" s="4">
        <v>110</v>
      </c>
      <c r="B43" s="4">
        <v>1</v>
      </c>
      <c r="C43" s="2" t="s">
        <v>38</v>
      </c>
      <c r="D43" s="184">
        <v>2014325.14</v>
      </c>
      <c r="E43" s="185">
        <v>0</v>
      </c>
      <c r="G43" s="3">
        <f>SUMIF(Query1!$B$4:$B$125,A43,Query1!$F$4:$F$125)</f>
        <v>0</v>
      </c>
      <c r="H43" s="3">
        <f>SUMIF(Query4!$B$4:$B$48,A43,Query4!$F$4:$F$48)</f>
        <v>0</v>
      </c>
      <c r="J43" s="2">
        <f t="shared" si="0"/>
        <v>0</v>
      </c>
      <c r="K43" s="2" t="s">
        <v>1120</v>
      </c>
      <c r="L43" s="2">
        <v>110</v>
      </c>
      <c r="M43" s="2">
        <v>1</v>
      </c>
      <c r="N43" s="2" t="s">
        <v>790</v>
      </c>
      <c r="O43" s="2">
        <v>2014325.14</v>
      </c>
      <c r="P43" s="2">
        <v>0</v>
      </c>
    </row>
    <row r="44" spans="1:16" x14ac:dyDescent="0.2">
      <c r="A44" s="4">
        <v>111</v>
      </c>
      <c r="B44" s="4">
        <v>1</v>
      </c>
      <c r="C44" s="2" t="s">
        <v>39</v>
      </c>
      <c r="D44" s="184">
        <v>668786.17000000004</v>
      </c>
      <c r="E44" s="185">
        <v>0</v>
      </c>
      <c r="G44" s="3">
        <f>SUMIF(Query1!$B$4:$B$125,A44,Query1!$F$4:$F$125)</f>
        <v>0</v>
      </c>
      <c r="H44" s="3">
        <f>SUMIF(Query4!$B$4:$B$48,A44,Query4!$F$4:$F$48)</f>
        <v>0</v>
      </c>
      <c r="J44" s="2">
        <f t="shared" si="0"/>
        <v>0</v>
      </c>
      <c r="K44" s="2" t="s">
        <v>1120</v>
      </c>
      <c r="L44" s="2">
        <v>111</v>
      </c>
      <c r="M44" s="2">
        <v>1</v>
      </c>
      <c r="N44" s="2" t="s">
        <v>791</v>
      </c>
      <c r="O44" s="2">
        <v>668786.17000000004</v>
      </c>
      <c r="P44" s="2">
        <v>0</v>
      </c>
    </row>
    <row r="45" spans="1:16" x14ac:dyDescent="0.2">
      <c r="A45" s="4">
        <v>112</v>
      </c>
      <c r="B45" s="4">
        <v>1</v>
      </c>
      <c r="C45" s="2" t="s">
        <v>1169</v>
      </c>
      <c r="D45" s="184">
        <v>7391227</v>
      </c>
      <c r="E45" s="185">
        <v>0</v>
      </c>
      <c r="G45" s="3">
        <f>SUMIF(Query1!$B$4:$B$125,A45,Query1!$F$4:$F$125)</f>
        <v>0</v>
      </c>
      <c r="H45" s="3">
        <f>SUMIF(Query4!$B$4:$B$48,A45,Query4!$F$4:$F$48)</f>
        <v>0</v>
      </c>
      <c r="J45" s="2">
        <f t="shared" si="0"/>
        <v>0</v>
      </c>
      <c r="K45" s="2" t="s">
        <v>1120</v>
      </c>
      <c r="L45" s="2">
        <v>112</v>
      </c>
      <c r="M45" s="2">
        <v>1</v>
      </c>
      <c r="N45" s="2" t="s">
        <v>792</v>
      </c>
      <c r="O45" s="2">
        <v>7391227</v>
      </c>
      <c r="P45" s="2">
        <v>0</v>
      </c>
    </row>
    <row r="46" spans="1:16" x14ac:dyDescent="0.2">
      <c r="A46" s="4">
        <v>113</v>
      </c>
      <c r="B46" s="4">
        <v>1</v>
      </c>
      <c r="C46" s="2" t="s">
        <v>1170</v>
      </c>
      <c r="D46" s="184">
        <v>351726.51</v>
      </c>
      <c r="E46" s="185">
        <v>0</v>
      </c>
      <c r="G46" s="3">
        <f>SUMIF(Query1!$B$4:$B$125,A46,Query1!$F$4:$F$125)</f>
        <v>-7058</v>
      </c>
      <c r="H46" s="3">
        <f>SUMIF(Query4!$B$4:$B$48,A46,Query4!$F$4:$F$48)</f>
        <v>0</v>
      </c>
      <c r="J46" s="2">
        <f t="shared" si="0"/>
        <v>0</v>
      </c>
      <c r="K46" s="2" t="s">
        <v>1120</v>
      </c>
      <c r="L46" s="2">
        <v>113</v>
      </c>
      <c r="M46" s="2">
        <v>1</v>
      </c>
      <c r="N46" s="2" t="s">
        <v>793</v>
      </c>
      <c r="O46" s="2">
        <v>351726.51</v>
      </c>
      <c r="P46" s="2">
        <v>0</v>
      </c>
    </row>
    <row r="47" spans="1:16" x14ac:dyDescent="0.2">
      <c r="A47" s="4">
        <v>115</v>
      </c>
      <c r="B47" s="4">
        <v>1</v>
      </c>
      <c r="C47" s="2" t="s">
        <v>1171</v>
      </c>
      <c r="D47" s="184">
        <v>295145.68</v>
      </c>
      <c r="E47" s="185">
        <v>0</v>
      </c>
      <c r="G47" s="3">
        <f>SUMIF(Query1!$B$4:$B$125,A47,Query1!$F$4:$F$125)</f>
        <v>0</v>
      </c>
      <c r="H47" s="3">
        <f>SUMIF(Query4!$B$4:$B$48,A47,Query4!$F$4:$F$48)</f>
        <v>0</v>
      </c>
      <c r="J47" s="2">
        <f t="shared" si="0"/>
        <v>0</v>
      </c>
      <c r="K47" s="2" t="s">
        <v>1120</v>
      </c>
      <c r="L47" s="2">
        <v>115</v>
      </c>
      <c r="M47" s="2">
        <v>1</v>
      </c>
      <c r="N47" s="2" t="s">
        <v>794</v>
      </c>
      <c r="O47" s="2">
        <v>295145.68</v>
      </c>
      <c r="P47" s="2">
        <v>0</v>
      </c>
    </row>
    <row r="48" spans="1:16" x14ac:dyDescent="0.2">
      <c r="A48" s="4">
        <v>116</v>
      </c>
      <c r="B48" s="4">
        <v>1</v>
      </c>
      <c r="C48" s="2" t="s">
        <v>43</v>
      </c>
      <c r="D48" s="184">
        <v>362258.67</v>
      </c>
      <c r="E48" s="185">
        <v>0</v>
      </c>
      <c r="G48" s="3">
        <f>SUMIF(Query1!$B$4:$B$125,A48,Query1!$F$4:$F$125)</f>
        <v>0</v>
      </c>
      <c r="H48" s="3">
        <f>SUMIF(Query4!$B$4:$B$48,A48,Query4!$F$4:$F$48)</f>
        <v>0</v>
      </c>
      <c r="J48" s="2">
        <f t="shared" si="0"/>
        <v>0</v>
      </c>
      <c r="K48" s="2" t="s">
        <v>1120</v>
      </c>
      <c r="L48" s="2">
        <v>116</v>
      </c>
      <c r="M48" s="2">
        <v>1</v>
      </c>
      <c r="N48" s="2" t="s">
        <v>795</v>
      </c>
      <c r="O48" s="2">
        <v>362258.67</v>
      </c>
      <c r="P48" s="2">
        <v>0</v>
      </c>
    </row>
    <row r="49" spans="1:16" x14ac:dyDescent="0.2">
      <c r="A49" s="4">
        <v>118</v>
      </c>
      <c r="B49" s="4">
        <v>1</v>
      </c>
      <c r="C49" s="2" t="s">
        <v>44</v>
      </c>
      <c r="D49" s="184">
        <v>189730.37</v>
      </c>
      <c r="E49" s="185">
        <v>0</v>
      </c>
      <c r="G49" s="3">
        <f>SUMIF(Query1!$B$4:$B$125,A49,Query1!$F$4:$F$125)</f>
        <v>0</v>
      </c>
      <c r="H49" s="3">
        <f>SUMIF(Query4!$B$4:$B$48,A49,Query4!$F$4:$F$48)</f>
        <v>0</v>
      </c>
      <c r="J49" s="2">
        <f t="shared" si="0"/>
        <v>0</v>
      </c>
      <c r="K49" s="2" t="s">
        <v>1120</v>
      </c>
      <c r="L49" s="2">
        <v>118</v>
      </c>
      <c r="M49" s="2">
        <v>1</v>
      </c>
      <c r="N49" s="2" t="s">
        <v>796</v>
      </c>
      <c r="O49" s="2">
        <v>189730.37</v>
      </c>
      <c r="P49" s="2">
        <v>0</v>
      </c>
    </row>
    <row r="50" spans="1:16" x14ac:dyDescent="0.2">
      <c r="A50" s="4">
        <v>129</v>
      </c>
      <c r="B50" s="4">
        <v>1</v>
      </c>
      <c r="C50" s="2" t="s">
        <v>45</v>
      </c>
      <c r="D50" s="184">
        <v>514047.53</v>
      </c>
      <c r="E50" s="185">
        <v>0</v>
      </c>
      <c r="G50" s="3">
        <f>SUMIF(Query1!$B$4:$B$125,A50,Query1!$F$4:$F$125)</f>
        <v>-29208.13</v>
      </c>
      <c r="H50" s="3">
        <f>SUMIF(Query4!$B$4:$B$48,A50,Query4!$F$4:$F$48)</f>
        <v>0</v>
      </c>
      <c r="J50" s="2">
        <f t="shared" si="0"/>
        <v>0</v>
      </c>
      <c r="K50" s="2" t="s">
        <v>1120</v>
      </c>
      <c r="L50" s="2">
        <v>129</v>
      </c>
      <c r="M50" s="2">
        <v>1</v>
      </c>
      <c r="N50" s="2" t="s">
        <v>797</v>
      </c>
      <c r="O50" s="2">
        <v>514047.53</v>
      </c>
      <c r="P50" s="2">
        <v>0</v>
      </c>
    </row>
    <row r="51" spans="1:16" x14ac:dyDescent="0.2">
      <c r="A51" s="4">
        <v>138</v>
      </c>
      <c r="B51" s="4">
        <v>1</v>
      </c>
      <c r="C51" s="2" t="s">
        <v>46</v>
      </c>
      <c r="D51" s="184">
        <v>669416.9</v>
      </c>
      <c r="E51" s="185">
        <v>0</v>
      </c>
      <c r="G51" s="3">
        <f>SUMIF(Query1!$B$4:$B$125,A51,Query1!$F$4:$F$125)</f>
        <v>0</v>
      </c>
      <c r="H51" s="3">
        <f>SUMIF(Query4!$B$4:$B$48,A51,Query4!$F$4:$F$48)</f>
        <v>0</v>
      </c>
      <c r="J51" s="2">
        <f t="shared" si="0"/>
        <v>0</v>
      </c>
      <c r="K51" s="2" t="s">
        <v>1120</v>
      </c>
      <c r="L51" s="2">
        <v>138</v>
      </c>
      <c r="M51" s="2">
        <v>1</v>
      </c>
      <c r="N51" s="2" t="s">
        <v>798</v>
      </c>
      <c r="O51" s="2">
        <v>669416.9</v>
      </c>
      <c r="P51" s="2">
        <v>0</v>
      </c>
    </row>
    <row r="52" spans="1:16" x14ac:dyDescent="0.2">
      <c r="A52" s="4">
        <v>139</v>
      </c>
      <c r="B52" s="4">
        <v>1</v>
      </c>
      <c r="C52" s="2" t="s">
        <v>47</v>
      </c>
      <c r="D52" s="184">
        <v>245207.23</v>
      </c>
      <c r="E52" s="185">
        <v>0</v>
      </c>
      <c r="G52" s="3">
        <f>SUMIF(Query1!$B$4:$B$125,A52,Query1!$F$4:$F$125)</f>
        <v>0</v>
      </c>
      <c r="H52" s="3">
        <f>SUMIF(Query4!$B$4:$B$48,A52,Query4!$F$4:$F$48)</f>
        <v>0</v>
      </c>
      <c r="J52" s="2">
        <f t="shared" si="0"/>
        <v>0</v>
      </c>
      <c r="K52" s="2" t="s">
        <v>1120</v>
      </c>
      <c r="L52" s="2">
        <v>139</v>
      </c>
      <c r="M52" s="2">
        <v>1</v>
      </c>
      <c r="N52" s="2" t="s">
        <v>799</v>
      </c>
      <c r="O52" s="2">
        <v>245207.23</v>
      </c>
      <c r="P52" s="2">
        <v>0</v>
      </c>
    </row>
    <row r="53" spans="1:16" x14ac:dyDescent="0.2">
      <c r="A53" s="4">
        <v>146</v>
      </c>
      <c r="B53" s="4">
        <v>1</v>
      </c>
      <c r="C53" s="2" t="s">
        <v>48</v>
      </c>
      <c r="D53" s="184">
        <v>451039.67</v>
      </c>
      <c r="E53" s="185">
        <v>0</v>
      </c>
      <c r="G53" s="3">
        <f>SUMIF(Query1!$B$4:$B$125,A53,Query1!$F$4:$F$125)</f>
        <v>0</v>
      </c>
      <c r="H53" s="3">
        <f>SUMIF(Query4!$B$4:$B$48,A53,Query4!$F$4:$F$48)</f>
        <v>0</v>
      </c>
      <c r="J53" s="2">
        <f t="shared" si="0"/>
        <v>0</v>
      </c>
      <c r="K53" s="2" t="s">
        <v>1120</v>
      </c>
      <c r="L53" s="2">
        <v>146</v>
      </c>
      <c r="M53" s="2">
        <v>1</v>
      </c>
      <c r="N53" s="2" t="s">
        <v>800</v>
      </c>
      <c r="O53" s="2">
        <v>451039.67</v>
      </c>
      <c r="P53" s="2">
        <v>0</v>
      </c>
    </row>
    <row r="54" spans="1:16" x14ac:dyDescent="0.2">
      <c r="A54" s="4">
        <v>150</v>
      </c>
      <c r="B54" s="4">
        <v>1</v>
      </c>
      <c r="C54" s="2" t="s">
        <v>49</v>
      </c>
      <c r="D54" s="184">
        <v>222632.37</v>
      </c>
      <c r="E54" s="185">
        <v>0</v>
      </c>
      <c r="G54" s="3">
        <f>SUMIF(Query1!$B$4:$B$125,A54,Query1!$F$4:$F$125)</f>
        <v>0.3</v>
      </c>
      <c r="H54" s="3">
        <f>SUMIF(Query4!$B$4:$B$48,A54,Query4!$F$4:$F$48)</f>
        <v>0.12</v>
      </c>
      <c r="J54" s="2">
        <f t="shared" si="0"/>
        <v>0</v>
      </c>
      <c r="K54" s="2" t="s">
        <v>1120</v>
      </c>
      <c r="L54" s="2">
        <v>150</v>
      </c>
      <c r="M54" s="2">
        <v>1</v>
      </c>
      <c r="N54" s="2" t="s">
        <v>801</v>
      </c>
      <c r="O54" s="2">
        <v>222632.37</v>
      </c>
      <c r="P54" s="2">
        <v>0</v>
      </c>
    </row>
    <row r="55" spans="1:16" x14ac:dyDescent="0.2">
      <c r="A55" s="4">
        <v>152</v>
      </c>
      <c r="B55" s="4">
        <v>1</v>
      </c>
      <c r="C55" s="2" t="s">
        <v>50</v>
      </c>
      <c r="D55" s="184">
        <v>3305767.06</v>
      </c>
      <c r="E55" s="185">
        <v>0</v>
      </c>
      <c r="G55" s="3">
        <f>SUMIF(Query1!$B$4:$B$125,A55,Query1!$F$4:$F$125)</f>
        <v>-76484</v>
      </c>
      <c r="H55" s="3">
        <f>SUMIF(Query4!$B$4:$B$48,A55,Query4!$F$4:$F$48)</f>
        <v>-28387</v>
      </c>
      <c r="J55" s="2">
        <f t="shared" si="0"/>
        <v>0</v>
      </c>
      <c r="K55" s="2" t="s">
        <v>1120</v>
      </c>
      <c r="L55" s="2">
        <v>152</v>
      </c>
      <c r="M55" s="2">
        <v>1</v>
      </c>
      <c r="N55" s="2" t="s">
        <v>802</v>
      </c>
      <c r="O55" s="2">
        <v>3305767.06</v>
      </c>
      <c r="P55" s="2">
        <v>0</v>
      </c>
    </row>
    <row r="56" spans="1:16" x14ac:dyDescent="0.2">
      <c r="A56" s="4">
        <v>162</v>
      </c>
      <c r="B56" s="4">
        <v>1</v>
      </c>
      <c r="C56" s="2" t="s">
        <v>51</v>
      </c>
      <c r="D56" s="184">
        <v>237531.21</v>
      </c>
      <c r="E56" s="185">
        <v>0</v>
      </c>
      <c r="G56" s="3">
        <f>SUMIF(Query1!$B$4:$B$125,A56,Query1!$F$4:$F$125)</f>
        <v>0</v>
      </c>
      <c r="H56" s="3">
        <f>SUMIF(Query4!$B$4:$B$48,A56,Query4!$F$4:$F$48)</f>
        <v>0</v>
      </c>
      <c r="J56" s="2">
        <f t="shared" si="0"/>
        <v>0</v>
      </c>
      <c r="K56" s="2" t="s">
        <v>1120</v>
      </c>
      <c r="L56" s="2">
        <v>162</v>
      </c>
      <c r="M56" s="2">
        <v>1</v>
      </c>
      <c r="N56" s="2" t="s">
        <v>803</v>
      </c>
      <c r="O56" s="2">
        <v>237531.21</v>
      </c>
      <c r="P56" s="2">
        <v>0</v>
      </c>
    </row>
    <row r="57" spans="1:16" x14ac:dyDescent="0.2">
      <c r="A57" s="4">
        <v>166</v>
      </c>
      <c r="B57" s="4">
        <v>1</v>
      </c>
      <c r="C57" s="2" t="s">
        <v>52</v>
      </c>
      <c r="D57" s="184">
        <v>215452.64</v>
      </c>
      <c r="E57" s="185">
        <v>0</v>
      </c>
      <c r="G57" s="3">
        <f>SUMIF(Query1!$B$4:$B$125,A57,Query1!$F$4:$F$125)</f>
        <v>-4094.79</v>
      </c>
      <c r="H57" s="3">
        <f>SUMIF(Query4!$B$4:$B$48,A57,Query4!$F$4:$F$48)</f>
        <v>0</v>
      </c>
      <c r="J57" s="2">
        <f t="shared" si="0"/>
        <v>0</v>
      </c>
      <c r="K57" s="2" t="s">
        <v>1120</v>
      </c>
      <c r="L57" s="2">
        <v>166</v>
      </c>
      <c r="M57" s="2">
        <v>1</v>
      </c>
      <c r="N57" s="2" t="s">
        <v>804</v>
      </c>
      <c r="O57" s="2">
        <v>215452.64</v>
      </c>
      <c r="P57" s="2">
        <v>0</v>
      </c>
    </row>
    <row r="58" spans="1:16" x14ac:dyDescent="0.2">
      <c r="A58" s="4">
        <v>173</v>
      </c>
      <c r="B58" s="4">
        <v>1</v>
      </c>
      <c r="C58" s="2" t="s">
        <v>53</v>
      </c>
      <c r="D58" s="184">
        <v>301683.23</v>
      </c>
      <c r="E58" s="185">
        <v>0</v>
      </c>
      <c r="G58" s="3">
        <f>SUMIF(Query1!$B$4:$B$125,A58,Query1!$F$4:$F$125)</f>
        <v>0</v>
      </c>
      <c r="H58" s="3">
        <f>SUMIF(Query4!$B$4:$B$48,A58,Query4!$F$4:$F$48)</f>
        <v>0</v>
      </c>
      <c r="J58" s="2">
        <f t="shared" si="0"/>
        <v>0</v>
      </c>
      <c r="K58" s="2" t="s">
        <v>1120</v>
      </c>
      <c r="L58" s="2">
        <v>173</v>
      </c>
      <c r="M58" s="2">
        <v>1</v>
      </c>
      <c r="N58" s="2" t="s">
        <v>805</v>
      </c>
      <c r="O58" s="2">
        <v>301683.23</v>
      </c>
      <c r="P58" s="2">
        <v>0</v>
      </c>
    </row>
    <row r="59" spans="1:16" x14ac:dyDescent="0.2">
      <c r="A59" s="4">
        <v>177</v>
      </c>
      <c r="B59" s="4">
        <v>1</v>
      </c>
      <c r="C59" s="2" t="s">
        <v>54</v>
      </c>
      <c r="D59" s="184">
        <v>688446.4</v>
      </c>
      <c r="E59" s="185">
        <v>0</v>
      </c>
      <c r="G59" s="3">
        <f>SUMIF(Query1!$B$4:$B$125,A59,Query1!$F$4:$F$125)</f>
        <v>0</v>
      </c>
      <c r="H59" s="3">
        <f>SUMIF(Query4!$B$4:$B$48,A59,Query4!$F$4:$F$48)</f>
        <v>0</v>
      </c>
      <c r="J59" s="2">
        <f t="shared" si="0"/>
        <v>0</v>
      </c>
      <c r="K59" s="2" t="s">
        <v>1120</v>
      </c>
      <c r="L59" s="2">
        <v>177</v>
      </c>
      <c r="M59" s="2">
        <v>1</v>
      </c>
      <c r="N59" s="2" t="s">
        <v>806</v>
      </c>
      <c r="O59" s="2">
        <v>688446.4</v>
      </c>
      <c r="P59" s="2">
        <v>0</v>
      </c>
    </row>
    <row r="60" spans="1:16" x14ac:dyDescent="0.2">
      <c r="A60" s="4">
        <v>181</v>
      </c>
      <c r="B60" s="4">
        <v>1</v>
      </c>
      <c r="C60" s="2" t="s">
        <v>55</v>
      </c>
      <c r="D60" s="184">
        <v>3253436.48</v>
      </c>
      <c r="E60" s="185">
        <v>0</v>
      </c>
      <c r="G60" s="3">
        <f>SUMIF(Query1!$B$4:$B$125,A60,Query1!$F$4:$F$125)</f>
        <v>0</v>
      </c>
      <c r="H60" s="3">
        <f>SUMIF(Query4!$B$4:$B$48,A60,Query4!$F$4:$F$48)</f>
        <v>0</v>
      </c>
      <c r="J60" s="2">
        <f t="shared" si="0"/>
        <v>0</v>
      </c>
      <c r="K60" s="2" t="s">
        <v>1120</v>
      </c>
      <c r="L60" s="2">
        <v>181</v>
      </c>
      <c r="M60" s="2">
        <v>1</v>
      </c>
      <c r="N60" s="2" t="s">
        <v>807</v>
      </c>
      <c r="O60" s="2">
        <v>3253436.48</v>
      </c>
      <c r="P60" s="2">
        <v>0</v>
      </c>
    </row>
    <row r="61" spans="1:16" x14ac:dyDescent="0.2">
      <c r="A61" s="4">
        <v>182</v>
      </c>
      <c r="B61" s="4">
        <v>1</v>
      </c>
      <c r="C61" s="2" t="s">
        <v>56</v>
      </c>
      <c r="D61" s="184">
        <v>596241.5</v>
      </c>
      <c r="E61" s="185">
        <v>0</v>
      </c>
      <c r="G61" s="3">
        <f>SUMIF(Query1!$B$4:$B$125,A61,Query1!$F$4:$F$125)</f>
        <v>0</v>
      </c>
      <c r="H61" s="3">
        <f>SUMIF(Query4!$B$4:$B$48,A61,Query4!$F$4:$F$48)</f>
        <v>0</v>
      </c>
      <c r="J61" s="2">
        <f t="shared" si="0"/>
        <v>0</v>
      </c>
      <c r="K61" s="2" t="s">
        <v>1120</v>
      </c>
      <c r="L61" s="2">
        <v>182</v>
      </c>
      <c r="M61" s="2">
        <v>1</v>
      </c>
      <c r="N61" s="2" t="s">
        <v>808</v>
      </c>
      <c r="O61" s="2">
        <v>596241.5</v>
      </c>
      <c r="P61" s="2">
        <v>0</v>
      </c>
    </row>
    <row r="62" spans="1:16" x14ac:dyDescent="0.2">
      <c r="A62" s="4">
        <v>186</v>
      </c>
      <c r="B62" s="4">
        <v>1</v>
      </c>
      <c r="C62" s="2" t="s">
        <v>57</v>
      </c>
      <c r="D62" s="184">
        <v>697262.52</v>
      </c>
      <c r="E62" s="185">
        <v>0</v>
      </c>
      <c r="G62" s="3">
        <f>SUMIF(Query1!$B$4:$B$125,A62,Query1!$F$4:$F$125)</f>
        <v>0</v>
      </c>
      <c r="H62" s="3">
        <f>SUMIF(Query4!$B$4:$B$48,A62,Query4!$F$4:$F$48)</f>
        <v>0</v>
      </c>
      <c r="J62" s="2">
        <f t="shared" si="0"/>
        <v>0</v>
      </c>
      <c r="K62" s="2" t="s">
        <v>1120</v>
      </c>
      <c r="L62" s="2">
        <v>186</v>
      </c>
      <c r="M62" s="2">
        <v>1</v>
      </c>
      <c r="N62" s="2" t="s">
        <v>809</v>
      </c>
      <c r="O62" s="2">
        <v>697262.52</v>
      </c>
      <c r="P62" s="2">
        <v>0</v>
      </c>
    </row>
    <row r="63" spans="1:16" x14ac:dyDescent="0.2">
      <c r="A63" s="4">
        <v>191</v>
      </c>
      <c r="B63" s="4">
        <v>1</v>
      </c>
      <c r="C63" s="2" t="s">
        <v>58</v>
      </c>
      <c r="D63" s="184">
        <v>8440885.2599999998</v>
      </c>
      <c r="E63" s="185">
        <v>0</v>
      </c>
      <c r="G63" s="3">
        <f>SUMIF(Query1!$B$4:$B$125,A63,Query1!$F$4:$F$125)</f>
        <v>0</v>
      </c>
      <c r="H63" s="3">
        <f>SUMIF(Query4!$B$4:$B$48,A63,Query4!$F$4:$F$48)</f>
        <v>0</v>
      </c>
      <c r="J63" s="2">
        <f t="shared" si="0"/>
        <v>0</v>
      </c>
      <c r="K63" s="2" t="s">
        <v>1120</v>
      </c>
      <c r="L63" s="2">
        <v>191</v>
      </c>
      <c r="M63" s="2">
        <v>1</v>
      </c>
      <c r="N63" s="2" t="s">
        <v>810</v>
      </c>
      <c r="O63" s="2">
        <v>8440885.2599999998</v>
      </c>
      <c r="P63" s="2">
        <v>0</v>
      </c>
    </row>
    <row r="64" spans="1:16" x14ac:dyDescent="0.2">
      <c r="A64" s="4">
        <v>192</v>
      </c>
      <c r="B64" s="4">
        <v>1</v>
      </c>
      <c r="C64" s="2" t="s">
        <v>59</v>
      </c>
      <c r="D64" s="184">
        <v>2454279.34</v>
      </c>
      <c r="E64" s="185">
        <v>0</v>
      </c>
      <c r="G64" s="3">
        <f>SUMIF(Query1!$B$4:$B$125,A64,Query1!$F$4:$F$125)</f>
        <v>-423762.33</v>
      </c>
      <c r="H64" s="3">
        <f>SUMIF(Query4!$B$4:$B$48,A64,Query4!$F$4:$F$48)</f>
        <v>-28386.78</v>
      </c>
      <c r="J64" s="2">
        <f t="shared" si="0"/>
        <v>0</v>
      </c>
      <c r="K64" s="2" t="s">
        <v>1120</v>
      </c>
      <c r="L64" s="2">
        <v>192</v>
      </c>
      <c r="M64" s="2">
        <v>1</v>
      </c>
      <c r="N64" s="2" t="s">
        <v>811</v>
      </c>
      <c r="O64" s="2">
        <v>2454279.34</v>
      </c>
      <c r="P64" s="2">
        <v>0</v>
      </c>
    </row>
    <row r="65" spans="1:16" x14ac:dyDescent="0.2">
      <c r="A65" s="4">
        <v>194</v>
      </c>
      <c r="B65" s="4">
        <v>1</v>
      </c>
      <c r="C65" s="2" t="s">
        <v>60</v>
      </c>
      <c r="D65" s="184">
        <v>5557107.1600000001</v>
      </c>
      <c r="E65" s="185">
        <v>0</v>
      </c>
      <c r="G65" s="3">
        <f>SUMIF(Query1!$B$4:$B$125,A65,Query1!$F$4:$F$125)</f>
        <v>0</v>
      </c>
      <c r="H65" s="3">
        <f>SUMIF(Query4!$B$4:$B$48,A65,Query4!$F$4:$F$48)</f>
        <v>0</v>
      </c>
      <c r="J65" s="2">
        <f t="shared" si="0"/>
        <v>0</v>
      </c>
      <c r="K65" s="2" t="s">
        <v>1120</v>
      </c>
      <c r="L65" s="2">
        <v>194</v>
      </c>
      <c r="M65" s="2">
        <v>1</v>
      </c>
      <c r="N65" s="2" t="s">
        <v>812</v>
      </c>
      <c r="O65" s="2">
        <v>5557107.1600000001</v>
      </c>
      <c r="P65" s="2">
        <v>0</v>
      </c>
    </row>
    <row r="66" spans="1:16" x14ac:dyDescent="0.2">
      <c r="A66" s="4">
        <v>195</v>
      </c>
      <c r="B66" s="4">
        <v>1</v>
      </c>
      <c r="C66" s="2" t="s">
        <v>61</v>
      </c>
      <c r="D66" s="184">
        <v>152560.85</v>
      </c>
      <c r="E66" s="185">
        <v>0</v>
      </c>
      <c r="G66" s="3">
        <f>SUMIF(Query1!$B$4:$B$125,A66,Query1!$F$4:$F$125)</f>
        <v>-50007.199999999997</v>
      </c>
      <c r="H66" s="3">
        <f>SUMIF(Query4!$B$4:$B$48,A66,Query4!$F$4:$F$48)</f>
        <v>0</v>
      </c>
      <c r="J66" s="2">
        <f t="shared" si="0"/>
        <v>0</v>
      </c>
      <c r="K66" s="2" t="s">
        <v>1120</v>
      </c>
      <c r="L66" s="2">
        <v>195</v>
      </c>
      <c r="M66" s="2">
        <v>1</v>
      </c>
      <c r="N66" s="2" t="s">
        <v>813</v>
      </c>
      <c r="O66" s="2">
        <v>152560.85</v>
      </c>
      <c r="P66" s="2">
        <v>0</v>
      </c>
    </row>
    <row r="67" spans="1:16" x14ac:dyDescent="0.2">
      <c r="A67" s="4">
        <v>196</v>
      </c>
      <c r="B67" s="4">
        <v>1</v>
      </c>
      <c r="C67" s="2" t="s">
        <v>62</v>
      </c>
      <c r="D67" s="184">
        <v>23529092.859999999</v>
      </c>
      <c r="E67" s="185">
        <v>0</v>
      </c>
      <c r="G67" s="3">
        <f>SUMIF(Query1!$B$4:$B$125,A67,Query1!$F$4:$F$125)</f>
        <v>0</v>
      </c>
      <c r="H67" s="3">
        <f>SUMIF(Query4!$B$4:$B$48,A67,Query4!$F$4:$F$48)</f>
        <v>0</v>
      </c>
      <c r="J67" s="2">
        <f t="shared" si="0"/>
        <v>0</v>
      </c>
      <c r="K67" s="2" t="s">
        <v>1120</v>
      </c>
      <c r="L67" s="2">
        <v>196</v>
      </c>
      <c r="M67" s="2">
        <v>1</v>
      </c>
      <c r="N67" s="2" t="s">
        <v>814</v>
      </c>
      <c r="O67" s="2">
        <v>23529092.859999999</v>
      </c>
      <c r="P67" s="2">
        <v>0</v>
      </c>
    </row>
    <row r="68" spans="1:16" x14ac:dyDescent="0.2">
      <c r="A68" s="4">
        <v>197</v>
      </c>
      <c r="B68" s="4">
        <v>1</v>
      </c>
      <c r="C68" s="2" t="s">
        <v>815</v>
      </c>
      <c r="D68" s="184">
        <v>5123378.82</v>
      </c>
      <c r="E68" s="185">
        <v>0</v>
      </c>
      <c r="G68" s="3">
        <f>SUMIF(Query1!$B$4:$B$125,A68,Query1!$F$4:$F$125)</f>
        <v>0</v>
      </c>
      <c r="H68" s="3">
        <f>SUMIF(Query4!$B$4:$B$48,A68,Query4!$F$4:$F$48)</f>
        <v>0</v>
      </c>
      <c r="J68" s="2">
        <f t="shared" si="0"/>
        <v>0</v>
      </c>
      <c r="K68" s="2" t="s">
        <v>1120</v>
      </c>
      <c r="L68" s="2">
        <v>197</v>
      </c>
      <c r="M68" s="2">
        <v>1</v>
      </c>
      <c r="N68" s="2" t="s">
        <v>815</v>
      </c>
      <c r="O68" s="2">
        <v>5123378.82</v>
      </c>
      <c r="P68" s="2">
        <v>0</v>
      </c>
    </row>
    <row r="69" spans="1:16" x14ac:dyDescent="0.2">
      <c r="A69" s="4">
        <v>199</v>
      </c>
      <c r="B69" s="4">
        <v>1</v>
      </c>
      <c r="C69" s="2" t="s">
        <v>1172</v>
      </c>
      <c r="D69" s="184">
        <v>2559720.16</v>
      </c>
      <c r="E69" s="185">
        <v>0</v>
      </c>
      <c r="G69" s="3">
        <f>SUMIF(Query1!$B$4:$B$125,A69,Query1!$F$4:$F$125)</f>
        <v>0</v>
      </c>
      <c r="H69" s="3">
        <f>SUMIF(Query4!$B$4:$B$48,A69,Query4!$F$4:$F$48)</f>
        <v>0</v>
      </c>
      <c r="J69" s="2">
        <f t="shared" si="0"/>
        <v>0</v>
      </c>
      <c r="K69" s="2" t="s">
        <v>1120</v>
      </c>
      <c r="L69" s="2">
        <v>199</v>
      </c>
      <c r="M69" s="2">
        <v>1</v>
      </c>
      <c r="N69" s="2" t="s">
        <v>816</v>
      </c>
      <c r="O69" s="2">
        <v>2559720.16</v>
      </c>
      <c r="P69" s="2">
        <v>0</v>
      </c>
    </row>
    <row r="70" spans="1:16" x14ac:dyDescent="0.2">
      <c r="A70" s="4">
        <v>200</v>
      </c>
      <c r="B70" s="4">
        <v>1</v>
      </c>
      <c r="C70" s="2" t="s">
        <v>65</v>
      </c>
      <c r="D70" s="184">
        <v>4592024.8899999997</v>
      </c>
      <c r="E70" s="185">
        <v>0</v>
      </c>
      <c r="G70" s="3">
        <f>SUMIF(Query1!$B$4:$B$125,A70,Query1!$F$4:$F$125)</f>
        <v>0</v>
      </c>
      <c r="H70" s="3">
        <f>SUMIF(Query4!$B$4:$B$48,A70,Query4!$F$4:$F$48)</f>
        <v>0</v>
      </c>
      <c r="J70" s="2">
        <f t="shared" si="0"/>
        <v>0</v>
      </c>
      <c r="K70" s="2" t="s">
        <v>1120</v>
      </c>
      <c r="L70" s="2">
        <v>200</v>
      </c>
      <c r="M70" s="2">
        <v>1</v>
      </c>
      <c r="N70" s="2" t="s">
        <v>817</v>
      </c>
      <c r="O70" s="2">
        <v>4592024.8899999997</v>
      </c>
      <c r="P70" s="2">
        <v>0</v>
      </c>
    </row>
    <row r="71" spans="1:16" x14ac:dyDescent="0.2">
      <c r="A71" s="4">
        <v>203</v>
      </c>
      <c r="B71" s="4">
        <v>1</v>
      </c>
      <c r="C71" s="2" t="s">
        <v>66</v>
      </c>
      <c r="D71" s="184">
        <v>512468.47</v>
      </c>
      <c r="E71" s="185">
        <v>0</v>
      </c>
      <c r="G71" s="3">
        <f>SUMIF(Query1!$B$4:$B$125,A71,Query1!$F$4:$F$125)</f>
        <v>0</v>
      </c>
      <c r="H71" s="3">
        <f>SUMIF(Query4!$B$4:$B$48,A71,Query4!$F$4:$F$48)</f>
        <v>0</v>
      </c>
      <c r="J71" s="2">
        <f t="shared" si="0"/>
        <v>0</v>
      </c>
      <c r="K71" s="2" t="s">
        <v>1120</v>
      </c>
      <c r="L71" s="2">
        <v>203</v>
      </c>
      <c r="M71" s="2">
        <v>1</v>
      </c>
      <c r="N71" s="2" t="s">
        <v>818</v>
      </c>
      <c r="O71" s="2">
        <v>512468.47</v>
      </c>
      <c r="P71" s="2">
        <v>0</v>
      </c>
    </row>
    <row r="72" spans="1:16" x14ac:dyDescent="0.2">
      <c r="A72" s="4">
        <v>204</v>
      </c>
      <c r="B72" s="4">
        <v>1</v>
      </c>
      <c r="C72" s="2" t="s">
        <v>1173</v>
      </c>
      <c r="D72" s="184">
        <v>361334.6</v>
      </c>
      <c r="E72" s="185">
        <v>0</v>
      </c>
      <c r="G72" s="3">
        <f>SUMIF(Query1!$B$4:$B$125,A72,Query1!$F$4:$F$125)</f>
        <v>0</v>
      </c>
      <c r="H72" s="3">
        <f>SUMIF(Query4!$B$4:$B$48,A72,Query4!$F$4:$F$48)</f>
        <v>0</v>
      </c>
      <c r="J72" s="2">
        <f t="shared" si="0"/>
        <v>0</v>
      </c>
      <c r="K72" s="2" t="s">
        <v>1120</v>
      </c>
      <c r="L72" s="2">
        <v>204</v>
      </c>
      <c r="M72" s="2">
        <v>1</v>
      </c>
      <c r="N72" s="2" t="s">
        <v>819</v>
      </c>
      <c r="O72" s="2">
        <v>361334.6</v>
      </c>
      <c r="P72" s="2">
        <v>0</v>
      </c>
    </row>
    <row r="73" spans="1:16" x14ac:dyDescent="0.2">
      <c r="A73" s="4">
        <v>206</v>
      </c>
      <c r="B73" s="4">
        <v>1</v>
      </c>
      <c r="C73" s="2" t="s">
        <v>68</v>
      </c>
      <c r="D73" s="184">
        <v>1635765.54</v>
      </c>
      <c r="E73" s="185">
        <v>0</v>
      </c>
      <c r="G73" s="3">
        <f>SUMIF(Query1!$B$4:$B$125,A73,Query1!$F$4:$F$125)</f>
        <v>0</v>
      </c>
      <c r="H73" s="3">
        <f>SUMIF(Query4!$B$4:$B$48,A73,Query4!$F$4:$F$48)</f>
        <v>0</v>
      </c>
      <c r="J73" s="2">
        <f t="shared" si="0"/>
        <v>0</v>
      </c>
      <c r="K73" s="2" t="s">
        <v>1120</v>
      </c>
      <c r="L73" s="2">
        <v>206</v>
      </c>
      <c r="M73" s="2">
        <v>1</v>
      </c>
      <c r="N73" s="2" t="s">
        <v>820</v>
      </c>
      <c r="O73" s="2">
        <v>1635765.54</v>
      </c>
      <c r="P73" s="2">
        <v>0</v>
      </c>
    </row>
    <row r="74" spans="1:16" x14ac:dyDescent="0.2">
      <c r="A74" s="4">
        <v>213</v>
      </c>
      <c r="B74" s="4">
        <v>1</v>
      </c>
      <c r="C74" s="2" t="s">
        <v>71</v>
      </c>
      <c r="D74" s="184">
        <v>179242.79</v>
      </c>
      <c r="E74" s="185">
        <v>0</v>
      </c>
      <c r="G74" s="3">
        <f>SUMIF(Query1!$B$4:$B$125,A74,Query1!$F$4:$F$125)</f>
        <v>-34776.51</v>
      </c>
      <c r="H74" s="3">
        <f>SUMIF(Query4!$B$4:$B$48,A74,Query4!$F$4:$F$48)</f>
        <v>0</v>
      </c>
      <c r="J74" s="2">
        <f t="shared" ref="J74:J137" si="1">L74-A74</f>
        <v>0</v>
      </c>
      <c r="K74" s="2" t="s">
        <v>1120</v>
      </c>
      <c r="L74" s="2">
        <v>213</v>
      </c>
      <c r="M74" s="2">
        <v>1</v>
      </c>
      <c r="N74" s="2" t="s">
        <v>821</v>
      </c>
      <c r="O74" s="2">
        <v>179242.79</v>
      </c>
      <c r="P74" s="2">
        <v>0</v>
      </c>
    </row>
    <row r="75" spans="1:16" x14ac:dyDescent="0.2">
      <c r="A75" s="4">
        <v>227</v>
      </c>
      <c r="B75" s="4">
        <v>1</v>
      </c>
      <c r="C75" s="2" t="s">
        <v>72</v>
      </c>
      <c r="D75" s="184">
        <v>337707.04</v>
      </c>
      <c r="E75" s="185">
        <v>0</v>
      </c>
      <c r="G75" s="3">
        <f>SUMIF(Query1!$B$4:$B$125,A75,Query1!$F$4:$F$125)</f>
        <v>-17069.84</v>
      </c>
      <c r="H75" s="3">
        <f>SUMIF(Query4!$B$4:$B$48,A75,Query4!$F$4:$F$48)</f>
        <v>0</v>
      </c>
      <c r="J75" s="2">
        <f t="shared" si="1"/>
        <v>0</v>
      </c>
      <c r="K75" s="2" t="s">
        <v>1120</v>
      </c>
      <c r="L75" s="2">
        <v>227</v>
      </c>
      <c r="M75" s="2">
        <v>1</v>
      </c>
      <c r="N75" s="2" t="s">
        <v>822</v>
      </c>
      <c r="O75" s="2">
        <v>337707.04</v>
      </c>
      <c r="P75" s="2">
        <v>0</v>
      </c>
    </row>
    <row r="76" spans="1:16" x14ac:dyDescent="0.2">
      <c r="A76" s="4">
        <v>229</v>
      </c>
      <c r="B76" s="4">
        <v>1</v>
      </c>
      <c r="C76" s="2" t="s">
        <v>73</v>
      </c>
      <c r="D76" s="184">
        <v>78210.87</v>
      </c>
      <c r="E76" s="185">
        <v>0</v>
      </c>
      <c r="G76" s="3">
        <f>SUMIF(Query1!$B$4:$B$125,A76,Query1!$F$4:$F$125)</f>
        <v>-32046.799999999999</v>
      </c>
      <c r="H76" s="3">
        <f>SUMIF(Query4!$B$4:$B$48,A76,Query4!$F$4:$F$48)</f>
        <v>-165.25</v>
      </c>
      <c r="J76" s="2">
        <f t="shared" si="1"/>
        <v>0</v>
      </c>
      <c r="K76" s="2" t="s">
        <v>1120</v>
      </c>
      <c r="L76" s="2">
        <v>229</v>
      </c>
      <c r="M76" s="2">
        <v>1</v>
      </c>
      <c r="N76" s="2" t="s">
        <v>823</v>
      </c>
      <c r="O76" s="2">
        <v>78210.87</v>
      </c>
      <c r="P76" s="2">
        <v>0</v>
      </c>
    </row>
    <row r="77" spans="1:16" x14ac:dyDescent="0.2">
      <c r="A77" s="4">
        <v>238</v>
      </c>
      <c r="B77" s="4">
        <v>1</v>
      </c>
      <c r="C77" s="2" t="s">
        <v>74</v>
      </c>
      <c r="D77" s="184">
        <v>167151.32999999999</v>
      </c>
      <c r="E77" s="185">
        <v>0</v>
      </c>
      <c r="G77" s="3">
        <f>SUMIF(Query1!$B$4:$B$125,A77,Query1!$F$4:$F$125)</f>
        <v>0</v>
      </c>
      <c r="H77" s="3">
        <f>SUMIF(Query4!$B$4:$B$48,A77,Query4!$F$4:$F$48)</f>
        <v>0</v>
      </c>
      <c r="J77" s="2">
        <f t="shared" si="1"/>
        <v>0</v>
      </c>
      <c r="K77" s="2" t="s">
        <v>1120</v>
      </c>
      <c r="L77" s="2">
        <v>238</v>
      </c>
      <c r="M77" s="2">
        <v>1</v>
      </c>
      <c r="N77" s="2" t="s">
        <v>824</v>
      </c>
      <c r="O77" s="2">
        <v>167151.32999999999</v>
      </c>
      <c r="P77" s="2">
        <v>0</v>
      </c>
    </row>
    <row r="78" spans="1:16" x14ac:dyDescent="0.2">
      <c r="A78" s="4">
        <v>239</v>
      </c>
      <c r="B78" s="4">
        <v>1</v>
      </c>
      <c r="C78" s="2" t="s">
        <v>1174</v>
      </c>
      <c r="D78" s="184">
        <v>451939.59</v>
      </c>
      <c r="E78" s="185">
        <v>0</v>
      </c>
      <c r="G78" s="3">
        <f>SUMIF(Query1!$B$4:$B$125,A78,Query1!$F$4:$F$125)</f>
        <v>0</v>
      </c>
      <c r="H78" s="3">
        <f>SUMIF(Query4!$B$4:$B$48,A78,Query4!$F$4:$F$48)</f>
        <v>0</v>
      </c>
      <c r="J78" s="2">
        <f t="shared" si="1"/>
        <v>0</v>
      </c>
      <c r="K78" s="2" t="s">
        <v>1120</v>
      </c>
      <c r="L78" s="2">
        <v>239</v>
      </c>
      <c r="M78" s="2">
        <v>1</v>
      </c>
      <c r="N78" s="2" t="s">
        <v>825</v>
      </c>
      <c r="O78" s="2">
        <v>451939.59</v>
      </c>
      <c r="P78" s="2">
        <v>0</v>
      </c>
    </row>
    <row r="79" spans="1:16" x14ac:dyDescent="0.2">
      <c r="A79" s="4">
        <v>241</v>
      </c>
      <c r="B79" s="4">
        <v>1</v>
      </c>
      <c r="C79" s="2" t="s">
        <v>76</v>
      </c>
      <c r="D79" s="184">
        <v>2316353.66</v>
      </c>
      <c r="E79" s="185">
        <v>0</v>
      </c>
      <c r="G79" s="3">
        <f>SUMIF(Query1!$B$4:$B$125,A79,Query1!$F$4:$F$125)</f>
        <v>0</v>
      </c>
      <c r="H79" s="3">
        <f>SUMIF(Query4!$B$4:$B$48,A79,Query4!$F$4:$F$48)</f>
        <v>0</v>
      </c>
      <c r="J79" s="2">
        <f t="shared" si="1"/>
        <v>0</v>
      </c>
      <c r="K79" s="2" t="s">
        <v>1120</v>
      </c>
      <c r="L79" s="2">
        <v>241</v>
      </c>
      <c r="M79" s="2">
        <v>1</v>
      </c>
      <c r="N79" s="2" t="s">
        <v>826</v>
      </c>
      <c r="O79" s="2">
        <v>2316353.66</v>
      </c>
      <c r="P79" s="2">
        <v>0</v>
      </c>
    </row>
    <row r="80" spans="1:16" x14ac:dyDescent="0.2">
      <c r="A80" s="4">
        <v>242</v>
      </c>
      <c r="B80" s="4">
        <v>1</v>
      </c>
      <c r="C80" s="2" t="s">
        <v>1175</v>
      </c>
      <c r="D80" s="184">
        <v>78871.08</v>
      </c>
      <c r="E80" s="185">
        <v>0</v>
      </c>
      <c r="G80" s="3">
        <f>SUMIF(Query1!$B$4:$B$125,A80,Query1!$F$4:$F$125)</f>
        <v>-1646.58</v>
      </c>
      <c r="H80" s="3">
        <f>SUMIF(Query4!$B$4:$B$48,A80,Query4!$F$4:$F$48)</f>
        <v>0</v>
      </c>
      <c r="J80" s="2">
        <f t="shared" si="1"/>
        <v>0</v>
      </c>
      <c r="K80" s="2" t="s">
        <v>1120</v>
      </c>
      <c r="L80" s="2">
        <v>242</v>
      </c>
      <c r="M80" s="2">
        <v>1</v>
      </c>
      <c r="N80" s="2" t="s">
        <v>827</v>
      </c>
      <c r="O80" s="2">
        <v>78871.08</v>
      </c>
      <c r="P80" s="2">
        <v>0</v>
      </c>
    </row>
    <row r="81" spans="1:16" x14ac:dyDescent="0.2">
      <c r="A81" s="4">
        <v>252</v>
      </c>
      <c r="B81" s="4">
        <v>1</v>
      </c>
      <c r="C81" s="2" t="s">
        <v>78</v>
      </c>
      <c r="D81" s="184">
        <v>574313.49</v>
      </c>
      <c r="E81" s="185">
        <v>0</v>
      </c>
      <c r="G81" s="3">
        <f>SUMIF(Query1!$B$4:$B$125,A81,Query1!$F$4:$F$125)</f>
        <v>-10201.370000000001</v>
      </c>
      <c r="H81" s="3">
        <f>SUMIF(Query4!$B$4:$B$48,A81,Query4!$F$4:$F$48)</f>
        <v>0</v>
      </c>
      <c r="J81" s="2">
        <f t="shared" si="1"/>
        <v>0</v>
      </c>
      <c r="K81" s="2" t="s">
        <v>1120</v>
      </c>
      <c r="L81" s="2">
        <v>252</v>
      </c>
      <c r="M81" s="2">
        <v>1</v>
      </c>
      <c r="N81" s="2" t="s">
        <v>828</v>
      </c>
      <c r="O81" s="2">
        <v>574313.49</v>
      </c>
      <c r="P81" s="2">
        <v>0</v>
      </c>
    </row>
    <row r="82" spans="1:16" x14ac:dyDescent="0.2">
      <c r="A82" s="4">
        <v>253</v>
      </c>
      <c r="B82" s="4">
        <v>1</v>
      </c>
      <c r="C82" s="2" t="s">
        <v>79</v>
      </c>
      <c r="D82" s="184">
        <v>230219.49</v>
      </c>
      <c r="E82" s="185">
        <v>0</v>
      </c>
      <c r="G82" s="3">
        <f>SUMIF(Query1!$B$4:$B$125,A82,Query1!$F$4:$F$125)</f>
        <v>0</v>
      </c>
      <c r="H82" s="3">
        <f>SUMIF(Query4!$B$4:$B$48,A82,Query4!$F$4:$F$48)</f>
        <v>0</v>
      </c>
      <c r="J82" s="2">
        <f t="shared" si="1"/>
        <v>0</v>
      </c>
      <c r="K82" s="2" t="s">
        <v>1120</v>
      </c>
      <c r="L82" s="2">
        <v>253</v>
      </c>
      <c r="M82" s="2">
        <v>1</v>
      </c>
      <c r="N82" s="2" t="s">
        <v>829</v>
      </c>
      <c r="O82" s="2">
        <v>230219.49</v>
      </c>
      <c r="P82" s="2">
        <v>0</v>
      </c>
    </row>
    <row r="83" spans="1:16" x14ac:dyDescent="0.2">
      <c r="A83" s="4">
        <v>255</v>
      </c>
      <c r="B83" s="4">
        <v>1</v>
      </c>
      <c r="C83" s="2" t="s">
        <v>80</v>
      </c>
      <c r="D83" s="184">
        <v>623448.89</v>
      </c>
      <c r="E83" s="185">
        <v>0</v>
      </c>
      <c r="G83" s="3">
        <f>SUMIF(Query1!$B$4:$B$125,A83,Query1!$F$4:$F$125)</f>
        <v>0</v>
      </c>
      <c r="H83" s="3">
        <f>SUMIF(Query4!$B$4:$B$48,A83,Query4!$F$4:$F$48)</f>
        <v>0</v>
      </c>
      <c r="J83" s="2">
        <f t="shared" si="1"/>
        <v>0</v>
      </c>
      <c r="K83" s="2" t="s">
        <v>1120</v>
      </c>
      <c r="L83" s="2">
        <v>255</v>
      </c>
      <c r="M83" s="2">
        <v>1</v>
      </c>
      <c r="N83" s="2" t="s">
        <v>830</v>
      </c>
      <c r="O83" s="2">
        <v>623448.89</v>
      </c>
      <c r="P83" s="2">
        <v>0</v>
      </c>
    </row>
    <row r="84" spans="1:16" x14ac:dyDescent="0.2">
      <c r="A84" s="4">
        <v>256</v>
      </c>
      <c r="B84" s="4">
        <v>1</v>
      </c>
      <c r="C84" s="2" t="s">
        <v>81</v>
      </c>
      <c r="D84" s="184">
        <v>2394327.6800000002</v>
      </c>
      <c r="E84" s="185">
        <v>0</v>
      </c>
      <c r="G84" s="3">
        <f>SUMIF(Query1!$B$4:$B$125,A84,Query1!$F$4:$F$125)</f>
        <v>0</v>
      </c>
      <c r="H84" s="3">
        <f>SUMIF(Query4!$B$4:$B$48,A84,Query4!$F$4:$F$48)</f>
        <v>0</v>
      </c>
      <c r="J84" s="2">
        <f t="shared" si="1"/>
        <v>0</v>
      </c>
      <c r="K84" s="2" t="s">
        <v>1120</v>
      </c>
      <c r="L84" s="2">
        <v>256</v>
      </c>
      <c r="M84" s="2">
        <v>1</v>
      </c>
      <c r="N84" s="2" t="s">
        <v>831</v>
      </c>
      <c r="O84" s="2">
        <v>2394327.6800000002</v>
      </c>
      <c r="P84" s="2">
        <v>0</v>
      </c>
    </row>
    <row r="85" spans="1:16" x14ac:dyDescent="0.2">
      <c r="A85" s="4">
        <v>261</v>
      </c>
      <c r="B85" s="4">
        <v>1</v>
      </c>
      <c r="C85" s="2" t="s">
        <v>82</v>
      </c>
      <c r="D85" s="184">
        <v>192359.31</v>
      </c>
      <c r="E85" s="185">
        <v>0</v>
      </c>
      <c r="G85" s="3">
        <f>SUMIF(Query1!$B$4:$B$125,A85,Query1!$F$4:$F$125)</f>
        <v>0</v>
      </c>
      <c r="H85" s="3">
        <f>SUMIF(Query4!$B$4:$B$48,A85,Query4!$F$4:$F$48)</f>
        <v>0</v>
      </c>
      <c r="J85" s="2">
        <f t="shared" si="1"/>
        <v>0</v>
      </c>
      <c r="K85" s="2" t="s">
        <v>1120</v>
      </c>
      <c r="L85" s="2">
        <v>261</v>
      </c>
      <c r="M85" s="2">
        <v>1</v>
      </c>
      <c r="N85" s="2" t="s">
        <v>832</v>
      </c>
      <c r="O85" s="2">
        <v>192359.31</v>
      </c>
      <c r="P85" s="2">
        <v>0</v>
      </c>
    </row>
    <row r="86" spans="1:16" x14ac:dyDescent="0.2">
      <c r="A86" s="4">
        <v>264</v>
      </c>
      <c r="B86" s="4">
        <v>1</v>
      </c>
      <c r="C86" s="2" t="s">
        <v>83</v>
      </c>
      <c r="D86" s="184">
        <v>38179.94</v>
      </c>
      <c r="E86" s="185">
        <v>0</v>
      </c>
      <c r="G86" s="3">
        <f>SUMIF(Query1!$B$4:$B$125,A86,Query1!$F$4:$F$125)</f>
        <v>-41938.480000000003</v>
      </c>
      <c r="H86" s="3">
        <f>SUMIF(Query4!$B$4:$B$48,A86,Query4!$F$4:$F$48)</f>
        <v>0</v>
      </c>
      <c r="J86" s="2">
        <f t="shared" si="1"/>
        <v>0</v>
      </c>
      <c r="K86" s="2" t="s">
        <v>1120</v>
      </c>
      <c r="L86" s="2">
        <v>264</v>
      </c>
      <c r="M86" s="2">
        <v>1</v>
      </c>
      <c r="N86" s="2" t="s">
        <v>833</v>
      </c>
      <c r="O86" s="2">
        <v>38179.94</v>
      </c>
      <c r="P86" s="2">
        <v>0</v>
      </c>
    </row>
    <row r="87" spans="1:16" x14ac:dyDescent="0.2">
      <c r="A87" s="4">
        <v>270</v>
      </c>
      <c r="B87" s="4">
        <v>1</v>
      </c>
      <c r="C87" s="2" t="s">
        <v>84</v>
      </c>
      <c r="D87" s="184">
        <v>9223202.75</v>
      </c>
      <c r="E87" s="185">
        <v>0</v>
      </c>
      <c r="G87" s="3">
        <f>SUMIF(Query1!$B$4:$B$125,A87,Query1!$F$4:$F$125)</f>
        <v>0</v>
      </c>
      <c r="H87" s="3">
        <f>SUMIF(Query4!$B$4:$B$48,A87,Query4!$F$4:$F$48)</f>
        <v>0</v>
      </c>
      <c r="J87" s="2">
        <f t="shared" si="1"/>
        <v>0</v>
      </c>
      <c r="K87" s="2" t="s">
        <v>1120</v>
      </c>
      <c r="L87" s="2">
        <v>270</v>
      </c>
      <c r="M87" s="2">
        <v>1</v>
      </c>
      <c r="N87" s="2" t="s">
        <v>834</v>
      </c>
      <c r="O87" s="2">
        <v>9223202.75</v>
      </c>
      <c r="P87" s="2">
        <v>0</v>
      </c>
    </row>
    <row r="88" spans="1:16" x14ac:dyDescent="0.2">
      <c r="A88" s="4">
        <v>271</v>
      </c>
      <c r="B88" s="4">
        <v>1</v>
      </c>
      <c r="C88" s="2" t="s">
        <v>85</v>
      </c>
      <c r="D88" s="184">
        <v>14081465.710000001</v>
      </c>
      <c r="E88" s="185">
        <v>0</v>
      </c>
      <c r="G88" s="3">
        <f>SUMIF(Query1!$B$4:$B$125,A88,Query1!$F$4:$F$125)</f>
        <v>0</v>
      </c>
      <c r="H88" s="3">
        <f>SUMIF(Query4!$B$4:$B$48,A88,Query4!$F$4:$F$48)</f>
        <v>0</v>
      </c>
      <c r="J88" s="2">
        <f t="shared" si="1"/>
        <v>0</v>
      </c>
      <c r="K88" s="2" t="s">
        <v>1120</v>
      </c>
      <c r="L88" s="2">
        <v>271</v>
      </c>
      <c r="M88" s="2">
        <v>1</v>
      </c>
      <c r="N88" s="2" t="s">
        <v>835</v>
      </c>
      <c r="O88" s="2">
        <v>14081465.710000001</v>
      </c>
      <c r="P88" s="2">
        <v>0</v>
      </c>
    </row>
    <row r="89" spans="1:16" x14ac:dyDescent="0.2">
      <c r="A89" s="4">
        <v>272</v>
      </c>
      <c r="B89" s="4">
        <v>1</v>
      </c>
      <c r="C89" s="2" t="s">
        <v>86</v>
      </c>
      <c r="D89" s="184">
        <v>9372679.6799999997</v>
      </c>
      <c r="E89" s="185">
        <v>0</v>
      </c>
      <c r="G89" s="3">
        <f>SUMIF(Query1!$B$4:$B$125,A89,Query1!$F$4:$F$125)</f>
        <v>0</v>
      </c>
      <c r="H89" s="3">
        <f>SUMIF(Query4!$B$4:$B$48,A89,Query4!$F$4:$F$48)</f>
        <v>0</v>
      </c>
      <c r="J89" s="2">
        <f t="shared" si="1"/>
        <v>0</v>
      </c>
      <c r="K89" s="2" t="s">
        <v>1120</v>
      </c>
      <c r="L89" s="2">
        <v>272</v>
      </c>
      <c r="M89" s="2">
        <v>1</v>
      </c>
      <c r="N89" s="2" t="s">
        <v>836</v>
      </c>
      <c r="O89" s="2">
        <v>9372679.6799999997</v>
      </c>
      <c r="P89" s="2">
        <v>0</v>
      </c>
    </row>
    <row r="90" spans="1:16" x14ac:dyDescent="0.2">
      <c r="A90" s="4">
        <v>273</v>
      </c>
      <c r="B90" s="4">
        <v>1</v>
      </c>
      <c r="C90" s="2" t="s">
        <v>87</v>
      </c>
      <c r="D90" s="184">
        <v>11911003.99</v>
      </c>
      <c r="E90" s="185">
        <v>0</v>
      </c>
      <c r="G90" s="3">
        <f>SUMIF(Query1!$B$4:$B$125,A90,Query1!$F$4:$F$125)</f>
        <v>0</v>
      </c>
      <c r="H90" s="3">
        <f>SUMIF(Query4!$B$4:$B$48,A90,Query4!$F$4:$F$48)</f>
        <v>0</v>
      </c>
      <c r="J90" s="2">
        <f t="shared" si="1"/>
        <v>0</v>
      </c>
      <c r="K90" s="2" t="s">
        <v>1120</v>
      </c>
      <c r="L90" s="2">
        <v>273</v>
      </c>
      <c r="M90" s="2">
        <v>1</v>
      </c>
      <c r="N90" s="2" t="s">
        <v>837</v>
      </c>
      <c r="O90" s="2">
        <v>11911003.99</v>
      </c>
      <c r="P90" s="2">
        <v>0</v>
      </c>
    </row>
    <row r="91" spans="1:16" x14ac:dyDescent="0.2">
      <c r="A91" s="4">
        <v>276</v>
      </c>
      <c r="B91" s="4">
        <v>1</v>
      </c>
      <c r="C91" s="2" t="s">
        <v>88</v>
      </c>
      <c r="D91" s="184">
        <v>9300253.1400000006</v>
      </c>
      <c r="E91" s="185">
        <v>0</v>
      </c>
      <c r="G91" s="3">
        <f>SUMIF(Query1!$B$4:$B$125,A91,Query1!$F$4:$F$125)</f>
        <v>0</v>
      </c>
      <c r="H91" s="3">
        <f>SUMIF(Query4!$B$4:$B$48,A91,Query4!$F$4:$F$48)</f>
        <v>0</v>
      </c>
      <c r="J91" s="2">
        <f t="shared" si="1"/>
        <v>0</v>
      </c>
      <c r="K91" s="2" t="s">
        <v>1120</v>
      </c>
      <c r="L91" s="2">
        <v>276</v>
      </c>
      <c r="M91" s="2">
        <v>1</v>
      </c>
      <c r="N91" s="2" t="s">
        <v>838</v>
      </c>
      <c r="O91" s="2">
        <v>9300253.1400000006</v>
      </c>
      <c r="P91" s="2">
        <v>0</v>
      </c>
    </row>
    <row r="92" spans="1:16" x14ac:dyDescent="0.2">
      <c r="A92" s="4">
        <v>277</v>
      </c>
      <c r="B92" s="4">
        <v>1</v>
      </c>
      <c r="C92" s="2" t="s">
        <v>89</v>
      </c>
      <c r="D92" s="184">
        <v>2524431.48</v>
      </c>
      <c r="E92" s="185">
        <v>0</v>
      </c>
      <c r="G92" s="3">
        <f>SUMIF(Query1!$B$4:$B$125,A92,Query1!$F$4:$F$125)</f>
        <v>0</v>
      </c>
      <c r="H92" s="3">
        <f>SUMIF(Query4!$B$4:$B$48,A92,Query4!$F$4:$F$48)</f>
        <v>0</v>
      </c>
      <c r="J92" s="2">
        <f t="shared" si="1"/>
        <v>0</v>
      </c>
      <c r="K92" s="2" t="s">
        <v>1120</v>
      </c>
      <c r="L92" s="2">
        <v>277</v>
      </c>
      <c r="M92" s="2">
        <v>1</v>
      </c>
      <c r="N92" s="2" t="s">
        <v>839</v>
      </c>
      <c r="O92" s="2">
        <v>2524431.48</v>
      </c>
      <c r="P92" s="2">
        <v>0</v>
      </c>
    </row>
    <row r="93" spans="1:16" x14ac:dyDescent="0.2">
      <c r="A93" s="4">
        <v>278</v>
      </c>
      <c r="B93" s="4">
        <v>1</v>
      </c>
      <c r="C93" s="2" t="s">
        <v>90</v>
      </c>
      <c r="D93" s="184">
        <v>2665380.4300000002</v>
      </c>
      <c r="E93" s="185">
        <v>0</v>
      </c>
      <c r="G93" s="3">
        <f>SUMIF(Query1!$B$4:$B$125,A93,Query1!$F$4:$F$125)</f>
        <v>0</v>
      </c>
      <c r="H93" s="3">
        <f>SUMIF(Query4!$B$4:$B$48,A93,Query4!$F$4:$F$48)</f>
        <v>0</v>
      </c>
      <c r="J93" s="2">
        <f t="shared" si="1"/>
        <v>0</v>
      </c>
      <c r="K93" s="2" t="s">
        <v>1120</v>
      </c>
      <c r="L93" s="2">
        <v>278</v>
      </c>
      <c r="M93" s="2">
        <v>1</v>
      </c>
      <c r="N93" s="2" t="s">
        <v>840</v>
      </c>
      <c r="O93" s="2">
        <v>2665380.4300000002</v>
      </c>
      <c r="P93" s="2">
        <v>0</v>
      </c>
    </row>
    <row r="94" spans="1:16" x14ac:dyDescent="0.2">
      <c r="A94" s="4">
        <v>279</v>
      </c>
      <c r="B94" s="4">
        <v>1</v>
      </c>
      <c r="C94" s="2" t="s">
        <v>91</v>
      </c>
      <c r="D94" s="184">
        <v>21834413.739999998</v>
      </c>
      <c r="E94" s="185">
        <v>0</v>
      </c>
      <c r="G94" s="3">
        <f>SUMIF(Query1!$B$4:$B$125,A94,Query1!$F$4:$F$125)</f>
        <v>0</v>
      </c>
      <c r="H94" s="3">
        <f>SUMIF(Query4!$B$4:$B$48,A94,Query4!$F$4:$F$48)</f>
        <v>0</v>
      </c>
      <c r="J94" s="2">
        <f t="shared" si="1"/>
        <v>0</v>
      </c>
      <c r="K94" s="2" t="s">
        <v>1120</v>
      </c>
      <c r="L94" s="2">
        <v>279</v>
      </c>
      <c r="M94" s="2">
        <v>1</v>
      </c>
      <c r="N94" s="2" t="s">
        <v>841</v>
      </c>
      <c r="O94" s="2">
        <v>21834413.739999998</v>
      </c>
      <c r="P94" s="2">
        <v>0</v>
      </c>
    </row>
    <row r="95" spans="1:16" x14ac:dyDescent="0.2">
      <c r="A95" s="4">
        <v>280</v>
      </c>
      <c r="B95" s="4">
        <v>1</v>
      </c>
      <c r="C95" s="2" t="s">
        <v>92</v>
      </c>
      <c r="D95" s="184">
        <v>4491365.8600000003</v>
      </c>
      <c r="E95" s="185">
        <v>0</v>
      </c>
      <c r="G95" s="3">
        <f>SUMIF(Query1!$B$4:$B$125,A95,Query1!$F$4:$F$125)</f>
        <v>0</v>
      </c>
      <c r="H95" s="3">
        <f>SUMIF(Query4!$B$4:$B$48,A95,Query4!$F$4:$F$48)</f>
        <v>0</v>
      </c>
      <c r="J95" s="2">
        <f t="shared" si="1"/>
        <v>0</v>
      </c>
      <c r="K95" s="2" t="s">
        <v>1120</v>
      </c>
      <c r="L95" s="2">
        <v>280</v>
      </c>
      <c r="M95" s="2">
        <v>1</v>
      </c>
      <c r="N95" s="2" t="s">
        <v>842</v>
      </c>
      <c r="O95" s="2">
        <v>4491365.8600000003</v>
      </c>
      <c r="P95" s="2">
        <v>0</v>
      </c>
    </row>
    <row r="96" spans="1:16" x14ac:dyDescent="0.2">
      <c r="A96" s="4">
        <v>281</v>
      </c>
      <c r="B96" s="4">
        <v>1</v>
      </c>
      <c r="C96" s="2" t="s">
        <v>93</v>
      </c>
      <c r="D96" s="184">
        <v>13306791.08</v>
      </c>
      <c r="E96" s="185">
        <v>0</v>
      </c>
      <c r="G96" s="3">
        <f>SUMIF(Query1!$B$4:$B$125,A96,Query1!$F$4:$F$125)</f>
        <v>0</v>
      </c>
      <c r="H96" s="3">
        <f>SUMIF(Query4!$B$4:$B$48,A96,Query4!$F$4:$F$48)</f>
        <v>0</v>
      </c>
      <c r="J96" s="2">
        <f t="shared" si="1"/>
        <v>0</v>
      </c>
      <c r="K96" s="2" t="s">
        <v>1120</v>
      </c>
      <c r="L96" s="2">
        <v>281</v>
      </c>
      <c r="M96" s="2">
        <v>1</v>
      </c>
      <c r="N96" s="2" t="s">
        <v>843</v>
      </c>
      <c r="O96" s="2">
        <v>13306791.08</v>
      </c>
      <c r="P96" s="2">
        <v>0</v>
      </c>
    </row>
    <row r="97" spans="1:16" x14ac:dyDescent="0.2">
      <c r="A97" s="4">
        <v>282</v>
      </c>
      <c r="B97" s="4">
        <v>1</v>
      </c>
      <c r="C97" s="2" t="s">
        <v>1176</v>
      </c>
      <c r="D97" s="184">
        <v>1397427.27</v>
      </c>
      <c r="E97" s="185">
        <v>0</v>
      </c>
      <c r="G97" s="3">
        <f>SUMIF(Query1!$B$4:$B$125,A97,Query1!$F$4:$F$125)</f>
        <v>0</v>
      </c>
      <c r="H97" s="3">
        <f>SUMIF(Query4!$B$4:$B$48,A97,Query4!$F$4:$F$48)</f>
        <v>0</v>
      </c>
      <c r="J97" s="2">
        <f t="shared" si="1"/>
        <v>0</v>
      </c>
      <c r="K97" s="2" t="s">
        <v>1120</v>
      </c>
      <c r="L97" s="2">
        <v>282</v>
      </c>
      <c r="M97" s="2">
        <v>1</v>
      </c>
      <c r="N97" s="2" t="s">
        <v>844</v>
      </c>
      <c r="O97" s="2">
        <v>1397427.27</v>
      </c>
      <c r="P97" s="2">
        <v>0</v>
      </c>
    </row>
    <row r="98" spans="1:16" x14ac:dyDescent="0.2">
      <c r="A98" s="4">
        <v>283</v>
      </c>
      <c r="B98" s="4">
        <v>1</v>
      </c>
      <c r="C98" s="2" t="s">
        <v>95</v>
      </c>
      <c r="D98" s="184">
        <v>5060425.92</v>
      </c>
      <c r="E98" s="185">
        <v>0</v>
      </c>
      <c r="G98" s="3">
        <f>SUMIF(Query1!$B$4:$B$125,A98,Query1!$F$4:$F$125)</f>
        <v>0</v>
      </c>
      <c r="H98" s="3">
        <f>SUMIF(Query4!$B$4:$B$48,A98,Query4!$F$4:$F$48)</f>
        <v>0</v>
      </c>
      <c r="J98" s="2">
        <f t="shared" si="1"/>
        <v>0</v>
      </c>
      <c r="K98" s="2" t="s">
        <v>1120</v>
      </c>
      <c r="L98" s="2">
        <v>283</v>
      </c>
      <c r="M98" s="2">
        <v>1</v>
      </c>
      <c r="N98" s="2" t="s">
        <v>845</v>
      </c>
      <c r="O98" s="2">
        <v>5060425.92</v>
      </c>
      <c r="P98" s="2">
        <v>0</v>
      </c>
    </row>
    <row r="99" spans="1:16" x14ac:dyDescent="0.2">
      <c r="A99" s="4">
        <v>284</v>
      </c>
      <c r="B99" s="4">
        <v>1</v>
      </c>
      <c r="C99" s="2" t="s">
        <v>96</v>
      </c>
      <c r="D99" s="184">
        <v>14508931.32</v>
      </c>
      <c r="E99" s="185">
        <v>0</v>
      </c>
      <c r="G99" s="3">
        <f>SUMIF(Query1!$B$4:$B$125,A99,Query1!$F$4:$F$125)</f>
        <v>0</v>
      </c>
      <c r="H99" s="3">
        <f>SUMIF(Query4!$B$4:$B$48,A99,Query4!$F$4:$F$48)</f>
        <v>0</v>
      </c>
      <c r="J99" s="2">
        <f t="shared" si="1"/>
        <v>0</v>
      </c>
      <c r="K99" s="2" t="s">
        <v>1120</v>
      </c>
      <c r="L99" s="2">
        <v>284</v>
      </c>
      <c r="M99" s="2">
        <v>1</v>
      </c>
      <c r="N99" s="2" t="s">
        <v>846</v>
      </c>
      <c r="O99" s="2">
        <v>14508931.32</v>
      </c>
      <c r="P99" s="2">
        <v>0</v>
      </c>
    </row>
    <row r="100" spans="1:16" x14ac:dyDescent="0.2">
      <c r="A100" s="4">
        <v>286</v>
      </c>
      <c r="B100" s="4">
        <v>1</v>
      </c>
      <c r="C100" s="2" t="s">
        <v>97</v>
      </c>
      <c r="D100" s="184">
        <v>617255.71</v>
      </c>
      <c r="E100" s="185">
        <v>0</v>
      </c>
      <c r="G100" s="3">
        <f>SUMIF(Query1!$B$4:$B$125,A100,Query1!$F$4:$F$125)</f>
        <v>0</v>
      </c>
      <c r="H100" s="3">
        <f>SUMIF(Query4!$B$4:$B$48,A100,Query4!$F$4:$F$48)</f>
        <v>0</v>
      </c>
      <c r="J100" s="2">
        <f t="shared" si="1"/>
        <v>0</v>
      </c>
      <c r="K100" s="2" t="s">
        <v>1120</v>
      </c>
      <c r="L100" s="2">
        <v>286</v>
      </c>
      <c r="M100" s="2">
        <v>1</v>
      </c>
      <c r="N100" s="2" t="s">
        <v>847</v>
      </c>
      <c r="O100" s="2">
        <v>617255.71</v>
      </c>
      <c r="P100" s="2">
        <v>0</v>
      </c>
    </row>
    <row r="101" spans="1:16" x14ac:dyDescent="0.2">
      <c r="A101" s="4">
        <v>294</v>
      </c>
      <c r="B101" s="4">
        <v>1</v>
      </c>
      <c r="C101" s="2" t="s">
        <v>98</v>
      </c>
      <c r="D101" s="184">
        <v>322134.53999999998</v>
      </c>
      <c r="E101" s="185">
        <v>0</v>
      </c>
      <c r="G101" s="3">
        <f>SUMIF(Query1!$B$4:$B$125,A101,Query1!$F$4:$F$125)</f>
        <v>0</v>
      </c>
      <c r="H101" s="3">
        <f>SUMIF(Query4!$B$4:$B$48,A101,Query4!$F$4:$F$48)</f>
        <v>0</v>
      </c>
      <c r="J101" s="2">
        <f t="shared" si="1"/>
        <v>0</v>
      </c>
      <c r="K101" s="2" t="s">
        <v>1120</v>
      </c>
      <c r="L101" s="2">
        <v>294</v>
      </c>
      <c r="M101" s="2">
        <v>1</v>
      </c>
      <c r="N101" s="2" t="s">
        <v>848</v>
      </c>
      <c r="O101" s="2">
        <v>322134.53999999998</v>
      </c>
      <c r="P101" s="2">
        <v>0</v>
      </c>
    </row>
    <row r="102" spans="1:16" x14ac:dyDescent="0.2">
      <c r="A102" s="4">
        <v>297</v>
      </c>
      <c r="B102" s="4">
        <v>1</v>
      </c>
      <c r="C102" s="2" t="s">
        <v>99</v>
      </c>
      <c r="D102" s="184">
        <v>214334.94</v>
      </c>
      <c r="E102" s="185">
        <v>0</v>
      </c>
      <c r="G102" s="3">
        <f>SUMIF(Query1!$B$4:$B$125,A102,Query1!$F$4:$F$125)</f>
        <v>0</v>
      </c>
      <c r="H102" s="3">
        <f>SUMIF(Query4!$B$4:$B$48,A102,Query4!$F$4:$F$48)</f>
        <v>-1911</v>
      </c>
      <c r="J102" s="2">
        <f t="shared" si="1"/>
        <v>0</v>
      </c>
      <c r="K102" s="2" t="s">
        <v>1120</v>
      </c>
      <c r="L102" s="2">
        <v>297</v>
      </c>
      <c r="M102" s="2">
        <v>1</v>
      </c>
      <c r="N102" s="2" t="s">
        <v>849</v>
      </c>
      <c r="O102" s="2">
        <v>214334.94</v>
      </c>
      <c r="P102" s="2">
        <v>0</v>
      </c>
    </row>
    <row r="103" spans="1:16" x14ac:dyDescent="0.2">
      <c r="A103" s="4">
        <v>299</v>
      </c>
      <c r="B103" s="4">
        <v>1</v>
      </c>
      <c r="C103" s="2" t="s">
        <v>100</v>
      </c>
      <c r="D103" s="184">
        <v>408760.86</v>
      </c>
      <c r="E103" s="185">
        <v>0</v>
      </c>
      <c r="G103" s="3">
        <f>SUMIF(Query1!$B$4:$B$125,A103,Query1!$F$4:$F$125)</f>
        <v>0</v>
      </c>
      <c r="H103" s="3">
        <f>SUMIF(Query4!$B$4:$B$48,A103,Query4!$F$4:$F$48)</f>
        <v>0</v>
      </c>
      <c r="J103" s="2">
        <f t="shared" si="1"/>
        <v>0</v>
      </c>
      <c r="K103" s="2" t="s">
        <v>1120</v>
      </c>
      <c r="L103" s="2">
        <v>299</v>
      </c>
      <c r="M103" s="2">
        <v>1</v>
      </c>
      <c r="N103" s="2" t="s">
        <v>850</v>
      </c>
      <c r="O103" s="2">
        <v>408760.86</v>
      </c>
      <c r="P103" s="2">
        <v>0</v>
      </c>
    </row>
    <row r="104" spans="1:16" x14ac:dyDescent="0.2">
      <c r="A104" s="4">
        <v>300</v>
      </c>
      <c r="B104" s="4">
        <v>1</v>
      </c>
      <c r="C104" s="2" t="s">
        <v>101</v>
      </c>
      <c r="D104" s="184">
        <v>687103.94</v>
      </c>
      <c r="E104" s="185">
        <v>0</v>
      </c>
      <c r="G104" s="3">
        <f>SUMIF(Query1!$B$4:$B$125,A104,Query1!$F$4:$F$125)</f>
        <v>0</v>
      </c>
      <c r="H104" s="3">
        <f>SUMIF(Query4!$B$4:$B$48,A104,Query4!$F$4:$F$48)</f>
        <v>0</v>
      </c>
      <c r="J104" s="2">
        <f t="shared" si="1"/>
        <v>0</v>
      </c>
      <c r="K104" s="2" t="s">
        <v>1120</v>
      </c>
      <c r="L104" s="2">
        <v>300</v>
      </c>
      <c r="M104" s="2">
        <v>1</v>
      </c>
      <c r="N104" s="2" t="s">
        <v>851</v>
      </c>
      <c r="O104" s="2">
        <v>687103.94</v>
      </c>
      <c r="P104" s="2">
        <v>0</v>
      </c>
    </row>
    <row r="105" spans="1:16" x14ac:dyDescent="0.2">
      <c r="A105" s="4">
        <v>306</v>
      </c>
      <c r="B105" s="4">
        <v>1</v>
      </c>
      <c r="C105" s="2" t="s">
        <v>102</v>
      </c>
      <c r="D105" s="184">
        <v>81529.2</v>
      </c>
      <c r="E105" s="185">
        <v>0</v>
      </c>
      <c r="G105" s="3">
        <f>SUMIF(Query1!$B$4:$B$125,A105,Query1!$F$4:$F$125)</f>
        <v>-17466.18</v>
      </c>
      <c r="H105" s="3">
        <f>SUMIF(Query4!$B$4:$B$48,A105,Query4!$F$4:$F$48)</f>
        <v>0</v>
      </c>
      <c r="J105" s="2">
        <f t="shared" si="1"/>
        <v>0</v>
      </c>
      <c r="K105" s="2" t="s">
        <v>1120</v>
      </c>
      <c r="L105" s="2">
        <v>306</v>
      </c>
      <c r="M105" s="2">
        <v>1</v>
      </c>
      <c r="N105" s="2" t="s">
        <v>852</v>
      </c>
      <c r="O105" s="2">
        <v>81529.2</v>
      </c>
      <c r="P105" s="2">
        <v>0</v>
      </c>
    </row>
    <row r="106" spans="1:16" x14ac:dyDescent="0.2">
      <c r="A106" s="4">
        <v>308</v>
      </c>
      <c r="B106" s="4">
        <v>1</v>
      </c>
      <c r="C106" s="2" t="s">
        <v>103</v>
      </c>
      <c r="D106" s="184">
        <v>205555.79</v>
      </c>
      <c r="E106" s="185">
        <v>0</v>
      </c>
      <c r="G106" s="3">
        <f>SUMIF(Query1!$B$4:$B$125,A106,Query1!$F$4:$F$125)</f>
        <v>0</v>
      </c>
      <c r="H106" s="3">
        <f>SUMIF(Query4!$B$4:$B$48,A106,Query4!$F$4:$F$48)</f>
        <v>0</v>
      </c>
      <c r="J106" s="2">
        <f t="shared" si="1"/>
        <v>0</v>
      </c>
      <c r="K106" s="2" t="s">
        <v>1120</v>
      </c>
      <c r="L106" s="2">
        <v>308</v>
      </c>
      <c r="M106" s="2">
        <v>1</v>
      </c>
      <c r="N106" s="2" t="s">
        <v>853</v>
      </c>
      <c r="O106" s="2">
        <v>205555.79</v>
      </c>
      <c r="P106" s="2">
        <v>0</v>
      </c>
    </row>
    <row r="107" spans="1:16" x14ac:dyDescent="0.2">
      <c r="A107" s="4">
        <v>309</v>
      </c>
      <c r="B107" s="4">
        <v>1</v>
      </c>
      <c r="C107" s="2" t="s">
        <v>104</v>
      </c>
      <c r="D107" s="184">
        <v>975847.12</v>
      </c>
      <c r="E107" s="185">
        <v>0</v>
      </c>
      <c r="G107" s="3">
        <f>SUMIF(Query1!$B$4:$B$125,A107,Query1!$F$4:$F$125)</f>
        <v>0</v>
      </c>
      <c r="H107" s="3">
        <f>SUMIF(Query4!$B$4:$B$48,A107,Query4!$F$4:$F$48)</f>
        <v>0</v>
      </c>
      <c r="J107" s="2">
        <f t="shared" si="1"/>
        <v>0</v>
      </c>
      <c r="K107" s="2" t="s">
        <v>1120</v>
      </c>
      <c r="L107" s="2">
        <v>309</v>
      </c>
      <c r="M107" s="2">
        <v>1</v>
      </c>
      <c r="N107" s="2" t="s">
        <v>854</v>
      </c>
      <c r="O107" s="2">
        <v>975847.12</v>
      </c>
      <c r="P107" s="2">
        <v>0</v>
      </c>
    </row>
    <row r="108" spans="1:16" x14ac:dyDescent="0.2">
      <c r="A108" s="4">
        <v>314</v>
      </c>
      <c r="B108" s="4">
        <v>1</v>
      </c>
      <c r="C108" s="2" t="s">
        <v>105</v>
      </c>
      <c r="D108" s="184">
        <v>284786.15000000002</v>
      </c>
      <c r="E108" s="185">
        <v>0</v>
      </c>
      <c r="G108" s="3">
        <f>SUMIF(Query1!$B$4:$B$125,A108,Query1!$F$4:$F$125)</f>
        <v>0</v>
      </c>
      <c r="H108" s="3">
        <f>SUMIF(Query4!$B$4:$B$48,A108,Query4!$F$4:$F$48)</f>
        <v>0</v>
      </c>
      <c r="J108" s="2">
        <f t="shared" si="1"/>
        <v>0</v>
      </c>
      <c r="K108" s="2" t="s">
        <v>1120</v>
      </c>
      <c r="L108" s="2">
        <v>314</v>
      </c>
      <c r="M108" s="2">
        <v>1</v>
      </c>
      <c r="N108" s="2" t="s">
        <v>855</v>
      </c>
      <c r="O108" s="2">
        <v>284786.15000000002</v>
      </c>
      <c r="P108" s="2">
        <v>0</v>
      </c>
    </row>
    <row r="109" spans="1:16" x14ac:dyDescent="0.2">
      <c r="A109" s="4">
        <v>316</v>
      </c>
      <c r="B109" s="4">
        <v>1</v>
      </c>
      <c r="C109" s="2" t="s">
        <v>106</v>
      </c>
      <c r="D109" s="184">
        <v>212074.43</v>
      </c>
      <c r="E109" s="185">
        <v>0</v>
      </c>
      <c r="G109" s="3">
        <f>SUMIF(Query1!$B$4:$B$125,A109,Query1!$F$4:$F$125)</f>
        <v>-280109.08</v>
      </c>
      <c r="H109" s="3">
        <f>SUMIF(Query4!$B$4:$B$48,A109,Query4!$F$4:$F$48)</f>
        <v>0</v>
      </c>
      <c r="J109" s="2">
        <f t="shared" si="1"/>
        <v>0</v>
      </c>
      <c r="K109" s="2" t="s">
        <v>1120</v>
      </c>
      <c r="L109" s="2">
        <v>316</v>
      </c>
      <c r="M109" s="2">
        <v>1</v>
      </c>
      <c r="N109" s="2" t="s">
        <v>856</v>
      </c>
      <c r="O109" s="2">
        <v>212074.43</v>
      </c>
      <c r="P109" s="2">
        <v>0</v>
      </c>
    </row>
    <row r="110" spans="1:16" x14ac:dyDescent="0.2">
      <c r="A110" s="4">
        <v>317</v>
      </c>
      <c r="B110" s="4">
        <v>1</v>
      </c>
      <c r="C110" s="2" t="s">
        <v>107</v>
      </c>
      <c r="D110" s="184">
        <v>53856.480000000003</v>
      </c>
      <c r="E110" s="185">
        <v>0</v>
      </c>
      <c r="G110" s="3">
        <f>SUMIF(Query1!$B$4:$B$125,A110,Query1!$F$4:$F$125)</f>
        <v>-58829.38</v>
      </c>
      <c r="H110" s="3">
        <f>SUMIF(Query4!$B$4:$B$48,A110,Query4!$F$4:$F$48)</f>
        <v>0</v>
      </c>
      <c r="J110" s="2">
        <f t="shared" si="1"/>
        <v>0</v>
      </c>
      <c r="K110" s="2" t="s">
        <v>1120</v>
      </c>
      <c r="L110" s="2">
        <v>317</v>
      </c>
      <c r="M110" s="2">
        <v>1</v>
      </c>
      <c r="N110" s="2" t="s">
        <v>857</v>
      </c>
      <c r="O110" s="2">
        <v>53856.480000000003</v>
      </c>
      <c r="P110" s="2">
        <v>0</v>
      </c>
    </row>
    <row r="111" spans="1:16" x14ac:dyDescent="0.2">
      <c r="A111" s="4">
        <v>318</v>
      </c>
      <c r="B111" s="4">
        <v>1</v>
      </c>
      <c r="C111" s="2" t="s">
        <v>108</v>
      </c>
      <c r="D111" s="184">
        <v>1228165.5</v>
      </c>
      <c r="E111" s="185">
        <v>0</v>
      </c>
      <c r="G111" s="3">
        <f>SUMIF(Query1!$B$4:$B$125,A111,Query1!$F$4:$F$125)</f>
        <v>-267364.81</v>
      </c>
      <c r="H111" s="3">
        <f>SUMIF(Query4!$B$4:$B$48,A111,Query4!$F$4:$F$48)</f>
        <v>0</v>
      </c>
      <c r="J111" s="2">
        <f t="shared" si="1"/>
        <v>0</v>
      </c>
      <c r="K111" s="2" t="s">
        <v>1120</v>
      </c>
      <c r="L111" s="2">
        <v>318</v>
      </c>
      <c r="M111" s="2">
        <v>1</v>
      </c>
      <c r="N111" s="2" t="s">
        <v>858</v>
      </c>
      <c r="O111" s="2">
        <v>1228165.5</v>
      </c>
      <c r="P111" s="2">
        <v>0</v>
      </c>
    </row>
    <row r="112" spans="1:16" x14ac:dyDescent="0.2">
      <c r="A112" s="4">
        <v>319</v>
      </c>
      <c r="B112" s="4">
        <v>1</v>
      </c>
      <c r="C112" s="2" t="s">
        <v>1177</v>
      </c>
      <c r="D112" s="184">
        <v>209190.3</v>
      </c>
      <c r="E112" s="185">
        <v>0</v>
      </c>
      <c r="G112" s="3">
        <f>SUMIF(Query1!$B$4:$B$125,A112,Query1!$F$4:$F$125)</f>
        <v>0</v>
      </c>
      <c r="H112" s="3">
        <f>SUMIF(Query4!$B$4:$B$48,A112,Query4!$F$4:$F$48)</f>
        <v>0</v>
      </c>
      <c r="J112" s="2">
        <f t="shared" si="1"/>
        <v>0</v>
      </c>
      <c r="K112" s="2" t="s">
        <v>1120</v>
      </c>
      <c r="L112" s="2">
        <v>319</v>
      </c>
      <c r="M112" s="2">
        <v>1</v>
      </c>
      <c r="N112" s="2" t="s">
        <v>859</v>
      </c>
      <c r="O112" s="2">
        <v>209190.3</v>
      </c>
      <c r="P112" s="2">
        <v>0</v>
      </c>
    </row>
    <row r="113" spans="1:16" x14ac:dyDescent="0.2">
      <c r="A113" s="4">
        <v>323</v>
      </c>
      <c r="B113" s="4">
        <v>2</v>
      </c>
      <c r="C113" s="2" t="s">
        <v>110</v>
      </c>
      <c r="D113" s="184">
        <v>11869.35</v>
      </c>
      <c r="E113" s="185">
        <v>0</v>
      </c>
      <c r="G113" s="3">
        <f>SUMIF(Query1!$B$4:$B$125,A113,Query1!$F$4:$F$125)</f>
        <v>0</v>
      </c>
      <c r="H113" s="3">
        <f>SUMIF(Query4!$B$4:$B$48,A113,Query4!$F$4:$F$48)</f>
        <v>0</v>
      </c>
      <c r="J113" s="2">
        <f t="shared" si="1"/>
        <v>0</v>
      </c>
      <c r="K113" s="2" t="s">
        <v>1120</v>
      </c>
      <c r="L113" s="2">
        <v>323</v>
      </c>
      <c r="M113" s="2">
        <v>2</v>
      </c>
      <c r="N113" s="2" t="s">
        <v>860</v>
      </c>
      <c r="O113" s="2">
        <v>11869.35</v>
      </c>
      <c r="P113" s="2">
        <v>0</v>
      </c>
    </row>
    <row r="114" spans="1:16" x14ac:dyDescent="0.2">
      <c r="A114" s="4">
        <v>330</v>
      </c>
      <c r="B114" s="4">
        <v>1</v>
      </c>
      <c r="C114" s="2" t="s">
        <v>1178</v>
      </c>
      <c r="D114" s="184">
        <v>255996.82</v>
      </c>
      <c r="E114" s="185">
        <v>0</v>
      </c>
      <c r="G114" s="3">
        <f>SUMIF(Query1!$B$4:$B$125,A114,Query1!$F$4:$F$125)</f>
        <v>0</v>
      </c>
      <c r="H114" s="3">
        <f>SUMIF(Query4!$B$4:$B$48,A114,Query4!$F$4:$F$48)</f>
        <v>0</v>
      </c>
      <c r="J114" s="2">
        <f t="shared" si="1"/>
        <v>0</v>
      </c>
      <c r="K114" s="2" t="s">
        <v>1120</v>
      </c>
      <c r="L114" s="2">
        <v>330</v>
      </c>
      <c r="M114" s="2">
        <v>1</v>
      </c>
      <c r="N114" s="2" t="s">
        <v>861</v>
      </c>
      <c r="O114" s="2">
        <v>255996.82</v>
      </c>
      <c r="P114" s="2">
        <v>0</v>
      </c>
    </row>
    <row r="115" spans="1:16" x14ac:dyDescent="0.2">
      <c r="A115" s="4">
        <v>332</v>
      </c>
      <c r="B115" s="4">
        <v>1</v>
      </c>
      <c r="C115" s="2" t="s">
        <v>112</v>
      </c>
      <c r="D115" s="184">
        <v>403192.05</v>
      </c>
      <c r="E115" s="185">
        <v>0</v>
      </c>
      <c r="G115" s="3">
        <f>SUMIF(Query1!$B$4:$B$125,A115,Query1!$F$4:$F$125)</f>
        <v>-5151.25</v>
      </c>
      <c r="H115" s="3">
        <f>SUMIF(Query4!$B$4:$B$48,A115,Query4!$F$4:$F$48)</f>
        <v>0</v>
      </c>
      <c r="J115" s="2">
        <f t="shared" si="1"/>
        <v>0</v>
      </c>
      <c r="K115" s="2" t="s">
        <v>1120</v>
      </c>
      <c r="L115" s="2">
        <v>332</v>
      </c>
      <c r="M115" s="2">
        <v>1</v>
      </c>
      <c r="N115" s="2" t="s">
        <v>862</v>
      </c>
      <c r="O115" s="2">
        <v>403192.05</v>
      </c>
      <c r="P115" s="2">
        <v>0</v>
      </c>
    </row>
    <row r="116" spans="1:16" x14ac:dyDescent="0.2">
      <c r="A116" s="4">
        <v>333</v>
      </c>
      <c r="B116" s="4">
        <v>1</v>
      </c>
      <c r="C116" s="2" t="s">
        <v>113</v>
      </c>
      <c r="D116" s="184">
        <v>124327.28</v>
      </c>
      <c r="E116" s="185">
        <v>0</v>
      </c>
      <c r="G116" s="3">
        <f>SUMIF(Query1!$B$4:$B$125,A116,Query1!$F$4:$F$125)</f>
        <v>-27974.45</v>
      </c>
      <c r="H116" s="3">
        <f>SUMIF(Query4!$B$4:$B$48,A116,Query4!$F$4:$F$48)</f>
        <v>0</v>
      </c>
      <c r="J116" s="2">
        <f t="shared" si="1"/>
        <v>0</v>
      </c>
      <c r="K116" s="2" t="s">
        <v>1120</v>
      </c>
      <c r="L116" s="2">
        <v>333</v>
      </c>
      <c r="M116" s="2">
        <v>1</v>
      </c>
      <c r="N116" s="2" t="s">
        <v>863</v>
      </c>
      <c r="O116" s="2">
        <v>124327.28</v>
      </c>
      <c r="P116" s="2">
        <v>0</v>
      </c>
    </row>
    <row r="117" spans="1:16" x14ac:dyDescent="0.2">
      <c r="A117" s="4">
        <v>345</v>
      </c>
      <c r="B117" s="4">
        <v>1</v>
      </c>
      <c r="C117" s="2" t="s">
        <v>1179</v>
      </c>
      <c r="D117" s="184">
        <v>984191.71</v>
      </c>
      <c r="E117" s="185">
        <v>0</v>
      </c>
      <c r="G117" s="3">
        <f>SUMIF(Query1!$B$4:$B$125,A117,Query1!$F$4:$F$125)</f>
        <v>0</v>
      </c>
      <c r="H117" s="3">
        <f>SUMIF(Query4!$B$4:$B$48,A117,Query4!$F$4:$F$48)</f>
        <v>0</v>
      </c>
      <c r="J117" s="2">
        <f t="shared" si="1"/>
        <v>0</v>
      </c>
      <c r="K117" s="2" t="s">
        <v>1120</v>
      </c>
      <c r="L117" s="2">
        <v>345</v>
      </c>
      <c r="M117" s="2">
        <v>1</v>
      </c>
      <c r="N117" s="2" t="s">
        <v>864</v>
      </c>
      <c r="O117" s="2">
        <v>984191.71</v>
      </c>
      <c r="P117" s="2">
        <v>0</v>
      </c>
    </row>
    <row r="118" spans="1:16" x14ac:dyDescent="0.2">
      <c r="A118" s="4">
        <v>347</v>
      </c>
      <c r="B118" s="4">
        <v>1</v>
      </c>
      <c r="C118" s="2" t="s">
        <v>115</v>
      </c>
      <c r="D118" s="184">
        <v>1870186.27</v>
      </c>
      <c r="E118" s="185">
        <v>0</v>
      </c>
      <c r="G118" s="3">
        <f>SUMIF(Query1!$B$4:$B$125,A118,Query1!$F$4:$F$125)</f>
        <v>0</v>
      </c>
      <c r="H118" s="3">
        <f>SUMIF(Query4!$B$4:$B$48,A118,Query4!$F$4:$F$48)</f>
        <v>0</v>
      </c>
      <c r="J118" s="2">
        <f t="shared" si="1"/>
        <v>0</v>
      </c>
      <c r="K118" s="2" t="s">
        <v>1120</v>
      </c>
      <c r="L118" s="2">
        <v>347</v>
      </c>
      <c r="M118" s="2">
        <v>1</v>
      </c>
      <c r="N118" s="2" t="s">
        <v>865</v>
      </c>
      <c r="O118" s="2">
        <v>1870186.27</v>
      </c>
      <c r="P118" s="2">
        <v>0</v>
      </c>
    </row>
    <row r="119" spans="1:16" x14ac:dyDescent="0.2">
      <c r="A119" s="4">
        <v>356</v>
      </c>
      <c r="B119" s="4">
        <v>1</v>
      </c>
      <c r="C119" s="2" t="s">
        <v>116</v>
      </c>
      <c r="D119" s="184">
        <v>68876.7</v>
      </c>
      <c r="E119" s="185">
        <v>0</v>
      </c>
      <c r="G119" s="3">
        <f>SUMIF(Query1!$B$4:$B$125,A119,Query1!$F$4:$F$125)</f>
        <v>0</v>
      </c>
      <c r="H119" s="3">
        <f>SUMIF(Query4!$B$4:$B$48,A119,Query4!$F$4:$F$48)</f>
        <v>0</v>
      </c>
      <c r="J119" s="2">
        <f t="shared" si="1"/>
        <v>0</v>
      </c>
      <c r="K119" s="2" t="s">
        <v>1120</v>
      </c>
      <c r="L119" s="2">
        <v>356</v>
      </c>
      <c r="M119" s="2">
        <v>1</v>
      </c>
      <c r="N119" s="2" t="s">
        <v>866</v>
      </c>
      <c r="O119" s="2">
        <v>68876.7</v>
      </c>
      <c r="P119" s="2">
        <v>0</v>
      </c>
    </row>
    <row r="120" spans="1:16" x14ac:dyDescent="0.2">
      <c r="A120" s="4">
        <v>361</v>
      </c>
      <c r="B120" s="4">
        <v>1</v>
      </c>
      <c r="C120" s="2" t="s">
        <v>1180</v>
      </c>
      <c r="D120" s="184">
        <v>774451.36</v>
      </c>
      <c r="E120" s="185">
        <v>0</v>
      </c>
      <c r="G120" s="3">
        <f>SUMIF(Query1!$B$4:$B$125,A120,Query1!$F$4:$F$125)</f>
        <v>0</v>
      </c>
      <c r="H120" s="3">
        <f>SUMIF(Query4!$B$4:$B$48,A120,Query4!$F$4:$F$48)</f>
        <v>0</v>
      </c>
      <c r="J120" s="2">
        <f t="shared" si="1"/>
        <v>0</v>
      </c>
      <c r="K120" s="2" t="s">
        <v>1120</v>
      </c>
      <c r="L120" s="2">
        <v>361</v>
      </c>
      <c r="M120" s="2">
        <v>1</v>
      </c>
      <c r="N120" s="2" t="s">
        <v>867</v>
      </c>
      <c r="O120" s="2">
        <v>774451.36</v>
      </c>
      <c r="P120" s="2">
        <v>0</v>
      </c>
    </row>
    <row r="121" spans="1:16" x14ac:dyDescent="0.2">
      <c r="A121" s="4">
        <v>362</v>
      </c>
      <c r="B121" s="4">
        <v>1</v>
      </c>
      <c r="C121" s="2" t="s">
        <v>1181</v>
      </c>
      <c r="D121" s="184">
        <v>82103.06</v>
      </c>
      <c r="E121" s="185">
        <v>0</v>
      </c>
      <c r="G121" s="3">
        <f>SUMIF(Query1!$B$4:$B$125,A121,Query1!$F$4:$F$125)</f>
        <v>0</v>
      </c>
      <c r="H121" s="3">
        <f>SUMIF(Query4!$B$4:$B$48,A121,Query4!$F$4:$F$48)</f>
        <v>0</v>
      </c>
      <c r="J121" s="2">
        <f t="shared" si="1"/>
        <v>0</v>
      </c>
      <c r="K121" s="2" t="s">
        <v>1120</v>
      </c>
      <c r="L121" s="2">
        <v>362</v>
      </c>
      <c r="M121" s="2">
        <v>1</v>
      </c>
      <c r="N121" s="2" t="s">
        <v>868</v>
      </c>
      <c r="O121" s="2">
        <v>82103.06</v>
      </c>
      <c r="P121" s="2">
        <v>0</v>
      </c>
    </row>
    <row r="122" spans="1:16" x14ac:dyDescent="0.2">
      <c r="A122" s="4">
        <v>363</v>
      </c>
      <c r="B122" s="4">
        <v>1</v>
      </c>
      <c r="C122" s="2" t="s">
        <v>1182</v>
      </c>
      <c r="D122" s="184">
        <v>84852.29</v>
      </c>
      <c r="E122" s="185">
        <v>0</v>
      </c>
      <c r="G122" s="3">
        <f>SUMIF(Query1!$B$4:$B$125,A122,Query1!$F$4:$F$125)</f>
        <v>-1872.07</v>
      </c>
      <c r="H122" s="3">
        <f>SUMIF(Query4!$B$4:$B$48,A122,Query4!$F$4:$F$48)</f>
        <v>0</v>
      </c>
      <c r="J122" s="2">
        <f t="shared" si="1"/>
        <v>0</v>
      </c>
      <c r="K122" s="2" t="s">
        <v>1120</v>
      </c>
      <c r="L122" s="2">
        <v>363</v>
      </c>
      <c r="M122" s="2">
        <v>1</v>
      </c>
      <c r="N122" s="2" t="s">
        <v>869</v>
      </c>
      <c r="O122" s="2">
        <v>84852.29</v>
      </c>
      <c r="P122" s="2">
        <v>0</v>
      </c>
    </row>
    <row r="123" spans="1:16" x14ac:dyDescent="0.2">
      <c r="A123" s="4">
        <v>378</v>
      </c>
      <c r="B123" s="4">
        <v>1</v>
      </c>
      <c r="C123" s="2" t="s">
        <v>120</v>
      </c>
      <c r="D123" s="184">
        <v>348973.41</v>
      </c>
      <c r="E123" s="185">
        <v>0</v>
      </c>
      <c r="G123" s="3">
        <f>SUMIF(Query1!$B$4:$B$125,A123,Query1!$F$4:$F$125)</f>
        <v>0</v>
      </c>
      <c r="H123" s="3">
        <f>SUMIF(Query4!$B$4:$B$48,A123,Query4!$F$4:$F$48)</f>
        <v>0</v>
      </c>
      <c r="J123" s="2">
        <f t="shared" si="1"/>
        <v>0</v>
      </c>
      <c r="K123" s="2" t="s">
        <v>1120</v>
      </c>
      <c r="L123" s="2">
        <v>378</v>
      </c>
      <c r="M123" s="2">
        <v>1</v>
      </c>
      <c r="N123" s="2" t="s">
        <v>870</v>
      </c>
      <c r="O123" s="2">
        <v>348973.41</v>
      </c>
      <c r="P123" s="2">
        <v>0</v>
      </c>
    </row>
    <row r="124" spans="1:16" x14ac:dyDescent="0.2">
      <c r="A124" s="4">
        <v>381</v>
      </c>
      <c r="B124" s="4">
        <v>1</v>
      </c>
      <c r="C124" s="2" t="s">
        <v>121</v>
      </c>
      <c r="D124" s="184">
        <v>72244.78</v>
      </c>
      <c r="E124" s="185">
        <v>0</v>
      </c>
      <c r="G124" s="3">
        <f>SUMIF(Query1!$B$4:$B$125,A124,Query1!$F$4:$F$125)</f>
        <v>-166539.51</v>
      </c>
      <c r="H124" s="3">
        <f>SUMIF(Query4!$B$4:$B$48,A124,Query4!$F$4:$F$48)</f>
        <v>0</v>
      </c>
      <c r="J124" s="2">
        <f t="shared" si="1"/>
        <v>0</v>
      </c>
      <c r="K124" s="2" t="s">
        <v>1120</v>
      </c>
      <c r="L124" s="2">
        <v>381</v>
      </c>
      <c r="M124" s="2">
        <v>1</v>
      </c>
      <c r="N124" s="2" t="s">
        <v>871</v>
      </c>
      <c r="O124" s="2">
        <v>72244.78</v>
      </c>
      <c r="P124" s="2">
        <v>0</v>
      </c>
    </row>
    <row r="125" spans="1:16" x14ac:dyDescent="0.2">
      <c r="A125" s="4">
        <v>390</v>
      </c>
      <c r="B125" s="4">
        <v>1</v>
      </c>
      <c r="C125" s="2" t="s">
        <v>1183</v>
      </c>
      <c r="D125" s="184">
        <v>378887.11</v>
      </c>
      <c r="E125" s="185">
        <v>0</v>
      </c>
      <c r="G125" s="3">
        <f>SUMIF(Query1!$B$4:$B$125,A125,Query1!$F$4:$F$125)</f>
        <v>0</v>
      </c>
      <c r="H125" s="3">
        <f>SUMIF(Query4!$B$4:$B$48,A125,Query4!$F$4:$F$48)</f>
        <v>0</v>
      </c>
      <c r="J125" s="2">
        <f t="shared" si="1"/>
        <v>0</v>
      </c>
      <c r="K125" s="2" t="s">
        <v>1120</v>
      </c>
      <c r="L125" s="2">
        <v>390</v>
      </c>
      <c r="M125" s="2">
        <v>1</v>
      </c>
      <c r="N125" s="2" t="s">
        <v>872</v>
      </c>
      <c r="O125" s="2">
        <v>378887.11</v>
      </c>
      <c r="P125" s="2">
        <v>0</v>
      </c>
    </row>
    <row r="126" spans="1:16" x14ac:dyDescent="0.2">
      <c r="A126" s="4">
        <v>391</v>
      </c>
      <c r="B126" s="4">
        <v>1</v>
      </c>
      <c r="C126" s="2" t="s">
        <v>123</v>
      </c>
      <c r="D126" s="184">
        <v>340171.83</v>
      </c>
      <c r="E126" s="185">
        <v>0</v>
      </c>
      <c r="G126" s="3">
        <f>SUMIF(Query1!$B$4:$B$125,A126,Query1!$F$4:$F$125)</f>
        <v>0</v>
      </c>
      <c r="H126" s="3">
        <f>SUMIF(Query4!$B$4:$B$48,A126,Query4!$F$4:$F$48)</f>
        <v>0</v>
      </c>
      <c r="J126" s="2">
        <f t="shared" si="1"/>
        <v>0</v>
      </c>
      <c r="K126" s="2" t="s">
        <v>1120</v>
      </c>
      <c r="L126" s="2">
        <v>391</v>
      </c>
      <c r="M126" s="2">
        <v>1</v>
      </c>
      <c r="N126" s="2" t="s">
        <v>873</v>
      </c>
      <c r="O126" s="2">
        <v>340171.83</v>
      </c>
      <c r="P126" s="2">
        <v>0</v>
      </c>
    </row>
    <row r="127" spans="1:16" x14ac:dyDescent="0.2">
      <c r="A127" s="4">
        <v>402</v>
      </c>
      <c r="B127" s="4">
        <v>1</v>
      </c>
      <c r="C127" s="2" t="s">
        <v>124</v>
      </c>
      <c r="D127" s="184">
        <v>130719.88</v>
      </c>
      <c r="E127" s="185">
        <v>0</v>
      </c>
      <c r="G127" s="3">
        <f>SUMIF(Query1!$B$4:$B$125,A127,Query1!$F$4:$F$125)</f>
        <v>0</v>
      </c>
      <c r="H127" s="3">
        <f>SUMIF(Query4!$B$4:$B$48,A127,Query4!$F$4:$F$48)</f>
        <v>0</v>
      </c>
      <c r="J127" s="2">
        <f t="shared" si="1"/>
        <v>0</v>
      </c>
      <c r="K127" s="2" t="s">
        <v>1120</v>
      </c>
      <c r="L127" s="2">
        <v>402</v>
      </c>
      <c r="M127" s="2">
        <v>1</v>
      </c>
      <c r="N127" s="2" t="s">
        <v>874</v>
      </c>
      <c r="O127" s="2">
        <v>130719.88</v>
      </c>
      <c r="P127" s="2">
        <v>0</v>
      </c>
    </row>
    <row r="128" spans="1:16" x14ac:dyDescent="0.2">
      <c r="A128" s="4">
        <v>403</v>
      </c>
      <c r="B128" s="4">
        <v>1</v>
      </c>
      <c r="C128" s="2" t="s">
        <v>125</v>
      </c>
      <c r="D128" s="184">
        <v>126901.08</v>
      </c>
      <c r="E128" s="185">
        <v>0</v>
      </c>
      <c r="G128" s="3">
        <f>SUMIF(Query1!$B$4:$B$125,A128,Query1!$F$4:$F$125)</f>
        <v>0</v>
      </c>
      <c r="H128" s="3">
        <f>SUMIF(Query4!$B$4:$B$48,A128,Query4!$F$4:$F$48)</f>
        <v>0</v>
      </c>
      <c r="J128" s="2">
        <f t="shared" si="1"/>
        <v>0</v>
      </c>
      <c r="K128" s="2" t="s">
        <v>1120</v>
      </c>
      <c r="L128" s="2">
        <v>403</v>
      </c>
      <c r="M128" s="2">
        <v>1</v>
      </c>
      <c r="N128" s="2" t="s">
        <v>875</v>
      </c>
      <c r="O128" s="2">
        <v>126901.08</v>
      </c>
      <c r="P128" s="2">
        <v>0</v>
      </c>
    </row>
    <row r="129" spans="1:16" x14ac:dyDescent="0.2">
      <c r="A129" s="4">
        <v>404</v>
      </c>
      <c r="B129" s="4">
        <v>1</v>
      </c>
      <c r="C129" s="2" t="s">
        <v>126</v>
      </c>
      <c r="D129" s="184">
        <v>150407.15</v>
      </c>
      <c r="E129" s="185">
        <v>0</v>
      </c>
      <c r="G129" s="3">
        <f>SUMIF(Query1!$B$4:$B$125,A129,Query1!$F$4:$F$125)</f>
        <v>0</v>
      </c>
      <c r="H129" s="3">
        <f>SUMIF(Query4!$B$4:$B$48,A129,Query4!$F$4:$F$48)</f>
        <v>0</v>
      </c>
      <c r="J129" s="2">
        <f t="shared" si="1"/>
        <v>0</v>
      </c>
      <c r="K129" s="2" t="s">
        <v>1120</v>
      </c>
      <c r="L129" s="2">
        <v>404</v>
      </c>
      <c r="M129" s="2">
        <v>1</v>
      </c>
      <c r="N129" s="2" t="s">
        <v>876</v>
      </c>
      <c r="O129" s="2">
        <v>150407.15</v>
      </c>
      <c r="P129" s="2">
        <v>0</v>
      </c>
    </row>
    <row r="130" spans="1:16" x14ac:dyDescent="0.2">
      <c r="A130" s="4">
        <v>413</v>
      </c>
      <c r="B130" s="4">
        <v>1</v>
      </c>
      <c r="C130" s="2" t="s">
        <v>127</v>
      </c>
      <c r="D130" s="184">
        <v>1254026.8</v>
      </c>
      <c r="E130" s="185">
        <v>0</v>
      </c>
      <c r="G130" s="3">
        <f>SUMIF(Query1!$B$4:$B$125,A130,Query1!$F$4:$F$125)</f>
        <v>0</v>
      </c>
      <c r="H130" s="3">
        <f>SUMIF(Query4!$B$4:$B$48,A130,Query4!$F$4:$F$48)</f>
        <v>0</v>
      </c>
      <c r="J130" s="2">
        <f t="shared" si="1"/>
        <v>0</v>
      </c>
      <c r="K130" s="2" t="s">
        <v>1120</v>
      </c>
      <c r="L130" s="2">
        <v>413</v>
      </c>
      <c r="M130" s="2">
        <v>1</v>
      </c>
      <c r="N130" s="2" t="s">
        <v>877</v>
      </c>
      <c r="O130" s="2">
        <v>1254026.8</v>
      </c>
      <c r="P130" s="2">
        <v>0</v>
      </c>
    </row>
    <row r="131" spans="1:16" x14ac:dyDescent="0.2">
      <c r="A131" s="4">
        <v>414</v>
      </c>
      <c r="B131" s="4">
        <v>1</v>
      </c>
      <c r="C131" s="2" t="s">
        <v>128</v>
      </c>
      <c r="D131" s="184">
        <v>174685.26</v>
      </c>
      <c r="E131" s="185">
        <v>0</v>
      </c>
      <c r="G131" s="3">
        <f>SUMIF(Query1!$B$4:$B$125,A131,Query1!$F$4:$F$125)</f>
        <v>0</v>
      </c>
      <c r="H131" s="3">
        <f>SUMIF(Query4!$B$4:$B$48,A131,Query4!$F$4:$F$48)</f>
        <v>0</v>
      </c>
      <c r="J131" s="2">
        <f t="shared" si="1"/>
        <v>0</v>
      </c>
      <c r="K131" s="2" t="s">
        <v>1120</v>
      </c>
      <c r="L131" s="2">
        <v>414</v>
      </c>
      <c r="M131" s="2">
        <v>1</v>
      </c>
      <c r="N131" s="2" t="s">
        <v>878</v>
      </c>
      <c r="O131" s="2">
        <v>174685.26</v>
      </c>
      <c r="P131" s="2">
        <v>0</v>
      </c>
    </row>
    <row r="132" spans="1:16" x14ac:dyDescent="0.2">
      <c r="A132" s="4">
        <v>415</v>
      </c>
      <c r="B132" s="4">
        <v>1</v>
      </c>
      <c r="C132" s="2" t="s">
        <v>129</v>
      </c>
      <c r="D132" s="184">
        <v>182938.14</v>
      </c>
      <c r="E132" s="185">
        <v>0</v>
      </c>
      <c r="G132" s="3">
        <f>SUMIF(Query1!$B$4:$B$125,A132,Query1!$F$4:$F$125)</f>
        <v>0</v>
      </c>
      <c r="H132" s="3">
        <f>SUMIF(Query4!$B$4:$B$48,A132,Query4!$F$4:$F$48)</f>
        <v>0</v>
      </c>
      <c r="J132" s="2">
        <f t="shared" si="1"/>
        <v>0</v>
      </c>
      <c r="K132" s="2" t="s">
        <v>1120</v>
      </c>
      <c r="L132" s="2">
        <v>415</v>
      </c>
      <c r="M132" s="2">
        <v>1</v>
      </c>
      <c r="N132" s="2" t="s">
        <v>879</v>
      </c>
      <c r="O132" s="2">
        <v>182938.14</v>
      </c>
      <c r="P132" s="2">
        <v>0</v>
      </c>
    </row>
    <row r="133" spans="1:16" x14ac:dyDescent="0.2">
      <c r="A133" s="4">
        <v>423</v>
      </c>
      <c r="B133" s="4">
        <v>1</v>
      </c>
      <c r="C133" s="2" t="s">
        <v>130</v>
      </c>
      <c r="D133" s="184">
        <v>1571032.87</v>
      </c>
      <c r="E133" s="185">
        <v>0</v>
      </c>
      <c r="G133" s="3">
        <f>SUMIF(Query1!$B$4:$B$125,A133,Query1!$F$4:$F$125)</f>
        <v>0</v>
      </c>
      <c r="H133" s="3">
        <f>SUMIF(Query4!$B$4:$B$48,A133,Query4!$F$4:$F$48)</f>
        <v>0</v>
      </c>
      <c r="J133" s="2">
        <f t="shared" si="1"/>
        <v>0</v>
      </c>
      <c r="K133" s="2" t="s">
        <v>1120</v>
      </c>
      <c r="L133" s="2">
        <v>423</v>
      </c>
      <c r="M133" s="2">
        <v>1</v>
      </c>
      <c r="N133" s="2" t="s">
        <v>880</v>
      </c>
      <c r="O133" s="2">
        <v>1571032.87</v>
      </c>
      <c r="P133" s="2">
        <v>0</v>
      </c>
    </row>
    <row r="134" spans="1:16" x14ac:dyDescent="0.2">
      <c r="A134" s="4">
        <v>424</v>
      </c>
      <c r="B134" s="4">
        <v>1</v>
      </c>
      <c r="C134" s="2" t="s">
        <v>131</v>
      </c>
      <c r="D134" s="184">
        <v>212083.54</v>
      </c>
      <c r="E134" s="185">
        <v>0</v>
      </c>
      <c r="G134" s="3">
        <f>SUMIF(Query1!$B$4:$B$125,A134,Query1!$F$4:$F$125)</f>
        <v>0</v>
      </c>
      <c r="H134" s="3">
        <f>SUMIF(Query4!$B$4:$B$48,A134,Query4!$F$4:$F$48)</f>
        <v>0</v>
      </c>
      <c r="J134" s="2">
        <f t="shared" si="1"/>
        <v>0</v>
      </c>
      <c r="K134" s="2" t="s">
        <v>1120</v>
      </c>
      <c r="L134" s="2">
        <v>424</v>
      </c>
      <c r="M134" s="2">
        <v>1</v>
      </c>
      <c r="N134" s="2" t="s">
        <v>881</v>
      </c>
      <c r="O134" s="2">
        <v>212083.54</v>
      </c>
      <c r="P134" s="2">
        <v>0</v>
      </c>
    </row>
    <row r="135" spans="1:16" x14ac:dyDescent="0.2">
      <c r="A135" s="4">
        <v>432</v>
      </c>
      <c r="B135" s="4">
        <v>1</v>
      </c>
      <c r="C135" s="2" t="s">
        <v>132</v>
      </c>
      <c r="D135" s="184">
        <v>76129.42</v>
      </c>
      <c r="E135" s="185">
        <v>0</v>
      </c>
      <c r="G135" s="3">
        <f>SUMIF(Query1!$B$4:$B$125,A135,Query1!$F$4:$F$125)</f>
        <v>-14523</v>
      </c>
      <c r="H135" s="3">
        <f>SUMIF(Query4!$B$4:$B$48,A135,Query4!$F$4:$F$48)</f>
        <v>-236</v>
      </c>
      <c r="J135" s="2">
        <f t="shared" si="1"/>
        <v>0</v>
      </c>
      <c r="K135" s="2" t="s">
        <v>1120</v>
      </c>
      <c r="L135" s="2">
        <v>432</v>
      </c>
      <c r="M135" s="2">
        <v>1</v>
      </c>
      <c r="N135" s="2" t="s">
        <v>882</v>
      </c>
      <c r="O135" s="2">
        <v>76129.42</v>
      </c>
      <c r="P135" s="2">
        <v>0</v>
      </c>
    </row>
    <row r="136" spans="1:16" x14ac:dyDescent="0.2">
      <c r="A136" s="4">
        <v>435</v>
      </c>
      <c r="B136" s="4">
        <v>1</v>
      </c>
      <c r="C136" s="2" t="s">
        <v>1184</v>
      </c>
      <c r="D136" s="184">
        <v>125095.62</v>
      </c>
      <c r="E136" s="185">
        <v>0</v>
      </c>
      <c r="G136" s="3">
        <f>SUMIF(Query1!$B$4:$B$125,A136,Query1!$F$4:$F$125)</f>
        <v>-4047.11</v>
      </c>
      <c r="H136" s="3">
        <f>SUMIF(Query4!$B$4:$B$48,A136,Query4!$F$4:$F$48)</f>
        <v>0</v>
      </c>
      <c r="J136" s="2">
        <f t="shared" si="1"/>
        <v>0</v>
      </c>
      <c r="K136" s="2" t="s">
        <v>1120</v>
      </c>
      <c r="L136" s="2">
        <v>435</v>
      </c>
      <c r="M136" s="2">
        <v>1</v>
      </c>
      <c r="N136" s="2" t="s">
        <v>883</v>
      </c>
      <c r="O136" s="2">
        <v>125095.62</v>
      </c>
      <c r="P136" s="2">
        <v>0</v>
      </c>
    </row>
    <row r="137" spans="1:16" x14ac:dyDescent="0.2">
      <c r="A137" s="4">
        <v>441</v>
      </c>
      <c r="B137" s="4">
        <v>1</v>
      </c>
      <c r="C137" s="2" t="s">
        <v>134</v>
      </c>
      <c r="D137" s="184">
        <v>352740.24</v>
      </c>
      <c r="E137" s="185">
        <v>0</v>
      </c>
      <c r="G137" s="3">
        <f>SUMIF(Query1!$B$4:$B$125,A137,Query1!$F$4:$F$125)</f>
        <v>0</v>
      </c>
      <c r="H137" s="3">
        <f>SUMIF(Query4!$B$4:$B$48,A137,Query4!$F$4:$F$48)</f>
        <v>0</v>
      </c>
      <c r="J137" s="2">
        <f t="shared" si="1"/>
        <v>0</v>
      </c>
      <c r="K137" s="2" t="s">
        <v>1120</v>
      </c>
      <c r="L137" s="2">
        <v>441</v>
      </c>
      <c r="M137" s="2">
        <v>1</v>
      </c>
      <c r="N137" s="2" t="s">
        <v>884</v>
      </c>
      <c r="O137" s="2">
        <v>352740.24</v>
      </c>
      <c r="P137" s="2">
        <v>0</v>
      </c>
    </row>
    <row r="138" spans="1:16" x14ac:dyDescent="0.2">
      <c r="A138" s="4">
        <v>447</v>
      </c>
      <c r="B138" s="4">
        <v>1</v>
      </c>
      <c r="C138" s="2" t="s">
        <v>135</v>
      </c>
      <c r="D138" s="184">
        <v>63881.19</v>
      </c>
      <c r="E138" s="185">
        <v>0</v>
      </c>
      <c r="G138" s="3">
        <f>SUMIF(Query1!$B$4:$B$125,A138,Query1!$F$4:$F$125)</f>
        <v>-869.49</v>
      </c>
      <c r="H138" s="3">
        <f>SUMIF(Query4!$B$4:$B$48,A138,Query4!$F$4:$F$48)</f>
        <v>0</v>
      </c>
      <c r="J138" s="2">
        <f t="shared" ref="J138:J201" si="2">L138-A138</f>
        <v>0</v>
      </c>
      <c r="K138" s="2" t="s">
        <v>1120</v>
      </c>
      <c r="L138" s="2">
        <v>447</v>
      </c>
      <c r="M138" s="2">
        <v>1</v>
      </c>
      <c r="N138" s="2" t="s">
        <v>885</v>
      </c>
      <c r="O138" s="2">
        <v>63881.19</v>
      </c>
      <c r="P138" s="2">
        <v>0</v>
      </c>
    </row>
    <row r="139" spans="1:16" x14ac:dyDescent="0.2">
      <c r="A139" s="4">
        <v>458</v>
      </c>
      <c r="B139" s="4">
        <v>1</v>
      </c>
      <c r="C139" s="2" t="s">
        <v>136</v>
      </c>
      <c r="D139" s="184">
        <v>109778.2</v>
      </c>
      <c r="E139" s="185">
        <v>0</v>
      </c>
      <c r="G139" s="3">
        <f>SUMIF(Query1!$B$4:$B$125,A139,Query1!$F$4:$F$125)</f>
        <v>0</v>
      </c>
      <c r="H139" s="3">
        <f>SUMIF(Query4!$B$4:$B$48,A139,Query4!$F$4:$F$48)</f>
        <v>0</v>
      </c>
      <c r="J139" s="2">
        <f t="shared" si="2"/>
        <v>0</v>
      </c>
      <c r="K139" s="2" t="s">
        <v>1120</v>
      </c>
      <c r="L139" s="2">
        <v>458</v>
      </c>
      <c r="M139" s="2">
        <v>1</v>
      </c>
      <c r="N139" s="2" t="s">
        <v>886</v>
      </c>
      <c r="O139" s="2">
        <v>109778.2</v>
      </c>
      <c r="P139" s="2">
        <v>0</v>
      </c>
    </row>
    <row r="140" spans="1:16" x14ac:dyDescent="0.2">
      <c r="A140" s="4">
        <v>463</v>
      </c>
      <c r="B140" s="4">
        <v>1</v>
      </c>
      <c r="C140" s="2" t="s">
        <v>1185</v>
      </c>
      <c r="D140" s="184">
        <v>292583.71999999997</v>
      </c>
      <c r="E140" s="185">
        <v>0</v>
      </c>
      <c r="G140" s="3">
        <f>SUMIF(Query1!$B$4:$B$125,A140,Query1!$F$4:$F$125)</f>
        <v>0</v>
      </c>
      <c r="H140" s="3">
        <f>SUMIF(Query4!$B$4:$B$48,A140,Query4!$F$4:$F$48)</f>
        <v>0</v>
      </c>
      <c r="J140" s="2">
        <f t="shared" si="2"/>
        <v>0</v>
      </c>
      <c r="K140" s="2" t="s">
        <v>1120</v>
      </c>
      <c r="L140" s="2">
        <v>463</v>
      </c>
      <c r="M140" s="2">
        <v>1</v>
      </c>
      <c r="N140" s="2" t="s">
        <v>887</v>
      </c>
      <c r="O140" s="2">
        <v>292583.71999999997</v>
      </c>
      <c r="P140" s="2">
        <v>0</v>
      </c>
    </row>
    <row r="141" spans="1:16" x14ac:dyDescent="0.2">
      <c r="A141" s="4">
        <v>465</v>
      </c>
      <c r="B141" s="4">
        <v>1</v>
      </c>
      <c r="C141" s="2" t="s">
        <v>138</v>
      </c>
      <c r="D141" s="184">
        <v>755717.74</v>
      </c>
      <c r="E141" s="185">
        <v>0</v>
      </c>
      <c r="G141" s="3">
        <f>SUMIF(Query1!$B$4:$B$125,A141,Query1!$F$4:$F$125)</f>
        <v>0</v>
      </c>
      <c r="H141" s="3">
        <f>SUMIF(Query4!$B$4:$B$48,A141,Query4!$F$4:$F$48)</f>
        <v>0</v>
      </c>
      <c r="J141" s="2">
        <f t="shared" si="2"/>
        <v>0</v>
      </c>
      <c r="K141" s="2" t="s">
        <v>1120</v>
      </c>
      <c r="L141" s="2">
        <v>465</v>
      </c>
      <c r="M141" s="2">
        <v>1</v>
      </c>
      <c r="N141" s="2" t="s">
        <v>888</v>
      </c>
      <c r="O141" s="2">
        <v>755717.74</v>
      </c>
      <c r="P141" s="2">
        <v>0</v>
      </c>
    </row>
    <row r="142" spans="1:16" x14ac:dyDescent="0.2">
      <c r="A142" s="4">
        <v>466</v>
      </c>
      <c r="B142" s="4">
        <v>1</v>
      </c>
      <c r="C142" s="2" t="s">
        <v>139</v>
      </c>
      <c r="D142" s="184">
        <v>596043.31999999995</v>
      </c>
      <c r="E142" s="185">
        <v>0</v>
      </c>
      <c r="G142" s="3">
        <f>SUMIF(Query1!$B$4:$B$125,A142,Query1!$F$4:$F$125)</f>
        <v>0</v>
      </c>
      <c r="H142" s="3">
        <f>SUMIF(Query4!$B$4:$B$48,A142,Query4!$F$4:$F$48)</f>
        <v>0</v>
      </c>
      <c r="J142" s="2">
        <f t="shared" si="2"/>
        <v>0</v>
      </c>
      <c r="K142" s="2" t="s">
        <v>1120</v>
      </c>
      <c r="L142" s="2">
        <v>466</v>
      </c>
      <c r="M142" s="2">
        <v>1</v>
      </c>
      <c r="N142" s="2" t="s">
        <v>889</v>
      </c>
      <c r="O142" s="2">
        <v>596043.31999999995</v>
      </c>
      <c r="P142" s="2">
        <v>0</v>
      </c>
    </row>
    <row r="143" spans="1:16" x14ac:dyDescent="0.2">
      <c r="A143" s="4">
        <v>473</v>
      </c>
      <c r="B143" s="4">
        <v>1</v>
      </c>
      <c r="C143" s="2" t="s">
        <v>140</v>
      </c>
      <c r="D143" s="184">
        <v>152441.79999999999</v>
      </c>
      <c r="E143" s="185">
        <v>0</v>
      </c>
      <c r="G143" s="3">
        <f>SUMIF(Query1!$B$4:$B$125,A143,Query1!$F$4:$F$125)</f>
        <v>-22074.41</v>
      </c>
      <c r="H143" s="3">
        <f>SUMIF(Query4!$B$4:$B$48,A143,Query4!$F$4:$F$48)</f>
        <v>0</v>
      </c>
      <c r="J143" s="2">
        <f t="shared" si="2"/>
        <v>0</v>
      </c>
      <c r="K143" s="2" t="s">
        <v>1120</v>
      </c>
      <c r="L143" s="2">
        <v>473</v>
      </c>
      <c r="M143" s="2">
        <v>1</v>
      </c>
      <c r="N143" s="2" t="s">
        <v>890</v>
      </c>
      <c r="O143" s="2">
        <v>152441.79999999999</v>
      </c>
      <c r="P143" s="2">
        <v>0</v>
      </c>
    </row>
    <row r="144" spans="1:16" x14ac:dyDescent="0.2">
      <c r="A144" s="4">
        <v>477</v>
      </c>
      <c r="B144" s="4">
        <v>1</v>
      </c>
      <c r="C144" s="2" t="s">
        <v>141</v>
      </c>
      <c r="D144" s="184">
        <v>993777.14</v>
      </c>
      <c r="E144" s="185">
        <v>0</v>
      </c>
      <c r="G144" s="3">
        <f>SUMIF(Query1!$B$4:$B$125,A144,Query1!$F$4:$F$125)</f>
        <v>0</v>
      </c>
      <c r="H144" s="3">
        <f>SUMIF(Query4!$B$4:$B$48,A144,Query4!$F$4:$F$48)</f>
        <v>0</v>
      </c>
      <c r="J144" s="2">
        <f t="shared" si="2"/>
        <v>0</v>
      </c>
      <c r="K144" s="2" t="s">
        <v>1120</v>
      </c>
      <c r="L144" s="2">
        <v>477</v>
      </c>
      <c r="M144" s="2">
        <v>1</v>
      </c>
      <c r="N144" s="2" t="s">
        <v>891</v>
      </c>
      <c r="O144" s="2">
        <v>993777.14</v>
      </c>
      <c r="P144" s="2">
        <v>0</v>
      </c>
    </row>
    <row r="145" spans="1:16" x14ac:dyDescent="0.2">
      <c r="A145" s="4">
        <v>480</v>
      </c>
      <c r="B145" s="4">
        <v>1</v>
      </c>
      <c r="C145" s="2" t="s">
        <v>142</v>
      </c>
      <c r="D145" s="184">
        <v>616861.24</v>
      </c>
      <c r="E145" s="185">
        <v>0</v>
      </c>
      <c r="G145" s="3">
        <f>SUMIF(Query1!$B$4:$B$125,A145,Query1!$F$4:$F$125)</f>
        <v>0</v>
      </c>
      <c r="H145" s="3">
        <f>SUMIF(Query4!$B$4:$B$48,A145,Query4!$F$4:$F$48)</f>
        <v>0</v>
      </c>
      <c r="J145" s="2">
        <f t="shared" si="2"/>
        <v>0</v>
      </c>
      <c r="K145" s="2" t="s">
        <v>1120</v>
      </c>
      <c r="L145" s="2">
        <v>480</v>
      </c>
      <c r="M145" s="2">
        <v>1</v>
      </c>
      <c r="N145" s="2" t="s">
        <v>892</v>
      </c>
      <c r="O145" s="2">
        <v>616861.24</v>
      </c>
      <c r="P145" s="2">
        <v>0</v>
      </c>
    </row>
    <row r="146" spans="1:16" x14ac:dyDescent="0.2">
      <c r="A146" s="4">
        <v>482</v>
      </c>
      <c r="B146" s="4">
        <v>1</v>
      </c>
      <c r="C146" s="2" t="s">
        <v>143</v>
      </c>
      <c r="D146" s="184">
        <v>1148894.1100000001</v>
      </c>
      <c r="E146" s="185">
        <v>0</v>
      </c>
      <c r="G146" s="3">
        <f>SUMIF(Query1!$B$4:$B$125,A146,Query1!$F$4:$F$125)</f>
        <v>0</v>
      </c>
      <c r="H146" s="3">
        <f>SUMIF(Query4!$B$4:$B$48,A146,Query4!$F$4:$F$48)</f>
        <v>0</v>
      </c>
      <c r="J146" s="2">
        <f t="shared" si="2"/>
        <v>0</v>
      </c>
      <c r="K146" s="2" t="s">
        <v>1120</v>
      </c>
      <c r="L146" s="2">
        <v>482</v>
      </c>
      <c r="M146" s="2">
        <v>1</v>
      </c>
      <c r="N146" s="2" t="s">
        <v>893</v>
      </c>
      <c r="O146" s="2">
        <v>1148894.1100000001</v>
      </c>
      <c r="P146" s="2">
        <v>0</v>
      </c>
    </row>
    <row r="147" spans="1:16" x14ac:dyDescent="0.2">
      <c r="A147" s="4">
        <v>484</v>
      </c>
      <c r="B147" s="4">
        <v>1</v>
      </c>
      <c r="C147" s="2" t="s">
        <v>144</v>
      </c>
      <c r="D147" s="184">
        <v>353914.12</v>
      </c>
      <c r="E147" s="185">
        <v>0</v>
      </c>
      <c r="G147" s="3">
        <f>SUMIF(Query1!$B$4:$B$125,A147,Query1!$F$4:$F$125)</f>
        <v>0</v>
      </c>
      <c r="H147" s="3">
        <f>SUMIF(Query4!$B$4:$B$48,A147,Query4!$F$4:$F$48)</f>
        <v>0</v>
      </c>
      <c r="J147" s="2">
        <f t="shared" si="2"/>
        <v>0</v>
      </c>
      <c r="K147" s="2" t="s">
        <v>1120</v>
      </c>
      <c r="L147" s="2">
        <v>484</v>
      </c>
      <c r="M147" s="2">
        <v>1</v>
      </c>
      <c r="N147" s="2" t="s">
        <v>894</v>
      </c>
      <c r="O147" s="2">
        <v>353914.12</v>
      </c>
      <c r="P147" s="2">
        <v>0</v>
      </c>
    </row>
    <row r="148" spans="1:16" x14ac:dyDescent="0.2">
      <c r="A148" s="4">
        <v>485</v>
      </c>
      <c r="B148" s="4">
        <v>1</v>
      </c>
      <c r="C148" s="2" t="s">
        <v>145</v>
      </c>
      <c r="D148" s="184">
        <v>133764.29</v>
      </c>
      <c r="E148" s="185">
        <v>0</v>
      </c>
      <c r="G148" s="3">
        <f>SUMIF(Query1!$B$4:$B$125,A148,Query1!$F$4:$F$125)</f>
        <v>-28536.639999999999</v>
      </c>
      <c r="H148" s="3">
        <f>SUMIF(Query4!$B$4:$B$48,A148,Query4!$F$4:$F$48)</f>
        <v>0</v>
      </c>
      <c r="J148" s="2">
        <f t="shared" si="2"/>
        <v>0</v>
      </c>
      <c r="K148" s="2" t="s">
        <v>1120</v>
      </c>
      <c r="L148" s="2">
        <v>485</v>
      </c>
      <c r="M148" s="2">
        <v>1</v>
      </c>
      <c r="N148" s="2" t="s">
        <v>895</v>
      </c>
      <c r="O148" s="2">
        <v>133764.29</v>
      </c>
      <c r="P148" s="2">
        <v>0</v>
      </c>
    </row>
    <row r="149" spans="1:16" x14ac:dyDescent="0.2">
      <c r="A149" s="4">
        <v>486</v>
      </c>
      <c r="B149" s="4">
        <v>1</v>
      </c>
      <c r="C149" s="2" t="s">
        <v>146</v>
      </c>
      <c r="D149" s="184">
        <v>143860.09</v>
      </c>
      <c r="E149" s="185">
        <v>0</v>
      </c>
      <c r="G149" s="3">
        <f>SUMIF(Query1!$B$4:$B$125,A149,Query1!$F$4:$F$125)</f>
        <v>0</v>
      </c>
      <c r="H149" s="3">
        <f>SUMIF(Query4!$B$4:$B$48,A149,Query4!$F$4:$F$48)</f>
        <v>0</v>
      </c>
      <c r="J149" s="2">
        <f t="shared" si="2"/>
        <v>0</v>
      </c>
      <c r="K149" s="2" t="s">
        <v>1120</v>
      </c>
      <c r="L149" s="2">
        <v>486</v>
      </c>
      <c r="M149" s="2">
        <v>1</v>
      </c>
      <c r="N149" s="2" t="s">
        <v>896</v>
      </c>
      <c r="O149" s="2">
        <v>143860.09</v>
      </c>
      <c r="P149" s="2">
        <v>0</v>
      </c>
    </row>
    <row r="150" spans="1:16" x14ac:dyDescent="0.2">
      <c r="A150" s="4">
        <v>487</v>
      </c>
      <c r="B150" s="4">
        <v>1</v>
      </c>
      <c r="C150" s="2" t="s">
        <v>147</v>
      </c>
      <c r="D150" s="184">
        <v>122645.85</v>
      </c>
      <c r="E150" s="185">
        <v>0</v>
      </c>
      <c r="G150" s="3">
        <f>SUMIF(Query1!$B$4:$B$125,A150,Query1!$F$4:$F$125)</f>
        <v>0</v>
      </c>
      <c r="H150" s="3">
        <f>SUMIF(Query4!$B$4:$B$48,A150,Query4!$F$4:$F$48)</f>
        <v>0</v>
      </c>
      <c r="J150" s="2">
        <f t="shared" si="2"/>
        <v>0</v>
      </c>
      <c r="K150" s="2" t="s">
        <v>1120</v>
      </c>
      <c r="L150" s="2">
        <v>487</v>
      </c>
      <c r="M150" s="2">
        <v>1</v>
      </c>
      <c r="N150" s="2" t="s">
        <v>897</v>
      </c>
      <c r="O150" s="2">
        <v>122645.85</v>
      </c>
      <c r="P150" s="2">
        <v>0</v>
      </c>
    </row>
    <row r="151" spans="1:16" x14ac:dyDescent="0.2">
      <c r="A151" s="4">
        <v>492</v>
      </c>
      <c r="B151" s="4">
        <v>1</v>
      </c>
      <c r="C151" s="2" t="s">
        <v>148</v>
      </c>
      <c r="D151" s="184">
        <v>1595407.64</v>
      </c>
      <c r="E151" s="185">
        <v>0</v>
      </c>
      <c r="G151" s="3">
        <f>SUMIF(Query1!$B$4:$B$125,A151,Query1!$F$4:$F$125)</f>
        <v>0</v>
      </c>
      <c r="H151" s="3">
        <f>SUMIF(Query4!$B$4:$B$48,A151,Query4!$F$4:$F$48)</f>
        <v>0</v>
      </c>
      <c r="J151" s="2">
        <f t="shared" si="2"/>
        <v>0</v>
      </c>
      <c r="K151" s="2" t="s">
        <v>1120</v>
      </c>
      <c r="L151" s="2">
        <v>492</v>
      </c>
      <c r="M151" s="2">
        <v>1</v>
      </c>
      <c r="N151" s="2" t="s">
        <v>898</v>
      </c>
      <c r="O151" s="2">
        <v>1595407.64</v>
      </c>
      <c r="P151" s="2">
        <v>0</v>
      </c>
    </row>
    <row r="152" spans="1:16" x14ac:dyDescent="0.2">
      <c r="A152" s="4">
        <v>495</v>
      </c>
      <c r="B152" s="4">
        <v>1</v>
      </c>
      <c r="C152" s="2" t="s">
        <v>149</v>
      </c>
      <c r="D152" s="184">
        <v>204502.71</v>
      </c>
      <c r="E152" s="185">
        <v>0</v>
      </c>
      <c r="G152" s="3">
        <f>SUMIF(Query1!$B$4:$B$125,A152,Query1!$F$4:$F$125)</f>
        <v>0</v>
      </c>
      <c r="H152" s="3">
        <f>SUMIF(Query4!$B$4:$B$48,A152,Query4!$F$4:$F$48)</f>
        <v>0</v>
      </c>
      <c r="J152" s="2">
        <f t="shared" si="2"/>
        <v>0</v>
      </c>
      <c r="K152" s="2" t="s">
        <v>1120</v>
      </c>
      <c r="L152" s="2">
        <v>495</v>
      </c>
      <c r="M152" s="2">
        <v>1</v>
      </c>
      <c r="N152" s="2" t="s">
        <v>899</v>
      </c>
      <c r="O152" s="2">
        <v>204502.71</v>
      </c>
      <c r="P152" s="2">
        <v>0</v>
      </c>
    </row>
    <row r="153" spans="1:16" x14ac:dyDescent="0.2">
      <c r="A153" s="4">
        <v>497</v>
      </c>
      <c r="B153" s="4">
        <v>1</v>
      </c>
      <c r="C153" s="2" t="s">
        <v>150</v>
      </c>
      <c r="D153" s="184">
        <v>27707.98</v>
      </c>
      <c r="E153" s="185">
        <v>0</v>
      </c>
      <c r="G153" s="3">
        <f>SUMIF(Query1!$B$4:$B$125,A153,Query1!$F$4:$F$125)</f>
        <v>0</v>
      </c>
      <c r="H153" s="3">
        <f>SUMIF(Query4!$B$4:$B$48,A153,Query4!$F$4:$F$48)</f>
        <v>0</v>
      </c>
      <c r="J153" s="2">
        <f t="shared" si="2"/>
        <v>0</v>
      </c>
      <c r="K153" s="2" t="s">
        <v>1120</v>
      </c>
      <c r="L153" s="2">
        <v>497</v>
      </c>
      <c r="M153" s="2">
        <v>1</v>
      </c>
      <c r="N153" s="2" t="s">
        <v>900</v>
      </c>
      <c r="O153" s="2">
        <v>27707.98</v>
      </c>
      <c r="P153" s="2">
        <v>0</v>
      </c>
    </row>
    <row r="154" spans="1:16" x14ac:dyDescent="0.2">
      <c r="A154" s="4">
        <v>499</v>
      </c>
      <c r="B154" s="4">
        <v>1</v>
      </c>
      <c r="C154" s="2" t="s">
        <v>1186</v>
      </c>
      <c r="D154" s="184">
        <v>222987.56</v>
      </c>
      <c r="E154" s="185">
        <v>0</v>
      </c>
      <c r="G154" s="3">
        <f>SUMIF(Query1!$B$4:$B$125,A154,Query1!$F$4:$F$125)</f>
        <v>0</v>
      </c>
      <c r="H154" s="3">
        <f>SUMIF(Query4!$B$4:$B$48,A154,Query4!$F$4:$F$48)</f>
        <v>0</v>
      </c>
      <c r="J154" s="2">
        <f t="shared" si="2"/>
        <v>0</v>
      </c>
      <c r="K154" s="2" t="s">
        <v>1120</v>
      </c>
      <c r="L154" s="2">
        <v>499</v>
      </c>
      <c r="M154" s="2">
        <v>1</v>
      </c>
      <c r="N154" s="2" t="s">
        <v>901</v>
      </c>
      <c r="O154" s="2">
        <v>222987.56</v>
      </c>
      <c r="P154" s="2">
        <v>0</v>
      </c>
    </row>
    <row r="155" spans="1:16" x14ac:dyDescent="0.2">
      <c r="A155" s="4">
        <v>500</v>
      </c>
      <c r="B155" s="4">
        <v>1</v>
      </c>
      <c r="C155" s="2" t="s">
        <v>152</v>
      </c>
      <c r="D155" s="184">
        <v>176616.9</v>
      </c>
      <c r="E155" s="185">
        <v>0</v>
      </c>
      <c r="G155" s="3">
        <f>SUMIF(Query1!$B$4:$B$125,A155,Query1!$F$4:$F$125)</f>
        <v>0</v>
      </c>
      <c r="H155" s="3">
        <f>SUMIF(Query4!$B$4:$B$48,A155,Query4!$F$4:$F$48)</f>
        <v>0</v>
      </c>
      <c r="J155" s="2">
        <f t="shared" si="2"/>
        <v>0</v>
      </c>
      <c r="K155" s="2" t="s">
        <v>1120</v>
      </c>
      <c r="L155" s="2">
        <v>500</v>
      </c>
      <c r="M155" s="2">
        <v>1</v>
      </c>
      <c r="N155" s="2" t="s">
        <v>902</v>
      </c>
      <c r="O155" s="2">
        <v>176616.9</v>
      </c>
      <c r="P155" s="2">
        <v>0</v>
      </c>
    </row>
    <row r="156" spans="1:16" x14ac:dyDescent="0.2">
      <c r="A156" s="4">
        <v>505</v>
      </c>
      <c r="B156" s="4">
        <v>1</v>
      </c>
      <c r="C156" s="2" t="s">
        <v>153</v>
      </c>
      <c r="D156" s="184">
        <v>138768.67000000001</v>
      </c>
      <c r="E156" s="185">
        <v>0</v>
      </c>
      <c r="G156" s="3">
        <f>SUMIF(Query1!$B$4:$B$125,A156,Query1!$F$4:$F$125)</f>
        <v>0</v>
      </c>
      <c r="H156" s="3">
        <f>SUMIF(Query4!$B$4:$B$48,A156,Query4!$F$4:$F$48)</f>
        <v>0</v>
      </c>
      <c r="J156" s="2">
        <f t="shared" si="2"/>
        <v>0</v>
      </c>
      <c r="K156" s="2" t="s">
        <v>1120</v>
      </c>
      <c r="L156" s="2">
        <v>505</v>
      </c>
      <c r="M156" s="2">
        <v>1</v>
      </c>
      <c r="N156" s="2" t="s">
        <v>903</v>
      </c>
      <c r="O156" s="2">
        <v>138768.67000000001</v>
      </c>
      <c r="P156" s="2">
        <v>0</v>
      </c>
    </row>
    <row r="157" spans="1:16" x14ac:dyDescent="0.2">
      <c r="A157" s="4">
        <v>507</v>
      </c>
      <c r="B157" s="4">
        <v>1</v>
      </c>
      <c r="C157" s="2" t="s">
        <v>154</v>
      </c>
      <c r="D157" s="184">
        <v>117814.73</v>
      </c>
      <c r="E157" s="185">
        <v>0</v>
      </c>
      <c r="G157" s="3">
        <f>SUMIF(Query1!$B$4:$B$125,A157,Query1!$F$4:$F$125)</f>
        <v>0</v>
      </c>
      <c r="H157" s="3">
        <f>SUMIF(Query4!$B$4:$B$48,A157,Query4!$F$4:$F$48)</f>
        <v>0</v>
      </c>
      <c r="J157" s="2">
        <f t="shared" si="2"/>
        <v>0</v>
      </c>
      <c r="K157" s="2" t="s">
        <v>1120</v>
      </c>
      <c r="L157" s="2">
        <v>507</v>
      </c>
      <c r="M157" s="2">
        <v>1</v>
      </c>
      <c r="N157" s="2" t="s">
        <v>904</v>
      </c>
      <c r="O157" s="2">
        <v>117814.73</v>
      </c>
      <c r="P157" s="2">
        <v>0</v>
      </c>
    </row>
    <row r="158" spans="1:16" x14ac:dyDescent="0.2">
      <c r="A158" s="4">
        <v>508</v>
      </c>
      <c r="B158" s="4">
        <v>1</v>
      </c>
      <c r="C158" s="2" t="s">
        <v>155</v>
      </c>
      <c r="D158" s="184">
        <v>1374395.43</v>
      </c>
      <c r="E158" s="185">
        <v>0</v>
      </c>
      <c r="G158" s="3">
        <f>SUMIF(Query1!$B$4:$B$125,A158,Query1!$F$4:$F$125)</f>
        <v>0</v>
      </c>
      <c r="H158" s="3">
        <f>SUMIF(Query4!$B$4:$B$48,A158,Query4!$F$4:$F$48)</f>
        <v>0</v>
      </c>
      <c r="J158" s="2">
        <f t="shared" si="2"/>
        <v>0</v>
      </c>
      <c r="K158" s="2" t="s">
        <v>1120</v>
      </c>
      <c r="L158" s="2">
        <v>508</v>
      </c>
      <c r="M158" s="2">
        <v>1</v>
      </c>
      <c r="N158" s="2" t="s">
        <v>905</v>
      </c>
      <c r="O158" s="2">
        <v>1374395.43</v>
      </c>
      <c r="P158" s="2">
        <v>0</v>
      </c>
    </row>
    <row r="159" spans="1:16" x14ac:dyDescent="0.2">
      <c r="A159" s="4">
        <v>511</v>
      </c>
      <c r="B159" s="4">
        <v>1</v>
      </c>
      <c r="C159" s="2" t="s">
        <v>156</v>
      </c>
      <c r="D159" s="184">
        <v>282038.53000000003</v>
      </c>
      <c r="E159" s="185">
        <v>0</v>
      </c>
      <c r="G159" s="3">
        <f>SUMIF(Query1!$B$4:$B$125,A159,Query1!$F$4:$F$125)</f>
        <v>0</v>
      </c>
      <c r="H159" s="3">
        <f>SUMIF(Query4!$B$4:$B$48,A159,Query4!$F$4:$F$48)</f>
        <v>0</v>
      </c>
      <c r="J159" s="2">
        <f t="shared" si="2"/>
        <v>0</v>
      </c>
      <c r="K159" s="2" t="s">
        <v>1120</v>
      </c>
      <c r="L159" s="2">
        <v>511</v>
      </c>
      <c r="M159" s="2">
        <v>1</v>
      </c>
      <c r="N159" s="2" t="s">
        <v>906</v>
      </c>
      <c r="O159" s="2">
        <v>282038.53000000003</v>
      </c>
      <c r="P159" s="2">
        <v>0</v>
      </c>
    </row>
    <row r="160" spans="1:16" x14ac:dyDescent="0.2">
      <c r="A160" s="4">
        <v>514</v>
      </c>
      <c r="B160" s="4">
        <v>1</v>
      </c>
      <c r="C160" s="2" t="s">
        <v>158</v>
      </c>
      <c r="D160" s="184">
        <v>33352.910000000003</v>
      </c>
      <c r="E160" s="185">
        <v>0</v>
      </c>
      <c r="G160" s="3">
        <f>SUMIF(Query1!$B$4:$B$125,A160,Query1!$F$4:$F$125)</f>
        <v>-13192.45</v>
      </c>
      <c r="H160" s="3">
        <f>SUMIF(Query4!$B$4:$B$48,A160,Query4!$F$4:$F$48)</f>
        <v>0</v>
      </c>
      <c r="J160" s="2">
        <f t="shared" si="2"/>
        <v>0</v>
      </c>
      <c r="K160" s="2" t="s">
        <v>1120</v>
      </c>
      <c r="L160" s="2">
        <v>514</v>
      </c>
      <c r="M160" s="2">
        <v>1</v>
      </c>
      <c r="N160" s="2" t="s">
        <v>907</v>
      </c>
      <c r="O160" s="2">
        <v>33352.910000000003</v>
      </c>
      <c r="P160" s="2">
        <v>0</v>
      </c>
    </row>
    <row r="161" spans="1:16" x14ac:dyDescent="0.2">
      <c r="A161" s="4">
        <v>518</v>
      </c>
      <c r="B161" s="4">
        <v>1</v>
      </c>
      <c r="C161" s="2" t="s">
        <v>160</v>
      </c>
      <c r="D161" s="184">
        <v>1419619.58</v>
      </c>
      <c r="E161" s="185">
        <v>0</v>
      </c>
      <c r="G161" s="3">
        <f>SUMIF(Query1!$B$4:$B$125,A161,Query1!$F$4:$F$125)</f>
        <v>0</v>
      </c>
      <c r="H161" s="3">
        <f>SUMIF(Query4!$B$4:$B$48,A161,Query4!$F$4:$F$48)</f>
        <v>0</v>
      </c>
      <c r="J161" s="2">
        <f t="shared" si="2"/>
        <v>0</v>
      </c>
      <c r="K161" s="2" t="s">
        <v>1120</v>
      </c>
      <c r="L161" s="2">
        <v>518</v>
      </c>
      <c r="M161" s="2">
        <v>1</v>
      </c>
      <c r="N161" s="2" t="s">
        <v>908</v>
      </c>
      <c r="O161" s="2">
        <v>1419619.58</v>
      </c>
      <c r="P161" s="2">
        <v>0</v>
      </c>
    </row>
    <row r="162" spans="1:16" x14ac:dyDescent="0.2">
      <c r="A162" s="4">
        <v>531</v>
      </c>
      <c r="B162" s="4">
        <v>1</v>
      </c>
      <c r="C162" s="2" t="s">
        <v>161</v>
      </c>
      <c r="D162" s="184">
        <v>571029.75</v>
      </c>
      <c r="E162" s="185">
        <v>0</v>
      </c>
      <c r="G162" s="3">
        <f>SUMIF(Query1!$B$4:$B$125,A162,Query1!$F$4:$F$125)</f>
        <v>0</v>
      </c>
      <c r="H162" s="3">
        <f>SUMIF(Query4!$B$4:$B$48,A162,Query4!$F$4:$F$48)</f>
        <v>0</v>
      </c>
      <c r="J162" s="2">
        <f t="shared" si="2"/>
        <v>0</v>
      </c>
      <c r="K162" s="2" t="s">
        <v>1120</v>
      </c>
      <c r="L162" s="2">
        <v>531</v>
      </c>
      <c r="M162" s="2">
        <v>1</v>
      </c>
      <c r="N162" s="2" t="s">
        <v>909</v>
      </c>
      <c r="O162" s="2">
        <v>571029.75</v>
      </c>
      <c r="P162" s="2">
        <v>0</v>
      </c>
    </row>
    <row r="163" spans="1:16" x14ac:dyDescent="0.2">
      <c r="A163" s="4">
        <v>533</v>
      </c>
      <c r="B163" s="4">
        <v>1</v>
      </c>
      <c r="C163" s="2" t="s">
        <v>162</v>
      </c>
      <c r="D163" s="184">
        <v>226256.09</v>
      </c>
      <c r="E163" s="185">
        <v>0</v>
      </c>
      <c r="G163" s="3">
        <f>SUMIF(Query1!$B$4:$B$125,A163,Query1!$F$4:$F$125)</f>
        <v>-6278</v>
      </c>
      <c r="H163" s="3">
        <f>SUMIF(Query4!$B$4:$B$48,A163,Query4!$F$4:$F$48)</f>
        <v>0</v>
      </c>
      <c r="J163" s="2">
        <f t="shared" si="2"/>
        <v>0</v>
      </c>
      <c r="K163" s="2" t="s">
        <v>1120</v>
      </c>
      <c r="L163" s="2">
        <v>533</v>
      </c>
      <c r="M163" s="2">
        <v>1</v>
      </c>
      <c r="N163" s="2" t="s">
        <v>910</v>
      </c>
      <c r="O163" s="2">
        <v>226256.09</v>
      </c>
      <c r="P163" s="2">
        <v>0</v>
      </c>
    </row>
    <row r="164" spans="1:16" x14ac:dyDescent="0.2">
      <c r="A164" s="4">
        <v>534</v>
      </c>
      <c r="B164" s="4">
        <v>1</v>
      </c>
      <c r="C164" s="2" t="s">
        <v>163</v>
      </c>
      <c r="D164" s="184">
        <v>891395.35</v>
      </c>
      <c r="E164" s="185">
        <v>0</v>
      </c>
      <c r="G164" s="3">
        <f>SUMIF(Query1!$B$4:$B$125,A164,Query1!$F$4:$F$125)</f>
        <v>0</v>
      </c>
      <c r="H164" s="3">
        <f>SUMIF(Query4!$B$4:$B$48,A164,Query4!$F$4:$F$48)</f>
        <v>0</v>
      </c>
      <c r="J164" s="2">
        <f t="shared" si="2"/>
        <v>0</v>
      </c>
      <c r="K164" s="2" t="s">
        <v>1120</v>
      </c>
      <c r="L164" s="2">
        <v>534</v>
      </c>
      <c r="M164" s="2">
        <v>1</v>
      </c>
      <c r="N164" s="2" t="s">
        <v>911</v>
      </c>
      <c r="O164" s="2">
        <v>891395.35</v>
      </c>
      <c r="P164" s="2">
        <v>0</v>
      </c>
    </row>
    <row r="165" spans="1:16" x14ac:dyDescent="0.2">
      <c r="A165" s="4">
        <v>535</v>
      </c>
      <c r="B165" s="4">
        <v>1</v>
      </c>
      <c r="C165" s="2" t="s">
        <v>164</v>
      </c>
      <c r="D165" s="184">
        <v>11171244.49</v>
      </c>
      <c r="E165" s="185">
        <v>0</v>
      </c>
      <c r="G165" s="3">
        <f>SUMIF(Query1!$B$4:$B$125,A165,Query1!$F$4:$F$125)</f>
        <v>0</v>
      </c>
      <c r="H165" s="3">
        <f>SUMIF(Query4!$B$4:$B$48,A165,Query4!$F$4:$F$48)</f>
        <v>0</v>
      </c>
      <c r="J165" s="2">
        <f t="shared" si="2"/>
        <v>0</v>
      </c>
      <c r="K165" s="2" t="s">
        <v>1120</v>
      </c>
      <c r="L165" s="2">
        <v>535</v>
      </c>
      <c r="M165" s="2">
        <v>1</v>
      </c>
      <c r="N165" s="2" t="s">
        <v>912</v>
      </c>
      <c r="O165" s="2">
        <v>11171244.49</v>
      </c>
      <c r="P165" s="2">
        <v>0</v>
      </c>
    </row>
    <row r="166" spans="1:16" x14ac:dyDescent="0.2">
      <c r="A166" s="4">
        <v>542</v>
      </c>
      <c r="B166" s="4">
        <v>1</v>
      </c>
      <c r="C166" s="2" t="s">
        <v>165</v>
      </c>
      <c r="D166" s="184">
        <v>432451.7</v>
      </c>
      <c r="E166" s="185">
        <v>0</v>
      </c>
      <c r="G166" s="3">
        <f>SUMIF(Query1!$B$4:$B$125,A166,Query1!$F$4:$F$125)</f>
        <v>0</v>
      </c>
      <c r="H166" s="3">
        <f>SUMIF(Query4!$B$4:$B$48,A166,Query4!$F$4:$F$48)</f>
        <v>0</v>
      </c>
      <c r="J166" s="2">
        <f t="shared" si="2"/>
        <v>0</v>
      </c>
      <c r="K166" s="2" t="s">
        <v>1120</v>
      </c>
      <c r="L166" s="2">
        <v>542</v>
      </c>
      <c r="M166" s="2">
        <v>1</v>
      </c>
      <c r="N166" s="2" t="s">
        <v>913</v>
      </c>
      <c r="O166" s="2">
        <v>432451.7</v>
      </c>
      <c r="P166" s="2">
        <v>0</v>
      </c>
    </row>
    <row r="167" spans="1:16" x14ac:dyDescent="0.2">
      <c r="A167" s="4">
        <v>544</v>
      </c>
      <c r="B167" s="4">
        <v>1</v>
      </c>
      <c r="C167" s="2" t="s">
        <v>166</v>
      </c>
      <c r="D167" s="184">
        <v>980934.93</v>
      </c>
      <c r="E167" s="185">
        <v>0</v>
      </c>
      <c r="G167" s="3">
        <f>SUMIF(Query1!$B$4:$B$125,A167,Query1!$F$4:$F$125)</f>
        <v>0</v>
      </c>
      <c r="H167" s="3">
        <f>SUMIF(Query4!$B$4:$B$48,A167,Query4!$F$4:$F$48)</f>
        <v>0</v>
      </c>
      <c r="J167" s="2">
        <f t="shared" si="2"/>
        <v>0</v>
      </c>
      <c r="K167" s="2" t="s">
        <v>1120</v>
      </c>
      <c r="L167" s="2">
        <v>544</v>
      </c>
      <c r="M167" s="2">
        <v>1</v>
      </c>
      <c r="N167" s="2" t="s">
        <v>914</v>
      </c>
      <c r="O167" s="2">
        <v>980934.93</v>
      </c>
      <c r="P167" s="2">
        <v>0</v>
      </c>
    </row>
    <row r="168" spans="1:16" x14ac:dyDescent="0.2">
      <c r="A168" s="4">
        <v>545</v>
      </c>
      <c r="B168" s="4">
        <v>1</v>
      </c>
      <c r="C168" s="2" t="s">
        <v>167</v>
      </c>
      <c r="D168" s="184">
        <v>277267.38</v>
      </c>
      <c r="E168" s="185">
        <v>0</v>
      </c>
      <c r="G168" s="3">
        <f>SUMIF(Query1!$B$4:$B$125,A168,Query1!$F$4:$F$125)</f>
        <v>0</v>
      </c>
      <c r="H168" s="3">
        <f>SUMIF(Query4!$B$4:$B$48,A168,Query4!$F$4:$F$48)</f>
        <v>0.32</v>
      </c>
      <c r="J168" s="2">
        <f t="shared" si="2"/>
        <v>0</v>
      </c>
      <c r="K168" s="2" t="s">
        <v>1120</v>
      </c>
      <c r="L168" s="2">
        <v>545</v>
      </c>
      <c r="M168" s="2">
        <v>1</v>
      </c>
      <c r="N168" s="2" t="s">
        <v>915</v>
      </c>
      <c r="O168" s="2">
        <v>277267.38</v>
      </c>
      <c r="P168" s="2">
        <v>0</v>
      </c>
    </row>
    <row r="169" spans="1:16" x14ac:dyDescent="0.2">
      <c r="A169" s="4">
        <v>547</v>
      </c>
      <c r="B169" s="4">
        <v>1</v>
      </c>
      <c r="C169" s="2" t="s">
        <v>168</v>
      </c>
      <c r="D169" s="184">
        <v>311109.09000000003</v>
      </c>
      <c r="E169" s="185">
        <v>0</v>
      </c>
      <c r="G169" s="3">
        <f>SUMIF(Query1!$B$4:$B$125,A169,Query1!$F$4:$F$125)</f>
        <v>0</v>
      </c>
      <c r="H169" s="3">
        <f>SUMIF(Query4!$B$4:$B$48,A169,Query4!$F$4:$F$48)</f>
        <v>0</v>
      </c>
      <c r="J169" s="2">
        <f t="shared" si="2"/>
        <v>0</v>
      </c>
      <c r="K169" s="2" t="s">
        <v>1120</v>
      </c>
      <c r="L169" s="2">
        <v>547</v>
      </c>
      <c r="M169" s="2">
        <v>1</v>
      </c>
      <c r="N169" s="2" t="s">
        <v>916</v>
      </c>
      <c r="O169" s="2">
        <v>311109.09000000003</v>
      </c>
      <c r="P169" s="2">
        <v>0</v>
      </c>
    </row>
    <row r="170" spans="1:16" x14ac:dyDescent="0.2">
      <c r="A170" s="4">
        <v>548</v>
      </c>
      <c r="B170" s="4">
        <v>1</v>
      </c>
      <c r="C170" s="2" t="s">
        <v>169</v>
      </c>
      <c r="D170" s="184">
        <v>628993.11</v>
      </c>
      <c r="E170" s="185">
        <v>0</v>
      </c>
      <c r="G170" s="3">
        <f>SUMIF(Query1!$B$4:$B$125,A170,Query1!$F$4:$F$125)</f>
        <v>-0.28000000000000003</v>
      </c>
      <c r="H170" s="3">
        <f>SUMIF(Query4!$B$4:$B$48,A170,Query4!$F$4:$F$48)</f>
        <v>-0.45</v>
      </c>
      <c r="J170" s="2">
        <f t="shared" si="2"/>
        <v>0</v>
      </c>
      <c r="K170" s="2" t="s">
        <v>1120</v>
      </c>
      <c r="L170" s="2">
        <v>548</v>
      </c>
      <c r="M170" s="2">
        <v>1</v>
      </c>
      <c r="N170" s="2" t="s">
        <v>917</v>
      </c>
      <c r="O170" s="2">
        <v>628993.11</v>
      </c>
      <c r="P170" s="2">
        <v>0</v>
      </c>
    </row>
    <row r="171" spans="1:16" x14ac:dyDescent="0.2">
      <c r="A171" s="4">
        <v>549</v>
      </c>
      <c r="B171" s="4">
        <v>1</v>
      </c>
      <c r="C171" s="2" t="s">
        <v>1187</v>
      </c>
      <c r="D171" s="184">
        <v>724017.33</v>
      </c>
      <c r="E171" s="185">
        <v>0</v>
      </c>
      <c r="G171" s="3">
        <f>SUMIF(Query1!$B$4:$B$125,A171,Query1!$F$4:$F$125)</f>
        <v>-78866.960000000006</v>
      </c>
      <c r="H171" s="3">
        <f>SUMIF(Query4!$B$4:$B$48,A171,Query4!$F$4:$F$48)</f>
        <v>0</v>
      </c>
      <c r="J171" s="2">
        <f t="shared" si="2"/>
        <v>0</v>
      </c>
      <c r="K171" s="2" t="s">
        <v>1120</v>
      </c>
      <c r="L171" s="2">
        <v>549</v>
      </c>
      <c r="M171" s="2">
        <v>1</v>
      </c>
      <c r="N171" s="2" t="s">
        <v>918</v>
      </c>
      <c r="O171" s="2">
        <v>724017.33</v>
      </c>
      <c r="P171" s="2">
        <v>0</v>
      </c>
    </row>
    <row r="172" spans="1:16" x14ac:dyDescent="0.2">
      <c r="A172" s="4">
        <v>550</v>
      </c>
      <c r="B172" s="4">
        <v>1</v>
      </c>
      <c r="C172" s="2" t="s">
        <v>171</v>
      </c>
      <c r="D172" s="184">
        <v>73873.62</v>
      </c>
      <c r="E172" s="185">
        <v>0</v>
      </c>
      <c r="G172" s="3">
        <f>SUMIF(Query1!$B$4:$B$125,A172,Query1!$F$4:$F$125)</f>
        <v>-11637.03</v>
      </c>
      <c r="H172" s="3">
        <f>SUMIF(Query4!$B$4:$B$48,A172,Query4!$F$4:$F$48)</f>
        <v>0</v>
      </c>
      <c r="J172" s="2">
        <f t="shared" si="2"/>
        <v>0</v>
      </c>
      <c r="K172" s="2" t="s">
        <v>1120</v>
      </c>
      <c r="L172" s="2">
        <v>550</v>
      </c>
      <c r="M172" s="2">
        <v>1</v>
      </c>
      <c r="N172" s="2" t="s">
        <v>919</v>
      </c>
      <c r="O172" s="2">
        <v>73873.62</v>
      </c>
      <c r="P172" s="2">
        <v>0</v>
      </c>
    </row>
    <row r="173" spans="1:16" x14ac:dyDescent="0.2">
      <c r="A173" s="4">
        <v>553</v>
      </c>
      <c r="B173" s="4">
        <v>1</v>
      </c>
      <c r="C173" s="2" t="s">
        <v>172</v>
      </c>
      <c r="D173" s="184">
        <v>129327.76</v>
      </c>
      <c r="E173" s="185">
        <v>0</v>
      </c>
      <c r="G173" s="3">
        <f>SUMIF(Query1!$B$4:$B$125,A173,Query1!$F$4:$F$125)</f>
        <v>-13469.82</v>
      </c>
      <c r="H173" s="3">
        <f>SUMIF(Query4!$B$4:$B$48,A173,Query4!$F$4:$F$48)</f>
        <v>0</v>
      </c>
      <c r="J173" s="2">
        <f t="shared" si="2"/>
        <v>0</v>
      </c>
      <c r="K173" s="2" t="s">
        <v>1120</v>
      </c>
      <c r="L173" s="2">
        <v>553</v>
      </c>
      <c r="M173" s="2">
        <v>1</v>
      </c>
      <c r="N173" s="2" t="s">
        <v>920</v>
      </c>
      <c r="O173" s="2">
        <v>129327.76</v>
      </c>
      <c r="P173" s="2">
        <v>0</v>
      </c>
    </row>
    <row r="174" spans="1:16" x14ac:dyDescent="0.2">
      <c r="A174" s="4">
        <v>561</v>
      </c>
      <c r="B174" s="4">
        <v>1</v>
      </c>
      <c r="C174" s="2" t="s">
        <v>173</v>
      </c>
      <c r="D174" s="184">
        <v>83142.95</v>
      </c>
      <c r="E174" s="185">
        <v>0</v>
      </c>
      <c r="G174" s="3">
        <f>SUMIF(Query1!$B$4:$B$125,A174,Query1!$F$4:$F$125)</f>
        <v>-7308.49</v>
      </c>
      <c r="H174" s="3">
        <f>SUMIF(Query4!$B$4:$B$48,A174,Query4!$F$4:$F$48)</f>
        <v>-1593.24</v>
      </c>
      <c r="J174" s="2">
        <f t="shared" si="2"/>
        <v>0</v>
      </c>
      <c r="K174" s="2" t="s">
        <v>1120</v>
      </c>
      <c r="L174" s="2">
        <v>561</v>
      </c>
      <c r="M174" s="2">
        <v>1</v>
      </c>
      <c r="N174" s="2" t="s">
        <v>921</v>
      </c>
      <c r="O174" s="2">
        <v>83142.95</v>
      </c>
      <c r="P174" s="2">
        <v>0</v>
      </c>
    </row>
    <row r="175" spans="1:16" x14ac:dyDescent="0.2">
      <c r="A175" s="4">
        <v>564</v>
      </c>
      <c r="B175" s="4">
        <v>1</v>
      </c>
      <c r="C175" s="2" t="s">
        <v>1188</v>
      </c>
      <c r="D175" s="184">
        <v>965751.41</v>
      </c>
      <c r="E175" s="185">
        <v>0</v>
      </c>
      <c r="G175" s="3">
        <f>SUMIF(Query1!$B$4:$B$125,A175,Query1!$F$4:$F$125)</f>
        <v>0</v>
      </c>
      <c r="H175" s="3">
        <f>SUMIF(Query4!$B$4:$B$48,A175,Query4!$F$4:$F$48)</f>
        <v>0</v>
      </c>
      <c r="J175" s="2">
        <f t="shared" si="2"/>
        <v>0</v>
      </c>
      <c r="K175" s="2" t="s">
        <v>1120</v>
      </c>
      <c r="L175" s="2">
        <v>564</v>
      </c>
      <c r="M175" s="2">
        <v>1</v>
      </c>
      <c r="N175" s="2" t="s">
        <v>922</v>
      </c>
      <c r="O175" s="2">
        <v>965751.41</v>
      </c>
      <c r="P175" s="2">
        <v>0</v>
      </c>
    </row>
    <row r="176" spans="1:16" x14ac:dyDescent="0.2">
      <c r="A176" s="4">
        <v>577</v>
      </c>
      <c r="B176" s="4">
        <v>1</v>
      </c>
      <c r="C176" s="2" t="s">
        <v>175</v>
      </c>
      <c r="D176" s="184">
        <v>153966.17000000001</v>
      </c>
      <c r="E176" s="185">
        <v>0</v>
      </c>
      <c r="G176" s="3">
        <f>SUMIF(Query1!$B$4:$B$125,A176,Query1!$F$4:$F$125)</f>
        <v>0</v>
      </c>
      <c r="H176" s="3">
        <f>SUMIF(Query4!$B$4:$B$48,A176,Query4!$F$4:$F$48)</f>
        <v>0</v>
      </c>
      <c r="J176" s="2">
        <f t="shared" si="2"/>
        <v>0</v>
      </c>
      <c r="K176" s="2" t="s">
        <v>1120</v>
      </c>
      <c r="L176" s="2">
        <v>577</v>
      </c>
      <c r="M176" s="2">
        <v>1</v>
      </c>
      <c r="N176" s="2" t="s">
        <v>923</v>
      </c>
      <c r="O176" s="2">
        <v>153966.17000000001</v>
      </c>
      <c r="P176" s="2">
        <v>0</v>
      </c>
    </row>
    <row r="177" spans="1:16" x14ac:dyDescent="0.2">
      <c r="A177" s="4">
        <v>578</v>
      </c>
      <c r="B177" s="4">
        <v>1</v>
      </c>
      <c r="C177" s="2" t="s">
        <v>176</v>
      </c>
      <c r="D177" s="184">
        <v>820719</v>
      </c>
      <c r="E177" s="185">
        <v>0</v>
      </c>
      <c r="G177" s="3">
        <f>SUMIF(Query1!$B$4:$B$125,A177,Query1!$F$4:$F$125)</f>
        <v>0</v>
      </c>
      <c r="H177" s="3">
        <f>SUMIF(Query4!$B$4:$B$48,A177,Query4!$F$4:$F$48)</f>
        <v>0</v>
      </c>
      <c r="J177" s="2">
        <f t="shared" si="2"/>
        <v>0</v>
      </c>
      <c r="K177" s="2" t="s">
        <v>1120</v>
      </c>
      <c r="L177" s="2">
        <v>578</v>
      </c>
      <c r="M177" s="2">
        <v>1</v>
      </c>
      <c r="N177" s="2" t="s">
        <v>924</v>
      </c>
      <c r="O177" s="2">
        <v>820719</v>
      </c>
      <c r="P177" s="2">
        <v>0</v>
      </c>
    </row>
    <row r="178" spans="1:16" x14ac:dyDescent="0.2">
      <c r="A178" s="4">
        <v>581</v>
      </c>
      <c r="B178" s="4">
        <v>1</v>
      </c>
      <c r="C178" s="2" t="s">
        <v>177</v>
      </c>
      <c r="D178" s="184">
        <v>172830.1</v>
      </c>
      <c r="E178" s="185">
        <v>0</v>
      </c>
      <c r="G178" s="3">
        <f>SUMIF(Query1!$B$4:$B$125,A178,Query1!$F$4:$F$125)</f>
        <v>0</v>
      </c>
      <c r="H178" s="3">
        <f>SUMIF(Query4!$B$4:$B$48,A178,Query4!$F$4:$F$48)</f>
        <v>-181.7</v>
      </c>
      <c r="J178" s="2">
        <f t="shared" si="2"/>
        <v>0</v>
      </c>
      <c r="K178" s="2" t="s">
        <v>1120</v>
      </c>
      <c r="L178" s="2">
        <v>581</v>
      </c>
      <c r="M178" s="2">
        <v>1</v>
      </c>
      <c r="N178" s="2" t="s">
        <v>925</v>
      </c>
      <c r="O178" s="2">
        <v>172830.1</v>
      </c>
      <c r="P178" s="2">
        <v>0</v>
      </c>
    </row>
    <row r="179" spans="1:16" x14ac:dyDescent="0.2">
      <c r="A179" s="4">
        <v>592</v>
      </c>
      <c r="B179" s="4">
        <v>1</v>
      </c>
      <c r="C179" s="2" t="s">
        <v>1189</v>
      </c>
      <c r="D179" s="184">
        <v>69881.179999999993</v>
      </c>
      <c r="E179" s="185">
        <v>0</v>
      </c>
      <c r="G179" s="3">
        <f>SUMIF(Query1!$B$4:$B$125,A179,Query1!$F$4:$F$125)</f>
        <v>0</v>
      </c>
      <c r="H179" s="3">
        <f>SUMIF(Query4!$B$4:$B$48,A179,Query4!$F$4:$F$48)</f>
        <v>0</v>
      </c>
      <c r="J179" s="2">
        <f t="shared" si="2"/>
        <v>0</v>
      </c>
      <c r="K179" s="2" t="s">
        <v>1120</v>
      </c>
      <c r="L179" s="2">
        <v>592</v>
      </c>
      <c r="M179" s="2">
        <v>1</v>
      </c>
      <c r="N179" s="2" t="s">
        <v>926</v>
      </c>
      <c r="O179" s="2">
        <v>69881.179999999993</v>
      </c>
      <c r="P179" s="2">
        <v>0</v>
      </c>
    </row>
    <row r="180" spans="1:16" x14ac:dyDescent="0.2">
      <c r="A180" s="4">
        <v>593</v>
      </c>
      <c r="B180" s="4">
        <v>1</v>
      </c>
      <c r="C180" s="2" t="s">
        <v>179</v>
      </c>
      <c r="D180" s="184">
        <v>1097756.72</v>
      </c>
      <c r="E180" s="185">
        <v>0</v>
      </c>
      <c r="G180" s="3">
        <f>SUMIF(Query1!$B$4:$B$125,A180,Query1!$F$4:$F$125)</f>
        <v>0</v>
      </c>
      <c r="H180" s="3">
        <f>SUMIF(Query4!$B$4:$B$48,A180,Query4!$F$4:$F$48)</f>
        <v>0</v>
      </c>
      <c r="J180" s="2">
        <f t="shared" si="2"/>
        <v>0</v>
      </c>
      <c r="K180" s="2" t="s">
        <v>1120</v>
      </c>
      <c r="L180" s="2">
        <v>593</v>
      </c>
      <c r="M180" s="2">
        <v>1</v>
      </c>
      <c r="N180" s="2" t="s">
        <v>927</v>
      </c>
      <c r="O180" s="2">
        <v>1097756.72</v>
      </c>
      <c r="P180" s="2">
        <v>0</v>
      </c>
    </row>
    <row r="181" spans="1:16" x14ac:dyDescent="0.2">
      <c r="A181" s="4">
        <v>595</v>
      </c>
      <c r="B181" s="4">
        <v>1</v>
      </c>
      <c r="C181" s="2" t="s">
        <v>180</v>
      </c>
      <c r="D181" s="184">
        <v>660409.64</v>
      </c>
      <c r="E181" s="185">
        <v>0</v>
      </c>
      <c r="G181" s="3">
        <f>SUMIF(Query1!$B$4:$B$125,A181,Query1!$F$4:$F$125)</f>
        <v>0</v>
      </c>
      <c r="H181" s="3">
        <f>SUMIF(Query4!$B$4:$B$48,A181,Query4!$F$4:$F$48)</f>
        <v>0</v>
      </c>
      <c r="J181" s="2">
        <f t="shared" si="2"/>
        <v>0</v>
      </c>
      <c r="K181" s="2" t="s">
        <v>1120</v>
      </c>
      <c r="L181" s="2">
        <v>595</v>
      </c>
      <c r="M181" s="2">
        <v>1</v>
      </c>
      <c r="N181" s="2" t="s">
        <v>928</v>
      </c>
      <c r="O181" s="2">
        <v>660409.64</v>
      </c>
      <c r="P181" s="2">
        <v>0</v>
      </c>
    </row>
    <row r="182" spans="1:16" x14ac:dyDescent="0.2">
      <c r="A182" s="4">
        <v>599</v>
      </c>
      <c r="B182" s="4">
        <v>1</v>
      </c>
      <c r="C182" s="2" t="s">
        <v>181</v>
      </c>
      <c r="D182" s="184">
        <v>301808.43</v>
      </c>
      <c r="E182" s="185">
        <v>0</v>
      </c>
      <c r="G182" s="3">
        <f>SUMIF(Query1!$B$4:$B$125,A182,Query1!$F$4:$F$125)</f>
        <v>0</v>
      </c>
      <c r="H182" s="3">
        <f>SUMIF(Query4!$B$4:$B$48,A182,Query4!$F$4:$F$48)</f>
        <v>0</v>
      </c>
      <c r="J182" s="2">
        <f t="shared" si="2"/>
        <v>0</v>
      </c>
      <c r="K182" s="2" t="s">
        <v>1120</v>
      </c>
      <c r="L182" s="2">
        <v>599</v>
      </c>
      <c r="M182" s="2">
        <v>1</v>
      </c>
      <c r="N182" s="2" t="s">
        <v>929</v>
      </c>
      <c r="O182" s="2">
        <v>301808.43</v>
      </c>
      <c r="P182" s="2">
        <v>0</v>
      </c>
    </row>
    <row r="183" spans="1:16" x14ac:dyDescent="0.2">
      <c r="A183" s="4">
        <v>600</v>
      </c>
      <c r="B183" s="4">
        <v>1</v>
      </c>
      <c r="C183" s="2" t="s">
        <v>182</v>
      </c>
      <c r="D183" s="184">
        <v>57056.83</v>
      </c>
      <c r="E183" s="185">
        <v>0</v>
      </c>
      <c r="G183" s="3">
        <f>SUMIF(Query1!$B$4:$B$125,A183,Query1!$F$4:$F$125)</f>
        <v>-59813.03</v>
      </c>
      <c r="H183" s="3">
        <f>SUMIF(Query4!$B$4:$B$48,A183,Query4!$F$4:$F$48)</f>
        <v>0</v>
      </c>
      <c r="J183" s="2">
        <f t="shared" si="2"/>
        <v>0</v>
      </c>
      <c r="K183" s="2" t="s">
        <v>1120</v>
      </c>
      <c r="L183" s="2">
        <v>600</v>
      </c>
      <c r="M183" s="2">
        <v>1</v>
      </c>
      <c r="N183" s="2" t="s">
        <v>930</v>
      </c>
      <c r="O183" s="2">
        <v>57056.83</v>
      </c>
      <c r="P183" s="2">
        <v>0</v>
      </c>
    </row>
    <row r="184" spans="1:16" x14ac:dyDescent="0.2">
      <c r="A184" s="4">
        <v>601</v>
      </c>
      <c r="B184" s="4">
        <v>1</v>
      </c>
      <c r="C184" s="2" t="s">
        <v>183</v>
      </c>
      <c r="D184" s="184">
        <v>238493.11</v>
      </c>
      <c r="E184" s="185">
        <v>0</v>
      </c>
      <c r="G184" s="3">
        <f>SUMIF(Query1!$B$4:$B$125,A184,Query1!$F$4:$F$125)</f>
        <v>0</v>
      </c>
      <c r="H184" s="3">
        <f>SUMIF(Query4!$B$4:$B$48,A184,Query4!$F$4:$F$48)</f>
        <v>-2629.33</v>
      </c>
      <c r="J184" s="2">
        <f t="shared" si="2"/>
        <v>0</v>
      </c>
      <c r="K184" s="2" t="s">
        <v>1120</v>
      </c>
      <c r="L184" s="2">
        <v>601</v>
      </c>
      <c r="M184" s="2">
        <v>1</v>
      </c>
      <c r="N184" s="2" t="s">
        <v>931</v>
      </c>
      <c r="O184" s="2">
        <v>238493.11</v>
      </c>
      <c r="P184" s="2">
        <v>0</v>
      </c>
    </row>
    <row r="185" spans="1:16" x14ac:dyDescent="0.2">
      <c r="A185" s="4">
        <v>621</v>
      </c>
      <c r="B185" s="4">
        <v>1</v>
      </c>
      <c r="C185" s="2" t="s">
        <v>185</v>
      </c>
      <c r="D185" s="184">
        <v>10918543.529999999</v>
      </c>
      <c r="E185" s="185">
        <v>0</v>
      </c>
      <c r="G185" s="3">
        <f>SUMIF(Query1!$B$4:$B$125,A185,Query1!$F$4:$F$125)</f>
        <v>0</v>
      </c>
      <c r="H185" s="3">
        <f>SUMIF(Query4!$B$4:$B$48,A185,Query4!$F$4:$F$48)</f>
        <v>0</v>
      </c>
      <c r="J185" s="2">
        <f t="shared" si="2"/>
        <v>0</v>
      </c>
      <c r="K185" s="2" t="s">
        <v>1120</v>
      </c>
      <c r="L185" s="2">
        <v>621</v>
      </c>
      <c r="M185" s="2">
        <v>1</v>
      </c>
      <c r="N185" s="2" t="s">
        <v>932</v>
      </c>
      <c r="O185" s="2">
        <v>10918543.529999999</v>
      </c>
      <c r="P185" s="2">
        <v>0</v>
      </c>
    </row>
    <row r="186" spans="1:16" x14ac:dyDescent="0.2">
      <c r="A186" s="4">
        <v>622</v>
      </c>
      <c r="B186" s="4">
        <v>1</v>
      </c>
      <c r="C186" s="2" t="s">
        <v>1190</v>
      </c>
      <c r="D186" s="184">
        <v>7219910.7800000003</v>
      </c>
      <c r="E186" s="185">
        <v>0</v>
      </c>
      <c r="G186" s="3">
        <f>SUMIF(Query1!$B$4:$B$125,A186,Query1!$F$4:$F$125)</f>
        <v>0</v>
      </c>
      <c r="H186" s="3">
        <f>SUMIF(Query4!$B$4:$B$48,A186,Query4!$F$4:$F$48)</f>
        <v>0</v>
      </c>
      <c r="J186" s="2">
        <f t="shared" si="2"/>
        <v>0</v>
      </c>
      <c r="K186" s="2" t="s">
        <v>1120</v>
      </c>
      <c r="L186" s="2">
        <v>622</v>
      </c>
      <c r="M186" s="2">
        <v>1</v>
      </c>
      <c r="N186" s="2" t="s">
        <v>1230</v>
      </c>
      <c r="O186" s="2">
        <v>7219910.7800000003</v>
      </c>
      <c r="P186" s="2">
        <v>0</v>
      </c>
    </row>
    <row r="187" spans="1:16" x14ac:dyDescent="0.2">
      <c r="A187" s="4">
        <v>623</v>
      </c>
      <c r="B187" s="4">
        <v>1</v>
      </c>
      <c r="C187" s="2" t="s">
        <v>187</v>
      </c>
      <c r="D187" s="184">
        <v>5717222.1799999997</v>
      </c>
      <c r="E187" s="185">
        <v>0</v>
      </c>
      <c r="G187" s="3">
        <f>SUMIF(Query1!$B$4:$B$125,A187,Query1!$F$4:$F$125)</f>
        <v>0</v>
      </c>
      <c r="H187" s="3">
        <f>SUMIF(Query4!$B$4:$B$48,A187,Query4!$F$4:$F$48)</f>
        <v>0</v>
      </c>
      <c r="J187" s="2">
        <f t="shared" si="2"/>
        <v>0</v>
      </c>
      <c r="K187" s="2" t="s">
        <v>1120</v>
      </c>
      <c r="L187" s="2">
        <v>623</v>
      </c>
      <c r="M187" s="2">
        <v>1</v>
      </c>
      <c r="N187" s="2" t="s">
        <v>934</v>
      </c>
      <c r="O187" s="2">
        <v>5717222.1799999997</v>
      </c>
      <c r="P187" s="2">
        <v>0</v>
      </c>
    </row>
    <row r="188" spans="1:16" x14ac:dyDescent="0.2">
      <c r="A188" s="4">
        <v>624</v>
      </c>
      <c r="B188" s="4">
        <v>1</v>
      </c>
      <c r="C188" s="2" t="s">
        <v>188</v>
      </c>
      <c r="D188" s="184">
        <v>9576752.8900000006</v>
      </c>
      <c r="E188" s="185">
        <v>0</v>
      </c>
      <c r="G188" s="3">
        <f>SUMIF(Query1!$B$4:$B$125,A188,Query1!$F$4:$F$125)</f>
        <v>0</v>
      </c>
      <c r="H188" s="3">
        <f>SUMIF(Query4!$B$4:$B$48,A188,Query4!$F$4:$F$48)</f>
        <v>0</v>
      </c>
      <c r="J188" s="2">
        <f t="shared" si="2"/>
        <v>0</v>
      </c>
      <c r="K188" s="2" t="s">
        <v>1120</v>
      </c>
      <c r="L188" s="2">
        <v>624</v>
      </c>
      <c r="M188" s="2">
        <v>1</v>
      </c>
      <c r="N188" s="2" t="s">
        <v>935</v>
      </c>
      <c r="O188" s="2">
        <v>9576752.8900000006</v>
      </c>
      <c r="P188" s="2">
        <v>0</v>
      </c>
    </row>
    <row r="189" spans="1:16" x14ac:dyDescent="0.2">
      <c r="A189" s="4">
        <v>625</v>
      </c>
      <c r="B189" s="4">
        <v>1</v>
      </c>
      <c r="C189" s="2" t="s">
        <v>189</v>
      </c>
      <c r="D189" s="184">
        <v>31533695.289999999</v>
      </c>
      <c r="E189" s="185">
        <v>0</v>
      </c>
      <c r="G189" s="3">
        <f>SUMIF(Query1!$B$4:$B$125,A189,Query1!$F$4:$F$125)</f>
        <v>0</v>
      </c>
      <c r="H189" s="3">
        <f>SUMIF(Query4!$B$4:$B$48,A189,Query4!$F$4:$F$48)</f>
        <v>0</v>
      </c>
      <c r="J189" s="2">
        <f t="shared" si="2"/>
        <v>0</v>
      </c>
      <c r="K189" s="2" t="s">
        <v>1120</v>
      </c>
      <c r="L189" s="2">
        <v>625</v>
      </c>
      <c r="M189" s="2">
        <v>1</v>
      </c>
      <c r="N189" s="2" t="s">
        <v>936</v>
      </c>
      <c r="O189" s="2">
        <v>31533695.289999999</v>
      </c>
      <c r="P189" s="2">
        <v>0</v>
      </c>
    </row>
    <row r="190" spans="1:16" x14ac:dyDescent="0.2">
      <c r="A190" s="4">
        <v>630</v>
      </c>
      <c r="B190" s="4">
        <v>1</v>
      </c>
      <c r="C190" s="2" t="s">
        <v>192</v>
      </c>
      <c r="D190" s="184">
        <v>201393.3</v>
      </c>
      <c r="E190" s="185">
        <v>0</v>
      </c>
      <c r="G190" s="3">
        <f>SUMIF(Query1!$B$4:$B$125,A190,Query1!$F$4:$F$125)</f>
        <v>0</v>
      </c>
      <c r="H190" s="3">
        <f>SUMIF(Query4!$B$4:$B$48,A190,Query4!$F$4:$F$48)</f>
        <v>-280</v>
      </c>
      <c r="J190" s="2">
        <f t="shared" si="2"/>
        <v>0</v>
      </c>
      <c r="K190" s="2" t="s">
        <v>1120</v>
      </c>
      <c r="L190" s="2">
        <v>630</v>
      </c>
      <c r="M190" s="2">
        <v>1</v>
      </c>
      <c r="N190" s="2" t="s">
        <v>937</v>
      </c>
      <c r="O190" s="2">
        <v>201393.3</v>
      </c>
      <c r="P190" s="2">
        <v>0</v>
      </c>
    </row>
    <row r="191" spans="1:16" x14ac:dyDescent="0.2">
      <c r="A191" s="4">
        <v>635</v>
      </c>
      <c r="B191" s="4">
        <v>1</v>
      </c>
      <c r="C191" s="2" t="s">
        <v>193</v>
      </c>
      <c r="D191" s="184">
        <v>68069.37</v>
      </c>
      <c r="E191" s="185">
        <v>0</v>
      </c>
      <c r="G191" s="3">
        <f>SUMIF(Query1!$B$4:$B$125,A191,Query1!$F$4:$F$125)</f>
        <v>0</v>
      </c>
      <c r="H191" s="3">
        <f>SUMIF(Query4!$B$4:$B$48,A191,Query4!$F$4:$F$48)</f>
        <v>0</v>
      </c>
      <c r="J191" s="2">
        <f t="shared" si="2"/>
        <v>0</v>
      </c>
      <c r="K191" s="2" t="s">
        <v>1120</v>
      </c>
      <c r="L191" s="2">
        <v>635</v>
      </c>
      <c r="M191" s="2">
        <v>1</v>
      </c>
      <c r="N191" s="2" t="s">
        <v>938</v>
      </c>
      <c r="O191" s="2">
        <v>68069.37</v>
      </c>
      <c r="P191" s="2">
        <v>0</v>
      </c>
    </row>
    <row r="192" spans="1:16" x14ac:dyDescent="0.2">
      <c r="A192" s="4">
        <v>640</v>
      </c>
      <c r="B192" s="4">
        <v>1</v>
      </c>
      <c r="C192" s="2" t="s">
        <v>194</v>
      </c>
      <c r="D192" s="184">
        <v>210135.85</v>
      </c>
      <c r="E192" s="185">
        <v>0</v>
      </c>
      <c r="G192" s="3">
        <f>SUMIF(Query1!$B$4:$B$125,A192,Query1!$F$4:$F$125)</f>
        <v>0</v>
      </c>
      <c r="H192" s="3">
        <f>SUMIF(Query4!$B$4:$B$48,A192,Query4!$F$4:$F$48)</f>
        <v>0</v>
      </c>
      <c r="J192" s="2">
        <f t="shared" si="2"/>
        <v>0</v>
      </c>
      <c r="K192" s="2" t="s">
        <v>1120</v>
      </c>
      <c r="L192" s="2">
        <v>640</v>
      </c>
      <c r="M192" s="2">
        <v>1</v>
      </c>
      <c r="N192" s="2" t="s">
        <v>939</v>
      </c>
      <c r="O192" s="2">
        <v>210135.85</v>
      </c>
      <c r="P192" s="2">
        <v>0</v>
      </c>
    </row>
    <row r="193" spans="1:16" x14ac:dyDescent="0.2">
      <c r="A193" s="4">
        <v>656</v>
      </c>
      <c r="B193" s="4">
        <v>1</v>
      </c>
      <c r="C193" s="2" t="s">
        <v>195</v>
      </c>
      <c r="D193" s="184">
        <v>1487029.5</v>
      </c>
      <c r="E193" s="185">
        <v>0</v>
      </c>
      <c r="G193" s="3">
        <f>SUMIF(Query1!$B$4:$B$125,A193,Query1!$F$4:$F$125)</f>
        <v>0</v>
      </c>
      <c r="H193" s="3">
        <f>SUMIF(Query4!$B$4:$B$48,A193,Query4!$F$4:$F$48)</f>
        <v>0</v>
      </c>
      <c r="J193" s="2">
        <f t="shared" si="2"/>
        <v>0</v>
      </c>
      <c r="K193" s="2" t="s">
        <v>1120</v>
      </c>
      <c r="L193" s="2">
        <v>656</v>
      </c>
      <c r="M193" s="2">
        <v>1</v>
      </c>
      <c r="N193" s="2" t="s">
        <v>940</v>
      </c>
      <c r="O193" s="2">
        <v>1487029.5</v>
      </c>
      <c r="P193" s="2">
        <v>0</v>
      </c>
    </row>
    <row r="194" spans="1:16" x14ac:dyDescent="0.2">
      <c r="A194" s="4">
        <v>659</v>
      </c>
      <c r="B194" s="4">
        <v>1</v>
      </c>
      <c r="C194" s="2" t="s">
        <v>196</v>
      </c>
      <c r="D194" s="184">
        <v>4315722.66</v>
      </c>
      <c r="E194" s="185">
        <v>0</v>
      </c>
      <c r="G194" s="3">
        <f>SUMIF(Query1!$B$4:$B$125,A194,Query1!$F$4:$F$125)</f>
        <v>0</v>
      </c>
      <c r="H194" s="3">
        <f>SUMIF(Query4!$B$4:$B$48,A194,Query4!$F$4:$F$48)</f>
        <v>0</v>
      </c>
      <c r="J194" s="2">
        <f t="shared" si="2"/>
        <v>0</v>
      </c>
      <c r="K194" s="2" t="s">
        <v>1120</v>
      </c>
      <c r="L194" s="2">
        <v>659</v>
      </c>
      <c r="M194" s="2">
        <v>1</v>
      </c>
      <c r="N194" s="2" t="s">
        <v>941</v>
      </c>
      <c r="O194" s="2">
        <v>4315722.66</v>
      </c>
      <c r="P194" s="2">
        <v>0</v>
      </c>
    </row>
    <row r="195" spans="1:16" x14ac:dyDescent="0.2">
      <c r="A195" s="4">
        <v>671</v>
      </c>
      <c r="B195" s="4">
        <v>1</v>
      </c>
      <c r="C195" s="2" t="s">
        <v>1191</v>
      </c>
      <c r="D195" s="184">
        <v>219196.78</v>
      </c>
      <c r="E195" s="185">
        <v>0</v>
      </c>
      <c r="G195" s="3">
        <f>SUMIF(Query1!$B$4:$B$125,A195,Query1!$F$4:$F$125)</f>
        <v>0</v>
      </c>
      <c r="H195" s="3">
        <f>SUMIF(Query4!$B$4:$B$48,A195,Query4!$F$4:$F$48)</f>
        <v>0</v>
      </c>
      <c r="J195" s="2">
        <f t="shared" si="2"/>
        <v>0</v>
      </c>
      <c r="K195" s="2" t="s">
        <v>1120</v>
      </c>
      <c r="L195" s="2">
        <v>671</v>
      </c>
      <c r="M195" s="2">
        <v>1</v>
      </c>
      <c r="N195" s="2" t="s">
        <v>942</v>
      </c>
      <c r="O195" s="2">
        <v>219196.78</v>
      </c>
      <c r="P195" s="2">
        <v>0</v>
      </c>
    </row>
    <row r="196" spans="1:16" x14ac:dyDescent="0.2">
      <c r="A196" s="4">
        <v>676</v>
      </c>
      <c r="B196" s="4">
        <v>1</v>
      </c>
      <c r="C196" s="2" t="s">
        <v>198</v>
      </c>
      <c r="D196" s="184">
        <v>67894.55</v>
      </c>
      <c r="E196" s="185">
        <v>0</v>
      </c>
      <c r="G196" s="3">
        <f>SUMIF(Query1!$B$4:$B$125,A196,Query1!$F$4:$F$125)</f>
        <v>-10078.4</v>
      </c>
      <c r="H196" s="3">
        <f>SUMIF(Query4!$B$4:$B$48,A196,Query4!$F$4:$F$48)</f>
        <v>-442.19</v>
      </c>
      <c r="J196" s="2">
        <f t="shared" si="2"/>
        <v>0</v>
      </c>
      <c r="K196" s="2" t="s">
        <v>1120</v>
      </c>
      <c r="L196" s="2">
        <v>676</v>
      </c>
      <c r="M196" s="2">
        <v>1</v>
      </c>
      <c r="N196" s="2" t="s">
        <v>943</v>
      </c>
      <c r="O196" s="2">
        <v>67894.55</v>
      </c>
      <c r="P196" s="2">
        <v>0</v>
      </c>
    </row>
    <row r="197" spans="1:16" x14ac:dyDescent="0.2">
      <c r="A197" s="4">
        <v>682</v>
      </c>
      <c r="B197" s="4">
        <v>1</v>
      </c>
      <c r="C197" s="2" t="s">
        <v>199</v>
      </c>
      <c r="D197" s="184">
        <v>397220.17</v>
      </c>
      <c r="E197" s="185">
        <v>0</v>
      </c>
      <c r="G197" s="3">
        <f>SUMIF(Query1!$B$4:$B$125,A197,Query1!$F$4:$F$125)</f>
        <v>-4112.16</v>
      </c>
      <c r="H197" s="3">
        <f>SUMIF(Query4!$B$4:$B$48,A197,Query4!$F$4:$F$48)</f>
        <v>0</v>
      </c>
      <c r="J197" s="2">
        <f t="shared" si="2"/>
        <v>0</v>
      </c>
      <c r="K197" s="2" t="s">
        <v>1120</v>
      </c>
      <c r="L197" s="2">
        <v>682</v>
      </c>
      <c r="M197" s="2">
        <v>1</v>
      </c>
      <c r="N197" s="2" t="s">
        <v>944</v>
      </c>
      <c r="O197" s="2">
        <v>397220.17</v>
      </c>
      <c r="P197" s="2">
        <v>0</v>
      </c>
    </row>
    <row r="198" spans="1:16" x14ac:dyDescent="0.2">
      <c r="A198" s="4">
        <v>690</v>
      </c>
      <c r="B198" s="4">
        <v>1</v>
      </c>
      <c r="C198" s="2" t="s">
        <v>200</v>
      </c>
      <c r="D198" s="184">
        <v>414446.32</v>
      </c>
      <c r="E198" s="185">
        <v>0</v>
      </c>
      <c r="G198" s="3">
        <f>SUMIF(Query1!$B$4:$B$125,A198,Query1!$F$4:$F$125)</f>
        <v>0</v>
      </c>
      <c r="H198" s="3">
        <f>SUMIF(Query4!$B$4:$B$48,A198,Query4!$F$4:$F$48)</f>
        <v>0</v>
      </c>
      <c r="J198" s="2">
        <f t="shared" si="2"/>
        <v>0</v>
      </c>
      <c r="K198" s="2" t="s">
        <v>1120</v>
      </c>
      <c r="L198" s="2">
        <v>690</v>
      </c>
      <c r="M198" s="2">
        <v>1</v>
      </c>
      <c r="N198" s="2" t="s">
        <v>945</v>
      </c>
      <c r="O198" s="2">
        <v>414446.32</v>
      </c>
      <c r="P198" s="2">
        <v>0</v>
      </c>
    </row>
    <row r="199" spans="1:16" x14ac:dyDescent="0.2">
      <c r="A199" s="4">
        <v>695</v>
      </c>
      <c r="B199" s="4">
        <v>1</v>
      </c>
      <c r="C199" s="2" t="s">
        <v>201</v>
      </c>
      <c r="D199" s="184">
        <v>161917.91</v>
      </c>
      <c r="E199" s="185">
        <v>0</v>
      </c>
      <c r="G199" s="3">
        <f>SUMIF(Query1!$B$4:$B$125,A199,Query1!$F$4:$F$125)</f>
        <v>-37939.57</v>
      </c>
      <c r="H199" s="3">
        <f>SUMIF(Query4!$B$4:$B$48,A199,Query4!$F$4:$F$48)</f>
        <v>0</v>
      </c>
      <c r="J199" s="2">
        <f t="shared" si="2"/>
        <v>0</v>
      </c>
      <c r="K199" s="2" t="s">
        <v>1120</v>
      </c>
      <c r="L199" s="2">
        <v>695</v>
      </c>
      <c r="M199" s="2">
        <v>1</v>
      </c>
      <c r="N199" s="2" t="s">
        <v>946</v>
      </c>
      <c r="O199" s="2">
        <v>161917.91</v>
      </c>
      <c r="P199" s="2">
        <v>0</v>
      </c>
    </row>
    <row r="200" spans="1:16" x14ac:dyDescent="0.2">
      <c r="A200" s="4">
        <v>696</v>
      </c>
      <c r="B200" s="4">
        <v>1</v>
      </c>
      <c r="C200" s="2" t="s">
        <v>202</v>
      </c>
      <c r="D200" s="184">
        <v>590658.5</v>
      </c>
      <c r="E200" s="185">
        <v>0</v>
      </c>
      <c r="G200" s="3">
        <f>SUMIF(Query1!$B$4:$B$125,A200,Query1!$F$4:$F$125)</f>
        <v>0</v>
      </c>
      <c r="H200" s="3">
        <f>SUMIF(Query4!$B$4:$B$48,A200,Query4!$F$4:$F$48)</f>
        <v>0</v>
      </c>
      <c r="J200" s="2">
        <f t="shared" si="2"/>
        <v>0</v>
      </c>
      <c r="K200" s="2" t="s">
        <v>1120</v>
      </c>
      <c r="L200" s="2">
        <v>696</v>
      </c>
      <c r="M200" s="2">
        <v>1</v>
      </c>
      <c r="N200" s="2" t="s">
        <v>947</v>
      </c>
      <c r="O200" s="2">
        <v>590658.5</v>
      </c>
      <c r="P200" s="2">
        <v>0</v>
      </c>
    </row>
    <row r="201" spans="1:16" x14ac:dyDescent="0.2">
      <c r="A201" s="4">
        <v>698</v>
      </c>
      <c r="B201" s="4">
        <v>1</v>
      </c>
      <c r="C201" s="2" t="s">
        <v>203</v>
      </c>
      <c r="D201" s="184">
        <v>139065.13</v>
      </c>
      <c r="E201" s="185">
        <v>0</v>
      </c>
      <c r="G201" s="3">
        <f>SUMIF(Query1!$B$4:$B$125,A201,Query1!$F$4:$F$125)</f>
        <v>0</v>
      </c>
      <c r="H201" s="3">
        <f>SUMIF(Query4!$B$4:$B$48,A201,Query4!$F$4:$F$48)</f>
        <v>0</v>
      </c>
      <c r="J201" s="2">
        <f t="shared" si="2"/>
        <v>0</v>
      </c>
      <c r="K201" s="2" t="s">
        <v>1120</v>
      </c>
      <c r="L201" s="2">
        <v>698</v>
      </c>
      <c r="M201" s="2">
        <v>1</v>
      </c>
      <c r="N201" s="2" t="s">
        <v>948</v>
      </c>
      <c r="O201" s="2">
        <v>139065.13</v>
      </c>
      <c r="P201" s="2">
        <v>0</v>
      </c>
    </row>
    <row r="202" spans="1:16" x14ac:dyDescent="0.2">
      <c r="A202" s="4">
        <v>700</v>
      </c>
      <c r="B202" s="4">
        <v>1</v>
      </c>
      <c r="C202" s="2" t="s">
        <v>204</v>
      </c>
      <c r="D202" s="184">
        <v>735700.9</v>
      </c>
      <c r="E202" s="185">
        <v>0</v>
      </c>
      <c r="G202" s="3">
        <f>SUMIF(Query1!$B$4:$B$125,A202,Query1!$F$4:$F$125)</f>
        <v>0</v>
      </c>
      <c r="H202" s="3">
        <f>SUMIF(Query4!$B$4:$B$48,A202,Query4!$F$4:$F$48)</f>
        <v>0</v>
      </c>
      <c r="J202" s="2">
        <f t="shared" ref="J202:J265" si="3">L202-A202</f>
        <v>0</v>
      </c>
      <c r="K202" s="2" t="s">
        <v>1120</v>
      </c>
      <c r="L202" s="2">
        <v>700</v>
      </c>
      <c r="M202" s="2">
        <v>1</v>
      </c>
      <c r="N202" s="2" t="s">
        <v>949</v>
      </c>
      <c r="O202" s="2">
        <v>735700.9</v>
      </c>
      <c r="P202" s="2">
        <v>0</v>
      </c>
    </row>
    <row r="203" spans="1:16" x14ac:dyDescent="0.2">
      <c r="A203" s="4">
        <v>701</v>
      </c>
      <c r="B203" s="4">
        <v>1</v>
      </c>
      <c r="C203" s="2" t="s">
        <v>205</v>
      </c>
      <c r="D203" s="184">
        <v>676340.27</v>
      </c>
      <c r="E203" s="185">
        <v>0</v>
      </c>
      <c r="G203" s="3">
        <f>SUMIF(Query1!$B$4:$B$125,A203,Query1!$F$4:$F$125)</f>
        <v>-247290.78</v>
      </c>
      <c r="H203" s="3">
        <f>SUMIF(Query4!$B$4:$B$48,A203,Query4!$F$4:$F$48)</f>
        <v>0</v>
      </c>
      <c r="J203" s="2">
        <f t="shared" si="3"/>
        <v>0</v>
      </c>
      <c r="K203" s="2" t="s">
        <v>1120</v>
      </c>
      <c r="L203" s="2">
        <v>701</v>
      </c>
      <c r="M203" s="2">
        <v>1</v>
      </c>
      <c r="N203" s="2" t="s">
        <v>950</v>
      </c>
      <c r="O203" s="2">
        <v>676340.27</v>
      </c>
      <c r="P203" s="2">
        <v>0</v>
      </c>
    </row>
    <row r="204" spans="1:16" x14ac:dyDescent="0.2">
      <c r="A204" s="4">
        <v>704</v>
      </c>
      <c r="B204" s="4">
        <v>1</v>
      </c>
      <c r="C204" s="2" t="s">
        <v>206</v>
      </c>
      <c r="D204" s="184">
        <v>707193.96</v>
      </c>
      <c r="E204" s="185">
        <v>0</v>
      </c>
      <c r="G204" s="3">
        <f>SUMIF(Query1!$B$4:$B$125,A204,Query1!$F$4:$F$125)</f>
        <v>-55432.08</v>
      </c>
      <c r="H204" s="3">
        <f>SUMIF(Query4!$B$4:$B$48,A204,Query4!$F$4:$F$48)</f>
        <v>0</v>
      </c>
      <c r="J204" s="2">
        <f t="shared" si="3"/>
        <v>0</v>
      </c>
      <c r="K204" s="2" t="s">
        <v>1120</v>
      </c>
      <c r="L204" s="2">
        <v>704</v>
      </c>
      <c r="M204" s="2">
        <v>1</v>
      </c>
      <c r="N204" s="2" t="s">
        <v>951</v>
      </c>
      <c r="O204" s="2">
        <v>707193.96</v>
      </c>
      <c r="P204" s="2">
        <v>0</v>
      </c>
    </row>
    <row r="205" spans="1:16" x14ac:dyDescent="0.2">
      <c r="A205" s="4">
        <v>706</v>
      </c>
      <c r="B205" s="4">
        <v>1</v>
      </c>
      <c r="C205" s="2" t="s">
        <v>207</v>
      </c>
      <c r="D205" s="184">
        <v>490896.57</v>
      </c>
      <c r="E205" s="185">
        <v>0</v>
      </c>
      <c r="G205" s="3">
        <f>SUMIF(Query1!$B$4:$B$125,A205,Query1!$F$4:$F$125)</f>
        <v>-19187.55</v>
      </c>
      <c r="H205" s="3">
        <f>SUMIF(Query4!$B$4:$B$48,A205,Query4!$F$4:$F$48)</f>
        <v>0</v>
      </c>
      <c r="J205" s="2">
        <f t="shared" si="3"/>
        <v>0</v>
      </c>
      <c r="K205" s="2" t="s">
        <v>1120</v>
      </c>
      <c r="L205" s="2">
        <v>706</v>
      </c>
      <c r="M205" s="2">
        <v>1</v>
      </c>
      <c r="N205" s="2" t="s">
        <v>952</v>
      </c>
      <c r="O205" s="2">
        <v>490896.57</v>
      </c>
      <c r="P205" s="2">
        <v>0</v>
      </c>
    </row>
    <row r="206" spans="1:16" x14ac:dyDescent="0.2">
      <c r="A206" s="4">
        <v>707</v>
      </c>
      <c r="B206" s="4">
        <v>1</v>
      </c>
      <c r="C206" s="2" t="s">
        <v>208</v>
      </c>
      <c r="D206" s="184">
        <v>14766.2</v>
      </c>
      <c r="E206" s="185">
        <v>0</v>
      </c>
      <c r="G206" s="3">
        <f>SUMIF(Query1!$B$4:$B$125,A206,Query1!$F$4:$F$125)</f>
        <v>-2871.51</v>
      </c>
      <c r="H206" s="3">
        <f>SUMIF(Query4!$B$4:$B$48,A206,Query4!$F$4:$F$48)</f>
        <v>0</v>
      </c>
      <c r="J206" s="2">
        <f t="shared" si="3"/>
        <v>0</v>
      </c>
      <c r="K206" s="2" t="s">
        <v>1120</v>
      </c>
      <c r="L206" s="2">
        <v>707</v>
      </c>
      <c r="M206" s="2">
        <v>1</v>
      </c>
      <c r="N206" s="2" t="s">
        <v>953</v>
      </c>
      <c r="O206" s="2">
        <v>14766.2</v>
      </c>
      <c r="P206" s="2">
        <v>0</v>
      </c>
    </row>
    <row r="207" spans="1:16" x14ac:dyDescent="0.2">
      <c r="A207" s="4">
        <v>709</v>
      </c>
      <c r="B207" s="4">
        <v>1</v>
      </c>
      <c r="C207" s="2" t="s">
        <v>209</v>
      </c>
      <c r="D207" s="184">
        <v>4683101.34</v>
      </c>
      <c r="E207" s="185">
        <v>0</v>
      </c>
      <c r="G207" s="3">
        <f>SUMIF(Query1!$B$4:$B$125,A207,Query1!$F$4:$F$125)</f>
        <v>-667678.53</v>
      </c>
      <c r="H207" s="3">
        <f>SUMIF(Query4!$B$4:$B$48,A207,Query4!$F$4:$F$48)</f>
        <v>-9218.23</v>
      </c>
      <c r="J207" s="2">
        <f t="shared" si="3"/>
        <v>0</v>
      </c>
      <c r="K207" s="2" t="s">
        <v>1120</v>
      </c>
      <c r="L207" s="2">
        <v>709</v>
      </c>
      <c r="M207" s="2">
        <v>1</v>
      </c>
      <c r="N207" s="2" t="s">
        <v>954</v>
      </c>
      <c r="O207" s="2">
        <v>4683101.34</v>
      </c>
      <c r="P207" s="2">
        <v>0</v>
      </c>
    </row>
    <row r="208" spans="1:16" x14ac:dyDescent="0.2">
      <c r="A208" s="4">
        <v>712</v>
      </c>
      <c r="B208" s="4">
        <v>1</v>
      </c>
      <c r="C208" s="2" t="s">
        <v>1192</v>
      </c>
      <c r="D208" s="184">
        <v>119425.97</v>
      </c>
      <c r="E208" s="185">
        <v>0</v>
      </c>
      <c r="G208" s="3">
        <f>SUMIF(Query1!$B$4:$B$125,A208,Query1!$F$4:$F$125)</f>
        <v>-21959.46</v>
      </c>
      <c r="H208" s="3">
        <f>SUMIF(Query4!$B$4:$B$48,A208,Query4!$F$4:$F$48)</f>
        <v>0</v>
      </c>
      <c r="J208" s="2">
        <f t="shared" si="3"/>
        <v>0</v>
      </c>
      <c r="K208" s="2" t="s">
        <v>1120</v>
      </c>
      <c r="L208" s="2">
        <v>712</v>
      </c>
      <c r="M208" s="2">
        <v>1</v>
      </c>
      <c r="N208" s="2" t="s">
        <v>955</v>
      </c>
      <c r="O208" s="2">
        <v>119425.97</v>
      </c>
      <c r="P208" s="2">
        <v>0</v>
      </c>
    </row>
    <row r="209" spans="1:16" x14ac:dyDescent="0.2">
      <c r="A209" s="4">
        <v>716</v>
      </c>
      <c r="B209" s="4">
        <v>1</v>
      </c>
      <c r="C209" s="2" t="s">
        <v>211</v>
      </c>
      <c r="D209" s="184">
        <v>554366.86</v>
      </c>
      <c r="E209" s="185">
        <v>0</v>
      </c>
      <c r="G209" s="3">
        <f>SUMIF(Query1!$B$4:$B$125,A209,Query1!$F$4:$F$125)</f>
        <v>0</v>
      </c>
      <c r="H209" s="3">
        <f>SUMIF(Query4!$B$4:$B$48,A209,Query4!$F$4:$F$48)</f>
        <v>0</v>
      </c>
      <c r="J209" s="2">
        <f t="shared" si="3"/>
        <v>0</v>
      </c>
      <c r="K209" s="2" t="s">
        <v>1120</v>
      </c>
      <c r="L209" s="2">
        <v>716</v>
      </c>
      <c r="M209" s="2">
        <v>1</v>
      </c>
      <c r="N209" s="2" t="s">
        <v>956</v>
      </c>
      <c r="O209" s="2">
        <v>554366.86</v>
      </c>
      <c r="P209" s="2">
        <v>0</v>
      </c>
    </row>
    <row r="210" spans="1:16" x14ac:dyDescent="0.2">
      <c r="A210" s="4">
        <v>717</v>
      </c>
      <c r="B210" s="4">
        <v>1</v>
      </c>
      <c r="C210" s="2" t="s">
        <v>212</v>
      </c>
      <c r="D210" s="184">
        <v>869636.78</v>
      </c>
      <c r="E210" s="185">
        <v>0</v>
      </c>
      <c r="G210" s="3">
        <f>SUMIF(Query1!$B$4:$B$125,A210,Query1!$F$4:$F$125)</f>
        <v>0</v>
      </c>
      <c r="H210" s="3">
        <f>SUMIF(Query4!$B$4:$B$48,A210,Query4!$F$4:$F$48)</f>
        <v>0</v>
      </c>
      <c r="J210" s="2">
        <f t="shared" si="3"/>
        <v>0</v>
      </c>
      <c r="K210" s="2" t="s">
        <v>1120</v>
      </c>
      <c r="L210" s="2">
        <v>717</v>
      </c>
      <c r="M210" s="2">
        <v>1</v>
      </c>
      <c r="N210" s="2" t="s">
        <v>957</v>
      </c>
      <c r="O210" s="2">
        <v>869636.78</v>
      </c>
      <c r="P210" s="2">
        <v>0</v>
      </c>
    </row>
    <row r="211" spans="1:16" x14ac:dyDescent="0.2">
      <c r="A211" s="4">
        <v>719</v>
      </c>
      <c r="B211" s="4">
        <v>1</v>
      </c>
      <c r="C211" s="2" t="s">
        <v>1193</v>
      </c>
      <c r="D211" s="184">
        <v>5275715.8</v>
      </c>
      <c r="E211" s="185">
        <v>0</v>
      </c>
      <c r="G211" s="3">
        <f>SUMIF(Query1!$B$4:$B$125,A211,Query1!$F$4:$F$125)</f>
        <v>0</v>
      </c>
      <c r="H211" s="3">
        <f>SUMIF(Query4!$B$4:$B$48,A211,Query4!$F$4:$F$48)</f>
        <v>0</v>
      </c>
      <c r="J211" s="2">
        <f t="shared" si="3"/>
        <v>0</v>
      </c>
      <c r="K211" s="2" t="s">
        <v>1120</v>
      </c>
      <c r="L211" s="2">
        <v>719</v>
      </c>
      <c r="M211" s="2">
        <v>1</v>
      </c>
      <c r="N211" s="2" t="s">
        <v>958</v>
      </c>
      <c r="O211" s="2">
        <v>5275715.8</v>
      </c>
      <c r="P211" s="2">
        <v>0</v>
      </c>
    </row>
    <row r="212" spans="1:16" x14ac:dyDescent="0.2">
      <c r="A212" s="4">
        <v>720</v>
      </c>
      <c r="B212" s="4">
        <v>1</v>
      </c>
      <c r="C212" s="2" t="s">
        <v>213</v>
      </c>
      <c r="D212" s="184">
        <v>3841621.26</v>
      </c>
      <c r="E212" s="185">
        <v>0</v>
      </c>
      <c r="G212" s="3">
        <f>SUMIF(Query1!$B$4:$B$125,A212,Query1!$F$4:$F$125)</f>
        <v>0</v>
      </c>
      <c r="H212" s="3">
        <f>SUMIF(Query4!$B$4:$B$48,A212,Query4!$F$4:$F$48)</f>
        <v>0</v>
      </c>
      <c r="J212" s="2">
        <f t="shared" si="3"/>
        <v>0</v>
      </c>
      <c r="K212" s="2" t="s">
        <v>1120</v>
      </c>
      <c r="L212" s="2">
        <v>720</v>
      </c>
      <c r="M212" s="2">
        <v>1</v>
      </c>
      <c r="N212" s="2" t="s">
        <v>959</v>
      </c>
      <c r="O212" s="2">
        <v>3841621.26</v>
      </c>
      <c r="P212" s="2">
        <v>0</v>
      </c>
    </row>
    <row r="213" spans="1:16" x14ac:dyDescent="0.2">
      <c r="A213" s="4">
        <v>721</v>
      </c>
      <c r="B213" s="4">
        <v>1</v>
      </c>
      <c r="C213" s="2" t="s">
        <v>214</v>
      </c>
      <c r="D213" s="184">
        <v>2159224.3199999998</v>
      </c>
      <c r="E213" s="185">
        <v>0</v>
      </c>
      <c r="G213" s="3">
        <f>SUMIF(Query1!$B$4:$B$125,A213,Query1!$F$4:$F$125)</f>
        <v>0</v>
      </c>
      <c r="H213" s="3">
        <f>SUMIF(Query4!$B$4:$B$48,A213,Query4!$F$4:$F$48)</f>
        <v>0</v>
      </c>
      <c r="J213" s="2">
        <f t="shared" si="3"/>
        <v>0</v>
      </c>
      <c r="K213" s="2" t="s">
        <v>1120</v>
      </c>
      <c r="L213" s="2">
        <v>721</v>
      </c>
      <c r="M213" s="2">
        <v>1</v>
      </c>
      <c r="N213" s="2" t="s">
        <v>960</v>
      </c>
      <c r="O213" s="2">
        <v>2159224.3199999998</v>
      </c>
      <c r="P213" s="2">
        <v>0</v>
      </c>
    </row>
    <row r="214" spans="1:16" x14ac:dyDescent="0.2">
      <c r="A214" s="4">
        <v>726</v>
      </c>
      <c r="B214" s="4">
        <v>1</v>
      </c>
      <c r="C214" s="2" t="s">
        <v>215</v>
      </c>
      <c r="D214" s="184">
        <v>1148106.6200000001</v>
      </c>
      <c r="E214" s="185">
        <v>0</v>
      </c>
      <c r="G214" s="3">
        <f>SUMIF(Query1!$B$4:$B$125,A214,Query1!$F$4:$F$125)</f>
        <v>0</v>
      </c>
      <c r="H214" s="3">
        <f>SUMIF(Query4!$B$4:$B$48,A214,Query4!$F$4:$F$48)</f>
        <v>0</v>
      </c>
      <c r="J214" s="2">
        <f t="shared" si="3"/>
        <v>0</v>
      </c>
      <c r="K214" s="2" t="s">
        <v>1120</v>
      </c>
      <c r="L214" s="2">
        <v>726</v>
      </c>
      <c r="M214" s="2">
        <v>1</v>
      </c>
      <c r="N214" s="2" t="s">
        <v>961</v>
      </c>
      <c r="O214" s="2">
        <v>1148106.6200000001</v>
      </c>
      <c r="P214" s="2">
        <v>0</v>
      </c>
    </row>
    <row r="215" spans="1:16" x14ac:dyDescent="0.2">
      <c r="A215" s="4">
        <v>727</v>
      </c>
      <c r="B215" s="4">
        <v>1</v>
      </c>
      <c r="C215" s="2" t="s">
        <v>216</v>
      </c>
      <c r="D215" s="184">
        <v>1155069.8899999999</v>
      </c>
      <c r="E215" s="185">
        <v>0</v>
      </c>
      <c r="G215" s="3">
        <f>SUMIF(Query1!$B$4:$B$125,A215,Query1!$F$4:$F$125)</f>
        <v>0</v>
      </c>
      <c r="H215" s="3">
        <f>SUMIF(Query4!$B$4:$B$48,A215,Query4!$F$4:$F$48)</f>
        <v>0</v>
      </c>
      <c r="J215" s="2">
        <f t="shared" si="3"/>
        <v>0</v>
      </c>
      <c r="K215" s="2" t="s">
        <v>1120</v>
      </c>
      <c r="L215" s="2">
        <v>727</v>
      </c>
      <c r="M215" s="2">
        <v>1</v>
      </c>
      <c r="N215" s="2" t="s">
        <v>962</v>
      </c>
      <c r="O215" s="2">
        <v>1155069.8899999999</v>
      </c>
      <c r="P215" s="2">
        <v>0</v>
      </c>
    </row>
    <row r="216" spans="1:16" x14ac:dyDescent="0.2">
      <c r="A216" s="4">
        <v>728</v>
      </c>
      <c r="B216" s="4">
        <v>1</v>
      </c>
      <c r="C216" s="2" t="s">
        <v>217</v>
      </c>
      <c r="D216" s="184">
        <v>7785998.5300000003</v>
      </c>
      <c r="E216" s="185">
        <v>0</v>
      </c>
      <c r="G216" s="3">
        <f>SUMIF(Query1!$B$4:$B$125,A216,Query1!$F$4:$F$125)</f>
        <v>0</v>
      </c>
      <c r="H216" s="3">
        <f>SUMIF(Query4!$B$4:$B$48,A216,Query4!$F$4:$F$48)</f>
        <v>0</v>
      </c>
      <c r="J216" s="2">
        <f t="shared" si="3"/>
        <v>0</v>
      </c>
      <c r="K216" s="2" t="s">
        <v>1120</v>
      </c>
      <c r="L216" s="2">
        <v>728</v>
      </c>
      <c r="M216" s="2">
        <v>1</v>
      </c>
      <c r="N216" s="2" t="s">
        <v>963</v>
      </c>
      <c r="O216" s="2">
        <v>7785998.5300000003</v>
      </c>
      <c r="P216" s="2">
        <v>0</v>
      </c>
    </row>
    <row r="217" spans="1:16" x14ac:dyDescent="0.2">
      <c r="A217" s="4">
        <v>738</v>
      </c>
      <c r="B217" s="4">
        <v>1</v>
      </c>
      <c r="C217" s="2" t="s">
        <v>218</v>
      </c>
      <c r="D217" s="184">
        <v>201676.04</v>
      </c>
      <c r="E217" s="185">
        <v>0</v>
      </c>
      <c r="G217" s="3">
        <f>SUMIF(Query1!$B$4:$B$125,A217,Query1!$F$4:$F$125)</f>
        <v>0</v>
      </c>
      <c r="H217" s="3">
        <f>SUMIF(Query4!$B$4:$B$48,A217,Query4!$F$4:$F$48)</f>
        <v>0</v>
      </c>
      <c r="J217" s="2">
        <f t="shared" si="3"/>
        <v>0</v>
      </c>
      <c r="K217" s="2" t="s">
        <v>1120</v>
      </c>
      <c r="L217" s="2">
        <v>738</v>
      </c>
      <c r="M217" s="2">
        <v>1</v>
      </c>
      <c r="N217" s="2" t="s">
        <v>964</v>
      </c>
      <c r="O217" s="2">
        <v>201676.04</v>
      </c>
      <c r="P217" s="2">
        <v>0</v>
      </c>
    </row>
    <row r="218" spans="1:16" x14ac:dyDescent="0.2">
      <c r="A218" s="4">
        <v>739</v>
      </c>
      <c r="B218" s="4">
        <v>1</v>
      </c>
      <c r="C218" s="2" t="s">
        <v>219</v>
      </c>
      <c r="D218" s="184">
        <v>436137.61</v>
      </c>
      <c r="E218" s="185">
        <v>0</v>
      </c>
      <c r="G218" s="3">
        <f>SUMIF(Query1!$B$4:$B$125,A218,Query1!$F$4:$F$125)</f>
        <v>0</v>
      </c>
      <c r="H218" s="3">
        <f>SUMIF(Query4!$B$4:$B$48,A218,Query4!$F$4:$F$48)</f>
        <v>0</v>
      </c>
      <c r="J218" s="2">
        <f t="shared" si="3"/>
        <v>0</v>
      </c>
      <c r="K218" s="2" t="s">
        <v>1120</v>
      </c>
      <c r="L218" s="2">
        <v>739</v>
      </c>
      <c r="M218" s="2">
        <v>1</v>
      </c>
      <c r="N218" s="2" t="s">
        <v>965</v>
      </c>
      <c r="O218" s="2">
        <v>436137.61</v>
      </c>
      <c r="P218" s="2">
        <v>0</v>
      </c>
    </row>
    <row r="219" spans="1:16" x14ac:dyDescent="0.2">
      <c r="A219" s="4">
        <v>740</v>
      </c>
      <c r="B219" s="4">
        <v>1</v>
      </c>
      <c r="C219" s="2" t="s">
        <v>220</v>
      </c>
      <c r="D219" s="184">
        <v>603318.38</v>
      </c>
      <c r="E219" s="185">
        <v>0</v>
      </c>
      <c r="G219" s="3">
        <f>SUMIF(Query1!$B$4:$B$125,A219,Query1!$F$4:$F$125)</f>
        <v>0</v>
      </c>
      <c r="H219" s="3">
        <f>SUMIF(Query4!$B$4:$B$48,A219,Query4!$F$4:$F$48)</f>
        <v>0</v>
      </c>
      <c r="J219" s="2">
        <f t="shared" si="3"/>
        <v>0</v>
      </c>
      <c r="K219" s="2" t="s">
        <v>1120</v>
      </c>
      <c r="L219" s="2">
        <v>740</v>
      </c>
      <c r="M219" s="2">
        <v>1</v>
      </c>
      <c r="N219" s="2" t="s">
        <v>966</v>
      </c>
      <c r="O219" s="2">
        <v>603318.38</v>
      </c>
      <c r="P219" s="2">
        <v>0</v>
      </c>
    </row>
    <row r="220" spans="1:16" x14ac:dyDescent="0.2">
      <c r="A220" s="4">
        <v>741</v>
      </c>
      <c r="B220" s="4">
        <v>1</v>
      </c>
      <c r="C220" s="2" t="s">
        <v>221</v>
      </c>
      <c r="D220" s="184">
        <v>580937.54</v>
      </c>
      <c r="E220" s="185">
        <v>0</v>
      </c>
      <c r="G220" s="3">
        <f>SUMIF(Query1!$B$4:$B$125,A220,Query1!$F$4:$F$125)</f>
        <v>0</v>
      </c>
      <c r="H220" s="3">
        <f>SUMIF(Query4!$B$4:$B$48,A220,Query4!$F$4:$F$48)</f>
        <v>0</v>
      </c>
      <c r="J220" s="2">
        <f t="shared" si="3"/>
        <v>0</v>
      </c>
      <c r="K220" s="2" t="s">
        <v>1120</v>
      </c>
      <c r="L220" s="2">
        <v>741</v>
      </c>
      <c r="M220" s="2">
        <v>1</v>
      </c>
      <c r="N220" s="2" t="s">
        <v>967</v>
      </c>
      <c r="O220" s="2">
        <v>580937.54</v>
      </c>
      <c r="P220" s="2">
        <v>0</v>
      </c>
    </row>
    <row r="221" spans="1:16" x14ac:dyDescent="0.2">
      <c r="A221" s="4">
        <v>742</v>
      </c>
      <c r="B221" s="4">
        <v>1</v>
      </c>
      <c r="C221" s="2" t="s">
        <v>222</v>
      </c>
      <c r="D221" s="184">
        <v>7304170.1699999999</v>
      </c>
      <c r="E221" s="185">
        <v>0</v>
      </c>
      <c r="G221" s="3">
        <f>SUMIF(Query1!$B$4:$B$125,A221,Query1!$F$4:$F$125)</f>
        <v>0</v>
      </c>
      <c r="H221" s="3">
        <f>SUMIF(Query4!$B$4:$B$48,A221,Query4!$F$4:$F$48)</f>
        <v>0</v>
      </c>
      <c r="J221" s="2">
        <f t="shared" si="3"/>
        <v>0</v>
      </c>
      <c r="K221" s="2" t="s">
        <v>1120</v>
      </c>
      <c r="L221" s="2">
        <v>742</v>
      </c>
      <c r="M221" s="2">
        <v>1</v>
      </c>
      <c r="N221" s="2" t="s">
        <v>968</v>
      </c>
      <c r="O221" s="2">
        <v>7304170.1699999999</v>
      </c>
      <c r="P221" s="2">
        <v>0</v>
      </c>
    </row>
    <row r="222" spans="1:16" x14ac:dyDescent="0.2">
      <c r="A222" s="4">
        <v>743</v>
      </c>
      <c r="B222" s="4">
        <v>1</v>
      </c>
      <c r="C222" s="2" t="s">
        <v>223</v>
      </c>
      <c r="D222" s="184">
        <v>653323.04</v>
      </c>
      <c r="E222" s="185">
        <v>0</v>
      </c>
      <c r="G222" s="3">
        <f>SUMIF(Query1!$B$4:$B$125,A222,Query1!$F$4:$F$125)</f>
        <v>0</v>
      </c>
      <c r="H222" s="3">
        <f>SUMIF(Query4!$B$4:$B$48,A222,Query4!$F$4:$F$48)</f>
        <v>0</v>
      </c>
      <c r="J222" s="2">
        <f t="shared" si="3"/>
        <v>0</v>
      </c>
      <c r="K222" s="2" t="s">
        <v>1120</v>
      </c>
      <c r="L222" s="2">
        <v>743</v>
      </c>
      <c r="M222" s="2">
        <v>1</v>
      </c>
      <c r="N222" s="2" t="s">
        <v>969</v>
      </c>
      <c r="O222" s="2">
        <v>653323.04</v>
      </c>
      <c r="P222" s="2">
        <v>0</v>
      </c>
    </row>
    <row r="223" spans="1:16" x14ac:dyDescent="0.2">
      <c r="A223" s="4">
        <v>745</v>
      </c>
      <c r="B223" s="4">
        <v>1</v>
      </c>
      <c r="C223" s="2" t="s">
        <v>224</v>
      </c>
      <c r="D223" s="184">
        <v>479789.43</v>
      </c>
      <c r="E223" s="185">
        <v>0</v>
      </c>
      <c r="G223" s="3">
        <f>SUMIF(Query1!$B$4:$B$125,A223,Query1!$F$4:$F$125)</f>
        <v>0</v>
      </c>
      <c r="H223" s="3">
        <f>SUMIF(Query4!$B$4:$B$48,A223,Query4!$F$4:$F$48)</f>
        <v>0</v>
      </c>
      <c r="J223" s="2">
        <f t="shared" si="3"/>
        <v>0</v>
      </c>
      <c r="K223" s="2" t="s">
        <v>1120</v>
      </c>
      <c r="L223" s="2">
        <v>745</v>
      </c>
      <c r="M223" s="2">
        <v>1</v>
      </c>
      <c r="N223" s="2" t="s">
        <v>970</v>
      </c>
      <c r="O223" s="2">
        <v>479789.43</v>
      </c>
      <c r="P223" s="2">
        <v>0</v>
      </c>
    </row>
    <row r="224" spans="1:16" x14ac:dyDescent="0.2">
      <c r="A224" s="4">
        <v>748</v>
      </c>
      <c r="B224" s="4">
        <v>1</v>
      </c>
      <c r="C224" s="2" t="s">
        <v>1194</v>
      </c>
      <c r="D224" s="184">
        <v>1400788.58</v>
      </c>
      <c r="E224" s="185">
        <v>0</v>
      </c>
      <c r="G224" s="3">
        <f>SUMIF(Query1!$B$4:$B$125,A224,Query1!$F$4:$F$125)</f>
        <v>0</v>
      </c>
      <c r="H224" s="3">
        <f>SUMIF(Query4!$B$4:$B$48,A224,Query4!$F$4:$F$48)</f>
        <v>0</v>
      </c>
      <c r="J224" s="2">
        <f t="shared" si="3"/>
        <v>0</v>
      </c>
      <c r="K224" s="2" t="s">
        <v>1120</v>
      </c>
      <c r="L224" s="2">
        <v>748</v>
      </c>
      <c r="M224" s="2">
        <v>1</v>
      </c>
      <c r="N224" s="2" t="s">
        <v>971</v>
      </c>
      <c r="O224" s="2">
        <v>1400788.58</v>
      </c>
      <c r="P224" s="2">
        <v>0</v>
      </c>
    </row>
    <row r="225" spans="1:16" x14ac:dyDescent="0.2">
      <c r="A225" s="4">
        <v>750</v>
      </c>
      <c r="B225" s="4">
        <v>1</v>
      </c>
      <c r="C225" s="2" t="s">
        <v>226</v>
      </c>
      <c r="D225" s="184">
        <v>851804.13</v>
      </c>
      <c r="E225" s="185">
        <v>0</v>
      </c>
      <c r="G225" s="3">
        <f>SUMIF(Query1!$B$4:$B$125,A225,Query1!$F$4:$F$125)</f>
        <v>0</v>
      </c>
      <c r="H225" s="3">
        <f>SUMIF(Query4!$B$4:$B$48,A225,Query4!$F$4:$F$48)</f>
        <v>0</v>
      </c>
      <c r="J225" s="2">
        <f t="shared" si="3"/>
        <v>0</v>
      </c>
      <c r="K225" s="2" t="s">
        <v>1120</v>
      </c>
      <c r="L225" s="2">
        <v>750</v>
      </c>
      <c r="M225" s="2">
        <v>1</v>
      </c>
      <c r="N225" s="2" t="s">
        <v>972</v>
      </c>
      <c r="O225" s="2">
        <v>851804.13</v>
      </c>
      <c r="P225" s="2">
        <v>0</v>
      </c>
    </row>
    <row r="226" spans="1:16" x14ac:dyDescent="0.2">
      <c r="A226" s="4">
        <v>756</v>
      </c>
      <c r="B226" s="4">
        <v>1</v>
      </c>
      <c r="C226" s="2" t="s">
        <v>227</v>
      </c>
      <c r="D226" s="184">
        <v>279624.96000000002</v>
      </c>
      <c r="E226" s="185">
        <v>0</v>
      </c>
      <c r="G226" s="3">
        <f>SUMIF(Query1!$B$4:$B$125,A226,Query1!$F$4:$F$125)</f>
        <v>0</v>
      </c>
      <c r="H226" s="3">
        <f>SUMIF(Query4!$B$4:$B$48,A226,Query4!$F$4:$F$48)</f>
        <v>0</v>
      </c>
      <c r="J226" s="2">
        <f t="shared" si="3"/>
        <v>0</v>
      </c>
      <c r="K226" s="2" t="s">
        <v>1120</v>
      </c>
      <c r="L226" s="2">
        <v>756</v>
      </c>
      <c r="M226" s="2">
        <v>1</v>
      </c>
      <c r="N226" s="2" t="s">
        <v>973</v>
      </c>
      <c r="O226" s="2">
        <v>279624.96000000002</v>
      </c>
      <c r="P226" s="2">
        <v>0</v>
      </c>
    </row>
    <row r="227" spans="1:16" x14ac:dyDescent="0.2">
      <c r="A227" s="4">
        <v>761</v>
      </c>
      <c r="B227" s="4">
        <v>1</v>
      </c>
      <c r="C227" s="2" t="s">
        <v>228</v>
      </c>
      <c r="D227" s="184">
        <v>2305141.77</v>
      </c>
      <c r="E227" s="185">
        <v>0</v>
      </c>
      <c r="G227" s="3">
        <f>SUMIF(Query1!$B$4:$B$125,A227,Query1!$F$4:$F$125)</f>
        <v>0</v>
      </c>
      <c r="H227" s="3">
        <f>SUMIF(Query4!$B$4:$B$48,A227,Query4!$F$4:$F$48)</f>
        <v>0</v>
      </c>
      <c r="J227" s="2">
        <f t="shared" si="3"/>
        <v>0</v>
      </c>
      <c r="K227" s="2" t="s">
        <v>1120</v>
      </c>
      <c r="L227" s="2">
        <v>761</v>
      </c>
      <c r="M227" s="2">
        <v>1</v>
      </c>
      <c r="N227" s="2" t="s">
        <v>974</v>
      </c>
      <c r="O227" s="2">
        <v>2305141.77</v>
      </c>
      <c r="P227" s="2">
        <v>0</v>
      </c>
    </row>
    <row r="228" spans="1:16" x14ac:dyDescent="0.2">
      <c r="A228" s="4">
        <v>763</v>
      </c>
      <c r="B228" s="4">
        <v>1</v>
      </c>
      <c r="C228" s="2" t="s">
        <v>229</v>
      </c>
      <c r="D228" s="184">
        <v>116593.69</v>
      </c>
      <c r="E228" s="185">
        <v>0</v>
      </c>
      <c r="G228" s="3">
        <f>SUMIF(Query1!$B$4:$B$125,A228,Query1!$F$4:$F$125)</f>
        <v>-81795</v>
      </c>
      <c r="H228" s="3">
        <f>SUMIF(Query4!$B$4:$B$48,A228,Query4!$F$4:$F$48)</f>
        <v>0</v>
      </c>
      <c r="J228" s="2">
        <f t="shared" si="3"/>
        <v>0</v>
      </c>
      <c r="K228" s="2" t="s">
        <v>1120</v>
      </c>
      <c r="L228" s="2">
        <v>763</v>
      </c>
      <c r="M228" s="2">
        <v>1</v>
      </c>
      <c r="N228" s="2" t="s">
        <v>975</v>
      </c>
      <c r="O228" s="2">
        <v>116593.69</v>
      </c>
      <c r="P228" s="2">
        <v>0</v>
      </c>
    </row>
    <row r="229" spans="1:16" x14ac:dyDescent="0.2">
      <c r="A229" s="4">
        <v>768</v>
      </c>
      <c r="B229" s="4">
        <v>1</v>
      </c>
      <c r="C229" s="2" t="s">
        <v>230</v>
      </c>
      <c r="D229" s="184">
        <v>105196.67</v>
      </c>
      <c r="E229" s="185">
        <v>0</v>
      </c>
      <c r="G229" s="3">
        <f>SUMIF(Query1!$B$4:$B$125,A229,Query1!$F$4:$F$125)</f>
        <v>0</v>
      </c>
      <c r="H229" s="3">
        <f>SUMIF(Query4!$B$4:$B$48,A229,Query4!$F$4:$F$48)</f>
        <v>0</v>
      </c>
      <c r="J229" s="2">
        <f t="shared" si="3"/>
        <v>0</v>
      </c>
      <c r="K229" s="2" t="s">
        <v>1120</v>
      </c>
      <c r="L229" s="2">
        <v>768</v>
      </c>
      <c r="M229" s="2">
        <v>1</v>
      </c>
      <c r="N229" s="2" t="s">
        <v>976</v>
      </c>
      <c r="O229" s="2">
        <v>105196.67</v>
      </c>
      <c r="P229" s="2">
        <v>0</v>
      </c>
    </row>
    <row r="230" spans="1:16" x14ac:dyDescent="0.2">
      <c r="A230" s="4">
        <v>771</v>
      </c>
      <c r="B230" s="4">
        <v>1</v>
      </c>
      <c r="C230" s="2" t="s">
        <v>232</v>
      </c>
      <c r="D230" s="184">
        <v>152693.92000000001</v>
      </c>
      <c r="E230" s="185">
        <v>0</v>
      </c>
      <c r="G230" s="3">
        <f>SUMIF(Query1!$B$4:$B$125,A230,Query1!$F$4:$F$125)</f>
        <v>0</v>
      </c>
      <c r="H230" s="3">
        <f>SUMIF(Query4!$B$4:$B$48,A230,Query4!$F$4:$F$48)</f>
        <v>0</v>
      </c>
      <c r="J230" s="2">
        <f t="shared" si="3"/>
        <v>0</v>
      </c>
      <c r="K230" s="2" t="s">
        <v>1120</v>
      </c>
      <c r="L230" s="2">
        <v>771</v>
      </c>
      <c r="M230" s="2">
        <v>1</v>
      </c>
      <c r="N230" s="2" t="s">
        <v>977</v>
      </c>
      <c r="O230" s="2">
        <v>152693.92000000001</v>
      </c>
      <c r="P230" s="2">
        <v>0</v>
      </c>
    </row>
    <row r="231" spans="1:16" x14ac:dyDescent="0.2">
      <c r="A231" s="4">
        <v>775</v>
      </c>
      <c r="B231" s="4">
        <v>1</v>
      </c>
      <c r="C231" s="2" t="s">
        <v>1195</v>
      </c>
      <c r="D231" s="184">
        <v>183657.84</v>
      </c>
      <c r="E231" s="185">
        <v>0</v>
      </c>
      <c r="G231" s="3">
        <f>SUMIF(Query1!$B$4:$B$125,A231,Query1!$F$4:$F$125)</f>
        <v>-2980.19</v>
      </c>
      <c r="H231" s="3">
        <f>SUMIF(Query4!$B$4:$B$48,A231,Query4!$F$4:$F$48)</f>
        <v>0</v>
      </c>
      <c r="J231" s="2">
        <f t="shared" si="3"/>
        <v>0</v>
      </c>
      <c r="K231" s="2" t="s">
        <v>1120</v>
      </c>
      <c r="L231" s="2">
        <v>775</v>
      </c>
      <c r="M231" s="2">
        <v>1</v>
      </c>
      <c r="N231" s="2" t="s">
        <v>978</v>
      </c>
      <c r="O231" s="2">
        <v>183657.84</v>
      </c>
      <c r="P231" s="2">
        <v>0</v>
      </c>
    </row>
    <row r="232" spans="1:16" x14ac:dyDescent="0.2">
      <c r="A232" s="4">
        <v>777</v>
      </c>
      <c r="B232" s="4">
        <v>1</v>
      </c>
      <c r="C232" s="2" t="s">
        <v>234</v>
      </c>
      <c r="D232" s="184">
        <v>381116.81</v>
      </c>
      <c r="E232" s="185">
        <v>0</v>
      </c>
      <c r="G232" s="3">
        <f>SUMIF(Query1!$B$4:$B$125,A232,Query1!$F$4:$F$125)</f>
        <v>0</v>
      </c>
      <c r="H232" s="3">
        <f>SUMIF(Query4!$B$4:$B$48,A232,Query4!$F$4:$F$48)</f>
        <v>0</v>
      </c>
      <c r="J232" s="2">
        <f t="shared" si="3"/>
        <v>0</v>
      </c>
      <c r="K232" s="2" t="s">
        <v>1120</v>
      </c>
      <c r="L232" s="2">
        <v>777</v>
      </c>
      <c r="M232" s="2">
        <v>1</v>
      </c>
      <c r="N232" s="2" t="s">
        <v>979</v>
      </c>
      <c r="O232" s="2">
        <v>381116.81</v>
      </c>
      <c r="P232" s="2">
        <v>0</v>
      </c>
    </row>
    <row r="233" spans="1:16" x14ac:dyDescent="0.2">
      <c r="A233" s="4">
        <v>786</v>
      </c>
      <c r="B233" s="4">
        <v>1</v>
      </c>
      <c r="C233" s="2" t="s">
        <v>235</v>
      </c>
      <c r="D233" s="184">
        <v>108956.96</v>
      </c>
      <c r="E233" s="185">
        <v>0</v>
      </c>
      <c r="G233" s="3">
        <f>SUMIF(Query1!$B$4:$B$125,A233,Query1!$F$4:$F$125)</f>
        <v>-8048.09</v>
      </c>
      <c r="H233" s="3">
        <f>SUMIF(Query4!$B$4:$B$48,A233,Query4!$F$4:$F$48)</f>
        <v>-506.26</v>
      </c>
      <c r="J233" s="2">
        <f t="shared" si="3"/>
        <v>0</v>
      </c>
      <c r="K233" s="2" t="s">
        <v>1120</v>
      </c>
      <c r="L233" s="2">
        <v>786</v>
      </c>
      <c r="M233" s="2">
        <v>1</v>
      </c>
      <c r="N233" s="2" t="s">
        <v>980</v>
      </c>
      <c r="O233" s="2">
        <v>108956.96</v>
      </c>
      <c r="P233" s="2">
        <v>0</v>
      </c>
    </row>
    <row r="234" spans="1:16" x14ac:dyDescent="0.2">
      <c r="A234" s="4">
        <v>787</v>
      </c>
      <c r="B234" s="4">
        <v>1</v>
      </c>
      <c r="C234" s="2" t="s">
        <v>236</v>
      </c>
      <c r="D234" s="184">
        <v>58018.46</v>
      </c>
      <c r="E234" s="185">
        <v>0</v>
      </c>
      <c r="G234" s="3">
        <f>SUMIF(Query1!$B$4:$B$125,A234,Query1!$F$4:$F$125)</f>
        <v>-8789.93</v>
      </c>
      <c r="H234" s="3">
        <f>SUMIF(Query4!$B$4:$B$48,A234,Query4!$F$4:$F$48)</f>
        <v>0</v>
      </c>
      <c r="J234" s="2">
        <f t="shared" si="3"/>
        <v>0</v>
      </c>
      <c r="K234" s="2" t="s">
        <v>1120</v>
      </c>
      <c r="L234" s="2">
        <v>787</v>
      </c>
      <c r="M234" s="2">
        <v>1</v>
      </c>
      <c r="N234" s="2" t="s">
        <v>981</v>
      </c>
      <c r="O234" s="2">
        <v>58018.46</v>
      </c>
      <c r="P234" s="2">
        <v>0</v>
      </c>
    </row>
    <row r="235" spans="1:16" x14ac:dyDescent="0.2">
      <c r="A235" s="4">
        <v>801</v>
      </c>
      <c r="B235" s="4">
        <v>1</v>
      </c>
      <c r="C235" s="2" t="s">
        <v>237</v>
      </c>
      <c r="D235" s="184">
        <v>25505.83</v>
      </c>
      <c r="E235" s="185">
        <v>0</v>
      </c>
      <c r="G235" s="3">
        <f>SUMIF(Query1!$B$4:$B$125,A235,Query1!$F$4:$F$125)</f>
        <v>0</v>
      </c>
      <c r="H235" s="3">
        <f>SUMIF(Query4!$B$4:$B$48,A235,Query4!$F$4:$F$48)</f>
        <v>0</v>
      </c>
      <c r="J235" s="2">
        <f t="shared" si="3"/>
        <v>0</v>
      </c>
      <c r="K235" s="2" t="s">
        <v>1120</v>
      </c>
      <c r="L235" s="2">
        <v>801</v>
      </c>
      <c r="M235" s="2">
        <v>1</v>
      </c>
      <c r="N235" s="2" t="s">
        <v>982</v>
      </c>
      <c r="O235" s="2">
        <v>25505.83</v>
      </c>
      <c r="P235" s="2">
        <v>0</v>
      </c>
    </row>
    <row r="236" spans="1:16" x14ac:dyDescent="0.2">
      <c r="A236" s="4">
        <v>803</v>
      </c>
      <c r="B236" s="4">
        <v>1</v>
      </c>
      <c r="C236" s="2" t="s">
        <v>238</v>
      </c>
      <c r="D236" s="184">
        <v>215315.82</v>
      </c>
      <c r="E236" s="185">
        <v>0</v>
      </c>
      <c r="G236" s="3">
        <f>SUMIF(Query1!$B$4:$B$125,A236,Query1!$F$4:$F$125)</f>
        <v>0</v>
      </c>
      <c r="H236" s="3">
        <f>SUMIF(Query4!$B$4:$B$48,A236,Query4!$F$4:$F$48)</f>
        <v>0</v>
      </c>
      <c r="J236" s="2">
        <f t="shared" si="3"/>
        <v>0</v>
      </c>
      <c r="K236" s="2" t="s">
        <v>1120</v>
      </c>
      <c r="L236" s="2">
        <v>803</v>
      </c>
      <c r="M236" s="2">
        <v>1</v>
      </c>
      <c r="N236" s="2" t="s">
        <v>983</v>
      </c>
      <c r="O236" s="2">
        <v>215315.82</v>
      </c>
      <c r="P236" s="2">
        <v>0</v>
      </c>
    </row>
    <row r="237" spans="1:16" x14ac:dyDescent="0.2">
      <c r="A237" s="4">
        <v>811</v>
      </c>
      <c r="B237" s="4">
        <v>1</v>
      </c>
      <c r="C237" s="2" t="s">
        <v>239</v>
      </c>
      <c r="D237" s="184">
        <v>390968.72</v>
      </c>
      <c r="E237" s="185">
        <v>0</v>
      </c>
      <c r="G237" s="3">
        <f>SUMIF(Query1!$B$4:$B$125,A237,Query1!$F$4:$F$125)</f>
        <v>0</v>
      </c>
      <c r="H237" s="3">
        <f>SUMIF(Query4!$B$4:$B$48,A237,Query4!$F$4:$F$48)</f>
        <v>0</v>
      </c>
      <c r="J237" s="2">
        <f t="shared" si="3"/>
        <v>0</v>
      </c>
      <c r="K237" s="2" t="s">
        <v>1120</v>
      </c>
      <c r="L237" s="2">
        <v>811</v>
      </c>
      <c r="M237" s="2">
        <v>1</v>
      </c>
      <c r="N237" s="2" t="s">
        <v>984</v>
      </c>
      <c r="O237" s="2">
        <v>390968.72</v>
      </c>
      <c r="P237" s="2">
        <v>0</v>
      </c>
    </row>
    <row r="238" spans="1:16" x14ac:dyDescent="0.2">
      <c r="A238" s="4">
        <v>813</v>
      </c>
      <c r="B238" s="4">
        <v>1</v>
      </c>
      <c r="C238" s="2" t="s">
        <v>240</v>
      </c>
      <c r="D238" s="184">
        <v>831173.5</v>
      </c>
      <c r="E238" s="185">
        <v>0</v>
      </c>
      <c r="G238" s="3">
        <f>SUMIF(Query1!$B$4:$B$125,A238,Query1!$F$4:$F$125)</f>
        <v>0</v>
      </c>
      <c r="H238" s="3">
        <f>SUMIF(Query4!$B$4:$B$48,A238,Query4!$F$4:$F$48)</f>
        <v>0</v>
      </c>
      <c r="J238" s="2">
        <f t="shared" si="3"/>
        <v>0</v>
      </c>
      <c r="K238" s="2" t="s">
        <v>1120</v>
      </c>
      <c r="L238" s="2">
        <v>813</v>
      </c>
      <c r="M238" s="2">
        <v>1</v>
      </c>
      <c r="N238" s="2" t="s">
        <v>985</v>
      </c>
      <c r="O238" s="2">
        <v>831173.5</v>
      </c>
      <c r="P238" s="2">
        <v>0</v>
      </c>
    </row>
    <row r="239" spans="1:16" x14ac:dyDescent="0.2">
      <c r="A239" s="4">
        <v>815</v>
      </c>
      <c r="B239" s="4">
        <v>2</v>
      </c>
      <c r="C239" s="2" t="s">
        <v>241</v>
      </c>
      <c r="D239" s="184">
        <v>4867.28</v>
      </c>
      <c r="E239" s="185">
        <v>0</v>
      </c>
      <c r="G239" s="3">
        <f>SUMIF(Query1!$B$4:$B$125,A239,Query1!$F$4:$F$125)</f>
        <v>0</v>
      </c>
      <c r="H239" s="3">
        <f>SUMIF(Query4!$B$4:$B$48,A239,Query4!$F$4:$F$48)</f>
        <v>0</v>
      </c>
      <c r="J239" s="2">
        <f t="shared" si="3"/>
        <v>0</v>
      </c>
      <c r="K239" s="2" t="s">
        <v>1120</v>
      </c>
      <c r="L239" s="2">
        <v>815</v>
      </c>
      <c r="M239" s="2">
        <v>2</v>
      </c>
      <c r="N239" s="2" t="s">
        <v>986</v>
      </c>
      <c r="O239" s="2">
        <v>4867.28</v>
      </c>
      <c r="P239" s="2">
        <v>0</v>
      </c>
    </row>
    <row r="240" spans="1:16" x14ac:dyDescent="0.2">
      <c r="A240" s="4">
        <v>818</v>
      </c>
      <c r="B240" s="4">
        <v>1</v>
      </c>
      <c r="C240" s="2" t="s">
        <v>242</v>
      </c>
      <c r="D240" s="184">
        <v>65876.100000000006</v>
      </c>
      <c r="E240" s="185">
        <v>0</v>
      </c>
      <c r="G240" s="3">
        <f>SUMIF(Query1!$B$4:$B$125,A240,Query1!$F$4:$F$125)</f>
        <v>-17162.490000000002</v>
      </c>
      <c r="H240" s="3">
        <f>SUMIF(Query4!$B$4:$B$48,A240,Query4!$F$4:$F$48)</f>
        <v>-101.96</v>
      </c>
      <c r="J240" s="2">
        <f t="shared" si="3"/>
        <v>0</v>
      </c>
      <c r="K240" s="2" t="s">
        <v>1120</v>
      </c>
      <c r="L240" s="2">
        <v>818</v>
      </c>
      <c r="M240" s="2">
        <v>1</v>
      </c>
      <c r="N240" s="2" t="s">
        <v>987</v>
      </c>
      <c r="O240" s="2">
        <v>65876.100000000006</v>
      </c>
      <c r="P240" s="2">
        <v>0</v>
      </c>
    </row>
    <row r="241" spans="1:16" x14ac:dyDescent="0.2">
      <c r="A241" s="4">
        <v>820</v>
      </c>
      <c r="B241" s="4">
        <v>1</v>
      </c>
      <c r="C241" s="2" t="s">
        <v>243</v>
      </c>
      <c r="D241" s="184">
        <v>172297.31</v>
      </c>
      <c r="E241" s="185">
        <v>0</v>
      </c>
      <c r="G241" s="3">
        <f>SUMIF(Query1!$B$4:$B$125,A241,Query1!$F$4:$F$125)</f>
        <v>0</v>
      </c>
      <c r="H241" s="3">
        <f>SUMIF(Query4!$B$4:$B$48,A241,Query4!$F$4:$F$48)</f>
        <v>0</v>
      </c>
      <c r="J241" s="2">
        <f t="shared" si="3"/>
        <v>0</v>
      </c>
      <c r="K241" s="2" t="s">
        <v>1120</v>
      </c>
      <c r="L241" s="2">
        <v>820</v>
      </c>
      <c r="M241" s="2">
        <v>1</v>
      </c>
      <c r="N241" s="2" t="s">
        <v>988</v>
      </c>
      <c r="O241" s="2">
        <v>172297.31</v>
      </c>
      <c r="P241" s="2">
        <v>0</v>
      </c>
    </row>
    <row r="242" spans="1:16" x14ac:dyDescent="0.2">
      <c r="A242" s="4">
        <v>821</v>
      </c>
      <c r="B242" s="4">
        <v>1</v>
      </c>
      <c r="C242" s="2" t="s">
        <v>244</v>
      </c>
      <c r="D242" s="184">
        <v>182602.26</v>
      </c>
      <c r="E242" s="185">
        <v>0</v>
      </c>
      <c r="G242" s="3">
        <f>SUMIF(Query1!$B$4:$B$125,A242,Query1!$F$4:$F$125)</f>
        <v>-19224</v>
      </c>
      <c r="H242" s="3">
        <f>SUMIF(Query4!$B$4:$B$48,A242,Query4!$F$4:$F$48)</f>
        <v>1</v>
      </c>
      <c r="J242" s="2">
        <f t="shared" si="3"/>
        <v>0</v>
      </c>
      <c r="K242" s="2" t="s">
        <v>1120</v>
      </c>
      <c r="L242" s="2">
        <v>821</v>
      </c>
      <c r="M242" s="2">
        <v>1</v>
      </c>
      <c r="N242" s="2" t="s">
        <v>989</v>
      </c>
      <c r="O242" s="2">
        <v>182602.26</v>
      </c>
      <c r="P242" s="2">
        <v>0</v>
      </c>
    </row>
    <row r="243" spans="1:16" x14ac:dyDescent="0.2">
      <c r="A243" s="4">
        <v>829</v>
      </c>
      <c r="B243" s="4">
        <v>1</v>
      </c>
      <c r="C243" s="2" t="s">
        <v>245</v>
      </c>
      <c r="D243" s="184">
        <v>809352.46</v>
      </c>
      <c r="E243" s="185">
        <v>0</v>
      </c>
      <c r="G243" s="3">
        <f>SUMIF(Query1!$B$4:$B$125,A243,Query1!$F$4:$F$125)</f>
        <v>-827</v>
      </c>
      <c r="H243" s="3">
        <f>SUMIF(Query4!$B$4:$B$48,A243,Query4!$F$4:$F$48)</f>
        <v>0</v>
      </c>
      <c r="J243" s="2">
        <f t="shared" si="3"/>
        <v>0</v>
      </c>
      <c r="K243" s="2" t="s">
        <v>1120</v>
      </c>
      <c r="L243" s="2">
        <v>829</v>
      </c>
      <c r="M243" s="2">
        <v>1</v>
      </c>
      <c r="N243" s="2" t="s">
        <v>990</v>
      </c>
      <c r="O243" s="2">
        <v>809352.46</v>
      </c>
      <c r="P243" s="2">
        <v>0</v>
      </c>
    </row>
    <row r="244" spans="1:16" x14ac:dyDescent="0.2">
      <c r="A244" s="4">
        <v>831</v>
      </c>
      <c r="B244" s="4">
        <v>1</v>
      </c>
      <c r="C244" s="2" t="s">
        <v>246</v>
      </c>
      <c r="D244" s="184">
        <v>5467975.9100000001</v>
      </c>
      <c r="E244" s="185">
        <v>0</v>
      </c>
      <c r="G244" s="3">
        <f>SUMIF(Query1!$B$4:$B$125,A244,Query1!$F$4:$F$125)</f>
        <v>0</v>
      </c>
      <c r="H244" s="3">
        <f>SUMIF(Query4!$B$4:$B$48,A244,Query4!$F$4:$F$48)</f>
        <v>0</v>
      </c>
      <c r="J244" s="2">
        <f t="shared" si="3"/>
        <v>0</v>
      </c>
      <c r="K244" s="2" t="s">
        <v>1120</v>
      </c>
      <c r="L244" s="2">
        <v>831</v>
      </c>
      <c r="M244" s="2">
        <v>1</v>
      </c>
      <c r="N244" s="2" t="s">
        <v>991</v>
      </c>
      <c r="O244" s="2">
        <v>5467975.9100000001</v>
      </c>
      <c r="P244" s="2">
        <v>0</v>
      </c>
    </row>
    <row r="245" spans="1:16" x14ac:dyDescent="0.2">
      <c r="A245" s="4">
        <v>832</v>
      </c>
      <c r="B245" s="4">
        <v>1</v>
      </c>
      <c r="C245" s="2" t="s">
        <v>247</v>
      </c>
      <c r="D245" s="184">
        <v>2199472.71</v>
      </c>
      <c r="E245" s="185">
        <v>0</v>
      </c>
      <c r="G245" s="3">
        <f>SUMIF(Query1!$B$4:$B$125,A245,Query1!$F$4:$F$125)</f>
        <v>0</v>
      </c>
      <c r="H245" s="3">
        <f>SUMIF(Query4!$B$4:$B$48,A245,Query4!$F$4:$F$48)</f>
        <v>0</v>
      </c>
      <c r="J245" s="2">
        <f t="shared" si="3"/>
        <v>0</v>
      </c>
      <c r="K245" s="2" t="s">
        <v>1120</v>
      </c>
      <c r="L245" s="2">
        <v>832</v>
      </c>
      <c r="M245" s="2">
        <v>1</v>
      </c>
      <c r="N245" s="2" t="s">
        <v>992</v>
      </c>
      <c r="O245" s="2">
        <v>2199472.71</v>
      </c>
      <c r="P245" s="2">
        <v>0</v>
      </c>
    </row>
    <row r="246" spans="1:16" x14ac:dyDescent="0.2">
      <c r="A246" s="4">
        <v>833</v>
      </c>
      <c r="B246" s="4">
        <v>1</v>
      </c>
      <c r="C246" s="2" t="s">
        <v>248</v>
      </c>
      <c r="D246" s="184">
        <v>11016272.49</v>
      </c>
      <c r="E246" s="185">
        <v>0</v>
      </c>
      <c r="G246" s="3">
        <f>SUMIF(Query1!$B$4:$B$125,A246,Query1!$F$4:$F$125)</f>
        <v>0</v>
      </c>
      <c r="H246" s="3">
        <f>SUMIF(Query4!$B$4:$B$48,A246,Query4!$F$4:$F$48)</f>
        <v>0</v>
      </c>
      <c r="J246" s="2">
        <f t="shared" si="3"/>
        <v>0</v>
      </c>
      <c r="K246" s="2" t="s">
        <v>1120</v>
      </c>
      <c r="L246" s="2">
        <v>833</v>
      </c>
      <c r="M246" s="2">
        <v>1</v>
      </c>
      <c r="N246" s="2" t="s">
        <v>993</v>
      </c>
      <c r="O246" s="2">
        <v>11016272.49</v>
      </c>
      <c r="P246" s="2">
        <v>0</v>
      </c>
    </row>
    <row r="247" spans="1:16" x14ac:dyDescent="0.2">
      <c r="A247" s="4">
        <v>834</v>
      </c>
      <c r="B247" s="4">
        <v>1</v>
      </c>
      <c r="C247" s="2" t="s">
        <v>249</v>
      </c>
      <c r="D247" s="184">
        <v>7819179.2000000002</v>
      </c>
      <c r="E247" s="185">
        <v>0</v>
      </c>
      <c r="G247" s="3">
        <f>SUMIF(Query1!$B$4:$B$125,A247,Query1!$F$4:$F$125)</f>
        <v>0</v>
      </c>
      <c r="H247" s="3">
        <f>SUMIF(Query4!$B$4:$B$48,A247,Query4!$F$4:$F$48)</f>
        <v>0</v>
      </c>
      <c r="J247" s="2">
        <f t="shared" si="3"/>
        <v>0</v>
      </c>
      <c r="K247" s="2" t="s">
        <v>1120</v>
      </c>
      <c r="L247" s="2">
        <v>834</v>
      </c>
      <c r="M247" s="2">
        <v>1</v>
      </c>
      <c r="N247" s="2" t="s">
        <v>994</v>
      </c>
      <c r="O247" s="2">
        <v>7819179.2000000002</v>
      </c>
      <c r="P247" s="2">
        <v>0</v>
      </c>
    </row>
    <row r="248" spans="1:16" x14ac:dyDescent="0.2">
      <c r="A248" s="4">
        <v>836</v>
      </c>
      <c r="B248" s="4">
        <v>1</v>
      </c>
      <c r="C248" s="2" t="s">
        <v>250</v>
      </c>
      <c r="D248" s="184">
        <v>104875.65</v>
      </c>
      <c r="E248" s="185">
        <v>0</v>
      </c>
      <c r="G248" s="3">
        <f>SUMIF(Query1!$B$4:$B$125,A248,Query1!$F$4:$F$125)</f>
        <v>0</v>
      </c>
      <c r="H248" s="3">
        <f>SUMIF(Query4!$B$4:$B$48,A248,Query4!$F$4:$F$48)</f>
        <v>0</v>
      </c>
      <c r="J248" s="2">
        <f t="shared" si="3"/>
        <v>0</v>
      </c>
      <c r="K248" s="2" t="s">
        <v>1120</v>
      </c>
      <c r="L248" s="2">
        <v>836</v>
      </c>
      <c r="M248" s="2">
        <v>1</v>
      </c>
      <c r="N248" s="2" t="s">
        <v>995</v>
      </c>
      <c r="O248" s="2">
        <v>104875.65</v>
      </c>
      <c r="P248" s="2">
        <v>0</v>
      </c>
    </row>
    <row r="249" spans="1:16" x14ac:dyDescent="0.2">
      <c r="A249" s="4">
        <v>837</v>
      </c>
      <c r="B249" s="4">
        <v>1</v>
      </c>
      <c r="C249" s="2" t="s">
        <v>251</v>
      </c>
      <c r="D249" s="184">
        <v>307467.15999999997</v>
      </c>
      <c r="E249" s="185">
        <v>0</v>
      </c>
      <c r="G249" s="3">
        <f>SUMIF(Query1!$B$4:$B$125,A249,Query1!$F$4:$F$125)</f>
        <v>0</v>
      </c>
      <c r="H249" s="3">
        <f>SUMIF(Query4!$B$4:$B$48,A249,Query4!$F$4:$F$48)</f>
        <v>0</v>
      </c>
      <c r="J249" s="2">
        <f t="shared" si="3"/>
        <v>0</v>
      </c>
      <c r="K249" s="2" t="s">
        <v>1120</v>
      </c>
      <c r="L249" s="2">
        <v>837</v>
      </c>
      <c r="M249" s="2">
        <v>1</v>
      </c>
      <c r="N249" s="2" t="s">
        <v>996</v>
      </c>
      <c r="O249" s="2">
        <v>307467.15999999997</v>
      </c>
      <c r="P249" s="2">
        <v>0</v>
      </c>
    </row>
    <row r="250" spans="1:16" x14ac:dyDescent="0.2">
      <c r="A250" s="4">
        <v>840</v>
      </c>
      <c r="B250" s="4">
        <v>1</v>
      </c>
      <c r="C250" s="2" t="s">
        <v>252</v>
      </c>
      <c r="D250" s="184">
        <v>573598.77</v>
      </c>
      <c r="E250" s="185">
        <v>0</v>
      </c>
      <c r="G250" s="3">
        <f>SUMIF(Query1!$B$4:$B$125,A250,Query1!$F$4:$F$125)</f>
        <v>0</v>
      </c>
      <c r="H250" s="3">
        <f>SUMIF(Query4!$B$4:$B$48,A250,Query4!$F$4:$F$48)</f>
        <v>0</v>
      </c>
      <c r="J250" s="2">
        <f t="shared" si="3"/>
        <v>0</v>
      </c>
      <c r="K250" s="2" t="s">
        <v>1120</v>
      </c>
      <c r="L250" s="2">
        <v>840</v>
      </c>
      <c r="M250" s="2">
        <v>1</v>
      </c>
      <c r="N250" s="2" t="s">
        <v>997</v>
      </c>
      <c r="O250" s="2">
        <v>573598.77</v>
      </c>
      <c r="P250" s="2">
        <v>0</v>
      </c>
    </row>
    <row r="251" spans="1:16" x14ac:dyDescent="0.2">
      <c r="A251" s="4">
        <v>846</v>
      </c>
      <c r="B251" s="4">
        <v>1</v>
      </c>
      <c r="C251" s="2" t="s">
        <v>253</v>
      </c>
      <c r="D251" s="184">
        <v>329621.92</v>
      </c>
      <c r="E251" s="185">
        <v>0</v>
      </c>
      <c r="G251" s="3">
        <f>SUMIF(Query1!$B$4:$B$125,A251,Query1!$F$4:$F$125)</f>
        <v>0</v>
      </c>
      <c r="H251" s="3">
        <f>SUMIF(Query4!$B$4:$B$48,A251,Query4!$F$4:$F$48)</f>
        <v>0</v>
      </c>
      <c r="J251" s="2">
        <f t="shared" si="3"/>
        <v>0</v>
      </c>
      <c r="K251" s="2" t="s">
        <v>1120</v>
      </c>
      <c r="L251" s="2">
        <v>846</v>
      </c>
      <c r="M251" s="2">
        <v>1</v>
      </c>
      <c r="N251" s="2" t="s">
        <v>998</v>
      </c>
      <c r="O251" s="2">
        <v>329621.92</v>
      </c>
      <c r="P251" s="2">
        <v>0</v>
      </c>
    </row>
    <row r="252" spans="1:16" x14ac:dyDescent="0.2">
      <c r="A252" s="4">
        <v>850</v>
      </c>
      <c r="B252" s="4">
        <v>1</v>
      </c>
      <c r="C252" s="2" t="s">
        <v>254</v>
      </c>
      <c r="D252" s="184">
        <v>217385.98</v>
      </c>
      <c r="E252" s="185">
        <v>0</v>
      </c>
      <c r="G252" s="3">
        <f>SUMIF(Query1!$B$4:$B$125,A252,Query1!$F$4:$F$125)</f>
        <v>0</v>
      </c>
      <c r="H252" s="3">
        <f>SUMIF(Query4!$B$4:$B$48,A252,Query4!$F$4:$F$48)</f>
        <v>0</v>
      </c>
      <c r="J252" s="2">
        <f t="shared" si="3"/>
        <v>0</v>
      </c>
      <c r="K252" s="2" t="s">
        <v>1120</v>
      </c>
      <c r="L252" s="2">
        <v>850</v>
      </c>
      <c r="M252" s="2">
        <v>1</v>
      </c>
      <c r="N252" s="2" t="s">
        <v>999</v>
      </c>
      <c r="O252" s="2">
        <v>217385.98</v>
      </c>
      <c r="P252" s="2">
        <v>0</v>
      </c>
    </row>
    <row r="253" spans="1:16" x14ac:dyDescent="0.2">
      <c r="A253" s="4">
        <v>852</v>
      </c>
      <c r="B253" s="4">
        <v>1</v>
      </c>
      <c r="C253" s="2" t="s">
        <v>255</v>
      </c>
      <c r="D253" s="184">
        <v>87621.64</v>
      </c>
      <c r="E253" s="185">
        <v>0</v>
      </c>
      <c r="G253" s="3">
        <f>SUMIF(Query1!$B$4:$B$125,A253,Query1!$F$4:$F$125)</f>
        <v>0</v>
      </c>
      <c r="H253" s="3">
        <f>SUMIF(Query4!$B$4:$B$48,A253,Query4!$F$4:$F$48)</f>
        <v>0</v>
      </c>
      <c r="J253" s="2">
        <f t="shared" si="3"/>
        <v>0</v>
      </c>
      <c r="K253" s="2" t="s">
        <v>1120</v>
      </c>
      <c r="L253" s="2">
        <v>852</v>
      </c>
      <c r="M253" s="2">
        <v>1</v>
      </c>
      <c r="N253" s="2" t="s">
        <v>1000</v>
      </c>
      <c r="O253" s="2">
        <v>87621.64</v>
      </c>
      <c r="P253" s="2">
        <v>0</v>
      </c>
    </row>
    <row r="254" spans="1:16" x14ac:dyDescent="0.2">
      <c r="A254" s="4">
        <v>857</v>
      </c>
      <c r="B254" s="4">
        <v>1</v>
      </c>
      <c r="C254" s="2" t="s">
        <v>256</v>
      </c>
      <c r="D254" s="184">
        <v>307772.37</v>
      </c>
      <c r="E254" s="185">
        <v>0</v>
      </c>
      <c r="G254" s="3">
        <f>SUMIF(Query1!$B$4:$B$125,A254,Query1!$F$4:$F$125)</f>
        <v>0</v>
      </c>
      <c r="H254" s="3">
        <f>SUMIF(Query4!$B$4:$B$48,A254,Query4!$F$4:$F$48)</f>
        <v>0</v>
      </c>
      <c r="J254" s="2">
        <f t="shared" si="3"/>
        <v>0</v>
      </c>
      <c r="K254" s="2" t="s">
        <v>1120</v>
      </c>
      <c r="L254" s="2">
        <v>857</v>
      </c>
      <c r="M254" s="2">
        <v>1</v>
      </c>
      <c r="N254" s="2" t="s">
        <v>1001</v>
      </c>
      <c r="O254" s="2">
        <v>307772.37</v>
      </c>
      <c r="P254" s="2">
        <v>0</v>
      </c>
    </row>
    <row r="255" spans="1:16" x14ac:dyDescent="0.2">
      <c r="A255" s="4">
        <v>858</v>
      </c>
      <c r="B255" s="4">
        <v>1</v>
      </c>
      <c r="C255" s="2" t="s">
        <v>257</v>
      </c>
      <c r="D255" s="184">
        <v>282728.33</v>
      </c>
      <c r="E255" s="185">
        <v>0</v>
      </c>
      <c r="G255" s="3">
        <f>SUMIF(Query1!$B$4:$B$125,A255,Query1!$F$4:$F$125)</f>
        <v>-12364</v>
      </c>
      <c r="H255" s="3">
        <f>SUMIF(Query4!$B$4:$B$48,A255,Query4!$F$4:$F$48)</f>
        <v>0</v>
      </c>
      <c r="J255" s="2">
        <f t="shared" si="3"/>
        <v>0</v>
      </c>
      <c r="K255" s="2" t="s">
        <v>1120</v>
      </c>
      <c r="L255" s="2">
        <v>858</v>
      </c>
      <c r="M255" s="2">
        <v>1</v>
      </c>
      <c r="N255" s="2" t="s">
        <v>1002</v>
      </c>
      <c r="O255" s="2">
        <v>282728.33</v>
      </c>
      <c r="P255" s="2">
        <v>0</v>
      </c>
    </row>
    <row r="256" spans="1:16" x14ac:dyDescent="0.2">
      <c r="A256" s="4">
        <v>861</v>
      </c>
      <c r="B256" s="4">
        <v>1</v>
      </c>
      <c r="C256" s="2" t="s">
        <v>1196</v>
      </c>
      <c r="D256" s="184">
        <v>4059444.87</v>
      </c>
      <c r="E256" s="185">
        <v>0</v>
      </c>
      <c r="G256" s="3">
        <f>SUMIF(Query1!$B$4:$B$125,A256,Query1!$F$4:$F$125)</f>
        <v>0</v>
      </c>
      <c r="H256" s="3">
        <f>SUMIF(Query4!$B$4:$B$48,A256,Query4!$F$4:$F$48)</f>
        <v>0</v>
      </c>
      <c r="J256" s="2">
        <f t="shared" si="3"/>
        <v>0</v>
      </c>
      <c r="K256" s="2" t="s">
        <v>1120</v>
      </c>
      <c r="L256" s="2">
        <v>861</v>
      </c>
      <c r="M256" s="2">
        <v>1</v>
      </c>
      <c r="N256" s="2" t="s">
        <v>1003</v>
      </c>
      <c r="O256" s="2">
        <v>4059444.87</v>
      </c>
      <c r="P256" s="2">
        <v>0</v>
      </c>
    </row>
    <row r="257" spans="1:16" x14ac:dyDescent="0.2">
      <c r="A257" s="4">
        <v>876</v>
      </c>
      <c r="B257" s="4">
        <v>1</v>
      </c>
      <c r="C257" s="2" t="s">
        <v>259</v>
      </c>
      <c r="D257" s="184">
        <v>938505.76</v>
      </c>
      <c r="E257" s="185">
        <v>0</v>
      </c>
      <c r="G257" s="3">
        <f>SUMIF(Query1!$B$4:$B$125,A257,Query1!$F$4:$F$125)</f>
        <v>0</v>
      </c>
      <c r="H257" s="3">
        <f>SUMIF(Query4!$B$4:$B$48,A257,Query4!$F$4:$F$48)</f>
        <v>0</v>
      </c>
      <c r="J257" s="2">
        <f t="shared" si="3"/>
        <v>0</v>
      </c>
      <c r="K257" s="2" t="s">
        <v>1120</v>
      </c>
      <c r="L257" s="2">
        <v>876</v>
      </c>
      <c r="M257" s="2">
        <v>1</v>
      </c>
      <c r="N257" s="2" t="s">
        <v>1004</v>
      </c>
      <c r="O257" s="2">
        <v>938505.76</v>
      </c>
      <c r="P257" s="2">
        <v>0</v>
      </c>
    </row>
    <row r="258" spans="1:16" x14ac:dyDescent="0.2">
      <c r="A258" s="4">
        <v>877</v>
      </c>
      <c r="B258" s="4">
        <v>1</v>
      </c>
      <c r="C258" s="2" t="s">
        <v>1005</v>
      </c>
      <c r="D258" s="184">
        <v>2359360.83</v>
      </c>
      <c r="E258" s="185">
        <v>0</v>
      </c>
      <c r="G258" s="3">
        <f>SUMIF(Query1!$B$4:$B$125,A258,Query1!$F$4:$F$125)</f>
        <v>0</v>
      </c>
      <c r="H258" s="3">
        <f>SUMIF(Query4!$B$4:$B$48,A258,Query4!$F$4:$F$48)</f>
        <v>0</v>
      </c>
      <c r="J258" s="2">
        <f t="shared" si="3"/>
        <v>0</v>
      </c>
      <c r="K258" s="2" t="s">
        <v>1120</v>
      </c>
      <c r="L258" s="2">
        <v>877</v>
      </c>
      <c r="M258" s="2">
        <v>1</v>
      </c>
      <c r="N258" s="2" t="s">
        <v>1005</v>
      </c>
      <c r="O258" s="2">
        <v>2359360.83</v>
      </c>
      <c r="P258" s="2">
        <v>0</v>
      </c>
    </row>
    <row r="259" spans="1:16" x14ac:dyDescent="0.2">
      <c r="A259" s="4">
        <v>879</v>
      </c>
      <c r="B259" s="4">
        <v>1</v>
      </c>
      <c r="C259" s="2" t="s">
        <v>261</v>
      </c>
      <c r="D259" s="184">
        <v>1258924.8799999999</v>
      </c>
      <c r="E259" s="185">
        <v>0</v>
      </c>
      <c r="G259" s="3">
        <f>SUMIF(Query1!$B$4:$B$125,A259,Query1!$F$4:$F$125)</f>
        <v>0</v>
      </c>
      <c r="H259" s="3">
        <f>SUMIF(Query4!$B$4:$B$48,A259,Query4!$F$4:$F$48)</f>
        <v>0</v>
      </c>
      <c r="J259" s="2">
        <f t="shared" si="3"/>
        <v>0</v>
      </c>
      <c r="K259" s="2" t="s">
        <v>1120</v>
      </c>
      <c r="L259" s="2">
        <v>879</v>
      </c>
      <c r="M259" s="2">
        <v>1</v>
      </c>
      <c r="N259" s="2" t="s">
        <v>1006</v>
      </c>
      <c r="O259" s="2">
        <v>1258924.8799999999</v>
      </c>
      <c r="P259" s="2">
        <v>0</v>
      </c>
    </row>
    <row r="260" spans="1:16" x14ac:dyDescent="0.2">
      <c r="A260" s="4">
        <v>881</v>
      </c>
      <c r="B260" s="4">
        <v>1</v>
      </c>
      <c r="C260" s="2" t="s">
        <v>262</v>
      </c>
      <c r="D260" s="184">
        <v>371174.52</v>
      </c>
      <c r="E260" s="185">
        <v>0</v>
      </c>
      <c r="G260" s="3">
        <f>SUMIF(Query1!$B$4:$B$125,A260,Query1!$F$4:$F$125)</f>
        <v>0</v>
      </c>
      <c r="H260" s="3">
        <f>SUMIF(Query4!$B$4:$B$48,A260,Query4!$F$4:$F$48)</f>
        <v>0</v>
      </c>
      <c r="J260" s="2">
        <f t="shared" si="3"/>
        <v>0</v>
      </c>
      <c r="K260" s="2" t="s">
        <v>1120</v>
      </c>
      <c r="L260" s="2">
        <v>881</v>
      </c>
      <c r="M260" s="2">
        <v>1</v>
      </c>
      <c r="N260" s="2" t="s">
        <v>1007</v>
      </c>
      <c r="O260" s="2">
        <v>371174.52</v>
      </c>
      <c r="P260" s="2">
        <v>0</v>
      </c>
    </row>
    <row r="261" spans="1:16" x14ac:dyDescent="0.2">
      <c r="A261" s="4">
        <v>882</v>
      </c>
      <c r="B261" s="4">
        <v>1</v>
      </c>
      <c r="C261" s="2" t="s">
        <v>263</v>
      </c>
      <c r="D261" s="184">
        <v>2336941.73</v>
      </c>
      <c r="E261" s="185">
        <v>0</v>
      </c>
      <c r="G261" s="3">
        <f>SUMIF(Query1!$B$4:$B$125,A261,Query1!$F$4:$F$125)</f>
        <v>0</v>
      </c>
      <c r="H261" s="3">
        <f>SUMIF(Query4!$B$4:$B$48,A261,Query4!$F$4:$F$48)</f>
        <v>0</v>
      </c>
      <c r="J261" s="2">
        <f t="shared" si="3"/>
        <v>0</v>
      </c>
      <c r="K261" s="2" t="s">
        <v>1120</v>
      </c>
      <c r="L261" s="2">
        <v>882</v>
      </c>
      <c r="M261" s="2">
        <v>1</v>
      </c>
      <c r="N261" s="2" t="s">
        <v>1008</v>
      </c>
      <c r="O261" s="2">
        <v>2336941.73</v>
      </c>
      <c r="P261" s="2">
        <v>0</v>
      </c>
    </row>
    <row r="262" spans="1:16" x14ac:dyDescent="0.2">
      <c r="A262" s="4">
        <v>883</v>
      </c>
      <c r="B262" s="4">
        <v>1</v>
      </c>
      <c r="C262" s="2" t="s">
        <v>264</v>
      </c>
      <c r="D262" s="184">
        <v>655459.18000000005</v>
      </c>
      <c r="E262" s="185">
        <v>0</v>
      </c>
      <c r="G262" s="3">
        <f>SUMIF(Query1!$B$4:$B$125,A262,Query1!$F$4:$F$125)</f>
        <v>0</v>
      </c>
      <c r="H262" s="3">
        <f>SUMIF(Query4!$B$4:$B$48,A262,Query4!$F$4:$F$48)</f>
        <v>0</v>
      </c>
      <c r="J262" s="2">
        <f t="shared" si="3"/>
        <v>0</v>
      </c>
      <c r="K262" s="2" t="s">
        <v>1120</v>
      </c>
      <c r="L262" s="2">
        <v>883</v>
      </c>
      <c r="M262" s="2">
        <v>1</v>
      </c>
      <c r="N262" s="2" t="s">
        <v>1009</v>
      </c>
      <c r="O262" s="2">
        <v>655459.18000000005</v>
      </c>
      <c r="P262" s="2">
        <v>0</v>
      </c>
    </row>
    <row r="263" spans="1:16" x14ac:dyDescent="0.2">
      <c r="A263" s="4">
        <v>885</v>
      </c>
      <c r="B263" s="4">
        <v>1</v>
      </c>
      <c r="C263" s="2" t="s">
        <v>1197</v>
      </c>
      <c r="D263" s="184">
        <v>1728549.42</v>
      </c>
      <c r="E263" s="185">
        <v>0</v>
      </c>
      <c r="G263" s="3">
        <f>SUMIF(Query1!$B$4:$B$125,A263,Query1!$F$4:$F$125)</f>
        <v>0</v>
      </c>
      <c r="H263" s="3">
        <f>SUMIF(Query4!$B$4:$B$48,A263,Query4!$F$4:$F$48)</f>
        <v>0</v>
      </c>
      <c r="J263" s="2">
        <f t="shared" si="3"/>
        <v>0</v>
      </c>
      <c r="K263" s="2" t="s">
        <v>1120</v>
      </c>
      <c r="L263" s="2">
        <v>885</v>
      </c>
      <c r="M263" s="2">
        <v>1</v>
      </c>
      <c r="N263" s="2" t="s">
        <v>1010</v>
      </c>
      <c r="O263" s="2">
        <v>1728549.42</v>
      </c>
      <c r="P263" s="2">
        <v>0</v>
      </c>
    </row>
    <row r="264" spans="1:16" x14ac:dyDescent="0.2">
      <c r="A264" s="4">
        <v>891</v>
      </c>
      <c r="B264" s="4">
        <v>1</v>
      </c>
      <c r="C264" s="2" t="s">
        <v>266</v>
      </c>
      <c r="D264" s="184">
        <v>220251.28</v>
      </c>
      <c r="E264" s="185">
        <v>0</v>
      </c>
      <c r="G264" s="3">
        <f>SUMIF(Query1!$B$4:$B$125,A264,Query1!$F$4:$F$125)</f>
        <v>-3990.93</v>
      </c>
      <c r="H264" s="3">
        <f>SUMIF(Query4!$B$4:$B$48,A264,Query4!$F$4:$F$48)</f>
        <v>0</v>
      </c>
      <c r="J264" s="2">
        <f t="shared" si="3"/>
        <v>0</v>
      </c>
      <c r="K264" s="2" t="s">
        <v>1120</v>
      </c>
      <c r="L264" s="2">
        <v>891</v>
      </c>
      <c r="M264" s="2">
        <v>1</v>
      </c>
      <c r="N264" s="2" t="s">
        <v>1011</v>
      </c>
      <c r="O264" s="2">
        <v>220251.28</v>
      </c>
      <c r="P264" s="2">
        <v>0</v>
      </c>
    </row>
    <row r="265" spans="1:16" x14ac:dyDescent="0.2">
      <c r="A265" s="4">
        <v>911</v>
      </c>
      <c r="B265" s="4">
        <v>1</v>
      </c>
      <c r="C265" s="2" t="s">
        <v>267</v>
      </c>
      <c r="D265" s="184">
        <v>912513.84</v>
      </c>
      <c r="E265" s="185">
        <v>0</v>
      </c>
      <c r="G265" s="3">
        <f>SUMIF(Query1!$B$4:$B$125,A265,Query1!$F$4:$F$125)</f>
        <v>0</v>
      </c>
      <c r="H265" s="3">
        <f>SUMIF(Query4!$B$4:$B$48,A265,Query4!$F$4:$F$48)</f>
        <v>0</v>
      </c>
      <c r="J265" s="2">
        <f t="shared" si="3"/>
        <v>0</v>
      </c>
      <c r="K265" s="2" t="s">
        <v>1120</v>
      </c>
      <c r="L265" s="2">
        <v>911</v>
      </c>
      <c r="M265" s="2">
        <v>1</v>
      </c>
      <c r="N265" s="2" t="s">
        <v>1012</v>
      </c>
      <c r="O265" s="2">
        <v>912513.84</v>
      </c>
      <c r="P265" s="2">
        <v>0</v>
      </c>
    </row>
    <row r="266" spans="1:16" x14ac:dyDescent="0.2">
      <c r="A266" s="4">
        <v>912</v>
      </c>
      <c r="B266" s="4">
        <v>1</v>
      </c>
      <c r="C266" s="2" t="s">
        <v>268</v>
      </c>
      <c r="D266" s="184">
        <v>185565.49</v>
      </c>
      <c r="E266" s="185">
        <v>0</v>
      </c>
      <c r="G266" s="3">
        <f>SUMIF(Query1!$B$4:$B$125,A266,Query1!$F$4:$F$125)</f>
        <v>-53870.32</v>
      </c>
      <c r="H266" s="3">
        <f>SUMIF(Query4!$B$4:$B$48,A266,Query4!$F$4:$F$48)</f>
        <v>0</v>
      </c>
      <c r="J266" s="2">
        <f t="shared" ref="J266:J329" si="4">L266-A266</f>
        <v>0</v>
      </c>
      <c r="K266" s="2" t="s">
        <v>1120</v>
      </c>
      <c r="L266" s="2">
        <v>912</v>
      </c>
      <c r="M266" s="2">
        <v>1</v>
      </c>
      <c r="N266" s="2" t="s">
        <v>1013</v>
      </c>
      <c r="O266" s="2">
        <v>185565.49</v>
      </c>
      <c r="P266" s="2">
        <v>0</v>
      </c>
    </row>
    <row r="267" spans="1:16" x14ac:dyDescent="0.2">
      <c r="A267" s="4">
        <v>914</v>
      </c>
      <c r="B267" s="4">
        <v>1</v>
      </c>
      <c r="C267" s="2" t="s">
        <v>269</v>
      </c>
      <c r="D267" s="184">
        <v>158912.4</v>
      </c>
      <c r="E267" s="185">
        <v>0</v>
      </c>
      <c r="G267" s="3">
        <f>SUMIF(Query1!$B$4:$B$125,A267,Query1!$F$4:$F$125)</f>
        <v>0</v>
      </c>
      <c r="H267" s="3">
        <f>SUMIF(Query4!$B$4:$B$48,A267,Query4!$F$4:$F$48)</f>
        <v>-0.09</v>
      </c>
      <c r="J267" s="2">
        <f t="shared" si="4"/>
        <v>0</v>
      </c>
      <c r="K267" s="2" t="s">
        <v>1120</v>
      </c>
      <c r="L267" s="2">
        <v>914</v>
      </c>
      <c r="M267" s="2">
        <v>1</v>
      </c>
      <c r="N267" s="2" t="s">
        <v>1014</v>
      </c>
      <c r="O267" s="2">
        <v>158912.4</v>
      </c>
      <c r="P267" s="2">
        <v>0</v>
      </c>
    </row>
    <row r="268" spans="1:16" x14ac:dyDescent="0.2">
      <c r="A268" s="4">
        <v>2071</v>
      </c>
      <c r="B268" s="4">
        <v>1</v>
      </c>
      <c r="C268" s="2" t="s">
        <v>1166</v>
      </c>
      <c r="D268" s="184">
        <v>427129.53</v>
      </c>
      <c r="E268" s="185">
        <v>0</v>
      </c>
      <c r="G268" s="3">
        <f>SUMIF(Query1!$B$4:$B$125,A268,Query1!$F$4:$F$125)</f>
        <v>0</v>
      </c>
      <c r="H268" s="3">
        <f>SUMIF(Query4!$B$4:$B$48,A268,Query4!$F$4:$F$48)</f>
        <v>0</v>
      </c>
      <c r="J268" s="2">
        <f t="shared" si="4"/>
        <v>0</v>
      </c>
      <c r="K268" s="2" t="s">
        <v>1120</v>
      </c>
      <c r="L268" s="2">
        <v>2071</v>
      </c>
      <c r="M268" s="2">
        <v>1</v>
      </c>
      <c r="N268" s="2" t="s">
        <v>1015</v>
      </c>
      <c r="O268" s="2">
        <v>427129.53</v>
      </c>
      <c r="P268" s="2">
        <v>0</v>
      </c>
    </row>
    <row r="269" spans="1:16" x14ac:dyDescent="0.2">
      <c r="A269" s="4">
        <v>2125</v>
      </c>
      <c r="B269" s="4">
        <v>1</v>
      </c>
      <c r="C269" s="2" t="s">
        <v>271</v>
      </c>
      <c r="D269" s="184">
        <v>500862.07</v>
      </c>
      <c r="E269" s="185">
        <v>0</v>
      </c>
      <c r="G269" s="3">
        <f>SUMIF(Query1!$B$4:$B$125,A269,Query1!$F$4:$F$125)</f>
        <v>0</v>
      </c>
      <c r="H269" s="3">
        <f>SUMIF(Query4!$B$4:$B$48,A269,Query4!$F$4:$F$48)</f>
        <v>0</v>
      </c>
      <c r="J269" s="2">
        <f t="shared" si="4"/>
        <v>0</v>
      </c>
      <c r="K269" s="2" t="s">
        <v>1120</v>
      </c>
      <c r="L269" s="2">
        <v>2125</v>
      </c>
      <c r="M269" s="2">
        <v>1</v>
      </c>
      <c r="N269" s="2" t="s">
        <v>1016</v>
      </c>
      <c r="O269" s="2">
        <v>500862.07</v>
      </c>
      <c r="P269" s="2">
        <v>0</v>
      </c>
    </row>
    <row r="270" spans="1:16" x14ac:dyDescent="0.2">
      <c r="A270" s="4">
        <v>2134</v>
      </c>
      <c r="B270" s="4">
        <v>1</v>
      </c>
      <c r="C270" s="2" t="s">
        <v>1165</v>
      </c>
      <c r="D270" s="184">
        <v>353444.13</v>
      </c>
      <c r="E270" s="185">
        <v>0</v>
      </c>
      <c r="G270" s="3">
        <f>SUMIF(Query1!$B$4:$B$125,A270,Query1!$F$4:$F$125)</f>
        <v>0</v>
      </c>
      <c r="H270" s="3">
        <f>SUMIF(Query4!$B$4:$B$48,A270,Query4!$F$4:$F$48)</f>
        <v>0</v>
      </c>
      <c r="J270" s="2">
        <f t="shared" si="4"/>
        <v>0</v>
      </c>
      <c r="K270" s="2" t="s">
        <v>1120</v>
      </c>
      <c r="L270" s="2">
        <v>2134</v>
      </c>
      <c r="M270" s="2">
        <v>1</v>
      </c>
      <c r="N270" s="2" t="s">
        <v>1017</v>
      </c>
      <c r="O270" s="2">
        <v>353444.13</v>
      </c>
      <c r="P270" s="2">
        <v>0</v>
      </c>
    </row>
    <row r="271" spans="1:16" x14ac:dyDescent="0.2">
      <c r="A271" s="4">
        <v>2135</v>
      </c>
      <c r="B271" s="4">
        <v>1</v>
      </c>
      <c r="C271" s="2" t="s">
        <v>273</v>
      </c>
      <c r="D271" s="184">
        <v>399038.84</v>
      </c>
      <c r="E271" s="185">
        <v>0</v>
      </c>
      <c r="G271" s="3">
        <f>SUMIF(Query1!$B$4:$B$125,A271,Query1!$F$4:$F$125)</f>
        <v>0</v>
      </c>
      <c r="H271" s="3">
        <f>SUMIF(Query4!$B$4:$B$48,A271,Query4!$F$4:$F$48)</f>
        <v>0</v>
      </c>
      <c r="J271" s="2">
        <f t="shared" si="4"/>
        <v>0</v>
      </c>
      <c r="K271" s="2" t="s">
        <v>1120</v>
      </c>
      <c r="L271" s="2">
        <v>2135</v>
      </c>
      <c r="M271" s="2">
        <v>1</v>
      </c>
      <c r="N271" s="2" t="s">
        <v>1018</v>
      </c>
      <c r="O271" s="2">
        <v>399038.84</v>
      </c>
      <c r="P271" s="2">
        <v>0</v>
      </c>
    </row>
    <row r="272" spans="1:16" x14ac:dyDescent="0.2">
      <c r="A272" s="4">
        <v>2137</v>
      </c>
      <c r="B272" s="4">
        <v>1</v>
      </c>
      <c r="C272" s="2" t="s">
        <v>274</v>
      </c>
      <c r="D272" s="184">
        <v>354115.95</v>
      </c>
      <c r="E272" s="185">
        <v>0</v>
      </c>
      <c r="G272" s="3">
        <f>SUMIF(Query1!$B$4:$B$125,A272,Query1!$F$4:$F$125)</f>
        <v>0</v>
      </c>
      <c r="H272" s="3">
        <f>SUMIF(Query4!$B$4:$B$48,A272,Query4!$F$4:$F$48)</f>
        <v>0</v>
      </c>
      <c r="J272" s="2">
        <f t="shared" si="4"/>
        <v>0</v>
      </c>
      <c r="K272" s="2" t="s">
        <v>1120</v>
      </c>
      <c r="L272" s="2">
        <v>2137</v>
      </c>
      <c r="M272" s="2">
        <v>1</v>
      </c>
      <c r="N272" s="2" t="s">
        <v>1019</v>
      </c>
      <c r="O272" s="2">
        <v>354115.95</v>
      </c>
      <c r="P272" s="2">
        <v>0</v>
      </c>
    </row>
    <row r="273" spans="1:16" x14ac:dyDescent="0.2">
      <c r="A273" s="4">
        <v>2142</v>
      </c>
      <c r="B273" s="4">
        <v>1</v>
      </c>
      <c r="C273" s="2" t="s">
        <v>275</v>
      </c>
      <c r="D273" s="184">
        <v>804708.64</v>
      </c>
      <c r="E273" s="185">
        <v>0</v>
      </c>
      <c r="G273" s="3">
        <f>SUMIF(Query1!$B$4:$B$125,A273,Query1!$F$4:$F$125)</f>
        <v>0</v>
      </c>
      <c r="H273" s="3">
        <f>SUMIF(Query4!$B$4:$B$48,A273,Query4!$F$4:$F$48)</f>
        <v>0</v>
      </c>
      <c r="J273" s="2">
        <f t="shared" si="4"/>
        <v>0</v>
      </c>
      <c r="K273" s="2" t="s">
        <v>1120</v>
      </c>
      <c r="L273" s="2">
        <v>2142</v>
      </c>
      <c r="M273" s="2">
        <v>1</v>
      </c>
      <c r="N273" s="2" t="s">
        <v>1020</v>
      </c>
      <c r="O273" s="2">
        <v>804708.64</v>
      </c>
      <c r="P273" s="2">
        <v>0</v>
      </c>
    </row>
    <row r="274" spans="1:16" x14ac:dyDescent="0.2">
      <c r="A274" s="4">
        <v>2143</v>
      </c>
      <c r="B274" s="4">
        <v>1</v>
      </c>
      <c r="C274" s="2" t="s">
        <v>1164</v>
      </c>
      <c r="D274" s="184">
        <v>843093.97</v>
      </c>
      <c r="E274" s="185">
        <v>0</v>
      </c>
      <c r="G274" s="3">
        <f>SUMIF(Query1!$B$4:$B$125,A274,Query1!$F$4:$F$125)</f>
        <v>0</v>
      </c>
      <c r="H274" s="3">
        <f>SUMIF(Query4!$B$4:$B$48,A274,Query4!$F$4:$F$48)</f>
        <v>0</v>
      </c>
      <c r="J274" s="2">
        <f t="shared" si="4"/>
        <v>0</v>
      </c>
      <c r="K274" s="2" t="s">
        <v>1120</v>
      </c>
      <c r="L274" s="2">
        <v>2143</v>
      </c>
      <c r="M274" s="2">
        <v>1</v>
      </c>
      <c r="N274" s="2" t="s">
        <v>1021</v>
      </c>
      <c r="O274" s="2">
        <v>843093.97</v>
      </c>
      <c r="P274" s="2">
        <v>0</v>
      </c>
    </row>
    <row r="275" spans="1:16" x14ac:dyDescent="0.2">
      <c r="A275" s="4">
        <v>2144</v>
      </c>
      <c r="B275" s="4">
        <v>1</v>
      </c>
      <c r="C275" s="2" t="s">
        <v>277</v>
      </c>
      <c r="D275" s="184">
        <v>1581664.46</v>
      </c>
      <c r="E275" s="185">
        <v>0</v>
      </c>
      <c r="G275" s="3">
        <f>SUMIF(Query1!$B$4:$B$125,A275,Query1!$F$4:$F$125)</f>
        <v>0</v>
      </c>
      <c r="H275" s="3">
        <f>SUMIF(Query4!$B$4:$B$48,A275,Query4!$F$4:$F$48)</f>
        <v>0</v>
      </c>
      <c r="J275" s="2">
        <f t="shared" si="4"/>
        <v>0</v>
      </c>
      <c r="K275" s="2" t="s">
        <v>1120</v>
      </c>
      <c r="L275" s="2">
        <v>2144</v>
      </c>
      <c r="M275" s="2">
        <v>1</v>
      </c>
      <c r="N275" s="2" t="s">
        <v>1022</v>
      </c>
      <c r="O275" s="2">
        <v>1581664.46</v>
      </c>
      <c r="P275" s="2">
        <v>0</v>
      </c>
    </row>
    <row r="276" spans="1:16" x14ac:dyDescent="0.2">
      <c r="A276" s="4">
        <v>2149</v>
      </c>
      <c r="B276" s="4">
        <v>1</v>
      </c>
      <c r="C276" s="2" t="s">
        <v>278</v>
      </c>
      <c r="D276" s="184">
        <v>733124.47</v>
      </c>
      <c r="E276" s="185">
        <v>0</v>
      </c>
      <c r="G276" s="3">
        <f>SUMIF(Query1!$B$4:$B$125,A276,Query1!$F$4:$F$125)</f>
        <v>0</v>
      </c>
      <c r="H276" s="3">
        <f>SUMIF(Query4!$B$4:$B$48,A276,Query4!$F$4:$F$48)</f>
        <v>0</v>
      </c>
      <c r="J276" s="2">
        <f t="shared" si="4"/>
        <v>0</v>
      </c>
      <c r="K276" s="2" t="s">
        <v>1120</v>
      </c>
      <c r="L276" s="2">
        <v>2149</v>
      </c>
      <c r="M276" s="2">
        <v>1</v>
      </c>
      <c r="N276" s="2" t="s">
        <v>1023</v>
      </c>
      <c r="O276" s="2">
        <v>733124.47</v>
      </c>
      <c r="P276" s="2">
        <v>0</v>
      </c>
    </row>
    <row r="277" spans="1:16" x14ac:dyDescent="0.2">
      <c r="A277" s="4">
        <v>2154</v>
      </c>
      <c r="B277" s="4">
        <v>1</v>
      </c>
      <c r="C277" s="2" t="s">
        <v>279</v>
      </c>
      <c r="D277" s="184">
        <v>226487.66</v>
      </c>
      <c r="E277" s="185">
        <v>0</v>
      </c>
      <c r="G277" s="3">
        <f>SUMIF(Query1!$B$4:$B$125,A277,Query1!$F$4:$F$125)</f>
        <v>-30221.91</v>
      </c>
      <c r="H277" s="3">
        <f>SUMIF(Query4!$B$4:$B$48,A277,Query4!$F$4:$F$48)</f>
        <v>0</v>
      </c>
      <c r="J277" s="2">
        <f t="shared" si="4"/>
        <v>0</v>
      </c>
      <c r="K277" s="2" t="s">
        <v>1120</v>
      </c>
      <c r="L277" s="2">
        <v>2154</v>
      </c>
      <c r="M277" s="2">
        <v>1</v>
      </c>
      <c r="N277" s="2" t="s">
        <v>1024</v>
      </c>
      <c r="O277" s="2">
        <v>226487.66</v>
      </c>
      <c r="P277" s="2">
        <v>0</v>
      </c>
    </row>
    <row r="278" spans="1:16" x14ac:dyDescent="0.2">
      <c r="A278" s="4">
        <v>2155</v>
      </c>
      <c r="B278" s="4">
        <v>1</v>
      </c>
      <c r="C278" s="2" t="s">
        <v>1163</v>
      </c>
      <c r="D278" s="184">
        <v>394218.04</v>
      </c>
      <c r="E278" s="185">
        <v>0</v>
      </c>
      <c r="G278" s="3">
        <f>SUMIF(Query1!$B$4:$B$125,A278,Query1!$F$4:$F$125)</f>
        <v>0</v>
      </c>
      <c r="H278" s="3">
        <f>SUMIF(Query4!$B$4:$B$48,A278,Query4!$F$4:$F$48)</f>
        <v>0</v>
      </c>
      <c r="J278" s="2">
        <f t="shared" si="4"/>
        <v>0</v>
      </c>
      <c r="K278" s="2" t="s">
        <v>1120</v>
      </c>
      <c r="L278" s="2">
        <v>2155</v>
      </c>
      <c r="M278" s="2">
        <v>1</v>
      </c>
      <c r="N278" s="2" t="s">
        <v>1025</v>
      </c>
      <c r="O278" s="2">
        <v>394218.04</v>
      </c>
      <c r="P278" s="2">
        <v>0</v>
      </c>
    </row>
    <row r="279" spans="1:16" x14ac:dyDescent="0.2">
      <c r="A279" s="4">
        <v>2159</v>
      </c>
      <c r="B279" s="4">
        <v>1</v>
      </c>
      <c r="C279" s="2" t="s">
        <v>1162</v>
      </c>
      <c r="D279" s="184">
        <v>254519.4</v>
      </c>
      <c r="E279" s="185">
        <v>0</v>
      </c>
      <c r="G279" s="3">
        <f>SUMIF(Query1!$B$4:$B$125,A279,Query1!$F$4:$F$125)</f>
        <v>0</v>
      </c>
      <c r="H279" s="3">
        <f>SUMIF(Query4!$B$4:$B$48,A279,Query4!$F$4:$F$48)</f>
        <v>-360.69</v>
      </c>
      <c r="J279" s="2">
        <f t="shared" si="4"/>
        <v>0</v>
      </c>
      <c r="K279" s="2" t="s">
        <v>1120</v>
      </c>
      <c r="L279" s="2">
        <v>2159</v>
      </c>
      <c r="M279" s="2">
        <v>1</v>
      </c>
      <c r="N279" s="2" t="s">
        <v>1026</v>
      </c>
      <c r="O279" s="2">
        <v>254519.4</v>
      </c>
      <c r="P279" s="2">
        <v>0</v>
      </c>
    </row>
    <row r="280" spans="1:16" x14ac:dyDescent="0.2">
      <c r="A280" s="4">
        <v>2164</v>
      </c>
      <c r="B280" s="4">
        <v>1</v>
      </c>
      <c r="C280" s="2" t="s">
        <v>1161</v>
      </c>
      <c r="D280" s="184">
        <v>323529.93</v>
      </c>
      <c r="E280" s="185">
        <v>0</v>
      </c>
      <c r="G280" s="3">
        <f>SUMIF(Query1!$B$4:$B$125,A280,Query1!$F$4:$F$125)</f>
        <v>-16997</v>
      </c>
      <c r="H280" s="3">
        <f>SUMIF(Query4!$B$4:$B$48,A280,Query4!$F$4:$F$48)</f>
        <v>0</v>
      </c>
      <c r="J280" s="2">
        <f t="shared" si="4"/>
        <v>0</v>
      </c>
      <c r="K280" s="2" t="s">
        <v>1120</v>
      </c>
      <c r="L280" s="2">
        <v>2164</v>
      </c>
      <c r="M280" s="2">
        <v>1</v>
      </c>
      <c r="N280" s="2" t="s">
        <v>1027</v>
      </c>
      <c r="O280" s="2">
        <v>323529.93</v>
      </c>
      <c r="P280" s="2">
        <v>0</v>
      </c>
    </row>
    <row r="281" spans="1:16" x14ac:dyDescent="0.2">
      <c r="A281" s="4">
        <v>2165</v>
      </c>
      <c r="B281" s="4">
        <v>1</v>
      </c>
      <c r="C281" s="2" t="s">
        <v>1160</v>
      </c>
      <c r="D281" s="184">
        <v>261375.13</v>
      </c>
      <c r="E281" s="185">
        <v>0</v>
      </c>
      <c r="G281" s="3">
        <f>SUMIF(Query1!$B$4:$B$125,A281,Query1!$F$4:$F$125)</f>
        <v>0</v>
      </c>
      <c r="H281" s="3">
        <f>SUMIF(Query4!$B$4:$B$48,A281,Query4!$F$4:$F$48)</f>
        <v>0</v>
      </c>
      <c r="J281" s="2">
        <f t="shared" si="4"/>
        <v>0</v>
      </c>
      <c r="K281" s="2" t="s">
        <v>1120</v>
      </c>
      <c r="L281" s="2">
        <v>2165</v>
      </c>
      <c r="M281" s="2">
        <v>1</v>
      </c>
      <c r="N281" s="2" t="s">
        <v>1028</v>
      </c>
      <c r="O281" s="2">
        <v>261375.13</v>
      </c>
      <c r="P281" s="2">
        <v>0</v>
      </c>
    </row>
    <row r="282" spans="1:16" x14ac:dyDescent="0.2">
      <c r="A282" s="4">
        <v>2167</v>
      </c>
      <c r="B282" s="4">
        <v>1</v>
      </c>
      <c r="C282" s="2" t="s">
        <v>284</v>
      </c>
      <c r="D282" s="184">
        <v>239006.16</v>
      </c>
      <c r="E282" s="185">
        <v>0</v>
      </c>
      <c r="G282" s="3">
        <f>SUMIF(Query1!$B$4:$B$125,A282,Query1!$F$4:$F$125)</f>
        <v>0</v>
      </c>
      <c r="H282" s="3">
        <f>SUMIF(Query4!$B$4:$B$48,A282,Query4!$F$4:$F$48)</f>
        <v>0</v>
      </c>
      <c r="J282" s="2">
        <f t="shared" si="4"/>
        <v>0</v>
      </c>
      <c r="K282" s="2" t="s">
        <v>1120</v>
      </c>
      <c r="L282" s="2">
        <v>2167</v>
      </c>
      <c r="M282" s="2">
        <v>1</v>
      </c>
      <c r="N282" s="2" t="s">
        <v>1029</v>
      </c>
      <c r="O282" s="2">
        <v>239006.16</v>
      </c>
      <c r="P282" s="2">
        <v>0</v>
      </c>
    </row>
    <row r="283" spans="1:16" x14ac:dyDescent="0.2">
      <c r="A283" s="4">
        <v>2168</v>
      </c>
      <c r="B283" s="4">
        <v>1</v>
      </c>
      <c r="C283" s="2" t="s">
        <v>285</v>
      </c>
      <c r="D283" s="184">
        <v>224811.33</v>
      </c>
      <c r="E283" s="185">
        <v>0</v>
      </c>
      <c r="G283" s="3">
        <f>SUMIF(Query1!$B$4:$B$125,A283,Query1!$F$4:$F$125)</f>
        <v>-4522.55</v>
      </c>
      <c r="H283" s="3">
        <f>SUMIF(Query4!$B$4:$B$48,A283,Query4!$F$4:$F$48)</f>
        <v>0</v>
      </c>
      <c r="J283" s="2">
        <f t="shared" si="4"/>
        <v>0</v>
      </c>
      <c r="K283" s="2" t="s">
        <v>1120</v>
      </c>
      <c r="L283" s="2">
        <v>2168</v>
      </c>
      <c r="M283" s="2">
        <v>1</v>
      </c>
      <c r="N283" s="2" t="s">
        <v>1030</v>
      </c>
      <c r="O283" s="2">
        <v>224811.33</v>
      </c>
      <c r="P283" s="2">
        <v>0</v>
      </c>
    </row>
    <row r="284" spans="1:16" x14ac:dyDescent="0.2">
      <c r="A284" s="4">
        <v>2169</v>
      </c>
      <c r="B284" s="4">
        <v>1</v>
      </c>
      <c r="C284" s="2" t="s">
        <v>1159</v>
      </c>
      <c r="D284" s="184">
        <v>551009.55000000005</v>
      </c>
      <c r="E284" s="185">
        <v>0</v>
      </c>
      <c r="G284" s="3">
        <f>SUMIF(Query1!$B$4:$B$125,A284,Query1!$F$4:$F$125)</f>
        <v>0</v>
      </c>
      <c r="H284" s="3">
        <f>SUMIF(Query4!$B$4:$B$48,A284,Query4!$F$4:$F$48)</f>
        <v>0</v>
      </c>
      <c r="J284" s="2">
        <f t="shared" si="4"/>
        <v>0</v>
      </c>
      <c r="K284" s="2" t="s">
        <v>1120</v>
      </c>
      <c r="L284" s="2">
        <v>2169</v>
      </c>
      <c r="M284" s="2">
        <v>1</v>
      </c>
      <c r="N284" s="2" t="s">
        <v>1031</v>
      </c>
      <c r="O284" s="2">
        <v>551009.55000000005</v>
      </c>
      <c r="P284" s="2">
        <v>0</v>
      </c>
    </row>
    <row r="285" spans="1:16" x14ac:dyDescent="0.2">
      <c r="A285" s="4">
        <v>2170</v>
      </c>
      <c r="B285" s="4">
        <v>1</v>
      </c>
      <c r="C285" s="2" t="s">
        <v>287</v>
      </c>
      <c r="D285" s="184">
        <v>452031.77</v>
      </c>
      <c r="E285" s="185">
        <v>0</v>
      </c>
      <c r="G285" s="3">
        <f>SUMIF(Query1!$B$4:$B$125,A285,Query1!$F$4:$F$125)</f>
        <v>0</v>
      </c>
      <c r="H285" s="3">
        <f>SUMIF(Query4!$B$4:$B$48,A285,Query4!$F$4:$F$48)</f>
        <v>0</v>
      </c>
      <c r="J285" s="2">
        <f t="shared" si="4"/>
        <v>0</v>
      </c>
      <c r="K285" s="2" t="s">
        <v>1120</v>
      </c>
      <c r="L285" s="2">
        <v>2170</v>
      </c>
      <c r="M285" s="2">
        <v>1</v>
      </c>
      <c r="N285" s="2" t="s">
        <v>1032</v>
      </c>
      <c r="O285" s="2">
        <v>452031.77</v>
      </c>
      <c r="P285" s="2">
        <v>0</v>
      </c>
    </row>
    <row r="286" spans="1:16" x14ac:dyDescent="0.2">
      <c r="A286" s="4">
        <v>2171</v>
      </c>
      <c r="B286" s="4">
        <v>1</v>
      </c>
      <c r="C286" s="2" t="s">
        <v>288</v>
      </c>
      <c r="D286" s="184">
        <v>108070.97</v>
      </c>
      <c r="E286" s="185">
        <v>0</v>
      </c>
      <c r="G286" s="3">
        <f>SUMIF(Query1!$B$4:$B$125,A286,Query1!$F$4:$F$125)</f>
        <v>-18210.48</v>
      </c>
      <c r="H286" s="3">
        <f>SUMIF(Query4!$B$4:$B$48,A286,Query4!$F$4:$F$48)</f>
        <v>0</v>
      </c>
      <c r="J286" s="2">
        <f t="shared" si="4"/>
        <v>0</v>
      </c>
      <c r="K286" s="2" t="s">
        <v>1120</v>
      </c>
      <c r="L286" s="2">
        <v>2171</v>
      </c>
      <c r="M286" s="2">
        <v>1</v>
      </c>
      <c r="N286" s="2" t="s">
        <v>1033</v>
      </c>
      <c r="O286" s="2">
        <v>108070.97</v>
      </c>
      <c r="P286" s="2">
        <v>0</v>
      </c>
    </row>
    <row r="287" spans="1:16" x14ac:dyDescent="0.2">
      <c r="A287" s="4">
        <v>2172</v>
      </c>
      <c r="B287" s="4">
        <v>1</v>
      </c>
      <c r="C287" s="2" t="s">
        <v>289</v>
      </c>
      <c r="D287" s="184">
        <v>534147.14</v>
      </c>
      <c r="E287" s="185">
        <v>0</v>
      </c>
      <c r="G287" s="3">
        <f>SUMIF(Query1!$B$4:$B$125,A287,Query1!$F$4:$F$125)</f>
        <v>0</v>
      </c>
      <c r="H287" s="3">
        <f>SUMIF(Query4!$B$4:$B$48,A287,Query4!$F$4:$F$48)</f>
        <v>-205.6</v>
      </c>
      <c r="J287" s="2">
        <f t="shared" si="4"/>
        <v>0</v>
      </c>
      <c r="K287" s="2" t="s">
        <v>1120</v>
      </c>
      <c r="L287" s="2">
        <v>2172</v>
      </c>
      <c r="M287" s="2">
        <v>1</v>
      </c>
      <c r="N287" s="2" t="s">
        <v>1034</v>
      </c>
      <c r="O287" s="2">
        <v>534147.14</v>
      </c>
      <c r="P287" s="2">
        <v>0</v>
      </c>
    </row>
    <row r="288" spans="1:16" x14ac:dyDescent="0.2">
      <c r="A288" s="4">
        <v>2174</v>
      </c>
      <c r="B288" s="4">
        <v>1</v>
      </c>
      <c r="C288" s="2" t="s">
        <v>1158</v>
      </c>
      <c r="D288" s="184">
        <v>250077.1</v>
      </c>
      <c r="E288" s="185">
        <v>0</v>
      </c>
      <c r="G288" s="3">
        <f>SUMIF(Query1!$B$4:$B$125,A288,Query1!$F$4:$F$125)</f>
        <v>0</v>
      </c>
      <c r="H288" s="3">
        <f>SUMIF(Query4!$B$4:$B$48,A288,Query4!$F$4:$F$48)</f>
        <v>0</v>
      </c>
      <c r="J288" s="2">
        <f t="shared" si="4"/>
        <v>0</v>
      </c>
      <c r="K288" s="2" t="s">
        <v>1120</v>
      </c>
      <c r="L288" s="2">
        <v>2174</v>
      </c>
      <c r="M288" s="2">
        <v>1</v>
      </c>
      <c r="N288" s="2" t="s">
        <v>1035</v>
      </c>
      <c r="O288" s="2">
        <v>250077.1</v>
      </c>
      <c r="P288" s="2">
        <v>0</v>
      </c>
    </row>
    <row r="289" spans="1:16" x14ac:dyDescent="0.2">
      <c r="A289" s="4">
        <v>2176</v>
      </c>
      <c r="B289" s="4">
        <v>1</v>
      </c>
      <c r="C289" s="2" t="s">
        <v>1157</v>
      </c>
      <c r="D289" s="184">
        <v>111840.73</v>
      </c>
      <c r="E289" s="185">
        <v>0</v>
      </c>
      <c r="G289" s="3">
        <f>SUMIF(Query1!$B$4:$B$125,A289,Query1!$F$4:$F$125)</f>
        <v>0</v>
      </c>
      <c r="H289" s="3">
        <f>SUMIF(Query4!$B$4:$B$48,A289,Query4!$F$4:$F$48)</f>
        <v>0</v>
      </c>
      <c r="J289" s="2">
        <f t="shared" si="4"/>
        <v>0</v>
      </c>
      <c r="K289" s="2" t="s">
        <v>1120</v>
      </c>
      <c r="L289" s="2">
        <v>2176</v>
      </c>
      <c r="M289" s="2">
        <v>1</v>
      </c>
      <c r="N289" s="2" t="s">
        <v>1036</v>
      </c>
      <c r="O289" s="2">
        <v>111840.73</v>
      </c>
      <c r="P289" s="2">
        <v>0</v>
      </c>
    </row>
    <row r="290" spans="1:16" x14ac:dyDescent="0.2">
      <c r="A290" s="4">
        <v>2180</v>
      </c>
      <c r="B290" s="4">
        <v>1</v>
      </c>
      <c r="C290" s="2" t="s">
        <v>292</v>
      </c>
      <c r="D290" s="184">
        <v>540561</v>
      </c>
      <c r="E290" s="185">
        <v>0</v>
      </c>
      <c r="G290" s="3">
        <f>SUMIF(Query1!$B$4:$B$125,A290,Query1!$F$4:$F$125)</f>
        <v>0</v>
      </c>
      <c r="H290" s="3">
        <f>SUMIF(Query4!$B$4:$B$48,A290,Query4!$F$4:$F$48)</f>
        <v>0</v>
      </c>
      <c r="J290" s="2">
        <f t="shared" si="4"/>
        <v>0</v>
      </c>
      <c r="K290" s="2" t="s">
        <v>1120</v>
      </c>
      <c r="L290" s="2">
        <v>2180</v>
      </c>
      <c r="M290" s="2">
        <v>1</v>
      </c>
      <c r="N290" s="2" t="s">
        <v>1037</v>
      </c>
      <c r="O290" s="2">
        <v>540561</v>
      </c>
      <c r="P290" s="2">
        <v>0</v>
      </c>
    </row>
    <row r="291" spans="1:16" x14ac:dyDescent="0.2">
      <c r="A291" s="4">
        <v>2184</v>
      </c>
      <c r="B291" s="4">
        <v>1</v>
      </c>
      <c r="C291" s="2" t="s">
        <v>293</v>
      </c>
      <c r="D291" s="184">
        <v>649402.85</v>
      </c>
      <c r="E291" s="185">
        <v>0</v>
      </c>
      <c r="G291" s="3">
        <f>SUMIF(Query1!$B$4:$B$125,A291,Query1!$F$4:$F$125)</f>
        <v>0</v>
      </c>
      <c r="H291" s="3">
        <f>SUMIF(Query4!$B$4:$B$48,A291,Query4!$F$4:$F$48)</f>
        <v>0</v>
      </c>
      <c r="J291" s="2">
        <f t="shared" si="4"/>
        <v>0</v>
      </c>
      <c r="K291" s="2" t="s">
        <v>1120</v>
      </c>
      <c r="L291" s="2">
        <v>2184</v>
      </c>
      <c r="M291" s="2">
        <v>1</v>
      </c>
      <c r="N291" s="2" t="s">
        <v>1038</v>
      </c>
      <c r="O291" s="2">
        <v>649402.85</v>
      </c>
      <c r="P291" s="2">
        <v>0</v>
      </c>
    </row>
    <row r="292" spans="1:16" x14ac:dyDescent="0.2">
      <c r="A292" s="4">
        <v>2190</v>
      </c>
      <c r="B292" s="4">
        <v>1</v>
      </c>
      <c r="C292" s="2" t="s">
        <v>1156</v>
      </c>
      <c r="D292" s="184">
        <v>511562.89</v>
      </c>
      <c r="E292" s="185">
        <v>0</v>
      </c>
      <c r="G292" s="3">
        <f>SUMIF(Query1!$B$4:$B$125,A292,Query1!$F$4:$F$125)</f>
        <v>0</v>
      </c>
      <c r="H292" s="3">
        <f>SUMIF(Query4!$B$4:$B$48,A292,Query4!$F$4:$F$48)</f>
        <v>0</v>
      </c>
      <c r="J292" s="2">
        <f t="shared" si="4"/>
        <v>0</v>
      </c>
      <c r="K292" s="2" t="s">
        <v>1120</v>
      </c>
      <c r="L292" s="2">
        <v>2190</v>
      </c>
      <c r="M292" s="2">
        <v>1</v>
      </c>
      <c r="N292" s="2" t="s">
        <v>1039</v>
      </c>
      <c r="O292" s="2">
        <v>511562.89</v>
      </c>
      <c r="P292" s="2">
        <v>0</v>
      </c>
    </row>
    <row r="293" spans="1:16" x14ac:dyDescent="0.2">
      <c r="A293" s="4">
        <v>2198</v>
      </c>
      <c r="B293" s="4">
        <v>1</v>
      </c>
      <c r="C293" s="2" t="s">
        <v>295</v>
      </c>
      <c r="D293" s="184">
        <v>329100.44</v>
      </c>
      <c r="E293" s="185">
        <v>0</v>
      </c>
      <c r="G293" s="3">
        <f>SUMIF(Query1!$B$4:$B$125,A293,Query1!$F$4:$F$125)</f>
        <v>0</v>
      </c>
      <c r="H293" s="3">
        <f>SUMIF(Query4!$B$4:$B$48,A293,Query4!$F$4:$F$48)</f>
        <v>0</v>
      </c>
      <c r="J293" s="2">
        <f t="shared" si="4"/>
        <v>0</v>
      </c>
      <c r="K293" s="2" t="s">
        <v>1120</v>
      </c>
      <c r="L293" s="2">
        <v>2198</v>
      </c>
      <c r="M293" s="2">
        <v>1</v>
      </c>
      <c r="N293" s="2" t="s">
        <v>1040</v>
      </c>
      <c r="O293" s="2">
        <v>329100.44</v>
      </c>
      <c r="P293" s="2">
        <v>0</v>
      </c>
    </row>
    <row r="294" spans="1:16" x14ac:dyDescent="0.2">
      <c r="A294" s="4">
        <v>2215</v>
      </c>
      <c r="B294" s="4">
        <v>1</v>
      </c>
      <c r="C294" s="2" t="s">
        <v>1155</v>
      </c>
      <c r="D294" s="184">
        <v>176153.33</v>
      </c>
      <c r="E294" s="185">
        <v>0</v>
      </c>
      <c r="G294" s="3">
        <f>SUMIF(Query1!$B$4:$B$125,A294,Query1!$F$4:$F$125)</f>
        <v>-7150.17</v>
      </c>
      <c r="H294" s="3">
        <f>SUMIF(Query4!$B$4:$B$48,A294,Query4!$F$4:$F$48)</f>
        <v>0</v>
      </c>
      <c r="J294" s="2">
        <f t="shared" si="4"/>
        <v>0</v>
      </c>
      <c r="K294" s="2" t="s">
        <v>1120</v>
      </c>
      <c r="L294" s="2">
        <v>2215</v>
      </c>
      <c r="M294" s="2">
        <v>1</v>
      </c>
      <c r="N294" s="2" t="s">
        <v>1041</v>
      </c>
      <c r="O294" s="2">
        <v>176153.33</v>
      </c>
      <c r="P294" s="2">
        <v>0</v>
      </c>
    </row>
    <row r="295" spans="1:16" x14ac:dyDescent="0.2">
      <c r="A295" s="4">
        <v>2310</v>
      </c>
      <c r="B295" s="4">
        <v>1</v>
      </c>
      <c r="C295" s="2" t="s">
        <v>297</v>
      </c>
      <c r="D295" s="184">
        <v>534203.63</v>
      </c>
      <c r="E295" s="185">
        <v>0</v>
      </c>
      <c r="G295" s="3">
        <f>SUMIF(Query1!$B$4:$B$125,A295,Query1!$F$4:$F$125)</f>
        <v>0</v>
      </c>
      <c r="H295" s="3">
        <f>SUMIF(Query4!$B$4:$B$48,A295,Query4!$F$4:$F$48)</f>
        <v>-121.53</v>
      </c>
      <c r="J295" s="2">
        <f t="shared" si="4"/>
        <v>0</v>
      </c>
      <c r="K295" s="2" t="s">
        <v>1120</v>
      </c>
      <c r="L295" s="2">
        <v>2310</v>
      </c>
      <c r="M295" s="2">
        <v>1</v>
      </c>
      <c r="N295" s="2" t="s">
        <v>1042</v>
      </c>
      <c r="O295" s="2">
        <v>534203.63</v>
      </c>
      <c r="P295" s="2">
        <v>0</v>
      </c>
    </row>
    <row r="296" spans="1:16" x14ac:dyDescent="0.2">
      <c r="A296" s="4">
        <v>2311</v>
      </c>
      <c r="B296" s="4">
        <v>1</v>
      </c>
      <c r="C296" s="2" t="s">
        <v>1154</v>
      </c>
      <c r="D296" s="184">
        <v>216697.46</v>
      </c>
      <c r="E296" s="185">
        <v>0</v>
      </c>
      <c r="G296" s="3">
        <f>SUMIF(Query1!$B$4:$B$125,A296,Query1!$F$4:$F$125)</f>
        <v>0</v>
      </c>
      <c r="H296" s="3">
        <f>SUMIF(Query4!$B$4:$B$48,A296,Query4!$F$4:$F$48)</f>
        <v>0</v>
      </c>
      <c r="J296" s="2">
        <f t="shared" si="4"/>
        <v>0</v>
      </c>
      <c r="K296" s="2" t="s">
        <v>1120</v>
      </c>
      <c r="L296" s="2">
        <v>2311</v>
      </c>
      <c r="M296" s="2">
        <v>1</v>
      </c>
      <c r="N296" s="2" t="s">
        <v>1043</v>
      </c>
      <c r="O296" s="2">
        <v>216697.46</v>
      </c>
      <c r="P296" s="2">
        <v>0</v>
      </c>
    </row>
    <row r="297" spans="1:16" x14ac:dyDescent="0.2">
      <c r="A297" s="4">
        <v>2342</v>
      </c>
      <c r="B297" s="4">
        <v>1</v>
      </c>
      <c r="C297" s="2" t="s">
        <v>1153</v>
      </c>
      <c r="D297" s="184">
        <v>683891.4</v>
      </c>
      <c r="E297" s="185">
        <v>0</v>
      </c>
      <c r="G297" s="3">
        <f>SUMIF(Query1!$B$4:$B$125,A297,Query1!$F$4:$F$125)</f>
        <v>0</v>
      </c>
      <c r="H297" s="3">
        <f>SUMIF(Query4!$B$4:$B$48,A297,Query4!$F$4:$F$48)</f>
        <v>0</v>
      </c>
      <c r="J297" s="2">
        <f t="shared" si="4"/>
        <v>0</v>
      </c>
      <c r="K297" s="2" t="s">
        <v>1120</v>
      </c>
      <c r="L297" s="2">
        <v>2342</v>
      </c>
      <c r="M297" s="2">
        <v>1</v>
      </c>
      <c r="N297" s="2" t="s">
        <v>1044</v>
      </c>
      <c r="O297" s="2">
        <v>683891.4</v>
      </c>
      <c r="P297" s="2">
        <v>0</v>
      </c>
    </row>
    <row r="298" spans="1:16" x14ac:dyDescent="0.2">
      <c r="A298" s="4">
        <v>2358</v>
      </c>
      <c r="B298" s="4">
        <v>1</v>
      </c>
      <c r="C298" s="2" t="s">
        <v>300</v>
      </c>
      <c r="D298" s="184">
        <v>125636.9</v>
      </c>
      <c r="E298" s="185">
        <v>0</v>
      </c>
      <c r="G298" s="3">
        <f>SUMIF(Query1!$B$4:$B$125,A298,Query1!$F$4:$F$125)</f>
        <v>0</v>
      </c>
      <c r="H298" s="3">
        <f>SUMIF(Query4!$B$4:$B$48,A298,Query4!$F$4:$F$48)</f>
        <v>0</v>
      </c>
      <c r="J298" s="2">
        <f t="shared" si="4"/>
        <v>0</v>
      </c>
      <c r="K298" s="2" t="s">
        <v>1120</v>
      </c>
      <c r="L298" s="2">
        <v>2358</v>
      </c>
      <c r="M298" s="2">
        <v>1</v>
      </c>
      <c r="N298" s="2" t="s">
        <v>1045</v>
      </c>
      <c r="O298" s="2">
        <v>125636.9</v>
      </c>
      <c r="P298" s="2">
        <v>0</v>
      </c>
    </row>
    <row r="299" spans="1:16" x14ac:dyDescent="0.2">
      <c r="A299" s="4">
        <v>2364</v>
      </c>
      <c r="B299" s="4">
        <v>1</v>
      </c>
      <c r="C299" s="2" t="s">
        <v>1152</v>
      </c>
      <c r="D299" s="184">
        <v>332225.65999999997</v>
      </c>
      <c r="E299" s="185">
        <v>0</v>
      </c>
      <c r="G299" s="3">
        <f>SUMIF(Query1!$B$4:$B$125,A299,Query1!$F$4:$F$125)</f>
        <v>0</v>
      </c>
      <c r="H299" s="3">
        <f>SUMIF(Query4!$B$4:$B$48,A299,Query4!$F$4:$F$48)</f>
        <v>0</v>
      </c>
      <c r="J299" s="2">
        <f t="shared" si="4"/>
        <v>0</v>
      </c>
      <c r="K299" s="2" t="s">
        <v>1120</v>
      </c>
      <c r="L299" s="2">
        <v>2364</v>
      </c>
      <c r="M299" s="2">
        <v>1</v>
      </c>
      <c r="N299" s="2" t="s">
        <v>1046</v>
      </c>
      <c r="O299" s="2">
        <v>332225.65999999997</v>
      </c>
      <c r="P299" s="2">
        <v>0</v>
      </c>
    </row>
    <row r="300" spans="1:16" x14ac:dyDescent="0.2">
      <c r="A300" s="4">
        <v>2365</v>
      </c>
      <c r="B300" s="4">
        <v>1</v>
      </c>
      <c r="C300" s="2" t="s">
        <v>302</v>
      </c>
      <c r="D300" s="184">
        <v>421813.98</v>
      </c>
      <c r="E300" s="185">
        <v>0</v>
      </c>
      <c r="G300" s="3">
        <f>SUMIF(Query1!$B$4:$B$125,A300,Query1!$F$4:$F$125)</f>
        <v>-11129.28</v>
      </c>
      <c r="H300" s="3">
        <f>SUMIF(Query4!$B$4:$B$48,A300,Query4!$F$4:$F$48)</f>
        <v>-963.29</v>
      </c>
      <c r="J300" s="2">
        <f t="shared" si="4"/>
        <v>0</v>
      </c>
      <c r="K300" s="2" t="s">
        <v>1120</v>
      </c>
      <c r="L300" s="2">
        <v>2365</v>
      </c>
      <c r="M300" s="2">
        <v>1</v>
      </c>
      <c r="N300" s="2" t="s">
        <v>1047</v>
      </c>
      <c r="O300" s="2">
        <v>421813.98</v>
      </c>
      <c r="P300" s="2">
        <v>0</v>
      </c>
    </row>
    <row r="301" spans="1:16" x14ac:dyDescent="0.2">
      <c r="A301" s="4">
        <v>2396</v>
      </c>
      <c r="B301" s="4">
        <v>1</v>
      </c>
      <c r="C301" s="2" t="s">
        <v>303</v>
      </c>
      <c r="D301" s="184">
        <v>631657.15</v>
      </c>
      <c r="E301" s="185">
        <v>0</v>
      </c>
      <c r="G301" s="3">
        <f>SUMIF(Query1!$B$4:$B$125,A301,Query1!$F$4:$F$125)</f>
        <v>0</v>
      </c>
      <c r="H301" s="3">
        <f>SUMIF(Query4!$B$4:$B$48,A301,Query4!$F$4:$F$48)</f>
        <v>0</v>
      </c>
      <c r="J301" s="2">
        <f t="shared" si="4"/>
        <v>0</v>
      </c>
      <c r="K301" s="2" t="s">
        <v>1120</v>
      </c>
      <c r="L301" s="2">
        <v>2396</v>
      </c>
      <c r="M301" s="2">
        <v>1</v>
      </c>
      <c r="N301" s="2" t="s">
        <v>1231</v>
      </c>
      <c r="O301" s="2">
        <v>631657.15</v>
      </c>
      <c r="P301" s="2">
        <v>0</v>
      </c>
    </row>
    <row r="302" spans="1:16" x14ac:dyDescent="0.2">
      <c r="A302" s="4">
        <v>2397</v>
      </c>
      <c r="B302" s="4">
        <v>1</v>
      </c>
      <c r="C302" s="2" t="s">
        <v>1151</v>
      </c>
      <c r="D302" s="184">
        <v>649997.41</v>
      </c>
      <c r="E302" s="185">
        <v>0</v>
      </c>
      <c r="G302" s="3">
        <f>SUMIF(Query1!$B$4:$B$125,A302,Query1!$F$4:$F$125)</f>
        <v>0</v>
      </c>
      <c r="H302" s="3">
        <f>SUMIF(Query4!$B$4:$B$48,A302,Query4!$F$4:$F$48)</f>
        <v>0</v>
      </c>
      <c r="J302" s="2">
        <f t="shared" si="4"/>
        <v>0</v>
      </c>
      <c r="K302" s="2" t="s">
        <v>1120</v>
      </c>
      <c r="L302" s="2">
        <v>2397</v>
      </c>
      <c r="M302" s="2">
        <v>1</v>
      </c>
      <c r="N302" s="2" t="s">
        <v>1049</v>
      </c>
      <c r="O302" s="2">
        <v>649997.41</v>
      </c>
      <c r="P302" s="2">
        <v>0</v>
      </c>
    </row>
    <row r="303" spans="1:16" x14ac:dyDescent="0.2">
      <c r="A303" s="4">
        <v>2448</v>
      </c>
      <c r="B303" s="4">
        <v>1</v>
      </c>
      <c r="C303" s="2" t="s">
        <v>1150</v>
      </c>
      <c r="D303" s="184">
        <v>552306.76</v>
      </c>
      <c r="E303" s="185">
        <v>0</v>
      </c>
      <c r="G303" s="3">
        <f>SUMIF(Query1!$B$4:$B$125,A303,Query1!$F$4:$F$125)</f>
        <v>0</v>
      </c>
      <c r="H303" s="3">
        <f>SUMIF(Query4!$B$4:$B$48,A303,Query4!$F$4:$F$48)</f>
        <v>0</v>
      </c>
      <c r="J303" s="2">
        <f t="shared" si="4"/>
        <v>0</v>
      </c>
      <c r="K303" s="2" t="s">
        <v>1120</v>
      </c>
      <c r="L303" s="2">
        <v>2448</v>
      </c>
      <c r="M303" s="2">
        <v>1</v>
      </c>
      <c r="N303" s="2" t="s">
        <v>1050</v>
      </c>
      <c r="O303" s="2">
        <v>552306.76</v>
      </c>
      <c r="P303" s="2">
        <v>0</v>
      </c>
    </row>
    <row r="304" spans="1:16" x14ac:dyDescent="0.2">
      <c r="A304" s="4">
        <v>2527</v>
      </c>
      <c r="B304" s="4">
        <v>1</v>
      </c>
      <c r="C304" s="2" t="s">
        <v>1149</v>
      </c>
      <c r="D304" s="184">
        <v>173412.64</v>
      </c>
      <c r="E304" s="185">
        <v>0</v>
      </c>
      <c r="G304" s="3">
        <f>SUMIF(Query1!$B$4:$B$125,A304,Query1!$F$4:$F$125)</f>
        <v>0</v>
      </c>
      <c r="H304" s="3">
        <f>SUMIF(Query4!$B$4:$B$48,A304,Query4!$F$4:$F$48)</f>
        <v>0</v>
      </c>
      <c r="J304" s="2">
        <f t="shared" si="4"/>
        <v>0</v>
      </c>
      <c r="K304" s="2" t="s">
        <v>1120</v>
      </c>
      <c r="L304" s="2">
        <v>2527</v>
      </c>
      <c r="M304" s="2">
        <v>1</v>
      </c>
      <c r="N304" s="2" t="s">
        <v>1051</v>
      </c>
      <c r="O304" s="2">
        <v>173412.64</v>
      </c>
      <c r="P304" s="2">
        <v>0</v>
      </c>
    </row>
    <row r="305" spans="1:16" x14ac:dyDescent="0.2">
      <c r="A305" s="4">
        <v>2534</v>
      </c>
      <c r="B305" s="4">
        <v>1</v>
      </c>
      <c r="C305" s="2" t="s">
        <v>1148</v>
      </c>
      <c r="D305" s="184">
        <v>306278.78999999998</v>
      </c>
      <c r="E305" s="185">
        <v>0</v>
      </c>
      <c r="G305" s="3">
        <f>SUMIF(Query1!$B$4:$B$125,A305,Query1!$F$4:$F$125)</f>
        <v>0</v>
      </c>
      <c r="H305" s="3">
        <f>SUMIF(Query4!$B$4:$B$48,A305,Query4!$F$4:$F$48)</f>
        <v>0</v>
      </c>
      <c r="J305" s="2">
        <f t="shared" si="4"/>
        <v>0</v>
      </c>
      <c r="K305" s="2" t="s">
        <v>1120</v>
      </c>
      <c r="L305" s="2">
        <v>2534</v>
      </c>
      <c r="M305" s="2">
        <v>1</v>
      </c>
      <c r="N305" s="2" t="s">
        <v>1052</v>
      </c>
      <c r="O305" s="2">
        <v>306278.78999999998</v>
      </c>
      <c r="P305" s="2">
        <v>0</v>
      </c>
    </row>
    <row r="306" spans="1:16" x14ac:dyDescent="0.2">
      <c r="A306" s="4">
        <v>2536</v>
      </c>
      <c r="B306" s="4">
        <v>1</v>
      </c>
      <c r="C306" s="2" t="s">
        <v>1146</v>
      </c>
      <c r="D306" s="184">
        <v>276044.19</v>
      </c>
      <c r="E306" s="185">
        <v>0</v>
      </c>
      <c r="G306" s="3">
        <f>SUMIF(Query1!$B$4:$B$125,A306,Query1!$F$4:$F$125)</f>
        <v>0</v>
      </c>
      <c r="H306" s="3">
        <f>SUMIF(Query4!$B$4:$B$48,A306,Query4!$F$4:$F$48)</f>
        <v>0</v>
      </c>
      <c r="J306" s="2">
        <f t="shared" si="4"/>
        <v>0</v>
      </c>
      <c r="K306" s="2" t="s">
        <v>1120</v>
      </c>
      <c r="L306" s="2">
        <v>2536</v>
      </c>
      <c r="M306" s="2">
        <v>1</v>
      </c>
      <c r="N306" s="2" t="s">
        <v>1053</v>
      </c>
      <c r="O306" s="2">
        <v>276044.19</v>
      </c>
      <c r="P306" s="2">
        <v>0</v>
      </c>
    </row>
    <row r="307" spans="1:16" x14ac:dyDescent="0.2">
      <c r="A307" s="4">
        <v>2580</v>
      </c>
      <c r="B307" s="4">
        <v>1</v>
      </c>
      <c r="C307" s="2" t="s">
        <v>1147</v>
      </c>
      <c r="D307" s="184">
        <v>185978.52</v>
      </c>
      <c r="E307" s="185">
        <v>0</v>
      </c>
      <c r="G307" s="3">
        <f>SUMIF(Query1!$B$4:$B$125,A307,Query1!$F$4:$F$125)</f>
        <v>-16054.52</v>
      </c>
      <c r="H307" s="3">
        <f>SUMIF(Query4!$B$4:$B$48,A307,Query4!$F$4:$F$48)</f>
        <v>0</v>
      </c>
      <c r="J307" s="2">
        <f t="shared" si="4"/>
        <v>0</v>
      </c>
      <c r="K307" s="2" t="s">
        <v>1120</v>
      </c>
      <c r="L307" s="2">
        <v>2580</v>
      </c>
      <c r="M307" s="2">
        <v>1</v>
      </c>
      <c r="N307" s="2" t="s">
        <v>1054</v>
      </c>
      <c r="O307" s="2">
        <v>185978.52</v>
      </c>
      <c r="P307" s="2">
        <v>0</v>
      </c>
    </row>
    <row r="308" spans="1:16" x14ac:dyDescent="0.2">
      <c r="A308" s="4">
        <v>2609</v>
      </c>
      <c r="B308" s="4">
        <v>1</v>
      </c>
      <c r="C308" s="2" t="s">
        <v>310</v>
      </c>
      <c r="D308" s="184">
        <v>255330.09</v>
      </c>
      <c r="E308" s="185">
        <v>0</v>
      </c>
      <c r="G308" s="3">
        <f>SUMIF(Query1!$B$4:$B$125,A308,Query1!$F$4:$F$125)</f>
        <v>0</v>
      </c>
      <c r="H308" s="3">
        <f>SUMIF(Query4!$B$4:$B$48,A308,Query4!$F$4:$F$48)</f>
        <v>0</v>
      </c>
      <c r="J308" s="2">
        <f t="shared" si="4"/>
        <v>0</v>
      </c>
      <c r="K308" s="2" t="s">
        <v>1120</v>
      </c>
      <c r="L308" s="2">
        <v>2609</v>
      </c>
      <c r="M308" s="2">
        <v>1</v>
      </c>
      <c r="N308" s="2" t="s">
        <v>1055</v>
      </c>
      <c r="O308" s="2">
        <v>255330.09</v>
      </c>
      <c r="P308" s="2">
        <v>0</v>
      </c>
    </row>
    <row r="309" spans="1:16" x14ac:dyDescent="0.2">
      <c r="A309" s="4">
        <v>2683</v>
      </c>
      <c r="B309" s="4">
        <v>1</v>
      </c>
      <c r="C309" s="2" t="s">
        <v>1145</v>
      </c>
      <c r="D309" s="184">
        <v>124255.85</v>
      </c>
      <c r="E309" s="185">
        <v>0</v>
      </c>
      <c r="G309" s="3">
        <f>SUMIF(Query1!$B$4:$B$125,A309,Query1!$F$4:$F$125)</f>
        <v>0</v>
      </c>
      <c r="H309" s="3">
        <f>SUMIF(Query4!$B$4:$B$48,A309,Query4!$F$4:$F$48)</f>
        <v>0</v>
      </c>
      <c r="J309" s="2">
        <f t="shared" si="4"/>
        <v>0</v>
      </c>
      <c r="K309" s="2" t="s">
        <v>1120</v>
      </c>
      <c r="L309" s="2">
        <v>2683</v>
      </c>
      <c r="M309" s="2">
        <v>1</v>
      </c>
      <c r="N309" s="2" t="s">
        <v>1056</v>
      </c>
      <c r="O309" s="2">
        <v>124255.85</v>
      </c>
      <c r="P309" s="2">
        <v>0</v>
      </c>
    </row>
    <row r="310" spans="1:16" x14ac:dyDescent="0.2">
      <c r="A310" s="4">
        <v>2687</v>
      </c>
      <c r="B310" s="4">
        <v>1</v>
      </c>
      <c r="C310" s="2" t="s">
        <v>1144</v>
      </c>
      <c r="D310" s="184">
        <v>550446.6</v>
      </c>
      <c r="E310" s="185">
        <v>0</v>
      </c>
      <c r="G310" s="3">
        <f>SUMIF(Query1!$B$4:$B$125,A310,Query1!$F$4:$F$125)</f>
        <v>0</v>
      </c>
      <c r="H310" s="3">
        <f>SUMIF(Query4!$B$4:$B$48,A310,Query4!$F$4:$F$48)</f>
        <v>0</v>
      </c>
      <c r="J310" s="2">
        <f t="shared" si="4"/>
        <v>0</v>
      </c>
      <c r="K310" s="2" t="s">
        <v>1120</v>
      </c>
      <c r="L310" s="2">
        <v>2687</v>
      </c>
      <c r="M310" s="2">
        <v>1</v>
      </c>
      <c r="N310" s="2" t="s">
        <v>1057</v>
      </c>
      <c r="O310" s="2">
        <v>550446.6</v>
      </c>
      <c r="P310" s="2">
        <v>0</v>
      </c>
    </row>
    <row r="311" spans="1:16" x14ac:dyDescent="0.2">
      <c r="A311" s="4">
        <v>2689</v>
      </c>
      <c r="B311" s="4">
        <v>1</v>
      </c>
      <c r="C311" s="2" t="s">
        <v>1143</v>
      </c>
      <c r="D311" s="184">
        <v>623960.25</v>
      </c>
      <c r="E311" s="185">
        <v>0</v>
      </c>
      <c r="G311" s="3">
        <f>SUMIF(Query1!$B$4:$B$125,A311,Query1!$F$4:$F$125)</f>
        <v>0</v>
      </c>
      <c r="H311" s="3">
        <f>SUMIF(Query4!$B$4:$B$48,A311,Query4!$F$4:$F$48)</f>
        <v>0</v>
      </c>
      <c r="J311" s="2">
        <f t="shared" si="4"/>
        <v>0</v>
      </c>
      <c r="K311" s="2" t="s">
        <v>1120</v>
      </c>
      <c r="L311" s="2">
        <v>2689</v>
      </c>
      <c r="M311" s="2">
        <v>1</v>
      </c>
      <c r="N311" s="2" t="s">
        <v>1058</v>
      </c>
      <c r="O311" s="2">
        <v>623960.25</v>
      </c>
      <c r="P311" s="2">
        <v>0</v>
      </c>
    </row>
    <row r="312" spans="1:16" x14ac:dyDescent="0.2">
      <c r="A312" s="4">
        <v>2711</v>
      </c>
      <c r="B312" s="4">
        <v>1</v>
      </c>
      <c r="C312" s="2" t="s">
        <v>314</v>
      </c>
      <c r="D312" s="184">
        <v>0</v>
      </c>
      <c r="E312" s="185">
        <v>0</v>
      </c>
      <c r="G312" s="3">
        <f>SUMIF(Query1!$B$4:$B$125,A312,Query1!$F$4:$F$125)</f>
        <v>-325710.03999999998</v>
      </c>
      <c r="H312" s="3">
        <f>SUMIF(Query4!$B$4:$B$48,A312,Query4!$F$4:$F$48)</f>
        <v>0</v>
      </c>
      <c r="J312" s="2">
        <f t="shared" si="4"/>
        <v>0</v>
      </c>
      <c r="K312" s="2" t="s">
        <v>1120</v>
      </c>
      <c r="L312" s="2">
        <v>2711</v>
      </c>
      <c r="M312" s="2">
        <v>1</v>
      </c>
      <c r="N312" s="2" t="s">
        <v>1059</v>
      </c>
      <c r="O312" s="2">
        <v>0</v>
      </c>
      <c r="P312" s="2">
        <v>0</v>
      </c>
    </row>
    <row r="313" spans="1:16" x14ac:dyDescent="0.2">
      <c r="A313" s="4">
        <v>2752</v>
      </c>
      <c r="B313" s="4">
        <v>1</v>
      </c>
      <c r="C313" s="2" t="s">
        <v>1142</v>
      </c>
      <c r="D313" s="184">
        <v>1332660.8700000001</v>
      </c>
      <c r="E313" s="185">
        <v>0</v>
      </c>
      <c r="G313" s="3">
        <f>SUMIF(Query1!$B$4:$B$125,A313,Query1!$F$4:$F$125)</f>
        <v>0</v>
      </c>
      <c r="H313" s="3">
        <f>SUMIF(Query4!$B$4:$B$48,A313,Query4!$F$4:$F$48)</f>
        <v>0</v>
      </c>
      <c r="J313" s="2">
        <f t="shared" si="4"/>
        <v>0</v>
      </c>
      <c r="K313" s="2" t="s">
        <v>1120</v>
      </c>
      <c r="L313" s="2">
        <v>2752</v>
      </c>
      <c r="M313" s="2">
        <v>1</v>
      </c>
      <c r="N313" s="2" t="s">
        <v>1060</v>
      </c>
      <c r="O313" s="2">
        <v>1332660.8700000001</v>
      </c>
      <c r="P313" s="2">
        <v>0</v>
      </c>
    </row>
    <row r="314" spans="1:16" x14ac:dyDescent="0.2">
      <c r="A314" s="4">
        <v>2753</v>
      </c>
      <c r="B314" s="4">
        <v>1</v>
      </c>
      <c r="C314" s="2" t="s">
        <v>1141</v>
      </c>
      <c r="D314" s="184">
        <v>445137.38</v>
      </c>
      <c r="E314" s="185">
        <v>0</v>
      </c>
      <c r="G314" s="3">
        <f>SUMIF(Query1!$B$4:$B$125,A314,Query1!$F$4:$F$125)</f>
        <v>0.3</v>
      </c>
      <c r="H314" s="3">
        <f>SUMIF(Query4!$B$4:$B$48,A314,Query4!$F$4:$F$48)</f>
        <v>0</v>
      </c>
      <c r="J314" s="2">
        <f t="shared" si="4"/>
        <v>0</v>
      </c>
      <c r="K314" s="2" t="s">
        <v>1120</v>
      </c>
      <c r="L314" s="2">
        <v>2753</v>
      </c>
      <c r="M314" s="2">
        <v>1</v>
      </c>
      <c r="N314" s="2" t="s">
        <v>1061</v>
      </c>
      <c r="O314" s="2">
        <v>445137.38</v>
      </c>
      <c r="P314" s="2">
        <v>0</v>
      </c>
    </row>
    <row r="315" spans="1:16" x14ac:dyDescent="0.2">
      <c r="A315" s="4">
        <v>2754</v>
      </c>
      <c r="B315" s="4">
        <v>1</v>
      </c>
      <c r="C315" s="2" t="s">
        <v>317</v>
      </c>
      <c r="D315" s="184">
        <v>180927.38</v>
      </c>
      <c r="E315" s="185">
        <v>0</v>
      </c>
      <c r="G315" s="3">
        <f>SUMIF(Query1!$B$4:$B$125,A315,Query1!$F$4:$F$125)</f>
        <v>-48479.49</v>
      </c>
      <c r="H315" s="3">
        <f>SUMIF(Query4!$B$4:$B$48,A315,Query4!$F$4:$F$48)</f>
        <v>-1008.35</v>
      </c>
      <c r="J315" s="2">
        <f t="shared" si="4"/>
        <v>0</v>
      </c>
      <c r="K315" s="2" t="s">
        <v>1120</v>
      </c>
      <c r="L315" s="2">
        <v>2754</v>
      </c>
      <c r="M315" s="2">
        <v>1</v>
      </c>
      <c r="N315" s="2" t="s">
        <v>1062</v>
      </c>
      <c r="O315" s="2">
        <v>180927.38</v>
      </c>
      <c r="P315" s="2">
        <v>0</v>
      </c>
    </row>
    <row r="316" spans="1:16" x14ac:dyDescent="0.2">
      <c r="A316" s="4">
        <v>2759</v>
      </c>
      <c r="B316" s="4">
        <v>1</v>
      </c>
      <c r="C316" s="2" t="s">
        <v>1140</v>
      </c>
      <c r="D316" s="184">
        <v>146156.03</v>
      </c>
      <c r="E316" s="185">
        <v>0</v>
      </c>
      <c r="G316" s="3">
        <f>SUMIF(Query1!$B$4:$B$125,A316,Query1!$F$4:$F$125)</f>
        <v>-3598.45</v>
      </c>
      <c r="H316" s="3">
        <f>SUMIF(Query4!$B$4:$B$48,A316,Query4!$F$4:$F$48)</f>
        <v>-1741.64</v>
      </c>
      <c r="J316" s="2">
        <f t="shared" si="4"/>
        <v>0</v>
      </c>
      <c r="K316" s="2" t="s">
        <v>1120</v>
      </c>
      <c r="L316" s="2">
        <v>2759</v>
      </c>
      <c r="M316" s="2">
        <v>1</v>
      </c>
      <c r="N316" s="2" t="s">
        <v>1063</v>
      </c>
      <c r="O316" s="2">
        <v>146156.03</v>
      </c>
      <c r="P316" s="2">
        <v>0</v>
      </c>
    </row>
    <row r="317" spans="1:16" x14ac:dyDescent="0.2">
      <c r="A317" s="4">
        <v>2769</v>
      </c>
      <c r="B317" s="4">
        <v>1</v>
      </c>
      <c r="C317" s="2" t="s">
        <v>1167</v>
      </c>
      <c r="D317" s="184">
        <v>440381.75</v>
      </c>
      <c r="E317" s="185">
        <v>0</v>
      </c>
      <c r="G317" s="3">
        <f>SUMIF(Query1!$B$4:$B$125,A317,Query1!$F$4:$F$125)</f>
        <v>0</v>
      </c>
      <c r="H317" s="3">
        <f>SUMIF(Query4!$B$4:$B$48,A317,Query4!$F$4:$F$48)</f>
        <v>0</v>
      </c>
      <c r="J317" s="2">
        <f t="shared" si="4"/>
        <v>0</v>
      </c>
      <c r="K317" s="2" t="s">
        <v>1120</v>
      </c>
      <c r="L317" s="2">
        <v>2769</v>
      </c>
      <c r="M317" s="2">
        <v>1</v>
      </c>
      <c r="N317" s="2" t="s">
        <v>1232</v>
      </c>
      <c r="O317" s="2">
        <v>440381.75</v>
      </c>
      <c r="P317" s="2">
        <v>0</v>
      </c>
    </row>
    <row r="318" spans="1:16" x14ac:dyDescent="0.2">
      <c r="A318" s="4">
        <v>2805</v>
      </c>
      <c r="B318" s="4">
        <v>1</v>
      </c>
      <c r="C318" s="2" t="s">
        <v>319</v>
      </c>
      <c r="D318" s="184">
        <v>683853.48</v>
      </c>
      <c r="E318" s="185">
        <v>0</v>
      </c>
      <c r="G318" s="3">
        <f>SUMIF(Query1!$B$4:$B$125,A318,Query1!$F$4:$F$125)</f>
        <v>0</v>
      </c>
      <c r="H318" s="3">
        <f>SUMIF(Query4!$B$4:$B$48,A318,Query4!$F$4:$F$48)</f>
        <v>0</v>
      </c>
      <c r="J318" s="2">
        <f t="shared" si="4"/>
        <v>0</v>
      </c>
      <c r="K318" s="2" t="s">
        <v>1120</v>
      </c>
      <c r="L318" s="2">
        <v>2805</v>
      </c>
      <c r="M318" s="2">
        <v>1</v>
      </c>
      <c r="N318" s="2" t="s">
        <v>1064</v>
      </c>
      <c r="O318" s="2">
        <v>683853.48</v>
      </c>
      <c r="P318" s="2">
        <v>0</v>
      </c>
    </row>
    <row r="319" spans="1:16" x14ac:dyDescent="0.2">
      <c r="A319" s="4">
        <v>2835</v>
      </c>
      <c r="B319" s="4">
        <v>1</v>
      </c>
      <c r="C319" s="2" t="s">
        <v>1139</v>
      </c>
      <c r="D319" s="184">
        <v>568010.74</v>
      </c>
      <c r="E319" s="185">
        <v>0</v>
      </c>
      <c r="G319" s="3">
        <f>SUMIF(Query1!$B$4:$B$125,A319,Query1!$F$4:$F$125)</f>
        <v>-3142</v>
      </c>
      <c r="H319" s="3">
        <f>SUMIF(Query4!$B$4:$B$48,A319,Query4!$F$4:$F$48)</f>
        <v>-144</v>
      </c>
      <c r="J319" s="2">
        <f t="shared" si="4"/>
        <v>0</v>
      </c>
      <c r="K319" s="2" t="s">
        <v>1120</v>
      </c>
      <c r="L319" s="2">
        <v>2835</v>
      </c>
      <c r="M319" s="2">
        <v>1</v>
      </c>
      <c r="N319" s="2" t="s">
        <v>1065</v>
      </c>
      <c r="O319" s="2">
        <v>568010.74</v>
      </c>
      <c r="P319" s="2">
        <v>0</v>
      </c>
    </row>
    <row r="320" spans="1:16" x14ac:dyDescent="0.2">
      <c r="A320" s="4">
        <v>2853</v>
      </c>
      <c r="B320" s="4">
        <v>1</v>
      </c>
      <c r="C320" s="2" t="s">
        <v>1138</v>
      </c>
      <c r="D320" s="184">
        <v>577666.21</v>
      </c>
      <c r="E320" s="185">
        <v>0</v>
      </c>
      <c r="G320" s="3">
        <f>SUMIF(Query1!$B$4:$B$125,A320,Query1!$F$4:$F$125)</f>
        <v>0</v>
      </c>
      <c r="H320" s="3">
        <f>SUMIF(Query4!$B$4:$B$48,A320,Query4!$F$4:$F$48)</f>
        <v>0</v>
      </c>
      <c r="J320" s="2">
        <f t="shared" si="4"/>
        <v>0</v>
      </c>
      <c r="K320" s="2" t="s">
        <v>1120</v>
      </c>
      <c r="L320" s="2">
        <v>2853</v>
      </c>
      <c r="M320" s="2">
        <v>1</v>
      </c>
      <c r="N320" s="2" t="s">
        <v>1066</v>
      </c>
      <c r="O320" s="2">
        <v>577666.21</v>
      </c>
      <c r="P320" s="2">
        <v>0</v>
      </c>
    </row>
    <row r="321" spans="1:16" x14ac:dyDescent="0.2">
      <c r="A321" s="4">
        <v>2854</v>
      </c>
      <c r="B321" s="4">
        <v>1</v>
      </c>
      <c r="C321" s="2" t="s">
        <v>322</v>
      </c>
      <c r="D321" s="184">
        <v>177512.34</v>
      </c>
      <c r="E321" s="185">
        <v>0</v>
      </c>
      <c r="G321" s="3">
        <f>SUMIF(Query1!$B$4:$B$125,A321,Query1!$F$4:$F$125)</f>
        <v>-901.3</v>
      </c>
      <c r="H321" s="3">
        <f>SUMIF(Query4!$B$4:$B$48,A321,Query4!$F$4:$F$48)</f>
        <v>-738.43</v>
      </c>
      <c r="J321" s="2">
        <f t="shared" si="4"/>
        <v>0</v>
      </c>
      <c r="K321" s="2" t="s">
        <v>1120</v>
      </c>
      <c r="L321" s="2">
        <v>2854</v>
      </c>
      <c r="M321" s="2">
        <v>1</v>
      </c>
      <c r="N321" s="2" t="s">
        <v>1067</v>
      </c>
      <c r="O321" s="2">
        <v>177512.34</v>
      </c>
      <c r="P321" s="2">
        <v>0</v>
      </c>
    </row>
    <row r="322" spans="1:16" x14ac:dyDescent="0.2">
      <c r="A322" s="4">
        <v>2856</v>
      </c>
      <c r="B322" s="4">
        <v>1</v>
      </c>
      <c r="C322" s="2" t="s">
        <v>1137</v>
      </c>
      <c r="D322" s="184">
        <v>189695.58</v>
      </c>
      <c r="E322" s="185">
        <v>0</v>
      </c>
      <c r="G322" s="3">
        <f>SUMIF(Query1!$B$4:$B$125,A322,Query1!$F$4:$F$125)</f>
        <v>0</v>
      </c>
      <c r="H322" s="3">
        <f>SUMIF(Query4!$B$4:$B$48,A322,Query4!$F$4:$F$48)</f>
        <v>0</v>
      </c>
      <c r="J322" s="2">
        <f t="shared" si="4"/>
        <v>0</v>
      </c>
      <c r="K322" s="2" t="s">
        <v>1120</v>
      </c>
      <c r="L322" s="2">
        <v>2856</v>
      </c>
      <c r="M322" s="2">
        <v>1</v>
      </c>
      <c r="N322" s="2" t="s">
        <v>1068</v>
      </c>
      <c r="O322" s="2">
        <v>189695.58</v>
      </c>
      <c r="P322" s="2">
        <v>0</v>
      </c>
    </row>
    <row r="323" spans="1:16" x14ac:dyDescent="0.2">
      <c r="A323" s="4">
        <v>2859</v>
      </c>
      <c r="B323" s="4">
        <v>1</v>
      </c>
      <c r="C323" s="2" t="s">
        <v>1136</v>
      </c>
      <c r="D323" s="184">
        <v>820576.33</v>
      </c>
      <c r="E323" s="185">
        <v>0</v>
      </c>
      <c r="G323" s="3">
        <f>SUMIF(Query1!$B$4:$B$125,A323,Query1!$F$4:$F$125)</f>
        <v>0</v>
      </c>
      <c r="H323" s="3">
        <f>SUMIF(Query4!$B$4:$B$48,A323,Query4!$F$4:$F$48)</f>
        <v>0</v>
      </c>
      <c r="J323" s="2">
        <f t="shared" si="4"/>
        <v>0</v>
      </c>
      <c r="K323" s="2" t="s">
        <v>1120</v>
      </c>
      <c r="L323" s="2">
        <v>2859</v>
      </c>
      <c r="M323" s="2">
        <v>1</v>
      </c>
      <c r="N323" s="2" t="s">
        <v>1069</v>
      </c>
      <c r="O323" s="2">
        <v>820576.33</v>
      </c>
      <c r="P323" s="2">
        <v>0</v>
      </c>
    </row>
    <row r="324" spans="1:16" x14ac:dyDescent="0.2">
      <c r="A324" s="4">
        <v>2860</v>
      </c>
      <c r="B324" s="4">
        <v>1</v>
      </c>
      <c r="C324" s="2" t="s">
        <v>325</v>
      </c>
      <c r="D324" s="184">
        <v>411172.11</v>
      </c>
      <c r="E324" s="185">
        <v>0</v>
      </c>
      <c r="G324" s="3">
        <f>SUMIF(Query1!$B$4:$B$125,A324,Query1!$F$4:$F$125)</f>
        <v>0</v>
      </c>
      <c r="H324" s="3">
        <f>SUMIF(Query4!$B$4:$B$48,A324,Query4!$F$4:$F$48)</f>
        <v>-2296</v>
      </c>
      <c r="J324" s="2">
        <f t="shared" si="4"/>
        <v>0</v>
      </c>
      <c r="K324" s="2" t="s">
        <v>1120</v>
      </c>
      <c r="L324" s="2">
        <v>2860</v>
      </c>
      <c r="M324" s="2">
        <v>1</v>
      </c>
      <c r="N324" s="2" t="s">
        <v>1070</v>
      </c>
      <c r="O324" s="2">
        <v>411172.11</v>
      </c>
      <c r="P324" s="2">
        <v>0</v>
      </c>
    </row>
    <row r="325" spans="1:16" x14ac:dyDescent="0.2">
      <c r="A325" s="4">
        <v>2884</v>
      </c>
      <c r="B325" s="4">
        <v>1</v>
      </c>
      <c r="C325" s="2" t="s">
        <v>326</v>
      </c>
      <c r="D325" s="184">
        <v>341287.75</v>
      </c>
      <c r="E325" s="185">
        <v>0</v>
      </c>
      <c r="G325" s="3">
        <f>SUMIF(Query1!$B$4:$B$125,A325,Query1!$F$4:$F$125)</f>
        <v>0</v>
      </c>
      <c r="H325" s="3">
        <f>SUMIF(Query4!$B$4:$B$48,A325,Query4!$F$4:$F$48)</f>
        <v>0</v>
      </c>
      <c r="J325" s="2">
        <f t="shared" si="4"/>
        <v>0</v>
      </c>
      <c r="K325" s="2" t="s">
        <v>1120</v>
      </c>
      <c r="L325" s="2">
        <v>2884</v>
      </c>
      <c r="M325" s="2">
        <v>1</v>
      </c>
      <c r="N325" s="2" t="s">
        <v>1071</v>
      </c>
      <c r="O325" s="2">
        <v>341287.75</v>
      </c>
      <c r="P325" s="2">
        <v>0</v>
      </c>
    </row>
    <row r="326" spans="1:16" x14ac:dyDescent="0.2">
      <c r="A326" s="4">
        <v>2886</v>
      </c>
      <c r="B326" s="4">
        <v>1</v>
      </c>
      <c r="C326" s="2" t="s">
        <v>327</v>
      </c>
      <c r="D326" s="184">
        <v>83404.600000000006</v>
      </c>
      <c r="E326" s="185">
        <v>0</v>
      </c>
      <c r="G326" s="3">
        <f>SUMIF(Query1!$B$4:$B$125,A326,Query1!$F$4:$F$125)</f>
        <v>0</v>
      </c>
      <c r="H326" s="3">
        <f>SUMIF(Query4!$B$4:$B$48,A326,Query4!$F$4:$F$48)</f>
        <v>0</v>
      </c>
      <c r="J326" s="2">
        <f t="shared" si="4"/>
        <v>0</v>
      </c>
      <c r="K326" s="2" t="s">
        <v>1120</v>
      </c>
      <c r="L326" s="2">
        <v>2886</v>
      </c>
      <c r="M326" s="2">
        <v>1</v>
      </c>
      <c r="N326" s="2" t="s">
        <v>1072</v>
      </c>
      <c r="O326" s="2">
        <v>83404.600000000006</v>
      </c>
      <c r="P326" s="2">
        <v>0</v>
      </c>
    </row>
    <row r="327" spans="1:16" x14ac:dyDescent="0.2">
      <c r="A327" s="4">
        <v>2888</v>
      </c>
      <c r="B327" s="4">
        <v>1</v>
      </c>
      <c r="C327" s="2" t="s">
        <v>1135</v>
      </c>
      <c r="D327" s="184">
        <v>160113.57999999999</v>
      </c>
      <c r="E327" s="185">
        <v>0</v>
      </c>
      <c r="G327" s="3">
        <f>SUMIF(Query1!$B$4:$B$125,A327,Query1!$F$4:$F$125)</f>
        <v>0.28999999999999998</v>
      </c>
      <c r="H327" s="3">
        <f>SUMIF(Query4!$B$4:$B$48,A327,Query4!$F$4:$F$48)</f>
        <v>0</v>
      </c>
      <c r="J327" s="2">
        <f t="shared" si="4"/>
        <v>0</v>
      </c>
      <c r="K327" s="2" t="s">
        <v>1120</v>
      </c>
      <c r="L327" s="2">
        <v>2888</v>
      </c>
      <c r="M327" s="2">
        <v>1</v>
      </c>
      <c r="N327" s="2" t="s">
        <v>1073</v>
      </c>
      <c r="O327" s="2">
        <v>160113.57999999999</v>
      </c>
      <c r="P327" s="2">
        <v>0</v>
      </c>
    </row>
    <row r="328" spans="1:16" x14ac:dyDescent="0.2">
      <c r="A328" s="4">
        <v>2889</v>
      </c>
      <c r="B328" s="4">
        <v>1</v>
      </c>
      <c r="C328" s="2" t="s">
        <v>1134</v>
      </c>
      <c r="D328" s="184">
        <v>477765</v>
      </c>
      <c r="E328" s="185">
        <v>0</v>
      </c>
      <c r="G328" s="3">
        <f>SUMIF(Query1!$B$4:$B$125,A328,Query1!$F$4:$F$125)</f>
        <v>0</v>
      </c>
      <c r="H328" s="3">
        <f>SUMIF(Query4!$B$4:$B$48,A328,Query4!$F$4:$F$48)</f>
        <v>0</v>
      </c>
      <c r="J328" s="2">
        <f t="shared" si="4"/>
        <v>0</v>
      </c>
      <c r="K328" s="2" t="s">
        <v>1120</v>
      </c>
      <c r="L328" s="2">
        <v>2889</v>
      </c>
      <c r="M328" s="2">
        <v>1</v>
      </c>
      <c r="N328" s="2" t="s">
        <v>1074</v>
      </c>
      <c r="O328" s="2">
        <v>477765</v>
      </c>
      <c r="P328" s="2">
        <v>0</v>
      </c>
    </row>
    <row r="329" spans="1:16" x14ac:dyDescent="0.2">
      <c r="A329" s="4">
        <v>2890</v>
      </c>
      <c r="B329" s="4">
        <v>1</v>
      </c>
      <c r="C329" s="2" t="s">
        <v>1133</v>
      </c>
      <c r="D329" s="184">
        <v>569575.74</v>
      </c>
      <c r="E329" s="185">
        <v>0</v>
      </c>
      <c r="G329" s="3">
        <f>SUMIF(Query1!$B$4:$B$125,A329,Query1!$F$4:$F$125)</f>
        <v>0</v>
      </c>
      <c r="H329" s="3">
        <f>SUMIF(Query4!$B$4:$B$48,A329,Query4!$F$4:$F$48)</f>
        <v>0</v>
      </c>
      <c r="J329" s="2">
        <f t="shared" si="4"/>
        <v>0</v>
      </c>
      <c r="K329" s="2" t="s">
        <v>1120</v>
      </c>
      <c r="L329" s="2">
        <v>2890</v>
      </c>
      <c r="M329" s="2">
        <v>1</v>
      </c>
      <c r="N329" s="2" t="s">
        <v>1075</v>
      </c>
      <c r="O329" s="2">
        <v>569575.74</v>
      </c>
      <c r="P329" s="2">
        <v>0</v>
      </c>
    </row>
    <row r="330" spans="1:16" x14ac:dyDescent="0.2">
      <c r="A330" s="4">
        <v>2895</v>
      </c>
      <c r="B330" s="4">
        <v>1</v>
      </c>
      <c r="C330" s="2" t="s">
        <v>1132</v>
      </c>
      <c r="D330" s="184">
        <v>757588.91</v>
      </c>
      <c r="E330" s="185">
        <v>0</v>
      </c>
      <c r="G330" s="3">
        <f>SUMIF(Query1!$B$4:$B$125,A330,Query1!$F$4:$F$125)</f>
        <v>0</v>
      </c>
      <c r="H330" s="3">
        <f>SUMIF(Query4!$B$4:$B$48,A330,Query4!$F$4:$F$48)</f>
        <v>0</v>
      </c>
      <c r="J330" s="2">
        <f t="shared" ref="J330:J340" si="5">L330-A330</f>
        <v>0</v>
      </c>
      <c r="K330" s="2" t="s">
        <v>1120</v>
      </c>
      <c r="L330" s="2">
        <v>2895</v>
      </c>
      <c r="M330" s="2">
        <v>1</v>
      </c>
      <c r="N330" s="2" t="s">
        <v>1076</v>
      </c>
      <c r="O330" s="2">
        <v>757588.91</v>
      </c>
      <c r="P330" s="2">
        <v>0</v>
      </c>
    </row>
    <row r="331" spans="1:16" x14ac:dyDescent="0.2">
      <c r="A331" s="4">
        <v>2897</v>
      </c>
      <c r="B331" s="4">
        <v>1</v>
      </c>
      <c r="C331" s="2" t="s">
        <v>1131</v>
      </c>
      <c r="D331" s="184">
        <v>641281.46</v>
      </c>
      <c r="E331" s="185">
        <v>0</v>
      </c>
      <c r="G331" s="3">
        <f>SUMIF(Query1!$B$4:$B$125,A331,Query1!$F$4:$F$125)</f>
        <v>0</v>
      </c>
      <c r="H331" s="3">
        <f>SUMIF(Query4!$B$4:$B$48,A331,Query4!$F$4:$F$48)</f>
        <v>0</v>
      </c>
      <c r="J331" s="2">
        <f t="shared" si="5"/>
        <v>0</v>
      </c>
      <c r="K331" s="2" t="s">
        <v>1120</v>
      </c>
      <c r="L331" s="2">
        <v>2897</v>
      </c>
      <c r="M331" s="2">
        <v>1</v>
      </c>
      <c r="N331" s="2" t="s">
        <v>1077</v>
      </c>
      <c r="O331" s="2">
        <v>641281.46</v>
      </c>
      <c r="P331" s="2">
        <v>0</v>
      </c>
    </row>
    <row r="332" spans="1:16" x14ac:dyDescent="0.2">
      <c r="A332" s="4">
        <v>2898</v>
      </c>
      <c r="B332" s="4">
        <v>1</v>
      </c>
      <c r="C332" s="2" t="s">
        <v>1130</v>
      </c>
      <c r="D332" s="184">
        <v>139775.06</v>
      </c>
      <c r="E332" s="185">
        <v>0</v>
      </c>
      <c r="G332" s="3">
        <f>SUMIF(Query1!$B$4:$B$125,A332,Query1!$F$4:$F$125)</f>
        <v>-19511.11</v>
      </c>
      <c r="H332" s="3">
        <f>SUMIF(Query4!$B$4:$B$48,A332,Query4!$F$4:$F$48)</f>
        <v>0</v>
      </c>
      <c r="J332" s="2">
        <f t="shared" si="5"/>
        <v>0</v>
      </c>
      <c r="K332" s="2" t="s">
        <v>1120</v>
      </c>
      <c r="L332" s="2">
        <v>2898</v>
      </c>
      <c r="M332" s="2">
        <v>1</v>
      </c>
      <c r="N332" s="2" t="s">
        <v>1078</v>
      </c>
      <c r="O332" s="2">
        <v>139775.06</v>
      </c>
      <c r="P332" s="2">
        <v>0</v>
      </c>
    </row>
    <row r="333" spans="1:16" x14ac:dyDescent="0.2">
      <c r="A333" s="4">
        <v>2899</v>
      </c>
      <c r="B333" s="4">
        <v>1</v>
      </c>
      <c r="C333" s="2" t="s">
        <v>1079</v>
      </c>
      <c r="D333" s="184">
        <v>497258.98</v>
      </c>
      <c r="E333" s="185">
        <v>0</v>
      </c>
      <c r="G333" s="3">
        <f>SUMIF(Query1!$B$4:$B$125,A333,Query1!$F$4:$F$125)</f>
        <v>0</v>
      </c>
      <c r="H333" s="3">
        <f>SUMIF(Query4!$B$4:$B$48,A333,Query4!$F$4:$F$48)</f>
        <v>0</v>
      </c>
      <c r="J333" s="2">
        <f t="shared" si="5"/>
        <v>0</v>
      </c>
      <c r="K333" s="2" t="s">
        <v>1120</v>
      </c>
      <c r="L333" s="2">
        <v>2899</v>
      </c>
      <c r="M333" s="2">
        <v>1</v>
      </c>
      <c r="N333" s="2" t="s">
        <v>1079</v>
      </c>
      <c r="O333" s="2">
        <v>497258.98</v>
      </c>
      <c r="P333" s="2">
        <v>0</v>
      </c>
    </row>
    <row r="334" spans="1:16" x14ac:dyDescent="0.2">
      <c r="A334" s="4">
        <v>2902</v>
      </c>
      <c r="B334" s="4">
        <v>1</v>
      </c>
      <c r="C334" s="2" t="s">
        <v>493</v>
      </c>
      <c r="D334" s="184">
        <v>274953.59000000003</v>
      </c>
      <c r="E334" s="185">
        <v>0</v>
      </c>
      <c r="G334" s="3">
        <f>SUMIF(Query1!$B$4:$B$125,A334,Query1!$F$4:$F$125)</f>
        <v>0</v>
      </c>
      <c r="H334" s="3">
        <f>SUMIF(Query4!$B$4:$B$48,A334,Query4!$F$4:$F$48)</f>
        <v>0</v>
      </c>
      <c r="J334" s="2">
        <f t="shared" si="5"/>
        <v>0</v>
      </c>
      <c r="K334" s="2" t="s">
        <v>1120</v>
      </c>
      <c r="L334" s="2">
        <v>2902</v>
      </c>
      <c r="M334" s="2">
        <v>1</v>
      </c>
      <c r="N334" s="2" t="s">
        <v>1080</v>
      </c>
      <c r="O334" s="2">
        <v>274953.59000000003</v>
      </c>
      <c r="P334" s="2">
        <v>0</v>
      </c>
    </row>
    <row r="335" spans="1:16" x14ac:dyDescent="0.2">
      <c r="A335" s="4">
        <v>2903</v>
      </c>
      <c r="B335" s="4">
        <v>1</v>
      </c>
      <c r="C335" s="2" t="s">
        <v>633</v>
      </c>
      <c r="D335" s="184">
        <v>278402.81</v>
      </c>
      <c r="E335" s="185">
        <v>0</v>
      </c>
      <c r="G335" s="3">
        <f>SUMIF(Query1!$B$4:$B$125,A335,Query1!$F$4:$F$125)</f>
        <v>0</v>
      </c>
      <c r="H335" s="3">
        <f>SUMIF(Query4!$B$4:$B$48,A335,Query4!$F$4:$F$48)</f>
        <v>-1964</v>
      </c>
      <c r="J335" s="2">
        <f t="shared" si="5"/>
        <v>0</v>
      </c>
      <c r="K335" s="2" t="s">
        <v>1120</v>
      </c>
      <c r="L335" s="2">
        <v>2903</v>
      </c>
      <c r="M335" s="2">
        <v>1</v>
      </c>
      <c r="N335" s="2" t="s">
        <v>1081</v>
      </c>
      <c r="O335" s="2">
        <v>278402.81</v>
      </c>
      <c r="P335" s="2">
        <v>0</v>
      </c>
    </row>
    <row r="336" spans="1:16" x14ac:dyDescent="0.2">
      <c r="A336" s="4">
        <v>2904</v>
      </c>
      <c r="B336" s="4">
        <v>1</v>
      </c>
      <c r="C336" s="2" t="s">
        <v>634</v>
      </c>
      <c r="D336" s="184">
        <v>414768.42</v>
      </c>
      <c r="E336" s="185">
        <v>0</v>
      </c>
      <c r="G336" s="3">
        <f>SUMIF(Query1!$B$4:$B$125,A336,Query1!$F$4:$F$125)</f>
        <v>-9927.7999999999993</v>
      </c>
      <c r="H336" s="3">
        <f>SUMIF(Query4!$B$4:$B$48,A336,Query4!$F$4:$F$48)</f>
        <v>-1623.73</v>
      </c>
      <c r="J336" s="2">
        <f t="shared" si="5"/>
        <v>0</v>
      </c>
      <c r="K336" s="2" t="s">
        <v>1120</v>
      </c>
      <c r="L336" s="2">
        <v>2904</v>
      </c>
      <c r="M336" s="2">
        <v>1</v>
      </c>
      <c r="N336" s="2" t="s">
        <v>1082</v>
      </c>
      <c r="O336" s="2">
        <v>414768.42</v>
      </c>
      <c r="P336" s="2">
        <v>0</v>
      </c>
    </row>
    <row r="337" spans="1:16" x14ac:dyDescent="0.2">
      <c r="A337" s="4">
        <v>2905</v>
      </c>
      <c r="B337" s="4">
        <v>1</v>
      </c>
      <c r="C337" s="2" t="s">
        <v>1129</v>
      </c>
      <c r="D337" s="184">
        <v>989527.65</v>
      </c>
      <c r="E337" s="185">
        <v>0</v>
      </c>
      <c r="G337" s="3">
        <f>SUMIF(Query1!$B$4:$B$125,A337,Query1!$F$4:$F$125)</f>
        <v>0</v>
      </c>
      <c r="H337" s="3">
        <f>SUMIF(Query4!$B$4:$B$48,A337,Query4!$F$4:$F$48)</f>
        <v>0</v>
      </c>
      <c r="J337" s="2">
        <f t="shared" si="5"/>
        <v>0</v>
      </c>
      <c r="K337" s="2" t="s">
        <v>1120</v>
      </c>
      <c r="L337" s="2">
        <v>2905</v>
      </c>
      <c r="M337" s="2">
        <v>1</v>
      </c>
      <c r="N337" s="2" t="s">
        <v>1083</v>
      </c>
      <c r="O337" s="2">
        <v>989527.65</v>
      </c>
      <c r="P337" s="2">
        <v>0</v>
      </c>
    </row>
    <row r="338" spans="1:16" x14ac:dyDescent="0.2">
      <c r="A338" s="4">
        <v>2906</v>
      </c>
      <c r="B338" s="4">
        <v>1</v>
      </c>
      <c r="C338" s="2" t="s">
        <v>1085</v>
      </c>
      <c r="D338" s="184">
        <v>188603.23</v>
      </c>
      <c r="E338" s="185">
        <v>0</v>
      </c>
      <c r="G338" s="3">
        <f>SUMIF(Query1!$B$4:$B$125,A338,Query1!$F$4:$F$125)</f>
        <v>0</v>
      </c>
      <c r="H338" s="3">
        <f>SUMIF(Query4!$B$4:$B$48,A338,Query4!$F$4:$F$48)</f>
        <v>0</v>
      </c>
      <c r="J338" s="2">
        <f t="shared" si="5"/>
        <v>0</v>
      </c>
      <c r="K338" s="2" t="s">
        <v>1120</v>
      </c>
      <c r="L338" s="2">
        <v>2906</v>
      </c>
      <c r="M338" s="2">
        <v>1</v>
      </c>
      <c r="N338" s="2" t="s">
        <v>1233</v>
      </c>
      <c r="O338" s="2">
        <v>188603.23</v>
      </c>
      <c r="P338" s="2">
        <v>0</v>
      </c>
    </row>
    <row r="339" spans="1:16" x14ac:dyDescent="0.2">
      <c r="A339" s="4">
        <v>2907</v>
      </c>
      <c r="B339" s="4">
        <v>1</v>
      </c>
      <c r="C339" s="2" t="s">
        <v>1127</v>
      </c>
      <c r="D339" s="184">
        <v>239895.96</v>
      </c>
      <c r="E339" s="185">
        <v>0</v>
      </c>
      <c r="G339" s="3">
        <f>SUMIF(Query1!$B$4:$B$125,A339,Query1!$F$4:$F$125)</f>
        <v>0</v>
      </c>
      <c r="H339" s="3">
        <f>SUMIF(Query4!$B$4:$B$48,A339,Query4!$F$4:$F$48)</f>
        <v>0</v>
      </c>
      <c r="J339" s="2">
        <f t="shared" si="5"/>
        <v>0</v>
      </c>
      <c r="K339" s="2" t="s">
        <v>1120</v>
      </c>
      <c r="L339" s="2">
        <v>2907</v>
      </c>
      <c r="M339" s="2">
        <v>1</v>
      </c>
      <c r="N339" s="2" t="s">
        <v>1234</v>
      </c>
      <c r="O339" s="2">
        <v>239895.96</v>
      </c>
      <c r="P339" s="2">
        <v>0</v>
      </c>
    </row>
    <row r="340" spans="1:16" x14ac:dyDescent="0.2">
      <c r="A340" s="4">
        <v>2908</v>
      </c>
      <c r="B340" s="4">
        <v>1</v>
      </c>
      <c r="C340" s="2" t="s">
        <v>1128</v>
      </c>
      <c r="D340" s="184">
        <v>415418.71</v>
      </c>
      <c r="E340" s="185">
        <v>0</v>
      </c>
      <c r="G340" s="3">
        <f>SUMIF(Query1!$B$4:$B$125,A340,Query1!$F$4:$F$125)</f>
        <v>0</v>
      </c>
      <c r="H340" s="3">
        <f>SUMIF(Query4!$B$4:$B$48,A340,Query4!$F$4:$F$48)</f>
        <v>0</v>
      </c>
      <c r="J340" s="2">
        <f t="shared" si="5"/>
        <v>0</v>
      </c>
      <c r="K340" s="2" t="s">
        <v>1120</v>
      </c>
      <c r="L340" s="2">
        <v>2908</v>
      </c>
      <c r="M340" s="2">
        <v>1</v>
      </c>
      <c r="N340" s="2" t="s">
        <v>1235</v>
      </c>
      <c r="O340" s="2">
        <v>415418.71</v>
      </c>
      <c r="P340" s="2">
        <v>0</v>
      </c>
    </row>
    <row r="341" spans="1:16" x14ac:dyDescent="0.2">
      <c r="A341" s="159" t="s">
        <v>1241</v>
      </c>
    </row>
  </sheetData>
  <phoneticPr fontId="0" type="noConversion"/>
  <pageMargins left="0.75" right="0.75" top="1" bottom="1" header="0.5" footer="0.5"/>
  <pageSetup scale="80" orientation="portrait" horizontalDpi="300" verticalDpi="300" r:id="rId1"/>
  <headerFooter alignWithMargins="0">
    <oddFooter>&amp;C&amp;P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1"/>
  <sheetViews>
    <sheetView workbookViewId="0"/>
  </sheetViews>
  <sheetFormatPr defaultColWidth="0" defaultRowHeight="11.25" zeroHeight="1" x14ac:dyDescent="0.2"/>
  <cols>
    <col min="1" max="1" width="8" bestFit="1" customWidth="1"/>
    <col min="2" max="2" width="9.33203125" style="133" customWidth="1"/>
    <col min="3" max="3" width="8" style="133" bestFit="1" customWidth="1"/>
    <col min="4" max="4" width="13.5" bestFit="1" customWidth="1"/>
    <col min="5" max="5" width="9.33203125" style="133" customWidth="1"/>
    <col min="6" max="6" width="14.1640625" customWidth="1"/>
    <col min="7" max="7" width="9.33203125" hidden="1"/>
    <col min="8" max="9" width="13" hidden="1"/>
    <col min="10" max="16384" width="9.33203125" hidden="1"/>
  </cols>
  <sheetData>
    <row r="1" spans="1:6" ht="19.5" x14ac:dyDescent="0.3">
      <c r="A1" s="249" t="s">
        <v>1198</v>
      </c>
    </row>
    <row r="2" spans="1:6" x14ac:dyDescent="0.2">
      <c r="A2" s="136" t="s">
        <v>635</v>
      </c>
    </row>
    <row r="3" spans="1:6" x14ac:dyDescent="0.2">
      <c r="A3" s="9" t="s">
        <v>623</v>
      </c>
      <c r="B3" s="10" t="s">
        <v>624</v>
      </c>
      <c r="C3" s="10" t="s">
        <v>625</v>
      </c>
      <c r="D3" s="9" t="s">
        <v>626</v>
      </c>
      <c r="E3" s="10" t="s">
        <v>627</v>
      </c>
      <c r="F3" s="9" t="s">
        <v>628</v>
      </c>
    </row>
    <row r="4" spans="1:6" x14ac:dyDescent="0.2">
      <c r="A4" t="s">
        <v>745</v>
      </c>
      <c r="B4" s="133">
        <v>1</v>
      </c>
      <c r="C4" s="133">
        <v>1</v>
      </c>
      <c r="D4">
        <v>2.14</v>
      </c>
      <c r="E4" s="133">
        <v>1</v>
      </c>
      <c r="F4">
        <v>-113799.41</v>
      </c>
    </row>
    <row r="5" spans="1:6" x14ac:dyDescent="0.2">
      <c r="A5" t="s">
        <v>745</v>
      </c>
      <c r="B5" s="160">
        <v>1.2</v>
      </c>
      <c r="C5" s="133">
        <v>3</v>
      </c>
      <c r="D5">
        <v>2.14</v>
      </c>
      <c r="E5" s="133">
        <v>1</v>
      </c>
      <c r="F5">
        <v>-6868314</v>
      </c>
    </row>
    <row r="6" spans="1:6" x14ac:dyDescent="0.2">
      <c r="A6" t="s">
        <v>745</v>
      </c>
      <c r="B6" s="133">
        <v>2</v>
      </c>
      <c r="C6" s="133">
        <v>1</v>
      </c>
      <c r="D6">
        <v>2.14</v>
      </c>
      <c r="E6" s="133">
        <v>1</v>
      </c>
      <c r="F6">
        <v>0</v>
      </c>
    </row>
    <row r="7" spans="1:6" x14ac:dyDescent="0.2">
      <c r="A7" t="s">
        <v>745</v>
      </c>
      <c r="B7" s="133">
        <v>4</v>
      </c>
      <c r="C7" s="133">
        <v>1</v>
      </c>
      <c r="D7">
        <v>2.14</v>
      </c>
      <c r="E7" s="133">
        <v>1</v>
      </c>
      <c r="F7">
        <v>-34513.74</v>
      </c>
    </row>
    <row r="8" spans="1:6" x14ac:dyDescent="0.2">
      <c r="A8" t="s">
        <v>745</v>
      </c>
      <c r="B8" s="133">
        <v>23</v>
      </c>
      <c r="C8" s="133">
        <v>1</v>
      </c>
      <c r="D8">
        <v>2.14</v>
      </c>
      <c r="E8" s="133">
        <v>1</v>
      </c>
      <c r="F8">
        <v>0</v>
      </c>
    </row>
    <row r="9" spans="1:6" x14ac:dyDescent="0.2">
      <c r="A9" t="s">
        <v>745</v>
      </c>
      <c r="B9" s="133">
        <v>47</v>
      </c>
      <c r="C9" s="133">
        <v>1</v>
      </c>
      <c r="D9">
        <v>2.14</v>
      </c>
      <c r="E9" s="133">
        <v>1</v>
      </c>
      <c r="F9">
        <v>-0.2</v>
      </c>
    </row>
    <row r="10" spans="1:6" x14ac:dyDescent="0.2">
      <c r="A10" t="s">
        <v>745</v>
      </c>
      <c r="B10" s="133">
        <v>81</v>
      </c>
      <c r="C10" s="133">
        <v>1</v>
      </c>
      <c r="D10">
        <v>2.14</v>
      </c>
      <c r="E10" s="133">
        <v>1</v>
      </c>
      <c r="F10">
        <v>-2763.2</v>
      </c>
    </row>
    <row r="11" spans="1:6" x14ac:dyDescent="0.2">
      <c r="A11" t="s">
        <v>745</v>
      </c>
      <c r="B11" s="133">
        <v>84</v>
      </c>
      <c r="C11" s="133">
        <v>1</v>
      </c>
      <c r="D11">
        <v>2.14</v>
      </c>
      <c r="E11" s="133">
        <v>1</v>
      </c>
      <c r="F11">
        <v>-60338.91</v>
      </c>
    </row>
    <row r="12" spans="1:6" x14ac:dyDescent="0.2">
      <c r="A12" t="s">
        <v>745</v>
      </c>
      <c r="B12" s="133">
        <v>85</v>
      </c>
      <c r="C12" s="133">
        <v>1</v>
      </c>
      <c r="D12">
        <v>2.14</v>
      </c>
      <c r="E12" s="133">
        <v>1</v>
      </c>
      <c r="F12">
        <v>0</v>
      </c>
    </row>
    <row r="13" spans="1:6" x14ac:dyDescent="0.2">
      <c r="A13" t="s">
        <v>745</v>
      </c>
      <c r="B13" s="133">
        <v>91</v>
      </c>
      <c r="C13" s="133">
        <v>1</v>
      </c>
      <c r="D13">
        <v>2.14</v>
      </c>
      <c r="E13" s="133">
        <v>1</v>
      </c>
      <c r="F13">
        <v>-14949.61</v>
      </c>
    </row>
    <row r="14" spans="1:6" x14ac:dyDescent="0.2">
      <c r="A14" t="s">
        <v>745</v>
      </c>
      <c r="B14" s="133">
        <v>94</v>
      </c>
      <c r="C14" s="133">
        <v>1</v>
      </c>
      <c r="D14">
        <v>2.14</v>
      </c>
      <c r="E14" s="133">
        <v>1</v>
      </c>
      <c r="F14">
        <v>-11100.62</v>
      </c>
    </row>
    <row r="15" spans="1:6" x14ac:dyDescent="0.2">
      <c r="A15" t="s">
        <v>745</v>
      </c>
      <c r="B15" s="133">
        <v>95</v>
      </c>
      <c r="C15" s="133">
        <v>1</v>
      </c>
      <c r="D15">
        <v>2.14</v>
      </c>
      <c r="E15" s="133">
        <v>1</v>
      </c>
      <c r="F15">
        <v>0</v>
      </c>
    </row>
    <row r="16" spans="1:6" x14ac:dyDescent="0.2">
      <c r="A16" t="s">
        <v>745</v>
      </c>
      <c r="B16" s="133">
        <v>99</v>
      </c>
      <c r="C16" s="133">
        <v>1</v>
      </c>
      <c r="D16">
        <v>2.14</v>
      </c>
      <c r="E16" s="133">
        <v>1</v>
      </c>
      <c r="F16">
        <v>-9321.4599999999991</v>
      </c>
    </row>
    <row r="17" spans="1:6" x14ac:dyDescent="0.2">
      <c r="A17" t="s">
        <v>745</v>
      </c>
      <c r="B17" s="133">
        <v>100</v>
      </c>
      <c r="C17" s="133">
        <v>1</v>
      </c>
      <c r="D17">
        <v>2.14</v>
      </c>
      <c r="E17" s="133">
        <v>1</v>
      </c>
      <c r="F17">
        <v>0</v>
      </c>
    </row>
    <row r="18" spans="1:6" x14ac:dyDescent="0.2">
      <c r="A18" t="s">
        <v>745</v>
      </c>
      <c r="B18" s="133">
        <v>108</v>
      </c>
      <c r="C18" s="133">
        <v>1</v>
      </c>
      <c r="D18">
        <v>2.14</v>
      </c>
      <c r="E18" s="133">
        <v>1</v>
      </c>
      <c r="F18">
        <v>-87067</v>
      </c>
    </row>
    <row r="19" spans="1:6" x14ac:dyDescent="0.2">
      <c r="A19" t="s">
        <v>745</v>
      </c>
      <c r="B19" s="133">
        <v>113</v>
      </c>
      <c r="C19" s="133">
        <v>1</v>
      </c>
      <c r="D19">
        <v>2.14</v>
      </c>
      <c r="E19" s="133">
        <v>1</v>
      </c>
      <c r="F19">
        <v>-7058</v>
      </c>
    </row>
    <row r="20" spans="1:6" x14ac:dyDescent="0.2">
      <c r="A20" t="s">
        <v>745</v>
      </c>
      <c r="B20" s="133">
        <v>129</v>
      </c>
      <c r="C20" s="133">
        <v>1</v>
      </c>
      <c r="D20">
        <v>2.14</v>
      </c>
      <c r="E20" s="133">
        <v>1</v>
      </c>
      <c r="F20">
        <v>-29208.13</v>
      </c>
    </row>
    <row r="21" spans="1:6" x14ac:dyDescent="0.2">
      <c r="A21" t="s">
        <v>745</v>
      </c>
      <c r="B21" s="133">
        <v>138</v>
      </c>
      <c r="C21" s="133">
        <v>1</v>
      </c>
      <c r="D21">
        <v>2.14</v>
      </c>
      <c r="E21" s="133">
        <v>1</v>
      </c>
      <c r="F21">
        <v>0</v>
      </c>
    </row>
    <row r="22" spans="1:6" x14ac:dyDescent="0.2">
      <c r="A22" t="s">
        <v>745</v>
      </c>
      <c r="B22" s="133">
        <v>150</v>
      </c>
      <c r="C22" s="133">
        <v>1</v>
      </c>
      <c r="D22">
        <v>2.14</v>
      </c>
      <c r="E22" s="133">
        <v>1</v>
      </c>
      <c r="F22">
        <v>0.3</v>
      </c>
    </row>
    <row r="23" spans="1:6" x14ac:dyDescent="0.2">
      <c r="A23" t="s">
        <v>745</v>
      </c>
      <c r="B23" s="133">
        <v>152</v>
      </c>
      <c r="C23" s="133">
        <v>1</v>
      </c>
      <c r="D23">
        <v>2.14</v>
      </c>
      <c r="E23" s="133">
        <v>1</v>
      </c>
      <c r="F23">
        <v>-76484</v>
      </c>
    </row>
    <row r="24" spans="1:6" x14ac:dyDescent="0.2">
      <c r="A24" t="s">
        <v>745</v>
      </c>
      <c r="B24" s="133">
        <v>166</v>
      </c>
      <c r="C24" s="133">
        <v>1</v>
      </c>
      <c r="D24">
        <v>2.14</v>
      </c>
      <c r="E24" s="133">
        <v>1</v>
      </c>
      <c r="F24">
        <v>-4094.79</v>
      </c>
    </row>
    <row r="25" spans="1:6" x14ac:dyDescent="0.2">
      <c r="A25" t="s">
        <v>745</v>
      </c>
      <c r="B25" s="133">
        <v>192</v>
      </c>
      <c r="C25" s="133">
        <v>1</v>
      </c>
      <c r="D25">
        <v>2.14</v>
      </c>
      <c r="E25" s="133">
        <v>1</v>
      </c>
      <c r="F25">
        <v>-423762.33</v>
      </c>
    </row>
    <row r="26" spans="1:6" x14ac:dyDescent="0.2">
      <c r="A26" t="s">
        <v>745</v>
      </c>
      <c r="B26" s="133">
        <v>195</v>
      </c>
      <c r="C26" s="133">
        <v>1</v>
      </c>
      <c r="D26">
        <v>2.14</v>
      </c>
      <c r="E26" s="133">
        <v>1</v>
      </c>
      <c r="F26">
        <v>-50007.199999999997</v>
      </c>
    </row>
    <row r="27" spans="1:6" x14ac:dyDescent="0.2">
      <c r="A27" t="s">
        <v>745</v>
      </c>
      <c r="B27" s="133">
        <v>208</v>
      </c>
      <c r="C27" s="133">
        <v>1</v>
      </c>
      <c r="D27">
        <v>2.14</v>
      </c>
      <c r="E27" s="133">
        <v>1</v>
      </c>
      <c r="F27">
        <v>0</v>
      </c>
    </row>
    <row r="28" spans="1:6" x14ac:dyDescent="0.2">
      <c r="A28" t="s">
        <v>745</v>
      </c>
      <c r="B28" s="133">
        <v>213</v>
      </c>
      <c r="C28" s="133">
        <v>1</v>
      </c>
      <c r="D28">
        <v>2.14</v>
      </c>
      <c r="E28" s="133">
        <v>1</v>
      </c>
      <c r="F28">
        <v>-34776.51</v>
      </c>
    </row>
    <row r="29" spans="1:6" x14ac:dyDescent="0.2">
      <c r="A29" t="s">
        <v>745</v>
      </c>
      <c r="B29" s="133">
        <v>227</v>
      </c>
      <c r="C29" s="133">
        <v>1</v>
      </c>
      <c r="D29">
        <v>2.14</v>
      </c>
      <c r="E29" s="133">
        <v>1</v>
      </c>
      <c r="F29">
        <v>-17069.84</v>
      </c>
    </row>
    <row r="30" spans="1:6" x14ac:dyDescent="0.2">
      <c r="A30" t="s">
        <v>745</v>
      </c>
      <c r="B30" s="133">
        <v>229</v>
      </c>
      <c r="C30" s="133">
        <v>1</v>
      </c>
      <c r="D30">
        <v>2.14</v>
      </c>
      <c r="E30" s="133">
        <v>1</v>
      </c>
      <c r="F30">
        <v>-32046.799999999999</v>
      </c>
    </row>
    <row r="31" spans="1:6" x14ac:dyDescent="0.2">
      <c r="A31" t="s">
        <v>745</v>
      </c>
      <c r="B31" s="133">
        <v>242</v>
      </c>
      <c r="C31" s="133">
        <v>1</v>
      </c>
      <c r="D31">
        <v>2.14</v>
      </c>
      <c r="E31" s="133">
        <v>1</v>
      </c>
      <c r="F31">
        <v>-1646.58</v>
      </c>
    </row>
    <row r="32" spans="1:6" x14ac:dyDescent="0.2">
      <c r="A32" t="s">
        <v>745</v>
      </c>
      <c r="B32" s="133">
        <v>252</v>
      </c>
      <c r="C32" s="133">
        <v>1</v>
      </c>
      <c r="D32">
        <v>2.14</v>
      </c>
      <c r="E32" s="133">
        <v>1</v>
      </c>
      <c r="F32">
        <v>-10201.370000000001</v>
      </c>
    </row>
    <row r="33" spans="1:6" x14ac:dyDescent="0.2">
      <c r="A33" t="s">
        <v>745</v>
      </c>
      <c r="B33" s="133">
        <v>253</v>
      </c>
      <c r="C33" s="133">
        <v>1</v>
      </c>
      <c r="D33">
        <v>2.14</v>
      </c>
      <c r="E33" s="133">
        <v>1</v>
      </c>
      <c r="F33">
        <v>0</v>
      </c>
    </row>
    <row r="34" spans="1:6" x14ac:dyDescent="0.2">
      <c r="A34" t="s">
        <v>745</v>
      </c>
      <c r="B34" s="133">
        <v>255</v>
      </c>
      <c r="C34" s="133">
        <v>1</v>
      </c>
      <c r="D34">
        <v>2.14</v>
      </c>
      <c r="E34" s="133">
        <v>1</v>
      </c>
      <c r="F34">
        <v>0</v>
      </c>
    </row>
    <row r="35" spans="1:6" x14ac:dyDescent="0.2">
      <c r="A35" t="s">
        <v>745</v>
      </c>
      <c r="B35" s="133">
        <v>261</v>
      </c>
      <c r="C35" s="133">
        <v>1</v>
      </c>
      <c r="D35">
        <v>2.14</v>
      </c>
      <c r="E35" s="133">
        <v>1</v>
      </c>
      <c r="F35">
        <v>0</v>
      </c>
    </row>
    <row r="36" spans="1:6" x14ac:dyDescent="0.2">
      <c r="A36" t="s">
        <v>745</v>
      </c>
      <c r="B36" s="133">
        <v>264</v>
      </c>
      <c r="C36" s="133">
        <v>1</v>
      </c>
      <c r="D36">
        <v>2.14</v>
      </c>
      <c r="E36" s="133">
        <v>1</v>
      </c>
      <c r="F36">
        <v>-41938.480000000003</v>
      </c>
    </row>
    <row r="37" spans="1:6" x14ac:dyDescent="0.2">
      <c r="A37" t="s">
        <v>745</v>
      </c>
      <c r="B37" s="133">
        <v>306</v>
      </c>
      <c r="C37" s="133">
        <v>1</v>
      </c>
      <c r="D37">
        <v>2.14</v>
      </c>
      <c r="E37" s="133">
        <v>1</v>
      </c>
      <c r="F37">
        <v>-17466.18</v>
      </c>
    </row>
    <row r="38" spans="1:6" x14ac:dyDescent="0.2">
      <c r="A38" t="s">
        <v>745</v>
      </c>
      <c r="B38" s="133">
        <v>316</v>
      </c>
      <c r="C38" s="133">
        <v>1</v>
      </c>
      <c r="D38">
        <v>2.14</v>
      </c>
      <c r="E38" s="133">
        <v>1</v>
      </c>
      <c r="F38">
        <v>-280109.08</v>
      </c>
    </row>
    <row r="39" spans="1:6" x14ac:dyDescent="0.2">
      <c r="A39" t="s">
        <v>745</v>
      </c>
      <c r="B39" s="133">
        <v>317</v>
      </c>
      <c r="C39" s="133">
        <v>1</v>
      </c>
      <c r="D39">
        <v>2.14</v>
      </c>
      <c r="E39" s="133">
        <v>1</v>
      </c>
      <c r="F39">
        <v>-58829.38</v>
      </c>
    </row>
    <row r="40" spans="1:6" x14ac:dyDescent="0.2">
      <c r="A40" t="s">
        <v>745</v>
      </c>
      <c r="B40" s="133">
        <v>318</v>
      </c>
      <c r="C40" s="133">
        <v>1</v>
      </c>
      <c r="D40">
        <v>2.14</v>
      </c>
      <c r="E40" s="133">
        <v>1</v>
      </c>
      <c r="F40">
        <v>-267364.81</v>
      </c>
    </row>
    <row r="41" spans="1:6" x14ac:dyDescent="0.2">
      <c r="A41" t="s">
        <v>745</v>
      </c>
      <c r="B41" s="133">
        <v>319</v>
      </c>
      <c r="C41" s="133">
        <v>1</v>
      </c>
      <c r="D41">
        <v>2.14</v>
      </c>
      <c r="E41" s="133">
        <v>1</v>
      </c>
      <c r="F41">
        <v>0</v>
      </c>
    </row>
    <row r="42" spans="1:6" x14ac:dyDescent="0.2">
      <c r="A42" t="s">
        <v>745</v>
      </c>
      <c r="B42" s="133">
        <v>332</v>
      </c>
      <c r="C42" s="133">
        <v>1</v>
      </c>
      <c r="D42">
        <v>2.14</v>
      </c>
      <c r="E42" s="133">
        <v>1</v>
      </c>
      <c r="F42">
        <v>-5151.25</v>
      </c>
    </row>
    <row r="43" spans="1:6" x14ac:dyDescent="0.2">
      <c r="A43" t="s">
        <v>745</v>
      </c>
      <c r="B43" s="133">
        <v>333</v>
      </c>
      <c r="C43" s="133">
        <v>1</v>
      </c>
      <c r="D43">
        <v>2.14</v>
      </c>
      <c r="E43" s="133">
        <v>1</v>
      </c>
      <c r="F43">
        <v>-27974.45</v>
      </c>
    </row>
    <row r="44" spans="1:6" x14ac:dyDescent="0.2">
      <c r="A44" t="s">
        <v>745</v>
      </c>
      <c r="B44" s="133">
        <v>363</v>
      </c>
      <c r="C44" s="133">
        <v>1</v>
      </c>
      <c r="D44">
        <v>2.14</v>
      </c>
      <c r="E44" s="133">
        <v>1</v>
      </c>
      <c r="F44">
        <v>-1872.07</v>
      </c>
    </row>
    <row r="45" spans="1:6" x14ac:dyDescent="0.2">
      <c r="A45" t="s">
        <v>745</v>
      </c>
      <c r="B45" s="133">
        <v>381</v>
      </c>
      <c r="C45" s="133">
        <v>1</v>
      </c>
      <c r="D45">
        <v>2.14</v>
      </c>
      <c r="E45" s="133">
        <v>1</v>
      </c>
      <c r="F45">
        <v>-166539.51</v>
      </c>
    </row>
    <row r="46" spans="1:6" x14ac:dyDescent="0.2">
      <c r="A46" t="s">
        <v>745</v>
      </c>
      <c r="B46" s="133">
        <v>390</v>
      </c>
      <c r="C46" s="133">
        <v>1</v>
      </c>
      <c r="D46">
        <v>2.14</v>
      </c>
      <c r="E46" s="133">
        <v>1</v>
      </c>
      <c r="F46">
        <v>0</v>
      </c>
    </row>
    <row r="47" spans="1:6" x14ac:dyDescent="0.2">
      <c r="A47" t="s">
        <v>745</v>
      </c>
      <c r="B47" s="133">
        <v>413</v>
      </c>
      <c r="C47" s="133">
        <v>1</v>
      </c>
      <c r="D47">
        <v>2.14</v>
      </c>
      <c r="E47" s="133">
        <v>1</v>
      </c>
      <c r="F47">
        <v>0</v>
      </c>
    </row>
    <row r="48" spans="1:6" x14ac:dyDescent="0.2">
      <c r="A48" t="s">
        <v>745</v>
      </c>
      <c r="B48" s="133">
        <v>414</v>
      </c>
      <c r="C48" s="133">
        <v>1</v>
      </c>
      <c r="D48">
        <v>2.14</v>
      </c>
      <c r="E48" s="133">
        <v>1</v>
      </c>
      <c r="F48">
        <v>0</v>
      </c>
    </row>
    <row r="49" spans="1:6" x14ac:dyDescent="0.2">
      <c r="A49" t="s">
        <v>745</v>
      </c>
      <c r="B49" s="133">
        <v>415</v>
      </c>
      <c r="C49" s="133">
        <v>1</v>
      </c>
      <c r="D49">
        <v>2.14</v>
      </c>
      <c r="E49" s="133">
        <v>1</v>
      </c>
      <c r="F49">
        <v>0</v>
      </c>
    </row>
    <row r="50" spans="1:6" x14ac:dyDescent="0.2">
      <c r="A50" t="s">
        <v>745</v>
      </c>
      <c r="B50" s="133">
        <v>424</v>
      </c>
      <c r="C50" s="133">
        <v>1</v>
      </c>
      <c r="D50">
        <v>2.14</v>
      </c>
      <c r="E50" s="133">
        <v>1</v>
      </c>
      <c r="F50">
        <v>0</v>
      </c>
    </row>
    <row r="51" spans="1:6" x14ac:dyDescent="0.2">
      <c r="A51" t="s">
        <v>745</v>
      </c>
      <c r="B51" s="133">
        <v>432</v>
      </c>
      <c r="C51" s="133">
        <v>1</v>
      </c>
      <c r="D51">
        <v>2.14</v>
      </c>
      <c r="E51" s="133">
        <v>1</v>
      </c>
      <c r="F51">
        <v>-14523</v>
      </c>
    </row>
    <row r="52" spans="1:6" x14ac:dyDescent="0.2">
      <c r="A52" t="s">
        <v>745</v>
      </c>
      <c r="B52" s="133">
        <v>435</v>
      </c>
      <c r="C52" s="133">
        <v>1</v>
      </c>
      <c r="D52">
        <v>2.14</v>
      </c>
      <c r="E52" s="133">
        <v>1</v>
      </c>
      <c r="F52">
        <v>-4047.11</v>
      </c>
    </row>
    <row r="53" spans="1:6" x14ac:dyDescent="0.2">
      <c r="A53" t="s">
        <v>745</v>
      </c>
      <c r="B53" s="133">
        <v>447</v>
      </c>
      <c r="C53" s="133">
        <v>1</v>
      </c>
      <c r="D53">
        <v>2.14</v>
      </c>
      <c r="E53" s="133">
        <v>1</v>
      </c>
      <c r="F53">
        <v>-869.49</v>
      </c>
    </row>
    <row r="54" spans="1:6" x14ac:dyDescent="0.2">
      <c r="A54" t="s">
        <v>745</v>
      </c>
      <c r="B54" s="133">
        <v>458</v>
      </c>
      <c r="C54" s="133">
        <v>1</v>
      </c>
      <c r="D54">
        <v>2.14</v>
      </c>
      <c r="E54" s="133">
        <v>1</v>
      </c>
      <c r="F54">
        <v>0</v>
      </c>
    </row>
    <row r="55" spans="1:6" x14ac:dyDescent="0.2">
      <c r="A55" t="s">
        <v>745</v>
      </c>
      <c r="B55" s="133">
        <v>473</v>
      </c>
      <c r="C55" s="133">
        <v>1</v>
      </c>
      <c r="D55">
        <v>2.14</v>
      </c>
      <c r="E55" s="133">
        <v>1</v>
      </c>
      <c r="F55">
        <v>-22074.41</v>
      </c>
    </row>
    <row r="56" spans="1:6" x14ac:dyDescent="0.2">
      <c r="A56" t="s">
        <v>745</v>
      </c>
      <c r="B56" s="133">
        <v>477</v>
      </c>
      <c r="C56" s="133">
        <v>1</v>
      </c>
      <c r="D56">
        <v>2.14</v>
      </c>
      <c r="E56" s="133">
        <v>1</v>
      </c>
      <c r="F56">
        <v>0</v>
      </c>
    </row>
    <row r="57" spans="1:6" x14ac:dyDescent="0.2">
      <c r="A57" t="s">
        <v>745</v>
      </c>
      <c r="B57" s="133">
        <v>485</v>
      </c>
      <c r="C57" s="133">
        <v>1</v>
      </c>
      <c r="D57">
        <v>2.14</v>
      </c>
      <c r="E57" s="133">
        <v>1</v>
      </c>
      <c r="F57">
        <v>-28536.639999999999</v>
      </c>
    </row>
    <row r="58" spans="1:6" x14ac:dyDescent="0.2">
      <c r="A58" t="s">
        <v>745</v>
      </c>
      <c r="B58" s="133">
        <v>497</v>
      </c>
      <c r="C58" s="133">
        <v>1</v>
      </c>
      <c r="D58">
        <v>2.14</v>
      </c>
      <c r="E58" s="133">
        <v>1</v>
      </c>
      <c r="F58">
        <v>0</v>
      </c>
    </row>
    <row r="59" spans="1:6" x14ac:dyDescent="0.2">
      <c r="A59" t="s">
        <v>745</v>
      </c>
      <c r="B59" s="133">
        <v>507</v>
      </c>
      <c r="C59" s="133">
        <v>1</v>
      </c>
      <c r="D59">
        <v>2.14</v>
      </c>
      <c r="E59" s="133">
        <v>1</v>
      </c>
      <c r="F59">
        <v>0</v>
      </c>
    </row>
    <row r="60" spans="1:6" x14ac:dyDescent="0.2">
      <c r="A60" t="s">
        <v>745</v>
      </c>
      <c r="B60" s="133">
        <v>514</v>
      </c>
      <c r="C60" s="133">
        <v>1</v>
      </c>
      <c r="D60">
        <v>2.14</v>
      </c>
      <c r="E60" s="133">
        <v>1</v>
      </c>
      <c r="F60">
        <v>-13192.45</v>
      </c>
    </row>
    <row r="61" spans="1:6" x14ac:dyDescent="0.2">
      <c r="A61" t="s">
        <v>745</v>
      </c>
      <c r="B61" s="133">
        <v>516</v>
      </c>
      <c r="C61" s="133">
        <v>1</v>
      </c>
      <c r="D61">
        <v>2.14</v>
      </c>
      <c r="E61" s="133">
        <v>1</v>
      </c>
      <c r="F61">
        <v>-8163.14</v>
      </c>
    </row>
    <row r="62" spans="1:6" x14ac:dyDescent="0.2">
      <c r="A62" t="s">
        <v>745</v>
      </c>
      <c r="B62" s="133">
        <v>533</v>
      </c>
      <c r="C62" s="133">
        <v>1</v>
      </c>
      <c r="D62">
        <v>2.14</v>
      </c>
      <c r="E62" s="133">
        <v>1</v>
      </c>
      <c r="F62">
        <v>-6278</v>
      </c>
    </row>
    <row r="63" spans="1:6" x14ac:dyDescent="0.2">
      <c r="A63" t="s">
        <v>745</v>
      </c>
      <c r="B63" s="133">
        <v>542</v>
      </c>
      <c r="C63" s="133">
        <v>1</v>
      </c>
      <c r="D63">
        <v>2.14</v>
      </c>
      <c r="E63" s="133">
        <v>1</v>
      </c>
      <c r="F63">
        <v>0</v>
      </c>
    </row>
    <row r="64" spans="1:6" x14ac:dyDescent="0.2">
      <c r="A64" t="s">
        <v>745</v>
      </c>
      <c r="B64" s="133">
        <v>544</v>
      </c>
      <c r="C64" s="133">
        <v>1</v>
      </c>
      <c r="D64">
        <v>2.14</v>
      </c>
      <c r="E64" s="133">
        <v>1</v>
      </c>
      <c r="F64">
        <v>0</v>
      </c>
    </row>
    <row r="65" spans="1:6" x14ac:dyDescent="0.2">
      <c r="A65" t="s">
        <v>745</v>
      </c>
      <c r="B65" s="133">
        <v>548</v>
      </c>
      <c r="C65" s="133">
        <v>1</v>
      </c>
      <c r="D65">
        <v>2.14</v>
      </c>
      <c r="E65" s="133">
        <v>1</v>
      </c>
      <c r="F65">
        <v>-0.28000000000000003</v>
      </c>
    </row>
    <row r="66" spans="1:6" x14ac:dyDescent="0.2">
      <c r="A66" t="s">
        <v>745</v>
      </c>
      <c r="B66" s="133">
        <v>549</v>
      </c>
      <c r="C66" s="133">
        <v>1</v>
      </c>
      <c r="D66">
        <v>2.14</v>
      </c>
      <c r="E66" s="133">
        <v>1</v>
      </c>
      <c r="F66">
        <v>-78866.960000000006</v>
      </c>
    </row>
    <row r="67" spans="1:6" x14ac:dyDescent="0.2">
      <c r="A67" t="s">
        <v>745</v>
      </c>
      <c r="B67" s="133">
        <v>550</v>
      </c>
      <c r="C67" s="133">
        <v>1</v>
      </c>
      <c r="D67">
        <v>2.14</v>
      </c>
      <c r="E67" s="133">
        <v>1</v>
      </c>
      <c r="F67">
        <v>-11637.03</v>
      </c>
    </row>
    <row r="68" spans="1:6" x14ac:dyDescent="0.2">
      <c r="A68" t="s">
        <v>745</v>
      </c>
      <c r="B68" s="133">
        <v>553</v>
      </c>
      <c r="C68" s="133">
        <v>1</v>
      </c>
      <c r="D68">
        <v>2.14</v>
      </c>
      <c r="E68" s="133">
        <v>1</v>
      </c>
      <c r="F68">
        <v>-13469.82</v>
      </c>
    </row>
    <row r="69" spans="1:6" x14ac:dyDescent="0.2">
      <c r="A69" t="s">
        <v>745</v>
      </c>
      <c r="B69" s="133">
        <v>561</v>
      </c>
      <c r="C69" s="133">
        <v>1</v>
      </c>
      <c r="D69">
        <v>2.14</v>
      </c>
      <c r="E69" s="133">
        <v>1</v>
      </c>
      <c r="F69">
        <v>-7308.49</v>
      </c>
    </row>
    <row r="70" spans="1:6" x14ac:dyDescent="0.2">
      <c r="A70" t="s">
        <v>745</v>
      </c>
      <c r="B70" s="133">
        <v>595</v>
      </c>
      <c r="C70" s="133">
        <v>1</v>
      </c>
      <c r="D70">
        <v>2.14</v>
      </c>
      <c r="E70" s="133">
        <v>1</v>
      </c>
      <c r="F70">
        <v>0</v>
      </c>
    </row>
    <row r="71" spans="1:6" x14ac:dyDescent="0.2">
      <c r="A71" t="s">
        <v>745</v>
      </c>
      <c r="B71" s="133">
        <v>600</v>
      </c>
      <c r="C71" s="133">
        <v>1</v>
      </c>
      <c r="D71">
        <v>2.14</v>
      </c>
      <c r="E71" s="133">
        <v>1</v>
      </c>
      <c r="F71">
        <v>-59813.03</v>
      </c>
    </row>
    <row r="72" spans="1:6" x14ac:dyDescent="0.2">
      <c r="A72" t="s">
        <v>745</v>
      </c>
      <c r="B72" s="133">
        <v>601</v>
      </c>
      <c r="C72" s="133">
        <v>1</v>
      </c>
      <c r="D72">
        <v>2.14</v>
      </c>
      <c r="E72" s="133">
        <v>1</v>
      </c>
      <c r="F72">
        <v>0</v>
      </c>
    </row>
    <row r="73" spans="1:6" x14ac:dyDescent="0.2">
      <c r="A73" t="s">
        <v>745</v>
      </c>
      <c r="B73" s="133">
        <v>611</v>
      </c>
      <c r="C73" s="133">
        <v>1</v>
      </c>
      <c r="D73">
        <v>2.14</v>
      </c>
      <c r="E73" s="133">
        <v>1</v>
      </c>
      <c r="F73">
        <v>-21924.2</v>
      </c>
    </row>
    <row r="74" spans="1:6" x14ac:dyDescent="0.2">
      <c r="A74" t="s">
        <v>745</v>
      </c>
      <c r="B74" s="133">
        <v>625</v>
      </c>
      <c r="C74" s="133">
        <v>1</v>
      </c>
      <c r="D74">
        <v>2.14</v>
      </c>
      <c r="E74" s="133">
        <v>1</v>
      </c>
      <c r="F74">
        <v>0</v>
      </c>
    </row>
    <row r="75" spans="1:6" x14ac:dyDescent="0.2">
      <c r="A75" t="s">
        <v>745</v>
      </c>
      <c r="B75" s="133">
        <v>676</v>
      </c>
      <c r="C75" s="133">
        <v>1</v>
      </c>
      <c r="D75">
        <v>2.14</v>
      </c>
      <c r="E75" s="133">
        <v>1</v>
      </c>
      <c r="F75">
        <v>-10078.4</v>
      </c>
    </row>
    <row r="76" spans="1:6" x14ac:dyDescent="0.2">
      <c r="A76" t="s">
        <v>745</v>
      </c>
      <c r="B76" s="133">
        <v>682</v>
      </c>
      <c r="C76" s="133">
        <v>1</v>
      </c>
      <c r="D76">
        <v>2.14</v>
      </c>
      <c r="E76" s="133">
        <v>1</v>
      </c>
      <c r="F76">
        <v>-4112.16</v>
      </c>
    </row>
    <row r="77" spans="1:6" x14ac:dyDescent="0.2">
      <c r="A77" t="s">
        <v>745</v>
      </c>
      <c r="B77" s="133">
        <v>690</v>
      </c>
      <c r="C77" s="133">
        <v>1</v>
      </c>
      <c r="D77">
        <v>2.14</v>
      </c>
      <c r="E77" s="133">
        <v>1</v>
      </c>
      <c r="F77">
        <v>0</v>
      </c>
    </row>
    <row r="78" spans="1:6" x14ac:dyDescent="0.2">
      <c r="A78" t="s">
        <v>745</v>
      </c>
      <c r="B78" s="133">
        <v>695</v>
      </c>
      <c r="C78" s="133">
        <v>1</v>
      </c>
      <c r="D78">
        <v>2.14</v>
      </c>
      <c r="E78" s="133">
        <v>1</v>
      </c>
      <c r="F78">
        <v>-37939.57</v>
      </c>
    </row>
    <row r="79" spans="1:6" x14ac:dyDescent="0.2">
      <c r="A79" t="s">
        <v>745</v>
      </c>
      <c r="B79" s="133">
        <v>696</v>
      </c>
      <c r="C79" s="133">
        <v>1</v>
      </c>
      <c r="D79">
        <v>2.14</v>
      </c>
      <c r="E79" s="133">
        <v>1</v>
      </c>
      <c r="F79">
        <v>0</v>
      </c>
    </row>
    <row r="80" spans="1:6" x14ac:dyDescent="0.2">
      <c r="A80" t="s">
        <v>745</v>
      </c>
      <c r="B80" s="133">
        <v>701</v>
      </c>
      <c r="C80" s="133">
        <v>1</v>
      </c>
      <c r="D80">
        <v>2.14</v>
      </c>
      <c r="E80" s="133">
        <v>1</v>
      </c>
      <c r="F80">
        <v>-247290.78</v>
      </c>
    </row>
    <row r="81" spans="1:6" x14ac:dyDescent="0.2">
      <c r="A81" t="s">
        <v>745</v>
      </c>
      <c r="B81" s="133">
        <v>704</v>
      </c>
      <c r="C81" s="133">
        <v>1</v>
      </c>
      <c r="D81">
        <v>2.14</v>
      </c>
      <c r="E81" s="133">
        <v>1</v>
      </c>
      <c r="F81">
        <v>-55432.08</v>
      </c>
    </row>
    <row r="82" spans="1:6" x14ac:dyDescent="0.2">
      <c r="A82" t="s">
        <v>745</v>
      </c>
      <c r="B82" s="133">
        <v>706</v>
      </c>
      <c r="C82" s="133">
        <v>1</v>
      </c>
      <c r="D82">
        <v>2.14</v>
      </c>
      <c r="E82" s="133">
        <v>1</v>
      </c>
      <c r="F82">
        <v>-19187.55</v>
      </c>
    </row>
    <row r="83" spans="1:6" x14ac:dyDescent="0.2">
      <c r="A83" t="s">
        <v>745</v>
      </c>
      <c r="B83" s="133">
        <v>707</v>
      </c>
      <c r="C83" s="133">
        <v>1</v>
      </c>
      <c r="D83">
        <v>2.14</v>
      </c>
      <c r="E83" s="133">
        <v>1</v>
      </c>
      <c r="F83">
        <v>-2871.51</v>
      </c>
    </row>
    <row r="84" spans="1:6" x14ac:dyDescent="0.2">
      <c r="A84" t="s">
        <v>745</v>
      </c>
      <c r="B84" s="133">
        <v>709</v>
      </c>
      <c r="C84" s="133">
        <v>1</v>
      </c>
      <c r="D84">
        <v>2.14</v>
      </c>
      <c r="E84" s="133">
        <v>1</v>
      </c>
      <c r="F84">
        <v>-667678.53</v>
      </c>
    </row>
    <row r="85" spans="1:6" x14ac:dyDescent="0.2">
      <c r="A85" t="s">
        <v>745</v>
      </c>
      <c r="B85" s="133">
        <v>712</v>
      </c>
      <c r="C85" s="133">
        <v>1</v>
      </c>
      <c r="D85">
        <v>2.14</v>
      </c>
      <c r="E85" s="133">
        <v>1</v>
      </c>
      <c r="F85">
        <v>-21959.46</v>
      </c>
    </row>
    <row r="86" spans="1:6" x14ac:dyDescent="0.2">
      <c r="A86" t="s">
        <v>745</v>
      </c>
      <c r="B86" s="133">
        <v>763</v>
      </c>
      <c r="C86" s="133">
        <v>1</v>
      </c>
      <c r="D86">
        <v>2.14</v>
      </c>
      <c r="E86" s="133">
        <v>1</v>
      </c>
      <c r="F86">
        <v>-81795</v>
      </c>
    </row>
    <row r="87" spans="1:6" x14ac:dyDescent="0.2">
      <c r="A87" t="s">
        <v>745</v>
      </c>
      <c r="B87" s="133">
        <v>775</v>
      </c>
      <c r="C87" s="133">
        <v>1</v>
      </c>
      <c r="D87">
        <v>2.14</v>
      </c>
      <c r="E87" s="133">
        <v>1</v>
      </c>
      <c r="F87">
        <v>-2980.19</v>
      </c>
    </row>
    <row r="88" spans="1:6" x14ac:dyDescent="0.2">
      <c r="A88" t="s">
        <v>745</v>
      </c>
      <c r="B88" s="133">
        <v>786</v>
      </c>
      <c r="C88" s="133">
        <v>1</v>
      </c>
      <c r="D88">
        <v>2.14</v>
      </c>
      <c r="E88" s="133">
        <v>1</v>
      </c>
      <c r="F88">
        <v>-8048.09</v>
      </c>
    </row>
    <row r="89" spans="1:6" x14ac:dyDescent="0.2">
      <c r="A89" t="s">
        <v>745</v>
      </c>
      <c r="B89" s="133">
        <v>787</v>
      </c>
      <c r="C89" s="133">
        <v>1</v>
      </c>
      <c r="D89">
        <v>2.14</v>
      </c>
      <c r="E89" s="133">
        <v>1</v>
      </c>
      <c r="F89">
        <v>-8789.93</v>
      </c>
    </row>
    <row r="90" spans="1:6" x14ac:dyDescent="0.2">
      <c r="A90" t="s">
        <v>745</v>
      </c>
      <c r="B90" s="133">
        <v>818</v>
      </c>
      <c r="C90" s="133">
        <v>1</v>
      </c>
      <c r="D90">
        <v>2.14</v>
      </c>
      <c r="E90" s="133">
        <v>1</v>
      </c>
      <c r="F90">
        <v>-17162.490000000002</v>
      </c>
    </row>
    <row r="91" spans="1:6" x14ac:dyDescent="0.2">
      <c r="A91" t="s">
        <v>745</v>
      </c>
      <c r="B91" s="133">
        <v>820</v>
      </c>
      <c r="C91" s="133">
        <v>1</v>
      </c>
      <c r="D91">
        <v>2.14</v>
      </c>
      <c r="E91" s="133">
        <v>1</v>
      </c>
      <c r="F91">
        <v>0</v>
      </c>
    </row>
    <row r="92" spans="1:6" x14ac:dyDescent="0.2">
      <c r="A92" t="s">
        <v>745</v>
      </c>
      <c r="B92" s="133">
        <v>821</v>
      </c>
      <c r="C92" s="133">
        <v>1</v>
      </c>
      <c r="D92">
        <v>2.14</v>
      </c>
      <c r="E92" s="133">
        <v>1</v>
      </c>
      <c r="F92">
        <v>-19224</v>
      </c>
    </row>
    <row r="93" spans="1:6" x14ac:dyDescent="0.2">
      <c r="A93" t="s">
        <v>745</v>
      </c>
      <c r="B93" s="133">
        <v>829</v>
      </c>
      <c r="C93" s="133">
        <v>1</v>
      </c>
      <c r="D93">
        <v>2.14</v>
      </c>
      <c r="E93" s="133">
        <v>1</v>
      </c>
      <c r="F93">
        <v>-827</v>
      </c>
    </row>
    <row r="94" spans="1:6" x14ac:dyDescent="0.2">
      <c r="A94" t="s">
        <v>745</v>
      </c>
      <c r="B94" s="133">
        <v>837</v>
      </c>
      <c r="C94" s="133">
        <v>1</v>
      </c>
      <c r="D94">
        <v>2.14</v>
      </c>
      <c r="E94" s="133">
        <v>1</v>
      </c>
      <c r="F94">
        <v>0</v>
      </c>
    </row>
    <row r="95" spans="1:6" x14ac:dyDescent="0.2">
      <c r="A95" t="s">
        <v>745</v>
      </c>
      <c r="B95" s="133">
        <v>852</v>
      </c>
      <c r="C95" s="133">
        <v>1</v>
      </c>
      <c r="D95">
        <v>2.14</v>
      </c>
      <c r="E95" s="133">
        <v>1</v>
      </c>
      <c r="F95">
        <v>0</v>
      </c>
    </row>
    <row r="96" spans="1:6" x14ac:dyDescent="0.2">
      <c r="A96" t="s">
        <v>745</v>
      </c>
      <c r="B96" s="133">
        <v>858</v>
      </c>
      <c r="C96" s="133">
        <v>1</v>
      </c>
      <c r="D96">
        <v>2.14</v>
      </c>
      <c r="E96" s="133">
        <v>1</v>
      </c>
      <c r="F96">
        <v>-12364</v>
      </c>
    </row>
    <row r="97" spans="1:6" x14ac:dyDescent="0.2">
      <c r="A97" t="s">
        <v>745</v>
      </c>
      <c r="B97" s="133">
        <v>877</v>
      </c>
      <c r="C97" s="133">
        <v>1</v>
      </c>
      <c r="D97">
        <v>2.14</v>
      </c>
      <c r="E97" s="133">
        <v>1</v>
      </c>
      <c r="F97">
        <v>0</v>
      </c>
    </row>
    <row r="98" spans="1:6" x14ac:dyDescent="0.2">
      <c r="A98" t="s">
        <v>745</v>
      </c>
      <c r="B98" s="133">
        <v>891</v>
      </c>
      <c r="C98" s="133">
        <v>1</v>
      </c>
      <c r="D98">
        <v>2.14</v>
      </c>
      <c r="E98" s="133">
        <v>1</v>
      </c>
      <c r="F98">
        <v>-3990.93</v>
      </c>
    </row>
    <row r="99" spans="1:6" x14ac:dyDescent="0.2">
      <c r="A99" t="s">
        <v>745</v>
      </c>
      <c r="B99" s="133">
        <v>912</v>
      </c>
      <c r="C99" s="133">
        <v>1</v>
      </c>
      <c r="D99">
        <v>2.14</v>
      </c>
      <c r="E99" s="133">
        <v>1</v>
      </c>
      <c r="F99">
        <v>-53870.32</v>
      </c>
    </row>
    <row r="100" spans="1:6" x14ac:dyDescent="0.2">
      <c r="A100" t="s">
        <v>745</v>
      </c>
      <c r="B100" s="133">
        <v>2154</v>
      </c>
      <c r="C100" s="133">
        <v>1</v>
      </c>
      <c r="D100">
        <v>2.14</v>
      </c>
      <c r="E100" s="133">
        <v>1</v>
      </c>
      <c r="F100">
        <v>-30221.91</v>
      </c>
    </row>
    <row r="101" spans="1:6" x14ac:dyDescent="0.2">
      <c r="A101" t="s">
        <v>745</v>
      </c>
      <c r="B101" s="133">
        <v>2159</v>
      </c>
      <c r="C101" s="133">
        <v>1</v>
      </c>
      <c r="D101">
        <v>2.14</v>
      </c>
      <c r="E101" s="133">
        <v>1</v>
      </c>
      <c r="F101">
        <v>0</v>
      </c>
    </row>
    <row r="102" spans="1:6" x14ac:dyDescent="0.2">
      <c r="A102" t="s">
        <v>745</v>
      </c>
      <c r="B102" s="133">
        <v>2164</v>
      </c>
      <c r="C102" s="133">
        <v>1</v>
      </c>
      <c r="D102">
        <v>2.14</v>
      </c>
      <c r="E102" s="133">
        <v>1</v>
      </c>
      <c r="F102">
        <v>-16997</v>
      </c>
    </row>
    <row r="103" spans="1:6" x14ac:dyDescent="0.2">
      <c r="A103" t="s">
        <v>745</v>
      </c>
      <c r="B103" s="133">
        <v>2165</v>
      </c>
      <c r="C103" s="133">
        <v>1</v>
      </c>
      <c r="D103">
        <v>2.14</v>
      </c>
      <c r="E103" s="133">
        <v>1</v>
      </c>
      <c r="F103">
        <v>0</v>
      </c>
    </row>
    <row r="104" spans="1:6" x14ac:dyDescent="0.2">
      <c r="A104" t="s">
        <v>745</v>
      </c>
      <c r="B104" s="133">
        <v>2168</v>
      </c>
      <c r="C104" s="133">
        <v>1</v>
      </c>
      <c r="D104">
        <v>2.14</v>
      </c>
      <c r="E104" s="133">
        <v>1</v>
      </c>
      <c r="F104">
        <v>-4522.55</v>
      </c>
    </row>
    <row r="105" spans="1:6" x14ac:dyDescent="0.2">
      <c r="A105" t="s">
        <v>745</v>
      </c>
      <c r="B105" s="133">
        <v>2171</v>
      </c>
      <c r="C105" s="133">
        <v>1</v>
      </c>
      <c r="D105">
        <v>2.14</v>
      </c>
      <c r="E105" s="133">
        <v>1</v>
      </c>
      <c r="F105">
        <v>-18210.48</v>
      </c>
    </row>
    <row r="106" spans="1:6" x14ac:dyDescent="0.2">
      <c r="A106" t="s">
        <v>745</v>
      </c>
      <c r="B106" s="133">
        <v>2172</v>
      </c>
      <c r="C106" s="133">
        <v>1</v>
      </c>
      <c r="D106">
        <v>2.14</v>
      </c>
      <c r="E106" s="133">
        <v>1</v>
      </c>
      <c r="F106">
        <v>0</v>
      </c>
    </row>
    <row r="107" spans="1:6" x14ac:dyDescent="0.2">
      <c r="A107" t="s">
        <v>745</v>
      </c>
      <c r="B107" s="133">
        <v>2174</v>
      </c>
      <c r="C107" s="133">
        <v>1</v>
      </c>
      <c r="D107">
        <v>2.14</v>
      </c>
      <c r="E107" s="133">
        <v>1</v>
      </c>
      <c r="F107">
        <v>0</v>
      </c>
    </row>
    <row r="108" spans="1:6" x14ac:dyDescent="0.2">
      <c r="A108" t="s">
        <v>745</v>
      </c>
      <c r="B108" s="133">
        <v>2190</v>
      </c>
      <c r="C108" s="133">
        <v>1</v>
      </c>
      <c r="D108">
        <v>2.14</v>
      </c>
      <c r="E108" s="133">
        <v>1</v>
      </c>
      <c r="F108">
        <v>0</v>
      </c>
    </row>
    <row r="109" spans="1:6" x14ac:dyDescent="0.2">
      <c r="A109" t="s">
        <v>745</v>
      </c>
      <c r="B109" s="133">
        <v>2215</v>
      </c>
      <c r="C109" s="133">
        <v>1</v>
      </c>
      <c r="D109">
        <v>2.14</v>
      </c>
      <c r="E109" s="133">
        <v>1</v>
      </c>
      <c r="F109">
        <v>-7150.17</v>
      </c>
    </row>
    <row r="110" spans="1:6" x14ac:dyDescent="0.2">
      <c r="A110" t="s">
        <v>745</v>
      </c>
      <c r="B110" s="133">
        <v>2310</v>
      </c>
      <c r="C110" s="133">
        <v>1</v>
      </c>
      <c r="D110">
        <v>2.14</v>
      </c>
      <c r="E110" s="133">
        <v>1</v>
      </c>
      <c r="F110">
        <v>0</v>
      </c>
    </row>
    <row r="111" spans="1:6" x14ac:dyDescent="0.2">
      <c r="A111" t="s">
        <v>745</v>
      </c>
      <c r="B111" s="133">
        <v>2365</v>
      </c>
      <c r="C111" s="133">
        <v>1</v>
      </c>
      <c r="D111">
        <v>2.14</v>
      </c>
      <c r="E111" s="133">
        <v>1</v>
      </c>
      <c r="F111">
        <v>-11129.28</v>
      </c>
    </row>
    <row r="112" spans="1:6" x14ac:dyDescent="0.2">
      <c r="A112" t="s">
        <v>745</v>
      </c>
      <c r="B112" s="133">
        <v>2580</v>
      </c>
      <c r="C112" s="133">
        <v>1</v>
      </c>
      <c r="D112">
        <v>2.14</v>
      </c>
      <c r="E112" s="133">
        <v>1</v>
      </c>
      <c r="F112">
        <v>-16054.52</v>
      </c>
    </row>
    <row r="113" spans="1:6" x14ac:dyDescent="0.2">
      <c r="A113" t="s">
        <v>745</v>
      </c>
      <c r="B113" s="133">
        <v>2609</v>
      </c>
      <c r="C113" s="133">
        <v>1</v>
      </c>
      <c r="D113">
        <v>2.14</v>
      </c>
      <c r="E113" s="133">
        <v>1</v>
      </c>
      <c r="F113">
        <v>0</v>
      </c>
    </row>
    <row r="114" spans="1:6" x14ac:dyDescent="0.2">
      <c r="A114" t="s">
        <v>745</v>
      </c>
      <c r="B114" s="133">
        <v>2687</v>
      </c>
      <c r="C114" s="133">
        <v>1</v>
      </c>
      <c r="D114">
        <v>2.14</v>
      </c>
      <c r="E114" s="133">
        <v>1</v>
      </c>
      <c r="F114">
        <v>0</v>
      </c>
    </row>
    <row r="115" spans="1:6" x14ac:dyDescent="0.2">
      <c r="A115" t="s">
        <v>745</v>
      </c>
      <c r="B115" s="133">
        <v>2711</v>
      </c>
      <c r="C115" s="133">
        <v>1</v>
      </c>
      <c r="D115">
        <v>2.14</v>
      </c>
      <c r="E115" s="133">
        <v>1</v>
      </c>
      <c r="F115">
        <v>-325710.03999999998</v>
      </c>
    </row>
    <row r="116" spans="1:6" x14ac:dyDescent="0.2">
      <c r="A116" t="s">
        <v>745</v>
      </c>
      <c r="B116" s="133">
        <v>2753</v>
      </c>
      <c r="C116" s="133">
        <v>1</v>
      </c>
      <c r="D116">
        <v>2.14</v>
      </c>
      <c r="E116" s="133">
        <v>1</v>
      </c>
      <c r="F116">
        <v>0.3</v>
      </c>
    </row>
    <row r="117" spans="1:6" x14ac:dyDescent="0.2">
      <c r="A117" t="s">
        <v>745</v>
      </c>
      <c r="B117" s="133">
        <v>2754</v>
      </c>
      <c r="C117" s="133">
        <v>1</v>
      </c>
      <c r="D117">
        <v>2.14</v>
      </c>
      <c r="E117" s="133">
        <v>1</v>
      </c>
      <c r="F117">
        <v>-48479.49</v>
      </c>
    </row>
    <row r="118" spans="1:6" x14ac:dyDescent="0.2">
      <c r="A118" t="s">
        <v>745</v>
      </c>
      <c r="B118" s="133">
        <v>2759</v>
      </c>
      <c r="C118" s="133">
        <v>1</v>
      </c>
      <c r="D118">
        <v>2.14</v>
      </c>
      <c r="E118" s="133">
        <v>1</v>
      </c>
      <c r="F118">
        <v>-3598.45</v>
      </c>
    </row>
    <row r="119" spans="1:6" x14ac:dyDescent="0.2">
      <c r="A119" t="s">
        <v>745</v>
      </c>
      <c r="B119" s="133">
        <v>2835</v>
      </c>
      <c r="C119" s="133">
        <v>1</v>
      </c>
      <c r="D119">
        <v>2.14</v>
      </c>
      <c r="E119" s="133">
        <v>1</v>
      </c>
      <c r="F119">
        <v>-3142</v>
      </c>
    </row>
    <row r="120" spans="1:6" x14ac:dyDescent="0.2">
      <c r="A120" t="s">
        <v>745</v>
      </c>
      <c r="B120" s="133">
        <v>2854</v>
      </c>
      <c r="C120" s="133">
        <v>1</v>
      </c>
      <c r="D120">
        <v>2.14</v>
      </c>
      <c r="E120" s="133">
        <v>1</v>
      </c>
      <c r="F120">
        <v>-901.3</v>
      </c>
    </row>
    <row r="121" spans="1:6" x14ac:dyDescent="0.2">
      <c r="A121" t="s">
        <v>745</v>
      </c>
      <c r="B121" s="133">
        <v>2888</v>
      </c>
      <c r="C121" s="133">
        <v>1</v>
      </c>
      <c r="D121">
        <v>2.14</v>
      </c>
      <c r="E121" s="133">
        <v>1</v>
      </c>
      <c r="F121">
        <v>0.28999999999999998</v>
      </c>
    </row>
    <row r="122" spans="1:6" x14ac:dyDescent="0.2">
      <c r="A122" t="s">
        <v>745</v>
      </c>
      <c r="B122" s="133">
        <v>2898</v>
      </c>
      <c r="C122" s="133">
        <v>1</v>
      </c>
      <c r="D122">
        <v>2.14</v>
      </c>
      <c r="E122" s="133">
        <v>1</v>
      </c>
      <c r="F122">
        <v>-19511.11</v>
      </c>
    </row>
    <row r="123" spans="1:6" x14ac:dyDescent="0.2">
      <c r="A123" t="s">
        <v>745</v>
      </c>
      <c r="B123" s="133">
        <v>2899</v>
      </c>
      <c r="C123" s="133">
        <v>1</v>
      </c>
      <c r="D123">
        <v>2.14</v>
      </c>
      <c r="E123" s="133">
        <v>1</v>
      </c>
      <c r="F123">
        <v>0</v>
      </c>
    </row>
    <row r="124" spans="1:6" x14ac:dyDescent="0.2">
      <c r="A124" t="s">
        <v>745</v>
      </c>
      <c r="B124" s="133">
        <v>2904</v>
      </c>
      <c r="C124" s="133">
        <v>1</v>
      </c>
      <c r="D124">
        <v>2.14</v>
      </c>
      <c r="E124" s="133">
        <v>1</v>
      </c>
      <c r="F124">
        <v>-9927.7999999999993</v>
      </c>
    </row>
    <row r="125" spans="1:6" x14ac:dyDescent="0.2">
      <c r="A125" t="s">
        <v>745</v>
      </c>
      <c r="B125" s="133">
        <v>2905</v>
      </c>
      <c r="C125" s="133">
        <v>1</v>
      </c>
      <c r="D125">
        <v>2.14</v>
      </c>
      <c r="E125" s="133">
        <v>1</v>
      </c>
      <c r="F125">
        <v>0</v>
      </c>
    </row>
    <row r="126" spans="1:6" x14ac:dyDescent="0.2">
      <c r="F126">
        <f>SUM(F4:F125)</f>
        <v>-10837630.16</v>
      </c>
    </row>
    <row r="127" spans="1:6" x14ac:dyDescent="0.2"/>
    <row r="128" spans="1:6" x14ac:dyDescent="0.2"/>
    <row r="129" spans="1:6" x14ac:dyDescent="0.2">
      <c r="A129" t="s">
        <v>747</v>
      </c>
      <c r="B129" s="133">
        <v>392</v>
      </c>
      <c r="C129" s="133">
        <v>1</v>
      </c>
      <c r="D129">
        <v>2.14</v>
      </c>
      <c r="E129" s="133">
        <v>1</v>
      </c>
      <c r="F129">
        <v>0</v>
      </c>
    </row>
    <row r="130" spans="1:6" x14ac:dyDescent="0.2">
      <c r="A130" t="s">
        <v>747</v>
      </c>
      <c r="B130" s="133">
        <v>394</v>
      </c>
      <c r="C130" s="133">
        <v>1</v>
      </c>
      <c r="D130">
        <v>2.14</v>
      </c>
      <c r="E130" s="133">
        <v>1</v>
      </c>
      <c r="F130">
        <v>-8.49</v>
      </c>
    </row>
    <row r="131" spans="1:6" x14ac:dyDescent="0.2">
      <c r="A131" t="s">
        <v>1241</v>
      </c>
    </row>
  </sheetData>
  <phoneticPr fontId="0" type="noConversion"/>
  <pageMargins left="0.75" right="0.75" top="1" bottom="1" header="0.5" footer="0.5"/>
  <pageSetup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6"/>
  <sheetViews>
    <sheetView workbookViewId="0"/>
  </sheetViews>
  <sheetFormatPr defaultColWidth="0" defaultRowHeight="11.25" zeroHeight="1" x14ac:dyDescent="0.2"/>
  <cols>
    <col min="1" max="1" width="8" customWidth="1"/>
    <col min="2" max="2" width="9.33203125" style="133" customWidth="1"/>
    <col min="3" max="3" width="8" style="133" bestFit="1" customWidth="1"/>
    <col min="4" max="4" width="13.5" bestFit="1" customWidth="1"/>
    <col min="5" max="5" width="9.33203125" style="133" customWidth="1"/>
    <col min="6" max="6" width="12.83203125" customWidth="1"/>
    <col min="7" max="7" width="9.33203125" hidden="1"/>
    <col min="8" max="8" width="10.5" hidden="1"/>
    <col min="9" max="16384" width="9.33203125" hidden="1"/>
  </cols>
  <sheetData>
    <row r="1" spans="1:6" ht="19.5" x14ac:dyDescent="0.3">
      <c r="A1" s="249" t="s">
        <v>1198</v>
      </c>
    </row>
    <row r="2" spans="1:6" x14ac:dyDescent="0.2">
      <c r="A2" s="136" t="s">
        <v>635</v>
      </c>
    </row>
    <row r="3" spans="1:6" x14ac:dyDescent="0.2">
      <c r="A3" s="9" t="s">
        <v>623</v>
      </c>
      <c r="B3" s="10" t="s">
        <v>624</v>
      </c>
      <c r="C3" s="10" t="s">
        <v>625</v>
      </c>
      <c r="D3" s="9" t="s">
        <v>626</v>
      </c>
      <c r="E3" s="10" t="s">
        <v>627</v>
      </c>
      <c r="F3" s="9" t="s">
        <v>628</v>
      </c>
    </row>
    <row r="4" spans="1:6" x14ac:dyDescent="0.2">
      <c r="A4" t="s">
        <v>745</v>
      </c>
      <c r="B4" s="133">
        <v>1</v>
      </c>
      <c r="C4" s="133">
        <v>1</v>
      </c>
      <c r="D4">
        <v>2.14</v>
      </c>
      <c r="E4" s="133">
        <v>4</v>
      </c>
      <c r="F4">
        <v>0</v>
      </c>
    </row>
    <row r="5" spans="1:6" x14ac:dyDescent="0.2">
      <c r="A5" t="s">
        <v>745</v>
      </c>
      <c r="B5" s="133">
        <v>108</v>
      </c>
      <c r="C5" s="133">
        <v>1</v>
      </c>
      <c r="D5">
        <v>2.14</v>
      </c>
      <c r="E5" s="133">
        <v>4</v>
      </c>
      <c r="F5">
        <v>-7554</v>
      </c>
    </row>
    <row r="6" spans="1:6" x14ac:dyDescent="0.2">
      <c r="A6" t="s">
        <v>745</v>
      </c>
      <c r="B6" s="133">
        <v>150</v>
      </c>
      <c r="C6" s="133">
        <v>1</v>
      </c>
      <c r="D6">
        <v>2.14</v>
      </c>
      <c r="E6" s="133">
        <v>4</v>
      </c>
      <c r="F6">
        <v>0.12</v>
      </c>
    </row>
    <row r="7" spans="1:6" x14ac:dyDescent="0.2">
      <c r="A7" t="s">
        <v>745</v>
      </c>
      <c r="B7" s="133">
        <v>152</v>
      </c>
      <c r="C7" s="133">
        <v>1</v>
      </c>
      <c r="D7">
        <v>2.14</v>
      </c>
      <c r="E7" s="133">
        <v>4</v>
      </c>
      <c r="F7">
        <v>-28387</v>
      </c>
    </row>
    <row r="8" spans="1:6" x14ac:dyDescent="0.2">
      <c r="A8" t="s">
        <v>745</v>
      </c>
      <c r="B8" s="133">
        <v>173</v>
      </c>
      <c r="C8" s="133">
        <v>1</v>
      </c>
      <c r="D8">
        <v>2.14</v>
      </c>
      <c r="E8" s="133">
        <v>4</v>
      </c>
      <c r="F8">
        <v>0</v>
      </c>
    </row>
    <row r="9" spans="1:6" x14ac:dyDescent="0.2">
      <c r="A9" t="s">
        <v>745</v>
      </c>
      <c r="B9" s="133">
        <v>192</v>
      </c>
      <c r="C9" s="133">
        <v>1</v>
      </c>
      <c r="D9">
        <v>2.14</v>
      </c>
      <c r="E9" s="133">
        <v>4</v>
      </c>
      <c r="F9">
        <v>-28386.78</v>
      </c>
    </row>
    <row r="10" spans="1:6" x14ac:dyDescent="0.2">
      <c r="A10" t="s">
        <v>745</v>
      </c>
      <c r="B10" s="133">
        <v>195</v>
      </c>
      <c r="C10" s="133">
        <v>1</v>
      </c>
      <c r="D10">
        <v>2.14</v>
      </c>
      <c r="E10" s="133">
        <v>4</v>
      </c>
      <c r="F10">
        <v>0</v>
      </c>
    </row>
    <row r="11" spans="1:6" x14ac:dyDescent="0.2">
      <c r="A11" t="s">
        <v>745</v>
      </c>
      <c r="B11" s="133">
        <v>229</v>
      </c>
      <c r="C11" s="133">
        <v>1</v>
      </c>
      <c r="D11">
        <v>2.14</v>
      </c>
      <c r="E11" s="133">
        <v>4</v>
      </c>
      <c r="F11">
        <v>-165.25</v>
      </c>
    </row>
    <row r="12" spans="1:6" x14ac:dyDescent="0.2">
      <c r="A12" t="s">
        <v>745</v>
      </c>
      <c r="B12" s="133">
        <v>252</v>
      </c>
      <c r="C12" s="133">
        <v>1</v>
      </c>
      <c r="D12">
        <v>2.14</v>
      </c>
      <c r="E12" s="133">
        <v>4</v>
      </c>
      <c r="F12">
        <v>0</v>
      </c>
    </row>
    <row r="13" spans="1:6" x14ac:dyDescent="0.2">
      <c r="A13" t="s">
        <v>745</v>
      </c>
      <c r="B13" s="133">
        <v>264</v>
      </c>
      <c r="C13" s="133">
        <v>1</v>
      </c>
      <c r="D13">
        <v>2.14</v>
      </c>
      <c r="E13" s="133">
        <v>4</v>
      </c>
      <c r="F13">
        <v>0</v>
      </c>
    </row>
    <row r="14" spans="1:6" x14ac:dyDescent="0.2">
      <c r="A14" t="s">
        <v>745</v>
      </c>
      <c r="B14" s="133">
        <v>297</v>
      </c>
      <c r="C14" s="133">
        <v>1</v>
      </c>
      <c r="D14">
        <v>2.14</v>
      </c>
      <c r="E14" s="133">
        <v>4</v>
      </c>
      <c r="F14">
        <v>-1911</v>
      </c>
    </row>
    <row r="15" spans="1:6" x14ac:dyDescent="0.2">
      <c r="A15" t="s">
        <v>745</v>
      </c>
      <c r="B15" s="133">
        <v>432</v>
      </c>
      <c r="C15" s="133">
        <v>1</v>
      </c>
      <c r="D15">
        <v>2.14</v>
      </c>
      <c r="E15" s="133">
        <v>4</v>
      </c>
      <c r="F15">
        <v>-236</v>
      </c>
    </row>
    <row r="16" spans="1:6" x14ac:dyDescent="0.2">
      <c r="A16" t="s">
        <v>745</v>
      </c>
      <c r="B16" s="133">
        <v>477</v>
      </c>
      <c r="C16" s="133">
        <v>1</v>
      </c>
      <c r="D16">
        <v>2.14</v>
      </c>
      <c r="E16" s="133">
        <v>4</v>
      </c>
      <c r="F16">
        <v>0</v>
      </c>
    </row>
    <row r="17" spans="1:6" x14ac:dyDescent="0.2">
      <c r="A17" t="s">
        <v>745</v>
      </c>
      <c r="B17" s="133">
        <v>514</v>
      </c>
      <c r="C17" s="133">
        <v>1</v>
      </c>
      <c r="D17">
        <v>2.14</v>
      </c>
      <c r="E17" s="133">
        <v>4</v>
      </c>
      <c r="F17">
        <v>0</v>
      </c>
    </row>
    <row r="18" spans="1:6" x14ac:dyDescent="0.2">
      <c r="A18" t="s">
        <v>745</v>
      </c>
      <c r="B18" s="133">
        <v>544</v>
      </c>
      <c r="C18" s="133">
        <v>1</v>
      </c>
      <c r="D18">
        <v>2.14</v>
      </c>
      <c r="E18" s="133">
        <v>4</v>
      </c>
      <c r="F18">
        <v>0</v>
      </c>
    </row>
    <row r="19" spans="1:6" x14ac:dyDescent="0.2">
      <c r="A19" t="s">
        <v>745</v>
      </c>
      <c r="B19" s="133">
        <v>545</v>
      </c>
      <c r="C19" s="133">
        <v>1</v>
      </c>
      <c r="D19">
        <v>2.14</v>
      </c>
      <c r="E19" s="133">
        <v>4</v>
      </c>
      <c r="F19">
        <v>0.32</v>
      </c>
    </row>
    <row r="20" spans="1:6" x14ac:dyDescent="0.2">
      <c r="A20" t="s">
        <v>745</v>
      </c>
      <c r="B20" s="133">
        <v>547</v>
      </c>
      <c r="C20" s="133">
        <v>1</v>
      </c>
      <c r="D20">
        <v>2.14</v>
      </c>
      <c r="E20" s="133">
        <v>4</v>
      </c>
      <c r="F20">
        <v>0</v>
      </c>
    </row>
    <row r="21" spans="1:6" x14ac:dyDescent="0.2">
      <c r="A21" t="s">
        <v>745</v>
      </c>
      <c r="B21" s="133">
        <v>548</v>
      </c>
      <c r="C21" s="133">
        <v>1</v>
      </c>
      <c r="D21">
        <v>2.14</v>
      </c>
      <c r="E21" s="133">
        <v>4</v>
      </c>
      <c r="F21">
        <v>-0.45</v>
      </c>
    </row>
    <row r="22" spans="1:6" x14ac:dyDescent="0.2">
      <c r="A22" t="s">
        <v>745</v>
      </c>
      <c r="B22" s="133">
        <v>561</v>
      </c>
      <c r="C22" s="133">
        <v>1</v>
      </c>
      <c r="D22">
        <v>2.14</v>
      </c>
      <c r="E22" s="133">
        <v>4</v>
      </c>
      <c r="F22">
        <v>-1593.24</v>
      </c>
    </row>
    <row r="23" spans="1:6" x14ac:dyDescent="0.2">
      <c r="A23" t="s">
        <v>745</v>
      </c>
      <c r="B23" s="133">
        <v>581</v>
      </c>
      <c r="C23" s="133">
        <v>1</v>
      </c>
      <c r="D23">
        <v>2.14</v>
      </c>
      <c r="E23" s="133">
        <v>4</v>
      </c>
      <c r="F23">
        <v>-181.7</v>
      </c>
    </row>
    <row r="24" spans="1:6" x14ac:dyDescent="0.2">
      <c r="A24" t="s">
        <v>745</v>
      </c>
      <c r="B24" s="133">
        <v>601</v>
      </c>
      <c r="C24" s="133">
        <v>1</v>
      </c>
      <c r="D24">
        <v>2.14</v>
      </c>
      <c r="E24" s="133">
        <v>4</v>
      </c>
      <c r="F24">
        <v>-2629.33</v>
      </c>
    </row>
    <row r="25" spans="1:6" x14ac:dyDescent="0.2">
      <c r="A25" t="s">
        <v>745</v>
      </c>
      <c r="B25" s="133">
        <v>630</v>
      </c>
      <c r="C25" s="133">
        <v>1</v>
      </c>
      <c r="D25">
        <v>2.14</v>
      </c>
      <c r="E25" s="133">
        <v>4</v>
      </c>
      <c r="F25">
        <v>-280</v>
      </c>
    </row>
    <row r="26" spans="1:6" x14ac:dyDescent="0.2">
      <c r="A26" t="s">
        <v>745</v>
      </c>
      <c r="B26" s="133">
        <v>676</v>
      </c>
      <c r="C26" s="133">
        <v>1</v>
      </c>
      <c r="D26">
        <v>2.14</v>
      </c>
      <c r="E26" s="133">
        <v>4</v>
      </c>
      <c r="F26">
        <v>-442.19</v>
      </c>
    </row>
    <row r="27" spans="1:6" x14ac:dyDescent="0.2">
      <c r="A27" t="s">
        <v>745</v>
      </c>
      <c r="B27" s="133">
        <v>709</v>
      </c>
      <c r="C27" s="133">
        <v>1</v>
      </c>
      <c r="D27">
        <v>2.14</v>
      </c>
      <c r="E27" s="133">
        <v>4</v>
      </c>
      <c r="F27">
        <v>-9218.23</v>
      </c>
    </row>
    <row r="28" spans="1:6" x14ac:dyDescent="0.2">
      <c r="A28" t="s">
        <v>745</v>
      </c>
      <c r="B28" s="133">
        <v>738</v>
      </c>
      <c r="C28" s="133">
        <v>1</v>
      </c>
      <c r="D28">
        <v>2.14</v>
      </c>
      <c r="E28" s="133">
        <v>4</v>
      </c>
      <c r="F28">
        <v>0</v>
      </c>
    </row>
    <row r="29" spans="1:6" x14ac:dyDescent="0.2">
      <c r="A29" t="s">
        <v>745</v>
      </c>
      <c r="B29" s="133">
        <v>769</v>
      </c>
      <c r="C29" s="133">
        <v>1</v>
      </c>
      <c r="D29">
        <v>2.14</v>
      </c>
      <c r="E29" s="133">
        <v>4</v>
      </c>
      <c r="F29">
        <v>-0.47</v>
      </c>
    </row>
    <row r="30" spans="1:6" x14ac:dyDescent="0.2">
      <c r="A30" t="s">
        <v>745</v>
      </c>
      <c r="B30" s="133">
        <v>786</v>
      </c>
      <c r="C30" s="133">
        <v>1</v>
      </c>
      <c r="D30">
        <v>2.14</v>
      </c>
      <c r="E30" s="133">
        <v>4</v>
      </c>
      <c r="F30">
        <v>-506.26</v>
      </c>
    </row>
    <row r="31" spans="1:6" x14ac:dyDescent="0.2">
      <c r="A31" t="s">
        <v>745</v>
      </c>
      <c r="B31" s="133">
        <v>818</v>
      </c>
      <c r="C31" s="133">
        <v>1</v>
      </c>
      <c r="D31">
        <v>2.14</v>
      </c>
      <c r="E31" s="133">
        <v>4</v>
      </c>
      <c r="F31">
        <v>-101.96</v>
      </c>
    </row>
    <row r="32" spans="1:6" x14ac:dyDescent="0.2">
      <c r="A32" t="s">
        <v>745</v>
      </c>
      <c r="B32" s="133">
        <v>820</v>
      </c>
      <c r="C32" s="133">
        <v>1</v>
      </c>
      <c r="D32">
        <v>2.14</v>
      </c>
      <c r="E32" s="133">
        <v>4</v>
      </c>
      <c r="F32">
        <v>0</v>
      </c>
    </row>
    <row r="33" spans="1:6" x14ac:dyDescent="0.2">
      <c r="A33" t="s">
        <v>745</v>
      </c>
      <c r="B33" s="133">
        <v>821</v>
      </c>
      <c r="C33" s="133">
        <v>1</v>
      </c>
      <c r="D33">
        <v>2.14</v>
      </c>
      <c r="E33" s="133">
        <v>4</v>
      </c>
      <c r="F33">
        <v>1</v>
      </c>
    </row>
    <row r="34" spans="1:6" x14ac:dyDescent="0.2">
      <c r="A34" t="s">
        <v>745</v>
      </c>
      <c r="B34" s="133">
        <v>829</v>
      </c>
      <c r="C34" s="133">
        <v>1</v>
      </c>
      <c r="D34">
        <v>2.14</v>
      </c>
      <c r="E34" s="133">
        <v>4</v>
      </c>
      <c r="F34">
        <v>0</v>
      </c>
    </row>
    <row r="35" spans="1:6" x14ac:dyDescent="0.2">
      <c r="A35" t="s">
        <v>745</v>
      </c>
      <c r="B35" s="133">
        <v>877</v>
      </c>
      <c r="C35" s="133">
        <v>1</v>
      </c>
      <c r="D35">
        <v>2.14</v>
      </c>
      <c r="E35" s="133">
        <v>4</v>
      </c>
      <c r="F35">
        <v>0</v>
      </c>
    </row>
    <row r="36" spans="1:6" x14ac:dyDescent="0.2">
      <c r="A36" t="s">
        <v>745</v>
      </c>
      <c r="B36" s="133">
        <v>914</v>
      </c>
      <c r="C36" s="133">
        <v>1</v>
      </c>
      <c r="D36">
        <v>2.14</v>
      </c>
      <c r="E36" s="133">
        <v>4</v>
      </c>
      <c r="F36">
        <v>-0.09</v>
      </c>
    </row>
    <row r="37" spans="1:6" x14ac:dyDescent="0.2">
      <c r="A37" t="s">
        <v>745</v>
      </c>
      <c r="B37" s="133">
        <v>2159</v>
      </c>
      <c r="C37" s="133">
        <v>1</v>
      </c>
      <c r="D37">
        <v>2.14</v>
      </c>
      <c r="E37" s="133">
        <v>4</v>
      </c>
      <c r="F37">
        <v>-360.69</v>
      </c>
    </row>
    <row r="38" spans="1:6" x14ac:dyDescent="0.2">
      <c r="A38" t="s">
        <v>745</v>
      </c>
      <c r="B38" s="133">
        <v>2172</v>
      </c>
      <c r="C38" s="133">
        <v>1</v>
      </c>
      <c r="D38">
        <v>2.14</v>
      </c>
      <c r="E38" s="133">
        <v>4</v>
      </c>
      <c r="F38">
        <v>-205.6</v>
      </c>
    </row>
    <row r="39" spans="1:6" x14ac:dyDescent="0.2">
      <c r="A39" t="s">
        <v>745</v>
      </c>
      <c r="B39" s="133">
        <v>2310</v>
      </c>
      <c r="C39" s="133">
        <v>1</v>
      </c>
      <c r="D39">
        <v>2.14</v>
      </c>
      <c r="E39" s="133">
        <v>4</v>
      </c>
      <c r="F39">
        <v>-121.53</v>
      </c>
    </row>
    <row r="40" spans="1:6" x14ac:dyDescent="0.2">
      <c r="A40" t="s">
        <v>745</v>
      </c>
      <c r="B40" s="133">
        <v>2365</v>
      </c>
      <c r="C40" s="133">
        <v>1</v>
      </c>
      <c r="D40">
        <v>2.14</v>
      </c>
      <c r="E40" s="133">
        <v>4</v>
      </c>
      <c r="F40">
        <v>-963.29</v>
      </c>
    </row>
    <row r="41" spans="1:6" x14ac:dyDescent="0.2">
      <c r="A41" t="s">
        <v>745</v>
      </c>
      <c r="B41" s="133">
        <v>2687</v>
      </c>
      <c r="C41" s="133">
        <v>1</v>
      </c>
      <c r="D41">
        <v>2.14</v>
      </c>
      <c r="E41" s="133">
        <v>4</v>
      </c>
      <c r="F41">
        <v>0</v>
      </c>
    </row>
    <row r="42" spans="1:6" x14ac:dyDescent="0.2">
      <c r="A42" t="s">
        <v>745</v>
      </c>
      <c r="B42" s="133">
        <v>2754</v>
      </c>
      <c r="C42" s="133">
        <v>1</v>
      </c>
      <c r="D42">
        <v>2.14</v>
      </c>
      <c r="E42" s="133">
        <v>4</v>
      </c>
      <c r="F42">
        <v>-1008.35</v>
      </c>
    </row>
    <row r="43" spans="1:6" x14ac:dyDescent="0.2">
      <c r="A43" t="s">
        <v>745</v>
      </c>
      <c r="B43" s="133">
        <v>2759</v>
      </c>
      <c r="C43" s="133">
        <v>1</v>
      </c>
      <c r="D43">
        <v>2.14</v>
      </c>
      <c r="E43" s="133">
        <v>4</v>
      </c>
      <c r="F43">
        <v>-1741.64</v>
      </c>
    </row>
    <row r="44" spans="1:6" x14ac:dyDescent="0.2">
      <c r="A44" t="s">
        <v>745</v>
      </c>
      <c r="B44" s="133">
        <v>2835</v>
      </c>
      <c r="C44" s="133">
        <v>1</v>
      </c>
      <c r="D44">
        <v>2.14</v>
      </c>
      <c r="E44" s="133">
        <v>4</v>
      </c>
      <c r="F44">
        <v>-144</v>
      </c>
    </row>
    <row r="45" spans="1:6" x14ac:dyDescent="0.2">
      <c r="A45" t="s">
        <v>745</v>
      </c>
      <c r="B45" s="133">
        <v>2854</v>
      </c>
      <c r="C45" s="133">
        <v>1</v>
      </c>
      <c r="D45">
        <v>2.14</v>
      </c>
      <c r="E45" s="133">
        <v>4</v>
      </c>
      <c r="F45">
        <v>-738.43</v>
      </c>
    </row>
    <row r="46" spans="1:6" x14ac:dyDescent="0.2">
      <c r="A46" t="s">
        <v>745</v>
      </c>
      <c r="B46" s="133">
        <v>2860</v>
      </c>
      <c r="C46" s="133">
        <v>1</v>
      </c>
      <c r="D46">
        <v>2.14</v>
      </c>
      <c r="E46" s="133">
        <v>4</v>
      </c>
      <c r="F46">
        <v>-2296</v>
      </c>
    </row>
    <row r="47" spans="1:6" x14ac:dyDescent="0.2">
      <c r="A47" t="s">
        <v>745</v>
      </c>
      <c r="B47" s="133">
        <v>2903</v>
      </c>
      <c r="C47" s="133">
        <v>1</v>
      </c>
      <c r="D47">
        <v>2.14</v>
      </c>
      <c r="E47" s="133">
        <v>4</v>
      </c>
      <c r="F47">
        <v>-1964</v>
      </c>
    </row>
    <row r="48" spans="1:6" x14ac:dyDescent="0.2">
      <c r="A48" t="s">
        <v>745</v>
      </c>
      <c r="B48" s="133">
        <v>2904</v>
      </c>
      <c r="C48" s="133">
        <v>1</v>
      </c>
      <c r="D48">
        <v>2.14</v>
      </c>
      <c r="E48" s="133">
        <v>4</v>
      </c>
      <c r="F48">
        <v>-1623.73</v>
      </c>
    </row>
    <row r="49" spans="1:6" x14ac:dyDescent="0.2">
      <c r="A49" s="152" t="s">
        <v>747</v>
      </c>
      <c r="B49" s="133">
        <v>2905</v>
      </c>
      <c r="C49" s="133">
        <v>1</v>
      </c>
      <c r="D49">
        <v>2.14</v>
      </c>
      <c r="E49" s="133">
        <v>4</v>
      </c>
      <c r="F49" s="133">
        <v>0</v>
      </c>
    </row>
    <row r="50" spans="1:6" x14ac:dyDescent="0.2">
      <c r="F50">
        <f>SUM(F4:F49)</f>
        <v>-92759.76999999999</v>
      </c>
    </row>
    <row r="51" spans="1:6" x14ac:dyDescent="0.2"/>
    <row r="52" spans="1:6" x14ac:dyDescent="0.2"/>
    <row r="53" spans="1:6" x14ac:dyDescent="0.2"/>
    <row r="54" spans="1:6" x14ac:dyDescent="0.2">
      <c r="A54" t="s">
        <v>747</v>
      </c>
      <c r="B54" s="133">
        <v>392</v>
      </c>
      <c r="C54" s="133">
        <v>1</v>
      </c>
      <c r="D54">
        <v>2.14</v>
      </c>
      <c r="E54" s="133">
        <v>4</v>
      </c>
      <c r="F54">
        <v>0</v>
      </c>
    </row>
    <row r="55" spans="1:6" x14ac:dyDescent="0.2">
      <c r="A55" t="s">
        <v>747</v>
      </c>
      <c r="B55" s="133">
        <v>394</v>
      </c>
      <c r="C55" s="133">
        <v>1</v>
      </c>
      <c r="D55">
        <v>2.14</v>
      </c>
      <c r="E55" s="133">
        <v>4</v>
      </c>
      <c r="F55">
        <v>0</v>
      </c>
    </row>
    <row r="56" spans="1:6" x14ac:dyDescent="0.2">
      <c r="A56" t="s">
        <v>1241</v>
      </c>
    </row>
  </sheetData>
  <phoneticPr fontId="2" type="noConversion"/>
  <pageMargins left="0.75" right="0.75" top="1" bottom="1" header="0.5" footer="0.5"/>
  <pageSetup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50"/>
  <sheetViews>
    <sheetView tabSelected="1" workbookViewId="0"/>
  </sheetViews>
  <sheetFormatPr defaultColWidth="0" defaultRowHeight="11.25" zeroHeight="1" x14ac:dyDescent="0.2"/>
  <cols>
    <col min="1" max="2" width="9.33203125" customWidth="1"/>
    <col min="3" max="3" width="32.33203125" bestFit="1" customWidth="1"/>
    <col min="4" max="9" width="9.33203125" customWidth="1"/>
    <col min="10" max="16384" width="9.33203125" hidden="1"/>
  </cols>
  <sheetData>
    <row r="1" spans="1:7" x14ac:dyDescent="0.2">
      <c r="A1" s="206" t="s">
        <v>1124</v>
      </c>
      <c r="B1" s="206" t="s">
        <v>1125</v>
      </c>
      <c r="C1" t="s">
        <v>1126</v>
      </c>
    </row>
    <row r="2" spans="1:7" x14ac:dyDescent="0.2">
      <c r="A2" s="17">
        <v>1</v>
      </c>
      <c r="B2" s="17">
        <v>1</v>
      </c>
      <c r="C2" s="3" t="s">
        <v>5</v>
      </c>
      <c r="D2" s="207">
        <f>E2-A2</f>
        <v>0</v>
      </c>
      <c r="E2" s="4">
        <v>1</v>
      </c>
      <c r="F2" s="4">
        <v>1</v>
      </c>
      <c r="G2" s="2" t="s">
        <v>756</v>
      </c>
    </row>
    <row r="3" spans="1:7" x14ac:dyDescent="0.2">
      <c r="A3" s="17">
        <v>1.2</v>
      </c>
      <c r="B3" s="17">
        <v>3</v>
      </c>
      <c r="C3" s="3" t="s">
        <v>6</v>
      </c>
      <c r="D3" s="207">
        <f t="shared" ref="D3:D66" si="0">E3-A3</f>
        <v>-0.19999999999999996</v>
      </c>
      <c r="E3" s="4">
        <v>1</v>
      </c>
      <c r="F3" s="4">
        <v>3</v>
      </c>
      <c r="G3" s="2" t="s">
        <v>757</v>
      </c>
    </row>
    <row r="4" spans="1:7" x14ac:dyDescent="0.2">
      <c r="A4" s="17">
        <v>2</v>
      </c>
      <c r="B4" s="17">
        <v>1</v>
      </c>
      <c r="C4" s="3" t="s">
        <v>7</v>
      </c>
      <c r="D4" s="207">
        <f t="shared" si="0"/>
        <v>0</v>
      </c>
      <c r="E4" s="4">
        <v>2</v>
      </c>
      <c r="F4" s="4">
        <v>1</v>
      </c>
      <c r="G4" s="2" t="s">
        <v>758</v>
      </c>
    </row>
    <row r="5" spans="1:7" x14ac:dyDescent="0.2">
      <c r="A5" s="17">
        <v>4</v>
      </c>
      <c r="B5" s="17">
        <v>1</v>
      </c>
      <c r="C5" s="3" t="s">
        <v>8</v>
      </c>
      <c r="D5" s="207">
        <f t="shared" si="0"/>
        <v>0</v>
      </c>
      <c r="E5" s="4">
        <v>4</v>
      </c>
      <c r="F5" s="4">
        <v>1</v>
      </c>
      <c r="G5" s="2" t="s">
        <v>759</v>
      </c>
    </row>
    <row r="6" spans="1:7" x14ac:dyDescent="0.2">
      <c r="A6" s="17">
        <v>6</v>
      </c>
      <c r="B6" s="17">
        <v>3</v>
      </c>
      <c r="C6" s="3" t="s">
        <v>9</v>
      </c>
      <c r="D6" s="207">
        <f t="shared" si="0"/>
        <v>0</v>
      </c>
      <c r="E6" s="4">
        <v>6</v>
      </c>
      <c r="F6" s="4">
        <v>3</v>
      </c>
      <c r="G6" s="2" t="s">
        <v>760</v>
      </c>
    </row>
    <row r="7" spans="1:7" x14ac:dyDescent="0.2">
      <c r="A7" s="17">
        <v>11</v>
      </c>
      <c r="B7" s="17">
        <v>1</v>
      </c>
      <c r="C7" s="3" t="s">
        <v>10</v>
      </c>
      <c r="D7" s="207">
        <f t="shared" si="0"/>
        <v>0</v>
      </c>
      <c r="E7" s="4">
        <v>11</v>
      </c>
      <c r="F7" s="4">
        <v>1</v>
      </c>
      <c r="G7" s="2" t="s">
        <v>761</v>
      </c>
    </row>
    <row r="8" spans="1:7" x14ac:dyDescent="0.2">
      <c r="A8" s="17">
        <v>12</v>
      </c>
      <c r="B8" s="17">
        <v>1</v>
      </c>
      <c r="C8" s="3" t="s">
        <v>11</v>
      </c>
      <c r="D8" s="207">
        <f t="shared" si="0"/>
        <v>0</v>
      </c>
      <c r="E8" s="4">
        <v>12</v>
      </c>
      <c r="F8" s="4">
        <v>1</v>
      </c>
      <c r="G8" s="2" t="s">
        <v>762</v>
      </c>
    </row>
    <row r="9" spans="1:7" x14ac:dyDescent="0.2">
      <c r="A9" s="17">
        <v>13</v>
      </c>
      <c r="B9" s="17">
        <v>1</v>
      </c>
      <c r="C9" s="3" t="s">
        <v>12</v>
      </c>
      <c r="D9" s="207">
        <f t="shared" si="0"/>
        <v>0</v>
      </c>
      <c r="E9" s="4">
        <v>13</v>
      </c>
      <c r="F9" s="4">
        <v>1</v>
      </c>
      <c r="G9" s="2" t="s">
        <v>763</v>
      </c>
    </row>
    <row r="10" spans="1:7" x14ac:dyDescent="0.2">
      <c r="A10" s="17">
        <v>14</v>
      </c>
      <c r="B10" s="17">
        <v>1</v>
      </c>
      <c r="C10" s="3" t="s">
        <v>13</v>
      </c>
      <c r="D10" s="207">
        <f t="shared" si="0"/>
        <v>0</v>
      </c>
      <c r="E10" s="4">
        <v>14</v>
      </c>
      <c r="F10" s="4">
        <v>1</v>
      </c>
      <c r="G10" s="2" t="s">
        <v>764</v>
      </c>
    </row>
    <row r="11" spans="1:7" x14ac:dyDescent="0.2">
      <c r="A11" s="17">
        <v>15</v>
      </c>
      <c r="B11" s="17">
        <v>1</v>
      </c>
      <c r="C11" s="3" t="s">
        <v>14</v>
      </c>
      <c r="D11" s="207">
        <f t="shared" si="0"/>
        <v>0</v>
      </c>
      <c r="E11" s="4">
        <v>15</v>
      </c>
      <c r="F11" s="4">
        <v>1</v>
      </c>
      <c r="G11" s="2" t="s">
        <v>765</v>
      </c>
    </row>
    <row r="12" spans="1:7" x14ac:dyDescent="0.2">
      <c r="A12" s="17">
        <v>16</v>
      </c>
      <c r="B12" s="17">
        <v>1</v>
      </c>
      <c r="C12" s="3" t="s">
        <v>15</v>
      </c>
      <c r="D12" s="207">
        <f t="shared" si="0"/>
        <v>0</v>
      </c>
      <c r="E12" s="4">
        <v>16</v>
      </c>
      <c r="F12" s="4">
        <v>1</v>
      </c>
      <c r="G12" s="2" t="s">
        <v>766</v>
      </c>
    </row>
    <row r="13" spans="1:7" x14ac:dyDescent="0.2">
      <c r="A13" s="17">
        <v>22</v>
      </c>
      <c r="B13" s="17">
        <v>1</v>
      </c>
      <c r="C13" s="3" t="s">
        <v>16</v>
      </c>
      <c r="D13" s="207">
        <f t="shared" si="0"/>
        <v>0</v>
      </c>
      <c r="E13" s="4">
        <v>22</v>
      </c>
      <c r="F13" s="4">
        <v>1</v>
      </c>
      <c r="G13" s="2" t="s">
        <v>767</v>
      </c>
    </row>
    <row r="14" spans="1:7" x14ac:dyDescent="0.2">
      <c r="A14" s="17">
        <v>23</v>
      </c>
      <c r="B14" s="17">
        <v>1</v>
      </c>
      <c r="C14" s="3" t="s">
        <v>17</v>
      </c>
      <c r="D14" s="207">
        <f t="shared" si="0"/>
        <v>0</v>
      </c>
      <c r="E14" s="4">
        <v>23</v>
      </c>
      <c r="F14" s="4">
        <v>1</v>
      </c>
      <c r="G14" s="2" t="s">
        <v>768</v>
      </c>
    </row>
    <row r="15" spans="1:7" x14ac:dyDescent="0.2">
      <c r="A15" s="17">
        <v>25</v>
      </c>
      <c r="B15" s="17">
        <v>1</v>
      </c>
      <c r="C15" s="3" t="s">
        <v>341</v>
      </c>
      <c r="D15" s="207">
        <f t="shared" si="0"/>
        <v>0</v>
      </c>
      <c r="E15" s="4">
        <v>25</v>
      </c>
      <c r="F15" s="4">
        <v>1</v>
      </c>
      <c r="G15" s="2" t="s">
        <v>769</v>
      </c>
    </row>
    <row r="16" spans="1:7" x14ac:dyDescent="0.2">
      <c r="A16" s="17">
        <v>31</v>
      </c>
      <c r="B16" s="17">
        <v>1</v>
      </c>
      <c r="C16" s="3" t="s">
        <v>18</v>
      </c>
      <c r="D16" s="207">
        <f t="shared" si="0"/>
        <v>0</v>
      </c>
      <c r="E16" s="4">
        <v>31</v>
      </c>
      <c r="F16" s="4">
        <v>1</v>
      </c>
      <c r="G16" s="2" t="s">
        <v>770</v>
      </c>
    </row>
    <row r="17" spans="1:7" x14ac:dyDescent="0.2">
      <c r="A17" s="17">
        <v>32</v>
      </c>
      <c r="B17" s="17">
        <v>1</v>
      </c>
      <c r="C17" s="3" t="s">
        <v>19</v>
      </c>
      <c r="D17" s="207">
        <f t="shared" si="0"/>
        <v>0</v>
      </c>
      <c r="E17" s="4">
        <v>32</v>
      </c>
      <c r="F17" s="4">
        <v>1</v>
      </c>
      <c r="G17" s="2" t="s">
        <v>771</v>
      </c>
    </row>
    <row r="18" spans="1:7" x14ac:dyDescent="0.2">
      <c r="A18" s="17">
        <v>36</v>
      </c>
      <c r="B18" s="17">
        <v>1</v>
      </c>
      <c r="C18" s="3" t="s">
        <v>20</v>
      </c>
      <c r="D18" s="207">
        <f t="shared" si="0"/>
        <v>0</v>
      </c>
      <c r="E18" s="4">
        <v>36</v>
      </c>
      <c r="F18" s="4">
        <v>1</v>
      </c>
      <c r="G18" s="2" t="s">
        <v>772</v>
      </c>
    </row>
    <row r="19" spans="1:7" x14ac:dyDescent="0.2">
      <c r="A19" s="17">
        <v>38</v>
      </c>
      <c r="B19" s="17">
        <v>1</v>
      </c>
      <c r="C19" s="3" t="s">
        <v>21</v>
      </c>
      <c r="D19" s="207">
        <f t="shared" si="0"/>
        <v>0</v>
      </c>
      <c r="E19" s="4">
        <v>38</v>
      </c>
      <c r="F19" s="4">
        <v>1</v>
      </c>
      <c r="G19" s="2" t="s">
        <v>773</v>
      </c>
    </row>
    <row r="20" spans="1:7" x14ac:dyDescent="0.2">
      <c r="A20" s="17">
        <v>47</v>
      </c>
      <c r="B20" s="17">
        <v>1</v>
      </c>
      <c r="C20" s="3" t="s">
        <v>22</v>
      </c>
      <c r="D20" s="207">
        <f t="shared" si="0"/>
        <v>0</v>
      </c>
      <c r="E20" s="4">
        <v>47</v>
      </c>
      <c r="F20" s="4">
        <v>1</v>
      </c>
      <c r="G20" s="2" t="s">
        <v>774</v>
      </c>
    </row>
    <row r="21" spans="1:7" x14ac:dyDescent="0.2">
      <c r="A21" s="17">
        <v>51</v>
      </c>
      <c r="B21" s="17">
        <v>1</v>
      </c>
      <c r="C21" s="3" t="s">
        <v>23</v>
      </c>
      <c r="D21" s="207">
        <f t="shared" si="0"/>
        <v>0</v>
      </c>
      <c r="E21" s="4">
        <v>51</v>
      </c>
      <c r="F21" s="4">
        <v>1</v>
      </c>
      <c r="G21" s="2" t="s">
        <v>775</v>
      </c>
    </row>
    <row r="22" spans="1:7" x14ac:dyDescent="0.2">
      <c r="A22" s="17">
        <v>75</v>
      </c>
      <c r="B22" s="17">
        <v>1</v>
      </c>
      <c r="C22" s="3" t="s">
        <v>24</v>
      </c>
      <c r="D22" s="207">
        <f t="shared" si="0"/>
        <v>0</v>
      </c>
      <c r="E22" s="4">
        <v>75</v>
      </c>
      <c r="F22" s="4">
        <v>1</v>
      </c>
      <c r="G22" s="2" t="s">
        <v>776</v>
      </c>
    </row>
    <row r="23" spans="1:7" x14ac:dyDescent="0.2">
      <c r="A23" s="17">
        <v>77</v>
      </c>
      <c r="B23" s="17">
        <v>1</v>
      </c>
      <c r="C23" s="3" t="s">
        <v>25</v>
      </c>
      <c r="D23" s="207">
        <f t="shared" si="0"/>
        <v>0</v>
      </c>
      <c r="E23" s="4">
        <v>77</v>
      </c>
      <c r="F23" s="4">
        <v>1</v>
      </c>
      <c r="G23" s="2" t="s">
        <v>777</v>
      </c>
    </row>
    <row r="24" spans="1:7" x14ac:dyDescent="0.2">
      <c r="A24" s="17">
        <v>81</v>
      </c>
      <c r="B24" s="17">
        <v>1</v>
      </c>
      <c r="C24" s="3" t="s">
        <v>26</v>
      </c>
      <c r="D24" s="207">
        <f t="shared" si="0"/>
        <v>0</v>
      </c>
      <c r="E24" s="4">
        <v>81</v>
      </c>
      <c r="F24" s="4">
        <v>1</v>
      </c>
      <c r="G24" s="2" t="s">
        <v>778</v>
      </c>
    </row>
    <row r="25" spans="1:7" x14ac:dyDescent="0.2">
      <c r="A25" s="17">
        <v>84</v>
      </c>
      <c r="B25" s="17">
        <v>1</v>
      </c>
      <c r="C25" s="3" t="s">
        <v>27</v>
      </c>
      <c r="D25" s="207">
        <f t="shared" si="0"/>
        <v>0</v>
      </c>
      <c r="E25" s="4">
        <v>84</v>
      </c>
      <c r="F25" s="4">
        <v>1</v>
      </c>
      <c r="G25" s="2" t="s">
        <v>779</v>
      </c>
    </row>
    <row r="26" spans="1:7" x14ac:dyDescent="0.2">
      <c r="A26" s="17">
        <v>85</v>
      </c>
      <c r="B26" s="17">
        <v>1</v>
      </c>
      <c r="C26" s="3" t="s">
        <v>28</v>
      </c>
      <c r="D26" s="207">
        <f t="shared" si="0"/>
        <v>0</v>
      </c>
      <c r="E26" s="4">
        <v>85</v>
      </c>
      <c r="F26" s="4">
        <v>1</v>
      </c>
      <c r="G26" s="2" t="s">
        <v>780</v>
      </c>
    </row>
    <row r="27" spans="1:7" x14ac:dyDescent="0.2">
      <c r="A27" s="17">
        <v>88</v>
      </c>
      <c r="B27" s="17">
        <v>1</v>
      </c>
      <c r="C27" s="3" t="s">
        <v>29</v>
      </c>
      <c r="D27" s="207">
        <f t="shared" si="0"/>
        <v>0</v>
      </c>
      <c r="E27" s="4">
        <v>88</v>
      </c>
      <c r="F27" s="4">
        <v>1</v>
      </c>
      <c r="G27" s="2" t="s">
        <v>781</v>
      </c>
    </row>
    <row r="28" spans="1:7" x14ac:dyDescent="0.2">
      <c r="A28" s="17">
        <v>91</v>
      </c>
      <c r="B28" s="17">
        <v>1</v>
      </c>
      <c r="C28" s="3" t="s">
        <v>30</v>
      </c>
      <c r="D28" s="207">
        <f t="shared" si="0"/>
        <v>0</v>
      </c>
      <c r="E28" s="4">
        <v>91</v>
      </c>
      <c r="F28" s="4">
        <v>1</v>
      </c>
      <c r="G28" s="2" t="s">
        <v>782</v>
      </c>
    </row>
    <row r="29" spans="1:7" x14ac:dyDescent="0.2">
      <c r="A29" s="17">
        <v>93</v>
      </c>
      <c r="B29" s="17">
        <v>1</v>
      </c>
      <c r="C29" s="3" t="s">
        <v>31</v>
      </c>
      <c r="D29" s="207">
        <f t="shared" si="0"/>
        <v>0</v>
      </c>
      <c r="E29" s="4">
        <v>93</v>
      </c>
      <c r="F29" s="4">
        <v>1</v>
      </c>
      <c r="G29" s="2" t="s">
        <v>783</v>
      </c>
    </row>
    <row r="30" spans="1:7" x14ac:dyDescent="0.2">
      <c r="A30" s="17">
        <v>94</v>
      </c>
      <c r="B30" s="17">
        <v>1</v>
      </c>
      <c r="C30" s="3" t="s">
        <v>32</v>
      </c>
      <c r="D30" s="207">
        <f t="shared" si="0"/>
        <v>0</v>
      </c>
      <c r="E30" s="4">
        <v>94</v>
      </c>
      <c r="F30" s="4">
        <v>1</v>
      </c>
      <c r="G30" s="2" t="s">
        <v>784</v>
      </c>
    </row>
    <row r="31" spans="1:7" x14ac:dyDescent="0.2">
      <c r="A31" s="17">
        <v>95</v>
      </c>
      <c r="B31" s="17">
        <v>1</v>
      </c>
      <c r="C31" s="3" t="s">
        <v>33</v>
      </c>
      <c r="D31" s="207">
        <f t="shared" si="0"/>
        <v>0</v>
      </c>
      <c r="E31" s="4">
        <v>95</v>
      </c>
      <c r="F31" s="4">
        <v>1</v>
      </c>
      <c r="G31" s="2" t="s">
        <v>785</v>
      </c>
    </row>
    <row r="32" spans="1:7" x14ac:dyDescent="0.2">
      <c r="A32" s="17">
        <v>97</v>
      </c>
      <c r="B32" s="17">
        <v>1</v>
      </c>
      <c r="C32" s="3" t="s">
        <v>34</v>
      </c>
      <c r="D32" s="207">
        <f t="shared" si="0"/>
        <v>0</v>
      </c>
      <c r="E32" s="4">
        <v>97</v>
      </c>
      <c r="F32" s="4">
        <v>1</v>
      </c>
      <c r="G32" s="2" t="s">
        <v>786</v>
      </c>
    </row>
    <row r="33" spans="1:7" x14ac:dyDescent="0.2">
      <c r="A33" s="17">
        <v>99</v>
      </c>
      <c r="B33" s="17">
        <v>1</v>
      </c>
      <c r="C33" s="3" t="s">
        <v>35</v>
      </c>
      <c r="D33" s="207">
        <f t="shared" si="0"/>
        <v>0</v>
      </c>
      <c r="E33" s="4">
        <v>99</v>
      </c>
      <c r="F33" s="4">
        <v>1</v>
      </c>
      <c r="G33" s="2" t="s">
        <v>787</v>
      </c>
    </row>
    <row r="34" spans="1:7" x14ac:dyDescent="0.2">
      <c r="A34" s="17">
        <v>100</v>
      </c>
      <c r="B34" s="17">
        <v>1</v>
      </c>
      <c r="C34" s="3" t="s">
        <v>36</v>
      </c>
      <c r="D34" s="207">
        <f t="shared" si="0"/>
        <v>0</v>
      </c>
      <c r="E34" s="4">
        <v>100</v>
      </c>
      <c r="F34" s="4">
        <v>1</v>
      </c>
      <c r="G34" s="2" t="s">
        <v>788</v>
      </c>
    </row>
    <row r="35" spans="1:7" x14ac:dyDescent="0.2">
      <c r="A35" s="17">
        <v>108</v>
      </c>
      <c r="B35" s="17">
        <v>1</v>
      </c>
      <c r="C35" s="162" t="s">
        <v>1168</v>
      </c>
      <c r="D35" s="207">
        <f t="shared" si="0"/>
        <v>0</v>
      </c>
      <c r="E35" s="4">
        <v>108</v>
      </c>
      <c r="F35" s="4">
        <v>1</v>
      </c>
      <c r="G35" s="2" t="s">
        <v>789</v>
      </c>
    </row>
    <row r="36" spans="1:7" x14ac:dyDescent="0.2">
      <c r="A36" s="17">
        <v>110</v>
      </c>
      <c r="B36" s="17">
        <v>1</v>
      </c>
      <c r="C36" s="3" t="s">
        <v>38</v>
      </c>
      <c r="D36" s="207">
        <f t="shared" si="0"/>
        <v>0</v>
      </c>
      <c r="E36" s="4">
        <v>110</v>
      </c>
      <c r="F36" s="4">
        <v>1</v>
      </c>
      <c r="G36" s="2" t="s">
        <v>790</v>
      </c>
    </row>
    <row r="37" spans="1:7" x14ac:dyDescent="0.2">
      <c r="A37" s="17">
        <v>111</v>
      </c>
      <c r="B37" s="17">
        <v>1</v>
      </c>
      <c r="C37" s="3" t="s">
        <v>39</v>
      </c>
      <c r="D37" s="207">
        <f t="shared" si="0"/>
        <v>0</v>
      </c>
      <c r="E37" s="4">
        <v>111</v>
      </c>
      <c r="F37" s="4">
        <v>1</v>
      </c>
      <c r="G37" s="2" t="s">
        <v>791</v>
      </c>
    </row>
    <row r="38" spans="1:7" x14ac:dyDescent="0.2">
      <c r="A38" s="17">
        <v>112</v>
      </c>
      <c r="B38" s="17">
        <v>1</v>
      </c>
      <c r="C38" s="161" t="s">
        <v>1169</v>
      </c>
      <c r="D38" s="207">
        <f t="shared" si="0"/>
        <v>0</v>
      </c>
      <c r="E38" s="4">
        <v>112</v>
      </c>
      <c r="F38" s="4">
        <v>1</v>
      </c>
      <c r="G38" s="2" t="s">
        <v>792</v>
      </c>
    </row>
    <row r="39" spans="1:7" x14ac:dyDescent="0.2">
      <c r="A39" s="17">
        <v>113</v>
      </c>
      <c r="B39" s="17">
        <v>1</v>
      </c>
      <c r="C39" s="162" t="s">
        <v>1170</v>
      </c>
      <c r="D39" s="207">
        <f t="shared" si="0"/>
        <v>0</v>
      </c>
      <c r="E39" s="4">
        <v>113</v>
      </c>
      <c r="F39" s="4">
        <v>1</v>
      </c>
      <c r="G39" s="2" t="s">
        <v>793</v>
      </c>
    </row>
    <row r="40" spans="1:7" x14ac:dyDescent="0.2">
      <c r="A40" s="17">
        <v>115</v>
      </c>
      <c r="B40" s="17">
        <v>1</v>
      </c>
      <c r="C40" s="162" t="s">
        <v>1171</v>
      </c>
      <c r="D40" s="207">
        <f t="shared" si="0"/>
        <v>0</v>
      </c>
      <c r="E40" s="4">
        <v>115</v>
      </c>
      <c r="F40" s="4">
        <v>1</v>
      </c>
      <c r="G40" s="2" t="s">
        <v>794</v>
      </c>
    </row>
    <row r="41" spans="1:7" x14ac:dyDescent="0.2">
      <c r="A41" s="17">
        <v>116</v>
      </c>
      <c r="B41" s="17">
        <v>1</v>
      </c>
      <c r="C41" s="3" t="s">
        <v>43</v>
      </c>
      <c r="D41" s="207">
        <f t="shared" si="0"/>
        <v>0</v>
      </c>
      <c r="E41" s="4">
        <v>116</v>
      </c>
      <c r="F41" s="4">
        <v>1</v>
      </c>
      <c r="G41" s="2" t="s">
        <v>795</v>
      </c>
    </row>
    <row r="42" spans="1:7" x14ac:dyDescent="0.2">
      <c r="A42" s="17">
        <v>118</v>
      </c>
      <c r="B42" s="17">
        <v>1</v>
      </c>
      <c r="C42" s="3" t="s">
        <v>44</v>
      </c>
      <c r="D42" s="207">
        <f t="shared" si="0"/>
        <v>0</v>
      </c>
      <c r="E42" s="4">
        <v>118</v>
      </c>
      <c r="F42" s="4">
        <v>1</v>
      </c>
      <c r="G42" s="2" t="s">
        <v>796</v>
      </c>
    </row>
    <row r="43" spans="1:7" x14ac:dyDescent="0.2">
      <c r="A43" s="17">
        <v>129</v>
      </c>
      <c r="B43" s="17">
        <v>1</v>
      </c>
      <c r="C43" s="3" t="s">
        <v>45</v>
      </c>
      <c r="D43" s="207">
        <f t="shared" si="0"/>
        <v>0</v>
      </c>
      <c r="E43" s="4">
        <v>129</v>
      </c>
      <c r="F43" s="4">
        <v>1</v>
      </c>
      <c r="G43" s="2" t="s">
        <v>797</v>
      </c>
    </row>
    <row r="44" spans="1:7" x14ac:dyDescent="0.2">
      <c r="A44" s="17">
        <v>138</v>
      </c>
      <c r="B44" s="17">
        <v>1</v>
      </c>
      <c r="C44" s="3" t="s">
        <v>46</v>
      </c>
      <c r="D44" s="207">
        <f t="shared" si="0"/>
        <v>0</v>
      </c>
      <c r="E44" s="4">
        <v>138</v>
      </c>
      <c r="F44" s="4">
        <v>1</v>
      </c>
      <c r="G44" s="2" t="s">
        <v>798</v>
      </c>
    </row>
    <row r="45" spans="1:7" x14ac:dyDescent="0.2">
      <c r="A45" s="17">
        <v>139</v>
      </c>
      <c r="B45" s="17">
        <v>1</v>
      </c>
      <c r="C45" s="3" t="s">
        <v>47</v>
      </c>
      <c r="D45" s="207">
        <f t="shared" si="0"/>
        <v>0</v>
      </c>
      <c r="E45" s="4">
        <v>139</v>
      </c>
      <c r="F45" s="4">
        <v>1</v>
      </c>
      <c r="G45" s="2" t="s">
        <v>799</v>
      </c>
    </row>
    <row r="46" spans="1:7" x14ac:dyDescent="0.2">
      <c r="A46" s="17">
        <v>146</v>
      </c>
      <c r="B46" s="17">
        <v>1</v>
      </c>
      <c r="C46" s="3" t="s">
        <v>48</v>
      </c>
      <c r="D46" s="207">
        <f t="shared" si="0"/>
        <v>0</v>
      </c>
      <c r="E46" s="4">
        <v>146</v>
      </c>
      <c r="F46" s="4">
        <v>1</v>
      </c>
      <c r="G46" s="2" t="s">
        <v>800</v>
      </c>
    </row>
    <row r="47" spans="1:7" x14ac:dyDescent="0.2">
      <c r="A47" s="17">
        <v>150</v>
      </c>
      <c r="B47" s="17">
        <v>1</v>
      </c>
      <c r="C47" s="3" t="s">
        <v>49</v>
      </c>
      <c r="D47" s="207">
        <f t="shared" si="0"/>
        <v>0</v>
      </c>
      <c r="E47" s="4">
        <v>150</v>
      </c>
      <c r="F47" s="4">
        <v>1</v>
      </c>
      <c r="G47" s="2" t="s">
        <v>801</v>
      </c>
    </row>
    <row r="48" spans="1:7" x14ac:dyDescent="0.2">
      <c r="A48" s="17">
        <v>152</v>
      </c>
      <c r="B48" s="17">
        <v>1</v>
      </c>
      <c r="C48" s="3" t="s">
        <v>50</v>
      </c>
      <c r="D48" s="207">
        <f t="shared" si="0"/>
        <v>0</v>
      </c>
      <c r="E48" s="4">
        <v>152</v>
      </c>
      <c r="F48" s="4">
        <v>1</v>
      </c>
      <c r="G48" s="2" t="s">
        <v>802</v>
      </c>
    </row>
    <row r="49" spans="1:7" x14ac:dyDescent="0.2">
      <c r="A49" s="17">
        <v>162</v>
      </c>
      <c r="B49" s="17">
        <v>1</v>
      </c>
      <c r="C49" s="3" t="s">
        <v>51</v>
      </c>
      <c r="D49" s="207">
        <f t="shared" si="0"/>
        <v>0</v>
      </c>
      <c r="E49" s="4">
        <v>162</v>
      </c>
      <c r="F49" s="4">
        <v>1</v>
      </c>
      <c r="G49" s="2" t="s">
        <v>803</v>
      </c>
    </row>
    <row r="50" spans="1:7" x14ac:dyDescent="0.2">
      <c r="A50" s="17">
        <v>166</v>
      </c>
      <c r="B50" s="17">
        <v>1</v>
      </c>
      <c r="C50" s="3" t="s">
        <v>52</v>
      </c>
      <c r="D50" s="207">
        <f t="shared" si="0"/>
        <v>0</v>
      </c>
      <c r="E50" s="4">
        <v>166</v>
      </c>
      <c r="F50" s="4">
        <v>1</v>
      </c>
      <c r="G50" s="2" t="s">
        <v>804</v>
      </c>
    </row>
    <row r="51" spans="1:7" x14ac:dyDescent="0.2">
      <c r="A51" s="17">
        <v>173</v>
      </c>
      <c r="B51" s="17">
        <v>1</v>
      </c>
      <c r="C51" s="3" t="s">
        <v>53</v>
      </c>
      <c r="D51" s="207">
        <f t="shared" si="0"/>
        <v>0</v>
      </c>
      <c r="E51" s="4">
        <v>173</v>
      </c>
      <c r="F51" s="4">
        <v>1</v>
      </c>
      <c r="G51" s="2" t="s">
        <v>805</v>
      </c>
    </row>
    <row r="52" spans="1:7" x14ac:dyDescent="0.2">
      <c r="A52" s="17">
        <v>177</v>
      </c>
      <c r="B52" s="17">
        <v>1</v>
      </c>
      <c r="C52" s="3" t="s">
        <v>54</v>
      </c>
      <c r="D52" s="207">
        <f t="shared" si="0"/>
        <v>0</v>
      </c>
      <c r="E52" s="4">
        <v>177</v>
      </c>
      <c r="F52" s="4">
        <v>1</v>
      </c>
      <c r="G52" s="2" t="s">
        <v>806</v>
      </c>
    </row>
    <row r="53" spans="1:7" x14ac:dyDescent="0.2">
      <c r="A53" s="17">
        <v>181</v>
      </c>
      <c r="B53" s="17">
        <v>1</v>
      </c>
      <c r="C53" s="3" t="s">
        <v>55</v>
      </c>
      <c r="D53" s="207">
        <f t="shared" si="0"/>
        <v>0</v>
      </c>
      <c r="E53" s="4">
        <v>181</v>
      </c>
      <c r="F53" s="4">
        <v>1</v>
      </c>
      <c r="G53" s="2" t="s">
        <v>807</v>
      </c>
    </row>
    <row r="54" spans="1:7" x14ac:dyDescent="0.2">
      <c r="A54" s="17">
        <v>182</v>
      </c>
      <c r="B54" s="17">
        <v>1</v>
      </c>
      <c r="C54" s="3" t="s">
        <v>56</v>
      </c>
      <c r="D54" s="207">
        <f t="shared" si="0"/>
        <v>0</v>
      </c>
      <c r="E54" s="4">
        <v>182</v>
      </c>
      <c r="F54" s="4">
        <v>1</v>
      </c>
      <c r="G54" s="2" t="s">
        <v>808</v>
      </c>
    </row>
    <row r="55" spans="1:7" x14ac:dyDescent="0.2">
      <c r="A55" s="17">
        <v>186</v>
      </c>
      <c r="B55" s="17">
        <v>1</v>
      </c>
      <c r="C55" s="3" t="s">
        <v>57</v>
      </c>
      <c r="D55" s="207">
        <f t="shared" si="0"/>
        <v>0</v>
      </c>
      <c r="E55" s="4">
        <v>186</v>
      </c>
      <c r="F55" s="4">
        <v>1</v>
      </c>
      <c r="G55" s="2" t="s">
        <v>809</v>
      </c>
    </row>
    <row r="56" spans="1:7" x14ac:dyDescent="0.2">
      <c r="A56" s="17">
        <v>191</v>
      </c>
      <c r="B56" s="17">
        <v>1</v>
      </c>
      <c r="C56" s="3" t="s">
        <v>58</v>
      </c>
      <c r="D56" s="207">
        <f t="shared" si="0"/>
        <v>0</v>
      </c>
      <c r="E56" s="4">
        <v>191</v>
      </c>
      <c r="F56" s="4">
        <v>1</v>
      </c>
      <c r="G56" s="2" t="s">
        <v>810</v>
      </c>
    </row>
    <row r="57" spans="1:7" x14ac:dyDescent="0.2">
      <c r="A57" s="17">
        <v>192</v>
      </c>
      <c r="B57" s="17">
        <v>1</v>
      </c>
      <c r="C57" s="3" t="s">
        <v>59</v>
      </c>
      <c r="D57" s="207">
        <f t="shared" si="0"/>
        <v>0</v>
      </c>
      <c r="E57" s="4">
        <v>192</v>
      </c>
      <c r="F57" s="4">
        <v>1</v>
      </c>
      <c r="G57" s="2" t="s">
        <v>811</v>
      </c>
    </row>
    <row r="58" spans="1:7" x14ac:dyDescent="0.2">
      <c r="A58" s="17">
        <v>194</v>
      </c>
      <c r="B58" s="17">
        <v>1</v>
      </c>
      <c r="C58" s="3" t="s">
        <v>60</v>
      </c>
      <c r="D58" s="207">
        <f t="shared" si="0"/>
        <v>0</v>
      </c>
      <c r="E58" s="4">
        <v>194</v>
      </c>
      <c r="F58" s="4">
        <v>1</v>
      </c>
      <c r="G58" s="2" t="s">
        <v>812</v>
      </c>
    </row>
    <row r="59" spans="1:7" x14ac:dyDescent="0.2">
      <c r="A59" s="17">
        <v>195</v>
      </c>
      <c r="B59" s="17">
        <v>1</v>
      </c>
      <c r="C59" s="3" t="s">
        <v>61</v>
      </c>
      <c r="D59" s="207">
        <f t="shared" si="0"/>
        <v>0</v>
      </c>
      <c r="E59" s="4">
        <v>195</v>
      </c>
      <c r="F59" s="4">
        <v>1</v>
      </c>
      <c r="G59" s="2" t="s">
        <v>813</v>
      </c>
    </row>
    <row r="60" spans="1:7" x14ac:dyDescent="0.2">
      <c r="A60" s="17">
        <v>196</v>
      </c>
      <c r="B60" s="17">
        <v>1</v>
      </c>
      <c r="C60" s="3" t="s">
        <v>62</v>
      </c>
      <c r="D60" s="207">
        <f t="shared" si="0"/>
        <v>0</v>
      </c>
      <c r="E60" s="4">
        <v>196</v>
      </c>
      <c r="F60" s="4">
        <v>1</v>
      </c>
      <c r="G60" s="2" t="s">
        <v>814</v>
      </c>
    </row>
    <row r="61" spans="1:7" x14ac:dyDescent="0.2">
      <c r="A61" s="17">
        <v>197</v>
      </c>
      <c r="B61" s="17">
        <v>1</v>
      </c>
      <c r="C61" s="162" t="s">
        <v>815</v>
      </c>
      <c r="D61" s="207">
        <f t="shared" si="0"/>
        <v>0</v>
      </c>
      <c r="E61" s="4">
        <v>197</v>
      </c>
      <c r="F61" s="4">
        <v>1</v>
      </c>
      <c r="G61" s="2" t="s">
        <v>815</v>
      </c>
    </row>
    <row r="62" spans="1:7" x14ac:dyDescent="0.2">
      <c r="A62" s="17">
        <v>199</v>
      </c>
      <c r="B62" s="17">
        <v>1</v>
      </c>
      <c r="C62" s="162" t="s">
        <v>1172</v>
      </c>
      <c r="D62" s="207">
        <f t="shared" si="0"/>
        <v>0</v>
      </c>
      <c r="E62" s="4">
        <v>199</v>
      </c>
      <c r="F62" s="4">
        <v>1</v>
      </c>
      <c r="G62" s="2" t="s">
        <v>816</v>
      </c>
    </row>
    <row r="63" spans="1:7" x14ac:dyDescent="0.2">
      <c r="A63" s="17">
        <v>200</v>
      </c>
      <c r="B63" s="17">
        <v>1</v>
      </c>
      <c r="C63" s="3" t="s">
        <v>65</v>
      </c>
      <c r="D63" s="207">
        <f t="shared" si="0"/>
        <v>0</v>
      </c>
      <c r="E63" s="4">
        <v>200</v>
      </c>
      <c r="F63" s="4">
        <v>1</v>
      </c>
      <c r="G63" s="2" t="s">
        <v>817</v>
      </c>
    </row>
    <row r="64" spans="1:7" x14ac:dyDescent="0.2">
      <c r="A64" s="17">
        <v>203</v>
      </c>
      <c r="B64" s="17">
        <v>1</v>
      </c>
      <c r="C64" s="3" t="s">
        <v>66</v>
      </c>
      <c r="D64" s="207">
        <f t="shared" si="0"/>
        <v>0</v>
      </c>
      <c r="E64" s="4">
        <v>203</v>
      </c>
      <c r="F64" s="4">
        <v>1</v>
      </c>
      <c r="G64" s="2" t="s">
        <v>818</v>
      </c>
    </row>
    <row r="65" spans="1:7" x14ac:dyDescent="0.2">
      <c r="A65" s="17">
        <v>204</v>
      </c>
      <c r="B65" s="17">
        <v>1</v>
      </c>
      <c r="C65" s="162" t="s">
        <v>1173</v>
      </c>
      <c r="D65" s="207">
        <f t="shared" si="0"/>
        <v>0</v>
      </c>
      <c r="E65" s="4">
        <v>204</v>
      </c>
      <c r="F65" s="4">
        <v>1</v>
      </c>
      <c r="G65" s="2" t="s">
        <v>819</v>
      </c>
    </row>
    <row r="66" spans="1:7" x14ac:dyDescent="0.2">
      <c r="A66" s="17">
        <v>206</v>
      </c>
      <c r="B66" s="17">
        <v>1</v>
      </c>
      <c r="C66" s="3" t="s">
        <v>68</v>
      </c>
      <c r="D66" s="207">
        <f t="shared" si="0"/>
        <v>0</v>
      </c>
      <c r="E66" s="4">
        <v>206</v>
      </c>
      <c r="F66" s="4">
        <v>1</v>
      </c>
      <c r="G66" s="2" t="s">
        <v>820</v>
      </c>
    </row>
    <row r="67" spans="1:7" x14ac:dyDescent="0.2">
      <c r="A67" s="17">
        <v>213</v>
      </c>
      <c r="B67" s="17">
        <v>1</v>
      </c>
      <c r="C67" s="3" t="s">
        <v>71</v>
      </c>
      <c r="D67" s="207">
        <f t="shared" ref="D67:D130" si="1">E67-A67</f>
        <v>0</v>
      </c>
      <c r="E67" s="4">
        <v>213</v>
      </c>
      <c r="F67" s="4">
        <v>1</v>
      </c>
      <c r="G67" s="2" t="s">
        <v>821</v>
      </c>
    </row>
    <row r="68" spans="1:7" x14ac:dyDescent="0.2">
      <c r="A68" s="17">
        <v>227</v>
      </c>
      <c r="B68" s="17">
        <v>1</v>
      </c>
      <c r="C68" s="3" t="s">
        <v>72</v>
      </c>
      <c r="D68" s="207">
        <f t="shared" si="1"/>
        <v>0</v>
      </c>
      <c r="E68" s="4">
        <v>227</v>
      </c>
      <c r="F68" s="4">
        <v>1</v>
      </c>
      <c r="G68" s="2" t="s">
        <v>822</v>
      </c>
    </row>
    <row r="69" spans="1:7" x14ac:dyDescent="0.2">
      <c r="A69" s="17">
        <v>229</v>
      </c>
      <c r="B69" s="17">
        <v>1</v>
      </c>
      <c r="C69" s="3" t="s">
        <v>73</v>
      </c>
      <c r="D69" s="207">
        <f t="shared" si="1"/>
        <v>0</v>
      </c>
      <c r="E69" s="4">
        <v>229</v>
      </c>
      <c r="F69" s="4">
        <v>1</v>
      </c>
      <c r="G69" s="2" t="s">
        <v>823</v>
      </c>
    </row>
    <row r="70" spans="1:7" x14ac:dyDescent="0.2">
      <c r="A70" s="17">
        <v>238</v>
      </c>
      <c r="B70" s="17">
        <v>1</v>
      </c>
      <c r="C70" s="3" t="s">
        <v>74</v>
      </c>
      <c r="D70" s="207">
        <f t="shared" si="1"/>
        <v>0</v>
      </c>
      <c r="E70" s="4">
        <v>238</v>
      </c>
      <c r="F70" s="4">
        <v>1</v>
      </c>
      <c r="G70" s="2" t="s">
        <v>824</v>
      </c>
    </row>
    <row r="71" spans="1:7" x14ac:dyDescent="0.2">
      <c r="A71" s="17">
        <v>239</v>
      </c>
      <c r="B71" s="17">
        <v>1</v>
      </c>
      <c r="C71" s="162" t="s">
        <v>1174</v>
      </c>
      <c r="D71" s="207">
        <f t="shared" si="1"/>
        <v>0</v>
      </c>
      <c r="E71" s="4">
        <v>239</v>
      </c>
      <c r="F71" s="4">
        <v>1</v>
      </c>
      <c r="G71" s="2" t="s">
        <v>825</v>
      </c>
    </row>
    <row r="72" spans="1:7" x14ac:dyDescent="0.2">
      <c r="A72" s="17">
        <v>241</v>
      </c>
      <c r="B72" s="17">
        <v>1</v>
      </c>
      <c r="C72" s="3" t="s">
        <v>76</v>
      </c>
      <c r="D72" s="207">
        <f t="shared" si="1"/>
        <v>0</v>
      </c>
      <c r="E72" s="4">
        <v>241</v>
      </c>
      <c r="F72" s="4">
        <v>1</v>
      </c>
      <c r="G72" s="2" t="s">
        <v>826</v>
      </c>
    </row>
    <row r="73" spans="1:7" x14ac:dyDescent="0.2">
      <c r="A73" s="17">
        <v>242</v>
      </c>
      <c r="B73" s="17">
        <v>1</v>
      </c>
      <c r="C73" s="162" t="s">
        <v>1175</v>
      </c>
      <c r="D73" s="207">
        <f t="shared" si="1"/>
        <v>0</v>
      </c>
      <c r="E73" s="4">
        <v>242</v>
      </c>
      <c r="F73" s="4">
        <v>1</v>
      </c>
      <c r="G73" s="2" t="s">
        <v>827</v>
      </c>
    </row>
    <row r="74" spans="1:7" x14ac:dyDescent="0.2">
      <c r="A74" s="17">
        <v>252</v>
      </c>
      <c r="B74" s="17">
        <v>1</v>
      </c>
      <c r="C74" s="3" t="s">
        <v>78</v>
      </c>
      <c r="D74" s="207">
        <f t="shared" si="1"/>
        <v>0</v>
      </c>
      <c r="E74" s="4">
        <v>252</v>
      </c>
      <c r="F74" s="4">
        <v>1</v>
      </c>
      <c r="G74" s="2" t="s">
        <v>828</v>
      </c>
    </row>
    <row r="75" spans="1:7" x14ac:dyDescent="0.2">
      <c r="A75" s="17">
        <v>253</v>
      </c>
      <c r="B75" s="17">
        <v>1</v>
      </c>
      <c r="C75" s="3" t="s">
        <v>79</v>
      </c>
      <c r="D75" s="207">
        <f t="shared" si="1"/>
        <v>0</v>
      </c>
      <c r="E75" s="4">
        <v>253</v>
      </c>
      <c r="F75" s="4">
        <v>1</v>
      </c>
      <c r="G75" s="2" t="s">
        <v>829</v>
      </c>
    </row>
    <row r="76" spans="1:7" x14ac:dyDescent="0.2">
      <c r="A76" s="17">
        <v>255</v>
      </c>
      <c r="B76" s="17">
        <v>1</v>
      </c>
      <c r="C76" s="3" t="s">
        <v>80</v>
      </c>
      <c r="D76" s="207">
        <f t="shared" si="1"/>
        <v>0</v>
      </c>
      <c r="E76" s="4">
        <v>255</v>
      </c>
      <c r="F76" s="4">
        <v>1</v>
      </c>
      <c r="G76" s="2" t="s">
        <v>830</v>
      </c>
    </row>
    <row r="77" spans="1:7" x14ac:dyDescent="0.2">
      <c r="A77" s="17">
        <v>256</v>
      </c>
      <c r="B77" s="17">
        <v>1</v>
      </c>
      <c r="C77" s="3" t="s">
        <v>81</v>
      </c>
      <c r="D77" s="207">
        <f t="shared" si="1"/>
        <v>0</v>
      </c>
      <c r="E77" s="4">
        <v>256</v>
      </c>
      <c r="F77" s="4">
        <v>1</v>
      </c>
      <c r="G77" s="2" t="s">
        <v>831</v>
      </c>
    </row>
    <row r="78" spans="1:7" x14ac:dyDescent="0.2">
      <c r="A78" s="17">
        <v>261</v>
      </c>
      <c r="B78" s="17">
        <v>1</v>
      </c>
      <c r="C78" s="3" t="s">
        <v>82</v>
      </c>
      <c r="D78" s="207">
        <f t="shared" si="1"/>
        <v>0</v>
      </c>
      <c r="E78" s="4">
        <v>261</v>
      </c>
      <c r="F78" s="4">
        <v>1</v>
      </c>
      <c r="G78" s="2" t="s">
        <v>832</v>
      </c>
    </row>
    <row r="79" spans="1:7" x14ac:dyDescent="0.2">
      <c r="A79" s="17">
        <v>264</v>
      </c>
      <c r="B79" s="17">
        <v>1</v>
      </c>
      <c r="C79" s="3" t="s">
        <v>83</v>
      </c>
      <c r="D79" s="207">
        <f t="shared" si="1"/>
        <v>0</v>
      </c>
      <c r="E79" s="4">
        <v>264</v>
      </c>
      <c r="F79" s="4">
        <v>1</v>
      </c>
      <c r="G79" s="2" t="s">
        <v>833</v>
      </c>
    </row>
    <row r="80" spans="1:7" x14ac:dyDescent="0.2">
      <c r="A80" s="17">
        <v>270</v>
      </c>
      <c r="B80" s="17">
        <v>1</v>
      </c>
      <c r="C80" s="3" t="s">
        <v>84</v>
      </c>
      <c r="D80" s="207">
        <f t="shared" si="1"/>
        <v>0</v>
      </c>
      <c r="E80" s="4">
        <v>270</v>
      </c>
      <c r="F80" s="4">
        <v>1</v>
      </c>
      <c r="G80" s="2" t="s">
        <v>834</v>
      </c>
    </row>
    <row r="81" spans="1:7" x14ac:dyDescent="0.2">
      <c r="A81" s="17">
        <v>271</v>
      </c>
      <c r="B81" s="17">
        <v>1</v>
      </c>
      <c r="C81" s="3" t="s">
        <v>85</v>
      </c>
      <c r="D81" s="207">
        <f t="shared" si="1"/>
        <v>0</v>
      </c>
      <c r="E81" s="4">
        <v>271</v>
      </c>
      <c r="F81" s="4">
        <v>1</v>
      </c>
      <c r="G81" s="2" t="s">
        <v>835</v>
      </c>
    </row>
    <row r="82" spans="1:7" x14ac:dyDescent="0.2">
      <c r="A82" s="17">
        <v>272</v>
      </c>
      <c r="B82" s="17">
        <v>1</v>
      </c>
      <c r="C82" s="3" t="s">
        <v>86</v>
      </c>
      <c r="D82" s="207">
        <f t="shared" si="1"/>
        <v>0</v>
      </c>
      <c r="E82" s="4">
        <v>272</v>
      </c>
      <c r="F82" s="4">
        <v>1</v>
      </c>
      <c r="G82" s="2" t="s">
        <v>836</v>
      </c>
    </row>
    <row r="83" spans="1:7" x14ac:dyDescent="0.2">
      <c r="A83" s="17">
        <v>273</v>
      </c>
      <c r="B83" s="17">
        <v>1</v>
      </c>
      <c r="C83" s="3" t="s">
        <v>87</v>
      </c>
      <c r="D83" s="207">
        <f t="shared" si="1"/>
        <v>0</v>
      </c>
      <c r="E83" s="4">
        <v>273</v>
      </c>
      <c r="F83" s="4">
        <v>1</v>
      </c>
      <c r="G83" s="2" t="s">
        <v>837</v>
      </c>
    </row>
    <row r="84" spans="1:7" x14ac:dyDescent="0.2">
      <c r="A84" s="17">
        <v>276</v>
      </c>
      <c r="B84" s="17">
        <v>1</v>
      </c>
      <c r="C84" s="3" t="s">
        <v>88</v>
      </c>
      <c r="D84" s="207">
        <f t="shared" si="1"/>
        <v>0</v>
      </c>
      <c r="E84" s="4">
        <v>276</v>
      </c>
      <c r="F84" s="4">
        <v>1</v>
      </c>
      <c r="G84" s="2" t="s">
        <v>838</v>
      </c>
    </row>
    <row r="85" spans="1:7" x14ac:dyDescent="0.2">
      <c r="A85" s="17">
        <v>277</v>
      </c>
      <c r="B85" s="17">
        <v>1</v>
      </c>
      <c r="C85" s="3" t="s">
        <v>89</v>
      </c>
      <c r="D85" s="207">
        <f t="shared" si="1"/>
        <v>0</v>
      </c>
      <c r="E85" s="4">
        <v>277</v>
      </c>
      <c r="F85" s="4">
        <v>1</v>
      </c>
      <c r="G85" s="2" t="s">
        <v>839</v>
      </c>
    </row>
    <row r="86" spans="1:7" x14ac:dyDescent="0.2">
      <c r="A86" s="17">
        <v>278</v>
      </c>
      <c r="B86" s="17">
        <v>1</v>
      </c>
      <c r="C86" s="3" t="s">
        <v>90</v>
      </c>
      <c r="D86" s="207">
        <f t="shared" si="1"/>
        <v>0</v>
      </c>
      <c r="E86" s="4">
        <v>278</v>
      </c>
      <c r="F86" s="4">
        <v>1</v>
      </c>
      <c r="G86" s="2" t="s">
        <v>840</v>
      </c>
    </row>
    <row r="87" spans="1:7" x14ac:dyDescent="0.2">
      <c r="A87" s="17">
        <v>279</v>
      </c>
      <c r="B87" s="17">
        <v>1</v>
      </c>
      <c r="C87" s="3" t="s">
        <v>91</v>
      </c>
      <c r="D87" s="207">
        <f t="shared" si="1"/>
        <v>0</v>
      </c>
      <c r="E87" s="4">
        <v>279</v>
      </c>
      <c r="F87" s="4">
        <v>1</v>
      </c>
      <c r="G87" s="2" t="s">
        <v>841</v>
      </c>
    </row>
    <row r="88" spans="1:7" x14ac:dyDescent="0.2">
      <c r="A88" s="17">
        <v>280</v>
      </c>
      <c r="B88" s="17">
        <v>1</v>
      </c>
      <c r="C88" s="3" t="s">
        <v>92</v>
      </c>
      <c r="D88" s="207">
        <f t="shared" si="1"/>
        <v>0</v>
      </c>
      <c r="E88" s="4">
        <v>280</v>
      </c>
      <c r="F88" s="4">
        <v>1</v>
      </c>
      <c r="G88" s="2" t="s">
        <v>842</v>
      </c>
    </row>
    <row r="89" spans="1:7" x14ac:dyDescent="0.2">
      <c r="A89" s="17">
        <v>281</v>
      </c>
      <c r="B89" s="17">
        <v>1</v>
      </c>
      <c r="C89" s="3" t="s">
        <v>93</v>
      </c>
      <c r="D89" s="207">
        <f t="shared" si="1"/>
        <v>0</v>
      </c>
      <c r="E89" s="4">
        <v>281</v>
      </c>
      <c r="F89" s="4">
        <v>1</v>
      </c>
      <c r="G89" s="2" t="s">
        <v>843</v>
      </c>
    </row>
    <row r="90" spans="1:7" x14ac:dyDescent="0.2">
      <c r="A90" s="17">
        <v>282</v>
      </c>
      <c r="B90" s="17">
        <v>1</v>
      </c>
      <c r="C90" s="162" t="s">
        <v>1176</v>
      </c>
      <c r="D90" s="207">
        <f t="shared" si="1"/>
        <v>0</v>
      </c>
      <c r="E90" s="4">
        <v>282</v>
      </c>
      <c r="F90" s="4">
        <v>1</v>
      </c>
      <c r="G90" s="2" t="s">
        <v>844</v>
      </c>
    </row>
    <row r="91" spans="1:7" x14ac:dyDescent="0.2">
      <c r="A91" s="17">
        <v>283</v>
      </c>
      <c r="B91" s="17">
        <v>1</v>
      </c>
      <c r="C91" s="3" t="s">
        <v>95</v>
      </c>
      <c r="D91" s="207">
        <f t="shared" si="1"/>
        <v>0</v>
      </c>
      <c r="E91" s="4">
        <v>283</v>
      </c>
      <c r="F91" s="4">
        <v>1</v>
      </c>
      <c r="G91" s="2" t="s">
        <v>845</v>
      </c>
    </row>
    <row r="92" spans="1:7" x14ac:dyDescent="0.2">
      <c r="A92" s="17">
        <v>284</v>
      </c>
      <c r="B92" s="17">
        <v>1</v>
      </c>
      <c r="C92" s="3" t="s">
        <v>96</v>
      </c>
      <c r="D92" s="207">
        <f t="shared" si="1"/>
        <v>0</v>
      </c>
      <c r="E92" s="4">
        <v>284</v>
      </c>
      <c r="F92" s="4">
        <v>1</v>
      </c>
      <c r="G92" s="2" t="s">
        <v>846</v>
      </c>
    </row>
    <row r="93" spans="1:7" x14ac:dyDescent="0.2">
      <c r="A93" s="17">
        <v>286</v>
      </c>
      <c r="B93" s="17">
        <v>1</v>
      </c>
      <c r="C93" s="3" t="s">
        <v>97</v>
      </c>
      <c r="D93" s="207">
        <f t="shared" si="1"/>
        <v>0</v>
      </c>
      <c r="E93" s="4">
        <v>286</v>
      </c>
      <c r="F93" s="4">
        <v>1</v>
      </c>
      <c r="G93" s="2" t="s">
        <v>847</v>
      </c>
    </row>
    <row r="94" spans="1:7" x14ac:dyDescent="0.2">
      <c r="A94" s="17">
        <v>294</v>
      </c>
      <c r="B94" s="17">
        <v>1</v>
      </c>
      <c r="C94" s="3" t="s">
        <v>98</v>
      </c>
      <c r="D94" s="207">
        <f t="shared" si="1"/>
        <v>0</v>
      </c>
      <c r="E94" s="4">
        <v>294</v>
      </c>
      <c r="F94" s="4">
        <v>1</v>
      </c>
      <c r="G94" s="2" t="s">
        <v>848</v>
      </c>
    </row>
    <row r="95" spans="1:7" x14ac:dyDescent="0.2">
      <c r="A95" s="17">
        <v>297</v>
      </c>
      <c r="B95" s="17">
        <v>1</v>
      </c>
      <c r="C95" s="3" t="s">
        <v>99</v>
      </c>
      <c r="D95" s="207">
        <f t="shared" si="1"/>
        <v>0</v>
      </c>
      <c r="E95" s="4">
        <v>297</v>
      </c>
      <c r="F95" s="4">
        <v>1</v>
      </c>
      <c r="G95" s="2" t="s">
        <v>849</v>
      </c>
    </row>
    <row r="96" spans="1:7" x14ac:dyDescent="0.2">
      <c r="A96" s="17">
        <v>299</v>
      </c>
      <c r="B96" s="17">
        <v>1</v>
      </c>
      <c r="C96" s="3" t="s">
        <v>100</v>
      </c>
      <c r="D96" s="207">
        <f t="shared" si="1"/>
        <v>0</v>
      </c>
      <c r="E96" s="4">
        <v>299</v>
      </c>
      <c r="F96" s="4">
        <v>1</v>
      </c>
      <c r="G96" s="2" t="s">
        <v>850</v>
      </c>
    </row>
    <row r="97" spans="1:7" x14ac:dyDescent="0.2">
      <c r="A97" s="17">
        <v>300</v>
      </c>
      <c r="B97" s="17">
        <v>1</v>
      </c>
      <c r="C97" s="3" t="s">
        <v>101</v>
      </c>
      <c r="D97" s="207">
        <f t="shared" si="1"/>
        <v>0</v>
      </c>
      <c r="E97" s="4">
        <v>300</v>
      </c>
      <c r="F97" s="4">
        <v>1</v>
      </c>
      <c r="G97" s="2" t="s">
        <v>851</v>
      </c>
    </row>
    <row r="98" spans="1:7" x14ac:dyDescent="0.2">
      <c r="A98" s="17">
        <v>306</v>
      </c>
      <c r="B98" s="17">
        <v>1</v>
      </c>
      <c r="C98" s="3" t="s">
        <v>102</v>
      </c>
      <c r="D98" s="207">
        <f t="shared" si="1"/>
        <v>0</v>
      </c>
      <c r="E98" s="4">
        <v>306</v>
      </c>
      <c r="F98" s="4">
        <v>1</v>
      </c>
      <c r="G98" s="2" t="s">
        <v>852</v>
      </c>
    </row>
    <row r="99" spans="1:7" x14ac:dyDescent="0.2">
      <c r="A99" s="17">
        <v>308</v>
      </c>
      <c r="B99" s="17">
        <v>1</v>
      </c>
      <c r="C99" s="3" t="s">
        <v>103</v>
      </c>
      <c r="D99" s="207">
        <f t="shared" si="1"/>
        <v>0</v>
      </c>
      <c r="E99" s="4">
        <v>308</v>
      </c>
      <c r="F99" s="4">
        <v>1</v>
      </c>
      <c r="G99" s="2" t="s">
        <v>853</v>
      </c>
    </row>
    <row r="100" spans="1:7" x14ac:dyDescent="0.2">
      <c r="A100" s="17">
        <v>309</v>
      </c>
      <c r="B100" s="17">
        <v>1</v>
      </c>
      <c r="C100" s="3" t="s">
        <v>104</v>
      </c>
      <c r="D100" s="207">
        <f t="shared" si="1"/>
        <v>0</v>
      </c>
      <c r="E100" s="4">
        <v>309</v>
      </c>
      <c r="F100" s="4">
        <v>1</v>
      </c>
      <c r="G100" s="2" t="s">
        <v>854</v>
      </c>
    </row>
    <row r="101" spans="1:7" x14ac:dyDescent="0.2">
      <c r="A101" s="17">
        <v>314</v>
      </c>
      <c r="B101" s="17">
        <v>1</v>
      </c>
      <c r="C101" s="3" t="s">
        <v>105</v>
      </c>
      <c r="D101" s="207">
        <f t="shared" si="1"/>
        <v>0</v>
      </c>
      <c r="E101" s="4">
        <v>314</v>
      </c>
      <c r="F101" s="4">
        <v>1</v>
      </c>
      <c r="G101" s="2" t="s">
        <v>855</v>
      </c>
    </row>
    <row r="102" spans="1:7" x14ac:dyDescent="0.2">
      <c r="A102" s="17">
        <v>316</v>
      </c>
      <c r="B102" s="17">
        <v>1</v>
      </c>
      <c r="C102" s="3" t="s">
        <v>106</v>
      </c>
      <c r="D102" s="207">
        <f t="shared" si="1"/>
        <v>0</v>
      </c>
      <c r="E102" s="4">
        <v>316</v>
      </c>
      <c r="F102" s="4">
        <v>1</v>
      </c>
      <c r="G102" s="2" t="s">
        <v>856</v>
      </c>
    </row>
    <row r="103" spans="1:7" x14ac:dyDescent="0.2">
      <c r="A103" s="17">
        <v>317</v>
      </c>
      <c r="B103" s="17">
        <v>1</v>
      </c>
      <c r="C103" s="3" t="s">
        <v>107</v>
      </c>
      <c r="D103" s="207">
        <f t="shared" si="1"/>
        <v>0</v>
      </c>
      <c r="E103" s="4">
        <v>317</v>
      </c>
      <c r="F103" s="4">
        <v>1</v>
      </c>
      <c r="G103" s="2" t="s">
        <v>857</v>
      </c>
    </row>
    <row r="104" spans="1:7" x14ac:dyDescent="0.2">
      <c r="A104" s="17">
        <v>318</v>
      </c>
      <c r="B104" s="17">
        <v>1</v>
      </c>
      <c r="C104" s="3" t="s">
        <v>108</v>
      </c>
      <c r="D104" s="207">
        <f t="shared" si="1"/>
        <v>0</v>
      </c>
      <c r="E104" s="4">
        <v>318</v>
      </c>
      <c r="F104" s="4">
        <v>1</v>
      </c>
      <c r="G104" s="2" t="s">
        <v>858</v>
      </c>
    </row>
    <row r="105" spans="1:7" x14ac:dyDescent="0.2">
      <c r="A105" s="17">
        <v>319</v>
      </c>
      <c r="B105" s="17">
        <v>1</v>
      </c>
      <c r="C105" s="162" t="s">
        <v>1177</v>
      </c>
      <c r="D105" s="207">
        <f t="shared" si="1"/>
        <v>0</v>
      </c>
      <c r="E105" s="4">
        <v>319</v>
      </c>
      <c r="F105" s="4">
        <v>1</v>
      </c>
      <c r="G105" s="2" t="s">
        <v>859</v>
      </c>
    </row>
    <row r="106" spans="1:7" x14ac:dyDescent="0.2">
      <c r="A106" s="17">
        <v>323</v>
      </c>
      <c r="B106" s="17">
        <v>2</v>
      </c>
      <c r="C106" s="3" t="s">
        <v>110</v>
      </c>
      <c r="D106" s="207">
        <f t="shared" si="1"/>
        <v>0</v>
      </c>
      <c r="E106" s="4">
        <v>323</v>
      </c>
      <c r="F106" s="4">
        <v>2</v>
      </c>
      <c r="G106" s="2" t="s">
        <v>860</v>
      </c>
    </row>
    <row r="107" spans="1:7" x14ac:dyDescent="0.2">
      <c r="A107" s="17">
        <v>330</v>
      </c>
      <c r="B107" s="17">
        <v>1</v>
      </c>
      <c r="C107" s="162" t="s">
        <v>1178</v>
      </c>
      <c r="D107" s="207">
        <f t="shared" si="1"/>
        <v>0</v>
      </c>
      <c r="E107" s="4">
        <v>330</v>
      </c>
      <c r="F107" s="4">
        <v>1</v>
      </c>
      <c r="G107" s="2" t="s">
        <v>861</v>
      </c>
    </row>
    <row r="108" spans="1:7" x14ac:dyDescent="0.2">
      <c r="A108" s="17">
        <v>332</v>
      </c>
      <c r="B108" s="17">
        <v>1</v>
      </c>
      <c r="C108" s="3" t="s">
        <v>112</v>
      </c>
      <c r="D108" s="207">
        <f t="shared" si="1"/>
        <v>0</v>
      </c>
      <c r="E108" s="4">
        <v>332</v>
      </c>
      <c r="F108" s="4">
        <v>1</v>
      </c>
      <c r="G108" s="2" t="s">
        <v>862</v>
      </c>
    </row>
    <row r="109" spans="1:7" x14ac:dyDescent="0.2">
      <c r="A109" s="17">
        <v>333</v>
      </c>
      <c r="B109" s="17">
        <v>1</v>
      </c>
      <c r="C109" s="3" t="s">
        <v>113</v>
      </c>
      <c r="D109" s="207">
        <f t="shared" si="1"/>
        <v>0</v>
      </c>
      <c r="E109" s="4">
        <v>333</v>
      </c>
      <c r="F109" s="4">
        <v>1</v>
      </c>
      <c r="G109" s="2" t="s">
        <v>863</v>
      </c>
    </row>
    <row r="110" spans="1:7" x14ac:dyDescent="0.2">
      <c r="A110" s="17">
        <v>345</v>
      </c>
      <c r="B110" s="17">
        <v>1</v>
      </c>
      <c r="C110" s="162" t="s">
        <v>1179</v>
      </c>
      <c r="D110" s="207">
        <f t="shared" si="1"/>
        <v>0</v>
      </c>
      <c r="E110" s="4">
        <v>345</v>
      </c>
      <c r="F110" s="4">
        <v>1</v>
      </c>
      <c r="G110" s="2" t="s">
        <v>864</v>
      </c>
    </row>
    <row r="111" spans="1:7" x14ac:dyDescent="0.2">
      <c r="A111" s="17">
        <v>347</v>
      </c>
      <c r="B111" s="17">
        <v>1</v>
      </c>
      <c r="C111" s="3" t="s">
        <v>115</v>
      </c>
      <c r="D111" s="207">
        <f t="shared" si="1"/>
        <v>0</v>
      </c>
      <c r="E111" s="4">
        <v>347</v>
      </c>
      <c r="F111" s="4">
        <v>1</v>
      </c>
      <c r="G111" s="2" t="s">
        <v>865</v>
      </c>
    </row>
    <row r="112" spans="1:7" x14ac:dyDescent="0.2">
      <c r="A112" s="17">
        <v>356</v>
      </c>
      <c r="B112" s="17">
        <v>1</v>
      </c>
      <c r="C112" s="3" t="s">
        <v>116</v>
      </c>
      <c r="D112" s="207">
        <f t="shared" si="1"/>
        <v>0</v>
      </c>
      <c r="E112" s="4">
        <v>356</v>
      </c>
      <c r="F112" s="4">
        <v>1</v>
      </c>
      <c r="G112" s="2" t="s">
        <v>866</v>
      </c>
    </row>
    <row r="113" spans="1:7" x14ac:dyDescent="0.2">
      <c r="A113" s="17">
        <v>361</v>
      </c>
      <c r="B113" s="17">
        <v>1</v>
      </c>
      <c r="C113" s="162" t="s">
        <v>1180</v>
      </c>
      <c r="D113" s="207">
        <f t="shared" si="1"/>
        <v>0</v>
      </c>
      <c r="E113" s="4">
        <v>361</v>
      </c>
      <c r="F113" s="4">
        <v>1</v>
      </c>
      <c r="G113" s="2" t="s">
        <v>867</v>
      </c>
    </row>
    <row r="114" spans="1:7" x14ac:dyDescent="0.2">
      <c r="A114" s="17">
        <v>362</v>
      </c>
      <c r="B114" s="17">
        <v>1</v>
      </c>
      <c r="C114" s="162" t="s">
        <v>1181</v>
      </c>
      <c r="D114" s="207">
        <f t="shared" si="1"/>
        <v>0</v>
      </c>
      <c r="E114" s="4">
        <v>362</v>
      </c>
      <c r="F114" s="4">
        <v>1</v>
      </c>
      <c r="G114" s="2" t="s">
        <v>868</v>
      </c>
    </row>
    <row r="115" spans="1:7" x14ac:dyDescent="0.2">
      <c r="A115" s="17">
        <v>363</v>
      </c>
      <c r="B115" s="17">
        <v>1</v>
      </c>
      <c r="C115" s="162" t="s">
        <v>1182</v>
      </c>
      <c r="D115" s="207">
        <f t="shared" si="1"/>
        <v>0</v>
      </c>
      <c r="E115" s="4">
        <v>363</v>
      </c>
      <c r="F115" s="4">
        <v>1</v>
      </c>
      <c r="G115" s="2" t="s">
        <v>869</v>
      </c>
    </row>
    <row r="116" spans="1:7" x14ac:dyDescent="0.2">
      <c r="A116" s="17">
        <v>378</v>
      </c>
      <c r="B116" s="17">
        <v>1</v>
      </c>
      <c r="C116" s="3" t="s">
        <v>120</v>
      </c>
      <c r="D116" s="207">
        <f t="shared" si="1"/>
        <v>0</v>
      </c>
      <c r="E116" s="4">
        <v>378</v>
      </c>
      <c r="F116" s="4">
        <v>1</v>
      </c>
      <c r="G116" s="2" t="s">
        <v>870</v>
      </c>
    </row>
    <row r="117" spans="1:7" x14ac:dyDescent="0.2">
      <c r="A117" s="17">
        <v>381</v>
      </c>
      <c r="B117" s="17">
        <v>1</v>
      </c>
      <c r="C117" s="3" t="s">
        <v>121</v>
      </c>
      <c r="D117" s="207">
        <f t="shared" si="1"/>
        <v>0</v>
      </c>
      <c r="E117" s="4">
        <v>381</v>
      </c>
      <c r="F117" s="4">
        <v>1</v>
      </c>
      <c r="G117" s="2" t="s">
        <v>871</v>
      </c>
    </row>
    <row r="118" spans="1:7" x14ac:dyDescent="0.2">
      <c r="A118" s="17">
        <v>390</v>
      </c>
      <c r="B118" s="17">
        <v>1</v>
      </c>
      <c r="C118" s="162" t="s">
        <v>1183</v>
      </c>
      <c r="D118" s="207">
        <f t="shared" si="1"/>
        <v>0</v>
      </c>
      <c r="E118" s="4">
        <v>390</v>
      </c>
      <c r="F118" s="4">
        <v>1</v>
      </c>
      <c r="G118" s="2" t="s">
        <v>872</v>
      </c>
    </row>
    <row r="119" spans="1:7" x14ac:dyDescent="0.2">
      <c r="A119" s="17">
        <v>391</v>
      </c>
      <c r="B119" s="17">
        <v>1</v>
      </c>
      <c r="C119" s="3" t="s">
        <v>123</v>
      </c>
      <c r="D119" s="207">
        <f t="shared" si="1"/>
        <v>0</v>
      </c>
      <c r="E119" s="4">
        <v>391</v>
      </c>
      <c r="F119" s="4">
        <v>1</v>
      </c>
      <c r="G119" s="2" t="s">
        <v>873</v>
      </c>
    </row>
    <row r="120" spans="1:7" x14ac:dyDescent="0.2">
      <c r="A120" s="17">
        <v>402</v>
      </c>
      <c r="B120" s="17">
        <v>1</v>
      </c>
      <c r="C120" s="3" t="s">
        <v>124</v>
      </c>
      <c r="D120" s="207">
        <f t="shared" si="1"/>
        <v>0</v>
      </c>
      <c r="E120" s="4">
        <v>402</v>
      </c>
      <c r="F120" s="4">
        <v>1</v>
      </c>
      <c r="G120" s="2" t="s">
        <v>874</v>
      </c>
    </row>
    <row r="121" spans="1:7" x14ac:dyDescent="0.2">
      <c r="A121" s="17">
        <v>403</v>
      </c>
      <c r="B121" s="17">
        <v>1</v>
      </c>
      <c r="C121" s="3" t="s">
        <v>125</v>
      </c>
      <c r="D121" s="207">
        <f t="shared" si="1"/>
        <v>0</v>
      </c>
      <c r="E121" s="4">
        <v>403</v>
      </c>
      <c r="F121" s="4">
        <v>1</v>
      </c>
      <c r="G121" s="2" t="s">
        <v>875</v>
      </c>
    </row>
    <row r="122" spans="1:7" x14ac:dyDescent="0.2">
      <c r="A122" s="17">
        <v>404</v>
      </c>
      <c r="B122" s="17">
        <v>1</v>
      </c>
      <c r="C122" s="3" t="s">
        <v>126</v>
      </c>
      <c r="D122" s="207">
        <f t="shared" si="1"/>
        <v>0</v>
      </c>
      <c r="E122" s="4">
        <v>404</v>
      </c>
      <c r="F122" s="4">
        <v>1</v>
      </c>
      <c r="G122" s="2" t="s">
        <v>876</v>
      </c>
    </row>
    <row r="123" spans="1:7" x14ac:dyDescent="0.2">
      <c r="A123" s="17">
        <v>413</v>
      </c>
      <c r="B123" s="17">
        <v>1</v>
      </c>
      <c r="C123" s="3" t="s">
        <v>127</v>
      </c>
      <c r="D123" s="207">
        <f t="shared" si="1"/>
        <v>0</v>
      </c>
      <c r="E123" s="4">
        <v>413</v>
      </c>
      <c r="F123" s="4">
        <v>1</v>
      </c>
      <c r="G123" s="2" t="s">
        <v>877</v>
      </c>
    </row>
    <row r="124" spans="1:7" x14ac:dyDescent="0.2">
      <c r="A124" s="17">
        <v>414</v>
      </c>
      <c r="B124" s="17">
        <v>1</v>
      </c>
      <c r="C124" s="3" t="s">
        <v>128</v>
      </c>
      <c r="D124" s="207">
        <f t="shared" si="1"/>
        <v>0</v>
      </c>
      <c r="E124" s="4">
        <v>414</v>
      </c>
      <c r="F124" s="4">
        <v>1</v>
      </c>
      <c r="G124" s="2" t="s">
        <v>878</v>
      </c>
    </row>
    <row r="125" spans="1:7" x14ac:dyDescent="0.2">
      <c r="A125" s="17">
        <v>415</v>
      </c>
      <c r="B125" s="17">
        <v>1</v>
      </c>
      <c r="C125" s="3" t="s">
        <v>129</v>
      </c>
      <c r="D125" s="207">
        <f t="shared" si="1"/>
        <v>0</v>
      </c>
      <c r="E125" s="4">
        <v>415</v>
      </c>
      <c r="F125" s="4">
        <v>1</v>
      </c>
      <c r="G125" s="2" t="s">
        <v>879</v>
      </c>
    </row>
    <row r="126" spans="1:7" x14ac:dyDescent="0.2">
      <c r="A126" s="17">
        <v>423</v>
      </c>
      <c r="B126" s="17">
        <v>1</v>
      </c>
      <c r="C126" s="3" t="s">
        <v>130</v>
      </c>
      <c r="D126" s="207">
        <f t="shared" si="1"/>
        <v>0</v>
      </c>
      <c r="E126" s="4">
        <v>423</v>
      </c>
      <c r="F126" s="4">
        <v>1</v>
      </c>
      <c r="G126" s="2" t="s">
        <v>880</v>
      </c>
    </row>
    <row r="127" spans="1:7" x14ac:dyDescent="0.2">
      <c r="A127" s="17">
        <v>424</v>
      </c>
      <c r="B127" s="17">
        <v>1</v>
      </c>
      <c r="C127" s="3" t="s">
        <v>131</v>
      </c>
      <c r="D127" s="207">
        <f t="shared" si="1"/>
        <v>0</v>
      </c>
      <c r="E127" s="4">
        <v>424</v>
      </c>
      <c r="F127" s="4">
        <v>1</v>
      </c>
      <c r="G127" s="2" t="s">
        <v>881</v>
      </c>
    </row>
    <row r="128" spans="1:7" x14ac:dyDescent="0.2">
      <c r="A128" s="17">
        <v>432</v>
      </c>
      <c r="B128" s="17">
        <v>1</v>
      </c>
      <c r="C128" s="3" t="s">
        <v>132</v>
      </c>
      <c r="D128" s="207">
        <f t="shared" si="1"/>
        <v>0</v>
      </c>
      <c r="E128" s="4">
        <v>432</v>
      </c>
      <c r="F128" s="4">
        <v>1</v>
      </c>
      <c r="G128" s="2" t="s">
        <v>882</v>
      </c>
    </row>
    <row r="129" spans="1:7" x14ac:dyDescent="0.2">
      <c r="A129" s="17">
        <v>435</v>
      </c>
      <c r="B129" s="17">
        <v>1</v>
      </c>
      <c r="C129" s="162" t="s">
        <v>1184</v>
      </c>
      <c r="D129" s="207">
        <f t="shared" si="1"/>
        <v>0</v>
      </c>
      <c r="E129" s="4">
        <v>435</v>
      </c>
      <c r="F129" s="4">
        <v>1</v>
      </c>
      <c r="G129" s="2" t="s">
        <v>883</v>
      </c>
    </row>
    <row r="130" spans="1:7" x14ac:dyDescent="0.2">
      <c r="A130" s="17">
        <v>441</v>
      </c>
      <c r="B130" s="17">
        <v>1</v>
      </c>
      <c r="C130" s="3" t="s">
        <v>134</v>
      </c>
      <c r="D130" s="207">
        <f t="shared" si="1"/>
        <v>0</v>
      </c>
      <c r="E130" s="4">
        <v>441</v>
      </c>
      <c r="F130" s="4">
        <v>1</v>
      </c>
      <c r="G130" s="2" t="s">
        <v>884</v>
      </c>
    </row>
    <row r="131" spans="1:7" x14ac:dyDescent="0.2">
      <c r="A131" s="17">
        <v>447</v>
      </c>
      <c r="B131" s="17">
        <v>1</v>
      </c>
      <c r="C131" s="3" t="s">
        <v>135</v>
      </c>
      <c r="D131" s="207">
        <f t="shared" ref="D131:D194" si="2">E131-A131</f>
        <v>0</v>
      </c>
      <c r="E131" s="4">
        <v>447</v>
      </c>
      <c r="F131" s="4">
        <v>1</v>
      </c>
      <c r="G131" s="2" t="s">
        <v>885</v>
      </c>
    </row>
    <row r="132" spans="1:7" x14ac:dyDescent="0.2">
      <c r="A132" s="17">
        <v>458</v>
      </c>
      <c r="B132" s="17">
        <v>1</v>
      </c>
      <c r="C132" s="3" t="s">
        <v>136</v>
      </c>
      <c r="D132" s="207">
        <f t="shared" si="2"/>
        <v>0</v>
      </c>
      <c r="E132" s="4">
        <v>458</v>
      </c>
      <c r="F132" s="4">
        <v>1</v>
      </c>
      <c r="G132" s="2" t="s">
        <v>886</v>
      </c>
    </row>
    <row r="133" spans="1:7" x14ac:dyDescent="0.2">
      <c r="A133" s="17">
        <v>463</v>
      </c>
      <c r="B133" s="17">
        <v>1</v>
      </c>
      <c r="C133" s="162" t="s">
        <v>1185</v>
      </c>
      <c r="D133" s="207">
        <f t="shared" si="2"/>
        <v>0</v>
      </c>
      <c r="E133" s="4">
        <v>463</v>
      </c>
      <c r="F133" s="4">
        <v>1</v>
      </c>
      <c r="G133" s="2" t="s">
        <v>887</v>
      </c>
    </row>
    <row r="134" spans="1:7" x14ac:dyDescent="0.2">
      <c r="A134" s="17">
        <v>465</v>
      </c>
      <c r="B134" s="17">
        <v>1</v>
      </c>
      <c r="C134" s="3" t="s">
        <v>138</v>
      </c>
      <c r="D134" s="207">
        <f t="shared" si="2"/>
        <v>0</v>
      </c>
      <c r="E134" s="4">
        <v>465</v>
      </c>
      <c r="F134" s="4">
        <v>1</v>
      </c>
      <c r="G134" s="2" t="s">
        <v>888</v>
      </c>
    </row>
    <row r="135" spans="1:7" x14ac:dyDescent="0.2">
      <c r="A135" s="17">
        <v>466</v>
      </c>
      <c r="B135" s="17">
        <v>1</v>
      </c>
      <c r="C135" s="3" t="s">
        <v>139</v>
      </c>
      <c r="D135" s="207">
        <f t="shared" si="2"/>
        <v>0</v>
      </c>
      <c r="E135" s="4">
        <v>466</v>
      </c>
      <c r="F135" s="4">
        <v>1</v>
      </c>
      <c r="G135" s="2" t="s">
        <v>889</v>
      </c>
    </row>
    <row r="136" spans="1:7" x14ac:dyDescent="0.2">
      <c r="A136" s="17">
        <v>473</v>
      </c>
      <c r="B136" s="17">
        <v>1</v>
      </c>
      <c r="C136" s="3" t="s">
        <v>140</v>
      </c>
      <c r="D136" s="207">
        <f t="shared" si="2"/>
        <v>0</v>
      </c>
      <c r="E136" s="4">
        <v>473</v>
      </c>
      <c r="F136" s="4">
        <v>1</v>
      </c>
      <c r="G136" s="2" t="s">
        <v>890</v>
      </c>
    </row>
    <row r="137" spans="1:7" x14ac:dyDescent="0.2">
      <c r="A137" s="17">
        <v>477</v>
      </c>
      <c r="B137" s="17">
        <v>1</v>
      </c>
      <c r="C137" s="3" t="s">
        <v>141</v>
      </c>
      <c r="D137" s="207">
        <f t="shared" si="2"/>
        <v>0</v>
      </c>
      <c r="E137" s="4">
        <v>477</v>
      </c>
      <c r="F137" s="4">
        <v>1</v>
      </c>
      <c r="G137" s="2" t="s">
        <v>891</v>
      </c>
    </row>
    <row r="138" spans="1:7" x14ac:dyDescent="0.2">
      <c r="A138" s="17">
        <v>480</v>
      </c>
      <c r="B138" s="17">
        <v>1</v>
      </c>
      <c r="C138" s="3" t="s">
        <v>142</v>
      </c>
      <c r="D138" s="207">
        <f t="shared" si="2"/>
        <v>0</v>
      </c>
      <c r="E138" s="4">
        <v>480</v>
      </c>
      <c r="F138" s="4">
        <v>1</v>
      </c>
      <c r="G138" s="2" t="s">
        <v>892</v>
      </c>
    </row>
    <row r="139" spans="1:7" x14ac:dyDescent="0.2">
      <c r="A139" s="17">
        <v>482</v>
      </c>
      <c r="B139" s="17">
        <v>1</v>
      </c>
      <c r="C139" s="3" t="s">
        <v>143</v>
      </c>
      <c r="D139" s="207">
        <f t="shared" si="2"/>
        <v>0</v>
      </c>
      <c r="E139" s="4">
        <v>482</v>
      </c>
      <c r="F139" s="4">
        <v>1</v>
      </c>
      <c r="G139" s="2" t="s">
        <v>893</v>
      </c>
    </row>
    <row r="140" spans="1:7" x14ac:dyDescent="0.2">
      <c r="A140" s="17">
        <v>484</v>
      </c>
      <c r="B140" s="17">
        <v>1</v>
      </c>
      <c r="C140" s="3" t="s">
        <v>144</v>
      </c>
      <c r="D140" s="207">
        <f t="shared" si="2"/>
        <v>0</v>
      </c>
      <c r="E140" s="4">
        <v>484</v>
      </c>
      <c r="F140" s="4">
        <v>1</v>
      </c>
      <c r="G140" s="2" t="s">
        <v>894</v>
      </c>
    </row>
    <row r="141" spans="1:7" x14ac:dyDescent="0.2">
      <c r="A141" s="17">
        <v>485</v>
      </c>
      <c r="B141" s="17">
        <v>1</v>
      </c>
      <c r="C141" s="3" t="s">
        <v>145</v>
      </c>
      <c r="D141" s="207">
        <f t="shared" si="2"/>
        <v>0</v>
      </c>
      <c r="E141" s="4">
        <v>485</v>
      </c>
      <c r="F141" s="4">
        <v>1</v>
      </c>
      <c r="G141" s="2" t="s">
        <v>895</v>
      </c>
    </row>
    <row r="142" spans="1:7" x14ac:dyDescent="0.2">
      <c r="A142" s="17">
        <v>486</v>
      </c>
      <c r="B142" s="17">
        <v>1</v>
      </c>
      <c r="C142" s="3" t="s">
        <v>146</v>
      </c>
      <c r="D142" s="207">
        <f t="shared" si="2"/>
        <v>0</v>
      </c>
      <c r="E142" s="4">
        <v>486</v>
      </c>
      <c r="F142" s="4">
        <v>1</v>
      </c>
      <c r="G142" s="2" t="s">
        <v>896</v>
      </c>
    </row>
    <row r="143" spans="1:7" x14ac:dyDescent="0.2">
      <c r="A143" s="17">
        <v>487</v>
      </c>
      <c r="B143" s="17">
        <v>1</v>
      </c>
      <c r="C143" s="3" t="s">
        <v>147</v>
      </c>
      <c r="D143" s="207">
        <f t="shared" si="2"/>
        <v>0</v>
      </c>
      <c r="E143" s="4">
        <v>487</v>
      </c>
      <c r="F143" s="4">
        <v>1</v>
      </c>
      <c r="G143" s="2" t="s">
        <v>897</v>
      </c>
    </row>
    <row r="144" spans="1:7" x14ac:dyDescent="0.2">
      <c r="A144" s="17">
        <v>492</v>
      </c>
      <c r="B144" s="17">
        <v>1</v>
      </c>
      <c r="C144" s="3" t="s">
        <v>148</v>
      </c>
      <c r="D144" s="207">
        <f t="shared" si="2"/>
        <v>0</v>
      </c>
      <c r="E144" s="4">
        <v>492</v>
      </c>
      <c r="F144" s="4">
        <v>1</v>
      </c>
      <c r="G144" s="2" t="s">
        <v>898</v>
      </c>
    </row>
    <row r="145" spans="1:7" x14ac:dyDescent="0.2">
      <c r="A145" s="17">
        <v>495</v>
      </c>
      <c r="B145" s="17">
        <v>1</v>
      </c>
      <c r="C145" s="3" t="s">
        <v>149</v>
      </c>
      <c r="D145" s="207">
        <f t="shared" si="2"/>
        <v>0</v>
      </c>
      <c r="E145" s="4">
        <v>495</v>
      </c>
      <c r="F145" s="4">
        <v>1</v>
      </c>
      <c r="G145" s="2" t="s">
        <v>899</v>
      </c>
    </row>
    <row r="146" spans="1:7" x14ac:dyDescent="0.2">
      <c r="A146" s="17">
        <v>497</v>
      </c>
      <c r="B146" s="17">
        <v>1</v>
      </c>
      <c r="C146" s="3" t="s">
        <v>150</v>
      </c>
      <c r="D146" s="207">
        <f t="shared" si="2"/>
        <v>0</v>
      </c>
      <c r="E146" s="4">
        <v>497</v>
      </c>
      <c r="F146" s="4">
        <v>1</v>
      </c>
      <c r="G146" s="2" t="s">
        <v>900</v>
      </c>
    </row>
    <row r="147" spans="1:7" x14ac:dyDescent="0.2">
      <c r="A147" s="17">
        <v>499</v>
      </c>
      <c r="B147" s="17">
        <v>1</v>
      </c>
      <c r="C147" s="161" t="s">
        <v>1186</v>
      </c>
      <c r="D147" s="207">
        <f t="shared" si="2"/>
        <v>0</v>
      </c>
      <c r="E147" s="4">
        <v>499</v>
      </c>
      <c r="F147" s="4">
        <v>1</v>
      </c>
      <c r="G147" s="2" t="s">
        <v>901</v>
      </c>
    </row>
    <row r="148" spans="1:7" x14ac:dyDescent="0.2">
      <c r="A148" s="17">
        <v>500</v>
      </c>
      <c r="B148" s="17">
        <v>1</v>
      </c>
      <c r="C148" s="3" t="s">
        <v>152</v>
      </c>
      <c r="D148" s="207">
        <f t="shared" si="2"/>
        <v>0</v>
      </c>
      <c r="E148" s="4">
        <v>500</v>
      </c>
      <c r="F148" s="4">
        <v>1</v>
      </c>
      <c r="G148" s="2" t="s">
        <v>902</v>
      </c>
    </row>
    <row r="149" spans="1:7" x14ac:dyDescent="0.2">
      <c r="A149" s="17">
        <v>505</v>
      </c>
      <c r="B149" s="17">
        <v>1</v>
      </c>
      <c r="C149" s="3" t="s">
        <v>153</v>
      </c>
      <c r="D149" s="207">
        <f t="shared" si="2"/>
        <v>0</v>
      </c>
      <c r="E149" s="4">
        <v>505</v>
      </c>
      <c r="F149" s="4">
        <v>1</v>
      </c>
      <c r="G149" s="2" t="s">
        <v>903</v>
      </c>
    </row>
    <row r="150" spans="1:7" x14ac:dyDescent="0.2">
      <c r="A150" s="17">
        <v>507</v>
      </c>
      <c r="B150" s="17">
        <v>1</v>
      </c>
      <c r="C150" s="3" t="s">
        <v>154</v>
      </c>
      <c r="D150" s="207">
        <f t="shared" si="2"/>
        <v>0</v>
      </c>
      <c r="E150" s="4">
        <v>507</v>
      </c>
      <c r="F150" s="4">
        <v>1</v>
      </c>
      <c r="G150" s="2" t="s">
        <v>904</v>
      </c>
    </row>
    <row r="151" spans="1:7" x14ac:dyDescent="0.2">
      <c r="A151" s="17">
        <v>508</v>
      </c>
      <c r="B151" s="17">
        <v>1</v>
      </c>
      <c r="C151" s="3" t="s">
        <v>155</v>
      </c>
      <c r="D151" s="207">
        <f t="shared" si="2"/>
        <v>0</v>
      </c>
      <c r="E151" s="4">
        <v>508</v>
      </c>
      <c r="F151" s="4">
        <v>1</v>
      </c>
      <c r="G151" s="2" t="s">
        <v>905</v>
      </c>
    </row>
    <row r="152" spans="1:7" x14ac:dyDescent="0.2">
      <c r="A152" s="17">
        <v>511</v>
      </c>
      <c r="B152" s="17">
        <v>1</v>
      </c>
      <c r="C152" s="3" t="s">
        <v>156</v>
      </c>
      <c r="D152" s="207">
        <f t="shared" si="2"/>
        <v>0</v>
      </c>
      <c r="E152" s="4">
        <v>511</v>
      </c>
      <c r="F152" s="4">
        <v>1</v>
      </c>
      <c r="G152" s="2" t="s">
        <v>906</v>
      </c>
    </row>
    <row r="153" spans="1:7" x14ac:dyDescent="0.2">
      <c r="A153" s="17">
        <v>514</v>
      </c>
      <c r="B153" s="17">
        <v>1</v>
      </c>
      <c r="C153" s="3" t="s">
        <v>158</v>
      </c>
      <c r="D153" s="207">
        <f t="shared" si="2"/>
        <v>0</v>
      </c>
      <c r="E153" s="4">
        <v>514</v>
      </c>
      <c r="F153" s="4">
        <v>1</v>
      </c>
      <c r="G153" s="2" t="s">
        <v>907</v>
      </c>
    </row>
    <row r="154" spans="1:7" x14ac:dyDescent="0.2">
      <c r="A154" s="17">
        <v>518</v>
      </c>
      <c r="B154" s="17">
        <v>1</v>
      </c>
      <c r="C154" s="3" t="s">
        <v>160</v>
      </c>
      <c r="D154" s="207">
        <f t="shared" si="2"/>
        <v>0</v>
      </c>
      <c r="E154" s="4">
        <v>518</v>
      </c>
      <c r="F154" s="4">
        <v>1</v>
      </c>
      <c r="G154" s="2" t="s">
        <v>908</v>
      </c>
    </row>
    <row r="155" spans="1:7" x14ac:dyDescent="0.2">
      <c r="A155" s="17">
        <v>531</v>
      </c>
      <c r="B155" s="17">
        <v>1</v>
      </c>
      <c r="C155" s="3" t="s">
        <v>161</v>
      </c>
      <c r="D155" s="207">
        <f t="shared" si="2"/>
        <v>0</v>
      </c>
      <c r="E155" s="4">
        <v>531</v>
      </c>
      <c r="F155" s="4">
        <v>1</v>
      </c>
      <c r="G155" s="2" t="s">
        <v>909</v>
      </c>
    </row>
    <row r="156" spans="1:7" x14ac:dyDescent="0.2">
      <c r="A156" s="17">
        <v>533</v>
      </c>
      <c r="B156" s="17">
        <v>1</v>
      </c>
      <c r="C156" s="3" t="s">
        <v>162</v>
      </c>
      <c r="D156" s="207">
        <f t="shared" si="2"/>
        <v>0</v>
      </c>
      <c r="E156" s="4">
        <v>533</v>
      </c>
      <c r="F156" s="4">
        <v>1</v>
      </c>
      <c r="G156" s="2" t="s">
        <v>910</v>
      </c>
    </row>
    <row r="157" spans="1:7" x14ac:dyDescent="0.2">
      <c r="A157" s="17">
        <v>534</v>
      </c>
      <c r="B157" s="17">
        <v>1</v>
      </c>
      <c r="C157" s="3" t="s">
        <v>163</v>
      </c>
      <c r="D157" s="207">
        <f t="shared" si="2"/>
        <v>0</v>
      </c>
      <c r="E157" s="4">
        <v>534</v>
      </c>
      <c r="F157" s="4">
        <v>1</v>
      </c>
      <c r="G157" s="2" t="s">
        <v>911</v>
      </c>
    </row>
    <row r="158" spans="1:7" x14ac:dyDescent="0.2">
      <c r="A158" s="17">
        <v>535</v>
      </c>
      <c r="B158" s="17">
        <v>1</v>
      </c>
      <c r="C158" s="3" t="s">
        <v>164</v>
      </c>
      <c r="D158" s="207">
        <f t="shared" si="2"/>
        <v>0</v>
      </c>
      <c r="E158" s="4">
        <v>535</v>
      </c>
      <c r="F158" s="4">
        <v>1</v>
      </c>
      <c r="G158" s="2" t="s">
        <v>912</v>
      </c>
    </row>
    <row r="159" spans="1:7" x14ac:dyDescent="0.2">
      <c r="A159" s="17">
        <v>542</v>
      </c>
      <c r="B159" s="17">
        <v>1</v>
      </c>
      <c r="C159" s="3" t="s">
        <v>165</v>
      </c>
      <c r="D159" s="207">
        <f t="shared" si="2"/>
        <v>0</v>
      </c>
      <c r="E159" s="4">
        <v>542</v>
      </c>
      <c r="F159" s="4">
        <v>1</v>
      </c>
      <c r="G159" s="2" t="s">
        <v>913</v>
      </c>
    </row>
    <row r="160" spans="1:7" x14ac:dyDescent="0.2">
      <c r="A160" s="17">
        <v>544</v>
      </c>
      <c r="B160" s="17">
        <v>1</v>
      </c>
      <c r="C160" s="3" t="s">
        <v>166</v>
      </c>
      <c r="D160" s="207">
        <f t="shared" si="2"/>
        <v>0</v>
      </c>
      <c r="E160" s="4">
        <v>544</v>
      </c>
      <c r="F160" s="4">
        <v>1</v>
      </c>
      <c r="G160" s="2" t="s">
        <v>914</v>
      </c>
    </row>
    <row r="161" spans="1:7" x14ac:dyDescent="0.2">
      <c r="A161" s="17">
        <v>545</v>
      </c>
      <c r="B161" s="17">
        <v>1</v>
      </c>
      <c r="C161" s="3" t="s">
        <v>167</v>
      </c>
      <c r="D161" s="207">
        <f t="shared" si="2"/>
        <v>0</v>
      </c>
      <c r="E161" s="4">
        <v>545</v>
      </c>
      <c r="F161" s="4">
        <v>1</v>
      </c>
      <c r="G161" s="2" t="s">
        <v>915</v>
      </c>
    </row>
    <row r="162" spans="1:7" x14ac:dyDescent="0.2">
      <c r="A162" s="17">
        <v>547</v>
      </c>
      <c r="B162" s="17">
        <v>1</v>
      </c>
      <c r="C162" s="3" t="s">
        <v>168</v>
      </c>
      <c r="D162" s="207">
        <f t="shared" si="2"/>
        <v>0</v>
      </c>
      <c r="E162" s="4">
        <v>547</v>
      </c>
      <c r="F162" s="4">
        <v>1</v>
      </c>
      <c r="G162" s="2" t="s">
        <v>916</v>
      </c>
    </row>
    <row r="163" spans="1:7" x14ac:dyDescent="0.2">
      <c r="A163" s="17">
        <v>548</v>
      </c>
      <c r="B163" s="17">
        <v>1</v>
      </c>
      <c r="C163" s="3" t="s">
        <v>169</v>
      </c>
      <c r="D163" s="207">
        <f t="shared" si="2"/>
        <v>0</v>
      </c>
      <c r="E163" s="4">
        <v>548</v>
      </c>
      <c r="F163" s="4">
        <v>1</v>
      </c>
      <c r="G163" s="2" t="s">
        <v>917</v>
      </c>
    </row>
    <row r="164" spans="1:7" x14ac:dyDescent="0.2">
      <c r="A164" s="17">
        <v>549</v>
      </c>
      <c r="B164" s="17">
        <v>1</v>
      </c>
      <c r="C164" s="162" t="s">
        <v>1187</v>
      </c>
      <c r="D164" s="207">
        <f t="shared" si="2"/>
        <v>0</v>
      </c>
      <c r="E164" s="4">
        <v>549</v>
      </c>
      <c r="F164" s="4">
        <v>1</v>
      </c>
      <c r="G164" s="2" t="s">
        <v>918</v>
      </c>
    </row>
    <row r="165" spans="1:7" x14ac:dyDescent="0.2">
      <c r="A165" s="17">
        <v>550</v>
      </c>
      <c r="B165" s="17">
        <v>1</v>
      </c>
      <c r="C165" s="3" t="s">
        <v>171</v>
      </c>
      <c r="D165" s="207">
        <f t="shared" si="2"/>
        <v>0</v>
      </c>
      <c r="E165" s="4">
        <v>550</v>
      </c>
      <c r="F165" s="4">
        <v>1</v>
      </c>
      <c r="G165" s="2" t="s">
        <v>919</v>
      </c>
    </row>
    <row r="166" spans="1:7" x14ac:dyDescent="0.2">
      <c r="A166" s="17">
        <v>553</v>
      </c>
      <c r="B166" s="17">
        <v>1</v>
      </c>
      <c r="C166" s="3" t="s">
        <v>172</v>
      </c>
      <c r="D166" s="207">
        <f t="shared" si="2"/>
        <v>0</v>
      </c>
      <c r="E166" s="4">
        <v>553</v>
      </c>
      <c r="F166" s="4">
        <v>1</v>
      </c>
      <c r="G166" s="2" t="s">
        <v>920</v>
      </c>
    </row>
    <row r="167" spans="1:7" x14ac:dyDescent="0.2">
      <c r="A167" s="17">
        <v>561</v>
      </c>
      <c r="B167" s="17">
        <v>1</v>
      </c>
      <c r="C167" s="3" t="s">
        <v>173</v>
      </c>
      <c r="D167" s="207">
        <f t="shared" si="2"/>
        <v>0</v>
      </c>
      <c r="E167" s="4">
        <v>561</v>
      </c>
      <c r="F167" s="4">
        <v>1</v>
      </c>
      <c r="G167" s="2" t="s">
        <v>921</v>
      </c>
    </row>
    <row r="168" spans="1:7" x14ac:dyDescent="0.2">
      <c r="A168" s="17">
        <v>564</v>
      </c>
      <c r="B168" s="17">
        <v>1</v>
      </c>
      <c r="C168" s="162" t="s">
        <v>1188</v>
      </c>
      <c r="D168" s="207">
        <f t="shared" si="2"/>
        <v>0</v>
      </c>
      <c r="E168" s="4">
        <v>564</v>
      </c>
      <c r="F168" s="4">
        <v>1</v>
      </c>
      <c r="G168" s="2" t="s">
        <v>922</v>
      </c>
    </row>
    <row r="169" spans="1:7" x14ac:dyDescent="0.2">
      <c r="A169" s="17">
        <v>577</v>
      </c>
      <c r="B169" s="17">
        <v>1</v>
      </c>
      <c r="C169" s="3" t="s">
        <v>175</v>
      </c>
      <c r="D169" s="207">
        <f t="shared" si="2"/>
        <v>0</v>
      </c>
      <c r="E169" s="4">
        <v>577</v>
      </c>
      <c r="F169" s="4">
        <v>1</v>
      </c>
      <c r="G169" s="2" t="s">
        <v>923</v>
      </c>
    </row>
    <row r="170" spans="1:7" x14ac:dyDescent="0.2">
      <c r="A170" s="17">
        <v>578</v>
      </c>
      <c r="B170" s="17">
        <v>1</v>
      </c>
      <c r="C170" s="3" t="s">
        <v>176</v>
      </c>
      <c r="D170" s="207">
        <f t="shared" si="2"/>
        <v>0</v>
      </c>
      <c r="E170" s="4">
        <v>578</v>
      </c>
      <c r="F170" s="4">
        <v>1</v>
      </c>
      <c r="G170" s="2" t="s">
        <v>924</v>
      </c>
    </row>
    <row r="171" spans="1:7" x14ac:dyDescent="0.2">
      <c r="A171" s="17">
        <v>581</v>
      </c>
      <c r="B171" s="17">
        <v>1</v>
      </c>
      <c r="C171" s="3" t="s">
        <v>177</v>
      </c>
      <c r="D171" s="207">
        <f t="shared" si="2"/>
        <v>0</v>
      </c>
      <c r="E171" s="4">
        <v>581</v>
      </c>
      <c r="F171" s="4">
        <v>1</v>
      </c>
      <c r="G171" s="2" t="s">
        <v>925</v>
      </c>
    </row>
    <row r="172" spans="1:7" x14ac:dyDescent="0.2">
      <c r="A172" s="17">
        <v>592</v>
      </c>
      <c r="B172" s="17">
        <v>1</v>
      </c>
      <c r="C172" s="162" t="s">
        <v>1189</v>
      </c>
      <c r="D172" s="207">
        <f t="shared" si="2"/>
        <v>0</v>
      </c>
      <c r="E172" s="4">
        <v>592</v>
      </c>
      <c r="F172" s="4">
        <v>1</v>
      </c>
      <c r="G172" s="2" t="s">
        <v>926</v>
      </c>
    </row>
    <row r="173" spans="1:7" x14ac:dyDescent="0.2">
      <c r="A173" s="17">
        <v>593</v>
      </c>
      <c r="B173" s="17">
        <v>1</v>
      </c>
      <c r="C173" s="3" t="s">
        <v>179</v>
      </c>
      <c r="D173" s="207">
        <f t="shared" si="2"/>
        <v>0</v>
      </c>
      <c r="E173" s="4">
        <v>593</v>
      </c>
      <c r="F173" s="4">
        <v>1</v>
      </c>
      <c r="G173" s="2" t="s">
        <v>927</v>
      </c>
    </row>
    <row r="174" spans="1:7" x14ac:dyDescent="0.2">
      <c r="A174" s="17">
        <v>595</v>
      </c>
      <c r="B174" s="17">
        <v>1</v>
      </c>
      <c r="C174" s="3" t="s">
        <v>180</v>
      </c>
      <c r="D174" s="207">
        <f t="shared" si="2"/>
        <v>0</v>
      </c>
      <c r="E174" s="4">
        <v>595</v>
      </c>
      <c r="F174" s="4">
        <v>1</v>
      </c>
      <c r="G174" s="2" t="s">
        <v>928</v>
      </c>
    </row>
    <row r="175" spans="1:7" x14ac:dyDescent="0.2">
      <c r="A175" s="17">
        <v>599</v>
      </c>
      <c r="B175" s="17">
        <v>1</v>
      </c>
      <c r="C175" s="3" t="s">
        <v>181</v>
      </c>
      <c r="D175" s="207">
        <f t="shared" si="2"/>
        <v>0</v>
      </c>
      <c r="E175" s="4">
        <v>599</v>
      </c>
      <c r="F175" s="4">
        <v>1</v>
      </c>
      <c r="G175" s="2" t="s">
        <v>929</v>
      </c>
    </row>
    <row r="176" spans="1:7" x14ac:dyDescent="0.2">
      <c r="A176" s="17">
        <v>600</v>
      </c>
      <c r="B176" s="17">
        <v>1</v>
      </c>
      <c r="C176" s="3" t="s">
        <v>182</v>
      </c>
      <c r="D176" s="207">
        <f t="shared" si="2"/>
        <v>0</v>
      </c>
      <c r="E176" s="4">
        <v>600</v>
      </c>
      <c r="F176" s="4">
        <v>1</v>
      </c>
      <c r="G176" s="2" t="s">
        <v>930</v>
      </c>
    </row>
    <row r="177" spans="1:7" x14ac:dyDescent="0.2">
      <c r="A177" s="17">
        <v>601</v>
      </c>
      <c r="B177" s="17">
        <v>1</v>
      </c>
      <c r="C177" s="3" t="s">
        <v>183</v>
      </c>
      <c r="D177" s="207">
        <f t="shared" si="2"/>
        <v>0</v>
      </c>
      <c r="E177" s="4">
        <v>601</v>
      </c>
      <c r="F177" s="4">
        <v>1</v>
      </c>
      <c r="G177" s="2" t="s">
        <v>931</v>
      </c>
    </row>
    <row r="178" spans="1:7" x14ac:dyDescent="0.2">
      <c r="A178" s="17">
        <v>621</v>
      </c>
      <c r="B178" s="17">
        <v>1</v>
      </c>
      <c r="C178" s="3" t="s">
        <v>185</v>
      </c>
      <c r="D178" s="207">
        <f t="shared" si="2"/>
        <v>0</v>
      </c>
      <c r="E178" s="4">
        <v>621</v>
      </c>
      <c r="F178" s="4">
        <v>1</v>
      </c>
      <c r="G178" s="2" t="s">
        <v>932</v>
      </c>
    </row>
    <row r="179" spans="1:7" x14ac:dyDescent="0.2">
      <c r="A179" s="17">
        <v>622</v>
      </c>
      <c r="B179" s="17">
        <v>1</v>
      </c>
      <c r="C179" s="162" t="s">
        <v>1190</v>
      </c>
      <c r="D179" s="207">
        <f t="shared" si="2"/>
        <v>0</v>
      </c>
      <c r="E179" s="4">
        <v>622</v>
      </c>
      <c r="F179" s="4">
        <v>1</v>
      </c>
      <c r="G179" s="2" t="s">
        <v>933</v>
      </c>
    </row>
    <row r="180" spans="1:7" x14ac:dyDescent="0.2">
      <c r="A180" s="17">
        <v>623</v>
      </c>
      <c r="B180" s="17">
        <v>1</v>
      </c>
      <c r="C180" s="3" t="s">
        <v>187</v>
      </c>
      <c r="D180" s="207">
        <f t="shared" si="2"/>
        <v>0</v>
      </c>
      <c r="E180" s="4">
        <v>623</v>
      </c>
      <c r="F180" s="4">
        <v>1</v>
      </c>
      <c r="G180" s="2" t="s">
        <v>934</v>
      </c>
    </row>
    <row r="181" spans="1:7" x14ac:dyDescent="0.2">
      <c r="A181" s="17">
        <v>624</v>
      </c>
      <c r="B181" s="17">
        <v>1</v>
      </c>
      <c r="C181" s="3" t="s">
        <v>188</v>
      </c>
      <c r="D181" s="207">
        <f t="shared" si="2"/>
        <v>0</v>
      </c>
      <c r="E181" s="4">
        <v>624</v>
      </c>
      <c r="F181" s="4">
        <v>1</v>
      </c>
      <c r="G181" s="2" t="s">
        <v>935</v>
      </c>
    </row>
    <row r="182" spans="1:7" x14ac:dyDescent="0.2">
      <c r="A182" s="17">
        <v>625</v>
      </c>
      <c r="B182" s="17">
        <v>1</v>
      </c>
      <c r="C182" s="3" t="s">
        <v>189</v>
      </c>
      <c r="D182" s="207">
        <f t="shared" si="2"/>
        <v>0</v>
      </c>
      <c r="E182" s="4">
        <v>625</v>
      </c>
      <c r="F182" s="4">
        <v>1</v>
      </c>
      <c r="G182" s="2" t="s">
        <v>936</v>
      </c>
    </row>
    <row r="183" spans="1:7" x14ac:dyDescent="0.2">
      <c r="A183" s="17">
        <v>630</v>
      </c>
      <c r="B183" s="17">
        <v>1</v>
      </c>
      <c r="C183" s="3" t="s">
        <v>192</v>
      </c>
      <c r="D183" s="207">
        <f t="shared" si="2"/>
        <v>0</v>
      </c>
      <c r="E183" s="4">
        <v>630</v>
      </c>
      <c r="F183" s="4">
        <v>1</v>
      </c>
      <c r="G183" s="2" t="s">
        <v>937</v>
      </c>
    </row>
    <row r="184" spans="1:7" x14ac:dyDescent="0.2">
      <c r="A184" s="17">
        <v>635</v>
      </c>
      <c r="B184" s="17">
        <v>1</v>
      </c>
      <c r="C184" s="3" t="s">
        <v>193</v>
      </c>
      <c r="D184" s="207">
        <f t="shared" si="2"/>
        <v>0</v>
      </c>
      <c r="E184" s="4">
        <v>635</v>
      </c>
      <c r="F184" s="4">
        <v>1</v>
      </c>
      <c r="G184" s="2" t="s">
        <v>938</v>
      </c>
    </row>
    <row r="185" spans="1:7" x14ac:dyDescent="0.2">
      <c r="A185" s="17">
        <v>640</v>
      </c>
      <c r="B185" s="17">
        <v>1</v>
      </c>
      <c r="C185" s="3" t="s">
        <v>194</v>
      </c>
      <c r="D185" s="207">
        <f t="shared" si="2"/>
        <v>0</v>
      </c>
      <c r="E185" s="4">
        <v>640</v>
      </c>
      <c r="F185" s="4">
        <v>1</v>
      </c>
      <c r="G185" s="2" t="s">
        <v>939</v>
      </c>
    </row>
    <row r="186" spans="1:7" x14ac:dyDescent="0.2">
      <c r="A186" s="17">
        <v>656</v>
      </c>
      <c r="B186" s="17">
        <v>1</v>
      </c>
      <c r="C186" s="3" t="s">
        <v>195</v>
      </c>
      <c r="D186" s="207">
        <f t="shared" si="2"/>
        <v>0</v>
      </c>
      <c r="E186" s="4">
        <v>656</v>
      </c>
      <c r="F186" s="4">
        <v>1</v>
      </c>
      <c r="G186" s="2" t="s">
        <v>940</v>
      </c>
    </row>
    <row r="187" spans="1:7" x14ac:dyDescent="0.2">
      <c r="A187" s="17">
        <v>659</v>
      </c>
      <c r="B187" s="17">
        <v>1</v>
      </c>
      <c r="C187" s="3" t="s">
        <v>196</v>
      </c>
      <c r="D187" s="207">
        <f t="shared" si="2"/>
        <v>0</v>
      </c>
      <c r="E187" s="4">
        <v>659</v>
      </c>
      <c r="F187" s="4">
        <v>1</v>
      </c>
      <c r="G187" s="2" t="s">
        <v>941</v>
      </c>
    </row>
    <row r="188" spans="1:7" x14ac:dyDescent="0.2">
      <c r="A188" s="17">
        <v>671</v>
      </c>
      <c r="B188" s="17">
        <v>1</v>
      </c>
      <c r="C188" s="162" t="s">
        <v>1191</v>
      </c>
      <c r="D188" s="207">
        <f t="shared" si="2"/>
        <v>0</v>
      </c>
      <c r="E188" s="4">
        <v>671</v>
      </c>
      <c r="F188" s="4">
        <v>1</v>
      </c>
      <c r="G188" s="2" t="s">
        <v>942</v>
      </c>
    </row>
    <row r="189" spans="1:7" x14ac:dyDescent="0.2">
      <c r="A189" s="17">
        <v>676</v>
      </c>
      <c r="B189" s="17">
        <v>1</v>
      </c>
      <c r="C189" s="3" t="s">
        <v>198</v>
      </c>
      <c r="D189" s="207">
        <f t="shared" si="2"/>
        <v>0</v>
      </c>
      <c r="E189" s="4">
        <v>676</v>
      </c>
      <c r="F189" s="4">
        <v>1</v>
      </c>
      <c r="G189" s="2" t="s">
        <v>943</v>
      </c>
    </row>
    <row r="190" spans="1:7" x14ac:dyDescent="0.2">
      <c r="A190" s="17">
        <v>682</v>
      </c>
      <c r="B190" s="17">
        <v>1</v>
      </c>
      <c r="C190" s="3" t="s">
        <v>199</v>
      </c>
      <c r="D190" s="207">
        <f t="shared" si="2"/>
        <v>0</v>
      </c>
      <c r="E190" s="4">
        <v>682</v>
      </c>
      <c r="F190" s="4">
        <v>1</v>
      </c>
      <c r="G190" s="2" t="s">
        <v>944</v>
      </c>
    </row>
    <row r="191" spans="1:7" x14ac:dyDescent="0.2">
      <c r="A191" s="17">
        <v>690</v>
      </c>
      <c r="B191" s="17">
        <v>1</v>
      </c>
      <c r="C191" s="3" t="s">
        <v>200</v>
      </c>
      <c r="D191" s="207">
        <f t="shared" si="2"/>
        <v>0</v>
      </c>
      <c r="E191" s="4">
        <v>690</v>
      </c>
      <c r="F191" s="4">
        <v>1</v>
      </c>
      <c r="G191" s="2" t="s">
        <v>945</v>
      </c>
    </row>
    <row r="192" spans="1:7" x14ac:dyDescent="0.2">
      <c r="A192" s="17">
        <v>695</v>
      </c>
      <c r="B192" s="17">
        <v>1</v>
      </c>
      <c r="C192" s="3" t="s">
        <v>201</v>
      </c>
      <c r="D192" s="207">
        <f t="shared" si="2"/>
        <v>0</v>
      </c>
      <c r="E192" s="4">
        <v>695</v>
      </c>
      <c r="F192" s="4">
        <v>1</v>
      </c>
      <c r="G192" s="2" t="s">
        <v>946</v>
      </c>
    </row>
    <row r="193" spans="1:7" x14ac:dyDescent="0.2">
      <c r="A193" s="17">
        <v>696</v>
      </c>
      <c r="B193" s="17">
        <v>1</v>
      </c>
      <c r="C193" s="3" t="s">
        <v>202</v>
      </c>
      <c r="D193" s="207">
        <f t="shared" si="2"/>
        <v>0</v>
      </c>
      <c r="E193" s="4">
        <v>696</v>
      </c>
      <c r="F193" s="4">
        <v>1</v>
      </c>
      <c r="G193" s="2" t="s">
        <v>947</v>
      </c>
    </row>
    <row r="194" spans="1:7" x14ac:dyDescent="0.2">
      <c r="A194" s="17">
        <v>698</v>
      </c>
      <c r="B194" s="17">
        <v>1</v>
      </c>
      <c r="C194" s="3" t="s">
        <v>203</v>
      </c>
      <c r="D194" s="207">
        <f t="shared" si="2"/>
        <v>0</v>
      </c>
      <c r="E194" s="4">
        <v>698</v>
      </c>
      <c r="F194" s="4">
        <v>1</v>
      </c>
      <c r="G194" s="2" t="s">
        <v>948</v>
      </c>
    </row>
    <row r="195" spans="1:7" x14ac:dyDescent="0.2">
      <c r="A195" s="17">
        <v>700</v>
      </c>
      <c r="B195" s="17">
        <v>1</v>
      </c>
      <c r="C195" s="3" t="s">
        <v>204</v>
      </c>
      <c r="D195" s="207">
        <f t="shared" ref="D195:D258" si="3">E195-A195</f>
        <v>0</v>
      </c>
      <c r="E195" s="4">
        <v>700</v>
      </c>
      <c r="F195" s="4">
        <v>1</v>
      </c>
      <c r="G195" s="2" t="s">
        <v>949</v>
      </c>
    </row>
    <row r="196" spans="1:7" x14ac:dyDescent="0.2">
      <c r="A196" s="17">
        <v>701</v>
      </c>
      <c r="B196" s="17">
        <v>1</v>
      </c>
      <c r="C196" s="3" t="s">
        <v>205</v>
      </c>
      <c r="D196" s="207">
        <f t="shared" si="3"/>
        <v>0</v>
      </c>
      <c r="E196" s="4">
        <v>701</v>
      </c>
      <c r="F196" s="4">
        <v>1</v>
      </c>
      <c r="G196" s="2" t="s">
        <v>950</v>
      </c>
    </row>
    <row r="197" spans="1:7" x14ac:dyDescent="0.2">
      <c r="A197" s="17">
        <v>704</v>
      </c>
      <c r="B197" s="17">
        <v>1</v>
      </c>
      <c r="C197" s="3" t="s">
        <v>206</v>
      </c>
      <c r="D197" s="207">
        <f t="shared" si="3"/>
        <v>0</v>
      </c>
      <c r="E197" s="4">
        <v>704</v>
      </c>
      <c r="F197" s="4">
        <v>1</v>
      </c>
      <c r="G197" s="2" t="s">
        <v>951</v>
      </c>
    </row>
    <row r="198" spans="1:7" x14ac:dyDescent="0.2">
      <c r="A198" s="17">
        <v>706</v>
      </c>
      <c r="B198" s="17">
        <v>1</v>
      </c>
      <c r="C198" s="3" t="s">
        <v>207</v>
      </c>
      <c r="D198" s="207">
        <f t="shared" si="3"/>
        <v>0</v>
      </c>
      <c r="E198" s="4">
        <v>706</v>
      </c>
      <c r="F198" s="4">
        <v>1</v>
      </c>
      <c r="G198" s="2" t="s">
        <v>952</v>
      </c>
    </row>
    <row r="199" spans="1:7" x14ac:dyDescent="0.2">
      <c r="A199" s="17">
        <v>707</v>
      </c>
      <c r="B199" s="17">
        <v>1</v>
      </c>
      <c r="C199" s="3" t="s">
        <v>208</v>
      </c>
      <c r="D199" s="207">
        <f t="shared" si="3"/>
        <v>0</v>
      </c>
      <c r="E199" s="4">
        <v>707</v>
      </c>
      <c r="F199" s="4">
        <v>1</v>
      </c>
      <c r="G199" s="2" t="s">
        <v>953</v>
      </c>
    </row>
    <row r="200" spans="1:7" x14ac:dyDescent="0.2">
      <c r="A200" s="17">
        <v>709</v>
      </c>
      <c r="B200" s="17">
        <v>1</v>
      </c>
      <c r="C200" s="3" t="s">
        <v>209</v>
      </c>
      <c r="D200" s="207">
        <f t="shared" si="3"/>
        <v>0</v>
      </c>
      <c r="E200" s="4">
        <v>709</v>
      </c>
      <c r="F200" s="4">
        <v>1</v>
      </c>
      <c r="G200" s="2" t="s">
        <v>954</v>
      </c>
    </row>
    <row r="201" spans="1:7" x14ac:dyDescent="0.2">
      <c r="A201" s="17">
        <v>712</v>
      </c>
      <c r="B201" s="17">
        <v>1</v>
      </c>
      <c r="C201" s="162" t="s">
        <v>1192</v>
      </c>
      <c r="D201" s="207">
        <f t="shared" si="3"/>
        <v>0</v>
      </c>
      <c r="E201" s="4">
        <v>712</v>
      </c>
      <c r="F201" s="4">
        <v>1</v>
      </c>
      <c r="G201" s="2" t="s">
        <v>955</v>
      </c>
    </row>
    <row r="202" spans="1:7" x14ac:dyDescent="0.2">
      <c r="A202" s="17">
        <v>716</v>
      </c>
      <c r="B202" s="17">
        <v>1</v>
      </c>
      <c r="C202" s="3" t="s">
        <v>211</v>
      </c>
      <c r="D202" s="207">
        <f t="shared" si="3"/>
        <v>0</v>
      </c>
      <c r="E202" s="4">
        <v>716</v>
      </c>
      <c r="F202" s="4">
        <v>1</v>
      </c>
      <c r="G202" s="2" t="s">
        <v>956</v>
      </c>
    </row>
    <row r="203" spans="1:7" x14ac:dyDescent="0.2">
      <c r="A203" s="17">
        <v>717</v>
      </c>
      <c r="B203" s="17">
        <v>1</v>
      </c>
      <c r="C203" s="3" t="s">
        <v>212</v>
      </c>
      <c r="D203" s="207">
        <f t="shared" si="3"/>
        <v>0</v>
      </c>
      <c r="E203" s="4">
        <v>717</v>
      </c>
      <c r="F203" s="4">
        <v>1</v>
      </c>
      <c r="G203" s="2" t="s">
        <v>957</v>
      </c>
    </row>
    <row r="204" spans="1:7" x14ac:dyDescent="0.2">
      <c r="A204" s="17">
        <v>719</v>
      </c>
      <c r="B204" s="17">
        <v>1</v>
      </c>
      <c r="C204" s="162" t="s">
        <v>1193</v>
      </c>
      <c r="D204" s="207">
        <f t="shared" si="3"/>
        <v>0</v>
      </c>
      <c r="E204" s="4">
        <v>719</v>
      </c>
      <c r="F204" s="4">
        <v>1</v>
      </c>
      <c r="G204" s="2" t="s">
        <v>958</v>
      </c>
    </row>
    <row r="205" spans="1:7" x14ac:dyDescent="0.2">
      <c r="A205" s="17">
        <v>720</v>
      </c>
      <c r="B205" s="17">
        <v>1</v>
      </c>
      <c r="C205" s="3" t="s">
        <v>213</v>
      </c>
      <c r="D205" s="207">
        <f t="shared" si="3"/>
        <v>0</v>
      </c>
      <c r="E205" s="4">
        <v>720</v>
      </c>
      <c r="F205" s="4">
        <v>1</v>
      </c>
      <c r="G205" s="2" t="s">
        <v>959</v>
      </c>
    </row>
    <row r="206" spans="1:7" x14ac:dyDescent="0.2">
      <c r="A206" s="17">
        <v>721</v>
      </c>
      <c r="B206" s="17">
        <v>1</v>
      </c>
      <c r="C206" s="3" t="s">
        <v>214</v>
      </c>
      <c r="D206" s="207">
        <f t="shared" si="3"/>
        <v>0</v>
      </c>
      <c r="E206" s="4">
        <v>721</v>
      </c>
      <c r="F206" s="4">
        <v>1</v>
      </c>
      <c r="G206" s="2" t="s">
        <v>960</v>
      </c>
    </row>
    <row r="207" spans="1:7" x14ac:dyDescent="0.2">
      <c r="A207" s="17">
        <v>726</v>
      </c>
      <c r="B207" s="17">
        <v>1</v>
      </c>
      <c r="C207" s="3" t="s">
        <v>215</v>
      </c>
      <c r="D207" s="207">
        <f t="shared" si="3"/>
        <v>0</v>
      </c>
      <c r="E207" s="4">
        <v>726</v>
      </c>
      <c r="F207" s="4">
        <v>1</v>
      </c>
      <c r="G207" s="2" t="s">
        <v>961</v>
      </c>
    </row>
    <row r="208" spans="1:7" x14ac:dyDescent="0.2">
      <c r="A208" s="17">
        <v>727</v>
      </c>
      <c r="B208" s="17">
        <v>1</v>
      </c>
      <c r="C208" s="3" t="s">
        <v>216</v>
      </c>
      <c r="D208" s="207">
        <f t="shared" si="3"/>
        <v>0</v>
      </c>
      <c r="E208" s="4">
        <v>727</v>
      </c>
      <c r="F208" s="4">
        <v>1</v>
      </c>
      <c r="G208" s="2" t="s">
        <v>962</v>
      </c>
    </row>
    <row r="209" spans="1:7" x14ac:dyDescent="0.2">
      <c r="A209" s="17">
        <v>728</v>
      </c>
      <c r="B209" s="17">
        <v>1</v>
      </c>
      <c r="C209" s="3" t="s">
        <v>217</v>
      </c>
      <c r="D209" s="207">
        <f t="shared" si="3"/>
        <v>0</v>
      </c>
      <c r="E209" s="4">
        <v>728</v>
      </c>
      <c r="F209" s="4">
        <v>1</v>
      </c>
      <c r="G209" s="2" t="s">
        <v>963</v>
      </c>
    </row>
    <row r="210" spans="1:7" x14ac:dyDescent="0.2">
      <c r="A210" s="17">
        <v>738</v>
      </c>
      <c r="B210" s="17">
        <v>1</v>
      </c>
      <c r="C210" s="3" t="s">
        <v>218</v>
      </c>
      <c r="D210" s="207">
        <f t="shared" si="3"/>
        <v>0</v>
      </c>
      <c r="E210" s="4">
        <v>738</v>
      </c>
      <c r="F210" s="4">
        <v>1</v>
      </c>
      <c r="G210" s="2" t="s">
        <v>964</v>
      </c>
    </row>
    <row r="211" spans="1:7" x14ac:dyDescent="0.2">
      <c r="A211" s="17">
        <v>739</v>
      </c>
      <c r="B211" s="17">
        <v>1</v>
      </c>
      <c r="C211" s="3" t="s">
        <v>219</v>
      </c>
      <c r="D211" s="207">
        <f t="shared" si="3"/>
        <v>0</v>
      </c>
      <c r="E211" s="4">
        <v>739</v>
      </c>
      <c r="F211" s="4">
        <v>1</v>
      </c>
      <c r="G211" s="2" t="s">
        <v>965</v>
      </c>
    </row>
    <row r="212" spans="1:7" x14ac:dyDescent="0.2">
      <c r="A212" s="17">
        <v>740</v>
      </c>
      <c r="B212" s="17">
        <v>1</v>
      </c>
      <c r="C212" s="3" t="s">
        <v>220</v>
      </c>
      <c r="D212" s="207">
        <f t="shared" si="3"/>
        <v>0</v>
      </c>
      <c r="E212" s="4">
        <v>740</v>
      </c>
      <c r="F212" s="4">
        <v>1</v>
      </c>
      <c r="G212" s="2" t="s">
        <v>966</v>
      </c>
    </row>
    <row r="213" spans="1:7" x14ac:dyDescent="0.2">
      <c r="A213" s="17">
        <v>741</v>
      </c>
      <c r="B213" s="17">
        <v>1</v>
      </c>
      <c r="C213" s="3" t="s">
        <v>221</v>
      </c>
      <c r="D213" s="207">
        <f t="shared" si="3"/>
        <v>0</v>
      </c>
      <c r="E213" s="4">
        <v>741</v>
      </c>
      <c r="F213" s="4">
        <v>1</v>
      </c>
      <c r="G213" s="2" t="s">
        <v>967</v>
      </c>
    </row>
    <row r="214" spans="1:7" x14ac:dyDescent="0.2">
      <c r="A214" s="17">
        <v>742</v>
      </c>
      <c r="B214" s="17">
        <v>1</v>
      </c>
      <c r="C214" s="3" t="s">
        <v>222</v>
      </c>
      <c r="D214" s="207">
        <f t="shared" si="3"/>
        <v>0</v>
      </c>
      <c r="E214" s="4">
        <v>742</v>
      </c>
      <c r="F214" s="4">
        <v>1</v>
      </c>
      <c r="G214" s="2" t="s">
        <v>968</v>
      </c>
    </row>
    <row r="215" spans="1:7" x14ac:dyDescent="0.2">
      <c r="A215" s="17">
        <v>743</v>
      </c>
      <c r="B215" s="17">
        <v>1</v>
      </c>
      <c r="C215" s="3" t="s">
        <v>223</v>
      </c>
      <c r="D215" s="207">
        <f t="shared" si="3"/>
        <v>0</v>
      </c>
      <c r="E215" s="4">
        <v>743</v>
      </c>
      <c r="F215" s="4">
        <v>1</v>
      </c>
      <c r="G215" s="2" t="s">
        <v>969</v>
      </c>
    </row>
    <row r="216" spans="1:7" x14ac:dyDescent="0.2">
      <c r="A216" s="17">
        <v>745</v>
      </c>
      <c r="B216" s="17">
        <v>1</v>
      </c>
      <c r="C216" s="3" t="s">
        <v>224</v>
      </c>
      <c r="D216" s="207">
        <f t="shared" si="3"/>
        <v>0</v>
      </c>
      <c r="E216" s="4">
        <v>745</v>
      </c>
      <c r="F216" s="4">
        <v>1</v>
      </c>
      <c r="G216" s="2" t="s">
        <v>970</v>
      </c>
    </row>
    <row r="217" spans="1:7" x14ac:dyDescent="0.2">
      <c r="A217" s="17">
        <v>748</v>
      </c>
      <c r="B217" s="17">
        <v>1</v>
      </c>
      <c r="C217" s="161" t="s">
        <v>1194</v>
      </c>
      <c r="D217" s="207">
        <f t="shared" si="3"/>
        <v>0</v>
      </c>
      <c r="E217" s="4">
        <v>748</v>
      </c>
      <c r="F217" s="4">
        <v>1</v>
      </c>
      <c r="G217" s="2" t="s">
        <v>971</v>
      </c>
    </row>
    <row r="218" spans="1:7" x14ac:dyDescent="0.2">
      <c r="A218" s="17">
        <v>750</v>
      </c>
      <c r="B218" s="17">
        <v>1</v>
      </c>
      <c r="C218" s="3" t="s">
        <v>226</v>
      </c>
      <c r="D218" s="207">
        <f t="shared" si="3"/>
        <v>0</v>
      </c>
      <c r="E218" s="4">
        <v>750</v>
      </c>
      <c r="F218" s="4">
        <v>1</v>
      </c>
      <c r="G218" s="2" t="s">
        <v>972</v>
      </c>
    </row>
    <row r="219" spans="1:7" x14ac:dyDescent="0.2">
      <c r="A219" s="17">
        <v>756</v>
      </c>
      <c r="B219" s="17">
        <v>1</v>
      </c>
      <c r="C219" s="3" t="s">
        <v>227</v>
      </c>
      <c r="D219" s="207">
        <f t="shared" si="3"/>
        <v>0</v>
      </c>
      <c r="E219" s="4">
        <v>756</v>
      </c>
      <c r="F219" s="4">
        <v>1</v>
      </c>
      <c r="G219" s="2" t="s">
        <v>973</v>
      </c>
    </row>
    <row r="220" spans="1:7" x14ac:dyDescent="0.2">
      <c r="A220" s="17">
        <v>761</v>
      </c>
      <c r="B220" s="17">
        <v>1</v>
      </c>
      <c r="C220" s="3" t="s">
        <v>228</v>
      </c>
      <c r="D220" s="207">
        <f t="shared" si="3"/>
        <v>0</v>
      </c>
      <c r="E220" s="4">
        <v>761</v>
      </c>
      <c r="F220" s="4">
        <v>1</v>
      </c>
      <c r="G220" s="2" t="s">
        <v>974</v>
      </c>
    </row>
    <row r="221" spans="1:7" x14ac:dyDescent="0.2">
      <c r="A221" s="17">
        <v>763</v>
      </c>
      <c r="B221" s="17">
        <v>1</v>
      </c>
      <c r="C221" s="3" t="s">
        <v>229</v>
      </c>
      <c r="D221" s="207">
        <f t="shared" si="3"/>
        <v>0</v>
      </c>
      <c r="E221" s="4">
        <v>763</v>
      </c>
      <c r="F221" s="4">
        <v>1</v>
      </c>
      <c r="G221" s="2" t="s">
        <v>975</v>
      </c>
    </row>
    <row r="222" spans="1:7" x14ac:dyDescent="0.2">
      <c r="A222" s="17">
        <v>768</v>
      </c>
      <c r="B222" s="17">
        <v>1</v>
      </c>
      <c r="C222" s="3" t="s">
        <v>230</v>
      </c>
      <c r="D222" s="207">
        <f t="shared" si="3"/>
        <v>0</v>
      </c>
      <c r="E222" s="4">
        <v>768</v>
      </c>
      <c r="F222" s="4">
        <v>1</v>
      </c>
      <c r="G222" s="2" t="s">
        <v>976</v>
      </c>
    </row>
    <row r="223" spans="1:7" x14ac:dyDescent="0.2">
      <c r="A223" s="17">
        <v>771</v>
      </c>
      <c r="B223" s="17">
        <v>1</v>
      </c>
      <c r="C223" s="3" t="s">
        <v>232</v>
      </c>
      <c r="D223" s="207">
        <f t="shared" si="3"/>
        <v>0</v>
      </c>
      <c r="E223" s="4">
        <v>771</v>
      </c>
      <c r="F223" s="4">
        <v>1</v>
      </c>
      <c r="G223" s="2" t="s">
        <v>977</v>
      </c>
    </row>
    <row r="224" spans="1:7" x14ac:dyDescent="0.2">
      <c r="A224" s="17">
        <v>775</v>
      </c>
      <c r="B224" s="17">
        <v>1</v>
      </c>
      <c r="C224" s="162" t="s">
        <v>1195</v>
      </c>
      <c r="D224" s="207">
        <f t="shared" si="3"/>
        <v>0</v>
      </c>
      <c r="E224" s="4">
        <v>775</v>
      </c>
      <c r="F224" s="4">
        <v>1</v>
      </c>
      <c r="G224" s="2" t="s">
        <v>978</v>
      </c>
    </row>
    <row r="225" spans="1:7" x14ac:dyDescent="0.2">
      <c r="A225" s="17">
        <v>777</v>
      </c>
      <c r="B225" s="17">
        <v>1</v>
      </c>
      <c r="C225" s="3" t="s">
        <v>234</v>
      </c>
      <c r="D225" s="207">
        <f t="shared" si="3"/>
        <v>0</v>
      </c>
      <c r="E225" s="4">
        <v>777</v>
      </c>
      <c r="F225" s="4">
        <v>1</v>
      </c>
      <c r="G225" s="2" t="s">
        <v>979</v>
      </c>
    </row>
    <row r="226" spans="1:7" x14ac:dyDescent="0.2">
      <c r="A226" s="17">
        <v>786</v>
      </c>
      <c r="B226" s="17">
        <v>1</v>
      </c>
      <c r="C226" s="3" t="s">
        <v>235</v>
      </c>
      <c r="D226" s="207">
        <f t="shared" si="3"/>
        <v>0</v>
      </c>
      <c r="E226" s="4">
        <v>786</v>
      </c>
      <c r="F226" s="4">
        <v>1</v>
      </c>
      <c r="G226" s="2" t="s">
        <v>980</v>
      </c>
    </row>
    <row r="227" spans="1:7" x14ac:dyDescent="0.2">
      <c r="A227" s="17">
        <v>787</v>
      </c>
      <c r="B227" s="17">
        <v>1</v>
      </c>
      <c r="C227" s="3" t="s">
        <v>236</v>
      </c>
      <c r="D227" s="207">
        <f t="shared" si="3"/>
        <v>0</v>
      </c>
      <c r="E227" s="4">
        <v>787</v>
      </c>
      <c r="F227" s="4">
        <v>1</v>
      </c>
      <c r="G227" s="2" t="s">
        <v>981</v>
      </c>
    </row>
    <row r="228" spans="1:7" x14ac:dyDescent="0.2">
      <c r="A228" s="17">
        <v>801</v>
      </c>
      <c r="B228" s="17">
        <v>1</v>
      </c>
      <c r="C228" s="3" t="s">
        <v>237</v>
      </c>
      <c r="D228" s="207">
        <f t="shared" si="3"/>
        <v>0</v>
      </c>
      <c r="E228" s="4">
        <v>801</v>
      </c>
      <c r="F228" s="4">
        <v>1</v>
      </c>
      <c r="G228" s="2" t="s">
        <v>982</v>
      </c>
    </row>
    <row r="229" spans="1:7" x14ac:dyDescent="0.2">
      <c r="A229" s="17">
        <v>803</v>
      </c>
      <c r="B229" s="17">
        <v>1</v>
      </c>
      <c r="C229" s="3" t="s">
        <v>238</v>
      </c>
      <c r="D229" s="207">
        <f t="shared" si="3"/>
        <v>0</v>
      </c>
      <c r="E229" s="4">
        <v>803</v>
      </c>
      <c r="F229" s="4">
        <v>1</v>
      </c>
      <c r="G229" s="2" t="s">
        <v>983</v>
      </c>
    </row>
    <row r="230" spans="1:7" x14ac:dyDescent="0.2">
      <c r="A230" s="17">
        <v>811</v>
      </c>
      <c r="B230" s="17">
        <v>1</v>
      </c>
      <c r="C230" s="3" t="s">
        <v>239</v>
      </c>
      <c r="D230" s="207">
        <f t="shared" si="3"/>
        <v>0</v>
      </c>
      <c r="E230" s="4">
        <v>811</v>
      </c>
      <c r="F230" s="4">
        <v>1</v>
      </c>
      <c r="G230" s="2" t="s">
        <v>984</v>
      </c>
    </row>
    <row r="231" spans="1:7" x14ac:dyDescent="0.2">
      <c r="A231" s="17">
        <v>813</v>
      </c>
      <c r="B231" s="17">
        <v>1</v>
      </c>
      <c r="C231" s="3" t="s">
        <v>240</v>
      </c>
      <c r="D231" s="207">
        <f t="shared" si="3"/>
        <v>0</v>
      </c>
      <c r="E231" s="4">
        <v>813</v>
      </c>
      <c r="F231" s="4">
        <v>1</v>
      </c>
      <c r="G231" s="2" t="s">
        <v>985</v>
      </c>
    </row>
    <row r="232" spans="1:7" x14ac:dyDescent="0.2">
      <c r="A232" s="17">
        <v>815</v>
      </c>
      <c r="B232" s="17">
        <v>2</v>
      </c>
      <c r="C232" s="3" t="s">
        <v>241</v>
      </c>
      <c r="D232" s="207">
        <f t="shared" si="3"/>
        <v>0</v>
      </c>
      <c r="E232" s="4">
        <v>815</v>
      </c>
      <c r="F232" s="4">
        <v>2</v>
      </c>
      <c r="G232" s="2" t="s">
        <v>986</v>
      </c>
    </row>
    <row r="233" spans="1:7" x14ac:dyDescent="0.2">
      <c r="A233" s="17">
        <v>818</v>
      </c>
      <c r="B233" s="17">
        <v>1</v>
      </c>
      <c r="C233" s="3" t="s">
        <v>242</v>
      </c>
      <c r="D233" s="207">
        <f t="shared" si="3"/>
        <v>0</v>
      </c>
      <c r="E233" s="4">
        <v>818</v>
      </c>
      <c r="F233" s="4">
        <v>1</v>
      </c>
      <c r="G233" s="2" t="s">
        <v>987</v>
      </c>
    </row>
    <row r="234" spans="1:7" x14ac:dyDescent="0.2">
      <c r="A234" s="17">
        <v>820</v>
      </c>
      <c r="B234" s="17">
        <v>1</v>
      </c>
      <c r="C234" s="3" t="s">
        <v>243</v>
      </c>
      <c r="D234" s="207">
        <f t="shared" si="3"/>
        <v>0</v>
      </c>
      <c r="E234" s="4">
        <v>820</v>
      </c>
      <c r="F234" s="4">
        <v>1</v>
      </c>
      <c r="G234" s="2" t="s">
        <v>988</v>
      </c>
    </row>
    <row r="235" spans="1:7" x14ac:dyDescent="0.2">
      <c r="A235" s="17">
        <v>821</v>
      </c>
      <c r="B235" s="17">
        <v>1</v>
      </c>
      <c r="C235" s="3" t="s">
        <v>244</v>
      </c>
      <c r="D235" s="207">
        <f t="shared" si="3"/>
        <v>0</v>
      </c>
      <c r="E235" s="4">
        <v>821</v>
      </c>
      <c r="F235" s="4">
        <v>1</v>
      </c>
      <c r="G235" s="2" t="s">
        <v>989</v>
      </c>
    </row>
    <row r="236" spans="1:7" x14ac:dyDescent="0.2">
      <c r="A236" s="17">
        <v>829</v>
      </c>
      <c r="B236" s="17">
        <v>1</v>
      </c>
      <c r="C236" s="3" t="s">
        <v>245</v>
      </c>
      <c r="D236" s="207">
        <f t="shared" si="3"/>
        <v>0</v>
      </c>
      <c r="E236" s="4">
        <v>829</v>
      </c>
      <c r="F236" s="4">
        <v>1</v>
      </c>
      <c r="G236" s="2" t="s">
        <v>990</v>
      </c>
    </row>
    <row r="237" spans="1:7" x14ac:dyDescent="0.2">
      <c r="A237" s="17">
        <v>831</v>
      </c>
      <c r="B237" s="17">
        <v>1</v>
      </c>
      <c r="C237" s="3" t="s">
        <v>246</v>
      </c>
      <c r="D237" s="207">
        <f t="shared" si="3"/>
        <v>0</v>
      </c>
      <c r="E237" s="4">
        <v>831</v>
      </c>
      <c r="F237" s="4">
        <v>1</v>
      </c>
      <c r="G237" s="2" t="s">
        <v>991</v>
      </c>
    </row>
    <row r="238" spans="1:7" x14ac:dyDescent="0.2">
      <c r="A238" s="17">
        <v>832</v>
      </c>
      <c r="B238" s="17">
        <v>1</v>
      </c>
      <c r="C238" s="3" t="s">
        <v>247</v>
      </c>
      <c r="D238" s="207">
        <f t="shared" si="3"/>
        <v>0</v>
      </c>
      <c r="E238" s="4">
        <v>832</v>
      </c>
      <c r="F238" s="4">
        <v>1</v>
      </c>
      <c r="G238" s="2" t="s">
        <v>992</v>
      </c>
    </row>
    <row r="239" spans="1:7" x14ac:dyDescent="0.2">
      <c r="A239" s="17">
        <v>833</v>
      </c>
      <c r="B239" s="17">
        <v>1</v>
      </c>
      <c r="C239" s="3" t="s">
        <v>248</v>
      </c>
      <c r="D239" s="207">
        <f t="shared" si="3"/>
        <v>0</v>
      </c>
      <c r="E239" s="4">
        <v>833</v>
      </c>
      <c r="F239" s="4">
        <v>1</v>
      </c>
      <c r="G239" s="2" t="s">
        <v>993</v>
      </c>
    </row>
    <row r="240" spans="1:7" x14ac:dyDescent="0.2">
      <c r="A240" s="17">
        <v>834</v>
      </c>
      <c r="B240" s="17">
        <v>1</v>
      </c>
      <c r="C240" s="3" t="s">
        <v>249</v>
      </c>
      <c r="D240" s="207">
        <f t="shared" si="3"/>
        <v>0</v>
      </c>
      <c r="E240" s="4">
        <v>834</v>
      </c>
      <c r="F240" s="4">
        <v>1</v>
      </c>
      <c r="G240" s="2" t="s">
        <v>994</v>
      </c>
    </row>
    <row r="241" spans="1:7" x14ac:dyDescent="0.2">
      <c r="A241" s="17">
        <v>836</v>
      </c>
      <c r="B241" s="17">
        <v>1</v>
      </c>
      <c r="C241" s="3" t="s">
        <v>250</v>
      </c>
      <c r="D241" s="207">
        <f t="shared" si="3"/>
        <v>0</v>
      </c>
      <c r="E241" s="4">
        <v>836</v>
      </c>
      <c r="F241" s="4">
        <v>1</v>
      </c>
      <c r="G241" s="2" t="s">
        <v>995</v>
      </c>
    </row>
    <row r="242" spans="1:7" x14ac:dyDescent="0.2">
      <c r="A242" s="17">
        <v>837</v>
      </c>
      <c r="B242" s="17">
        <v>1</v>
      </c>
      <c r="C242" s="3" t="s">
        <v>251</v>
      </c>
      <c r="D242" s="207">
        <f t="shared" si="3"/>
        <v>0</v>
      </c>
      <c r="E242" s="4">
        <v>837</v>
      </c>
      <c r="F242" s="4">
        <v>1</v>
      </c>
      <c r="G242" s="2" t="s">
        <v>996</v>
      </c>
    </row>
    <row r="243" spans="1:7" x14ac:dyDescent="0.2">
      <c r="A243" s="17">
        <v>840</v>
      </c>
      <c r="B243" s="17">
        <v>1</v>
      </c>
      <c r="C243" s="3" t="s">
        <v>252</v>
      </c>
      <c r="D243" s="207">
        <f t="shared" si="3"/>
        <v>0</v>
      </c>
      <c r="E243" s="4">
        <v>840</v>
      </c>
      <c r="F243" s="4">
        <v>1</v>
      </c>
      <c r="G243" s="2" t="s">
        <v>997</v>
      </c>
    </row>
    <row r="244" spans="1:7" x14ac:dyDescent="0.2">
      <c r="A244" s="17">
        <v>846</v>
      </c>
      <c r="B244" s="17">
        <v>1</v>
      </c>
      <c r="C244" s="3" t="s">
        <v>253</v>
      </c>
      <c r="D244" s="207">
        <f t="shared" si="3"/>
        <v>0</v>
      </c>
      <c r="E244" s="4">
        <v>846</v>
      </c>
      <c r="F244" s="4">
        <v>1</v>
      </c>
      <c r="G244" s="2" t="s">
        <v>998</v>
      </c>
    </row>
    <row r="245" spans="1:7" x14ac:dyDescent="0.2">
      <c r="A245" s="17">
        <v>850</v>
      </c>
      <c r="B245" s="17">
        <v>1</v>
      </c>
      <c r="C245" s="3" t="s">
        <v>254</v>
      </c>
      <c r="D245" s="207">
        <f t="shared" si="3"/>
        <v>0</v>
      </c>
      <c r="E245" s="4">
        <v>850</v>
      </c>
      <c r="F245" s="4">
        <v>1</v>
      </c>
      <c r="G245" s="2" t="s">
        <v>999</v>
      </c>
    </row>
    <row r="246" spans="1:7" x14ac:dyDescent="0.2">
      <c r="A246" s="17">
        <v>852</v>
      </c>
      <c r="B246" s="17">
        <v>1</v>
      </c>
      <c r="C246" s="3" t="s">
        <v>255</v>
      </c>
      <c r="D246" s="207">
        <f t="shared" si="3"/>
        <v>0</v>
      </c>
      <c r="E246" s="4">
        <v>852</v>
      </c>
      <c r="F246" s="4">
        <v>1</v>
      </c>
      <c r="G246" s="2" t="s">
        <v>1000</v>
      </c>
    </row>
    <row r="247" spans="1:7" x14ac:dyDescent="0.2">
      <c r="A247" s="17">
        <v>857</v>
      </c>
      <c r="B247" s="17">
        <v>1</v>
      </c>
      <c r="C247" s="3" t="s">
        <v>256</v>
      </c>
      <c r="D247" s="207">
        <f t="shared" si="3"/>
        <v>0</v>
      </c>
      <c r="E247" s="4">
        <v>857</v>
      </c>
      <c r="F247" s="4">
        <v>1</v>
      </c>
      <c r="G247" s="2" t="s">
        <v>1001</v>
      </c>
    </row>
    <row r="248" spans="1:7" x14ac:dyDescent="0.2">
      <c r="A248" s="17">
        <v>858</v>
      </c>
      <c r="B248" s="17">
        <v>1</v>
      </c>
      <c r="C248" s="3" t="s">
        <v>257</v>
      </c>
      <c r="D248" s="207">
        <f t="shared" si="3"/>
        <v>0</v>
      </c>
      <c r="E248" s="4">
        <v>858</v>
      </c>
      <c r="F248" s="4">
        <v>1</v>
      </c>
      <c r="G248" s="2" t="s">
        <v>1002</v>
      </c>
    </row>
    <row r="249" spans="1:7" x14ac:dyDescent="0.2">
      <c r="A249" s="17">
        <v>861</v>
      </c>
      <c r="B249" s="17">
        <v>1</v>
      </c>
      <c r="C249" s="162" t="s">
        <v>1196</v>
      </c>
      <c r="D249" s="207">
        <f t="shared" si="3"/>
        <v>0</v>
      </c>
      <c r="E249" s="4">
        <v>861</v>
      </c>
      <c r="F249" s="4">
        <v>1</v>
      </c>
      <c r="G249" s="2" t="s">
        <v>1003</v>
      </c>
    </row>
    <row r="250" spans="1:7" x14ac:dyDescent="0.2">
      <c r="A250" s="17">
        <v>876</v>
      </c>
      <c r="B250" s="17">
        <v>1</v>
      </c>
      <c r="C250" s="3" t="s">
        <v>259</v>
      </c>
      <c r="D250" s="207">
        <f t="shared" si="3"/>
        <v>0</v>
      </c>
      <c r="E250" s="4">
        <v>876</v>
      </c>
      <c r="F250" s="4">
        <v>1</v>
      </c>
      <c r="G250" s="2" t="s">
        <v>1004</v>
      </c>
    </row>
    <row r="251" spans="1:7" x14ac:dyDescent="0.2">
      <c r="A251" s="17">
        <v>877</v>
      </c>
      <c r="B251" s="17">
        <v>1</v>
      </c>
      <c r="C251" s="2" t="s">
        <v>1005</v>
      </c>
      <c r="D251" s="207">
        <f t="shared" si="3"/>
        <v>0</v>
      </c>
      <c r="E251" s="4">
        <v>877</v>
      </c>
      <c r="F251" s="4">
        <v>1</v>
      </c>
      <c r="G251" s="2" t="s">
        <v>1005</v>
      </c>
    </row>
    <row r="252" spans="1:7" x14ac:dyDescent="0.2">
      <c r="A252" s="17">
        <v>879</v>
      </c>
      <c r="B252" s="17">
        <v>1</v>
      </c>
      <c r="C252" s="3" t="s">
        <v>261</v>
      </c>
      <c r="D252" s="207">
        <f t="shared" si="3"/>
        <v>0</v>
      </c>
      <c r="E252" s="4">
        <v>879</v>
      </c>
      <c r="F252" s="4">
        <v>1</v>
      </c>
      <c r="G252" s="2" t="s">
        <v>1006</v>
      </c>
    </row>
    <row r="253" spans="1:7" x14ac:dyDescent="0.2">
      <c r="A253" s="17">
        <v>881</v>
      </c>
      <c r="B253" s="17">
        <v>1</v>
      </c>
      <c r="C253" s="3" t="s">
        <v>262</v>
      </c>
      <c r="D253" s="207">
        <f t="shared" si="3"/>
        <v>0</v>
      </c>
      <c r="E253" s="4">
        <v>881</v>
      </c>
      <c r="F253" s="4">
        <v>1</v>
      </c>
      <c r="G253" s="2" t="s">
        <v>1007</v>
      </c>
    </row>
    <row r="254" spans="1:7" x14ac:dyDescent="0.2">
      <c r="A254" s="17">
        <v>882</v>
      </c>
      <c r="B254" s="17">
        <v>1</v>
      </c>
      <c r="C254" s="3" t="s">
        <v>263</v>
      </c>
      <c r="D254" s="207">
        <f t="shared" si="3"/>
        <v>0</v>
      </c>
      <c r="E254" s="4">
        <v>882</v>
      </c>
      <c r="F254" s="4">
        <v>1</v>
      </c>
      <c r="G254" s="2" t="s">
        <v>1008</v>
      </c>
    </row>
    <row r="255" spans="1:7" x14ac:dyDescent="0.2">
      <c r="A255" s="17">
        <v>883</v>
      </c>
      <c r="B255" s="17">
        <v>1</v>
      </c>
      <c r="C255" s="3" t="s">
        <v>264</v>
      </c>
      <c r="D255" s="207">
        <f t="shared" si="3"/>
        <v>0</v>
      </c>
      <c r="E255" s="4">
        <v>883</v>
      </c>
      <c r="F255" s="4">
        <v>1</v>
      </c>
      <c r="G255" s="2" t="s">
        <v>1009</v>
      </c>
    </row>
    <row r="256" spans="1:7" x14ac:dyDescent="0.2">
      <c r="A256" s="17">
        <v>885</v>
      </c>
      <c r="B256" s="17">
        <v>1</v>
      </c>
      <c r="C256" s="161" t="s">
        <v>1197</v>
      </c>
      <c r="D256" s="207">
        <f t="shared" si="3"/>
        <v>0</v>
      </c>
      <c r="E256" s="4">
        <v>885</v>
      </c>
      <c r="F256" s="4">
        <v>1</v>
      </c>
      <c r="G256" s="2" t="s">
        <v>1010</v>
      </c>
    </row>
    <row r="257" spans="1:7" x14ac:dyDescent="0.2">
      <c r="A257" s="17">
        <v>891</v>
      </c>
      <c r="B257" s="17">
        <v>1</v>
      </c>
      <c r="C257" s="3" t="s">
        <v>266</v>
      </c>
      <c r="D257" s="207">
        <f t="shared" si="3"/>
        <v>0</v>
      </c>
      <c r="E257" s="4">
        <v>891</v>
      </c>
      <c r="F257" s="4">
        <v>1</v>
      </c>
      <c r="G257" s="2" t="s">
        <v>1011</v>
      </c>
    </row>
    <row r="258" spans="1:7" x14ac:dyDescent="0.2">
      <c r="A258" s="17">
        <v>911</v>
      </c>
      <c r="B258" s="17">
        <v>1</v>
      </c>
      <c r="C258" s="3" t="s">
        <v>267</v>
      </c>
      <c r="D258" s="207">
        <f t="shared" si="3"/>
        <v>0</v>
      </c>
      <c r="E258" s="4">
        <v>911</v>
      </c>
      <c r="F258" s="4">
        <v>1</v>
      </c>
      <c r="G258" s="2" t="s">
        <v>1012</v>
      </c>
    </row>
    <row r="259" spans="1:7" x14ac:dyDescent="0.2">
      <c r="A259" s="17">
        <v>912</v>
      </c>
      <c r="B259" s="17">
        <v>1</v>
      </c>
      <c r="C259" s="3" t="s">
        <v>268</v>
      </c>
      <c r="D259" s="207">
        <f t="shared" ref="D259:D322" si="4">E259-A259</f>
        <v>0</v>
      </c>
      <c r="E259" s="4">
        <v>912</v>
      </c>
      <c r="F259" s="4">
        <v>1</v>
      </c>
      <c r="G259" s="2" t="s">
        <v>1013</v>
      </c>
    </row>
    <row r="260" spans="1:7" x14ac:dyDescent="0.2">
      <c r="A260" s="17">
        <v>914</v>
      </c>
      <c r="B260" s="17">
        <v>1</v>
      </c>
      <c r="C260" s="3" t="s">
        <v>269</v>
      </c>
      <c r="D260" s="207">
        <f t="shared" si="4"/>
        <v>0</v>
      </c>
      <c r="E260" s="4">
        <v>914</v>
      </c>
      <c r="F260" s="4">
        <v>1</v>
      </c>
      <c r="G260" s="2" t="s">
        <v>1014</v>
      </c>
    </row>
    <row r="261" spans="1:7" x14ac:dyDescent="0.2">
      <c r="A261" s="17">
        <v>2071</v>
      </c>
      <c r="B261" s="17">
        <v>1</v>
      </c>
      <c r="C261" s="162" t="s">
        <v>1166</v>
      </c>
      <c r="D261" s="207">
        <f t="shared" si="4"/>
        <v>0</v>
      </c>
      <c r="E261" s="4">
        <v>2071</v>
      </c>
      <c r="F261" s="4">
        <v>1</v>
      </c>
      <c r="G261" s="2" t="s">
        <v>1015</v>
      </c>
    </row>
    <row r="262" spans="1:7" x14ac:dyDescent="0.2">
      <c r="A262" s="17">
        <v>2125</v>
      </c>
      <c r="B262" s="17">
        <v>1</v>
      </c>
      <c r="C262" s="3" t="s">
        <v>271</v>
      </c>
      <c r="D262" s="207">
        <f t="shared" si="4"/>
        <v>0</v>
      </c>
      <c r="E262" s="4">
        <v>2125</v>
      </c>
      <c r="F262" s="4">
        <v>1</v>
      </c>
      <c r="G262" s="2" t="s">
        <v>1016</v>
      </c>
    </row>
    <row r="263" spans="1:7" x14ac:dyDescent="0.2">
      <c r="A263" s="17">
        <v>2134</v>
      </c>
      <c r="B263" s="17">
        <v>1</v>
      </c>
      <c r="C263" s="162" t="s">
        <v>1165</v>
      </c>
      <c r="D263" s="207">
        <f t="shared" si="4"/>
        <v>0</v>
      </c>
      <c r="E263" s="4">
        <v>2134</v>
      </c>
      <c r="F263" s="4">
        <v>1</v>
      </c>
      <c r="G263" s="2" t="s">
        <v>1017</v>
      </c>
    </row>
    <row r="264" spans="1:7" x14ac:dyDescent="0.2">
      <c r="A264" s="17">
        <v>2135</v>
      </c>
      <c r="B264" s="17">
        <v>1</v>
      </c>
      <c r="C264" s="3" t="s">
        <v>273</v>
      </c>
      <c r="D264" s="207">
        <f t="shared" si="4"/>
        <v>0</v>
      </c>
      <c r="E264" s="4">
        <v>2135</v>
      </c>
      <c r="F264" s="4">
        <v>1</v>
      </c>
      <c r="G264" s="2" t="s">
        <v>1018</v>
      </c>
    </row>
    <row r="265" spans="1:7" x14ac:dyDescent="0.2">
      <c r="A265" s="17">
        <v>2137</v>
      </c>
      <c r="B265" s="17">
        <v>1</v>
      </c>
      <c r="C265" s="3" t="s">
        <v>274</v>
      </c>
      <c r="D265" s="207">
        <f t="shared" si="4"/>
        <v>0</v>
      </c>
      <c r="E265" s="4">
        <v>2137</v>
      </c>
      <c r="F265" s="4">
        <v>1</v>
      </c>
      <c r="G265" s="2" t="s">
        <v>1019</v>
      </c>
    </row>
    <row r="266" spans="1:7" x14ac:dyDescent="0.2">
      <c r="A266" s="17">
        <v>2142</v>
      </c>
      <c r="B266" s="17">
        <v>1</v>
      </c>
      <c r="C266" s="3" t="s">
        <v>275</v>
      </c>
      <c r="D266" s="207">
        <f t="shared" si="4"/>
        <v>0</v>
      </c>
      <c r="E266" s="4">
        <v>2142</v>
      </c>
      <c r="F266" s="4">
        <v>1</v>
      </c>
      <c r="G266" s="2" t="s">
        <v>1020</v>
      </c>
    </row>
    <row r="267" spans="1:7" x14ac:dyDescent="0.2">
      <c r="A267" s="17">
        <v>2143</v>
      </c>
      <c r="B267" s="17">
        <v>1</v>
      </c>
      <c r="C267" s="162" t="s">
        <v>1164</v>
      </c>
      <c r="D267" s="207">
        <f t="shared" si="4"/>
        <v>0</v>
      </c>
      <c r="E267" s="4">
        <v>2143</v>
      </c>
      <c r="F267" s="4">
        <v>1</v>
      </c>
      <c r="G267" s="2" t="s">
        <v>1021</v>
      </c>
    </row>
    <row r="268" spans="1:7" x14ac:dyDescent="0.2">
      <c r="A268" s="17">
        <v>2144</v>
      </c>
      <c r="B268" s="17">
        <v>1</v>
      </c>
      <c r="C268" s="3" t="s">
        <v>277</v>
      </c>
      <c r="D268" s="207">
        <f t="shared" si="4"/>
        <v>0</v>
      </c>
      <c r="E268" s="4">
        <v>2144</v>
      </c>
      <c r="F268" s="4">
        <v>1</v>
      </c>
      <c r="G268" s="2" t="s">
        <v>1022</v>
      </c>
    </row>
    <row r="269" spans="1:7" x14ac:dyDescent="0.2">
      <c r="A269" s="17">
        <v>2149</v>
      </c>
      <c r="B269" s="17">
        <v>1</v>
      </c>
      <c r="C269" s="3" t="s">
        <v>278</v>
      </c>
      <c r="D269" s="207">
        <f t="shared" si="4"/>
        <v>0</v>
      </c>
      <c r="E269" s="4">
        <v>2149</v>
      </c>
      <c r="F269" s="4">
        <v>1</v>
      </c>
      <c r="G269" s="2" t="s">
        <v>1023</v>
      </c>
    </row>
    <row r="270" spans="1:7" x14ac:dyDescent="0.2">
      <c r="A270" s="17">
        <v>2154</v>
      </c>
      <c r="B270" s="17">
        <v>1</v>
      </c>
      <c r="C270" s="3" t="s">
        <v>279</v>
      </c>
      <c r="D270" s="207">
        <f t="shared" si="4"/>
        <v>0</v>
      </c>
      <c r="E270" s="4">
        <v>2154</v>
      </c>
      <c r="F270" s="4">
        <v>1</v>
      </c>
      <c r="G270" s="2" t="s">
        <v>1024</v>
      </c>
    </row>
    <row r="271" spans="1:7" x14ac:dyDescent="0.2">
      <c r="A271" s="17">
        <v>2155</v>
      </c>
      <c r="B271" s="17">
        <v>1</v>
      </c>
      <c r="C271" s="162" t="s">
        <v>1163</v>
      </c>
      <c r="D271" s="207">
        <f t="shared" si="4"/>
        <v>0</v>
      </c>
      <c r="E271" s="4">
        <v>2155</v>
      </c>
      <c r="F271" s="4">
        <v>1</v>
      </c>
      <c r="G271" s="2" t="s">
        <v>1025</v>
      </c>
    </row>
    <row r="272" spans="1:7" x14ac:dyDescent="0.2">
      <c r="A272" s="17">
        <v>2159</v>
      </c>
      <c r="B272" s="17">
        <v>1</v>
      </c>
      <c r="C272" s="162" t="s">
        <v>1162</v>
      </c>
      <c r="D272" s="207">
        <f t="shared" si="4"/>
        <v>0</v>
      </c>
      <c r="E272" s="4">
        <v>2159</v>
      </c>
      <c r="F272" s="4">
        <v>1</v>
      </c>
      <c r="G272" s="2" t="s">
        <v>1026</v>
      </c>
    </row>
    <row r="273" spans="1:7" x14ac:dyDescent="0.2">
      <c r="A273" s="17">
        <v>2164</v>
      </c>
      <c r="B273" s="17">
        <v>1</v>
      </c>
      <c r="C273" s="162" t="s">
        <v>1161</v>
      </c>
      <c r="D273" s="207">
        <f t="shared" si="4"/>
        <v>0</v>
      </c>
      <c r="E273" s="4">
        <v>2164</v>
      </c>
      <c r="F273" s="4">
        <v>1</v>
      </c>
      <c r="G273" s="2" t="s">
        <v>1027</v>
      </c>
    </row>
    <row r="274" spans="1:7" x14ac:dyDescent="0.2">
      <c r="A274" s="17">
        <v>2165</v>
      </c>
      <c r="B274" s="17">
        <v>1</v>
      </c>
      <c r="C274" s="162" t="s">
        <v>1160</v>
      </c>
      <c r="D274" s="207">
        <f t="shared" si="4"/>
        <v>0</v>
      </c>
      <c r="E274" s="4">
        <v>2165</v>
      </c>
      <c r="F274" s="4">
        <v>1</v>
      </c>
      <c r="G274" s="2" t="s">
        <v>1028</v>
      </c>
    </row>
    <row r="275" spans="1:7" x14ac:dyDescent="0.2">
      <c r="A275" s="17">
        <v>2167</v>
      </c>
      <c r="B275" s="17">
        <v>1</v>
      </c>
      <c r="C275" s="3" t="s">
        <v>284</v>
      </c>
      <c r="D275" s="207">
        <f t="shared" si="4"/>
        <v>0</v>
      </c>
      <c r="E275" s="4">
        <v>2167</v>
      </c>
      <c r="F275" s="4">
        <v>1</v>
      </c>
      <c r="G275" s="2" t="s">
        <v>1029</v>
      </c>
    </row>
    <row r="276" spans="1:7" x14ac:dyDescent="0.2">
      <c r="A276" s="17">
        <v>2168</v>
      </c>
      <c r="B276" s="17">
        <v>1</v>
      </c>
      <c r="C276" s="3" t="s">
        <v>285</v>
      </c>
      <c r="D276" s="207">
        <f t="shared" si="4"/>
        <v>0</v>
      </c>
      <c r="E276" s="4">
        <v>2168</v>
      </c>
      <c r="F276" s="4">
        <v>1</v>
      </c>
      <c r="G276" s="2" t="s">
        <v>1030</v>
      </c>
    </row>
    <row r="277" spans="1:7" x14ac:dyDescent="0.2">
      <c r="A277" s="17">
        <v>2169</v>
      </c>
      <c r="B277" s="17">
        <v>1</v>
      </c>
      <c r="C277" s="162" t="s">
        <v>1159</v>
      </c>
      <c r="D277" s="207">
        <f t="shared" si="4"/>
        <v>0</v>
      </c>
      <c r="E277" s="4">
        <v>2169</v>
      </c>
      <c r="F277" s="4">
        <v>1</v>
      </c>
      <c r="G277" s="2" t="s">
        <v>1031</v>
      </c>
    </row>
    <row r="278" spans="1:7" x14ac:dyDescent="0.2">
      <c r="A278" s="17">
        <v>2170</v>
      </c>
      <c r="B278" s="17">
        <v>1</v>
      </c>
      <c r="C278" s="3" t="s">
        <v>287</v>
      </c>
      <c r="D278" s="207">
        <f t="shared" si="4"/>
        <v>0</v>
      </c>
      <c r="E278" s="4">
        <v>2170</v>
      </c>
      <c r="F278" s="4">
        <v>1</v>
      </c>
      <c r="G278" s="2" t="s">
        <v>1032</v>
      </c>
    </row>
    <row r="279" spans="1:7" x14ac:dyDescent="0.2">
      <c r="A279" s="17">
        <v>2171</v>
      </c>
      <c r="B279" s="17">
        <v>1</v>
      </c>
      <c r="C279" s="3" t="s">
        <v>288</v>
      </c>
      <c r="D279" s="207">
        <f t="shared" si="4"/>
        <v>0</v>
      </c>
      <c r="E279" s="4">
        <v>2171</v>
      </c>
      <c r="F279" s="4">
        <v>1</v>
      </c>
      <c r="G279" s="2" t="s">
        <v>1033</v>
      </c>
    </row>
    <row r="280" spans="1:7" x14ac:dyDescent="0.2">
      <c r="A280" s="17">
        <v>2172</v>
      </c>
      <c r="B280" s="17">
        <v>1</v>
      </c>
      <c r="C280" s="3" t="s">
        <v>289</v>
      </c>
      <c r="D280" s="207">
        <f t="shared" si="4"/>
        <v>0</v>
      </c>
      <c r="E280" s="4">
        <v>2172</v>
      </c>
      <c r="F280" s="4">
        <v>1</v>
      </c>
      <c r="G280" s="2" t="s">
        <v>1034</v>
      </c>
    </row>
    <row r="281" spans="1:7" x14ac:dyDescent="0.2">
      <c r="A281" s="17">
        <v>2174</v>
      </c>
      <c r="B281" s="17">
        <v>1</v>
      </c>
      <c r="C281" s="162" t="s">
        <v>1158</v>
      </c>
      <c r="D281" s="207">
        <f t="shared" si="4"/>
        <v>0</v>
      </c>
      <c r="E281" s="4">
        <v>2174</v>
      </c>
      <c r="F281" s="4">
        <v>1</v>
      </c>
      <c r="G281" s="2" t="s">
        <v>1035</v>
      </c>
    </row>
    <row r="282" spans="1:7" x14ac:dyDescent="0.2">
      <c r="A282" s="17">
        <v>2176</v>
      </c>
      <c r="B282" s="17">
        <v>1</v>
      </c>
      <c r="C282" s="162" t="s">
        <v>1157</v>
      </c>
      <c r="D282" s="207">
        <f t="shared" si="4"/>
        <v>0</v>
      </c>
      <c r="E282" s="4">
        <v>2176</v>
      </c>
      <c r="F282" s="4">
        <v>1</v>
      </c>
      <c r="G282" s="2" t="s">
        <v>1036</v>
      </c>
    </row>
    <row r="283" spans="1:7" x14ac:dyDescent="0.2">
      <c r="A283" s="17">
        <v>2180</v>
      </c>
      <c r="B283" s="17">
        <v>1</v>
      </c>
      <c r="C283" s="3" t="s">
        <v>292</v>
      </c>
      <c r="D283" s="207">
        <f t="shared" si="4"/>
        <v>0</v>
      </c>
      <c r="E283" s="4">
        <v>2180</v>
      </c>
      <c r="F283" s="4">
        <v>1</v>
      </c>
      <c r="G283" s="2" t="s">
        <v>1037</v>
      </c>
    </row>
    <row r="284" spans="1:7" x14ac:dyDescent="0.2">
      <c r="A284" s="17">
        <v>2184</v>
      </c>
      <c r="B284" s="17">
        <v>1</v>
      </c>
      <c r="C284" s="3" t="s">
        <v>293</v>
      </c>
      <c r="D284" s="207">
        <f t="shared" si="4"/>
        <v>0</v>
      </c>
      <c r="E284" s="4">
        <v>2184</v>
      </c>
      <c r="F284" s="4">
        <v>1</v>
      </c>
      <c r="G284" s="2" t="s">
        <v>1038</v>
      </c>
    </row>
    <row r="285" spans="1:7" x14ac:dyDescent="0.2">
      <c r="A285" s="17">
        <v>2190</v>
      </c>
      <c r="B285" s="17">
        <v>1</v>
      </c>
      <c r="C285" s="162" t="s">
        <v>1156</v>
      </c>
      <c r="D285" s="207">
        <f t="shared" si="4"/>
        <v>0</v>
      </c>
      <c r="E285" s="4">
        <v>2190</v>
      </c>
      <c r="F285" s="4">
        <v>1</v>
      </c>
      <c r="G285" s="2" t="s">
        <v>1039</v>
      </c>
    </row>
    <row r="286" spans="1:7" x14ac:dyDescent="0.2">
      <c r="A286" s="17">
        <v>2198</v>
      </c>
      <c r="B286" s="17">
        <v>1</v>
      </c>
      <c r="C286" s="3" t="s">
        <v>295</v>
      </c>
      <c r="D286" s="207">
        <f t="shared" si="4"/>
        <v>0</v>
      </c>
      <c r="E286" s="4">
        <v>2198</v>
      </c>
      <c r="F286" s="4">
        <v>1</v>
      </c>
      <c r="G286" s="2" t="s">
        <v>1040</v>
      </c>
    </row>
    <row r="287" spans="1:7" x14ac:dyDescent="0.2">
      <c r="A287" s="17">
        <v>2215</v>
      </c>
      <c r="B287" s="17">
        <v>1</v>
      </c>
      <c r="C287" s="162" t="s">
        <v>1155</v>
      </c>
      <c r="D287" s="207">
        <f t="shared" si="4"/>
        <v>0</v>
      </c>
      <c r="E287" s="4">
        <v>2215</v>
      </c>
      <c r="F287" s="4">
        <v>1</v>
      </c>
      <c r="G287" s="2" t="s">
        <v>1041</v>
      </c>
    </row>
    <row r="288" spans="1:7" x14ac:dyDescent="0.2">
      <c r="A288" s="17">
        <v>2310</v>
      </c>
      <c r="B288" s="17">
        <v>1</v>
      </c>
      <c r="C288" s="3" t="s">
        <v>297</v>
      </c>
      <c r="D288" s="207">
        <f t="shared" si="4"/>
        <v>0</v>
      </c>
      <c r="E288" s="4">
        <v>2310</v>
      </c>
      <c r="F288" s="4">
        <v>1</v>
      </c>
      <c r="G288" s="2" t="s">
        <v>1042</v>
      </c>
    </row>
    <row r="289" spans="1:7" x14ac:dyDescent="0.2">
      <c r="A289" s="17">
        <v>2311</v>
      </c>
      <c r="B289" s="17">
        <v>1</v>
      </c>
      <c r="C289" s="162" t="s">
        <v>1154</v>
      </c>
      <c r="D289" s="207">
        <f t="shared" si="4"/>
        <v>0</v>
      </c>
      <c r="E289" s="4">
        <v>2311</v>
      </c>
      <c r="F289" s="4">
        <v>1</v>
      </c>
      <c r="G289" s="2" t="s">
        <v>1043</v>
      </c>
    </row>
    <row r="290" spans="1:7" x14ac:dyDescent="0.2">
      <c r="A290" s="17">
        <v>2342</v>
      </c>
      <c r="B290" s="17">
        <v>1</v>
      </c>
      <c r="C290" s="162" t="s">
        <v>1153</v>
      </c>
      <c r="D290" s="207">
        <f t="shared" si="4"/>
        <v>0</v>
      </c>
      <c r="E290" s="4">
        <v>2342</v>
      </c>
      <c r="F290" s="4">
        <v>1</v>
      </c>
      <c r="G290" s="2" t="s">
        <v>1044</v>
      </c>
    </row>
    <row r="291" spans="1:7" x14ac:dyDescent="0.2">
      <c r="A291" s="17">
        <v>2358</v>
      </c>
      <c r="B291" s="17">
        <v>1</v>
      </c>
      <c r="C291" s="3" t="s">
        <v>300</v>
      </c>
      <c r="D291" s="207">
        <f t="shared" si="4"/>
        <v>0</v>
      </c>
      <c r="E291" s="4">
        <v>2358</v>
      </c>
      <c r="F291" s="4">
        <v>1</v>
      </c>
      <c r="G291" s="2" t="s">
        <v>1045</v>
      </c>
    </row>
    <row r="292" spans="1:7" x14ac:dyDescent="0.2">
      <c r="A292" s="17">
        <v>2364</v>
      </c>
      <c r="B292" s="17">
        <v>1</v>
      </c>
      <c r="C292" s="162" t="s">
        <v>1152</v>
      </c>
      <c r="D292" s="207">
        <f t="shared" si="4"/>
        <v>0</v>
      </c>
      <c r="E292" s="4">
        <v>2364</v>
      </c>
      <c r="F292" s="4">
        <v>1</v>
      </c>
      <c r="G292" s="2" t="s">
        <v>1046</v>
      </c>
    </row>
    <row r="293" spans="1:7" x14ac:dyDescent="0.2">
      <c r="A293" s="17">
        <v>2365</v>
      </c>
      <c r="B293" s="17">
        <v>1</v>
      </c>
      <c r="C293" s="3" t="s">
        <v>302</v>
      </c>
      <c r="D293" s="207">
        <f t="shared" si="4"/>
        <v>0</v>
      </c>
      <c r="E293" s="4">
        <v>2365</v>
      </c>
      <c r="F293" s="4">
        <v>1</v>
      </c>
      <c r="G293" s="2" t="s">
        <v>1047</v>
      </c>
    </row>
    <row r="294" spans="1:7" x14ac:dyDescent="0.2">
      <c r="A294" s="17">
        <v>2396</v>
      </c>
      <c r="B294" s="17">
        <v>1</v>
      </c>
      <c r="C294" s="3" t="s">
        <v>303</v>
      </c>
      <c r="D294" s="207">
        <f t="shared" si="4"/>
        <v>0</v>
      </c>
      <c r="E294" s="4">
        <v>2396</v>
      </c>
      <c r="F294" s="4">
        <v>1</v>
      </c>
      <c r="G294" s="2" t="s">
        <v>1048</v>
      </c>
    </row>
    <row r="295" spans="1:7" x14ac:dyDescent="0.2">
      <c r="A295" s="17">
        <v>2397</v>
      </c>
      <c r="B295" s="17">
        <v>1</v>
      </c>
      <c r="C295" s="162" t="s">
        <v>1151</v>
      </c>
      <c r="D295" s="207">
        <f t="shared" si="4"/>
        <v>0</v>
      </c>
      <c r="E295" s="4">
        <v>2397</v>
      </c>
      <c r="F295" s="4">
        <v>1</v>
      </c>
      <c r="G295" s="2" t="s">
        <v>1049</v>
      </c>
    </row>
    <row r="296" spans="1:7" x14ac:dyDescent="0.2">
      <c r="A296" s="17">
        <v>2448</v>
      </c>
      <c r="B296" s="17">
        <v>1</v>
      </c>
      <c r="C296" s="162" t="s">
        <v>1150</v>
      </c>
      <c r="D296" s="207">
        <f t="shared" si="4"/>
        <v>0</v>
      </c>
      <c r="E296" s="4">
        <v>2448</v>
      </c>
      <c r="F296" s="4">
        <v>1</v>
      </c>
      <c r="G296" s="2" t="s">
        <v>1050</v>
      </c>
    </row>
    <row r="297" spans="1:7" x14ac:dyDescent="0.2">
      <c r="A297" s="17">
        <v>2527</v>
      </c>
      <c r="B297" s="17">
        <v>1</v>
      </c>
      <c r="C297" s="162" t="s">
        <v>1149</v>
      </c>
      <c r="D297" s="207">
        <f t="shared" si="4"/>
        <v>0</v>
      </c>
      <c r="E297" s="4">
        <v>2527</v>
      </c>
      <c r="F297" s="4">
        <v>1</v>
      </c>
      <c r="G297" s="2" t="s">
        <v>1051</v>
      </c>
    </row>
    <row r="298" spans="1:7" x14ac:dyDescent="0.2">
      <c r="A298" s="17">
        <v>2534</v>
      </c>
      <c r="B298" s="17">
        <v>1</v>
      </c>
      <c r="C298" s="162" t="s">
        <v>1148</v>
      </c>
      <c r="D298" s="207">
        <f t="shared" si="4"/>
        <v>0</v>
      </c>
      <c r="E298" s="4">
        <v>2534</v>
      </c>
      <c r="F298" s="4">
        <v>1</v>
      </c>
      <c r="G298" s="2" t="s">
        <v>1052</v>
      </c>
    </row>
    <row r="299" spans="1:7" x14ac:dyDescent="0.2">
      <c r="A299" s="17">
        <v>2536</v>
      </c>
      <c r="B299" s="17">
        <v>1</v>
      </c>
      <c r="C299" s="162" t="s">
        <v>1146</v>
      </c>
      <c r="D299" s="207">
        <f t="shared" si="4"/>
        <v>0</v>
      </c>
      <c r="E299" s="4">
        <v>2536</v>
      </c>
      <c r="F299" s="4">
        <v>1</v>
      </c>
      <c r="G299" s="2" t="s">
        <v>1053</v>
      </c>
    </row>
    <row r="300" spans="1:7" x14ac:dyDescent="0.2">
      <c r="A300" s="17">
        <v>2580</v>
      </c>
      <c r="B300" s="17">
        <v>1</v>
      </c>
      <c r="C300" s="161" t="s">
        <v>1147</v>
      </c>
      <c r="D300" s="207">
        <f t="shared" si="4"/>
        <v>0</v>
      </c>
      <c r="E300" s="4">
        <v>2580</v>
      </c>
      <c r="F300" s="4">
        <v>1</v>
      </c>
      <c r="G300" s="2" t="s">
        <v>1054</v>
      </c>
    </row>
    <row r="301" spans="1:7" x14ac:dyDescent="0.2">
      <c r="A301" s="17">
        <v>2609</v>
      </c>
      <c r="B301" s="17">
        <v>1</v>
      </c>
      <c r="C301" s="3" t="s">
        <v>310</v>
      </c>
      <c r="D301" s="207">
        <f t="shared" si="4"/>
        <v>0</v>
      </c>
      <c r="E301" s="4">
        <v>2609</v>
      </c>
      <c r="F301" s="4">
        <v>1</v>
      </c>
      <c r="G301" s="2" t="s">
        <v>1055</v>
      </c>
    </row>
    <row r="302" spans="1:7" x14ac:dyDescent="0.2">
      <c r="A302" s="17">
        <v>2683</v>
      </c>
      <c r="B302" s="17">
        <v>1</v>
      </c>
      <c r="C302" s="162" t="s">
        <v>1145</v>
      </c>
      <c r="D302" s="207">
        <f t="shared" si="4"/>
        <v>0</v>
      </c>
      <c r="E302" s="4">
        <v>2683</v>
      </c>
      <c r="F302" s="4">
        <v>1</v>
      </c>
      <c r="G302" s="2" t="s">
        <v>1056</v>
      </c>
    </row>
    <row r="303" spans="1:7" x14ac:dyDescent="0.2">
      <c r="A303" s="17">
        <v>2687</v>
      </c>
      <c r="B303" s="17">
        <v>1</v>
      </c>
      <c r="C303" s="162" t="s">
        <v>1144</v>
      </c>
      <c r="D303" s="207">
        <f t="shared" si="4"/>
        <v>0</v>
      </c>
      <c r="E303" s="4">
        <v>2687</v>
      </c>
      <c r="F303" s="4">
        <v>1</v>
      </c>
      <c r="G303" s="2" t="s">
        <v>1057</v>
      </c>
    </row>
    <row r="304" spans="1:7" x14ac:dyDescent="0.2">
      <c r="A304" s="17">
        <v>2689</v>
      </c>
      <c r="B304" s="17">
        <v>1</v>
      </c>
      <c r="C304" s="162" t="s">
        <v>1143</v>
      </c>
      <c r="D304" s="207">
        <f t="shared" si="4"/>
        <v>0</v>
      </c>
      <c r="E304" s="4">
        <v>2689</v>
      </c>
      <c r="F304" s="4">
        <v>1</v>
      </c>
      <c r="G304" s="2" t="s">
        <v>1058</v>
      </c>
    </row>
    <row r="305" spans="1:7" x14ac:dyDescent="0.2">
      <c r="A305" s="17">
        <v>2711</v>
      </c>
      <c r="B305" s="17">
        <v>1</v>
      </c>
      <c r="C305" s="3" t="s">
        <v>314</v>
      </c>
      <c r="D305" s="207">
        <f t="shared" si="4"/>
        <v>0</v>
      </c>
      <c r="E305" s="4">
        <v>2711</v>
      </c>
      <c r="F305" s="4">
        <v>1</v>
      </c>
      <c r="G305" s="2" t="s">
        <v>1059</v>
      </c>
    </row>
    <row r="306" spans="1:7" x14ac:dyDescent="0.2">
      <c r="A306" s="17">
        <v>2752</v>
      </c>
      <c r="B306" s="17">
        <v>1</v>
      </c>
      <c r="C306" s="162" t="s">
        <v>1142</v>
      </c>
      <c r="D306" s="207">
        <f t="shared" si="4"/>
        <v>0</v>
      </c>
      <c r="E306" s="4">
        <v>2752</v>
      </c>
      <c r="F306" s="4">
        <v>1</v>
      </c>
      <c r="G306" s="2" t="s">
        <v>1060</v>
      </c>
    </row>
    <row r="307" spans="1:7" x14ac:dyDescent="0.2">
      <c r="A307" s="17">
        <v>2753</v>
      </c>
      <c r="B307" s="17">
        <v>1</v>
      </c>
      <c r="C307" s="162" t="s">
        <v>1141</v>
      </c>
      <c r="D307" s="207">
        <f t="shared" si="4"/>
        <v>0</v>
      </c>
      <c r="E307" s="4">
        <v>2753</v>
      </c>
      <c r="F307" s="4">
        <v>1</v>
      </c>
      <c r="G307" s="2" t="s">
        <v>1061</v>
      </c>
    </row>
    <row r="308" spans="1:7" x14ac:dyDescent="0.2">
      <c r="A308" s="17">
        <v>2754</v>
      </c>
      <c r="B308" s="17">
        <v>1</v>
      </c>
      <c r="C308" s="3" t="s">
        <v>317</v>
      </c>
      <c r="D308" s="207">
        <f t="shared" si="4"/>
        <v>0</v>
      </c>
      <c r="E308" s="4">
        <v>2754</v>
      </c>
      <c r="F308" s="4">
        <v>1</v>
      </c>
      <c r="G308" s="2" t="s">
        <v>1062</v>
      </c>
    </row>
    <row r="309" spans="1:7" x14ac:dyDescent="0.2">
      <c r="A309" s="17">
        <v>2759</v>
      </c>
      <c r="B309" s="17">
        <v>1</v>
      </c>
      <c r="C309" s="162" t="s">
        <v>1140</v>
      </c>
      <c r="D309" s="207">
        <f t="shared" si="4"/>
        <v>0</v>
      </c>
      <c r="E309" s="4">
        <v>2759</v>
      </c>
      <c r="F309" s="4">
        <v>1</v>
      </c>
      <c r="G309" s="2" t="s">
        <v>1063</v>
      </c>
    </row>
    <row r="310" spans="1:7" x14ac:dyDescent="0.2">
      <c r="A310" s="4">
        <v>2769</v>
      </c>
      <c r="B310" s="4">
        <v>1</v>
      </c>
      <c r="C310" s="161" t="s">
        <v>1167</v>
      </c>
      <c r="D310" s="207">
        <f t="shared" si="4"/>
        <v>0</v>
      </c>
      <c r="E310" s="4">
        <v>2769</v>
      </c>
      <c r="F310" s="4">
        <v>1</v>
      </c>
      <c r="G310" s="2" t="s">
        <v>1084</v>
      </c>
    </row>
    <row r="311" spans="1:7" x14ac:dyDescent="0.2">
      <c r="A311" s="17">
        <v>2805</v>
      </c>
      <c r="B311" s="17">
        <v>1</v>
      </c>
      <c r="C311" s="3" t="s">
        <v>319</v>
      </c>
      <c r="D311" s="207">
        <f t="shared" si="4"/>
        <v>0</v>
      </c>
      <c r="E311" s="4">
        <v>2805</v>
      </c>
      <c r="F311" s="4">
        <v>1</v>
      </c>
      <c r="G311" s="2" t="s">
        <v>1064</v>
      </c>
    </row>
    <row r="312" spans="1:7" x14ac:dyDescent="0.2">
      <c r="A312" s="17">
        <v>2835</v>
      </c>
      <c r="B312" s="17">
        <v>1</v>
      </c>
      <c r="C312" s="162" t="s">
        <v>1139</v>
      </c>
      <c r="D312" s="207">
        <f t="shared" si="4"/>
        <v>0</v>
      </c>
      <c r="E312" s="4">
        <v>2835</v>
      </c>
      <c r="F312" s="4">
        <v>1</v>
      </c>
      <c r="G312" s="2" t="s">
        <v>1065</v>
      </c>
    </row>
    <row r="313" spans="1:7" x14ac:dyDescent="0.2">
      <c r="A313" s="17">
        <v>2853</v>
      </c>
      <c r="B313" s="17">
        <v>1</v>
      </c>
      <c r="C313" s="162" t="s">
        <v>1138</v>
      </c>
      <c r="D313" s="207">
        <f t="shared" si="4"/>
        <v>0</v>
      </c>
      <c r="E313" s="4">
        <v>2853</v>
      </c>
      <c r="F313" s="4">
        <v>1</v>
      </c>
      <c r="G313" s="2" t="s">
        <v>1066</v>
      </c>
    </row>
    <row r="314" spans="1:7" x14ac:dyDescent="0.2">
      <c r="A314" s="17">
        <v>2854</v>
      </c>
      <c r="B314" s="17">
        <v>1</v>
      </c>
      <c r="C314" s="3" t="s">
        <v>322</v>
      </c>
      <c r="D314" s="207">
        <f t="shared" si="4"/>
        <v>0</v>
      </c>
      <c r="E314" s="4">
        <v>2854</v>
      </c>
      <c r="F314" s="4">
        <v>1</v>
      </c>
      <c r="G314" s="2" t="s">
        <v>1067</v>
      </c>
    </row>
    <row r="315" spans="1:7" x14ac:dyDescent="0.2">
      <c r="A315" s="17">
        <v>2856</v>
      </c>
      <c r="B315" s="17">
        <v>1</v>
      </c>
      <c r="C315" s="162" t="s">
        <v>1137</v>
      </c>
      <c r="D315" s="207">
        <f t="shared" si="4"/>
        <v>0</v>
      </c>
      <c r="E315" s="4">
        <v>2856</v>
      </c>
      <c r="F315" s="4">
        <v>1</v>
      </c>
      <c r="G315" s="2" t="s">
        <v>1068</v>
      </c>
    </row>
    <row r="316" spans="1:7" x14ac:dyDescent="0.2">
      <c r="A316" s="17">
        <v>2859</v>
      </c>
      <c r="B316" s="17">
        <v>1</v>
      </c>
      <c r="C316" s="162" t="s">
        <v>1136</v>
      </c>
      <c r="D316" s="207">
        <f t="shared" si="4"/>
        <v>0</v>
      </c>
      <c r="E316" s="4">
        <v>2859</v>
      </c>
      <c r="F316" s="4">
        <v>1</v>
      </c>
      <c r="G316" s="2" t="s">
        <v>1069</v>
      </c>
    </row>
    <row r="317" spans="1:7" x14ac:dyDescent="0.2">
      <c r="A317" s="17">
        <v>2860</v>
      </c>
      <c r="B317" s="17">
        <v>1</v>
      </c>
      <c r="C317" s="3" t="s">
        <v>325</v>
      </c>
      <c r="D317" s="207">
        <f t="shared" si="4"/>
        <v>0</v>
      </c>
      <c r="E317" s="4">
        <v>2860</v>
      </c>
      <c r="F317" s="4">
        <v>1</v>
      </c>
      <c r="G317" s="2" t="s">
        <v>1070</v>
      </c>
    </row>
    <row r="318" spans="1:7" x14ac:dyDescent="0.2">
      <c r="A318" s="17">
        <v>2884</v>
      </c>
      <c r="B318" s="17">
        <v>1</v>
      </c>
      <c r="C318" s="3" t="s">
        <v>326</v>
      </c>
      <c r="D318" s="207">
        <f t="shared" si="4"/>
        <v>0</v>
      </c>
      <c r="E318" s="4">
        <v>2884</v>
      </c>
      <c r="F318" s="4">
        <v>1</v>
      </c>
      <c r="G318" s="2" t="s">
        <v>1071</v>
      </c>
    </row>
    <row r="319" spans="1:7" x14ac:dyDescent="0.2">
      <c r="A319" s="17">
        <v>2886</v>
      </c>
      <c r="B319" s="17">
        <v>1</v>
      </c>
      <c r="C319" s="3" t="s">
        <v>327</v>
      </c>
      <c r="D319" s="207">
        <f t="shared" si="4"/>
        <v>0</v>
      </c>
      <c r="E319" s="4">
        <v>2886</v>
      </c>
      <c r="F319" s="4">
        <v>1</v>
      </c>
      <c r="G319" s="2" t="s">
        <v>1072</v>
      </c>
    </row>
    <row r="320" spans="1:7" x14ac:dyDescent="0.2">
      <c r="A320" s="17">
        <v>2888</v>
      </c>
      <c r="B320" s="17">
        <v>1</v>
      </c>
      <c r="C320" s="162" t="s">
        <v>1135</v>
      </c>
      <c r="D320" s="207">
        <f t="shared" si="4"/>
        <v>0</v>
      </c>
      <c r="E320" s="4">
        <v>2888</v>
      </c>
      <c r="F320" s="4">
        <v>1</v>
      </c>
      <c r="G320" s="2" t="s">
        <v>1073</v>
      </c>
    </row>
    <row r="321" spans="1:7" x14ac:dyDescent="0.2">
      <c r="A321" s="17">
        <v>2889</v>
      </c>
      <c r="B321" s="17">
        <v>1</v>
      </c>
      <c r="C321" s="162" t="s">
        <v>1134</v>
      </c>
      <c r="D321" s="207">
        <f t="shared" si="4"/>
        <v>0</v>
      </c>
      <c r="E321" s="4">
        <v>2889</v>
      </c>
      <c r="F321" s="4">
        <v>1</v>
      </c>
      <c r="G321" s="2" t="s">
        <v>1074</v>
      </c>
    </row>
    <row r="322" spans="1:7" x14ac:dyDescent="0.2">
      <c r="A322" s="17">
        <v>2890</v>
      </c>
      <c r="B322" s="17">
        <v>1</v>
      </c>
      <c r="C322" s="162" t="s">
        <v>1133</v>
      </c>
      <c r="D322" s="207">
        <f t="shared" si="4"/>
        <v>0</v>
      </c>
      <c r="E322" s="4">
        <v>2890</v>
      </c>
      <c r="F322" s="4">
        <v>1</v>
      </c>
      <c r="G322" s="2" t="s">
        <v>1075</v>
      </c>
    </row>
    <row r="323" spans="1:7" x14ac:dyDescent="0.2">
      <c r="A323" s="17">
        <v>2895</v>
      </c>
      <c r="B323" s="17">
        <v>1</v>
      </c>
      <c r="C323" s="162" t="s">
        <v>1132</v>
      </c>
      <c r="D323" s="207">
        <f t="shared" ref="D323:D333" si="5">E323-A323</f>
        <v>0</v>
      </c>
      <c r="E323" s="4">
        <v>2895</v>
      </c>
      <c r="F323" s="4">
        <v>1</v>
      </c>
      <c r="G323" s="2" t="s">
        <v>1076</v>
      </c>
    </row>
    <row r="324" spans="1:7" x14ac:dyDescent="0.2">
      <c r="A324" s="17">
        <v>2897</v>
      </c>
      <c r="B324" s="17">
        <v>1</v>
      </c>
      <c r="C324" s="162" t="s">
        <v>1131</v>
      </c>
      <c r="D324" s="207">
        <f t="shared" si="5"/>
        <v>0</v>
      </c>
      <c r="E324" s="4">
        <v>2897</v>
      </c>
      <c r="F324" s="4">
        <v>1</v>
      </c>
      <c r="G324" s="2" t="s">
        <v>1077</v>
      </c>
    </row>
    <row r="325" spans="1:7" x14ac:dyDescent="0.2">
      <c r="A325" s="17">
        <v>2898</v>
      </c>
      <c r="B325" s="17">
        <v>1</v>
      </c>
      <c r="C325" s="162" t="s">
        <v>1130</v>
      </c>
      <c r="D325" s="207">
        <f t="shared" si="5"/>
        <v>0</v>
      </c>
      <c r="E325" s="4">
        <v>2898</v>
      </c>
      <c r="F325" s="4">
        <v>1</v>
      </c>
      <c r="G325" s="2" t="s">
        <v>1078</v>
      </c>
    </row>
    <row r="326" spans="1:7" x14ac:dyDescent="0.2">
      <c r="A326" s="17">
        <v>2899</v>
      </c>
      <c r="B326" s="17">
        <v>1</v>
      </c>
      <c r="C326" s="162" t="s">
        <v>1079</v>
      </c>
      <c r="D326" s="207">
        <f t="shared" si="5"/>
        <v>0</v>
      </c>
      <c r="E326" s="4">
        <v>2899</v>
      </c>
      <c r="F326" s="4">
        <v>1</v>
      </c>
      <c r="G326" s="2" t="s">
        <v>1079</v>
      </c>
    </row>
    <row r="327" spans="1:7" x14ac:dyDescent="0.2">
      <c r="A327" s="17">
        <v>2902</v>
      </c>
      <c r="B327" s="17">
        <v>1</v>
      </c>
      <c r="C327" s="3" t="s">
        <v>493</v>
      </c>
      <c r="D327" s="207">
        <f t="shared" si="5"/>
        <v>0</v>
      </c>
      <c r="E327" s="4">
        <v>2902</v>
      </c>
      <c r="F327" s="4">
        <v>1</v>
      </c>
      <c r="G327" s="2" t="s">
        <v>1080</v>
      </c>
    </row>
    <row r="328" spans="1:7" x14ac:dyDescent="0.2">
      <c r="A328" s="17">
        <v>2903</v>
      </c>
      <c r="B328" s="17">
        <v>1</v>
      </c>
      <c r="C328" s="3" t="s">
        <v>633</v>
      </c>
      <c r="D328" s="207">
        <f t="shared" si="5"/>
        <v>0</v>
      </c>
      <c r="E328" s="4">
        <v>2903</v>
      </c>
      <c r="F328" s="4">
        <v>1</v>
      </c>
      <c r="G328" s="2" t="s">
        <v>1081</v>
      </c>
    </row>
    <row r="329" spans="1:7" x14ac:dyDescent="0.2">
      <c r="A329" s="17">
        <v>2904</v>
      </c>
      <c r="B329" s="17">
        <v>1</v>
      </c>
      <c r="C329" s="3" t="s">
        <v>634</v>
      </c>
      <c r="D329" s="207">
        <f t="shared" si="5"/>
        <v>0</v>
      </c>
      <c r="E329" s="4">
        <v>2904</v>
      </c>
      <c r="F329" s="4">
        <v>1</v>
      </c>
      <c r="G329" s="2" t="s">
        <v>1082</v>
      </c>
    </row>
    <row r="330" spans="1:7" x14ac:dyDescent="0.2">
      <c r="A330" s="17">
        <v>2905</v>
      </c>
      <c r="B330" s="17">
        <v>1</v>
      </c>
      <c r="C330" s="161" t="s">
        <v>1129</v>
      </c>
      <c r="D330" s="207">
        <f t="shared" si="5"/>
        <v>0</v>
      </c>
      <c r="E330" s="4">
        <v>2905</v>
      </c>
      <c r="F330" s="4">
        <v>1</v>
      </c>
      <c r="G330" s="2" t="s">
        <v>1083</v>
      </c>
    </row>
    <row r="331" spans="1:7" x14ac:dyDescent="0.2">
      <c r="A331" s="4">
        <v>2906</v>
      </c>
      <c r="B331" s="4">
        <v>1</v>
      </c>
      <c r="C331" s="2" t="s">
        <v>1085</v>
      </c>
      <c r="D331" s="207">
        <f t="shared" si="5"/>
        <v>0</v>
      </c>
      <c r="E331" s="4">
        <v>2906</v>
      </c>
      <c r="F331" s="4">
        <v>1</v>
      </c>
      <c r="G331" s="2" t="s">
        <v>1085</v>
      </c>
    </row>
    <row r="332" spans="1:7" x14ac:dyDescent="0.2">
      <c r="A332" s="4">
        <v>2907</v>
      </c>
      <c r="B332" s="4">
        <v>1</v>
      </c>
      <c r="C332" s="161" t="s">
        <v>1127</v>
      </c>
      <c r="D332" s="207">
        <f t="shared" si="5"/>
        <v>0</v>
      </c>
      <c r="E332" s="4">
        <v>2907</v>
      </c>
      <c r="F332" s="4">
        <v>1</v>
      </c>
      <c r="G332" s="2" t="s">
        <v>1086</v>
      </c>
    </row>
    <row r="333" spans="1:7" x14ac:dyDescent="0.2">
      <c r="A333" s="4">
        <v>2908</v>
      </c>
      <c r="B333" s="4">
        <v>1</v>
      </c>
      <c r="C333" s="161" t="s">
        <v>1128</v>
      </c>
      <c r="D333" s="207">
        <f t="shared" si="5"/>
        <v>0</v>
      </c>
      <c r="E333" s="4">
        <v>2908</v>
      </c>
      <c r="F333" s="4">
        <v>1</v>
      </c>
      <c r="G333" s="2" t="s">
        <v>1087</v>
      </c>
    </row>
    <row r="334" spans="1:7" x14ac:dyDescent="0.2">
      <c r="A334" s="231" t="s">
        <v>1240</v>
      </c>
    </row>
    <row r="335" spans="1:7" x14ac:dyDescent="0.2">
      <c r="A335" s="17">
        <v>207</v>
      </c>
      <c r="B335" s="17">
        <v>1</v>
      </c>
      <c r="C335" s="3" t="s">
        <v>69</v>
      </c>
    </row>
    <row r="336" spans="1:7" x14ac:dyDescent="0.2">
      <c r="A336" s="17">
        <v>208</v>
      </c>
      <c r="B336" s="17">
        <v>1</v>
      </c>
      <c r="C336" s="3" t="s">
        <v>70</v>
      </c>
    </row>
    <row r="337" spans="1:3" x14ac:dyDescent="0.2">
      <c r="A337" s="231" t="s">
        <v>1240</v>
      </c>
    </row>
    <row r="338" spans="1:3" x14ac:dyDescent="0.2">
      <c r="A338" s="17">
        <v>513</v>
      </c>
      <c r="B338" s="17">
        <v>1</v>
      </c>
      <c r="C338" s="3" t="s">
        <v>157</v>
      </c>
    </row>
    <row r="339" spans="1:3" x14ac:dyDescent="0.2">
      <c r="A339" s="17">
        <v>516</v>
      </c>
      <c r="B339" s="17">
        <v>1</v>
      </c>
      <c r="C339" s="3" t="s">
        <v>159</v>
      </c>
    </row>
    <row r="340" spans="1:3" x14ac:dyDescent="0.2">
      <c r="A340" s="231" t="s">
        <v>1240</v>
      </c>
    </row>
    <row r="341" spans="1:3" x14ac:dyDescent="0.2">
      <c r="A341" s="17">
        <v>627</v>
      </c>
      <c r="B341" s="17">
        <v>1</v>
      </c>
      <c r="C341" s="3" t="s">
        <v>190</v>
      </c>
    </row>
    <row r="342" spans="1:3" x14ac:dyDescent="0.2">
      <c r="A342" s="17">
        <v>628</v>
      </c>
      <c r="B342" s="17">
        <v>1</v>
      </c>
      <c r="C342" s="3" t="s">
        <v>191</v>
      </c>
    </row>
    <row r="343" spans="1:3" x14ac:dyDescent="0.2">
      <c r="A343" s="231" t="s">
        <v>1240</v>
      </c>
    </row>
    <row r="344" spans="1:3" x14ac:dyDescent="0.2">
      <c r="A344" s="17">
        <v>611</v>
      </c>
      <c r="B344" s="17">
        <v>1</v>
      </c>
      <c r="C344" s="3" t="s">
        <v>184</v>
      </c>
    </row>
    <row r="345" spans="1:3" x14ac:dyDescent="0.2">
      <c r="A345" s="17">
        <v>769</v>
      </c>
      <c r="B345" s="17">
        <v>1</v>
      </c>
      <c r="C345" s="3" t="s">
        <v>231</v>
      </c>
    </row>
    <row r="346" spans="1:3" ht="10.5" customHeight="1" x14ac:dyDescent="0.2">
      <c r="A346" t="s">
        <v>1241</v>
      </c>
    </row>
    <row r="347" spans="1:3" hidden="1" x14ac:dyDescent="0.2"/>
    <row r="348" spans="1:3" hidden="1" x14ac:dyDescent="0.2"/>
    <row r="349" spans="1:3" hidden="1" x14ac:dyDescent="0.2"/>
    <row r="350" spans="1:3" hidden="1"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37</vt:i4>
      </vt:variant>
    </vt:vector>
  </HeadingPairs>
  <TitlesOfParts>
    <vt:vector size="53" baseType="lpstr">
      <vt:lpstr>Instructions</vt:lpstr>
      <vt:lpstr>Report</vt:lpstr>
      <vt:lpstr>Funds</vt:lpstr>
      <vt:lpstr>Accounts</vt:lpstr>
      <vt:lpstr>Entries</vt:lpstr>
      <vt:lpstr>Aid Adjust</vt:lpstr>
      <vt:lpstr>Shift 14</vt:lpstr>
      <vt:lpstr>Data</vt:lpstr>
      <vt:lpstr>Shift 13</vt:lpstr>
      <vt:lpstr>Levy</vt:lpstr>
      <vt:lpstr>Credits</vt:lpstr>
      <vt:lpstr>Receipts</vt:lpstr>
      <vt:lpstr>Ideas</vt:lpstr>
      <vt:lpstr>Query1</vt:lpstr>
      <vt:lpstr>Query4</vt:lpstr>
      <vt:lpstr>Names</vt:lpstr>
      <vt:lpstr>Aid</vt:lpstr>
      <vt:lpstr>Credits!Ideas</vt:lpstr>
      <vt:lpstr>Levy!Ideas</vt:lpstr>
      <vt:lpstr>Ideas</vt:lpstr>
      <vt:lpstr>Accounts!Print_Titles</vt:lpstr>
      <vt:lpstr>'Aid Adjust'!Print_Titles</vt:lpstr>
      <vt:lpstr>Credits!Print_Titles</vt:lpstr>
      <vt:lpstr>Data!Print_Titles</vt:lpstr>
      <vt:lpstr>Entries!Print_Titles</vt:lpstr>
      <vt:lpstr>Ideas!Print_Titles</vt:lpstr>
      <vt:lpstr>Levy!Print_Titles</vt:lpstr>
      <vt:lpstr>Query1!Print_Titles</vt:lpstr>
      <vt:lpstr>Query4!Print_Titles</vt:lpstr>
      <vt:lpstr>Receipts!Print_Titles</vt:lpstr>
      <vt:lpstr>'Shift 13'!Print_Titles</vt:lpstr>
      <vt:lpstr>'Shift 14'!Print_Titles</vt:lpstr>
      <vt:lpstr>Query1!Query_from_Databridge</vt:lpstr>
      <vt:lpstr>Query4!Query_from_Databridge</vt:lpstr>
      <vt:lpstr>Receipts!Shift05</vt:lpstr>
      <vt:lpstr>ShiftCY</vt:lpstr>
      <vt:lpstr>ShiftPY</vt:lpstr>
      <vt:lpstr>TitleRegion1.a1.ba339.8</vt:lpstr>
      <vt:lpstr>TitleRegion1.a1.bd340.10</vt:lpstr>
      <vt:lpstr>TitleRegion1.a1.g345.15</vt:lpstr>
      <vt:lpstr>TitleRegion1.a1.n108.4</vt:lpstr>
      <vt:lpstr>TitleRegion1.a1.o342.9</vt:lpstr>
      <vt:lpstr>TitleRegion1.a2.ah339.11</vt:lpstr>
      <vt:lpstr>TitleRegion1.a2.f130.14</vt:lpstr>
      <vt:lpstr>TitleRegion1.a2.f55.15</vt:lpstr>
      <vt:lpstr>TitleRegion1.a2.h341.6</vt:lpstr>
      <vt:lpstr>TitleRegion1.a2.p340.13</vt:lpstr>
      <vt:lpstr>TitleRegion1.a2.q338.12</vt:lpstr>
      <vt:lpstr>TitleRegion1.a2.q342.7</vt:lpstr>
      <vt:lpstr>TitleRegion1.a3.d72.5</vt:lpstr>
      <vt:lpstr>TitleRegion1.a3.i124.2</vt:lpstr>
      <vt:lpstr>TitleRegion1.a4.s131.3</vt:lpstr>
      <vt:lpstr>TitleRegiona1.t70.1</vt:lpstr>
    </vt:vector>
  </TitlesOfParts>
  <Company>State of Minnesota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Audrey;Minnesota Department of Education</dc:creator>
  <cp:lastModifiedBy>Goebel, Chelsea</cp:lastModifiedBy>
  <cp:lastPrinted>2013-07-29T19:20:34Z</cp:lastPrinted>
  <dcterms:created xsi:type="dcterms:W3CDTF">2004-01-23T01:17:39Z</dcterms:created>
  <dcterms:modified xsi:type="dcterms:W3CDTF">2014-07-16T19:56:57Z</dcterms:modified>
</cp:coreProperties>
</file>