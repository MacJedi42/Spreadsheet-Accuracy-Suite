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autoCompressPictures="0" defaultThemeVersion="124226"/>
  <bookViews>
    <workbookView xWindow="15" yWindow="195" windowWidth="15480" windowHeight="9150" tabRatio="819"/>
  </bookViews>
  <sheets>
    <sheet name="Summary" sheetId="38" r:id="rId1"/>
    <sheet name="Base 2-Yr (US)" sheetId="15" r:id="rId2"/>
    <sheet name="Option Yr 1 (US)" sheetId="31" r:id="rId3"/>
    <sheet name="Option Yr 2 (US)" sheetId="32" r:id="rId4"/>
    <sheet name="Option Yr 3 (US)" sheetId="33" r:id="rId5"/>
    <sheet name="Non-US &gt;" sheetId="30" r:id="rId6"/>
    <sheet name="Base 2-Yr (Non-US)" sheetId="34" r:id="rId7"/>
    <sheet name="Option Yr 1 (Non-US)" sheetId="35" r:id="rId8"/>
    <sheet name="Option Yr 2 (Non-US)" sheetId="36" r:id="rId9"/>
    <sheet name="Option Yr 3 (Non-US)" sheetId="37" r:id="rId10"/>
  </sheets>
  <definedNames>
    <definedName name="_xlnm._FilterDatabase" localSheetId="6" hidden="1">'Base 2-Yr (Non-US)'!$A$1:$Y$16</definedName>
    <definedName name="_xlnm._FilterDatabase" localSheetId="1" hidden="1">'Base 2-Yr (US)'!$A$1:$Y$196</definedName>
    <definedName name="_xlnm._FilterDatabase" localSheetId="7" hidden="1">'Option Yr 1 (Non-US)'!$A$1:$Y$16</definedName>
    <definedName name="_xlnm._FilterDatabase" localSheetId="2" hidden="1">'Option Yr 1 (US)'!$A$1:$Y$196</definedName>
    <definedName name="_xlnm._FilterDatabase" localSheetId="8" hidden="1">'Option Yr 2 (Non-US)'!$A$1:$Y$16</definedName>
    <definedName name="_xlnm._FilterDatabase" localSheetId="3" hidden="1">'Option Yr 2 (US)'!$A$1:$Y$196</definedName>
    <definedName name="_xlnm._FilterDatabase" localSheetId="9" hidden="1">'Option Yr 3 (Non-US)'!$A$1:$Y$16</definedName>
    <definedName name="_xlnm._FilterDatabase" localSheetId="4" hidden="1">'Option Yr 3 (US)'!$A$1:$Y$196</definedName>
    <definedName name="_xlnm._FilterDatabase" localSheetId="0" hidden="1">Summary!$A$29:$J$57</definedName>
    <definedName name="_xlnm.Print_Area" localSheetId="1">'Base 2-Yr (US)'!$A$1:$Y$196</definedName>
    <definedName name="_xlnm.Print_Area" localSheetId="2">'Option Yr 1 (US)'!$A$1:$Y$196</definedName>
    <definedName name="_xlnm.Print_Area" localSheetId="3">'Option Yr 2 (US)'!$A$1:$Y$196</definedName>
    <definedName name="_xlnm.Print_Area" localSheetId="4">'Option Yr 3 (US)'!$A$1:$Y$196</definedName>
    <definedName name="_xlnm.Print_Area" localSheetId="0">Summary!$A$2:$AS$59</definedName>
    <definedName name="_xlnm.Print_Titles" localSheetId="6">'Base 2-Yr (Non-US)'!$A:$C,'Base 2-Yr (Non-US)'!$109:$110</definedName>
    <definedName name="_xlnm.Print_Titles" localSheetId="1">'Base 2-Yr (US)'!$A:$C,'Base 2-Yr (US)'!$109:$110</definedName>
    <definedName name="_xlnm.Print_Titles" localSheetId="7">'Option Yr 1 (Non-US)'!$A:$C,'Option Yr 1 (Non-US)'!$109:$110</definedName>
    <definedName name="_xlnm.Print_Titles" localSheetId="2">'Option Yr 1 (US)'!$A:$C,'Option Yr 1 (US)'!$109:$110</definedName>
    <definedName name="_xlnm.Print_Titles" localSheetId="8">'Option Yr 2 (Non-US)'!$A:$C,'Option Yr 2 (Non-US)'!$109:$110</definedName>
    <definedName name="_xlnm.Print_Titles" localSheetId="3">'Option Yr 2 (US)'!$A:$C,'Option Yr 2 (US)'!$109:$110</definedName>
    <definedName name="_xlnm.Print_Titles" localSheetId="9">'Option Yr 3 (Non-US)'!$A:$C,'Option Yr 3 (Non-US)'!$109:$110</definedName>
    <definedName name="_xlnm.Print_Titles" localSheetId="4">'Option Yr 3 (US)'!$A:$C,'Option Yr 3 (US)'!$109:$110</definedName>
  </definedNames>
  <calcPr calcId="125725"/>
</workbook>
</file>

<file path=xl/calcChain.xml><?xml version="1.0" encoding="utf-8"?>
<calcChain xmlns="http://schemas.openxmlformats.org/spreadsheetml/2006/main">
  <c r="AR24" i="38"/>
  <c r="AQ24"/>
  <c r="AP24"/>
  <c r="AO24"/>
  <c r="AN24"/>
  <c r="AM24"/>
  <c r="AL24"/>
  <c r="AK24"/>
  <c r="AJ24"/>
  <c r="AI24"/>
  <c r="AH24"/>
  <c r="AG24"/>
  <c r="AF24"/>
  <c r="AE24"/>
  <c r="AD24"/>
  <c r="AC24"/>
  <c r="AB24"/>
  <c r="AA24"/>
  <c r="Z24"/>
  <c r="Y24"/>
  <c r="V24"/>
  <c r="U24"/>
  <c r="T24"/>
  <c r="S24"/>
  <c r="R24"/>
  <c r="Q24"/>
  <c r="P24"/>
  <c r="O24"/>
  <c r="N24"/>
  <c r="M24"/>
  <c r="L24"/>
  <c r="C24"/>
  <c r="D24"/>
  <c r="E24"/>
  <c r="F24"/>
  <c r="G24"/>
  <c r="H24"/>
  <c r="I24"/>
  <c r="J24"/>
  <c r="K24"/>
  <c r="C12" l="1"/>
  <c r="AK9" l="1"/>
  <c r="AL9"/>
  <c r="AM9"/>
  <c r="AN9"/>
  <c r="AO9"/>
  <c r="AP9"/>
  <c r="AQ9"/>
  <c r="AR9"/>
  <c r="C5" l="1"/>
  <c r="C6"/>
  <c r="C7"/>
  <c r="C8"/>
  <c r="C9"/>
  <c r="C10"/>
  <c r="C11"/>
  <c r="C13"/>
  <c r="C14"/>
  <c r="C15"/>
  <c r="C16"/>
  <c r="C17"/>
  <c r="C18"/>
  <c r="C19"/>
  <c r="C20"/>
  <c r="C21"/>
  <c r="C22"/>
  <c r="C23"/>
  <c r="C4"/>
  <c r="F20"/>
  <c r="J20"/>
  <c r="C25" l="1"/>
  <c r="Z4"/>
  <c r="Z5"/>
  <c r="Z6"/>
  <c r="Z7"/>
  <c r="Z8"/>
  <c r="Z9"/>
  <c r="Z10"/>
  <c r="Z11"/>
  <c r="Z12"/>
  <c r="Z13"/>
  <c r="Z14"/>
  <c r="Z15"/>
  <c r="Z16"/>
  <c r="Z17"/>
  <c r="Z18"/>
  <c r="Z19"/>
  <c r="Z20"/>
  <c r="Z21"/>
  <c r="Z22"/>
  <c r="Z23"/>
  <c r="AA4"/>
  <c r="AA5"/>
  <c r="AA6"/>
  <c r="AA7"/>
  <c r="AA8"/>
  <c r="AA9"/>
  <c r="AA10"/>
  <c r="AA11"/>
  <c r="AA12"/>
  <c r="AA13"/>
  <c r="AA14"/>
  <c r="AA15"/>
  <c r="AA16"/>
  <c r="AA17"/>
  <c r="AA18"/>
  <c r="AA19"/>
  <c r="AA20"/>
  <c r="AA21"/>
  <c r="AA22"/>
  <c r="AA2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G4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H4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K4"/>
  <c r="AK5"/>
  <c r="AK6"/>
  <c r="AK7"/>
  <c r="AK8"/>
  <c r="AK10"/>
  <c r="AK11"/>
  <c r="AK12"/>
  <c r="AK13"/>
  <c r="AK14"/>
  <c r="AK15"/>
  <c r="AK16"/>
  <c r="AK17"/>
  <c r="AK18"/>
  <c r="AK19"/>
  <c r="AK20"/>
  <c r="AK21"/>
  <c r="AK22"/>
  <c r="AK23"/>
  <c r="AL4"/>
  <c r="AL5"/>
  <c r="AL6"/>
  <c r="AL7"/>
  <c r="AL8"/>
  <c r="AL10"/>
  <c r="AL11"/>
  <c r="AL12"/>
  <c r="AL13"/>
  <c r="AL14"/>
  <c r="AL15"/>
  <c r="AL16"/>
  <c r="AL17"/>
  <c r="AL18"/>
  <c r="AL19"/>
  <c r="AL20"/>
  <c r="AL21"/>
  <c r="AL22"/>
  <c r="AL23"/>
  <c r="AM4"/>
  <c r="AM5"/>
  <c r="AM6"/>
  <c r="AM7"/>
  <c r="AM8"/>
  <c r="AM10"/>
  <c r="AM11"/>
  <c r="AM12"/>
  <c r="AM13"/>
  <c r="AM14"/>
  <c r="AM15"/>
  <c r="AM16"/>
  <c r="AM17"/>
  <c r="AM18"/>
  <c r="AM19"/>
  <c r="AM20"/>
  <c r="AM21"/>
  <c r="AM22"/>
  <c r="AM23"/>
  <c r="AN4"/>
  <c r="AN5"/>
  <c r="AN6"/>
  <c r="AN7"/>
  <c r="AN8"/>
  <c r="AN10"/>
  <c r="AN11"/>
  <c r="AN12"/>
  <c r="AN13"/>
  <c r="AN14"/>
  <c r="AN15"/>
  <c r="AN16"/>
  <c r="AN17"/>
  <c r="AN18"/>
  <c r="AN19"/>
  <c r="AN20"/>
  <c r="AN21"/>
  <c r="AN22"/>
  <c r="AN23"/>
  <c r="AO4"/>
  <c r="AO5"/>
  <c r="AO6"/>
  <c r="AO7"/>
  <c r="AO8"/>
  <c r="AO10"/>
  <c r="AO11"/>
  <c r="AO12"/>
  <c r="AO13"/>
  <c r="AO14"/>
  <c r="AO15"/>
  <c r="AO16"/>
  <c r="AO17"/>
  <c r="AO18"/>
  <c r="AO19"/>
  <c r="AO20"/>
  <c r="AO21"/>
  <c r="AO22"/>
  <c r="AO23"/>
  <c r="AP4"/>
  <c r="AP5"/>
  <c r="AP6"/>
  <c r="AP7"/>
  <c r="AP8"/>
  <c r="AP10"/>
  <c r="AP11"/>
  <c r="AP12"/>
  <c r="AP13"/>
  <c r="AP14"/>
  <c r="AP15"/>
  <c r="AP16"/>
  <c r="AP17"/>
  <c r="AP18"/>
  <c r="AP19"/>
  <c r="AP20"/>
  <c r="AP21"/>
  <c r="AP22"/>
  <c r="AP23"/>
  <c r="AQ4"/>
  <c r="AQ5"/>
  <c r="AQ6"/>
  <c r="AQ7"/>
  <c r="AQ8"/>
  <c r="AQ10"/>
  <c r="AQ11"/>
  <c r="AQ12"/>
  <c r="AQ13"/>
  <c r="AQ14"/>
  <c r="AQ15"/>
  <c r="AQ16"/>
  <c r="AQ17"/>
  <c r="AQ18"/>
  <c r="AQ19"/>
  <c r="AQ20"/>
  <c r="AQ21"/>
  <c r="AQ22"/>
  <c r="AQ23"/>
  <c r="AR4"/>
  <c r="AR5"/>
  <c r="AR6"/>
  <c r="AR7"/>
  <c r="AR8"/>
  <c r="AR10"/>
  <c r="AR11"/>
  <c r="AR12"/>
  <c r="AR13"/>
  <c r="AR14"/>
  <c r="AR15"/>
  <c r="AR16"/>
  <c r="AR17"/>
  <c r="AR18"/>
  <c r="AR19"/>
  <c r="AR20"/>
  <c r="AR21"/>
  <c r="AR22"/>
  <c r="AR23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U23"/>
  <c r="U22"/>
  <c r="U21"/>
  <c r="U20"/>
  <c r="U19"/>
  <c r="U18"/>
  <c r="U17"/>
  <c r="U16"/>
  <c r="U15"/>
  <c r="U14"/>
  <c r="U13"/>
  <c r="U12"/>
  <c r="U11"/>
  <c r="U10"/>
  <c r="U9"/>
  <c r="U8"/>
  <c r="U7"/>
  <c r="U6"/>
  <c r="U5"/>
  <c r="U4"/>
  <c r="T23"/>
  <c r="T22"/>
  <c r="T21"/>
  <c r="T20"/>
  <c r="T19"/>
  <c r="T18"/>
  <c r="T17"/>
  <c r="T16"/>
  <c r="T15"/>
  <c r="T14"/>
  <c r="T13"/>
  <c r="T12"/>
  <c r="T11"/>
  <c r="T10"/>
  <c r="T9"/>
  <c r="T8"/>
  <c r="T7"/>
  <c r="T6"/>
  <c r="T5"/>
  <c r="T4"/>
  <c r="S23"/>
  <c r="S22"/>
  <c r="S21"/>
  <c r="S20"/>
  <c r="S19"/>
  <c r="S18"/>
  <c r="S17"/>
  <c r="S16"/>
  <c r="S15"/>
  <c r="S14"/>
  <c r="S13"/>
  <c r="S12"/>
  <c r="S11"/>
  <c r="S10"/>
  <c r="S9"/>
  <c r="S8"/>
  <c r="S7"/>
  <c r="S6"/>
  <c r="S5"/>
  <c r="S4"/>
  <c r="R23"/>
  <c r="R22"/>
  <c r="R21"/>
  <c r="R20"/>
  <c r="R19"/>
  <c r="R18"/>
  <c r="R17"/>
  <c r="R16"/>
  <c r="R15"/>
  <c r="R14"/>
  <c r="R13"/>
  <c r="R12"/>
  <c r="R11"/>
  <c r="R10"/>
  <c r="R9"/>
  <c r="R8"/>
  <c r="R7"/>
  <c r="R6"/>
  <c r="R5"/>
  <c r="R4"/>
  <c r="Q23"/>
  <c r="Q22"/>
  <c r="Q21"/>
  <c r="Q20"/>
  <c r="Q19"/>
  <c r="Q18"/>
  <c r="Q17"/>
  <c r="Q16"/>
  <c r="Q15"/>
  <c r="Q14"/>
  <c r="Q13"/>
  <c r="Q12"/>
  <c r="Q11"/>
  <c r="Q10"/>
  <c r="Q9"/>
  <c r="Q8"/>
  <c r="Q7"/>
  <c r="Q6"/>
  <c r="Q5"/>
  <c r="Q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J23"/>
  <c r="J22"/>
  <c r="J21"/>
  <c r="J19"/>
  <c r="J18"/>
  <c r="J17"/>
  <c r="J16"/>
  <c r="J15"/>
  <c r="J14"/>
  <c r="J13"/>
  <c r="J12"/>
  <c r="J11"/>
  <c r="J10"/>
  <c r="J9"/>
  <c r="J8"/>
  <c r="J7"/>
  <c r="J6"/>
  <c r="J5"/>
  <c r="J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G4"/>
  <c r="G5"/>
  <c r="G23"/>
  <c r="G22"/>
  <c r="G21"/>
  <c r="G20"/>
  <c r="G19"/>
  <c r="G18"/>
  <c r="G17"/>
  <c r="G16"/>
  <c r="G15"/>
  <c r="G14"/>
  <c r="G13"/>
  <c r="G12"/>
  <c r="G11"/>
  <c r="G10"/>
  <c r="G9"/>
  <c r="G8"/>
  <c r="G7"/>
  <c r="G6"/>
  <c r="E9"/>
  <c r="F23"/>
  <c r="F22"/>
  <c r="F21"/>
  <c r="F19"/>
  <c r="F18"/>
  <c r="F17"/>
  <c r="F16"/>
  <c r="F15"/>
  <c r="F14"/>
  <c r="F13"/>
  <c r="F12"/>
  <c r="F11"/>
  <c r="F10"/>
  <c r="F9"/>
  <c r="F8"/>
  <c r="F7"/>
  <c r="F6"/>
  <c r="F5"/>
  <c r="F4"/>
  <c r="E4"/>
  <c r="E23"/>
  <c r="E22"/>
  <c r="E21"/>
  <c r="E20"/>
  <c r="E19"/>
  <c r="E18"/>
  <c r="E17"/>
  <c r="E16"/>
  <c r="E15"/>
  <c r="E14"/>
  <c r="E13"/>
  <c r="E12"/>
  <c r="E11"/>
  <c r="E10"/>
  <c r="E8"/>
  <c r="E7"/>
  <c r="E6"/>
  <c r="E5"/>
  <c r="D8"/>
  <c r="D4"/>
  <c r="D5"/>
  <c r="D6"/>
  <c r="D7"/>
  <c r="D9"/>
  <c r="D10"/>
  <c r="D11"/>
  <c r="D12"/>
  <c r="D13"/>
  <c r="D14"/>
  <c r="D15"/>
  <c r="D16"/>
  <c r="D17"/>
  <c r="D18"/>
  <c r="D19"/>
  <c r="D20"/>
  <c r="D21"/>
  <c r="D22"/>
  <c r="D23"/>
  <c r="AO25" l="1"/>
  <c r="Y25"/>
  <c r="F25"/>
  <c r="I25"/>
  <c r="AQ25"/>
  <c r="AM25"/>
  <c r="AR25"/>
  <c r="AN25"/>
  <c r="AC25"/>
  <c r="AK25"/>
  <c r="AJ25"/>
  <c r="AI25"/>
  <c r="AH25"/>
  <c r="AG25"/>
  <c r="AE25"/>
  <c r="AB25"/>
  <c r="AA25"/>
  <c r="Z25"/>
  <c r="AP25"/>
  <c r="AL25"/>
  <c r="AD25"/>
  <c r="H25"/>
  <c r="J25"/>
  <c r="D25"/>
  <c r="E25"/>
  <c r="G25"/>
  <c r="K25"/>
  <c r="L25"/>
  <c r="M25"/>
  <c r="N25"/>
  <c r="O25"/>
  <c r="P25"/>
  <c r="Q25"/>
  <c r="R25"/>
  <c r="S25"/>
  <c r="T25"/>
  <c r="U25"/>
  <c r="V25"/>
  <c r="AF25"/>
</calcChain>
</file>

<file path=xl/sharedStrings.xml><?xml version="1.0" encoding="utf-8"?>
<sst xmlns="http://schemas.openxmlformats.org/spreadsheetml/2006/main" count="5982" uniqueCount="858">
  <si>
    <t>Summary of Pricing Offered - Non-US</t>
  </si>
  <si>
    <t>Abbreviations &amp; Definitions</t>
  </si>
  <si>
    <t>Term</t>
  </si>
  <si>
    <t>Definition</t>
  </si>
  <si>
    <t>G</t>
  </si>
  <si>
    <t>DOM</t>
  </si>
  <si>
    <t>EX</t>
  </si>
  <si>
    <t>Z</t>
  </si>
  <si>
    <t>US</t>
  </si>
  <si>
    <t>Non-US</t>
  </si>
  <si>
    <t>Microsoft 365 solution</t>
  </si>
  <si>
    <t>Lotus Domino (IBM) web solution</t>
  </si>
  <si>
    <t>Microsoft Exchange solution</t>
  </si>
  <si>
    <t>Google solution</t>
  </si>
  <si>
    <t>Zimbra solution</t>
  </si>
  <si>
    <t>All data centers are in the US</t>
  </si>
  <si>
    <t>Not all data centers are in the US</t>
  </si>
  <si>
    <t>Provided at no cost by the industry partner</t>
  </si>
  <si>
    <t xml:space="preserve">Email as a Service, Govt. Community Cloud Delivery Model </t>
  </si>
  <si>
    <t xml:space="preserve">Email as a Service, Private Cloud Delivery Model </t>
  </si>
  <si>
    <t xml:space="preserve">Email as a Service, Secret Enclave Delivery Model </t>
  </si>
  <si>
    <t xml:space="preserve">Email as a Service, Public Cloud Delivery Model </t>
  </si>
  <si>
    <t xml:space="preserve">Office Automation, Govt. Community Cloud Delivery Model </t>
  </si>
  <si>
    <t xml:space="preserve">Office Automation, Private Cloud Delivery Model </t>
  </si>
  <si>
    <t xml:space="preserve">Office Automation, Secret Enclave Delivery Model </t>
  </si>
  <si>
    <t xml:space="preserve">Office Automation, Public Cloud Delivery Model </t>
  </si>
  <si>
    <t xml:space="preserve">Records Management, Govt. Community Cloud Delivery Model </t>
  </si>
  <si>
    <t xml:space="preserve">Records Management, Private Cloud Delivery Model </t>
  </si>
  <si>
    <t xml:space="preserve">Records Management, Secret Enclave Delivery Model </t>
  </si>
  <si>
    <t xml:space="preserve">Records Management, Public Cloud Delivery Model </t>
  </si>
  <si>
    <t xml:space="preserve">Migration Services, Govt. Community Cloud Delivery Model </t>
  </si>
  <si>
    <t xml:space="preserve">Migration Services, Private Cloud Delivery Model </t>
  </si>
  <si>
    <t xml:space="preserve">Migration Services, Secret Enclave Delivery Model </t>
  </si>
  <si>
    <t xml:space="preserve">Migration Services, Public Cloud Delivery Model </t>
  </si>
  <si>
    <t xml:space="preserve">Integration Services, Govt. Community Cloud Delivery Model </t>
  </si>
  <si>
    <t xml:space="preserve">Integration Services, Private Cloud Delivery Model </t>
  </si>
  <si>
    <t xml:space="preserve">Integration Services, Secret Enclave Delivery Model </t>
  </si>
  <si>
    <t xml:space="preserve">Integration Services, Public Cloud Delivery Model </t>
  </si>
  <si>
    <t>3001CL</t>
  </si>
  <si>
    <t>3001CM</t>
  </si>
  <si>
    <t>3001CN</t>
  </si>
  <si>
    <t>3001CO</t>
  </si>
  <si>
    <t>3001DA</t>
  </si>
  <si>
    <t>3001DB</t>
  </si>
  <si>
    <t>3001DC</t>
  </si>
  <si>
    <t>3001DD</t>
  </si>
  <si>
    <t>3001DE</t>
  </si>
  <si>
    <t>3001DF</t>
  </si>
  <si>
    <t>3001DG</t>
  </si>
  <si>
    <t>3001DH</t>
  </si>
  <si>
    <t>3001DI</t>
  </si>
  <si>
    <t>3001DJ</t>
  </si>
  <si>
    <t>3001DK</t>
  </si>
  <si>
    <t>3001DL</t>
  </si>
  <si>
    <t>3001DM</t>
  </si>
  <si>
    <t>3001DN</t>
  </si>
  <si>
    <t>3001DO</t>
  </si>
  <si>
    <t>3002AA</t>
  </si>
  <si>
    <t>3002AB</t>
  </si>
  <si>
    <t>3002AC</t>
  </si>
  <si>
    <t>3002AD</t>
  </si>
  <si>
    <t>3002AE</t>
  </si>
  <si>
    <t>3002AF</t>
  </si>
  <si>
    <t>3002BA</t>
  </si>
  <si>
    <t>3002BB</t>
  </si>
  <si>
    <t>3002BC</t>
  </si>
  <si>
    <t>3002BD</t>
  </si>
  <si>
    <t>3002BE</t>
  </si>
  <si>
    <t>3002BF</t>
  </si>
  <si>
    <t>3002CA</t>
  </si>
  <si>
    <t>3002CB</t>
  </si>
  <si>
    <t>3002CC</t>
  </si>
  <si>
    <t>3002CD</t>
  </si>
  <si>
    <t>3002CE</t>
  </si>
  <si>
    <t>3002CF</t>
  </si>
  <si>
    <t>3002DA</t>
  </si>
  <si>
    <t>3002DB</t>
  </si>
  <si>
    <t>3002DC</t>
  </si>
  <si>
    <t>3002DD</t>
  </si>
  <si>
    <t>3002DE</t>
  </si>
  <si>
    <t>3002DF</t>
  </si>
  <si>
    <t>3003AA</t>
  </si>
  <si>
    <t>3003AB</t>
  </si>
  <si>
    <t>3003AC</t>
  </si>
  <si>
    <t>3003AD</t>
  </si>
  <si>
    <t>3003AE</t>
  </si>
  <si>
    <t>3003AF</t>
  </si>
  <si>
    <t>3003BA</t>
  </si>
  <si>
    <t>3003BB</t>
  </si>
  <si>
    <t>3003BC</t>
  </si>
  <si>
    <t>3003BD</t>
  </si>
  <si>
    <t>3003BE</t>
  </si>
  <si>
    <t>3003BF</t>
  </si>
  <si>
    <t>3003CA</t>
  </si>
  <si>
    <t>3003CB</t>
  </si>
  <si>
    <t>3003CC</t>
  </si>
  <si>
    <t>3003CD</t>
  </si>
  <si>
    <t>3003CE</t>
  </si>
  <si>
    <t>3003CF</t>
  </si>
  <si>
    <t>3003DA</t>
  </si>
  <si>
    <t>3003DB</t>
  </si>
  <si>
    <t>3003DC</t>
  </si>
  <si>
    <t>3003DD</t>
  </si>
  <si>
    <t>3003DE</t>
  </si>
  <si>
    <t>3003DF</t>
  </si>
  <si>
    <t>3004AA</t>
  </si>
  <si>
    <t>3004AB</t>
  </si>
  <si>
    <t>3004AC</t>
  </si>
  <si>
    <t>3004AD</t>
  </si>
  <si>
    <t>3004AE</t>
  </si>
  <si>
    <t>3004AF</t>
  </si>
  <si>
    <t>3004BA</t>
  </si>
  <si>
    <t>3004BB</t>
  </si>
  <si>
    <t>3004BC</t>
  </si>
  <si>
    <t>3004BD</t>
  </si>
  <si>
    <t>3004BE</t>
  </si>
  <si>
    <t>3004BF</t>
  </si>
  <si>
    <t>3004CA</t>
  </si>
  <si>
    <t>3004CB</t>
  </si>
  <si>
    <t>3004CC</t>
  </si>
  <si>
    <t>3004CD</t>
  </si>
  <si>
    <t>3004CE</t>
  </si>
  <si>
    <t>3004CF</t>
  </si>
  <si>
    <t>3004DA</t>
  </si>
  <si>
    <t>3004DB</t>
  </si>
  <si>
    <t>3004DC</t>
  </si>
  <si>
    <t>3004DD</t>
  </si>
  <si>
    <t>3004DE</t>
  </si>
  <si>
    <t>3004DF</t>
  </si>
  <si>
    <t>3005AA</t>
  </si>
  <si>
    <t>3005AB</t>
  </si>
  <si>
    <t>3005AC</t>
  </si>
  <si>
    <t>3005AD</t>
  </si>
  <si>
    <t>3005AE</t>
  </si>
  <si>
    <t>3005AF</t>
  </si>
  <si>
    <t>3005AG</t>
  </si>
  <si>
    <t>3005AH</t>
  </si>
  <si>
    <t>3005AI</t>
  </si>
  <si>
    <t>3005AJ</t>
  </si>
  <si>
    <t>3005AK</t>
  </si>
  <si>
    <t>3005BA</t>
  </si>
  <si>
    <t>3005BB</t>
  </si>
  <si>
    <t>3005BC</t>
  </si>
  <si>
    <t>3005BD</t>
  </si>
  <si>
    <t>3005BE</t>
  </si>
  <si>
    <t>3005BF</t>
  </si>
  <si>
    <t>3005BG</t>
  </si>
  <si>
    <t>3005BH</t>
  </si>
  <si>
    <t>3005BI</t>
  </si>
  <si>
    <t>3005BJ</t>
  </si>
  <si>
    <t>3005BK</t>
  </si>
  <si>
    <t>3005CA</t>
  </si>
  <si>
    <t>3005CB</t>
  </si>
  <si>
    <t>3005CC</t>
  </si>
  <si>
    <t>3005CD</t>
  </si>
  <si>
    <t>3005CE</t>
  </si>
  <si>
    <t>3005CF</t>
  </si>
  <si>
    <t>3005CG</t>
  </si>
  <si>
    <t>3005CH</t>
  </si>
  <si>
    <t>3005CI</t>
  </si>
  <si>
    <t>3005CJ</t>
  </si>
  <si>
    <t>3005CK</t>
  </si>
  <si>
    <t>3005DA</t>
  </si>
  <si>
    <t>3005DB</t>
  </si>
  <si>
    <t>3005DC</t>
  </si>
  <si>
    <t>3005DD</t>
  </si>
  <si>
    <t>3005DE</t>
  </si>
  <si>
    <t>3005DF</t>
  </si>
  <si>
    <t>3005DG</t>
  </si>
  <si>
    <t>3005DH</t>
  </si>
  <si>
    <t>3005DI</t>
  </si>
  <si>
    <t>3005DJ</t>
  </si>
  <si>
    <t>3005DK</t>
  </si>
  <si>
    <t>Industry Partner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</si>
  <si>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</si>
  <si>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</si>
  <si>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</si>
  <si>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</si>
  <si>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</si>
  <si>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</si>
  <si>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</si>
  <si>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</si>
  <si>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</si>
  <si>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</si>
  <si>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</si>
  <si>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</si>
  <si>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</si>
  <si>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</si>
  <si>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</si>
  <si>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</si>
  <si>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</si>
  <si>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</si>
  <si>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</si>
  <si>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</si>
  <si>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Summary of Pricing Offered - US</t>
  </si>
  <si>
    <t>2002AB</t>
  </si>
  <si>
    <t>2002AC</t>
  </si>
  <si>
    <t>2002AD</t>
  </si>
  <si>
    <t>2002AE</t>
  </si>
  <si>
    <t>2002AF</t>
  </si>
  <si>
    <t>2002BA</t>
  </si>
  <si>
    <t>2002BB</t>
  </si>
  <si>
    <t>2002BC</t>
  </si>
  <si>
    <t>2002BD</t>
  </si>
  <si>
    <t>2002BE</t>
  </si>
  <si>
    <t>2002BF</t>
  </si>
  <si>
    <t>2002CA</t>
  </si>
  <si>
    <t>2002CB</t>
  </si>
  <si>
    <t>2002CC</t>
  </si>
  <si>
    <t>2002CD</t>
  </si>
  <si>
    <t>2002CE</t>
  </si>
  <si>
    <t>2002CF</t>
  </si>
  <si>
    <t>2002DA</t>
  </si>
  <si>
    <t>2002DB</t>
  </si>
  <si>
    <t>2002DC</t>
  </si>
  <si>
    <t>2002DD</t>
  </si>
  <si>
    <t>2002DE</t>
  </si>
  <si>
    <t>2002DF</t>
  </si>
  <si>
    <t>2003AA</t>
  </si>
  <si>
    <t>2003AB</t>
  </si>
  <si>
    <t>2003AC</t>
  </si>
  <si>
    <t>2003AD</t>
  </si>
  <si>
    <t>2003AE</t>
  </si>
  <si>
    <t>2003AF</t>
  </si>
  <si>
    <t>2003BA</t>
  </si>
  <si>
    <t>2003BB</t>
  </si>
  <si>
    <t>2003BC</t>
  </si>
  <si>
    <t>2003BD</t>
  </si>
  <si>
    <t>2003BE</t>
  </si>
  <si>
    <t>2003BF</t>
  </si>
  <si>
    <t>2003CA</t>
  </si>
  <si>
    <t>2003CB</t>
  </si>
  <si>
    <t>2003CC</t>
  </si>
  <si>
    <t>2003CD</t>
  </si>
  <si>
    <t>2003CE</t>
  </si>
  <si>
    <t>2003CF</t>
  </si>
  <si>
    <t>2003DA</t>
  </si>
  <si>
    <t>2003DB</t>
  </si>
  <si>
    <t>2003DC</t>
  </si>
  <si>
    <t>2003DD</t>
  </si>
  <si>
    <t>2003DE</t>
  </si>
  <si>
    <t>2003DF</t>
  </si>
  <si>
    <t>2004AA</t>
  </si>
  <si>
    <t>2004AB</t>
  </si>
  <si>
    <t>2004AC</t>
  </si>
  <si>
    <t>2004AD</t>
  </si>
  <si>
    <t>2004AE</t>
  </si>
  <si>
    <t>2004AF</t>
  </si>
  <si>
    <t>2004BA</t>
  </si>
  <si>
    <t>2004BB</t>
  </si>
  <si>
    <t>2004BC</t>
  </si>
  <si>
    <t>2004BD</t>
  </si>
  <si>
    <t>2004BE</t>
  </si>
  <si>
    <t>2004BF</t>
  </si>
  <si>
    <t>2004CA</t>
  </si>
  <si>
    <t>2004CB</t>
  </si>
  <si>
    <t>2004CC</t>
  </si>
  <si>
    <t>2004CD</t>
  </si>
  <si>
    <t>2004CE</t>
  </si>
  <si>
    <t>2004CF</t>
  </si>
  <si>
    <t>2004DA</t>
  </si>
  <si>
    <t>2004DB</t>
  </si>
  <si>
    <t>2004DC</t>
  </si>
  <si>
    <t>2004DD</t>
  </si>
  <si>
    <t>2004DE</t>
  </si>
  <si>
    <t>2004DF</t>
  </si>
  <si>
    <t>2005AA</t>
  </si>
  <si>
    <t>2005AB</t>
  </si>
  <si>
    <t>2005AC</t>
  </si>
  <si>
    <t>2005AD</t>
  </si>
  <si>
    <t>2005AE</t>
  </si>
  <si>
    <t>2005AF</t>
  </si>
  <si>
    <t>2005AG</t>
  </si>
  <si>
    <t>2005AH</t>
  </si>
  <si>
    <t>2005AI</t>
  </si>
  <si>
    <t>2005AJ</t>
  </si>
  <si>
    <t>2005AK</t>
  </si>
  <si>
    <t>2005BA</t>
  </si>
  <si>
    <t>2005BB</t>
  </si>
  <si>
    <t>2005BC</t>
  </si>
  <si>
    <t>2005BD</t>
  </si>
  <si>
    <t>2005BE</t>
  </si>
  <si>
    <t>2005BF</t>
  </si>
  <si>
    <t>2005BG</t>
  </si>
  <si>
    <t>2005BH</t>
  </si>
  <si>
    <t>2005BI</t>
  </si>
  <si>
    <t>2005BJ</t>
  </si>
  <si>
    <t>2005BK</t>
  </si>
  <si>
    <t>2005CA</t>
  </si>
  <si>
    <t>2005CB</t>
  </si>
  <si>
    <t>2005CC</t>
  </si>
  <si>
    <t>2005CD</t>
  </si>
  <si>
    <t>2005CE</t>
  </si>
  <si>
    <t>2005CF</t>
  </si>
  <si>
    <t>2005CG</t>
  </si>
  <si>
    <t>2005CH</t>
  </si>
  <si>
    <t>2005CI</t>
  </si>
  <si>
    <t>2005CJ</t>
  </si>
  <si>
    <t>2005CK</t>
  </si>
  <si>
    <t>2005DA</t>
  </si>
  <si>
    <t>2005DB</t>
  </si>
  <si>
    <t>2005DC</t>
  </si>
  <si>
    <t>2005DD</t>
  </si>
  <si>
    <t>2005DE</t>
  </si>
  <si>
    <t>2005DF</t>
  </si>
  <si>
    <t>2005DG</t>
  </si>
  <si>
    <t>2005DH</t>
  </si>
  <si>
    <t>2005DI</t>
  </si>
  <si>
    <t>2005DJ</t>
  </si>
  <si>
    <t>2005DK</t>
  </si>
  <si>
    <t>3001AA</t>
  </si>
  <si>
    <t>3001AB</t>
  </si>
  <si>
    <t>3001AC</t>
  </si>
  <si>
    <t>3001AD</t>
  </si>
  <si>
    <t>3001AE</t>
  </si>
  <si>
    <t>3001AF</t>
  </si>
  <si>
    <t>3001AG</t>
  </si>
  <si>
    <t>3001AH</t>
  </si>
  <si>
    <t>3001AI</t>
  </si>
  <si>
    <t>3001AJ</t>
  </si>
  <si>
    <t>3001AK</t>
  </si>
  <si>
    <t>3001AL</t>
  </si>
  <si>
    <t>3001AM</t>
  </si>
  <si>
    <t>3001AN</t>
  </si>
  <si>
    <t>3001AO</t>
  </si>
  <si>
    <t>3001BA</t>
  </si>
  <si>
    <t>3001BB</t>
  </si>
  <si>
    <t>3001BC</t>
  </si>
  <si>
    <t>3001BD</t>
  </si>
  <si>
    <t>3001BE</t>
  </si>
  <si>
    <t>3001BF</t>
  </si>
  <si>
    <t>3001BG</t>
  </si>
  <si>
    <t>3001BH</t>
  </si>
  <si>
    <t>3001BI</t>
  </si>
  <si>
    <t>3001BJ</t>
  </si>
  <si>
    <t>3001BK</t>
  </si>
  <si>
    <t>3001BL</t>
  </si>
  <si>
    <t>3001BM</t>
  </si>
  <si>
    <t>3001BN</t>
  </si>
  <si>
    <t>3001BO</t>
  </si>
  <si>
    <t>3001CA</t>
  </si>
  <si>
    <t>3001CB</t>
  </si>
  <si>
    <t>3001CC</t>
  </si>
  <si>
    <t>3001CD</t>
  </si>
  <si>
    <t>3001CE</t>
  </si>
  <si>
    <t>3001CF</t>
  </si>
  <si>
    <t>3001CG</t>
  </si>
  <si>
    <t>3001CH</t>
  </si>
  <si>
    <t>3001CI</t>
  </si>
  <si>
    <t>3001CJ</t>
  </si>
  <si>
    <t>3001CK</t>
  </si>
  <si>
    <t>1002DD</t>
  </si>
  <si>
    <t>1002DE</t>
  </si>
  <si>
    <t>1002DF</t>
  </si>
  <si>
    <t>1003AA</t>
  </si>
  <si>
    <t>1003AB</t>
  </si>
  <si>
    <t>1003AC</t>
  </si>
  <si>
    <t>1003AD</t>
  </si>
  <si>
    <t>1003AE</t>
  </si>
  <si>
    <t>1003AF</t>
  </si>
  <si>
    <t>1003BA</t>
  </si>
  <si>
    <t>1003BB</t>
  </si>
  <si>
    <t>1003BC</t>
  </si>
  <si>
    <t>1003BD</t>
  </si>
  <si>
    <t>1003BE</t>
  </si>
  <si>
    <t>1003BF</t>
  </si>
  <si>
    <t>1003CA</t>
  </si>
  <si>
    <t>1003CB</t>
  </si>
  <si>
    <t>1003CC</t>
  </si>
  <si>
    <t>1003CD</t>
  </si>
  <si>
    <t>1003CE</t>
  </si>
  <si>
    <t>1003CF</t>
  </si>
  <si>
    <t>1003DA</t>
  </si>
  <si>
    <t>1003DB</t>
  </si>
  <si>
    <t>1003DC</t>
  </si>
  <si>
    <t>1003DD</t>
  </si>
  <si>
    <t>1003DE</t>
  </si>
  <si>
    <t>1003DF</t>
  </si>
  <si>
    <t>1004AA</t>
  </si>
  <si>
    <t>1004AB</t>
  </si>
  <si>
    <t>1004AC</t>
  </si>
  <si>
    <t>1004AD</t>
  </si>
  <si>
    <t>1004AE</t>
  </si>
  <si>
    <t>1004AF</t>
  </si>
  <si>
    <t>1004BA</t>
  </si>
  <si>
    <t>1004BB</t>
  </si>
  <si>
    <t>1004BC</t>
  </si>
  <si>
    <t>1004BD</t>
  </si>
  <si>
    <t>1004BE</t>
  </si>
  <si>
    <t>1004BF</t>
  </si>
  <si>
    <t>1004CA</t>
  </si>
  <si>
    <t>1004CB</t>
  </si>
  <si>
    <t>1004CC</t>
  </si>
  <si>
    <t>1004CD</t>
  </si>
  <si>
    <t>1004CE</t>
  </si>
  <si>
    <t>1004CF</t>
  </si>
  <si>
    <t>1004DA</t>
  </si>
  <si>
    <t>1004DB</t>
  </si>
  <si>
    <t>1004DC</t>
  </si>
  <si>
    <t>1004DD</t>
  </si>
  <si>
    <t>1004DE</t>
  </si>
  <si>
    <t>1004DF</t>
  </si>
  <si>
    <t>1005AA</t>
  </si>
  <si>
    <t>1005AB</t>
  </si>
  <si>
    <t>1005AC</t>
  </si>
  <si>
    <t>1005AD</t>
  </si>
  <si>
    <t>1005AE</t>
  </si>
  <si>
    <t>1005AF</t>
  </si>
  <si>
    <t>1005AG</t>
  </si>
  <si>
    <t>1005AH</t>
  </si>
  <si>
    <t>1005AI</t>
  </si>
  <si>
    <t>1005AJ</t>
  </si>
  <si>
    <t>1005AK</t>
  </si>
  <si>
    <t>1005BA</t>
  </si>
  <si>
    <t>1005BB</t>
  </si>
  <si>
    <t>1005BC</t>
  </si>
  <si>
    <t>1005BD</t>
  </si>
  <si>
    <t>1005BE</t>
  </si>
  <si>
    <t>1005BF</t>
  </si>
  <si>
    <t>1005BG</t>
  </si>
  <si>
    <t>1005BH</t>
  </si>
  <si>
    <t>1005BI</t>
  </si>
  <si>
    <t>1005BJ</t>
  </si>
  <si>
    <t>1005BK</t>
  </si>
  <si>
    <t>1005CA</t>
  </si>
  <si>
    <t>1005CB</t>
  </si>
  <si>
    <t>1005CC</t>
  </si>
  <si>
    <t>1005CD</t>
  </si>
  <si>
    <t>1005CE</t>
  </si>
  <si>
    <t>1005CF</t>
  </si>
  <si>
    <t>1005CG</t>
  </si>
  <si>
    <t>1005CH</t>
  </si>
  <si>
    <t>1005CI</t>
  </si>
  <si>
    <t>1005CJ</t>
  </si>
  <si>
    <t>1005CK</t>
  </si>
  <si>
    <t>1005DA</t>
  </si>
  <si>
    <t>1005DB</t>
  </si>
  <si>
    <t>1005DC</t>
  </si>
  <si>
    <t>1005DD</t>
  </si>
  <si>
    <t>1005DE</t>
  </si>
  <si>
    <t>1005DF</t>
  </si>
  <si>
    <t>1005DG</t>
  </si>
  <si>
    <t>1005DH</t>
  </si>
  <si>
    <t>1005DI</t>
  </si>
  <si>
    <t>1005DJ</t>
  </si>
  <si>
    <t>1005DK</t>
  </si>
  <si>
    <t>2001AA</t>
  </si>
  <si>
    <t>2001AB</t>
  </si>
  <si>
    <t>2001AC</t>
  </si>
  <si>
    <t>2001AD</t>
  </si>
  <si>
    <t>2001AE</t>
  </si>
  <si>
    <t>2001AF</t>
  </si>
  <si>
    <t>2001AG</t>
  </si>
  <si>
    <t>2001AH</t>
  </si>
  <si>
    <t>2001AI</t>
  </si>
  <si>
    <t>2001AJ</t>
  </si>
  <si>
    <t>2001AK</t>
  </si>
  <si>
    <t>2001AL</t>
  </si>
  <si>
    <t>2001AM</t>
  </si>
  <si>
    <t>2001AN</t>
  </si>
  <si>
    <t>2001AO</t>
  </si>
  <si>
    <t>2001BA</t>
  </si>
  <si>
    <t>2001BB</t>
  </si>
  <si>
    <t>2001BC</t>
  </si>
  <si>
    <t>2001BD</t>
  </si>
  <si>
    <t>2001BE</t>
  </si>
  <si>
    <t>2001BF</t>
  </si>
  <si>
    <t>2001BG</t>
  </si>
  <si>
    <t>2001BH</t>
  </si>
  <si>
    <t>2001BI</t>
  </si>
  <si>
    <t>2001BJ</t>
  </si>
  <si>
    <t>2001BK</t>
  </si>
  <si>
    <t>2001BL</t>
  </si>
  <si>
    <t>2001BM</t>
  </si>
  <si>
    <t>2001BN</t>
  </si>
  <si>
    <t>2001BO</t>
  </si>
  <si>
    <t>2001CA</t>
  </si>
  <si>
    <t>2001CB</t>
  </si>
  <si>
    <t>2001CC</t>
  </si>
  <si>
    <t>2001CD</t>
  </si>
  <si>
    <t>2001CE</t>
  </si>
  <si>
    <t>2001CF</t>
  </si>
  <si>
    <t>2001CG</t>
  </si>
  <si>
    <t>2001CH</t>
  </si>
  <si>
    <t>2001CI</t>
  </si>
  <si>
    <t>2001CJ</t>
  </si>
  <si>
    <t>2001CK</t>
  </si>
  <si>
    <t>2001CL</t>
  </si>
  <si>
    <t>2001CM</t>
  </si>
  <si>
    <t>2001CN</t>
  </si>
  <si>
    <t>2001CO</t>
  </si>
  <si>
    <t>2001DA</t>
  </si>
  <si>
    <t>2001DB</t>
  </si>
  <si>
    <t>2001DC</t>
  </si>
  <si>
    <t>2001DD</t>
  </si>
  <si>
    <t>2001DE</t>
  </si>
  <si>
    <t>2001DF</t>
  </si>
  <si>
    <t>2001DG</t>
  </si>
  <si>
    <t>2001DH</t>
  </si>
  <si>
    <t>2001DI</t>
  </si>
  <si>
    <t>2001DJ</t>
  </si>
  <si>
    <t>2001DK</t>
  </si>
  <si>
    <t>2001DL</t>
  </si>
  <si>
    <t>2001DM</t>
  </si>
  <si>
    <t>2001DN</t>
  </si>
  <si>
    <t>2001DO</t>
  </si>
  <si>
    <t>2002AA</t>
  </si>
  <si>
    <t>1001AA</t>
  </si>
  <si>
    <t>1001AB</t>
  </si>
  <si>
    <t>1001AC</t>
  </si>
  <si>
    <t>1001AD</t>
  </si>
  <si>
    <t>1001AE</t>
  </si>
  <si>
    <t>1001AF</t>
  </si>
  <si>
    <t>1001AG</t>
  </si>
  <si>
    <t>1001AH</t>
  </si>
  <si>
    <t>1001AI</t>
  </si>
  <si>
    <t>1001AJ</t>
  </si>
  <si>
    <t>1001AK</t>
  </si>
  <si>
    <t>1001AL</t>
  </si>
  <si>
    <t>1001AM</t>
  </si>
  <si>
    <t>1001AN</t>
  </si>
  <si>
    <t>1001AO</t>
  </si>
  <si>
    <t>1001BA</t>
  </si>
  <si>
    <t>1001BB</t>
  </si>
  <si>
    <t>1001BC</t>
  </si>
  <si>
    <t>1001BD</t>
  </si>
  <si>
    <t>1001BE</t>
  </si>
  <si>
    <t>1001BF</t>
  </si>
  <si>
    <t>1001BG</t>
  </si>
  <si>
    <t>1001BH</t>
  </si>
  <si>
    <t>1001BI</t>
  </si>
  <si>
    <t>1001BJ</t>
  </si>
  <si>
    <t>1001BK</t>
  </si>
  <si>
    <t>1001BL</t>
  </si>
  <si>
    <t>1001BM</t>
  </si>
  <si>
    <t>1001BN</t>
  </si>
  <si>
    <t>1001BO</t>
  </si>
  <si>
    <t>1001CA</t>
  </si>
  <si>
    <t>1001CB</t>
  </si>
  <si>
    <t>1001CC</t>
  </si>
  <si>
    <t>1001CD</t>
  </si>
  <si>
    <t>1001CE</t>
  </si>
  <si>
    <t>1001CF</t>
  </si>
  <si>
    <t>1001CG</t>
  </si>
  <si>
    <t>1001CH</t>
  </si>
  <si>
    <t>1001CI</t>
  </si>
  <si>
    <t>1001CJ</t>
  </si>
  <si>
    <t>1001CK</t>
  </si>
  <si>
    <t>1001CL</t>
  </si>
  <si>
    <t>1001CM</t>
  </si>
  <si>
    <t>1001CN</t>
  </si>
  <si>
    <t>1001CO</t>
  </si>
  <si>
    <t>1001DA</t>
  </si>
  <si>
    <t>1001DB</t>
  </si>
  <si>
    <t>1001DC</t>
  </si>
  <si>
    <t>1001DD</t>
  </si>
  <si>
    <t>1001DE</t>
  </si>
  <si>
    <t>1001DF</t>
  </si>
  <si>
    <t>1001DG</t>
  </si>
  <si>
    <t>1001DH</t>
  </si>
  <si>
    <t>1001DI</t>
  </si>
  <si>
    <t>1001DJ</t>
  </si>
  <si>
    <t>1001DK</t>
  </si>
  <si>
    <t>1001DL</t>
  </si>
  <si>
    <t>1001DM</t>
  </si>
  <si>
    <t>1001DN</t>
  </si>
  <si>
    <t>1001DO</t>
  </si>
  <si>
    <t>1002AA</t>
  </si>
  <si>
    <t>1002AB</t>
  </si>
  <si>
    <t>1002AC</t>
  </si>
  <si>
    <t>1002AD</t>
  </si>
  <si>
    <t>1002AE</t>
  </si>
  <si>
    <t>1002AF</t>
  </si>
  <si>
    <t>1002BA</t>
  </si>
  <si>
    <t>1002BB</t>
  </si>
  <si>
    <t>1002BC</t>
  </si>
  <si>
    <t>1002BD</t>
  </si>
  <si>
    <t>1002BE</t>
  </si>
  <si>
    <t>1002BF</t>
  </si>
  <si>
    <t>1002CA</t>
  </si>
  <si>
    <t>1002CB</t>
  </si>
  <si>
    <t>1002CC</t>
  </si>
  <si>
    <t>1002CD</t>
  </si>
  <si>
    <t>1002CE</t>
  </si>
  <si>
    <t>1002CF</t>
  </si>
  <si>
    <t>1002DA</t>
  </si>
  <si>
    <t>1002DB</t>
  </si>
  <si>
    <t>1002DC</t>
  </si>
  <si>
    <t>Harris IT Service Corporation (Z)</t>
  </si>
  <si>
    <t>IBM Global Business Services – U.S. Federal (DOM)</t>
  </si>
  <si>
    <t>Lockheed Martin (Z)</t>
  </si>
  <si>
    <t>Onix Networking Corp. (G)</t>
  </si>
  <si>
    <t>Science Applications International Corporation (G)</t>
  </si>
  <si>
    <t>Smartronix, Inc (EX)</t>
  </si>
  <si>
    <t>Systems Research and Applications Corporation (G)</t>
  </si>
  <si>
    <t>Systems Research and Applications Corporation (365)</t>
  </si>
  <si>
    <t>Technosource LLC (365)</t>
  </si>
  <si>
    <t>Unisys (365)</t>
  </si>
  <si>
    <t>Govt. Community</t>
  </si>
  <si>
    <t xml:space="preserve">Private </t>
  </si>
  <si>
    <t>Secret Enclave</t>
  </si>
  <si>
    <t>Public</t>
  </si>
  <si>
    <t>Private</t>
  </si>
  <si>
    <t>per Mailbox per month</t>
  </si>
  <si>
    <t>per GB per month</t>
  </si>
  <si>
    <t>per User per month</t>
  </si>
  <si>
    <t>per Mailbox</t>
  </si>
  <si>
    <t>per Hour</t>
  </si>
  <si>
    <t>Records Management Tier 1 (&lt;10K users)</t>
  </si>
  <si>
    <t>Office Automation SaaS Tier 1 (&lt;10K Users</t>
  </si>
  <si>
    <t>Mailbox Tier 1 (&lt;10K Mbox)</t>
  </si>
  <si>
    <t>Mailbox Tier 2 (10K-50K Mbox)</t>
  </si>
  <si>
    <t>Mailbox Tier 3 (&gt;50K Mbox)</t>
  </si>
  <si>
    <t>Archiving per Mailbox Tier 1 (&lt;10K Mbox)</t>
  </si>
  <si>
    <t>Archiving per Mailbox  Tier 2 (10K-50K Mbox)</t>
  </si>
  <si>
    <t>Archiving per Mailbox  Tier 3 (&gt;50K Mbox)</t>
  </si>
  <si>
    <t>Additional GB of Archiving Storage Tier 1 (&lt;10K Mbox)</t>
  </si>
  <si>
    <t>Additional GB of Archiving Storage Tier 2 (10K-50K Mbox)</t>
  </si>
  <si>
    <t>Additional GB of Archiving Storage Tier 3 (&gt;50K Mbox)</t>
  </si>
  <si>
    <t>Office Automation SaaS Tier 2 (10K-50K Users)</t>
  </si>
  <si>
    <t>Office Automation SaaS Tier 3 (&gt;50K Users)</t>
  </si>
  <si>
    <t>Records Management Tier 2 (10K-50K users)</t>
  </si>
  <si>
    <t>Records Management Tier 3 (&gt;50K users)</t>
  </si>
  <si>
    <t>Integration Services Project Manager</t>
  </si>
  <si>
    <t>Integration Services Subject Matter Expert I</t>
  </si>
  <si>
    <t>Integration Services Subject Matter Expert II</t>
  </si>
  <si>
    <t>Integration Services Subject Matter Expert III</t>
  </si>
  <si>
    <t>Integration Services Quality Assurance Analyst</t>
  </si>
  <si>
    <t>Integration Services System Architect</t>
  </si>
  <si>
    <t>Integration Services System Programmer</t>
  </si>
  <si>
    <t>Integration Services Hardware/Software Specialist</t>
  </si>
  <si>
    <t>Integration Services Security Specialist</t>
  </si>
  <si>
    <t>Integration Services Test Manager</t>
  </si>
  <si>
    <t>Integration Services Change Management Lead</t>
  </si>
  <si>
    <t>0005CA</t>
  </si>
  <si>
    <t>0005CB</t>
  </si>
  <si>
    <t>0005CC</t>
  </si>
  <si>
    <t>0005CD</t>
  </si>
  <si>
    <t>0005CE</t>
  </si>
  <si>
    <t>0005CF</t>
  </si>
  <si>
    <t>0005CG</t>
  </si>
  <si>
    <t>0005CH</t>
  </si>
  <si>
    <t>0005CI</t>
  </si>
  <si>
    <t>0005CJ</t>
  </si>
  <si>
    <t>0005CK</t>
  </si>
  <si>
    <t>0005DA</t>
  </si>
  <si>
    <t>0005DB</t>
  </si>
  <si>
    <t>0005DC</t>
  </si>
  <si>
    <t>0005DD</t>
  </si>
  <si>
    <t>0005DE</t>
  </si>
  <si>
    <t>0005DF</t>
  </si>
  <si>
    <t>0005DG</t>
  </si>
  <si>
    <t>0005DH</t>
  </si>
  <si>
    <t>0005DI</t>
  </si>
  <si>
    <t>0005DJ</t>
  </si>
  <si>
    <t>0005DK</t>
  </si>
  <si>
    <t>Additional GB of Office Automation Storage Tier 1 (&lt;10K Users)</t>
  </si>
  <si>
    <t>Additional GB of Office Automation Storage Tier 2 (10K-50K Users)</t>
  </si>
  <si>
    <t>Additional GB of Office Automation Storage Tier 3 (&gt;50K Users)</t>
  </si>
  <si>
    <t>Additional GB of Record Management Storage Tier 1 (&lt;10K Users)</t>
  </si>
  <si>
    <t>Additional GB of Record Management Storage Tier 2 (10K-50K Users)</t>
  </si>
  <si>
    <t>Additional GB of Record Management Storage Tier 3 (&gt;50K Users)</t>
  </si>
  <si>
    <t>Additional GB of Record Management Storage Tier 1 (&lt;10K users)</t>
  </si>
  <si>
    <t>Additional GB of Record Management Storage Tier 2 (10K-50K users)</t>
  </si>
  <si>
    <t>Additional GB of Record Management Storage Tier 3 (&gt;50K users)</t>
  </si>
  <si>
    <t>Executive Migration Service Tier 1 (&lt;10K users)</t>
  </si>
  <si>
    <t>Executive Migration Service Tier 2 (10K-50K users)</t>
  </si>
  <si>
    <t>Executive Migration Service Tier 3 (&gt;50K users)</t>
  </si>
  <si>
    <t>Standard Migration Service Tier 1 (&lt;10K users)</t>
  </si>
  <si>
    <t>Standard Migration Service Tier 2 (10K-50K users)</t>
  </si>
  <si>
    <t>Standard Migration Service Tier 3 (&gt;50K users)</t>
  </si>
  <si>
    <t>Accenture Federal Services LLC (G)</t>
  </si>
  <si>
    <t>NC</t>
  </si>
  <si>
    <t>Unit of Measure</t>
  </si>
  <si>
    <t>Blackberry Enterprise Server per Mailbox Tier 1 (&lt;10K Mbox)</t>
  </si>
  <si>
    <t>Blackberry Enterprise Server per Mailbox Tier 2 (10K-50K Mbox)</t>
  </si>
  <si>
    <t>Blackberry Enterprise Server per Mailbox Tier 3 (&gt;50K Mbox)</t>
  </si>
  <si>
    <t>Additional GB of Mailbox Storage Tier 1 (&lt;10K Mbox)</t>
  </si>
  <si>
    <t>Additional GB of Mailbox Storage Tier 2 (10K-50K Mbox)</t>
  </si>
  <si>
    <t>Additional GB of Mailbox Storage Tier 3 (&gt;50K Mbox)</t>
  </si>
  <si>
    <t>Accenture Federal Services LLC (365)</t>
  </si>
  <si>
    <t>Autonomic Resources LLC (EX)</t>
  </si>
  <si>
    <t>CGI Federal Inc. (Z)</t>
  </si>
  <si>
    <t>Ciracom Inc. (EX)</t>
  </si>
  <si>
    <t>Computer Sciences Corporation (G)</t>
  </si>
  <si>
    <t>Computer Sciences Corporation (EX)</t>
  </si>
  <si>
    <t>Dell Federal Systems L.P. (365)</t>
  </si>
  <si>
    <t>DLT Solutions, LLC (G)</t>
  </si>
  <si>
    <t xml:space="preserve">General Dynamics Information Technology, Inc. (Z) </t>
  </si>
  <si>
    <t>CLIN</t>
  </si>
  <si>
    <t>Delivery Model</t>
  </si>
  <si>
    <t>0001AA</t>
  </si>
  <si>
    <t>0001AB</t>
  </si>
  <si>
    <t>0001AC</t>
  </si>
  <si>
    <t>0001AD</t>
  </si>
  <si>
    <t>0001AE</t>
  </si>
  <si>
    <t>0001AF</t>
  </si>
  <si>
    <t>0001AG</t>
  </si>
  <si>
    <t>0001AH</t>
  </si>
  <si>
    <t>0001AI</t>
  </si>
  <si>
    <t>0001AJ</t>
  </si>
  <si>
    <t>0001AK</t>
  </si>
  <si>
    <t>0001AL</t>
  </si>
  <si>
    <t>0001AM</t>
  </si>
  <si>
    <t>0001AN</t>
  </si>
  <si>
    <t>0001AO</t>
  </si>
  <si>
    <t>0001BA</t>
  </si>
  <si>
    <t>0001BB</t>
  </si>
  <si>
    <t>0001BC</t>
  </si>
  <si>
    <t>0001BD</t>
  </si>
  <si>
    <t>0001BE</t>
  </si>
  <si>
    <t>0001BF</t>
  </si>
  <si>
    <t>0001BG</t>
  </si>
  <si>
    <t>0001BH</t>
  </si>
  <si>
    <t>0001BI</t>
  </si>
  <si>
    <t>0001BJ</t>
  </si>
  <si>
    <t>0001BK</t>
  </si>
  <si>
    <t>0001BL</t>
  </si>
  <si>
    <t>0001BM</t>
  </si>
  <si>
    <t>0001BN</t>
  </si>
  <si>
    <t>0001BO</t>
  </si>
  <si>
    <t>0001CA</t>
  </si>
  <si>
    <t>0001CB</t>
  </si>
  <si>
    <t>0001CC</t>
  </si>
  <si>
    <t>0001CD</t>
  </si>
  <si>
    <t>0001CE</t>
  </si>
  <si>
    <t>0001CF</t>
  </si>
  <si>
    <t>0001CG</t>
  </si>
  <si>
    <t>0001CH</t>
  </si>
  <si>
    <t>0001CI</t>
  </si>
  <si>
    <t>0001CJ</t>
  </si>
  <si>
    <t>0001CK</t>
  </si>
  <si>
    <t>0001CL</t>
  </si>
  <si>
    <t>0001CM</t>
  </si>
  <si>
    <t>0001CN</t>
  </si>
  <si>
    <t>0001CO</t>
  </si>
  <si>
    <t>0001DA</t>
  </si>
  <si>
    <t>0001DB</t>
  </si>
  <si>
    <t>0001DC</t>
  </si>
  <si>
    <t>0001DD</t>
  </si>
  <si>
    <t>0001DE</t>
  </si>
  <si>
    <t>0001DF</t>
  </si>
  <si>
    <t>0001DG</t>
  </si>
  <si>
    <t>0001DH</t>
  </si>
  <si>
    <t>0001DI</t>
  </si>
  <si>
    <t>0001DJ</t>
  </si>
  <si>
    <t>0001DK</t>
  </si>
  <si>
    <t>0001DL</t>
  </si>
  <si>
    <t>0001DM</t>
  </si>
  <si>
    <t>0001DN</t>
  </si>
  <si>
    <t>0001DO</t>
  </si>
  <si>
    <t>0002AA</t>
  </si>
  <si>
    <t>0002AB</t>
  </si>
  <si>
    <t>0002AC</t>
  </si>
  <si>
    <t>0002AD</t>
  </si>
  <si>
    <t>0002AE</t>
  </si>
  <si>
    <t>0002AF</t>
  </si>
  <si>
    <t>0002BA</t>
  </si>
  <si>
    <t>0002BB</t>
  </si>
  <si>
    <t>0002BC</t>
  </si>
  <si>
    <t>0002BD</t>
  </si>
  <si>
    <t>0002BE</t>
  </si>
  <si>
    <t>0002BF</t>
  </si>
  <si>
    <t>0002CA</t>
  </si>
  <si>
    <t>0002CB</t>
  </si>
  <si>
    <t>0002CC</t>
  </si>
  <si>
    <t>0002CD</t>
  </si>
  <si>
    <t>0002CE</t>
  </si>
  <si>
    <t>0002CF</t>
  </si>
  <si>
    <t>0002DA</t>
  </si>
  <si>
    <t>0002DB</t>
  </si>
  <si>
    <t>0002DC</t>
  </si>
  <si>
    <t>0002DD</t>
  </si>
  <si>
    <t>0002DE</t>
  </si>
  <si>
    <t>0002DF</t>
  </si>
  <si>
    <t>0003AA</t>
  </si>
  <si>
    <t>0003AB</t>
  </si>
  <si>
    <t>0003AC</t>
  </si>
  <si>
    <t>0003AD</t>
  </si>
  <si>
    <t>0003AE</t>
  </si>
  <si>
    <t>0003AF</t>
  </si>
  <si>
    <t>0003BA</t>
  </si>
  <si>
    <t>0003BB</t>
  </si>
  <si>
    <t>0003BC</t>
  </si>
  <si>
    <t>0003BD</t>
  </si>
  <si>
    <t>0003BE</t>
  </si>
  <si>
    <t>0003BF</t>
  </si>
  <si>
    <t>0003CA</t>
  </si>
  <si>
    <t>0003CB</t>
  </si>
  <si>
    <t>0003CC</t>
  </si>
  <si>
    <t>0003CD</t>
  </si>
  <si>
    <t>0003CE</t>
  </si>
  <si>
    <t>0003CF</t>
  </si>
  <si>
    <t>0003DA</t>
  </si>
  <si>
    <t>0003DB</t>
  </si>
  <si>
    <t>0003DC</t>
  </si>
  <si>
    <t>0003DD</t>
  </si>
  <si>
    <t>0003DE</t>
  </si>
  <si>
    <t>0003DF</t>
  </si>
  <si>
    <t>0004AA</t>
  </si>
  <si>
    <t>0004AB</t>
  </si>
  <si>
    <t>0004AC</t>
  </si>
  <si>
    <t>0004AD</t>
  </si>
  <si>
    <t>0004AE</t>
  </si>
  <si>
    <t>0004AF</t>
  </si>
  <si>
    <t>0004BA</t>
  </si>
  <si>
    <t>0004BB</t>
  </si>
  <si>
    <t>0004BC</t>
  </si>
  <si>
    <t>0004BD</t>
  </si>
  <si>
    <t>0004BE</t>
  </si>
  <si>
    <t>0004BF</t>
  </si>
  <si>
    <t>0004CA</t>
  </si>
  <si>
    <t>0004CB</t>
  </si>
  <si>
    <t>0004CC</t>
  </si>
  <si>
    <t>0004CD</t>
  </si>
  <si>
    <t>0004CE</t>
  </si>
  <si>
    <t>0004CF</t>
  </si>
  <si>
    <t>0004DA</t>
  </si>
  <si>
    <t>0004DB</t>
  </si>
  <si>
    <t>0004DC</t>
  </si>
  <si>
    <t>0004DD</t>
  </si>
  <si>
    <t>0004DE</t>
  </si>
  <si>
    <t>0004DF</t>
  </si>
  <si>
    <t>0005AA</t>
  </si>
  <si>
    <t>0005AB</t>
  </si>
  <si>
    <t>0005AC</t>
  </si>
  <si>
    <t>0005AD</t>
  </si>
  <si>
    <t>0005AE</t>
  </si>
  <si>
    <t>0005AF</t>
  </si>
  <si>
    <t>0005AG</t>
  </si>
  <si>
    <t>0005AH</t>
  </si>
  <si>
    <t>0005AI</t>
  </si>
  <si>
    <t>0005AJ</t>
  </si>
  <si>
    <t>0005AK</t>
  </si>
  <si>
    <t>0005BA</t>
  </si>
  <si>
    <t>0005BB</t>
  </si>
  <si>
    <t>0005BC</t>
  </si>
  <si>
    <t>0005BD</t>
  </si>
  <si>
    <t>0005BE</t>
  </si>
  <si>
    <t>0005BF</t>
  </si>
  <si>
    <t>0005BG</t>
  </si>
  <si>
    <t>0005BH</t>
  </si>
  <si>
    <t>0005BI</t>
  </si>
  <si>
    <t>0005BJ</t>
  </si>
  <si>
    <t>0005BK</t>
  </si>
  <si>
    <t>Total</t>
  </si>
  <si>
    <r>
      <t xml:space="preserve">"X" indicates pricing </t>
    </r>
    <r>
      <rPr>
        <i/>
        <u/>
        <sz val="10"/>
        <rFont val="Arial"/>
        <family val="2"/>
      </rPr>
      <t>is</t>
    </r>
    <r>
      <rPr>
        <i/>
        <sz val="10"/>
        <rFont val="Arial"/>
        <family val="2"/>
      </rPr>
      <t xml:space="preserve"> available for that particular industry partner / sublot combination</t>
    </r>
  </si>
  <si>
    <r>
      <rPr>
        <sz val="28"/>
        <rFont val="Arial"/>
        <family val="2"/>
      </rPr>
      <t xml:space="preserve">Non-US
</t>
    </r>
    <r>
      <rPr>
        <sz val="24"/>
        <rFont val="Arial"/>
        <family val="2"/>
      </rPr>
      <t xml:space="preserve">
</t>
    </r>
    <r>
      <rPr>
        <sz val="18"/>
        <rFont val="Arial"/>
        <family val="2"/>
      </rPr>
      <t>This Sheet is a filler sheet</t>
    </r>
  </si>
  <si>
    <t>Unisys (G)</t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</si>
  <si>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Base Period of Two (2) Years: US Pricing                                          </t>
    </r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</si>
  <si>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Option Year 1: US Pricing                                                                  </t>
    </r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</si>
  <si>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Option Year 2: US Pricing                                                                      </t>
    </r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</si>
  <si>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Option Year 3: US Pricing                                                                    </t>
    </r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</si>
  <si>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Base Period of Two (2) Years: Non-US Pricing                           </t>
    </r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</si>
  <si>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Option Year 1: Non-US Pricing                                                         </t>
    </r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</si>
  <si>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Option Year 2: Non-US Pricing                                                         </t>
    </r>
    <r>
      <rPr>
        <b/>
        <sz val="11"/>
        <color rgb="FFFF0000"/>
        <rFont val="Arial"/>
        <family val="2"/>
      </rPr>
      <t/>
    </r>
  </si>
  <si>
    <r>
      <t xml:space="preserve">CLIN Description                                                               </t>
    </r>
    <r>
      <rPr>
        <b/>
        <sz val="11"/>
        <rFont val="Arial"/>
        <family val="2"/>
      </rPr>
      <t xml:space="preserve">Prices listed are for Option Year 3: Non-US Pricing                                                            </t>
    </r>
  </si>
  <si>
    <t>Consolidated Pricing Spreadsheet for Email as a Service BPA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</si>
</sst>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_);_(&quot;$&quot;* \(#,##0.00\);_(\ &quot;NC&quot;_);_(@_)"/>
  </numFmts>
  <fonts count="17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name val="Verdana"/>
      <family val="2"/>
    </font>
    <font>
      <sz val="10"/>
      <name val="Arial"/>
      <family val="2"/>
    </font>
    <font>
      <i/>
      <sz val="10"/>
      <name val="Arial"/>
      <family val="2"/>
    </font>
    <font>
      <i/>
      <u/>
      <sz val="10"/>
      <name val="Arial"/>
      <family val="2"/>
    </font>
    <font>
      <b/>
      <sz val="11"/>
      <color rgb="FFFF0000"/>
      <name val="Arial"/>
      <family val="2"/>
    </font>
    <font>
      <sz val="24"/>
      <name val="Arial"/>
      <family val="2"/>
    </font>
    <font>
      <sz val="28"/>
      <name val="Arial"/>
      <family val="2"/>
    </font>
    <font>
      <sz val="18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</borders>
  <cellStyleXfs count="20">
    <xf numFmtId="0" fontId="0" fillId="0" borderId="0"/>
    <xf numFmtId="0" fontId="4" fillId="0" borderId="0"/>
    <xf numFmtId="44" fontId="4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textRotation="90"/>
    </xf>
    <xf numFmtId="0" fontId="5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 applyProtection="1">
      <alignment horizontal="center" textRotation="90" wrapText="1"/>
      <protection locked="0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indent="1"/>
    </xf>
    <xf numFmtId="0" fontId="4" fillId="0" borderId="1" xfId="0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center"/>
    </xf>
    <xf numFmtId="0" fontId="4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7" fillId="0" borderId="0" xfId="0" applyFont="1"/>
    <xf numFmtId="0" fontId="3" fillId="2" borderId="3" xfId="0" applyFont="1" applyFill="1" applyBorder="1" applyAlignment="1" applyProtection="1">
      <alignment horizontal="left" wrapText="1"/>
      <protection locked="0"/>
    </xf>
    <xf numFmtId="0" fontId="7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3" fillId="2" borderId="7" xfId="0" applyFont="1" applyFill="1" applyBorder="1" applyAlignment="1" applyProtection="1">
      <alignment horizontal="left" wrapText="1"/>
      <protection locked="0"/>
    </xf>
    <xf numFmtId="0" fontId="3" fillId="2" borderId="8" xfId="0" applyFont="1" applyFill="1" applyBorder="1" applyAlignment="1" applyProtection="1">
      <alignment horizontal="left" wrapText="1"/>
      <protection locked="0"/>
    </xf>
    <xf numFmtId="0" fontId="3" fillId="2" borderId="9" xfId="0" applyFont="1" applyFill="1" applyBorder="1" applyAlignment="1" applyProtection="1">
      <alignment horizontal="left" wrapText="1"/>
      <protection locked="0"/>
    </xf>
    <xf numFmtId="0" fontId="3" fillId="3" borderId="2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9" fillId="3" borderId="14" xfId="0" applyFont="1" applyFill="1" applyBorder="1"/>
    <xf numFmtId="0" fontId="3" fillId="2" borderId="23" xfId="0" applyFont="1" applyFill="1" applyBorder="1" applyAlignment="1" applyProtection="1">
      <alignment horizontal="left" wrapText="1"/>
      <protection locked="0"/>
    </xf>
    <xf numFmtId="0" fontId="4" fillId="3" borderId="24" xfId="0" applyFont="1" applyFill="1" applyBorder="1" applyAlignment="1" applyProtection="1">
      <alignment horizontal="left" wrapText="1"/>
      <protection locked="0"/>
    </xf>
    <xf numFmtId="0" fontId="4" fillId="3" borderId="25" xfId="0" applyFont="1" applyFill="1" applyBorder="1" applyAlignment="1" applyProtection="1">
      <alignment horizontal="left" wrapText="1"/>
      <protection locked="0"/>
    </xf>
    <xf numFmtId="0" fontId="9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left"/>
    </xf>
    <xf numFmtId="0" fontId="9" fillId="0" borderId="1" xfId="0" applyFont="1" applyFill="1" applyBorder="1" applyAlignment="1">
      <alignment vertical="center" wrapText="1"/>
    </xf>
    <xf numFmtId="16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left"/>
    </xf>
    <xf numFmtId="0" fontId="16" fillId="3" borderId="0" xfId="0" applyFont="1" applyFill="1" applyAlignment="1">
      <alignment horizontal="left"/>
    </xf>
    <xf numFmtId="164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18" xfId="0" applyFont="1" applyFill="1" applyBorder="1" applyAlignment="1">
      <alignment horizontal="left"/>
    </xf>
    <xf numFmtId="0" fontId="9" fillId="3" borderId="20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3" fillId="2" borderId="2" xfId="0" applyFont="1" applyFill="1" applyBorder="1" applyAlignment="1" applyProtection="1">
      <alignment horizontal="left" wrapText="1"/>
      <protection locked="0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3" fillId="2" borderId="21" xfId="0" applyFont="1" applyFill="1" applyBorder="1" applyAlignment="1" applyProtection="1">
      <alignment horizontal="left" wrapText="1"/>
      <protection locked="0"/>
    </xf>
    <xf numFmtId="0" fontId="3" fillId="2" borderId="22" xfId="0" applyFont="1" applyFill="1" applyBorder="1" applyAlignment="1" applyProtection="1">
      <alignment horizontal="left" wrapText="1"/>
      <protection locked="0"/>
    </xf>
    <xf numFmtId="0" fontId="4" fillId="3" borderId="10" xfId="0" applyFont="1" applyFill="1" applyBorder="1" applyAlignment="1" applyProtection="1">
      <alignment horizontal="left" wrapText="1"/>
      <protection locked="0"/>
    </xf>
    <xf numFmtId="0" fontId="4" fillId="3" borderId="11" xfId="0" applyFont="1" applyFill="1" applyBorder="1" applyAlignment="1" applyProtection="1">
      <alignment horizontal="left" wrapText="1"/>
      <protection locked="0"/>
    </xf>
    <xf numFmtId="0" fontId="0" fillId="3" borderId="12" xfId="0" applyFont="1" applyFill="1" applyBorder="1" applyAlignment="1" applyProtection="1">
      <alignment horizontal="left" wrapText="1"/>
      <protection locked="0"/>
    </xf>
    <xf numFmtId="0" fontId="4" fillId="3" borderId="13" xfId="0" applyFont="1" applyFill="1" applyBorder="1" applyAlignment="1" applyProtection="1">
      <alignment horizontal="left" wrapText="1"/>
      <protection locked="0"/>
    </xf>
    <xf numFmtId="0" fontId="9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</cellXfs>
  <cellStyles count="20">
    <cellStyle name="Comma 2" xfId="4"/>
    <cellStyle name="Comma 2 2" xfId="11"/>
    <cellStyle name="Comma 3" xfId="9"/>
    <cellStyle name="Comma 4" xfId="19"/>
    <cellStyle name="Currency 2" xfId="5"/>
    <cellStyle name="Currency 2 2" xfId="12"/>
    <cellStyle name="Currency 3" xfId="2"/>
    <cellStyle name="Currency 3 2" xfId="13"/>
    <cellStyle name="Normal" xfId="0" builtinId="0"/>
    <cellStyle name="Normal 2" xfId="1"/>
    <cellStyle name="Normal 2 2" xfId="14"/>
    <cellStyle name="Normal 3" xfId="6"/>
    <cellStyle name="Normal 3 2" xfId="15"/>
    <cellStyle name="Normal 4" xfId="3"/>
    <cellStyle name="Normal 4 2" xfId="16"/>
    <cellStyle name="Normal 5" xfId="10"/>
    <cellStyle name="Percent 2" xfId="8"/>
    <cellStyle name="Percent 2 2" xfId="18"/>
    <cellStyle name="Percent 3" xfId="7"/>
    <cellStyle name="Percent 4" xfId="17"/>
  </cellStyles>
  <dxfs count="59"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138"/>
  <sheetViews>
    <sheetView tabSelected="1" zoomScale="85" zoomScaleNormal="85" workbookViewId="0">
      <selection activeCell="A11" sqref="A11:B11"/>
    </sheetView>
  </sheetViews>
  <sheetFormatPr defaultColWidth="8.85546875" defaultRowHeight="12.75"/>
  <cols>
    <col min="1" max="1" width="8.28515625" style="19" customWidth="1"/>
    <col min="2" max="2" width="38.140625" customWidth="1"/>
    <col min="3" max="22" width="4" customWidth="1"/>
    <col min="23" max="23" width="3.42578125" style="23" customWidth="1"/>
    <col min="24" max="24" width="46.42578125" customWidth="1"/>
    <col min="25" max="44" width="4" customWidth="1"/>
    <col min="45" max="57" width="8.85546875" style="23"/>
  </cols>
  <sheetData>
    <row r="1" spans="1:57" s="23" customFormat="1" ht="18.75" customHeight="1">
      <c r="A1" s="51" t="s">
        <v>857</v>
      </c>
    </row>
    <row r="2" spans="1:57" s="23" customFormat="1" ht="15.75" thickBot="1">
      <c r="A2" s="25" t="s">
        <v>194</v>
      </c>
      <c r="B2" s="22"/>
      <c r="X2" s="22" t="s">
        <v>0</v>
      </c>
    </row>
    <row r="3" spans="1:57">
      <c r="A3" s="60" t="s">
        <v>173</v>
      </c>
      <c r="B3" s="61"/>
      <c r="C3" s="28" t="s">
        <v>174</v>
      </c>
      <c r="D3" s="29" t="s">
        <v>175</v>
      </c>
      <c r="E3" s="29" t="s">
        <v>176</v>
      </c>
      <c r="F3" s="30" t="s">
        <v>177</v>
      </c>
      <c r="G3" s="28" t="s">
        <v>178</v>
      </c>
      <c r="H3" s="29" t="s">
        <v>179</v>
      </c>
      <c r="I3" s="29" t="s">
        <v>180</v>
      </c>
      <c r="J3" s="30" t="s">
        <v>181</v>
      </c>
      <c r="K3" s="28" t="s">
        <v>182</v>
      </c>
      <c r="L3" s="29" t="s">
        <v>183</v>
      </c>
      <c r="M3" s="29" t="s">
        <v>184</v>
      </c>
      <c r="N3" s="30" t="s">
        <v>185</v>
      </c>
      <c r="O3" s="28" t="s">
        <v>186</v>
      </c>
      <c r="P3" s="29" t="s">
        <v>187</v>
      </c>
      <c r="Q3" s="29" t="s">
        <v>188</v>
      </c>
      <c r="R3" s="30" t="s">
        <v>189</v>
      </c>
      <c r="S3" s="28" t="s">
        <v>190</v>
      </c>
      <c r="T3" s="29" t="s">
        <v>191</v>
      </c>
      <c r="U3" s="29" t="s">
        <v>192</v>
      </c>
      <c r="V3" s="30" t="s">
        <v>193</v>
      </c>
      <c r="X3" s="36" t="s">
        <v>173</v>
      </c>
      <c r="Y3" s="28" t="s">
        <v>174</v>
      </c>
      <c r="Z3" s="29" t="s">
        <v>175</v>
      </c>
      <c r="AA3" s="29" t="s">
        <v>176</v>
      </c>
      <c r="AB3" s="30" t="s">
        <v>177</v>
      </c>
      <c r="AC3" s="28" t="s">
        <v>178</v>
      </c>
      <c r="AD3" s="29" t="s">
        <v>179</v>
      </c>
      <c r="AE3" s="29" t="s">
        <v>180</v>
      </c>
      <c r="AF3" s="30" t="s">
        <v>181</v>
      </c>
      <c r="AG3" s="28" t="s">
        <v>182</v>
      </c>
      <c r="AH3" s="29" t="s">
        <v>183</v>
      </c>
      <c r="AI3" s="29" t="s">
        <v>184</v>
      </c>
      <c r="AJ3" s="30" t="s">
        <v>185</v>
      </c>
      <c r="AK3" s="28" t="s">
        <v>186</v>
      </c>
      <c r="AL3" s="29" t="s">
        <v>187</v>
      </c>
      <c r="AM3" s="29" t="s">
        <v>188</v>
      </c>
      <c r="AN3" s="30" t="s">
        <v>189</v>
      </c>
      <c r="AO3" s="28" t="s">
        <v>190</v>
      </c>
      <c r="AP3" s="29" t="s">
        <v>191</v>
      </c>
      <c r="AQ3" s="29" t="s">
        <v>192</v>
      </c>
      <c r="AR3" s="30" t="s">
        <v>193</v>
      </c>
    </row>
    <row r="4" spans="1:57" s="19" customFormat="1">
      <c r="A4" s="62" t="s">
        <v>671</v>
      </c>
      <c r="B4" s="63"/>
      <c r="C4" s="42" t="str">
        <f>IF(ISBLANK('Base 2-Yr (US)'!E2),"","X")</f>
        <v>X</v>
      </c>
      <c r="D4" s="31" t="str">
        <f>IF(ISBLANK('Base 2-Yr (US)'!$E18), "","X")</f>
        <v/>
      </c>
      <c r="E4" s="31" t="str">
        <f>IF(ISBLANK('Base 2-Yr (US)'!$E34), "","X")</f>
        <v/>
      </c>
      <c r="F4" s="43" t="str">
        <f>IF(ISBLANK('Base 2-Yr (US)'!$E50), "","X")</f>
        <v>X</v>
      </c>
      <c r="G4" s="42" t="str">
        <f>IF(ISBLANK('Base 2-Yr (US)'!$E66),"","X")</f>
        <v>X</v>
      </c>
      <c r="H4" s="31" t="str">
        <f>IF(ISBLANK('Base 2-Yr (US)'!$E73), "","X")</f>
        <v/>
      </c>
      <c r="I4" s="31" t="str">
        <f>IF(ISBLANK('Base 2-Yr (US)'!$E80), "","X")</f>
        <v/>
      </c>
      <c r="J4" s="43" t="str">
        <f>IF(ISBLANK('Base 2-Yr (US)'!$E87), "","X")</f>
        <v>X</v>
      </c>
      <c r="K4" s="42" t="str">
        <f>IF(ISBLANK('Base 2-Yr (US)'!$E94), "","X")</f>
        <v/>
      </c>
      <c r="L4" s="31" t="str">
        <f>IF(ISBLANK('Base 2-Yr (US)'!$E101), "","X")</f>
        <v/>
      </c>
      <c r="M4" s="31" t="str">
        <f>IF(ISBLANK('Base 2-Yr (US)'!$E108), "","X")</f>
        <v/>
      </c>
      <c r="N4" s="43" t="str">
        <f>IF(ISBLANK('Base 2-Yr (US)'!$E115), "","X")</f>
        <v/>
      </c>
      <c r="O4" s="42" t="str">
        <f>IF(ISBLANK('Base 2-Yr (US)'!$E122), "","X")</f>
        <v>X</v>
      </c>
      <c r="P4" s="31" t="str">
        <f>IF(ISBLANK('Base 2-Yr (US)'!$E129), "","X")</f>
        <v/>
      </c>
      <c r="Q4" s="31" t="str">
        <f>IF(ISBLANK('Base 2-Yr (US)'!$E136), "","X")</f>
        <v/>
      </c>
      <c r="R4" s="43" t="str">
        <f>IF(ISBLANK('Base 2-Yr (US)'!$E143), "","X")</f>
        <v>X</v>
      </c>
      <c r="S4" s="42" t="str">
        <f>IF(ISBLANK('Base 2-Yr (US)'!$E150), "","X")</f>
        <v>X</v>
      </c>
      <c r="T4" s="31" t="str">
        <f>IF(ISBLANK('Base 2-Yr (US)'!$E162), "","X")</f>
        <v/>
      </c>
      <c r="U4" s="31" t="str">
        <f>IF(ISBLANK('Base 2-Yr (US)'!$E174), "","X")</f>
        <v/>
      </c>
      <c r="V4" s="43" t="str">
        <f>IF(ISBLANK('Base 2-Yr (US)'!$E186), "","X")</f>
        <v>X</v>
      </c>
      <c r="W4" s="24"/>
      <c r="X4" s="37" t="s">
        <v>671</v>
      </c>
      <c r="Y4" s="42" t="str">
        <f>IF(ISBLANK('Base 2-Yr (Non-US)'!$E2),"","X")</f>
        <v>X</v>
      </c>
      <c r="Z4" s="31" t="str">
        <f>IF(ISBLANK('Base 2-Yr (Non-US)'!$E18), "","X")</f>
        <v/>
      </c>
      <c r="AA4" s="31" t="str">
        <f>IF(ISBLANK('Base 2-Yr (Non-US)'!$E34), "","X")</f>
        <v/>
      </c>
      <c r="AB4" s="43" t="str">
        <f>IF(ISBLANK('Base 2-Yr (Non-US)'!$E50), "","X")</f>
        <v>X</v>
      </c>
      <c r="AC4" s="42" t="str">
        <f>IF(ISBLANK('Base 2-Yr (Non-US)'!$E66),"","X")</f>
        <v>X</v>
      </c>
      <c r="AD4" s="31" t="str">
        <f>IF(ISBLANK('Base 2-Yr (Non-US)'!$E73), "","X")</f>
        <v/>
      </c>
      <c r="AE4" s="31" t="str">
        <f>IF(ISBLANK('Base 2-Yr (Non-US)'!$E80), "","X")</f>
        <v/>
      </c>
      <c r="AF4" s="43" t="str">
        <f>IF(ISBLANK('Base 2-Yr (Non-US)'!$E87), "","X")</f>
        <v>X</v>
      </c>
      <c r="AG4" s="42" t="str">
        <f>IF(ISBLANK('Base 2-Yr (Non-US)'!$E94), "","X")</f>
        <v/>
      </c>
      <c r="AH4" s="31" t="str">
        <f>IF(ISBLANK('Base 2-Yr (Non-US)'!$E101), "","X")</f>
        <v/>
      </c>
      <c r="AI4" s="31" t="str">
        <f>IF(ISBLANK('Base 2-Yr (Non-US)'!$E108), "","X")</f>
        <v/>
      </c>
      <c r="AJ4" s="43" t="str">
        <f>IF(ISBLANK('Base 2-Yr (Non-US)'!$E115), "","X")</f>
        <v/>
      </c>
      <c r="AK4" s="42" t="str">
        <f>IF(ISBLANK('Base 2-Yr (Non-US)'!$E122), "","X")</f>
        <v>X</v>
      </c>
      <c r="AL4" s="31" t="str">
        <f>IF(ISBLANK('Base 2-Yr (Non-US)'!$E129), "","X")</f>
        <v/>
      </c>
      <c r="AM4" s="31" t="str">
        <f>IF(ISBLANK('Base 2-Yr (Non-US)'!$E136), "","X")</f>
        <v/>
      </c>
      <c r="AN4" s="43" t="str">
        <f>IF(ISBLANK('Base 2-Yr (Non-US)'!$E143), "","X")</f>
        <v>X</v>
      </c>
      <c r="AO4" s="42" t="str">
        <f>IF(ISBLANK('Base 2-Yr (Non-US)'!$E150), "","X")</f>
        <v>X</v>
      </c>
      <c r="AP4" s="31" t="str">
        <f>IF(ISBLANK('Base 2-Yr (Non-US)'!$E162), "","X")</f>
        <v/>
      </c>
      <c r="AQ4" s="31" t="str">
        <f>IF(ISBLANK('Base 2-Yr (Non-US)'!$E174), "","X")</f>
        <v/>
      </c>
      <c r="AR4" s="43" t="str">
        <f>IF(ISBLANK('Base 2-Yr (Non-US)'!$E186), "","X")</f>
        <v>X</v>
      </c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</row>
    <row r="5" spans="1:57" s="19" customFormat="1">
      <c r="A5" s="62" t="s">
        <v>680</v>
      </c>
      <c r="B5" s="63"/>
      <c r="C5" s="42" t="str">
        <f>IF((ISBLANK('Base 2-Yr (US)'!F2)),"","X")</f>
        <v/>
      </c>
      <c r="D5" s="31" t="str">
        <f>IF(ISBLANK('Base 2-Yr (US)'!$F18), "","X")</f>
        <v>X</v>
      </c>
      <c r="E5" s="31" t="str">
        <f>IF(ISBLANK('Base 2-Yr (US)'!$F34), "","X")</f>
        <v/>
      </c>
      <c r="F5" s="43" t="str">
        <f>IF(ISBLANK('Base 2-Yr (US)'!$F50), "","X")</f>
        <v/>
      </c>
      <c r="G5" s="42" t="str">
        <f>IF((ISBLANK('Base 2-Yr (US)'!$F66)),"","X")</f>
        <v/>
      </c>
      <c r="H5" s="31" t="str">
        <f>IF(ISBLANK('Base 2-Yr (US)'!$F73), "","X")</f>
        <v>X</v>
      </c>
      <c r="I5" s="31" t="str">
        <f>IF(ISBLANK('Base 2-Yr (US)'!$F80), "","X")</f>
        <v/>
      </c>
      <c r="J5" s="43" t="str">
        <f>IF(ISBLANK('Base 2-Yr (US)'!$F87), "","X")</f>
        <v/>
      </c>
      <c r="K5" s="42" t="str">
        <f>IF(ISBLANK('Base 2-Yr (US)'!$F94), "","X")</f>
        <v/>
      </c>
      <c r="L5" s="31" t="str">
        <f>IF(ISBLANK('Base 2-Yr (US)'!$F101), "","X")</f>
        <v/>
      </c>
      <c r="M5" s="31" t="str">
        <f>IF(ISBLANK('Base 2-Yr (US)'!$F108), "","X")</f>
        <v/>
      </c>
      <c r="N5" s="43" t="str">
        <f>IF(ISBLANK('Base 2-Yr (US)'!$F115), "","X")</f>
        <v/>
      </c>
      <c r="O5" s="42" t="str">
        <f>IF(ISBLANK('Base 2-Yr (US)'!$F122), "","X")</f>
        <v/>
      </c>
      <c r="P5" s="31" t="str">
        <f>IF(ISBLANK('Base 2-Yr (US)'!$F129), "","X")</f>
        <v>X</v>
      </c>
      <c r="Q5" s="31" t="str">
        <f>IF(ISBLANK('Base 2-Yr (US)'!$F136), "","X")</f>
        <v/>
      </c>
      <c r="R5" s="43" t="str">
        <f>IF(ISBLANK('Base 2-Yr (US)'!$F143), "","X")</f>
        <v/>
      </c>
      <c r="S5" s="42" t="str">
        <f>IF(ISBLANK('Base 2-Yr (US)'!$F150), "","X")</f>
        <v/>
      </c>
      <c r="T5" s="31" t="str">
        <f>IF(ISBLANK('Base 2-Yr (US)'!$F162), "","X")</f>
        <v>X</v>
      </c>
      <c r="U5" s="31" t="str">
        <f>IF(ISBLANK('Base 2-Yr (US)'!$F174), "","X")</f>
        <v/>
      </c>
      <c r="V5" s="43" t="str">
        <f>IF(ISBLANK('Base 2-Yr (US)'!$F186), "","X")</f>
        <v/>
      </c>
      <c r="W5" s="24"/>
      <c r="X5" s="37" t="s">
        <v>680</v>
      </c>
      <c r="Y5" s="42" t="str">
        <f>IF((ISBLANK('Base 2-Yr (Non-US)'!$F2)),"","X")</f>
        <v>X</v>
      </c>
      <c r="Z5" s="31" t="str">
        <f>IF(ISBLANK('Base 2-Yr (Non-US)'!$F18), "","X")</f>
        <v/>
      </c>
      <c r="AA5" s="31" t="str">
        <f>IF(ISBLANK('Base 2-Yr (Non-US)'!$F34), "","X")</f>
        <v/>
      </c>
      <c r="AB5" s="43" t="str">
        <f>IF(ISBLANK('Base 2-Yr (Non-US)'!$F50), "","X")</f>
        <v>X</v>
      </c>
      <c r="AC5" s="42" t="str">
        <f>IF((ISBLANK('Base 2-Yr (Non-US)'!$F66)),"","X")</f>
        <v/>
      </c>
      <c r="AD5" s="31" t="str">
        <f>IF(ISBLANK('Base 2-Yr (Non-US)'!$F73), "","X")</f>
        <v/>
      </c>
      <c r="AE5" s="31" t="str">
        <f>IF(ISBLANK('Base 2-Yr (Non-US)'!$F80), "","X")</f>
        <v/>
      </c>
      <c r="AF5" s="43" t="str">
        <f>IF(ISBLANK('Base 2-Yr (Non-US)'!$F87), "","X")</f>
        <v>X</v>
      </c>
      <c r="AG5" s="42" t="str">
        <f>IF(ISBLANK('Base 2-Yr (Non-US)'!$F94), "","X")</f>
        <v/>
      </c>
      <c r="AH5" s="31" t="str">
        <f>IF(ISBLANK('Base 2-Yr (Non-US)'!$F101), "","X")</f>
        <v/>
      </c>
      <c r="AI5" s="31" t="str">
        <f>IF(ISBLANK('Base 2-Yr (Non-US)'!$F108), "","X")</f>
        <v/>
      </c>
      <c r="AJ5" s="43" t="str">
        <f>IF(ISBLANK('Base 2-Yr (Non-US)'!$F115), "","X")</f>
        <v/>
      </c>
      <c r="AK5" s="42" t="str">
        <f>IF(ISBLANK('Base 2-Yr (Non-US)'!$F122), "","X")</f>
        <v>X</v>
      </c>
      <c r="AL5" s="31" t="str">
        <f>IF(ISBLANK('Base 2-Yr (Non-US)'!$F129), "","X")</f>
        <v/>
      </c>
      <c r="AM5" s="31" t="str">
        <f>IF(ISBLANK('Base 2-Yr (Non-US)'!$F136), "","X")</f>
        <v/>
      </c>
      <c r="AN5" s="43" t="str">
        <f>IF(ISBLANK('Base 2-Yr (Non-US)'!$F143), "","X")</f>
        <v>X</v>
      </c>
      <c r="AO5" s="42" t="str">
        <f>IF(ISBLANK('Base 2-Yr (Non-US)'!$F150), "","X")</f>
        <v>X</v>
      </c>
      <c r="AP5" s="31" t="str">
        <f>IF(ISBLANK('Base 2-Yr (Non-US)'!$F162), "","X")</f>
        <v/>
      </c>
      <c r="AQ5" s="31" t="str">
        <f>IF(ISBLANK('Base 2-Yr (Non-US)'!$F174), "","X")</f>
        <v/>
      </c>
      <c r="AR5" s="43" t="str">
        <f>IF(ISBLANK('Base 2-Yr (Non-US)'!$F186), "","X")</f>
        <v>X</v>
      </c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</row>
    <row r="6" spans="1:57" s="19" customFormat="1">
      <c r="A6" s="62" t="s">
        <v>681</v>
      </c>
      <c r="B6" s="63"/>
      <c r="C6" s="42" t="str">
        <f>IF(ISBLANK('Base 2-Yr (US)'!$G2), "","X")</f>
        <v>X</v>
      </c>
      <c r="D6" s="31" t="str">
        <f>IF(ISBLANK('Base 2-Yr (US)'!$G18), "","X")</f>
        <v>X</v>
      </c>
      <c r="E6" s="31" t="str">
        <f>IF(ISBLANK('Base 2-Yr (US)'!$G34), "","X")</f>
        <v/>
      </c>
      <c r="F6" s="43" t="str">
        <f>IF(ISBLANK('Base 2-Yr (US)'!$G50), "","X")</f>
        <v/>
      </c>
      <c r="G6" s="42" t="str">
        <f>IF(ISBLANK('Base 2-Yr (US)'!$G66), "","X")</f>
        <v/>
      </c>
      <c r="H6" s="31" t="str">
        <f>IF(ISBLANK('Base 2-Yr (US)'!$G73), "","X")</f>
        <v/>
      </c>
      <c r="I6" s="31" t="str">
        <f>IF(ISBLANK('Base 2-Yr (US)'!$G80), "","X")</f>
        <v/>
      </c>
      <c r="J6" s="43" t="str">
        <f>IF(ISBLANK('Base 2-Yr (US)'!$G87), "","X")</f>
        <v/>
      </c>
      <c r="K6" s="42" t="str">
        <f>IF(ISBLANK('Base 2-Yr (US)'!$G94), "","X")</f>
        <v>X</v>
      </c>
      <c r="L6" s="31" t="str">
        <f>IF(ISBLANK('Base 2-Yr (US)'!$G101), "","X")</f>
        <v>X</v>
      </c>
      <c r="M6" s="31" t="str">
        <f>IF(ISBLANK('Base 2-Yr (US)'!$G108), "","X")</f>
        <v/>
      </c>
      <c r="N6" s="43" t="str">
        <f>IF(ISBLANK('Base 2-Yr (US)'!$G115), "","X")</f>
        <v/>
      </c>
      <c r="O6" s="42" t="str">
        <f>IF(ISBLANK('Base 2-Yr (US)'!$G122), "","X")</f>
        <v>X</v>
      </c>
      <c r="P6" s="31" t="str">
        <f>IF(ISBLANK('Base 2-Yr (US)'!$G129), "","X")</f>
        <v>X</v>
      </c>
      <c r="Q6" s="31" t="str">
        <f>IF(ISBLANK('Base 2-Yr (US)'!$G136), "","X")</f>
        <v/>
      </c>
      <c r="R6" s="43" t="str">
        <f>IF(ISBLANK('Base 2-Yr (US)'!$G143), "","X")</f>
        <v/>
      </c>
      <c r="S6" s="42" t="str">
        <f>IF(ISBLANK('Base 2-Yr (US)'!$G150), "","X")</f>
        <v>X</v>
      </c>
      <c r="T6" s="31" t="str">
        <f>IF(ISBLANK('Base 2-Yr (US)'!$G162), "","X")</f>
        <v>X</v>
      </c>
      <c r="U6" s="31" t="str">
        <f>IF(ISBLANK('Base 2-Yr (US)'!$G174), "","X")</f>
        <v/>
      </c>
      <c r="V6" s="43" t="str">
        <f>IF(ISBLANK('Base 2-Yr (US)'!$G186), "","X")</f>
        <v/>
      </c>
      <c r="W6" s="24"/>
      <c r="X6" s="37" t="s">
        <v>681</v>
      </c>
      <c r="Y6" s="42" t="str">
        <f>IF(ISBLANK('Base 2-Yr (Non-US)'!$G2), "","X")</f>
        <v/>
      </c>
      <c r="Z6" s="31" t="str">
        <f>IF(ISBLANK('Base 2-Yr (Non-US)'!$G18), "","X")</f>
        <v/>
      </c>
      <c r="AA6" s="31" t="str">
        <f>IF(ISBLANK('Base 2-Yr (Non-US)'!$G34), "","X")</f>
        <v/>
      </c>
      <c r="AB6" s="43" t="str">
        <f>IF(ISBLANK('Base 2-Yr (Non-US)'!$G50), "","X")</f>
        <v/>
      </c>
      <c r="AC6" s="42" t="str">
        <f>IF(ISBLANK('Base 2-Yr (Non-US)'!$G66), "","X")</f>
        <v/>
      </c>
      <c r="AD6" s="31" t="str">
        <f>IF(ISBLANK('Base 2-Yr (Non-US)'!$G73), "","X")</f>
        <v/>
      </c>
      <c r="AE6" s="31" t="str">
        <f>IF(ISBLANK('Base 2-Yr (Non-US)'!$G80), "","X")</f>
        <v/>
      </c>
      <c r="AF6" s="43" t="str">
        <f>IF(ISBLANK('Base 2-Yr (Non-US)'!$G87), "","X")</f>
        <v/>
      </c>
      <c r="AG6" s="42" t="str">
        <f>IF(ISBLANK('Base 2-Yr (Non-US)'!$G94), "","X")</f>
        <v/>
      </c>
      <c r="AH6" s="31" t="str">
        <f>IF(ISBLANK('Base 2-Yr (Non-US)'!$G101), "","X")</f>
        <v/>
      </c>
      <c r="AI6" s="31" t="str">
        <f>IF(ISBLANK('Base 2-Yr (Non-US)'!$G108), "","X")</f>
        <v/>
      </c>
      <c r="AJ6" s="43" t="str">
        <f>IF(ISBLANK('Base 2-Yr (Non-US)'!$G115), "","X")</f>
        <v/>
      </c>
      <c r="AK6" s="42" t="str">
        <f>IF(ISBLANK('Base 2-Yr (Non-US)'!$G122), "","X")</f>
        <v/>
      </c>
      <c r="AL6" s="31" t="str">
        <f>IF(ISBLANK('Base 2-Yr (Non-US)'!$G129), "","X")</f>
        <v/>
      </c>
      <c r="AM6" s="31" t="str">
        <f>IF(ISBLANK('Base 2-Yr (Non-US)'!$G136), "","X")</f>
        <v/>
      </c>
      <c r="AN6" s="43" t="str">
        <f>IF(ISBLANK('Base 2-Yr (Non-US)'!$G143), "","X")</f>
        <v/>
      </c>
      <c r="AO6" s="42" t="str">
        <f>IF(ISBLANK('Base 2-Yr (Non-US)'!$G150), "","X")</f>
        <v/>
      </c>
      <c r="AP6" s="31" t="str">
        <f>IF(ISBLANK('Base 2-Yr (Non-US)'!$G162), "","X")</f>
        <v/>
      </c>
      <c r="AQ6" s="31" t="str">
        <f>IF(ISBLANK('Base 2-Yr (Non-US)'!$G174), "","X")</f>
        <v/>
      </c>
      <c r="AR6" s="43" t="str">
        <f>IF(ISBLANK('Base 2-Yr (Non-US)'!$G186), "","X")</f>
        <v/>
      </c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</row>
    <row r="7" spans="1:57" s="19" customFormat="1">
      <c r="A7" s="62" t="s">
        <v>682</v>
      </c>
      <c r="B7" s="63"/>
      <c r="C7" s="42" t="str">
        <f>IF(ISBLANK('Base 2-Yr (US)'!$H2), "","X")</f>
        <v>X</v>
      </c>
      <c r="D7" s="31" t="str">
        <f>IF(ISBLANK('Base 2-Yr (US)'!$H18), "","X")</f>
        <v>X</v>
      </c>
      <c r="E7" s="31" t="str">
        <f>IF(ISBLANK('Base 2-Yr (US)'!$H34), "","X")</f>
        <v/>
      </c>
      <c r="F7" s="43" t="str">
        <f>IF(ISBLANK('Base 2-Yr (US)'!$H50), "","X")</f>
        <v/>
      </c>
      <c r="G7" s="42" t="str">
        <f>IF(ISBLANK('Base 2-Yr (US)'!$H66), "","X")</f>
        <v>X</v>
      </c>
      <c r="H7" s="31" t="str">
        <f>IF(ISBLANK('Base 2-Yr (US)'!$H73), "","X")</f>
        <v>X</v>
      </c>
      <c r="I7" s="31" t="str">
        <f>IF(ISBLANK('Base 2-Yr (US)'!$H80), "","X")</f>
        <v/>
      </c>
      <c r="J7" s="43" t="str">
        <f>IF(ISBLANK('Base 2-Yr (US)'!$H87), "","X")</f>
        <v/>
      </c>
      <c r="K7" s="42" t="str">
        <f>IF(ISBLANK('Base 2-Yr (US)'!$H94), "","X")</f>
        <v>X</v>
      </c>
      <c r="L7" s="31" t="str">
        <f>IF(ISBLANK('Base 2-Yr (US)'!$H101), "","X")</f>
        <v>X</v>
      </c>
      <c r="M7" s="31" t="str">
        <f>IF(ISBLANK('Base 2-Yr (US)'!$H108), "","X")</f>
        <v/>
      </c>
      <c r="N7" s="43" t="str">
        <f>IF(ISBLANK('Base 2-Yr (US)'!$H115), "","X")</f>
        <v/>
      </c>
      <c r="O7" s="42" t="str">
        <f>IF(ISBLANK('Base 2-Yr (US)'!$H122), "","X")</f>
        <v>X</v>
      </c>
      <c r="P7" s="31" t="str">
        <f>IF(ISBLANK('Base 2-Yr (US)'!$H129), "","X")</f>
        <v>X</v>
      </c>
      <c r="Q7" s="31" t="str">
        <f>IF(ISBLANK('Base 2-Yr (US)'!$H136), "","X")</f>
        <v/>
      </c>
      <c r="R7" s="43" t="str">
        <f>IF(ISBLANK('Base 2-Yr (US)'!$H143), "","X")</f>
        <v/>
      </c>
      <c r="S7" s="42" t="str">
        <f>IF(ISBLANK('Base 2-Yr (US)'!$H150), "","X")</f>
        <v>X</v>
      </c>
      <c r="T7" s="31" t="str">
        <f>IF(ISBLANK('Base 2-Yr (US)'!$H162), "","X")</f>
        <v>X</v>
      </c>
      <c r="U7" s="31" t="str">
        <f>IF(ISBLANK('Base 2-Yr (US)'!$H174), "","X")</f>
        <v/>
      </c>
      <c r="V7" s="43" t="str">
        <f>IF(ISBLANK('Base 2-Yr (US)'!$H186), "","X")</f>
        <v/>
      </c>
      <c r="W7" s="24"/>
      <c r="X7" s="37" t="s">
        <v>682</v>
      </c>
      <c r="Y7" s="42" t="str">
        <f>IF(ISBLANK('Base 2-Yr (Non-US)'!$H2), "","X")</f>
        <v/>
      </c>
      <c r="Z7" s="31" t="str">
        <f>IF(ISBLANK('Base 2-Yr (Non-US)'!$H18), "","X")</f>
        <v/>
      </c>
      <c r="AA7" s="31" t="str">
        <f>IF(ISBLANK('Base 2-Yr (Non-US)'!$H34), "","X")</f>
        <v/>
      </c>
      <c r="AB7" s="43" t="str">
        <f>IF(ISBLANK('Base 2-Yr (Non-US)'!$H50), "","X")</f>
        <v/>
      </c>
      <c r="AC7" s="42" t="str">
        <f>IF(ISBLANK('Base 2-Yr (Non-US)'!$H66), "","X")</f>
        <v/>
      </c>
      <c r="AD7" s="31" t="str">
        <f>IF(ISBLANK('Base 2-Yr (Non-US)'!$H73), "","X")</f>
        <v/>
      </c>
      <c r="AE7" s="31" t="str">
        <f>IF(ISBLANK('Base 2-Yr (Non-US)'!$H80), "","X")</f>
        <v/>
      </c>
      <c r="AF7" s="43" t="str">
        <f>IF(ISBLANK('Base 2-Yr (Non-US)'!$H87), "","X")</f>
        <v/>
      </c>
      <c r="AG7" s="42" t="str">
        <f>IF(ISBLANK('Base 2-Yr (Non-US)'!$H94), "","X")</f>
        <v/>
      </c>
      <c r="AH7" s="31" t="str">
        <f>IF(ISBLANK('Base 2-Yr (Non-US)'!$H101), "","X")</f>
        <v/>
      </c>
      <c r="AI7" s="31" t="str">
        <f>IF(ISBLANK('Base 2-Yr (Non-US)'!$H108), "","X")</f>
        <v/>
      </c>
      <c r="AJ7" s="43" t="str">
        <f>IF(ISBLANK('Base 2-Yr (Non-US)'!$H115), "","X")</f>
        <v/>
      </c>
      <c r="AK7" s="42" t="str">
        <f>IF(ISBLANK('Base 2-Yr (Non-US)'!$H122), "","X")</f>
        <v/>
      </c>
      <c r="AL7" s="31" t="str">
        <f>IF(ISBLANK('Base 2-Yr (Non-US)'!$H129), "","X")</f>
        <v/>
      </c>
      <c r="AM7" s="31" t="str">
        <f>IF(ISBLANK('Base 2-Yr (Non-US)'!$H136), "","X")</f>
        <v/>
      </c>
      <c r="AN7" s="43" t="str">
        <f>IF(ISBLANK('Base 2-Yr (Non-US)'!$H143), "","X")</f>
        <v/>
      </c>
      <c r="AO7" s="42" t="str">
        <f>IF(ISBLANK('Base 2-Yr (Non-US)'!$H150), "","X")</f>
        <v/>
      </c>
      <c r="AP7" s="31" t="str">
        <f>IF(ISBLANK('Base 2-Yr (Non-US)'!$H162), "","X")</f>
        <v/>
      </c>
      <c r="AQ7" s="31" t="str">
        <f>IF(ISBLANK('Base 2-Yr (Non-US)'!$H174), "","X")</f>
        <v/>
      </c>
      <c r="AR7" s="43" t="str">
        <f>IF(ISBLANK('Base 2-Yr (Non-US)'!$H186), "","X")</f>
        <v/>
      </c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</row>
    <row r="8" spans="1:57" s="19" customFormat="1">
      <c r="A8" s="62" t="s">
        <v>683</v>
      </c>
      <c r="B8" s="63"/>
      <c r="C8" s="42" t="str">
        <f>IF(ISBLANK('Base 2-Yr (US)'!$I2), "","X")</f>
        <v>X</v>
      </c>
      <c r="D8" s="31" t="str">
        <f>IF(ISBLANK('Base 2-Yr (US)'!$I18), "","X")</f>
        <v/>
      </c>
      <c r="E8" s="31" t="str">
        <f>IF(ISBLANK('Base 2-Yr (US)'!$I34), "","X")</f>
        <v/>
      </c>
      <c r="F8" s="43" t="str">
        <f>IF(ISBLANK('Base 2-Yr (US)'!$I50), "","X")</f>
        <v>X</v>
      </c>
      <c r="G8" s="42" t="str">
        <f>IF(ISBLANK('Base 2-Yr (US)'!$I66), "","X")</f>
        <v/>
      </c>
      <c r="H8" s="31" t="str">
        <f>IF(ISBLANK('Base 2-Yr (US)'!$I73), "","X")</f>
        <v/>
      </c>
      <c r="I8" s="31" t="str">
        <f>IF(ISBLANK('Base 2-Yr (US)'!$I80), "","X")</f>
        <v/>
      </c>
      <c r="J8" s="43" t="str">
        <f>IF(ISBLANK('Base 2-Yr (US)'!$I87), "","X")</f>
        <v/>
      </c>
      <c r="K8" s="42" t="str">
        <f>IF(ISBLANK('Base 2-Yr (US)'!$I94), "","X")</f>
        <v/>
      </c>
      <c r="L8" s="31" t="str">
        <f>IF(ISBLANK('Base 2-Yr (US)'!$I101), "","X")</f>
        <v/>
      </c>
      <c r="M8" s="31" t="str">
        <f>IF(ISBLANK('Base 2-Yr (US)'!$I108), "","X")</f>
        <v/>
      </c>
      <c r="N8" s="43" t="str">
        <f>IF(ISBLANK('Base 2-Yr (US)'!$I115), "","X")</f>
        <v/>
      </c>
      <c r="O8" s="42" t="str">
        <f>IF(ISBLANK('Base 2-Yr (US)'!$I122), "","X")</f>
        <v>X</v>
      </c>
      <c r="P8" s="31" t="str">
        <f>IF(ISBLANK('Base 2-Yr (US)'!$I129), "","X")</f>
        <v/>
      </c>
      <c r="Q8" s="31" t="str">
        <f>IF(ISBLANK('Base 2-Yr (US)'!$I136), "","X")</f>
        <v/>
      </c>
      <c r="R8" s="43" t="str">
        <f>IF(ISBLANK('Base 2-Yr (US)'!$I143), "","X")</f>
        <v>X</v>
      </c>
      <c r="S8" s="42" t="str">
        <f>IF(ISBLANK('Base 2-Yr (US)'!$I150), "","X")</f>
        <v>X</v>
      </c>
      <c r="T8" s="31" t="str">
        <f>IF(ISBLANK('Base 2-Yr (US)'!$I162), "","X")</f>
        <v/>
      </c>
      <c r="U8" s="31" t="str">
        <f>IF(ISBLANK('Base 2-Yr (US)'!$I174), "","X")</f>
        <v/>
      </c>
      <c r="V8" s="43" t="str">
        <f>IF(ISBLANK('Base 2-Yr (US)'!$I186), "","X")</f>
        <v>X</v>
      </c>
      <c r="W8" s="24"/>
      <c r="X8" s="37" t="s">
        <v>683</v>
      </c>
      <c r="Y8" s="42" t="str">
        <f>IF(ISBLANK('Base 2-Yr (Non-US)'!$I2), "","X")</f>
        <v/>
      </c>
      <c r="Z8" s="31" t="str">
        <f>IF(ISBLANK('Base 2-Yr (Non-US)'!$I18), "","X")</f>
        <v/>
      </c>
      <c r="AA8" s="31" t="str">
        <f>IF(ISBLANK('Base 2-Yr (Non-US)'!$I34), "","X")</f>
        <v/>
      </c>
      <c r="AB8" s="43" t="str">
        <f>IF(ISBLANK('Base 2-Yr (Non-US)'!$I50), "","X")</f>
        <v/>
      </c>
      <c r="AC8" s="42" t="str">
        <f>IF(ISBLANK('Base 2-Yr (Non-US)'!$I66), "","X")</f>
        <v/>
      </c>
      <c r="AD8" s="31" t="str">
        <f>IF(ISBLANK('Base 2-Yr (Non-US)'!$I73), "","X")</f>
        <v/>
      </c>
      <c r="AE8" s="31" t="str">
        <f>IF(ISBLANK('Base 2-Yr (Non-US)'!$I80), "","X")</f>
        <v/>
      </c>
      <c r="AF8" s="43" t="str">
        <f>IF(ISBLANK('Base 2-Yr (Non-US)'!$I87), "","X")</f>
        <v/>
      </c>
      <c r="AG8" s="42" t="str">
        <f>IF(ISBLANK('Base 2-Yr (Non-US)'!$I94), "","X")</f>
        <v/>
      </c>
      <c r="AH8" s="31" t="str">
        <f>IF(ISBLANK('Base 2-Yr (Non-US)'!$I101), "","X")</f>
        <v/>
      </c>
      <c r="AI8" s="31" t="str">
        <f>IF(ISBLANK('Base 2-Yr (Non-US)'!$I108), "","X")</f>
        <v/>
      </c>
      <c r="AJ8" s="43" t="str">
        <f>IF(ISBLANK('Base 2-Yr (Non-US)'!$I115), "","X")</f>
        <v/>
      </c>
      <c r="AK8" s="42" t="str">
        <f>IF(ISBLANK('Base 2-Yr (Non-US)'!$I122), "","X")</f>
        <v/>
      </c>
      <c r="AL8" s="31" t="str">
        <f>IF(ISBLANK('Base 2-Yr (Non-US)'!$I129), "","X")</f>
        <v/>
      </c>
      <c r="AM8" s="31" t="str">
        <f>IF(ISBLANK('Base 2-Yr (Non-US)'!$I136), "","X")</f>
        <v/>
      </c>
      <c r="AN8" s="43" t="str">
        <f>IF(ISBLANK('Base 2-Yr (Non-US)'!$I143), "","X")</f>
        <v/>
      </c>
      <c r="AO8" s="42" t="str">
        <f>IF(ISBLANK('Base 2-Yr (Non-US)'!$I150), "","X")</f>
        <v/>
      </c>
      <c r="AP8" s="31" t="str">
        <f>IF(ISBLANK('Base 2-Yr (Non-US)'!$I162), "","X")</f>
        <v/>
      </c>
      <c r="AQ8" s="31" t="str">
        <f>IF(ISBLANK('Base 2-Yr (Non-US)'!$I174), "","X")</f>
        <v/>
      </c>
      <c r="AR8" s="43" t="str">
        <f>IF(ISBLANK('Base 2-Yr (Non-US)'!$I186), "","X")</f>
        <v/>
      </c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</row>
    <row r="9" spans="1:57" s="19" customFormat="1">
      <c r="A9" s="62" t="s">
        <v>684</v>
      </c>
      <c r="B9" s="63"/>
      <c r="C9" s="42" t="str">
        <f>IF(ISBLANK('Base 2-Yr (US)'!$J2), "","X")</f>
        <v>X</v>
      </c>
      <c r="D9" s="31" t="str">
        <f>IF(ISBLANK('Base 2-Yr (US)'!$J18), "","X")</f>
        <v/>
      </c>
      <c r="E9" s="31" t="str">
        <f>IF(ISBLANK('Base 2-Yr (US)'!$J34), "","X")</f>
        <v/>
      </c>
      <c r="F9" s="43" t="str">
        <f>IF(ISBLANK('Base 2-Yr (US)'!$J50), "","X")</f>
        <v>X</v>
      </c>
      <c r="G9" s="42" t="str">
        <f>IF(ISBLANK('Base 2-Yr (US)'!$J66), "","X")</f>
        <v>X</v>
      </c>
      <c r="H9" s="31" t="str">
        <f>IF(ISBLANK('Base 2-Yr (US)'!$J73), "","X")</f>
        <v/>
      </c>
      <c r="I9" s="31" t="str">
        <f>IF(ISBLANK('Base 2-Yr (US)'!$J80), "","X")</f>
        <v/>
      </c>
      <c r="J9" s="43" t="str">
        <f>IF(ISBLANK('Base 2-Yr (US)'!$J87), "","X")</f>
        <v>X</v>
      </c>
      <c r="K9" s="42" t="str">
        <f>IF(ISBLANK('Base 2-Yr (US)'!$J94), "","X")</f>
        <v/>
      </c>
      <c r="L9" s="31" t="str">
        <f>IF(ISBLANK('Base 2-Yr (US)'!$J101), "","X")</f>
        <v/>
      </c>
      <c r="M9" s="31" t="str">
        <f>IF(ISBLANK('Base 2-Yr (US)'!$J108), "","X")</f>
        <v/>
      </c>
      <c r="N9" s="43" t="str">
        <f>IF(ISBLANK('Base 2-Yr (US)'!$J115), "","X")</f>
        <v/>
      </c>
      <c r="O9" s="42" t="str">
        <f>IF(ISBLANK('Base 2-Yr (US)'!$J122), "","X")</f>
        <v>X</v>
      </c>
      <c r="P9" s="31" t="str">
        <f>IF(ISBLANK('Base 2-Yr (US)'!$J129), "","X")</f>
        <v/>
      </c>
      <c r="Q9" s="31" t="str">
        <f>IF(ISBLANK('Base 2-Yr (US)'!$J136), "","X")</f>
        <v/>
      </c>
      <c r="R9" s="43" t="str">
        <f>IF(ISBLANK('Base 2-Yr (US)'!$J143), "","X")</f>
        <v>X</v>
      </c>
      <c r="S9" s="42" t="str">
        <f>IF(ISBLANK('Base 2-Yr (US)'!$J150), "","X")</f>
        <v>X</v>
      </c>
      <c r="T9" s="31" t="str">
        <f>IF(ISBLANK('Base 2-Yr (US)'!$J162), "","X")</f>
        <v/>
      </c>
      <c r="U9" s="31" t="str">
        <f>IF(ISBLANK('Base 2-Yr (US)'!$J174), "","X")</f>
        <v/>
      </c>
      <c r="V9" s="43" t="str">
        <f>IF(ISBLANK('Base 2-Yr (US)'!$J186), "","X")</f>
        <v>X</v>
      </c>
      <c r="W9" s="24"/>
      <c r="X9" s="37" t="s">
        <v>684</v>
      </c>
      <c r="Y9" s="42" t="str">
        <f>IF(ISBLANK('Base 2-Yr (Non-US)'!$J2), "","X")</f>
        <v>X</v>
      </c>
      <c r="Z9" s="31" t="str">
        <f>IF(ISBLANK('Base 2-Yr (Non-US)'!$J18), "","X")</f>
        <v/>
      </c>
      <c r="AA9" s="31" t="str">
        <f>IF(ISBLANK('Base 2-Yr (Non-US)'!$J34), "","X")</f>
        <v/>
      </c>
      <c r="AB9" s="43" t="str">
        <f>IF(ISBLANK('Base 2-Yr (Non-US)'!$J50), "","X")</f>
        <v>X</v>
      </c>
      <c r="AC9" s="42" t="str">
        <f>IF(ISBLANK('Base 2-Yr (Non-US)'!$J66), "","X")</f>
        <v>X</v>
      </c>
      <c r="AD9" s="31" t="str">
        <f>IF(ISBLANK('Base 2-Yr (Non-US)'!$J73), "","X")</f>
        <v/>
      </c>
      <c r="AE9" s="31" t="str">
        <f>IF(ISBLANK('Base 2-Yr (Non-US)'!$J80), "","X")</f>
        <v/>
      </c>
      <c r="AF9" s="43" t="str">
        <f>IF(ISBLANK('Base 2-Yr (Non-US)'!$J87), "","X")</f>
        <v>X</v>
      </c>
      <c r="AG9" s="42" t="str">
        <f>IF(ISBLANK('Base 2-Yr (Non-US)'!$J94), "","X")</f>
        <v/>
      </c>
      <c r="AH9" s="31" t="str">
        <f>IF(ISBLANK('Base 2-Yr (Non-US)'!$J101), "","X")</f>
        <v/>
      </c>
      <c r="AI9" s="31" t="str">
        <f>IF(ISBLANK('Base 2-Yr (Non-US)'!$J108), "","X")</f>
        <v/>
      </c>
      <c r="AJ9" s="43" t="str">
        <f>IF(ISBLANK('Base 2-Yr (Non-US)'!$J115), "","X")</f>
        <v/>
      </c>
      <c r="AK9" s="42" t="str">
        <f>IF(ISBLANK('Base 2-Yr (Non-US)'!$J122), "","X")</f>
        <v>X</v>
      </c>
      <c r="AL9" s="31" t="str">
        <f>IF(ISBLANK('Base 2-Yr (Non-US)'!$J129), "","X")</f>
        <v/>
      </c>
      <c r="AM9" s="31" t="str">
        <f>IF(ISBLANK('Base 2-Yr (Non-US)'!$J136), "","X")</f>
        <v/>
      </c>
      <c r="AN9" s="43" t="str">
        <f>IF(ISBLANK('Base 2-Yr (Non-US)'!$J143), "","X")</f>
        <v>X</v>
      </c>
      <c r="AO9" s="42" t="str">
        <f>IF(ISBLANK('Base 2-Yr (Non-US)'!$J150), "","X")</f>
        <v>X</v>
      </c>
      <c r="AP9" s="31" t="str">
        <f>IF(ISBLANK('Base 2-Yr (Non-US)'!$J162), "","X")</f>
        <v/>
      </c>
      <c r="AQ9" s="31" t="str">
        <f>IF(ISBLANK('Base 2-Yr (Non-US)'!$J174), "","X")</f>
        <v/>
      </c>
      <c r="AR9" s="43" t="str">
        <f>IF(ISBLANK('Base 2-Yr (Non-US)'!$J186), "","X")</f>
        <v>X</v>
      </c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</row>
    <row r="10" spans="1:57" s="19" customFormat="1">
      <c r="A10" s="62" t="s">
        <v>685</v>
      </c>
      <c r="B10" s="63"/>
      <c r="C10" s="42" t="str">
        <f>IF(ISBLANK('Base 2-Yr (US)'!$K2), "","X")</f>
        <v/>
      </c>
      <c r="D10" s="31" t="str">
        <f>IF(ISBLANK('Base 2-Yr (US)'!$K18), "","X")</f>
        <v>X</v>
      </c>
      <c r="E10" s="31" t="str">
        <f>IF(ISBLANK('Base 2-Yr (US)'!$K34), "","X")</f>
        <v>X</v>
      </c>
      <c r="F10" s="43" t="str">
        <f>IF(ISBLANK('Base 2-Yr (US)'!$K50), "","X")</f>
        <v/>
      </c>
      <c r="G10" s="42" t="str">
        <f>IF(ISBLANK('Base 2-Yr (US)'!$K66), "","X")</f>
        <v/>
      </c>
      <c r="H10" s="31" t="str">
        <f>IF(ISBLANK('Base 2-Yr (US)'!$K73), "","X")</f>
        <v>X</v>
      </c>
      <c r="I10" s="31" t="str">
        <f>IF(ISBLANK('Base 2-Yr (US)'!$K80), "","X")</f>
        <v>X</v>
      </c>
      <c r="J10" s="43" t="str">
        <f>IF(ISBLANK('Base 2-Yr (US)'!$K87), "","X")</f>
        <v/>
      </c>
      <c r="K10" s="42" t="str">
        <f>IF(ISBLANK('Base 2-Yr (US)'!$K94), "","X")</f>
        <v/>
      </c>
      <c r="L10" s="31" t="str">
        <f>IF(ISBLANK('Base 2-Yr (US)'!$K101), "","X")</f>
        <v>X</v>
      </c>
      <c r="M10" s="31" t="str">
        <f>IF(ISBLANK('Base 2-Yr (US)'!$K108), "","X")</f>
        <v>X</v>
      </c>
      <c r="N10" s="43" t="str">
        <f>IF(ISBLANK('Base 2-Yr (US)'!$K115), "","X")</f>
        <v/>
      </c>
      <c r="O10" s="42" t="str">
        <f>IF(ISBLANK('Base 2-Yr (US)'!$K122), "","X")</f>
        <v/>
      </c>
      <c r="P10" s="31" t="str">
        <f>IF(ISBLANK('Base 2-Yr (US)'!$K129), "","X")</f>
        <v>X</v>
      </c>
      <c r="Q10" s="31" t="str">
        <f>IF(ISBLANK('Base 2-Yr (US)'!$K136), "","X")</f>
        <v>X</v>
      </c>
      <c r="R10" s="43" t="str">
        <f>IF(ISBLANK('Base 2-Yr (US)'!$K143), "","X")</f>
        <v/>
      </c>
      <c r="S10" s="42" t="str">
        <f>IF(ISBLANK('Base 2-Yr (US)'!$K150), "","X")</f>
        <v/>
      </c>
      <c r="T10" s="31" t="str">
        <f>IF(ISBLANK('Base 2-Yr (US)'!$K162), "","X")</f>
        <v>X</v>
      </c>
      <c r="U10" s="31" t="str">
        <f>IF(ISBLANK('Base 2-Yr (US)'!$K174), "","X")</f>
        <v>X</v>
      </c>
      <c r="V10" s="43" t="str">
        <f>IF(ISBLANK('Base 2-Yr (US)'!$K186), "","X")</f>
        <v/>
      </c>
      <c r="W10" s="24"/>
      <c r="X10" s="37" t="s">
        <v>685</v>
      </c>
      <c r="Y10" s="42" t="str">
        <f>IF(ISBLANK('Base 2-Yr (Non-US)'!$K2), "","X")</f>
        <v/>
      </c>
      <c r="Z10" s="31" t="str">
        <f>IF(ISBLANK('Base 2-Yr (Non-US)'!$K18), "","X")</f>
        <v/>
      </c>
      <c r="AA10" s="31" t="str">
        <f>IF(ISBLANK('Base 2-Yr (Non-US)'!$K34), "","X")</f>
        <v/>
      </c>
      <c r="AB10" s="43" t="str">
        <f>IF(ISBLANK('Base 2-Yr (Non-US)'!$K50), "","X")</f>
        <v/>
      </c>
      <c r="AC10" s="42" t="str">
        <f>IF(ISBLANK('Base 2-Yr (Non-US)'!$K66), "","X")</f>
        <v/>
      </c>
      <c r="AD10" s="31" t="str">
        <f>IF(ISBLANK('Base 2-Yr (Non-US)'!$K73), "","X")</f>
        <v/>
      </c>
      <c r="AE10" s="31" t="str">
        <f>IF(ISBLANK('Base 2-Yr (Non-US)'!$K80), "","X")</f>
        <v/>
      </c>
      <c r="AF10" s="43" t="str">
        <f>IF(ISBLANK('Base 2-Yr (Non-US)'!$K87), "","X")</f>
        <v/>
      </c>
      <c r="AG10" s="42" t="str">
        <f>IF(ISBLANK('Base 2-Yr (Non-US)'!$K94), "","X")</f>
        <v/>
      </c>
      <c r="AH10" s="31" t="str">
        <f>IF(ISBLANK('Base 2-Yr (Non-US)'!$K101), "","X")</f>
        <v/>
      </c>
      <c r="AI10" s="31" t="str">
        <f>IF(ISBLANK('Base 2-Yr (Non-US)'!$K108), "","X")</f>
        <v/>
      </c>
      <c r="AJ10" s="43" t="str">
        <f>IF(ISBLANK('Base 2-Yr (Non-US)'!$K115), "","X")</f>
        <v/>
      </c>
      <c r="AK10" s="42" t="str">
        <f>IF(ISBLANK('Base 2-Yr (Non-US)'!$K122), "","X")</f>
        <v/>
      </c>
      <c r="AL10" s="31" t="str">
        <f>IF(ISBLANK('Base 2-Yr (Non-US)'!$K129), "","X")</f>
        <v/>
      </c>
      <c r="AM10" s="31" t="str">
        <f>IF(ISBLANK('Base 2-Yr (Non-US)'!$K136), "","X")</f>
        <v/>
      </c>
      <c r="AN10" s="43" t="str">
        <f>IF(ISBLANK('Base 2-Yr (Non-US)'!$K143), "","X")</f>
        <v/>
      </c>
      <c r="AO10" s="42" t="str">
        <f>IF(ISBLANK('Base 2-Yr (Non-US)'!$K150), "","X")</f>
        <v/>
      </c>
      <c r="AP10" s="31" t="str">
        <f>IF(ISBLANK('Base 2-Yr (Non-US)'!$K162), "","X")</f>
        <v/>
      </c>
      <c r="AQ10" s="31" t="str">
        <f>IF(ISBLANK('Base 2-Yr (Non-US)'!$K174), "","X")</f>
        <v/>
      </c>
      <c r="AR10" s="43" t="str">
        <f>IF(ISBLANK('Base 2-Yr (Non-US)'!$K186), "","X")</f>
        <v/>
      </c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</row>
    <row r="11" spans="1:57" s="19" customFormat="1">
      <c r="A11" s="62" t="s">
        <v>686</v>
      </c>
      <c r="B11" s="63"/>
      <c r="C11" s="42" t="str">
        <f>IF(ISBLANK('Base 2-Yr (US)'!$L2), "","X")</f>
        <v/>
      </c>
      <c r="D11" s="31" t="str">
        <f>IF(ISBLANK('Base 2-Yr (US)'!$L18), "","X")</f>
        <v>X</v>
      </c>
      <c r="E11" s="31" t="str">
        <f>IF(ISBLANK('Base 2-Yr (US)'!$L34), "","X")</f>
        <v/>
      </c>
      <c r="F11" s="43" t="str">
        <f>IF(ISBLANK('Base 2-Yr (US)'!$L50), "","X")</f>
        <v>X</v>
      </c>
      <c r="G11" s="42" t="str">
        <f>IF(ISBLANK('Base 2-Yr (US)'!$L66), "","X")</f>
        <v/>
      </c>
      <c r="H11" s="31" t="str">
        <f>IF(ISBLANK('Base 2-Yr (US)'!$L73), "","X")</f>
        <v>X</v>
      </c>
      <c r="I11" s="31" t="str">
        <f>IF(ISBLANK('Base 2-Yr (US)'!$L80), "","X")</f>
        <v/>
      </c>
      <c r="J11" s="43" t="str">
        <f>IF(ISBLANK('Base 2-Yr (US)'!$L87), "","X")</f>
        <v>X</v>
      </c>
      <c r="K11" s="42" t="str">
        <f>IF(ISBLANK('Base 2-Yr (US)'!$L94), "","X")</f>
        <v/>
      </c>
      <c r="L11" s="31" t="str">
        <f>IF(ISBLANK('Base 2-Yr (US)'!$L101), "","X")</f>
        <v/>
      </c>
      <c r="M11" s="31" t="str">
        <f>IF(ISBLANK('Base 2-Yr (US)'!$L108), "","X")</f>
        <v/>
      </c>
      <c r="N11" s="43" t="str">
        <f>IF(ISBLANK('Base 2-Yr (US)'!$L115), "","X")</f>
        <v/>
      </c>
      <c r="O11" s="42" t="str">
        <f>IF(ISBLANK('Base 2-Yr (US)'!$L122), "","X")</f>
        <v/>
      </c>
      <c r="P11" s="31" t="str">
        <f>IF(ISBLANK('Base 2-Yr (US)'!$L129), "","X")</f>
        <v>X</v>
      </c>
      <c r="Q11" s="31" t="str">
        <f>IF(ISBLANK('Base 2-Yr (US)'!$L136), "","X")</f>
        <v/>
      </c>
      <c r="R11" s="43" t="str">
        <f>IF(ISBLANK('Base 2-Yr (US)'!$L143), "","X")</f>
        <v>X</v>
      </c>
      <c r="S11" s="42" t="str">
        <f>IF(ISBLANK('Base 2-Yr (US)'!$L150), "","X")</f>
        <v/>
      </c>
      <c r="T11" s="31" t="str">
        <f>IF(ISBLANK('Base 2-Yr (US)'!$L162), "","X")</f>
        <v>X</v>
      </c>
      <c r="U11" s="31" t="str">
        <f>IF(ISBLANK('Base 2-Yr (US)'!$L174), "","X")</f>
        <v/>
      </c>
      <c r="V11" s="43" t="str">
        <f>IF(ISBLANK('Base 2-Yr (US)'!$L186), "","X")</f>
        <v>X</v>
      </c>
      <c r="W11" s="24"/>
      <c r="X11" s="37" t="s">
        <v>686</v>
      </c>
      <c r="Y11" s="42" t="str">
        <f>IF(ISBLANK('Base 2-Yr (Non-US)'!$L2), "","X")</f>
        <v/>
      </c>
      <c r="Z11" s="31" t="str">
        <f>IF(ISBLANK('Base 2-Yr (Non-US)'!$L18), "","X")</f>
        <v>X</v>
      </c>
      <c r="AA11" s="31" t="str">
        <f>IF(ISBLANK('Base 2-Yr (Non-US)'!$L34), "","X")</f>
        <v/>
      </c>
      <c r="AB11" s="43" t="str">
        <f>IF(ISBLANK('Base 2-Yr (Non-US)'!$L50), "","X")</f>
        <v>X</v>
      </c>
      <c r="AC11" s="42" t="str">
        <f>IF(ISBLANK('Base 2-Yr (Non-US)'!$L66), "","X")</f>
        <v/>
      </c>
      <c r="AD11" s="31" t="str">
        <f>IF(ISBLANK('Base 2-Yr (Non-US)'!$L73), "","X")</f>
        <v>X</v>
      </c>
      <c r="AE11" s="31" t="str">
        <f>IF(ISBLANK('Base 2-Yr (Non-US)'!$L80), "","X")</f>
        <v/>
      </c>
      <c r="AF11" s="43" t="str">
        <f>IF(ISBLANK('Base 2-Yr (Non-US)'!$L87), "","X")</f>
        <v>X</v>
      </c>
      <c r="AG11" s="42" t="str">
        <f>IF(ISBLANK('Base 2-Yr (Non-US)'!$L94), "","X")</f>
        <v/>
      </c>
      <c r="AH11" s="31" t="str">
        <f>IF(ISBLANK('Base 2-Yr (Non-US)'!$L101), "","X")</f>
        <v/>
      </c>
      <c r="AI11" s="31" t="str">
        <f>IF(ISBLANK('Base 2-Yr (Non-US)'!$L108), "","X")</f>
        <v/>
      </c>
      <c r="AJ11" s="43" t="str">
        <f>IF(ISBLANK('Base 2-Yr (Non-US)'!$L115), "","X")</f>
        <v/>
      </c>
      <c r="AK11" s="42" t="str">
        <f>IF(ISBLANK('Base 2-Yr (Non-US)'!$L122), "","X")</f>
        <v/>
      </c>
      <c r="AL11" s="31" t="str">
        <f>IF(ISBLANK('Base 2-Yr (Non-US)'!$L129), "","X")</f>
        <v>X</v>
      </c>
      <c r="AM11" s="31" t="str">
        <f>IF(ISBLANK('Base 2-Yr (Non-US)'!$L136), "","X")</f>
        <v/>
      </c>
      <c r="AN11" s="43" t="str">
        <f>IF(ISBLANK('Base 2-Yr (Non-US)'!$L143), "","X")</f>
        <v>X</v>
      </c>
      <c r="AO11" s="42" t="str">
        <f>IF(ISBLANK('Base 2-Yr (Non-US)'!$L150), "","X")</f>
        <v/>
      </c>
      <c r="AP11" s="31" t="str">
        <f>IF(ISBLANK('Base 2-Yr (Non-US)'!$L162), "","X")</f>
        <v>X</v>
      </c>
      <c r="AQ11" s="31" t="str">
        <f>IF(ISBLANK('Base 2-Yr (Non-US)'!$L174), "","X")</f>
        <v/>
      </c>
      <c r="AR11" s="43" t="str">
        <f>IF(ISBLANK('Base 2-Yr (Non-US)'!$L186), "","X")</f>
        <v>X</v>
      </c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</row>
    <row r="12" spans="1:57" s="19" customFormat="1">
      <c r="A12" s="62" t="s">
        <v>687</v>
      </c>
      <c r="B12" s="63"/>
      <c r="C12" s="42" t="str">
        <f>IF(ISBLANK('Base 2-Yr (US)'!$M2), "","X")</f>
        <v>X</v>
      </c>
      <c r="D12" s="31" t="str">
        <f>IF(ISBLANK('Base 2-Yr (US)'!$M18), "","X")</f>
        <v/>
      </c>
      <c r="E12" s="31" t="str">
        <f>IF(ISBLANK('Base 2-Yr (US)'!$M34), "","X")</f>
        <v/>
      </c>
      <c r="F12" s="43" t="str">
        <f>IF(ISBLANK('Base 2-Yr (US)'!$M50), "","X")</f>
        <v>X</v>
      </c>
      <c r="G12" s="42" t="str">
        <f>IF(ISBLANK('Base 2-Yr (US)'!$M66), "","X")</f>
        <v>X</v>
      </c>
      <c r="H12" s="31" t="str">
        <f>IF(ISBLANK('Base 2-Yr (US)'!$M73), "","X")</f>
        <v/>
      </c>
      <c r="I12" s="31" t="str">
        <f>IF(ISBLANK('Base 2-Yr (US)'!$M80), "","X")</f>
        <v/>
      </c>
      <c r="J12" s="43" t="str">
        <f>IF(ISBLANK('Base 2-Yr (US)'!$M87), "","X")</f>
        <v>X</v>
      </c>
      <c r="K12" s="42" t="str">
        <f>IF(ISBLANK('Base 2-Yr (US)'!$M94), "","X")</f>
        <v/>
      </c>
      <c r="L12" s="31" t="str">
        <f>IF(ISBLANK('Base 2-Yr (US)'!$M101), "","X")</f>
        <v/>
      </c>
      <c r="M12" s="31" t="str">
        <f>IF(ISBLANK('Base 2-Yr (US)'!$M108), "","X")</f>
        <v/>
      </c>
      <c r="N12" s="43" t="str">
        <f>IF(ISBLANK('Base 2-Yr (US)'!$M115), "","X")</f>
        <v/>
      </c>
      <c r="O12" s="42" t="str">
        <f>IF(ISBLANK('Base 2-Yr (US)'!$M122), "","X")</f>
        <v>X</v>
      </c>
      <c r="P12" s="31" t="str">
        <f>IF(ISBLANK('Base 2-Yr (US)'!$M129), "","X")</f>
        <v/>
      </c>
      <c r="Q12" s="31" t="str">
        <f>IF(ISBLANK('Base 2-Yr (US)'!$M136), "","X")</f>
        <v/>
      </c>
      <c r="R12" s="43" t="str">
        <f>IF(ISBLANK('Base 2-Yr (US)'!$M143), "","X")</f>
        <v>X</v>
      </c>
      <c r="S12" s="42" t="str">
        <f>IF(ISBLANK('Base 2-Yr (US)'!$M150), "","X")</f>
        <v>X</v>
      </c>
      <c r="T12" s="31" t="str">
        <f>IF(ISBLANK('Base 2-Yr (US)'!$M162), "","X")</f>
        <v/>
      </c>
      <c r="U12" s="31" t="str">
        <f>IF(ISBLANK('Base 2-Yr (US)'!$M174), "","X")</f>
        <v/>
      </c>
      <c r="V12" s="43" t="str">
        <f>IF(ISBLANK('Base 2-Yr (US)'!$M186), "","X")</f>
        <v>X</v>
      </c>
      <c r="W12" s="24"/>
      <c r="X12" s="37" t="s">
        <v>687</v>
      </c>
      <c r="Y12" s="42" t="str">
        <f>IF(ISBLANK('Base 2-Yr (Non-US)'!$M2), "","X")</f>
        <v>X</v>
      </c>
      <c r="Z12" s="31" t="str">
        <f>IF(ISBLANK('Base 2-Yr (Non-US)'!$M18), "","X")</f>
        <v/>
      </c>
      <c r="AA12" s="31" t="str">
        <f>IF(ISBLANK('Base 2-Yr (Non-US)'!$M34), "","X")</f>
        <v/>
      </c>
      <c r="AB12" s="43" t="str">
        <f>IF(ISBLANK('Base 2-Yr (Non-US)'!$M50), "","X")</f>
        <v>X</v>
      </c>
      <c r="AC12" s="42" t="str">
        <f>IF(ISBLANK('Base 2-Yr (Non-US)'!$M66), "","X")</f>
        <v>X</v>
      </c>
      <c r="AD12" s="31" t="str">
        <f>IF(ISBLANK('Base 2-Yr (Non-US)'!$M73), "","X")</f>
        <v/>
      </c>
      <c r="AE12" s="31" t="str">
        <f>IF(ISBLANK('Base 2-Yr (Non-US)'!$M80), "","X")</f>
        <v/>
      </c>
      <c r="AF12" s="43" t="str">
        <f>IF(ISBLANK('Base 2-Yr (Non-US)'!$M87), "","X")</f>
        <v>X</v>
      </c>
      <c r="AG12" s="42" t="str">
        <f>IF(ISBLANK('Base 2-Yr (Non-US)'!$M94), "","X")</f>
        <v/>
      </c>
      <c r="AH12" s="31" t="str">
        <f>IF(ISBLANK('Base 2-Yr (Non-US)'!$M101), "","X")</f>
        <v/>
      </c>
      <c r="AI12" s="31" t="str">
        <f>IF(ISBLANK('Base 2-Yr (Non-US)'!$M108), "","X")</f>
        <v/>
      </c>
      <c r="AJ12" s="43" t="str">
        <f>IF(ISBLANK('Base 2-Yr (Non-US)'!$M115), "","X")</f>
        <v/>
      </c>
      <c r="AK12" s="42" t="str">
        <f>IF(ISBLANK('Base 2-Yr (Non-US)'!$M122), "","X")</f>
        <v>X</v>
      </c>
      <c r="AL12" s="31" t="str">
        <f>IF(ISBLANK('Base 2-Yr (Non-US)'!$M129), "","X")</f>
        <v/>
      </c>
      <c r="AM12" s="31" t="str">
        <f>IF(ISBLANK('Base 2-Yr (Non-US)'!$M136), "","X")</f>
        <v/>
      </c>
      <c r="AN12" s="43" t="str">
        <f>IF(ISBLANK('Base 2-Yr (Non-US)'!$M143), "","X")</f>
        <v>X</v>
      </c>
      <c r="AO12" s="42" t="str">
        <f>IF(ISBLANK('Base 2-Yr (Non-US)'!$M150), "","X")</f>
        <v>X</v>
      </c>
      <c r="AP12" s="31" t="str">
        <f>IF(ISBLANK('Base 2-Yr (Non-US)'!$M162), "","X")</f>
        <v/>
      </c>
      <c r="AQ12" s="31" t="str">
        <f>IF(ISBLANK('Base 2-Yr (Non-US)'!$M174), "","X")</f>
        <v/>
      </c>
      <c r="AR12" s="43" t="str">
        <f>IF(ISBLANK('Base 2-Yr (Non-US)'!$M186), "","X")</f>
        <v>X</v>
      </c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</row>
    <row r="13" spans="1:57" s="19" customFormat="1">
      <c r="A13" s="62" t="s">
        <v>688</v>
      </c>
      <c r="B13" s="63"/>
      <c r="C13" s="42" t="str">
        <f>IF(ISBLANK('Base 2-Yr (US)'!$N2), "","X")</f>
        <v>X</v>
      </c>
      <c r="D13" s="31" t="str">
        <f>IF(ISBLANK('Base 2-Yr (US)'!$N18), "","X")</f>
        <v>X</v>
      </c>
      <c r="E13" s="31" t="str">
        <f>IF(ISBLANK('Base 2-Yr (US)'!$N34), "","X")</f>
        <v>X</v>
      </c>
      <c r="F13" s="43" t="str">
        <f>IF(ISBLANK('Base 2-Yr (US)'!$N50), "","X")</f>
        <v>X</v>
      </c>
      <c r="G13" s="42" t="str">
        <f>IF(ISBLANK('Base 2-Yr (US)'!$N66), "","X")</f>
        <v>X</v>
      </c>
      <c r="H13" s="31" t="str">
        <f>IF(ISBLANK('Base 2-Yr (US)'!$N73), "","X")</f>
        <v>X</v>
      </c>
      <c r="I13" s="31" t="str">
        <f>IF(ISBLANK('Base 2-Yr (US)'!$N80), "","X")</f>
        <v>X</v>
      </c>
      <c r="J13" s="43" t="str">
        <f>IF(ISBLANK('Base 2-Yr (US)'!$N87), "","X")</f>
        <v>X</v>
      </c>
      <c r="K13" s="42" t="str">
        <f>IF(ISBLANK('Base 2-Yr (US)'!$N94), "","X")</f>
        <v>X</v>
      </c>
      <c r="L13" s="31" t="str">
        <f>IF(ISBLANK('Base 2-Yr (US)'!$N101), "","X")</f>
        <v>X</v>
      </c>
      <c r="M13" s="31" t="str">
        <f>IF(ISBLANK('Base 2-Yr (US)'!$N108), "","X")</f>
        <v>X</v>
      </c>
      <c r="N13" s="43" t="str">
        <f>IF(ISBLANK('Base 2-Yr (US)'!$N115), "","X")</f>
        <v>X</v>
      </c>
      <c r="O13" s="42" t="str">
        <f>IF(ISBLANK('Base 2-Yr (US)'!$N122), "","X")</f>
        <v>X</v>
      </c>
      <c r="P13" s="31" t="str">
        <f>IF(ISBLANK('Base 2-Yr (US)'!$N129), "","X")</f>
        <v>X</v>
      </c>
      <c r="Q13" s="31" t="str">
        <f>IF(ISBLANK('Base 2-Yr (US)'!$N136), "","X")</f>
        <v>X</v>
      </c>
      <c r="R13" s="43" t="str">
        <f>IF(ISBLANK('Base 2-Yr (US)'!$N143), "","X")</f>
        <v>X</v>
      </c>
      <c r="S13" s="42" t="str">
        <f>IF(ISBLANK('Base 2-Yr (US)'!$N150), "","X")</f>
        <v>X</v>
      </c>
      <c r="T13" s="31" t="str">
        <f>IF(ISBLANK('Base 2-Yr (US)'!$N162), "","X")</f>
        <v>X</v>
      </c>
      <c r="U13" s="31" t="str">
        <f>IF(ISBLANK('Base 2-Yr (US)'!$N174), "","X")</f>
        <v>X</v>
      </c>
      <c r="V13" s="43" t="str">
        <f>IF(ISBLANK('Base 2-Yr (US)'!$N186), "","X")</f>
        <v>X</v>
      </c>
      <c r="W13" s="24"/>
      <c r="X13" s="37" t="s">
        <v>688</v>
      </c>
      <c r="Y13" s="42" t="str">
        <f>IF(ISBLANK('Base 2-Yr (Non-US)'!$N2), "","X")</f>
        <v/>
      </c>
      <c r="Z13" s="31" t="str">
        <f>IF(ISBLANK('Base 2-Yr (Non-US)'!$N18), "","X")</f>
        <v/>
      </c>
      <c r="AA13" s="31" t="str">
        <f>IF(ISBLANK('Base 2-Yr (Non-US)'!$N34), "","X")</f>
        <v/>
      </c>
      <c r="AB13" s="43" t="str">
        <f>IF(ISBLANK('Base 2-Yr (Non-US)'!$N50), "","X")</f>
        <v/>
      </c>
      <c r="AC13" s="42" t="str">
        <f>IF(ISBLANK('Base 2-Yr (Non-US)'!$N66), "","X")</f>
        <v/>
      </c>
      <c r="AD13" s="31" t="str">
        <f>IF(ISBLANK('Base 2-Yr (Non-US)'!$N73), "","X")</f>
        <v/>
      </c>
      <c r="AE13" s="31" t="str">
        <f>IF(ISBLANK('Base 2-Yr (Non-US)'!$N80), "","X")</f>
        <v/>
      </c>
      <c r="AF13" s="43" t="str">
        <f>IF(ISBLANK('Base 2-Yr (Non-US)'!$N87), "","X")</f>
        <v/>
      </c>
      <c r="AG13" s="42" t="str">
        <f>IF(ISBLANK('Base 2-Yr (Non-US)'!$N94), "","X")</f>
        <v/>
      </c>
      <c r="AH13" s="31" t="str">
        <f>IF(ISBLANK('Base 2-Yr (Non-US)'!$N101), "","X")</f>
        <v/>
      </c>
      <c r="AI13" s="31" t="str">
        <f>IF(ISBLANK('Base 2-Yr (Non-US)'!$N108), "","X")</f>
        <v/>
      </c>
      <c r="AJ13" s="43" t="str">
        <f>IF(ISBLANK('Base 2-Yr (Non-US)'!$N115), "","X")</f>
        <v/>
      </c>
      <c r="AK13" s="42" t="str">
        <f>IF(ISBLANK('Base 2-Yr (Non-US)'!$N122), "","X")</f>
        <v/>
      </c>
      <c r="AL13" s="31" t="str">
        <f>IF(ISBLANK('Base 2-Yr (Non-US)'!$N129), "","X")</f>
        <v/>
      </c>
      <c r="AM13" s="31" t="str">
        <f>IF(ISBLANK('Base 2-Yr (Non-US)'!$N136), "","X")</f>
        <v/>
      </c>
      <c r="AN13" s="43" t="str">
        <f>IF(ISBLANK('Base 2-Yr (Non-US)'!$N143), "","X")</f>
        <v/>
      </c>
      <c r="AO13" s="42" t="str">
        <f>IF(ISBLANK('Base 2-Yr (Non-US)'!$N150), "","X")</f>
        <v/>
      </c>
      <c r="AP13" s="31" t="str">
        <f>IF(ISBLANK('Base 2-Yr (Non-US)'!$N162), "","X")</f>
        <v/>
      </c>
      <c r="AQ13" s="31" t="str">
        <f>IF(ISBLANK('Base 2-Yr (Non-US)'!$N174), "","X")</f>
        <v/>
      </c>
      <c r="AR13" s="43" t="str">
        <f>IF(ISBLANK('Base 2-Yr (Non-US)'!$N186), "","X")</f>
        <v/>
      </c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</row>
    <row r="14" spans="1:57" s="19" customFormat="1">
      <c r="A14" s="62" t="s">
        <v>588</v>
      </c>
      <c r="B14" s="63"/>
      <c r="C14" s="42" t="str">
        <f>IF(ISBLANK('Base 2-Yr (US)'!$O2), "","X")</f>
        <v>X</v>
      </c>
      <c r="D14" s="31" t="str">
        <f>IF(ISBLANK('Base 2-Yr (US)'!$O18), "","X")</f>
        <v>X</v>
      </c>
      <c r="E14" s="31" t="str">
        <f>IF(ISBLANK('Base 2-Yr (US)'!$O34), "","X")</f>
        <v/>
      </c>
      <c r="F14" s="43" t="str">
        <f>IF(ISBLANK('Base 2-Yr (US)'!$O50), "","X")</f>
        <v>X</v>
      </c>
      <c r="G14" s="42" t="str">
        <f>IF(ISBLANK('Base 2-Yr (US)'!$O66), "","X")</f>
        <v>X</v>
      </c>
      <c r="H14" s="31" t="str">
        <f>IF(ISBLANK('Base 2-Yr (US)'!$O73), "","X")</f>
        <v>X</v>
      </c>
      <c r="I14" s="31" t="str">
        <f>IF(ISBLANK('Base 2-Yr (US)'!$O80), "","X")</f>
        <v/>
      </c>
      <c r="J14" s="43" t="str">
        <f>IF(ISBLANK('Base 2-Yr (US)'!$O87), "","X")</f>
        <v>X</v>
      </c>
      <c r="K14" s="42" t="str">
        <f>IF(ISBLANK('Base 2-Yr (US)'!$O94), "","X")</f>
        <v>X</v>
      </c>
      <c r="L14" s="31" t="str">
        <f>IF(ISBLANK('Base 2-Yr (US)'!$O101), "","X")</f>
        <v>X</v>
      </c>
      <c r="M14" s="31" t="str">
        <f>IF(ISBLANK('Base 2-Yr (US)'!$O108), "","X")</f>
        <v/>
      </c>
      <c r="N14" s="43" t="str">
        <f>IF(ISBLANK('Base 2-Yr (US)'!$O115), "","X")</f>
        <v>X</v>
      </c>
      <c r="O14" s="42" t="str">
        <f>IF(ISBLANK('Base 2-Yr (US)'!$O122), "","X")</f>
        <v>X</v>
      </c>
      <c r="P14" s="31" t="str">
        <f>IF(ISBLANK('Base 2-Yr (US)'!$O129), "","X")</f>
        <v>X</v>
      </c>
      <c r="Q14" s="31" t="str">
        <f>IF(ISBLANK('Base 2-Yr (US)'!$O136), "","X")</f>
        <v/>
      </c>
      <c r="R14" s="43" t="str">
        <f>IF(ISBLANK('Base 2-Yr (US)'!$O143), "","X")</f>
        <v>X</v>
      </c>
      <c r="S14" s="42" t="str">
        <f>IF(ISBLANK('Base 2-Yr (US)'!$O150), "","X")</f>
        <v>X</v>
      </c>
      <c r="T14" s="31" t="str">
        <f>IF(ISBLANK('Base 2-Yr (US)'!$O162), "","X")</f>
        <v>X</v>
      </c>
      <c r="U14" s="31" t="str">
        <f>IF(ISBLANK('Base 2-Yr (US)'!$O174), "","X")</f>
        <v/>
      </c>
      <c r="V14" s="43" t="str">
        <f>IF(ISBLANK('Base 2-Yr (US)'!$O186), "","X")</f>
        <v>X</v>
      </c>
      <c r="W14" s="24"/>
      <c r="X14" s="37" t="s">
        <v>588</v>
      </c>
      <c r="Y14" s="42" t="str">
        <f>IF(ISBLANK('Base 2-Yr (Non-US)'!$O2), "","X")</f>
        <v/>
      </c>
      <c r="Z14" s="31" t="str">
        <f>IF(ISBLANK('Base 2-Yr (Non-US)'!$O18), "","X")</f>
        <v/>
      </c>
      <c r="AA14" s="31" t="str">
        <f>IF(ISBLANK('Base 2-Yr (Non-US)'!$O34), "","X")</f>
        <v/>
      </c>
      <c r="AB14" s="43" t="str">
        <f>IF(ISBLANK('Base 2-Yr (Non-US)'!$O50), "","X")</f>
        <v/>
      </c>
      <c r="AC14" s="42" t="str">
        <f>IF(ISBLANK('Base 2-Yr (Non-US)'!$O66), "","X")</f>
        <v/>
      </c>
      <c r="AD14" s="31" t="str">
        <f>IF(ISBLANK('Base 2-Yr (Non-US)'!$O73), "","X")</f>
        <v/>
      </c>
      <c r="AE14" s="31" t="str">
        <f>IF(ISBLANK('Base 2-Yr (Non-US)'!$O80), "","X")</f>
        <v/>
      </c>
      <c r="AF14" s="43" t="str">
        <f>IF(ISBLANK('Base 2-Yr (Non-US)'!$O87), "","X")</f>
        <v/>
      </c>
      <c r="AG14" s="42" t="str">
        <f>IF(ISBLANK('Base 2-Yr (Non-US)'!$O94), "","X")</f>
        <v/>
      </c>
      <c r="AH14" s="31" t="str">
        <f>IF(ISBLANK('Base 2-Yr (Non-US)'!$O101), "","X")</f>
        <v/>
      </c>
      <c r="AI14" s="31" t="str">
        <f>IF(ISBLANK('Base 2-Yr (Non-US)'!$O108), "","X")</f>
        <v/>
      </c>
      <c r="AJ14" s="43" t="str">
        <f>IF(ISBLANK('Base 2-Yr (Non-US)'!$O115), "","X")</f>
        <v/>
      </c>
      <c r="AK14" s="42" t="str">
        <f>IF(ISBLANK('Base 2-Yr (Non-US)'!$O122), "","X")</f>
        <v/>
      </c>
      <c r="AL14" s="31" t="str">
        <f>IF(ISBLANK('Base 2-Yr (Non-US)'!$O129), "","X")</f>
        <v/>
      </c>
      <c r="AM14" s="31" t="str">
        <f>IF(ISBLANK('Base 2-Yr (Non-US)'!$O136), "","X")</f>
        <v/>
      </c>
      <c r="AN14" s="43" t="str">
        <f>IF(ISBLANK('Base 2-Yr (Non-US)'!$O143), "","X")</f>
        <v/>
      </c>
      <c r="AO14" s="42" t="str">
        <f>IF(ISBLANK('Base 2-Yr (Non-US)'!$O150), "","X")</f>
        <v/>
      </c>
      <c r="AP14" s="31" t="str">
        <f>IF(ISBLANK('Base 2-Yr (Non-US)'!$O162), "","X")</f>
        <v/>
      </c>
      <c r="AQ14" s="31" t="str">
        <f>IF(ISBLANK('Base 2-Yr (Non-US)'!$O174), "","X")</f>
        <v/>
      </c>
      <c r="AR14" s="43" t="str">
        <f>IF(ISBLANK('Base 2-Yr (Non-US)'!$O186), "","X")</f>
        <v/>
      </c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</row>
    <row r="15" spans="1:57" s="19" customFormat="1" ht="13.5" customHeight="1">
      <c r="A15" s="62" t="s">
        <v>589</v>
      </c>
      <c r="B15" s="63"/>
      <c r="C15" s="42" t="str">
        <f>IF(ISBLANK('Base 2-Yr (US)'!$P2), "","X")</f>
        <v>X</v>
      </c>
      <c r="D15" s="31" t="str">
        <f>IF(ISBLANK('Base 2-Yr (US)'!$P18), "","X")</f>
        <v>X</v>
      </c>
      <c r="E15" s="31" t="str">
        <f>IF(ISBLANK('Base 2-Yr (US)'!$P34), "","X")</f>
        <v>X</v>
      </c>
      <c r="F15" s="43" t="str">
        <f>IF(ISBLANK('Base 2-Yr (US)'!$P50), "","X")</f>
        <v/>
      </c>
      <c r="G15" s="42" t="str">
        <f>IF(ISBLANK('Base 2-Yr (US)'!$P66), "","X")</f>
        <v>X</v>
      </c>
      <c r="H15" s="31" t="str">
        <f>IF(ISBLANK('Base 2-Yr (US)'!$P73), "","X")</f>
        <v>X</v>
      </c>
      <c r="I15" s="31" t="str">
        <f>IF(ISBLANK('Base 2-Yr (US)'!$P80), "","X")</f>
        <v>X</v>
      </c>
      <c r="J15" s="43" t="str">
        <f>IF(ISBLANK('Base 2-Yr (US)'!$P87), "","X")</f>
        <v/>
      </c>
      <c r="K15" s="42" t="str">
        <f>IF(ISBLANK('Base 2-Yr (US)'!$P94), "","X")</f>
        <v>X</v>
      </c>
      <c r="L15" s="31" t="str">
        <f>IF(ISBLANK('Base 2-Yr (US)'!$P101), "","X")</f>
        <v>X</v>
      </c>
      <c r="M15" s="31" t="str">
        <f>IF(ISBLANK('Base 2-Yr (US)'!$P108), "","X")</f>
        <v>X</v>
      </c>
      <c r="N15" s="43" t="str">
        <f>IF(ISBLANK('Base 2-Yr (US)'!$P115), "","X")</f>
        <v/>
      </c>
      <c r="O15" s="42" t="str">
        <f>IF(ISBLANK('Base 2-Yr (US)'!$P122), "","X")</f>
        <v>X</v>
      </c>
      <c r="P15" s="31" t="str">
        <f>IF(ISBLANK('Base 2-Yr (US)'!$P129), "","X")</f>
        <v>X</v>
      </c>
      <c r="Q15" s="31" t="str">
        <f>IF(ISBLANK('Base 2-Yr (US)'!$P136), "","X")</f>
        <v>X</v>
      </c>
      <c r="R15" s="43" t="str">
        <f>IF(ISBLANK('Base 2-Yr (US)'!$P143), "","X")</f>
        <v/>
      </c>
      <c r="S15" s="42" t="str">
        <f>IF(ISBLANK('Base 2-Yr (US)'!$P150), "","X")</f>
        <v>X</v>
      </c>
      <c r="T15" s="31" t="str">
        <f>IF(ISBLANK('Base 2-Yr (US)'!$P162), "","X")</f>
        <v>X</v>
      </c>
      <c r="U15" s="31" t="str">
        <f>IF(ISBLANK('Base 2-Yr (US)'!$P174), "","X")</f>
        <v>X</v>
      </c>
      <c r="V15" s="43" t="str">
        <f>IF(ISBLANK('Base 2-Yr (US)'!$P186), "","X")</f>
        <v/>
      </c>
      <c r="W15" s="24"/>
      <c r="X15" s="37" t="s">
        <v>589</v>
      </c>
      <c r="Y15" s="42" t="str">
        <f>IF(ISBLANK('Base 2-Yr (Non-US)'!$P2), "","X")</f>
        <v/>
      </c>
      <c r="Z15" s="31" t="str">
        <f>IF(ISBLANK('Base 2-Yr (Non-US)'!$P18), "","X")</f>
        <v/>
      </c>
      <c r="AA15" s="31" t="str">
        <f>IF(ISBLANK('Base 2-Yr (Non-US)'!$P34), "","X")</f>
        <v/>
      </c>
      <c r="AB15" s="43" t="str">
        <f>IF(ISBLANK('Base 2-Yr (Non-US)'!$P50), "","X")</f>
        <v/>
      </c>
      <c r="AC15" s="42" t="str">
        <f>IF(ISBLANK('Base 2-Yr (Non-US)'!$P66), "","X")</f>
        <v/>
      </c>
      <c r="AD15" s="31" t="str">
        <f>IF(ISBLANK('Base 2-Yr (Non-US)'!$P73), "","X")</f>
        <v/>
      </c>
      <c r="AE15" s="31" t="str">
        <f>IF(ISBLANK('Base 2-Yr (Non-US)'!$P80), "","X")</f>
        <v/>
      </c>
      <c r="AF15" s="43" t="str">
        <f>IF(ISBLANK('Base 2-Yr (Non-US)'!$P87), "","X")</f>
        <v/>
      </c>
      <c r="AG15" s="42" t="str">
        <f>IF(ISBLANK('Base 2-Yr (Non-US)'!$P94), "","X")</f>
        <v/>
      </c>
      <c r="AH15" s="31" t="str">
        <f>IF(ISBLANK('Base 2-Yr (Non-US)'!$P101), "","X")</f>
        <v/>
      </c>
      <c r="AI15" s="31" t="str">
        <f>IF(ISBLANK('Base 2-Yr (Non-US)'!$P108), "","X")</f>
        <v/>
      </c>
      <c r="AJ15" s="43" t="str">
        <f>IF(ISBLANK('Base 2-Yr (Non-US)'!$P115), "","X")</f>
        <v/>
      </c>
      <c r="AK15" s="42" t="str">
        <f>IF(ISBLANK('Base 2-Yr (Non-US)'!$P122), "","X")</f>
        <v/>
      </c>
      <c r="AL15" s="31" t="str">
        <f>IF(ISBLANK('Base 2-Yr (Non-US)'!$P129), "","X")</f>
        <v/>
      </c>
      <c r="AM15" s="31" t="str">
        <f>IF(ISBLANK('Base 2-Yr (Non-US)'!$P136), "","X")</f>
        <v/>
      </c>
      <c r="AN15" s="43" t="str">
        <f>IF(ISBLANK('Base 2-Yr (Non-US)'!$P143), "","X")</f>
        <v/>
      </c>
      <c r="AO15" s="42" t="str">
        <f>IF(ISBLANK('Base 2-Yr (Non-US)'!$P150), "","X")</f>
        <v/>
      </c>
      <c r="AP15" s="31" t="str">
        <f>IF(ISBLANK('Base 2-Yr (Non-US)'!$P162), "","X")</f>
        <v/>
      </c>
      <c r="AQ15" s="31" t="str">
        <f>IF(ISBLANK('Base 2-Yr (Non-US)'!$P174), "","X")</f>
        <v/>
      </c>
      <c r="AR15" s="43" t="str">
        <f>IF(ISBLANK('Base 2-Yr (Non-US)'!$P186), "","X")</f>
        <v/>
      </c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</row>
    <row r="16" spans="1:57" s="19" customFormat="1">
      <c r="A16" s="62" t="s">
        <v>590</v>
      </c>
      <c r="B16" s="63"/>
      <c r="C16" s="42" t="str">
        <f>IF(ISBLANK('Base 2-Yr (US)'!$Q2), "","X")</f>
        <v>X</v>
      </c>
      <c r="D16" s="31" t="str">
        <f>IF(ISBLANK('Base 2-Yr (US)'!$Q18), "","X")</f>
        <v>X</v>
      </c>
      <c r="E16" s="31" t="str">
        <f>IF(ISBLANK('Base 2-Yr (US)'!$Q34), "","X")</f>
        <v>X</v>
      </c>
      <c r="F16" s="43" t="str">
        <f>IF(ISBLANK('Base 2-Yr (US)'!$Q50), "","X")</f>
        <v>X</v>
      </c>
      <c r="G16" s="42" t="str">
        <f>IF(ISBLANK('Base 2-Yr (US)'!$Q66), "","X")</f>
        <v>X</v>
      </c>
      <c r="H16" s="31" t="str">
        <f>IF(ISBLANK('Base 2-Yr (US)'!$Q73), "","X")</f>
        <v>X</v>
      </c>
      <c r="I16" s="31" t="str">
        <f>IF(ISBLANK('Base 2-Yr (US)'!$Q80), "","X")</f>
        <v>X</v>
      </c>
      <c r="J16" s="43" t="str">
        <f>IF(ISBLANK('Base 2-Yr (US)'!$Q87), "","X")</f>
        <v>X</v>
      </c>
      <c r="K16" s="42" t="str">
        <f>IF(ISBLANK('Base 2-Yr (US)'!$Q94), "","X")</f>
        <v>X</v>
      </c>
      <c r="L16" s="31" t="str">
        <f>IF(ISBLANK('Base 2-Yr (US)'!$Q101), "","X")</f>
        <v>X</v>
      </c>
      <c r="M16" s="31" t="str">
        <f>IF(ISBLANK('Base 2-Yr (US)'!$Q108), "","X")</f>
        <v>X</v>
      </c>
      <c r="N16" s="43" t="str">
        <f>IF(ISBLANK('Base 2-Yr (US)'!$Q115), "","X")</f>
        <v>X</v>
      </c>
      <c r="O16" s="42" t="str">
        <f>IF(ISBLANK('Base 2-Yr (US)'!$Q122), "","X")</f>
        <v>X</v>
      </c>
      <c r="P16" s="31" t="str">
        <f>IF(ISBLANK('Base 2-Yr (US)'!$Q129), "","X")</f>
        <v>X</v>
      </c>
      <c r="Q16" s="31" t="str">
        <f>IF(ISBLANK('Base 2-Yr (US)'!$Q136), "","X")</f>
        <v>X</v>
      </c>
      <c r="R16" s="43" t="str">
        <f>IF(ISBLANK('Base 2-Yr (US)'!$Q143), "","X")</f>
        <v>X</v>
      </c>
      <c r="S16" s="42" t="str">
        <f>IF(ISBLANK('Base 2-Yr (US)'!$Q150), "","X")</f>
        <v>X</v>
      </c>
      <c r="T16" s="31" t="str">
        <f>IF(ISBLANK('Base 2-Yr (US)'!$Q162), "","X")</f>
        <v>X</v>
      </c>
      <c r="U16" s="31" t="str">
        <f>IF(ISBLANK('Base 2-Yr (US)'!$Q174), "","X")</f>
        <v>X</v>
      </c>
      <c r="V16" s="43" t="str">
        <f>IF(ISBLANK('Base 2-Yr (US)'!$Q186), "","X")</f>
        <v>X</v>
      </c>
      <c r="W16" s="24"/>
      <c r="X16" s="37" t="s">
        <v>590</v>
      </c>
      <c r="Y16" s="42" t="str">
        <f>IF(ISBLANK('Base 2-Yr (Non-US)'!$Q2), "","X")</f>
        <v>X</v>
      </c>
      <c r="Z16" s="31" t="str">
        <f>IF(ISBLANK('Base 2-Yr (Non-US)'!$Q18), "","X")</f>
        <v>X</v>
      </c>
      <c r="AA16" s="31" t="str">
        <f>IF(ISBLANK('Base 2-Yr (Non-US)'!$Q34), "","X")</f>
        <v/>
      </c>
      <c r="AB16" s="43" t="str">
        <f>IF(ISBLANK('Base 2-Yr (Non-US)'!$Q50), "","X")</f>
        <v>X</v>
      </c>
      <c r="AC16" s="42" t="str">
        <f>IF(ISBLANK('Base 2-Yr (Non-US)'!$Q66), "","X")</f>
        <v>X</v>
      </c>
      <c r="AD16" s="31" t="str">
        <f>IF(ISBLANK('Base 2-Yr (Non-US)'!$Q73), "","X")</f>
        <v>X</v>
      </c>
      <c r="AE16" s="31" t="str">
        <f>IF(ISBLANK('Base 2-Yr (Non-US)'!$Q80), "","X")</f>
        <v/>
      </c>
      <c r="AF16" s="43" t="str">
        <f>IF(ISBLANK('Base 2-Yr (Non-US)'!$Q87), "","X")</f>
        <v>X</v>
      </c>
      <c r="AG16" s="42" t="str">
        <f>IF(ISBLANK('Base 2-Yr (Non-US)'!$Q94), "","X")</f>
        <v>X</v>
      </c>
      <c r="AH16" s="31" t="str">
        <f>IF(ISBLANK('Base 2-Yr (Non-US)'!$Q101), "","X")</f>
        <v>X</v>
      </c>
      <c r="AI16" s="31" t="str">
        <f>IF(ISBLANK('Base 2-Yr (Non-US)'!$Q108), "","X")</f>
        <v/>
      </c>
      <c r="AJ16" s="43" t="str">
        <f>IF(ISBLANK('Base 2-Yr (Non-US)'!$Q115), "","X")</f>
        <v>X</v>
      </c>
      <c r="AK16" s="42" t="str">
        <f>IF(ISBLANK('Base 2-Yr (Non-US)'!$Q122), "","X")</f>
        <v>X</v>
      </c>
      <c r="AL16" s="31" t="str">
        <f>IF(ISBLANK('Base 2-Yr (Non-US)'!$Q129), "","X")</f>
        <v>X</v>
      </c>
      <c r="AM16" s="31" t="str">
        <f>IF(ISBLANK('Base 2-Yr (Non-US)'!$Q136), "","X")</f>
        <v/>
      </c>
      <c r="AN16" s="43" t="str">
        <f>IF(ISBLANK('Base 2-Yr (Non-US)'!$Q143), "","X")</f>
        <v>X</v>
      </c>
      <c r="AO16" s="42" t="str">
        <f>IF(ISBLANK('Base 2-Yr (Non-US)'!$Q150), "","X")</f>
        <v>X</v>
      </c>
      <c r="AP16" s="31" t="str">
        <f>IF(ISBLANK('Base 2-Yr (Non-US)'!$Q162), "","X")</f>
        <v>X</v>
      </c>
      <c r="AQ16" s="31" t="str">
        <f>IF(ISBLANK('Base 2-Yr (Non-US)'!$Q174), "","X")</f>
        <v/>
      </c>
      <c r="AR16" s="43" t="str">
        <f>IF(ISBLANK('Base 2-Yr (Non-US)'!$Q186), "","X")</f>
        <v>X</v>
      </c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</row>
    <row r="17" spans="1:57" s="19" customFormat="1">
      <c r="A17" s="62" t="s">
        <v>591</v>
      </c>
      <c r="B17" s="63"/>
      <c r="C17" s="42" t="str">
        <f>IF(ISBLANK('Base 2-Yr (US)'!$R2), "","X")</f>
        <v>X</v>
      </c>
      <c r="D17" s="31" t="str">
        <f>IF(ISBLANK('Base 2-Yr (US)'!$R18), "","X")</f>
        <v/>
      </c>
      <c r="E17" s="31" t="str">
        <f>IF(ISBLANK('Base 2-Yr (US)'!$R34), "","X")</f>
        <v/>
      </c>
      <c r="F17" s="43" t="str">
        <f>IF(ISBLANK('Base 2-Yr (US)'!$R50), "","X")</f>
        <v>X</v>
      </c>
      <c r="G17" s="42" t="str">
        <f>IF(ISBLANK('Base 2-Yr (US)'!$R66), "","X")</f>
        <v>X</v>
      </c>
      <c r="H17" s="31" t="str">
        <f>IF(ISBLANK('Base 2-Yr (US)'!$R73), "","X")</f>
        <v/>
      </c>
      <c r="I17" s="31" t="str">
        <f>IF(ISBLANK('Base 2-Yr (US)'!$R80), "","X")</f>
        <v/>
      </c>
      <c r="J17" s="43" t="str">
        <f>IF(ISBLANK('Base 2-Yr (US)'!$R87), "","X")</f>
        <v>X</v>
      </c>
      <c r="K17" s="42" t="str">
        <f>IF(ISBLANK('Base 2-Yr (US)'!$R94), "","X")</f>
        <v/>
      </c>
      <c r="L17" s="31" t="str">
        <f>IF(ISBLANK('Base 2-Yr (US)'!$R101), "","X")</f>
        <v/>
      </c>
      <c r="M17" s="31" t="str">
        <f>IF(ISBLANK('Base 2-Yr (US)'!$R108), "","X")</f>
        <v/>
      </c>
      <c r="N17" s="43" t="str">
        <f>IF(ISBLANK('Base 2-Yr (US)'!$R115), "","X")</f>
        <v/>
      </c>
      <c r="O17" s="42" t="str">
        <f>IF(ISBLANK('Base 2-Yr (US)'!$R122), "","X")</f>
        <v>X</v>
      </c>
      <c r="P17" s="31" t="str">
        <f>IF(ISBLANK('Base 2-Yr (US)'!$R129), "","X")</f>
        <v/>
      </c>
      <c r="Q17" s="31" t="str">
        <f>IF(ISBLANK('Base 2-Yr (US)'!$R136), "","X")</f>
        <v/>
      </c>
      <c r="R17" s="43" t="str">
        <f>IF(ISBLANK('Base 2-Yr (US)'!$R143), "","X")</f>
        <v>X</v>
      </c>
      <c r="S17" s="42" t="str">
        <f>IF(ISBLANK('Base 2-Yr (US)'!$R150), "","X")</f>
        <v>X</v>
      </c>
      <c r="T17" s="31" t="str">
        <f>IF(ISBLANK('Base 2-Yr (US)'!$R162), "","X")</f>
        <v/>
      </c>
      <c r="U17" s="31" t="str">
        <f>IF(ISBLANK('Base 2-Yr (US)'!$R174), "","X")</f>
        <v/>
      </c>
      <c r="V17" s="43" t="str">
        <f>IF(ISBLANK('Base 2-Yr (US)'!$R186), "","X")</f>
        <v>X</v>
      </c>
      <c r="W17" s="24"/>
      <c r="X17" s="37" t="s">
        <v>591</v>
      </c>
      <c r="Y17" s="42" t="str">
        <f>IF(ISBLANK('Base 2-Yr (Non-US)'!$R2), "","X")</f>
        <v>X</v>
      </c>
      <c r="Z17" s="31" t="str">
        <f>IF(ISBLANK('Base 2-Yr (Non-US)'!$R18), "","X")</f>
        <v/>
      </c>
      <c r="AA17" s="31" t="str">
        <f>IF(ISBLANK('Base 2-Yr (Non-US)'!$R34), "","X")</f>
        <v/>
      </c>
      <c r="AB17" s="43" t="str">
        <f>IF(ISBLANK('Base 2-Yr (Non-US)'!$R50), "","X")</f>
        <v>X</v>
      </c>
      <c r="AC17" s="42" t="str">
        <f>IF(ISBLANK('Base 2-Yr (Non-US)'!$R66), "","X")</f>
        <v>X</v>
      </c>
      <c r="AD17" s="31" t="str">
        <f>IF(ISBLANK('Base 2-Yr (Non-US)'!$R73), "","X")</f>
        <v/>
      </c>
      <c r="AE17" s="31" t="str">
        <f>IF(ISBLANK('Base 2-Yr (Non-US)'!$R80), "","X")</f>
        <v/>
      </c>
      <c r="AF17" s="43" t="str">
        <f>IF(ISBLANK('Base 2-Yr (Non-US)'!$R87), "","X")</f>
        <v>X</v>
      </c>
      <c r="AG17" s="42" t="str">
        <f>IF(ISBLANK('Base 2-Yr (Non-US)'!$R94), "","X")</f>
        <v/>
      </c>
      <c r="AH17" s="31" t="str">
        <f>IF(ISBLANK('Base 2-Yr (Non-US)'!$R101), "","X")</f>
        <v/>
      </c>
      <c r="AI17" s="31" t="str">
        <f>IF(ISBLANK('Base 2-Yr (Non-US)'!$R108), "","X")</f>
        <v/>
      </c>
      <c r="AJ17" s="43" t="str">
        <f>IF(ISBLANK('Base 2-Yr (Non-US)'!$R115), "","X")</f>
        <v/>
      </c>
      <c r="AK17" s="42" t="str">
        <f>IF(ISBLANK('Base 2-Yr (Non-US)'!$R122), "","X")</f>
        <v>X</v>
      </c>
      <c r="AL17" s="31" t="str">
        <f>IF(ISBLANK('Base 2-Yr (Non-US)'!$R129), "","X")</f>
        <v/>
      </c>
      <c r="AM17" s="31" t="str">
        <f>IF(ISBLANK('Base 2-Yr (Non-US)'!$R136), "","X")</f>
        <v/>
      </c>
      <c r="AN17" s="43" t="str">
        <f>IF(ISBLANK('Base 2-Yr (Non-US)'!$R143), "","X")</f>
        <v>X</v>
      </c>
      <c r="AO17" s="42" t="str">
        <f>IF(ISBLANK('Base 2-Yr (Non-US)'!$R150), "","X")</f>
        <v>X</v>
      </c>
      <c r="AP17" s="31" t="str">
        <f>IF(ISBLANK('Base 2-Yr (Non-US)'!$R162), "","X")</f>
        <v/>
      </c>
      <c r="AQ17" s="31" t="str">
        <f>IF(ISBLANK('Base 2-Yr (Non-US)'!$R174), "","X")</f>
        <v/>
      </c>
      <c r="AR17" s="43" t="str">
        <f>IF(ISBLANK('Base 2-Yr (Non-US)'!$R186), "","X")</f>
        <v>X</v>
      </c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</row>
    <row r="18" spans="1:57" s="19" customFormat="1">
      <c r="A18" s="62" t="s">
        <v>592</v>
      </c>
      <c r="B18" s="63"/>
      <c r="C18" s="42" t="str">
        <f>IF(ISBLANK('Base 2-Yr (US)'!$S2), "","X")</f>
        <v>X</v>
      </c>
      <c r="D18" s="31" t="str">
        <f>IF(ISBLANK('Base 2-Yr (US)'!$S18), "","X")</f>
        <v/>
      </c>
      <c r="E18" s="31" t="str">
        <f>IF(ISBLANK('Base 2-Yr (US)'!$S34), "","X")</f>
        <v/>
      </c>
      <c r="F18" s="43" t="str">
        <f>IF(ISBLANK('Base 2-Yr (US)'!$S50), "","X")</f>
        <v>X</v>
      </c>
      <c r="G18" s="42" t="str">
        <f>IF(ISBLANK('Base 2-Yr (US)'!$S66), "","X")</f>
        <v>X</v>
      </c>
      <c r="H18" s="31" t="str">
        <f>IF(ISBLANK('Base 2-Yr (US)'!$S73), "","X")</f>
        <v/>
      </c>
      <c r="I18" s="31" t="str">
        <f>IF(ISBLANK('Base 2-Yr (US)'!$S80), "","X")</f>
        <v/>
      </c>
      <c r="J18" s="43" t="str">
        <f>IF(ISBLANK('Base 2-Yr (US)'!$S87), "","X")</f>
        <v>X</v>
      </c>
      <c r="K18" s="42" t="str">
        <f>IF(ISBLANK('Base 2-Yr (US)'!$S94), "","X")</f>
        <v/>
      </c>
      <c r="L18" s="31" t="str">
        <f>IF(ISBLANK('Base 2-Yr (US)'!$S101), "","X")</f>
        <v/>
      </c>
      <c r="M18" s="31" t="str">
        <f>IF(ISBLANK('Base 2-Yr (US)'!$S108), "","X")</f>
        <v/>
      </c>
      <c r="N18" s="43" t="str">
        <f>IF(ISBLANK('Base 2-Yr (US)'!$S115), "","X")</f>
        <v/>
      </c>
      <c r="O18" s="42" t="str">
        <f>IF(ISBLANK('Base 2-Yr (US)'!$S122), "","X")</f>
        <v>X</v>
      </c>
      <c r="P18" s="31" t="str">
        <f>IF(ISBLANK('Base 2-Yr (US)'!$S129), "","X")</f>
        <v/>
      </c>
      <c r="Q18" s="31" t="str">
        <f>IF(ISBLANK('Base 2-Yr (US)'!$S136), "","X")</f>
        <v/>
      </c>
      <c r="R18" s="43" t="str">
        <f>IF(ISBLANK('Base 2-Yr (US)'!$S143), "","X")</f>
        <v>X</v>
      </c>
      <c r="S18" s="42" t="str">
        <f>IF(ISBLANK('Base 2-Yr (US)'!$S150), "","X")</f>
        <v>X</v>
      </c>
      <c r="T18" s="31" t="str">
        <f>IF(ISBLANK('Base 2-Yr (US)'!$S162), "","X")</f>
        <v/>
      </c>
      <c r="U18" s="31" t="str">
        <f>IF(ISBLANK('Base 2-Yr (US)'!$S174), "","X")</f>
        <v/>
      </c>
      <c r="V18" s="43" t="str">
        <f>IF(ISBLANK('Base 2-Yr (US)'!$S186), "","X")</f>
        <v>X</v>
      </c>
      <c r="W18" s="24"/>
      <c r="X18" s="37" t="s">
        <v>592</v>
      </c>
      <c r="Y18" s="42" t="str">
        <f>IF(ISBLANK('Base 2-Yr (Non-US)'!$S2), "","X")</f>
        <v>X</v>
      </c>
      <c r="Z18" s="31" t="str">
        <f>IF(ISBLANK('Base 2-Yr (Non-US)'!$S18), "","X")</f>
        <v/>
      </c>
      <c r="AA18" s="31" t="str">
        <f>IF(ISBLANK('Base 2-Yr (Non-US)'!$S34), "","X")</f>
        <v/>
      </c>
      <c r="AB18" s="43" t="str">
        <f>IF(ISBLANK('Base 2-Yr (Non-US)'!$S50), "","X")</f>
        <v>X</v>
      </c>
      <c r="AC18" s="42" t="str">
        <f>IF(ISBLANK('Base 2-Yr (Non-US)'!$S66), "","X")</f>
        <v>X</v>
      </c>
      <c r="AD18" s="31" t="str">
        <f>IF(ISBLANK('Base 2-Yr (Non-US)'!$S73), "","X")</f>
        <v/>
      </c>
      <c r="AE18" s="31" t="str">
        <f>IF(ISBLANK('Base 2-Yr (Non-US)'!$S80), "","X")</f>
        <v/>
      </c>
      <c r="AF18" s="43" t="str">
        <f>IF(ISBLANK('Base 2-Yr (Non-US)'!$S87), "","X")</f>
        <v>X</v>
      </c>
      <c r="AG18" s="42" t="str">
        <f>IF(ISBLANK('Base 2-Yr (Non-US)'!$S94), "","X")</f>
        <v/>
      </c>
      <c r="AH18" s="31" t="str">
        <f>IF(ISBLANK('Base 2-Yr (Non-US)'!$S101), "","X")</f>
        <v/>
      </c>
      <c r="AI18" s="31" t="str">
        <f>IF(ISBLANK('Base 2-Yr (Non-US)'!$S108), "","X")</f>
        <v/>
      </c>
      <c r="AJ18" s="43" t="str">
        <f>IF(ISBLANK('Base 2-Yr (Non-US)'!$S115), "","X")</f>
        <v/>
      </c>
      <c r="AK18" s="42" t="str">
        <f>IF(ISBLANK('Base 2-Yr (Non-US)'!$S122), "","X")</f>
        <v>X</v>
      </c>
      <c r="AL18" s="31" t="str">
        <f>IF(ISBLANK('Base 2-Yr (Non-US)'!$S129), "","X")</f>
        <v/>
      </c>
      <c r="AM18" s="31" t="str">
        <f>IF(ISBLANK('Base 2-Yr (Non-US)'!$S136), "","X")</f>
        <v/>
      </c>
      <c r="AN18" s="43" t="str">
        <f>IF(ISBLANK('Base 2-Yr (Non-US)'!$S143), "","X")</f>
        <v>X</v>
      </c>
      <c r="AO18" s="42" t="str">
        <f>IF(ISBLANK('Base 2-Yr (Non-US)'!$S150), "","X")</f>
        <v>X</v>
      </c>
      <c r="AP18" s="31" t="str">
        <f>IF(ISBLANK('Base 2-Yr (Non-US)'!$S162), "","X")</f>
        <v/>
      </c>
      <c r="AQ18" s="31" t="str">
        <f>IF(ISBLANK('Base 2-Yr (Non-US)'!$S174), "","X")</f>
        <v/>
      </c>
      <c r="AR18" s="43" t="str">
        <f>IF(ISBLANK('Base 2-Yr (Non-US)'!$S186), "","X")</f>
        <v>X</v>
      </c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</row>
    <row r="19" spans="1:57" s="19" customFormat="1">
      <c r="A19" s="62" t="s">
        <v>593</v>
      </c>
      <c r="B19" s="63"/>
      <c r="C19" s="42" t="str">
        <f>IF(ISBLANK('Base 2-Yr (US)'!$T2), "","X")</f>
        <v>X</v>
      </c>
      <c r="D19" s="31" t="str">
        <f>IF(ISBLANK('Base 2-Yr (US)'!$T18), "","X")</f>
        <v>X</v>
      </c>
      <c r="E19" s="31" t="str">
        <f>IF(ISBLANK('Base 2-Yr (US)'!$T34), "","X")</f>
        <v>X</v>
      </c>
      <c r="F19" s="43" t="str">
        <f>IF(ISBLANK('Base 2-Yr (US)'!$T50), "","X")</f>
        <v/>
      </c>
      <c r="G19" s="42" t="str">
        <f>IF(ISBLANK('Base 2-Yr (US)'!$T66), "","X")</f>
        <v>X</v>
      </c>
      <c r="H19" s="31" t="str">
        <f>IF(ISBLANK('Base 2-Yr (US)'!$T73), "","X")</f>
        <v>X</v>
      </c>
      <c r="I19" s="31" t="str">
        <f>IF(ISBLANK('Base 2-Yr (US)'!$T80), "","X")</f>
        <v>X</v>
      </c>
      <c r="J19" s="43" t="str">
        <f>IF(ISBLANK('Base 2-Yr (US)'!$T87), "","X")</f>
        <v/>
      </c>
      <c r="K19" s="42" t="str">
        <f>IF(ISBLANK('Base 2-Yr (US)'!$T94), "","X")</f>
        <v/>
      </c>
      <c r="L19" s="31" t="str">
        <f>IF(ISBLANK('Base 2-Yr (US)'!$T101), "","X")</f>
        <v/>
      </c>
      <c r="M19" s="31" t="str">
        <f>IF(ISBLANK('Base 2-Yr (US)'!$T108), "","X")</f>
        <v/>
      </c>
      <c r="N19" s="43" t="str">
        <f>IF(ISBLANK('Base 2-Yr (US)'!$T115), "","X")</f>
        <v/>
      </c>
      <c r="O19" s="42" t="str">
        <f>IF(ISBLANK('Base 2-Yr (US)'!$T122), "","X")</f>
        <v>X</v>
      </c>
      <c r="P19" s="31" t="str">
        <f>IF(ISBLANK('Base 2-Yr (US)'!$T129), "","X")</f>
        <v>X</v>
      </c>
      <c r="Q19" s="31" t="str">
        <f>IF(ISBLANK('Base 2-Yr (US)'!$T136), "","X")</f>
        <v>X</v>
      </c>
      <c r="R19" s="43" t="str">
        <f>IF(ISBLANK('Base 2-Yr (US)'!$T143), "","X")</f>
        <v/>
      </c>
      <c r="S19" s="42" t="str">
        <f>IF(ISBLANK('Base 2-Yr (US)'!$T150), "","X")</f>
        <v>X</v>
      </c>
      <c r="T19" s="31" t="str">
        <f>IF(ISBLANK('Base 2-Yr (US)'!$T162), "","X")</f>
        <v>X</v>
      </c>
      <c r="U19" s="31" t="str">
        <f>IF(ISBLANK('Base 2-Yr (US)'!$T174), "","X")</f>
        <v>X</v>
      </c>
      <c r="V19" s="43" t="str">
        <f>IF(ISBLANK('Base 2-Yr (US)'!$T186), "","X")</f>
        <v/>
      </c>
      <c r="W19" s="24"/>
      <c r="X19" s="37" t="s">
        <v>593</v>
      </c>
      <c r="Y19" s="42" t="str">
        <f>IF(ISBLANK('Base 2-Yr (Non-US)'!$T2), "","X")</f>
        <v/>
      </c>
      <c r="Z19" s="31" t="str">
        <f>IF(ISBLANK('Base 2-Yr (Non-US)'!$T18), "","X")</f>
        <v/>
      </c>
      <c r="AA19" s="31" t="str">
        <f>IF(ISBLANK('Base 2-Yr (Non-US)'!$T34), "","X")</f>
        <v/>
      </c>
      <c r="AB19" s="43" t="str">
        <f>IF(ISBLANK('Base 2-Yr (Non-US)'!$T50), "","X")</f>
        <v/>
      </c>
      <c r="AC19" s="42" t="str">
        <f>IF(ISBLANK('Base 2-Yr (Non-US)'!$T66), "","X")</f>
        <v/>
      </c>
      <c r="AD19" s="31" t="str">
        <f>IF(ISBLANK('Base 2-Yr (Non-US)'!$T73), "","X")</f>
        <v/>
      </c>
      <c r="AE19" s="31" t="str">
        <f>IF(ISBLANK('Base 2-Yr (Non-US)'!$T80), "","X")</f>
        <v/>
      </c>
      <c r="AF19" s="43" t="str">
        <f>IF(ISBLANK('Base 2-Yr (Non-US)'!$T87), "","X")</f>
        <v/>
      </c>
      <c r="AG19" s="42" t="str">
        <f>IF(ISBLANK('Base 2-Yr (Non-US)'!$T94), "","X")</f>
        <v/>
      </c>
      <c r="AH19" s="31" t="str">
        <f>IF(ISBLANK('Base 2-Yr (Non-US)'!$T101), "","X")</f>
        <v/>
      </c>
      <c r="AI19" s="31" t="str">
        <f>IF(ISBLANK('Base 2-Yr (Non-US)'!$T108), "","X")</f>
        <v/>
      </c>
      <c r="AJ19" s="43" t="str">
        <f>IF(ISBLANK('Base 2-Yr (Non-US)'!$T115), "","X")</f>
        <v/>
      </c>
      <c r="AK19" s="42" t="str">
        <f>IF(ISBLANK('Base 2-Yr (Non-US)'!$T122), "","X")</f>
        <v/>
      </c>
      <c r="AL19" s="31" t="str">
        <f>IF(ISBLANK('Base 2-Yr (Non-US)'!$T129), "","X")</f>
        <v/>
      </c>
      <c r="AM19" s="31" t="str">
        <f>IF(ISBLANK('Base 2-Yr (Non-US)'!$T136), "","X")</f>
        <v/>
      </c>
      <c r="AN19" s="43" t="str">
        <f>IF(ISBLANK('Base 2-Yr (Non-US)'!$T143), "","X")</f>
        <v/>
      </c>
      <c r="AO19" s="42" t="str">
        <f>IF(ISBLANK('Base 2-Yr (Non-US)'!$T150), "","X")</f>
        <v/>
      </c>
      <c r="AP19" s="31" t="str">
        <f>IF(ISBLANK('Base 2-Yr (Non-US)'!$T162), "","X")</f>
        <v/>
      </c>
      <c r="AQ19" s="31" t="str">
        <f>IF(ISBLANK('Base 2-Yr (Non-US)'!$T174), "","X")</f>
        <v/>
      </c>
      <c r="AR19" s="43" t="str">
        <f>IF(ISBLANK('Base 2-Yr (Non-US)'!$T186), "","X")</f>
        <v/>
      </c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</row>
    <row r="20" spans="1:57" s="19" customFormat="1">
      <c r="A20" s="62" t="s">
        <v>594</v>
      </c>
      <c r="B20" s="63"/>
      <c r="C20" s="42" t="str">
        <f>IF(ISBLANK('Base 2-Yr (US)'!$U2), "","X")</f>
        <v>X</v>
      </c>
      <c r="D20" s="31" t="str">
        <f>IF(ISBLANK('Base 2-Yr (US)'!$U18), "","X")</f>
        <v/>
      </c>
      <c r="E20" s="31" t="str">
        <f>IF(ISBLANK('Base 2-Yr (US)'!$U34), "","X")</f>
        <v/>
      </c>
      <c r="F20" s="43" t="str">
        <f>IF(ISBLANK('Base 2-Yr (US)'!$U50), "","X")</f>
        <v/>
      </c>
      <c r="G20" s="42" t="str">
        <f>IF(ISBLANK('Base 2-Yr (US)'!$U66), "","X")</f>
        <v>X</v>
      </c>
      <c r="H20" s="31" t="str">
        <f>IF(ISBLANK('Base 2-Yr (US)'!$U73), "","X")</f>
        <v/>
      </c>
      <c r="I20" s="31" t="str">
        <f>IF(ISBLANK('Base 2-Yr (US)'!$U80), "","X")</f>
        <v/>
      </c>
      <c r="J20" s="43" t="str">
        <f>IF(ISBLANK('Base 2-Yr (US)'!$U87), "","X")</f>
        <v/>
      </c>
      <c r="K20" s="42" t="str">
        <f>IF(ISBLANK('Base 2-Yr (US)'!$U94), "","X")</f>
        <v/>
      </c>
      <c r="L20" s="31" t="str">
        <f>IF(ISBLANK('Base 2-Yr (US)'!$U101), "","X")</f>
        <v/>
      </c>
      <c r="M20" s="31" t="str">
        <f>IF(ISBLANK('Base 2-Yr (US)'!$U108), "","X")</f>
        <v/>
      </c>
      <c r="N20" s="43" t="str">
        <f>IF(ISBLANK('Base 2-Yr (US)'!$U115), "","X")</f>
        <v/>
      </c>
      <c r="O20" s="42" t="str">
        <f>IF(ISBLANK('Base 2-Yr (US)'!$U122), "","X")</f>
        <v>X</v>
      </c>
      <c r="P20" s="31" t="str">
        <f>IF(ISBLANK('Base 2-Yr (US)'!$U129), "","X")</f>
        <v/>
      </c>
      <c r="Q20" s="31" t="str">
        <f>IF(ISBLANK('Base 2-Yr (US)'!$U136), "","X")</f>
        <v/>
      </c>
      <c r="R20" s="43" t="str">
        <f>IF(ISBLANK('Base 2-Yr (US)'!$U143), "","X")</f>
        <v/>
      </c>
      <c r="S20" s="42" t="str">
        <f>IF(ISBLANK('Base 2-Yr (US)'!$U150), "","X")</f>
        <v>X</v>
      </c>
      <c r="T20" s="31" t="str">
        <f>IF(ISBLANK('Base 2-Yr (US)'!$U162), "","X")</f>
        <v/>
      </c>
      <c r="U20" s="31" t="str">
        <f>IF(ISBLANK('Base 2-Yr (US)'!$U174), "","X")</f>
        <v/>
      </c>
      <c r="V20" s="43" t="str">
        <f>IF(ISBLANK('Base 2-Yr (US)'!$U186), "","X")</f>
        <v/>
      </c>
      <c r="W20" s="24"/>
      <c r="X20" s="37" t="s">
        <v>594</v>
      </c>
      <c r="Y20" s="42" t="str">
        <f>IF(ISBLANK('Base 2-Yr (Non-US)'!$U2), "","X")</f>
        <v/>
      </c>
      <c r="Z20" s="31" t="str">
        <f>IF(ISBLANK('Base 2-Yr (Non-US)'!$U18), "","X")</f>
        <v/>
      </c>
      <c r="AA20" s="31" t="str">
        <f>IF(ISBLANK('Base 2-Yr (Non-US)'!$U34), "","X")</f>
        <v/>
      </c>
      <c r="AB20" s="43" t="str">
        <f>IF(ISBLANK('Base 2-Yr (Non-US)'!$U50), "","X")</f>
        <v/>
      </c>
      <c r="AC20" s="42" t="str">
        <f>IF(ISBLANK('Base 2-Yr (Non-US)'!$U66), "","X")</f>
        <v/>
      </c>
      <c r="AD20" s="31" t="str">
        <f>IF(ISBLANK('Base 2-Yr (Non-US)'!$U73), "","X")</f>
        <v/>
      </c>
      <c r="AE20" s="31" t="str">
        <f>IF(ISBLANK('Base 2-Yr (Non-US)'!$U80), "","X")</f>
        <v/>
      </c>
      <c r="AF20" s="43" t="str">
        <f>IF(ISBLANK('Base 2-Yr (Non-US)'!$U87), "","X")</f>
        <v/>
      </c>
      <c r="AG20" s="42" t="str">
        <f>IF(ISBLANK('Base 2-Yr (Non-US)'!$U94), "","X")</f>
        <v/>
      </c>
      <c r="AH20" s="31" t="str">
        <f>IF(ISBLANK('Base 2-Yr (Non-US)'!$U101), "","X")</f>
        <v/>
      </c>
      <c r="AI20" s="31" t="str">
        <f>IF(ISBLANK('Base 2-Yr (Non-US)'!$U108), "","X")</f>
        <v/>
      </c>
      <c r="AJ20" s="43" t="str">
        <f>IF(ISBLANK('Base 2-Yr (Non-US)'!$U115), "","X")</f>
        <v/>
      </c>
      <c r="AK20" s="42" t="str">
        <f>IF(ISBLANK('Base 2-Yr (Non-US)'!$U122), "","X")</f>
        <v/>
      </c>
      <c r="AL20" s="31" t="str">
        <f>IF(ISBLANK('Base 2-Yr (Non-US)'!$U129), "","X")</f>
        <v/>
      </c>
      <c r="AM20" s="31" t="str">
        <f>IF(ISBLANK('Base 2-Yr (Non-US)'!$U136), "","X")</f>
        <v/>
      </c>
      <c r="AN20" s="43" t="str">
        <f>IF(ISBLANK('Base 2-Yr (Non-US)'!$U143), "","X")</f>
        <v/>
      </c>
      <c r="AO20" s="42" t="str">
        <f>IF(ISBLANK('Base 2-Yr (Non-US)'!$U150), "","X")</f>
        <v/>
      </c>
      <c r="AP20" s="31" t="str">
        <f>IF(ISBLANK('Base 2-Yr (Non-US)'!$U162), "","X")</f>
        <v/>
      </c>
      <c r="AQ20" s="31" t="str">
        <f>IF(ISBLANK('Base 2-Yr (Non-US)'!$U174), "","X")</f>
        <v/>
      </c>
      <c r="AR20" s="43" t="str">
        <f>IF(ISBLANK('Base 2-Yr (Non-US)'!$U186), "","X")</f>
        <v/>
      </c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</row>
    <row r="21" spans="1:57" s="19" customFormat="1" ht="12.75" customHeight="1">
      <c r="A21" s="62" t="s">
        <v>595</v>
      </c>
      <c r="B21" s="63"/>
      <c r="C21" s="42" t="str">
        <f>IF(ISBLANK('Base 2-Yr (US)'!$V2), "","X")</f>
        <v/>
      </c>
      <c r="D21" s="31" t="str">
        <f>IF(ISBLANK('Base 2-Yr (US)'!$V18), "","X")</f>
        <v>X</v>
      </c>
      <c r="E21" s="31" t="str">
        <f>IF(ISBLANK('Base 2-Yr (US)'!$V34), "","X")</f>
        <v/>
      </c>
      <c r="F21" s="43" t="str">
        <f>IF(ISBLANK('Base 2-Yr (US)'!$V50), "","X")</f>
        <v/>
      </c>
      <c r="G21" s="42" t="str">
        <f>IF(ISBLANK('Base 2-Yr (US)'!$V66), "","X")</f>
        <v/>
      </c>
      <c r="H21" s="31" t="str">
        <f>IF(ISBLANK('Base 2-Yr (US)'!$V73), "","X")</f>
        <v>X</v>
      </c>
      <c r="I21" s="31" t="str">
        <f>IF(ISBLANK('Base 2-Yr (US)'!$V80), "","X")</f>
        <v/>
      </c>
      <c r="J21" s="43" t="str">
        <f>IF(ISBLANK('Base 2-Yr (US)'!$V87), "","X")</f>
        <v/>
      </c>
      <c r="K21" s="42" t="str">
        <f>IF(ISBLANK('Base 2-Yr (US)'!$V94), "","X")</f>
        <v/>
      </c>
      <c r="L21" s="31" t="str">
        <f>IF(ISBLANK('Base 2-Yr (US)'!$V101), "","X")</f>
        <v/>
      </c>
      <c r="M21" s="31" t="str">
        <f>IF(ISBLANK('Base 2-Yr (US)'!$V108), "","X")</f>
        <v/>
      </c>
      <c r="N21" s="43" t="str">
        <f>IF(ISBLANK('Base 2-Yr (US)'!$V115), "","X")</f>
        <v/>
      </c>
      <c r="O21" s="42" t="str">
        <f>IF(ISBLANK('Base 2-Yr (US)'!$V122), "","X")</f>
        <v/>
      </c>
      <c r="P21" s="31" t="str">
        <f>IF(ISBLANK('Base 2-Yr (US)'!$V129), "","X")</f>
        <v>X</v>
      </c>
      <c r="Q21" s="31" t="str">
        <f>IF(ISBLANK('Base 2-Yr (US)'!$V136), "","X")</f>
        <v/>
      </c>
      <c r="R21" s="43" t="str">
        <f>IF(ISBLANK('Base 2-Yr (US)'!$V143), "","X")</f>
        <v/>
      </c>
      <c r="S21" s="42" t="str">
        <f>IF(ISBLANK('Base 2-Yr (US)'!$V150), "","X")</f>
        <v/>
      </c>
      <c r="T21" s="31" t="str">
        <f>IF(ISBLANK('Base 2-Yr (US)'!$V162), "","X")</f>
        <v>X</v>
      </c>
      <c r="U21" s="31" t="str">
        <f>IF(ISBLANK('Base 2-Yr (US)'!$V174), "","X")</f>
        <v/>
      </c>
      <c r="V21" s="43" t="str">
        <f>IF(ISBLANK('Base 2-Yr (US)'!$V186), "","X")</f>
        <v/>
      </c>
      <c r="W21" s="24"/>
      <c r="X21" s="37" t="s">
        <v>595</v>
      </c>
      <c r="Y21" s="42" t="str">
        <f>IF(ISBLANK('Base 2-Yr (Non-US)'!$V2), "","X")</f>
        <v>X</v>
      </c>
      <c r="Z21" s="31" t="str">
        <f>IF(ISBLANK('Base 2-Yr (Non-US)'!$V18), "","X")</f>
        <v/>
      </c>
      <c r="AA21" s="31" t="str">
        <f>IF(ISBLANK('Base 2-Yr (Non-US)'!$V34), "","X")</f>
        <v/>
      </c>
      <c r="AB21" s="43" t="str">
        <f>IF(ISBLANK('Base 2-Yr (Non-US)'!$V50), "","X")</f>
        <v>X</v>
      </c>
      <c r="AC21" s="42" t="str">
        <f>IF(ISBLANK('Base 2-Yr (Non-US)'!$V66), "","X")</f>
        <v/>
      </c>
      <c r="AD21" s="31" t="str">
        <f>IF(ISBLANK('Base 2-Yr (Non-US)'!$V73), "","X")</f>
        <v/>
      </c>
      <c r="AE21" s="31" t="str">
        <f>IF(ISBLANK('Base 2-Yr (Non-US)'!$V80), "","X")</f>
        <v/>
      </c>
      <c r="AF21" s="43" t="str">
        <f>IF(ISBLANK('Base 2-Yr (Non-US)'!$V87), "","X")</f>
        <v>X</v>
      </c>
      <c r="AG21" s="42" t="str">
        <f>IF(ISBLANK('Base 2-Yr (Non-US)'!$V94), "","X")</f>
        <v/>
      </c>
      <c r="AH21" s="31" t="str">
        <f>IF(ISBLANK('Base 2-Yr (Non-US)'!$V101), "","X")</f>
        <v/>
      </c>
      <c r="AI21" s="31" t="str">
        <f>IF(ISBLANK('Base 2-Yr (Non-US)'!$V108), "","X")</f>
        <v/>
      </c>
      <c r="AJ21" s="43" t="str">
        <f>IF(ISBLANK('Base 2-Yr (Non-US)'!$V115), "","X")</f>
        <v/>
      </c>
      <c r="AK21" s="42" t="str">
        <f>IF(ISBLANK('Base 2-Yr (Non-US)'!$V122), "","X")</f>
        <v>X</v>
      </c>
      <c r="AL21" s="31" t="str">
        <f>IF(ISBLANK('Base 2-Yr (Non-US)'!$V129), "","X")</f>
        <v/>
      </c>
      <c r="AM21" s="31" t="str">
        <f>IF(ISBLANK('Base 2-Yr (Non-US)'!$V136), "","X")</f>
        <v/>
      </c>
      <c r="AN21" s="43" t="str">
        <f>IF(ISBLANK('Base 2-Yr (Non-US)'!$V143), "","X")</f>
        <v>X</v>
      </c>
      <c r="AO21" s="42" t="str">
        <f>IF(ISBLANK('Base 2-Yr (Non-US)'!$V150), "","X")</f>
        <v>X</v>
      </c>
      <c r="AP21" s="31" t="str">
        <f>IF(ISBLANK('Base 2-Yr (Non-US)'!$V162), "","X")</f>
        <v/>
      </c>
      <c r="AQ21" s="31" t="str">
        <f>IF(ISBLANK('Base 2-Yr (Non-US)'!$V174), "","X")</f>
        <v/>
      </c>
      <c r="AR21" s="43" t="str">
        <f>IF(ISBLANK('Base 2-Yr (Non-US)'!$V186), "","X")</f>
        <v>X</v>
      </c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</row>
    <row r="22" spans="1:57" s="19" customFormat="1">
      <c r="A22" s="62" t="s">
        <v>596</v>
      </c>
      <c r="B22" s="63"/>
      <c r="C22" s="42" t="str">
        <f>IF(ISBLANK('Base 2-Yr (US)'!$W2), "","X")</f>
        <v>X</v>
      </c>
      <c r="D22" s="31" t="str">
        <f>IF(ISBLANK('Base 2-Yr (US)'!$W18), "","X")</f>
        <v/>
      </c>
      <c r="E22" s="31" t="str">
        <f>IF(ISBLANK('Base 2-Yr (US)'!$W34), "","X")</f>
        <v/>
      </c>
      <c r="F22" s="43" t="str">
        <f>IF(ISBLANK('Base 2-Yr (US)'!$W50), "","X")</f>
        <v/>
      </c>
      <c r="G22" s="42" t="str">
        <f>IF(ISBLANK('Base 2-Yr (US)'!$W66), "","X")</f>
        <v/>
      </c>
      <c r="H22" s="31" t="str">
        <f>IF(ISBLANK('Base 2-Yr (US)'!$W73), "","X")</f>
        <v/>
      </c>
      <c r="I22" s="31" t="str">
        <f>IF(ISBLANK('Base 2-Yr (US)'!$W80), "","X")</f>
        <v/>
      </c>
      <c r="J22" s="43" t="str">
        <f>IF(ISBLANK('Base 2-Yr (US)'!$W87), "","X")</f>
        <v/>
      </c>
      <c r="K22" s="42" t="str">
        <f>IF(ISBLANK('Base 2-Yr (US)'!$W94), "","X")</f>
        <v/>
      </c>
      <c r="L22" s="31" t="str">
        <f>IF(ISBLANK('Base 2-Yr (US)'!$W101), "","X")</f>
        <v/>
      </c>
      <c r="M22" s="31" t="str">
        <f>IF(ISBLANK('Base 2-Yr (US)'!$W108), "","X")</f>
        <v/>
      </c>
      <c r="N22" s="43" t="str">
        <f>IF(ISBLANK('Base 2-Yr (US)'!$W115), "","X")</f>
        <v/>
      </c>
      <c r="O22" s="42" t="str">
        <f>IF(ISBLANK('Base 2-Yr (US)'!$W122), "","X")</f>
        <v>X</v>
      </c>
      <c r="P22" s="31" t="str">
        <f>IF(ISBLANK('Base 2-Yr (US)'!$W129), "","X")</f>
        <v/>
      </c>
      <c r="Q22" s="31" t="str">
        <f>IF(ISBLANK('Base 2-Yr (US)'!$W136), "","X")</f>
        <v/>
      </c>
      <c r="R22" s="43" t="str">
        <f>IF(ISBLANK('Base 2-Yr (US)'!$W143), "","X")</f>
        <v/>
      </c>
      <c r="S22" s="42" t="str">
        <f>IF(ISBLANK('Base 2-Yr (US)'!$W150), "","X")</f>
        <v>X</v>
      </c>
      <c r="T22" s="31" t="str">
        <f>IF(ISBLANK('Base 2-Yr (US)'!$W162), "","X")</f>
        <v/>
      </c>
      <c r="U22" s="31" t="str">
        <f>IF(ISBLANK('Base 2-Yr (US)'!$W174), "","X")</f>
        <v/>
      </c>
      <c r="V22" s="43" t="str">
        <f>IF(ISBLANK('Base 2-Yr (US)'!$W186), "","X")</f>
        <v/>
      </c>
      <c r="W22" s="24"/>
      <c r="X22" s="37" t="s">
        <v>596</v>
      </c>
      <c r="Y22" s="42" t="str">
        <f>IF(ISBLANK('Base 2-Yr (Non-US)'!$W2), "","X")</f>
        <v/>
      </c>
      <c r="Z22" s="31" t="str">
        <f>IF(ISBLANK('Base 2-Yr (Non-US)'!$W18), "","X")</f>
        <v/>
      </c>
      <c r="AA22" s="31" t="str">
        <f>IF(ISBLANK('Base 2-Yr (Non-US)'!$W34), "","X")</f>
        <v/>
      </c>
      <c r="AB22" s="43" t="str">
        <f>IF(ISBLANK('Base 2-Yr (Non-US)'!$W50), "","X")</f>
        <v/>
      </c>
      <c r="AC22" s="42" t="str">
        <f>IF(ISBLANK('Base 2-Yr (Non-US)'!$W66), "","X")</f>
        <v/>
      </c>
      <c r="AD22" s="31" t="str">
        <f>IF(ISBLANK('Base 2-Yr (Non-US)'!$W73), "","X")</f>
        <v/>
      </c>
      <c r="AE22" s="31" t="str">
        <f>IF(ISBLANK('Base 2-Yr (Non-US)'!$W80), "","X")</f>
        <v/>
      </c>
      <c r="AF22" s="43" t="str">
        <f>IF(ISBLANK('Base 2-Yr (Non-US)'!$W87), "","X")</f>
        <v/>
      </c>
      <c r="AG22" s="42" t="str">
        <f>IF(ISBLANK('Base 2-Yr (Non-US)'!$W94), "","X")</f>
        <v/>
      </c>
      <c r="AH22" s="31" t="str">
        <f>IF(ISBLANK('Base 2-Yr (Non-US)'!$W101), "","X")</f>
        <v/>
      </c>
      <c r="AI22" s="31" t="str">
        <f>IF(ISBLANK('Base 2-Yr (Non-US)'!$W108), "","X")</f>
        <v/>
      </c>
      <c r="AJ22" s="43" t="str">
        <f>IF(ISBLANK('Base 2-Yr (Non-US)'!$W115), "","X")</f>
        <v/>
      </c>
      <c r="AK22" s="42" t="str">
        <f>IF(ISBLANK('Base 2-Yr (Non-US)'!$W122), "","X")</f>
        <v/>
      </c>
      <c r="AL22" s="31" t="str">
        <f>IF(ISBLANK('Base 2-Yr (Non-US)'!$W129), "","X")</f>
        <v/>
      </c>
      <c r="AM22" s="31" t="str">
        <f>IF(ISBLANK('Base 2-Yr (Non-US)'!$W136), "","X")</f>
        <v/>
      </c>
      <c r="AN22" s="43" t="str">
        <f>IF(ISBLANK('Base 2-Yr (Non-US)'!$W143), "","X")</f>
        <v/>
      </c>
      <c r="AO22" s="42" t="str">
        <f>IF(ISBLANK('Base 2-Yr (Non-US)'!$W150), "","X")</f>
        <v/>
      </c>
      <c r="AP22" s="31" t="str">
        <f>IF(ISBLANK('Base 2-Yr (Non-US)'!$W162), "","X")</f>
        <v/>
      </c>
      <c r="AQ22" s="31" t="str">
        <f>IF(ISBLANK('Base 2-Yr (Non-US)'!$W174), "","X")</f>
        <v/>
      </c>
      <c r="AR22" s="43" t="str">
        <f>IF(ISBLANK('Base 2-Yr (Non-US)'!$W186), "","X")</f>
        <v/>
      </c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</row>
    <row r="23" spans="1:57" s="19" customFormat="1">
      <c r="A23" s="62" t="s">
        <v>597</v>
      </c>
      <c r="B23" s="63"/>
      <c r="C23" s="42" t="str">
        <f>IF(ISBLANK('Base 2-Yr (US)'!$X2), "","X")</f>
        <v/>
      </c>
      <c r="D23" s="31" t="str">
        <f>IF(ISBLANK('Base 2-Yr (US)'!$X18), "","X")</f>
        <v>X</v>
      </c>
      <c r="E23" s="31" t="str">
        <f>IF(ISBLANK('Base 2-Yr (US)'!$X34), "","X")</f>
        <v/>
      </c>
      <c r="F23" s="43" t="str">
        <f>IF(ISBLANK('Base 2-Yr (US)'!$X50), "","X")</f>
        <v/>
      </c>
      <c r="G23" s="42" t="str">
        <f>IF(ISBLANK('Base 2-Yr (US)'!$X66), "","X")</f>
        <v/>
      </c>
      <c r="H23" s="31" t="str">
        <f>IF(ISBLANK('Base 2-Yr (US)'!$X73), "","X")</f>
        <v>X</v>
      </c>
      <c r="I23" s="31" t="str">
        <f>IF(ISBLANK('Base 2-Yr (US)'!$X80), "","X")</f>
        <v/>
      </c>
      <c r="J23" s="43" t="str">
        <f>IF(ISBLANK('Base 2-Yr (US)'!$X87), "","X")</f>
        <v/>
      </c>
      <c r="K23" s="42" t="str">
        <f>IF(ISBLANK('Base 2-Yr (US)'!$X94), "","X")</f>
        <v/>
      </c>
      <c r="L23" s="31" t="str">
        <f>IF(ISBLANK('Base 2-Yr (US)'!$X101), "","X")</f>
        <v/>
      </c>
      <c r="M23" s="31" t="str">
        <f>IF(ISBLANK('Base 2-Yr (US)'!$X108), "","X")</f>
        <v/>
      </c>
      <c r="N23" s="43" t="str">
        <f>IF(ISBLANK('Base 2-Yr (US)'!$X115), "","X")</f>
        <v/>
      </c>
      <c r="O23" s="42" t="str">
        <f>IF(ISBLANK('Base 2-Yr (US)'!$X122), "","X")</f>
        <v/>
      </c>
      <c r="P23" s="31" t="str">
        <f>IF(ISBLANK('Base 2-Yr (US)'!$X129), "","X")</f>
        <v>X</v>
      </c>
      <c r="Q23" s="31" t="str">
        <f>IF(ISBLANK('Base 2-Yr (US)'!$X136), "","X")</f>
        <v/>
      </c>
      <c r="R23" s="43" t="str">
        <f>IF(ISBLANK('Base 2-Yr (US)'!$X143), "","X")</f>
        <v/>
      </c>
      <c r="S23" s="42" t="str">
        <f>IF(ISBLANK('Base 2-Yr (US)'!$X150), "","X")</f>
        <v/>
      </c>
      <c r="T23" s="31" t="str">
        <f>IF(ISBLANK('Base 2-Yr (US)'!$X162), "","X")</f>
        <v>X</v>
      </c>
      <c r="U23" s="31" t="str">
        <f>IF(ISBLANK('Base 2-Yr (US)'!$X174), "","X")</f>
        <v/>
      </c>
      <c r="V23" s="43" t="str">
        <f>IF(ISBLANK('Base 2-Yr (US)'!$X186), "","X")</f>
        <v/>
      </c>
      <c r="W23" s="24"/>
      <c r="X23" s="37" t="s">
        <v>597</v>
      </c>
      <c r="Y23" s="42" t="str">
        <f>IF(ISBLANK('Base 2-Yr (Non-US)'!$X2), "","X")</f>
        <v/>
      </c>
      <c r="Z23" s="31" t="str">
        <f>IF(ISBLANK('Base 2-Yr (Non-US)'!$X18), "","X")</f>
        <v/>
      </c>
      <c r="AA23" s="31" t="str">
        <f>IF(ISBLANK('Base 2-Yr (Non-US)'!$X34), "","X")</f>
        <v/>
      </c>
      <c r="AB23" s="43" t="str">
        <f>IF(ISBLANK('Base 2-Yr (Non-US)'!$X50), "","X")</f>
        <v>X</v>
      </c>
      <c r="AC23" s="42" t="str">
        <f>IF(ISBLANK('Base 2-Yr (Non-US)'!$X66), "","X")</f>
        <v/>
      </c>
      <c r="AD23" s="31" t="str">
        <f>IF(ISBLANK('Base 2-Yr (Non-US)'!$X73), "","X")</f>
        <v/>
      </c>
      <c r="AE23" s="31" t="str">
        <f>IF(ISBLANK('Base 2-Yr (Non-US)'!$X80), "","X")</f>
        <v/>
      </c>
      <c r="AF23" s="43" t="str">
        <f>IF(ISBLANK('Base 2-Yr (Non-US)'!$X87), "","X")</f>
        <v>X</v>
      </c>
      <c r="AG23" s="42" t="str">
        <f>IF(ISBLANK('Base 2-Yr (Non-US)'!$X94), "","X")</f>
        <v/>
      </c>
      <c r="AH23" s="31" t="str">
        <f>IF(ISBLANK('Base 2-Yr (Non-US)'!$X101), "","X")</f>
        <v/>
      </c>
      <c r="AI23" s="31" t="str">
        <f>IF(ISBLANK('Base 2-Yr (Non-US)'!$X108), "","X")</f>
        <v/>
      </c>
      <c r="AJ23" s="43" t="str">
        <f>IF(ISBLANK('Base 2-Yr (Non-US)'!$X115), "","X")</f>
        <v/>
      </c>
      <c r="AK23" s="42" t="str">
        <f>IF(ISBLANK('Base 2-Yr (Non-US)'!$X122), "","X")</f>
        <v/>
      </c>
      <c r="AL23" s="31" t="str">
        <f>IF(ISBLANK('Base 2-Yr (Non-US)'!$X129), "","X")</f>
        <v/>
      </c>
      <c r="AM23" s="31" t="str">
        <f>IF(ISBLANK('Base 2-Yr (Non-US)'!$X136), "","X")</f>
        <v/>
      </c>
      <c r="AN23" s="43" t="str">
        <f>IF(ISBLANK('Base 2-Yr (Non-US)'!$X143), "","X")</f>
        <v>X</v>
      </c>
      <c r="AO23" s="42" t="str">
        <f>IF(ISBLANK('Base 2-Yr (Non-US)'!$X150), "","X")</f>
        <v/>
      </c>
      <c r="AP23" s="31" t="str">
        <f>IF(ISBLANK('Base 2-Yr (Non-US)'!$X162), "","X")</f>
        <v/>
      </c>
      <c r="AQ23" s="31" t="str">
        <f>IF(ISBLANK('Base 2-Yr (Non-US)'!$X174), "","X")</f>
        <v/>
      </c>
      <c r="AR23" s="43" t="str">
        <f>IF(ISBLANK('Base 2-Yr (Non-US)'!$X186), "","X")</f>
        <v>X</v>
      </c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</row>
    <row r="24" spans="1:57" s="19" customFormat="1" ht="13.5" thickBot="1">
      <c r="A24" s="64" t="s">
        <v>848</v>
      </c>
      <c r="B24" s="65"/>
      <c r="C24" s="42" t="str">
        <f>IF(ISBLANK('Base 2-Yr (US)'!$Y$2), "","X")</f>
        <v>X</v>
      </c>
      <c r="D24" s="31" t="str">
        <f>IF(ISBLANK('Base 2-Yr (US)'!$Y$18), "","X")</f>
        <v/>
      </c>
      <c r="E24" s="31" t="str">
        <f>IF(ISBLANK('Base 2-Yr (US)'!$Y$34), "","X")</f>
        <v/>
      </c>
      <c r="F24" s="43" t="str">
        <f>IF(ISBLANK('Base 2-Yr (US)'!$Y$50), "","X")</f>
        <v/>
      </c>
      <c r="G24" s="42" t="str">
        <f>IF(ISBLANK('Base 2-Yr (US)'!$Y$66), "","X")</f>
        <v>X</v>
      </c>
      <c r="H24" s="31" t="str">
        <f>IF(ISBLANK('Base 2-Yr (US)'!$Y$73), "","X")</f>
        <v/>
      </c>
      <c r="I24" s="31" t="str">
        <f>IF(ISBLANK('Base 2-Yr (US)'!$Y$80), "","X")</f>
        <v/>
      </c>
      <c r="J24" s="43" t="str">
        <f>IF(ISBLANK('Base 2-Yr (US)'!$Y$87), "","X")</f>
        <v/>
      </c>
      <c r="K24" s="42" t="str">
        <f>IF(ISBLANK('Base 2-Yr (US)'!$Y$94), "","X")</f>
        <v/>
      </c>
      <c r="L24" s="31" t="str">
        <f>IF(ISBLANK('Base 2-Yr (US)'!$Y$101), "","X")</f>
        <v/>
      </c>
      <c r="M24" s="31" t="str">
        <f>IF(ISBLANK('Base 2-Yr (US)'!$Y$108), "","X")</f>
        <v/>
      </c>
      <c r="N24" s="43" t="str">
        <f>IF(ISBLANK('Base 2-Yr (US)'!$Y$115), "","X")</f>
        <v/>
      </c>
      <c r="O24" s="42" t="str">
        <f>IF(ISBLANK('Base 2-Yr (US)'!$Y$122), "","X")</f>
        <v>X</v>
      </c>
      <c r="P24" s="31" t="str">
        <f>IF(ISBLANK('Base 2-Yr (US)'!$Y$129), "","X")</f>
        <v/>
      </c>
      <c r="Q24" s="31" t="str">
        <f>IF(ISBLANK('Base 2-Yr (US)'!$Y$136), "","X")</f>
        <v/>
      </c>
      <c r="R24" s="43" t="str">
        <f>IF(ISBLANK('Base 2-Yr (US)'!$Y$143), "","X")</f>
        <v/>
      </c>
      <c r="S24" s="42" t="str">
        <f>IF(ISBLANK('Base 2-Yr (US)'!$Y$150), "","X")</f>
        <v>X</v>
      </c>
      <c r="T24" s="31" t="str">
        <f>IF(ISBLANK('Base 2-Yr (US)'!$Y$162), "","X")</f>
        <v/>
      </c>
      <c r="U24" s="31" t="str">
        <f>IF(ISBLANK('Base 2-Yr (US)'!$Y$174), "","X")</f>
        <v/>
      </c>
      <c r="V24" s="43" t="str">
        <f>IF(ISBLANK('Base 2-Yr (US)'!$Y$186), "","X")</f>
        <v/>
      </c>
      <c r="W24" s="24"/>
      <c r="X24" s="38" t="s">
        <v>848</v>
      </c>
      <c r="Y24" s="44" t="str">
        <f>IF(ISBLANK('Base 2-Yr (Non-US)'!$Y2), "","X")</f>
        <v/>
      </c>
      <c r="Z24" s="45" t="str">
        <f>IF(ISBLANK('Base 2-Yr (Non-US)'!$Y18), "","X")</f>
        <v/>
      </c>
      <c r="AA24" s="45" t="str">
        <f>IF(ISBLANK('Base 2-Yr (Non-US)'!$Y34), "","X")</f>
        <v/>
      </c>
      <c r="AB24" s="46" t="str">
        <f>IF(ISBLANK('Base 2-Yr (Non-US)'!$Y50), "","X")</f>
        <v>X</v>
      </c>
      <c r="AC24" s="44" t="str">
        <f>IF(ISBLANK('Base 2-Yr (Non-US)'!$Y66), "","X")</f>
        <v/>
      </c>
      <c r="AD24" s="45" t="str">
        <f>IF(ISBLANK('Base 2-Yr (Non-US)'!$Y73), "","X")</f>
        <v/>
      </c>
      <c r="AE24" s="45" t="str">
        <f>IF(ISBLANK('Base 2-Yr (Non-US)'!$Y80), "","X")</f>
        <v/>
      </c>
      <c r="AF24" s="46" t="str">
        <f>IF(ISBLANK('Base 2-Yr (Non-US)'!$Y87), "","X")</f>
        <v>X</v>
      </c>
      <c r="AG24" s="44" t="str">
        <f>IF(ISBLANK('Base 2-Yr (Non-US)'!$Y94), "","X")</f>
        <v/>
      </c>
      <c r="AH24" s="45" t="str">
        <f>IF(ISBLANK('Base 2-Yr (Non-US)'!$Y101), "","X")</f>
        <v/>
      </c>
      <c r="AI24" s="45" t="str">
        <f>IF(ISBLANK('Base 2-Yr (Non-US)'!$Y108), "","X")</f>
        <v/>
      </c>
      <c r="AJ24" s="46" t="str">
        <f>IF(ISBLANK('Base 2-Yr (Non-US)'!$Y115), "","X")</f>
        <v/>
      </c>
      <c r="AK24" s="44" t="str">
        <f>IF(ISBLANK('Base 2-Yr (Non-US)'!$Y122), "","X")</f>
        <v/>
      </c>
      <c r="AL24" s="45" t="str">
        <f>IF(ISBLANK('Base 2-Yr (Non-US)'!$Y129), "","X")</f>
        <v/>
      </c>
      <c r="AM24" s="45" t="str">
        <f>IF(ISBLANK('Base 2-Yr (Non-US)'!$Y136), "","X")</f>
        <v/>
      </c>
      <c r="AN24" s="46" t="str">
        <f>IF(ISBLANK('Base 2-Yr (Non-US)'!$Y143), "","X")</f>
        <v>X</v>
      </c>
      <c r="AO24" s="44" t="str">
        <f>IF(ISBLANK('Base 2-Yr (Non-US)'!$Y150), "","X")</f>
        <v/>
      </c>
      <c r="AP24" s="45" t="str">
        <f>IF(ISBLANK('Base 2-Yr (Non-US)'!$Y162), "","X")</f>
        <v/>
      </c>
      <c r="AQ24" s="45" t="str">
        <f>IF(ISBLANK('Base 2-Yr (Non-US)'!$Y174), "","X")</f>
        <v/>
      </c>
      <c r="AR24" s="46" t="str">
        <f>IF(ISBLANK('Base 2-Yr (Non-US)'!$Y186), "","X")</f>
        <v>X</v>
      </c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</row>
    <row r="25" spans="1:57" s="23" customFormat="1" ht="13.5" thickBot="1">
      <c r="A25" s="53" t="s">
        <v>845</v>
      </c>
      <c r="B25" s="54"/>
      <c r="C25" s="32">
        <f t="shared" ref="C25:V25" si="0">COUNTIF(C4:C24, "X")</f>
        <v>16</v>
      </c>
      <c r="D25" s="33">
        <f t="shared" si="0"/>
        <v>12</v>
      </c>
      <c r="E25" s="33">
        <f t="shared" si="0"/>
        <v>5</v>
      </c>
      <c r="F25" s="34">
        <f t="shared" si="0"/>
        <v>10</v>
      </c>
      <c r="G25" s="32">
        <f t="shared" si="0"/>
        <v>13</v>
      </c>
      <c r="H25" s="33">
        <f t="shared" si="0"/>
        <v>11</v>
      </c>
      <c r="I25" s="33">
        <f t="shared" si="0"/>
        <v>5</v>
      </c>
      <c r="J25" s="34">
        <f t="shared" si="0"/>
        <v>9</v>
      </c>
      <c r="K25" s="32">
        <f t="shared" si="0"/>
        <v>6</v>
      </c>
      <c r="L25" s="33">
        <f t="shared" si="0"/>
        <v>7</v>
      </c>
      <c r="M25" s="33">
        <f t="shared" si="0"/>
        <v>4</v>
      </c>
      <c r="N25" s="34">
        <f t="shared" si="0"/>
        <v>3</v>
      </c>
      <c r="O25" s="32">
        <f t="shared" si="0"/>
        <v>16</v>
      </c>
      <c r="P25" s="33">
        <f t="shared" si="0"/>
        <v>12</v>
      </c>
      <c r="Q25" s="33">
        <f t="shared" si="0"/>
        <v>5</v>
      </c>
      <c r="R25" s="34">
        <f t="shared" si="0"/>
        <v>10</v>
      </c>
      <c r="S25" s="32">
        <f t="shared" si="0"/>
        <v>16</v>
      </c>
      <c r="T25" s="33">
        <f t="shared" si="0"/>
        <v>12</v>
      </c>
      <c r="U25" s="33">
        <f t="shared" si="0"/>
        <v>5</v>
      </c>
      <c r="V25" s="34">
        <f t="shared" si="0"/>
        <v>10</v>
      </c>
      <c r="X25" s="35" t="s">
        <v>845</v>
      </c>
      <c r="Y25" s="32">
        <f>COUNTIF(Y4:Y24, "X")</f>
        <v>8</v>
      </c>
      <c r="Z25" s="33">
        <f t="shared" ref="Z25:AR25" si="1">COUNTIF(Z4:Z24, "X")</f>
        <v>2</v>
      </c>
      <c r="AA25" s="33">
        <f t="shared" si="1"/>
        <v>0</v>
      </c>
      <c r="AB25" s="34">
        <f t="shared" si="1"/>
        <v>11</v>
      </c>
      <c r="AC25" s="32">
        <f t="shared" si="1"/>
        <v>6</v>
      </c>
      <c r="AD25" s="33">
        <f t="shared" si="1"/>
        <v>2</v>
      </c>
      <c r="AE25" s="33">
        <f t="shared" si="1"/>
        <v>0</v>
      </c>
      <c r="AF25" s="34">
        <f t="shared" si="1"/>
        <v>11</v>
      </c>
      <c r="AG25" s="32">
        <f t="shared" si="1"/>
        <v>1</v>
      </c>
      <c r="AH25" s="33">
        <f t="shared" si="1"/>
        <v>1</v>
      </c>
      <c r="AI25" s="33">
        <f t="shared" si="1"/>
        <v>0</v>
      </c>
      <c r="AJ25" s="34">
        <f t="shared" si="1"/>
        <v>1</v>
      </c>
      <c r="AK25" s="32">
        <f t="shared" si="1"/>
        <v>8</v>
      </c>
      <c r="AL25" s="33">
        <f t="shared" si="1"/>
        <v>2</v>
      </c>
      <c r="AM25" s="33">
        <f t="shared" si="1"/>
        <v>0</v>
      </c>
      <c r="AN25" s="34">
        <f t="shared" si="1"/>
        <v>11</v>
      </c>
      <c r="AO25" s="32">
        <f t="shared" si="1"/>
        <v>8</v>
      </c>
      <c r="AP25" s="33">
        <f t="shared" si="1"/>
        <v>2</v>
      </c>
      <c r="AQ25" s="33">
        <f t="shared" si="1"/>
        <v>0</v>
      </c>
      <c r="AR25" s="34">
        <f t="shared" si="1"/>
        <v>11</v>
      </c>
    </row>
    <row r="26" spans="1:57" s="23" customFormat="1">
      <c r="A26" s="47" t="s">
        <v>846</v>
      </c>
      <c r="B26" s="39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X26" s="47" t="s">
        <v>846</v>
      </c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</row>
    <row r="27" spans="1:57" s="23" customFormat="1">
      <c r="A27" s="39"/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X27" s="41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</row>
    <row r="28" spans="1:57" ht="15">
      <c r="A28" s="26" t="s">
        <v>1</v>
      </c>
      <c r="B28" s="20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</row>
    <row r="29" spans="1:57" ht="12.75" customHeight="1">
      <c r="A29" s="21" t="s">
        <v>2</v>
      </c>
      <c r="B29" s="56" t="s">
        <v>3</v>
      </c>
      <c r="C29" s="56"/>
      <c r="D29" s="56"/>
      <c r="E29" s="56"/>
      <c r="F29" s="56"/>
      <c r="G29" s="56"/>
      <c r="H29" s="56"/>
      <c r="I29" s="56"/>
      <c r="J29" s="56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</row>
    <row r="30" spans="1:57">
      <c r="A30" s="27">
        <v>365</v>
      </c>
      <c r="B30" s="57" t="s">
        <v>10</v>
      </c>
      <c r="C30" s="58"/>
      <c r="D30" s="58"/>
      <c r="E30" s="58"/>
      <c r="F30" s="58"/>
      <c r="G30" s="58"/>
      <c r="H30" s="58"/>
      <c r="I30" s="58"/>
      <c r="J30" s="59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</row>
    <row r="31" spans="1:57">
      <c r="A31" s="27" t="s">
        <v>5</v>
      </c>
      <c r="B31" s="55" t="s">
        <v>11</v>
      </c>
      <c r="C31" s="55"/>
      <c r="D31" s="55"/>
      <c r="E31" s="55"/>
      <c r="F31" s="55"/>
      <c r="G31" s="55"/>
      <c r="H31" s="55"/>
      <c r="I31" s="55"/>
      <c r="J31" s="55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</row>
    <row r="32" spans="1:57">
      <c r="A32" s="27" t="s">
        <v>6</v>
      </c>
      <c r="B32" s="55" t="s">
        <v>12</v>
      </c>
      <c r="C32" s="55"/>
      <c r="D32" s="55"/>
      <c r="E32" s="55"/>
      <c r="F32" s="55"/>
      <c r="G32" s="55"/>
      <c r="H32" s="55"/>
      <c r="I32" s="55"/>
      <c r="J32" s="55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</row>
    <row r="33" spans="1:44">
      <c r="A33" s="27" t="s">
        <v>4</v>
      </c>
      <c r="B33" s="55" t="s">
        <v>13</v>
      </c>
      <c r="C33" s="55"/>
      <c r="D33" s="55"/>
      <c r="E33" s="55"/>
      <c r="F33" s="55"/>
      <c r="G33" s="55"/>
      <c r="H33" s="55"/>
      <c r="I33" s="55"/>
      <c r="J33" s="55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</row>
    <row r="34" spans="1:44">
      <c r="A34" s="27" t="s">
        <v>7</v>
      </c>
      <c r="B34" s="55" t="s">
        <v>14</v>
      </c>
      <c r="C34" s="55"/>
      <c r="D34" s="55"/>
      <c r="E34" s="55"/>
      <c r="F34" s="55"/>
      <c r="G34" s="55"/>
      <c r="H34" s="55"/>
      <c r="I34" s="55"/>
      <c r="J34" s="55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</row>
    <row r="35" spans="1:44">
      <c r="A35" s="27" t="s">
        <v>8</v>
      </c>
      <c r="B35" s="55" t="s">
        <v>15</v>
      </c>
      <c r="C35" s="55"/>
      <c r="D35" s="55"/>
      <c r="E35" s="55"/>
      <c r="F35" s="55"/>
      <c r="G35" s="55"/>
      <c r="H35" s="55"/>
      <c r="I35" s="55"/>
      <c r="J35" s="55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</row>
    <row r="36" spans="1:44">
      <c r="A36" s="27" t="s">
        <v>9</v>
      </c>
      <c r="B36" s="55" t="s">
        <v>16</v>
      </c>
      <c r="C36" s="55"/>
      <c r="D36" s="55"/>
      <c r="E36" s="55"/>
      <c r="F36" s="55"/>
      <c r="G36" s="55"/>
      <c r="H36" s="55"/>
      <c r="I36" s="55"/>
      <c r="J36" s="55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</row>
    <row r="37" spans="1:44">
      <c r="A37" s="27" t="s">
        <v>174</v>
      </c>
      <c r="B37" s="55" t="s">
        <v>18</v>
      </c>
      <c r="C37" s="55"/>
      <c r="D37" s="55"/>
      <c r="E37" s="55"/>
      <c r="F37" s="55"/>
      <c r="G37" s="55"/>
      <c r="H37" s="55"/>
      <c r="I37" s="55"/>
      <c r="J37" s="55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</row>
    <row r="38" spans="1:44">
      <c r="A38" s="27" t="s">
        <v>175</v>
      </c>
      <c r="B38" s="55" t="s">
        <v>19</v>
      </c>
      <c r="C38" s="55"/>
      <c r="D38" s="55"/>
      <c r="E38" s="55"/>
      <c r="F38" s="55"/>
      <c r="G38" s="55"/>
      <c r="H38" s="55"/>
      <c r="I38" s="55"/>
      <c r="J38" s="55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</row>
    <row r="39" spans="1:44">
      <c r="A39" s="27" t="s">
        <v>176</v>
      </c>
      <c r="B39" s="55" t="s">
        <v>20</v>
      </c>
      <c r="C39" s="55"/>
      <c r="D39" s="55"/>
      <c r="E39" s="55"/>
      <c r="F39" s="55"/>
      <c r="G39" s="55"/>
      <c r="H39" s="55"/>
      <c r="I39" s="55"/>
      <c r="J39" s="55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</row>
    <row r="40" spans="1:44">
      <c r="A40" s="27" t="s">
        <v>177</v>
      </c>
      <c r="B40" s="55" t="s">
        <v>21</v>
      </c>
      <c r="C40" s="55"/>
      <c r="D40" s="55"/>
      <c r="E40" s="55"/>
      <c r="F40" s="55"/>
      <c r="G40" s="55"/>
      <c r="H40" s="55"/>
      <c r="I40" s="55"/>
      <c r="J40" s="55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</row>
    <row r="41" spans="1:44">
      <c r="A41" s="27" t="s">
        <v>178</v>
      </c>
      <c r="B41" s="55" t="s">
        <v>22</v>
      </c>
      <c r="C41" s="55"/>
      <c r="D41" s="55"/>
      <c r="E41" s="55"/>
      <c r="F41" s="55"/>
      <c r="G41" s="55"/>
      <c r="H41" s="55"/>
      <c r="I41" s="55"/>
      <c r="J41" s="55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</row>
    <row r="42" spans="1:44" s="23" customFormat="1">
      <c r="A42" s="27" t="s">
        <v>179</v>
      </c>
      <c r="B42" s="55" t="s">
        <v>23</v>
      </c>
      <c r="C42" s="55"/>
      <c r="D42" s="55"/>
      <c r="E42" s="55"/>
      <c r="F42" s="55"/>
      <c r="G42" s="55"/>
      <c r="H42" s="55"/>
      <c r="I42" s="55"/>
      <c r="J42" s="55"/>
    </row>
    <row r="43" spans="1:44" s="23" customFormat="1">
      <c r="A43" s="27" t="s">
        <v>180</v>
      </c>
      <c r="B43" s="55" t="s">
        <v>24</v>
      </c>
      <c r="C43" s="55"/>
      <c r="D43" s="55"/>
      <c r="E43" s="55"/>
      <c r="F43" s="55"/>
      <c r="G43" s="55"/>
      <c r="H43" s="55"/>
      <c r="I43" s="55"/>
      <c r="J43" s="55"/>
    </row>
    <row r="44" spans="1:44" s="23" customFormat="1">
      <c r="A44" s="27" t="s">
        <v>181</v>
      </c>
      <c r="B44" s="55" t="s">
        <v>25</v>
      </c>
      <c r="C44" s="55"/>
      <c r="D44" s="55"/>
      <c r="E44" s="55"/>
      <c r="F44" s="55"/>
      <c r="G44" s="55"/>
      <c r="H44" s="55"/>
      <c r="I44" s="55"/>
      <c r="J44" s="55"/>
    </row>
    <row r="45" spans="1:44" s="23" customFormat="1">
      <c r="A45" s="27" t="s">
        <v>182</v>
      </c>
      <c r="B45" s="55" t="s">
        <v>26</v>
      </c>
      <c r="C45" s="55"/>
      <c r="D45" s="55"/>
      <c r="E45" s="55"/>
      <c r="F45" s="55"/>
      <c r="G45" s="55"/>
      <c r="H45" s="55"/>
      <c r="I45" s="55"/>
      <c r="J45" s="55"/>
    </row>
    <row r="46" spans="1:44" s="23" customFormat="1">
      <c r="A46" s="27" t="s">
        <v>183</v>
      </c>
      <c r="B46" s="55" t="s">
        <v>27</v>
      </c>
      <c r="C46" s="55"/>
      <c r="D46" s="55"/>
      <c r="E46" s="55"/>
      <c r="F46" s="55"/>
      <c r="G46" s="55"/>
      <c r="H46" s="55"/>
      <c r="I46" s="55"/>
      <c r="J46" s="55"/>
    </row>
    <row r="47" spans="1:44" s="23" customFormat="1">
      <c r="A47" s="27" t="s">
        <v>184</v>
      </c>
      <c r="B47" s="55" t="s">
        <v>28</v>
      </c>
      <c r="C47" s="55"/>
      <c r="D47" s="55"/>
      <c r="E47" s="55"/>
      <c r="F47" s="55"/>
      <c r="G47" s="55"/>
      <c r="H47" s="55"/>
      <c r="I47" s="55"/>
      <c r="J47" s="55"/>
    </row>
    <row r="48" spans="1:44" s="23" customFormat="1">
      <c r="A48" s="27" t="s">
        <v>185</v>
      </c>
      <c r="B48" s="55" t="s">
        <v>29</v>
      </c>
      <c r="C48" s="55"/>
      <c r="D48" s="55"/>
      <c r="E48" s="55"/>
      <c r="F48" s="55"/>
      <c r="G48" s="55"/>
      <c r="H48" s="55"/>
      <c r="I48" s="55"/>
      <c r="J48" s="55"/>
    </row>
    <row r="49" spans="1:10" s="23" customFormat="1">
      <c r="A49" s="27" t="s">
        <v>186</v>
      </c>
      <c r="B49" s="55" t="s">
        <v>30</v>
      </c>
      <c r="C49" s="55"/>
      <c r="D49" s="55"/>
      <c r="E49" s="55"/>
      <c r="F49" s="55"/>
      <c r="G49" s="55"/>
      <c r="H49" s="55"/>
      <c r="I49" s="55"/>
      <c r="J49" s="55"/>
    </row>
    <row r="50" spans="1:10" s="23" customFormat="1">
      <c r="A50" s="27" t="s">
        <v>187</v>
      </c>
      <c r="B50" s="55" t="s">
        <v>31</v>
      </c>
      <c r="C50" s="55"/>
      <c r="D50" s="55"/>
      <c r="E50" s="55"/>
      <c r="F50" s="55"/>
      <c r="G50" s="55"/>
      <c r="H50" s="55"/>
      <c r="I50" s="55"/>
      <c r="J50" s="55"/>
    </row>
    <row r="51" spans="1:10" s="23" customFormat="1">
      <c r="A51" s="27" t="s">
        <v>188</v>
      </c>
      <c r="B51" s="55" t="s">
        <v>32</v>
      </c>
      <c r="C51" s="55"/>
      <c r="D51" s="55"/>
      <c r="E51" s="55"/>
      <c r="F51" s="55"/>
      <c r="G51" s="55"/>
      <c r="H51" s="55"/>
      <c r="I51" s="55"/>
      <c r="J51" s="55"/>
    </row>
    <row r="52" spans="1:10" s="23" customFormat="1">
      <c r="A52" s="27" t="s">
        <v>189</v>
      </c>
      <c r="B52" s="55" t="s">
        <v>33</v>
      </c>
      <c r="C52" s="55"/>
      <c r="D52" s="55"/>
      <c r="E52" s="55"/>
      <c r="F52" s="55"/>
      <c r="G52" s="55"/>
      <c r="H52" s="55"/>
      <c r="I52" s="55"/>
      <c r="J52" s="55"/>
    </row>
    <row r="53" spans="1:10" s="23" customFormat="1">
      <c r="A53" s="27" t="s">
        <v>190</v>
      </c>
      <c r="B53" s="55" t="s">
        <v>34</v>
      </c>
      <c r="C53" s="55"/>
      <c r="D53" s="55"/>
      <c r="E53" s="55"/>
      <c r="F53" s="55"/>
      <c r="G53" s="55"/>
      <c r="H53" s="55"/>
      <c r="I53" s="55"/>
      <c r="J53" s="55"/>
    </row>
    <row r="54" spans="1:10" s="23" customFormat="1">
      <c r="A54" s="27" t="s">
        <v>191</v>
      </c>
      <c r="B54" s="55" t="s">
        <v>35</v>
      </c>
      <c r="C54" s="55"/>
      <c r="D54" s="55"/>
      <c r="E54" s="55"/>
      <c r="F54" s="55"/>
      <c r="G54" s="55"/>
      <c r="H54" s="55"/>
      <c r="I54" s="55"/>
      <c r="J54" s="55"/>
    </row>
    <row r="55" spans="1:10" s="23" customFormat="1">
      <c r="A55" s="27" t="s">
        <v>192</v>
      </c>
      <c r="B55" s="55" t="s">
        <v>36</v>
      </c>
      <c r="C55" s="55"/>
      <c r="D55" s="55"/>
      <c r="E55" s="55"/>
      <c r="F55" s="55"/>
      <c r="G55" s="55"/>
      <c r="H55" s="55"/>
      <c r="I55" s="55"/>
      <c r="J55" s="55"/>
    </row>
    <row r="56" spans="1:10" s="23" customFormat="1">
      <c r="A56" s="27" t="s">
        <v>193</v>
      </c>
      <c r="B56" s="55" t="s">
        <v>37</v>
      </c>
      <c r="C56" s="55"/>
      <c r="D56" s="55"/>
      <c r="E56" s="55"/>
      <c r="F56" s="55"/>
      <c r="G56" s="55"/>
      <c r="H56" s="55"/>
      <c r="I56" s="55"/>
      <c r="J56" s="55"/>
    </row>
    <row r="57" spans="1:10" s="23" customFormat="1">
      <c r="A57" s="50" t="s">
        <v>672</v>
      </c>
      <c r="B57" s="55" t="s">
        <v>17</v>
      </c>
      <c r="C57" s="55"/>
      <c r="D57" s="55"/>
      <c r="E57" s="55"/>
      <c r="F57" s="55"/>
      <c r="G57" s="55"/>
      <c r="H57" s="55"/>
      <c r="I57" s="55"/>
      <c r="J57" s="55"/>
    </row>
    <row r="58" spans="1:10" s="23" customFormat="1">
      <c r="A58" s="24"/>
    </row>
    <row r="59" spans="1:10" s="23" customFormat="1">
      <c r="A59" s="24"/>
    </row>
    <row r="60" spans="1:10" s="23" customFormat="1" ht="12.75" customHeight="1">
      <c r="A60" s="24"/>
    </row>
    <row r="61" spans="1:10" s="23" customFormat="1" ht="12.75" customHeight="1">
      <c r="A61" s="24"/>
    </row>
    <row r="62" spans="1:10" s="23" customFormat="1" ht="12.75" customHeight="1">
      <c r="A62" s="24"/>
    </row>
    <row r="63" spans="1:10" s="23" customFormat="1" ht="12.75" customHeight="1">
      <c r="A63" s="24"/>
    </row>
    <row r="64" spans="1:10" s="23" customFormat="1" ht="12.75" customHeight="1">
      <c r="A64" s="24"/>
    </row>
    <row r="65" spans="1:1" s="23" customFormat="1" ht="12.75" customHeight="1">
      <c r="A65" s="24"/>
    </row>
    <row r="66" spans="1:1" s="23" customFormat="1" ht="12.75" customHeight="1">
      <c r="A66" s="24"/>
    </row>
    <row r="67" spans="1:1" s="23" customFormat="1" ht="12.75" customHeight="1">
      <c r="A67" s="24"/>
    </row>
    <row r="68" spans="1:1" s="23" customFormat="1" ht="12.75" customHeight="1">
      <c r="A68" s="24"/>
    </row>
    <row r="69" spans="1:1" s="23" customFormat="1" ht="12.75" customHeight="1">
      <c r="A69" s="24"/>
    </row>
    <row r="70" spans="1:1" s="23" customFormat="1" ht="12.75" customHeight="1">
      <c r="A70" s="24"/>
    </row>
    <row r="71" spans="1:1" s="23" customFormat="1" ht="12.75" customHeight="1">
      <c r="A71" s="24"/>
    </row>
    <row r="72" spans="1:1" s="23" customFormat="1" ht="12.75" customHeight="1">
      <c r="A72" s="24"/>
    </row>
    <row r="73" spans="1:1" s="23" customFormat="1" ht="12.75" customHeight="1">
      <c r="A73" s="24"/>
    </row>
    <row r="74" spans="1:1" s="23" customFormat="1" ht="12.75" customHeight="1">
      <c r="A74" s="24"/>
    </row>
    <row r="75" spans="1:1" s="23" customFormat="1" ht="12.75" customHeight="1">
      <c r="A75" s="24"/>
    </row>
    <row r="76" spans="1:1" s="23" customFormat="1" ht="12.75" customHeight="1">
      <c r="A76" s="24"/>
    </row>
    <row r="77" spans="1:1" s="23" customFormat="1" ht="12.75" customHeight="1">
      <c r="A77" s="24"/>
    </row>
    <row r="78" spans="1:1" s="23" customFormat="1" ht="12.75" customHeight="1">
      <c r="A78" s="24"/>
    </row>
    <row r="79" spans="1:1" s="23" customFormat="1" ht="12.75" customHeight="1">
      <c r="A79" s="24"/>
    </row>
    <row r="80" spans="1:1" s="23" customFormat="1" ht="13.5" customHeight="1">
      <c r="A80" s="24"/>
    </row>
    <row r="81" spans="1:1" s="23" customFormat="1">
      <c r="A81" s="24"/>
    </row>
    <row r="82" spans="1:1" s="23" customFormat="1">
      <c r="A82" s="24"/>
    </row>
    <row r="83" spans="1:1" s="23" customFormat="1">
      <c r="A83" s="24"/>
    </row>
    <row r="84" spans="1:1" s="23" customFormat="1">
      <c r="A84" s="24"/>
    </row>
    <row r="85" spans="1:1" s="23" customFormat="1">
      <c r="A85" s="24"/>
    </row>
    <row r="86" spans="1:1" s="23" customFormat="1">
      <c r="A86" s="24"/>
    </row>
    <row r="87" spans="1:1" s="23" customFormat="1">
      <c r="A87" s="24"/>
    </row>
    <row r="88" spans="1:1" s="23" customFormat="1">
      <c r="A88" s="24"/>
    </row>
    <row r="89" spans="1:1" s="23" customFormat="1">
      <c r="A89" s="24"/>
    </row>
    <row r="90" spans="1:1" s="23" customFormat="1">
      <c r="A90" s="24"/>
    </row>
    <row r="91" spans="1:1" s="23" customFormat="1">
      <c r="A91" s="24"/>
    </row>
    <row r="92" spans="1:1" s="23" customFormat="1">
      <c r="A92" s="24"/>
    </row>
    <row r="93" spans="1:1" s="23" customFormat="1">
      <c r="A93" s="24"/>
    </row>
    <row r="94" spans="1:1" s="23" customFormat="1">
      <c r="A94" s="24"/>
    </row>
    <row r="95" spans="1:1" s="23" customFormat="1">
      <c r="A95" s="24"/>
    </row>
    <row r="96" spans="1:1" s="23" customFormat="1">
      <c r="A96" s="24"/>
    </row>
    <row r="97" spans="1:1" s="23" customFormat="1">
      <c r="A97" s="24"/>
    </row>
    <row r="98" spans="1:1" s="23" customFormat="1">
      <c r="A98" s="24"/>
    </row>
    <row r="99" spans="1:1" s="23" customFormat="1">
      <c r="A99" s="24"/>
    </row>
    <row r="100" spans="1:1" s="23" customFormat="1">
      <c r="A100" s="24"/>
    </row>
    <row r="101" spans="1:1" s="23" customFormat="1">
      <c r="A101" s="24"/>
    </row>
    <row r="102" spans="1:1" s="23" customFormat="1">
      <c r="A102" s="24"/>
    </row>
    <row r="103" spans="1:1" s="23" customFormat="1">
      <c r="A103" s="24"/>
    </row>
    <row r="104" spans="1:1" s="23" customFormat="1">
      <c r="A104" s="24"/>
    </row>
    <row r="105" spans="1:1" s="23" customFormat="1">
      <c r="A105" s="24"/>
    </row>
    <row r="106" spans="1:1" s="23" customFormat="1">
      <c r="A106" s="24"/>
    </row>
    <row r="107" spans="1:1" s="23" customFormat="1">
      <c r="A107" s="24"/>
    </row>
    <row r="108" spans="1:1" s="23" customFormat="1">
      <c r="A108" s="24"/>
    </row>
    <row r="109" spans="1:1" s="23" customFormat="1">
      <c r="A109" s="24"/>
    </row>
    <row r="110" spans="1:1" s="23" customFormat="1">
      <c r="A110" s="24"/>
    </row>
    <row r="111" spans="1:1" s="23" customFormat="1">
      <c r="A111" s="24"/>
    </row>
    <row r="112" spans="1:1" s="23" customFormat="1">
      <c r="A112" s="24"/>
    </row>
    <row r="113" spans="1:1" s="23" customFormat="1">
      <c r="A113" s="24"/>
    </row>
    <row r="114" spans="1:1" s="23" customFormat="1">
      <c r="A114" s="24"/>
    </row>
    <row r="115" spans="1:1" s="23" customFormat="1">
      <c r="A115" s="24"/>
    </row>
    <row r="116" spans="1:1" s="23" customFormat="1">
      <c r="A116" s="24"/>
    </row>
    <row r="117" spans="1:1" s="23" customFormat="1">
      <c r="A117" s="24"/>
    </row>
    <row r="118" spans="1:1" s="23" customFormat="1">
      <c r="A118" s="24"/>
    </row>
    <row r="119" spans="1:1" s="23" customFormat="1">
      <c r="A119" s="24"/>
    </row>
    <row r="120" spans="1:1" s="23" customFormat="1">
      <c r="A120" s="24"/>
    </row>
    <row r="121" spans="1:1" s="23" customFormat="1">
      <c r="A121" s="24"/>
    </row>
    <row r="122" spans="1:1" s="23" customFormat="1">
      <c r="A122" s="24"/>
    </row>
    <row r="123" spans="1:1" s="23" customFormat="1">
      <c r="A123" s="24"/>
    </row>
    <row r="124" spans="1:1" s="23" customFormat="1">
      <c r="A124" s="24"/>
    </row>
    <row r="125" spans="1:1" s="23" customFormat="1">
      <c r="A125" s="24"/>
    </row>
    <row r="126" spans="1:1" s="23" customFormat="1">
      <c r="A126" s="24"/>
    </row>
    <row r="127" spans="1:1" s="23" customFormat="1">
      <c r="A127" s="24"/>
    </row>
    <row r="128" spans="1:1" s="23" customFormat="1">
      <c r="A128" s="24"/>
    </row>
    <row r="129" spans="1:1" s="23" customFormat="1">
      <c r="A129" s="24"/>
    </row>
    <row r="130" spans="1:1" s="23" customFormat="1">
      <c r="A130" s="24"/>
    </row>
    <row r="131" spans="1:1" s="23" customFormat="1">
      <c r="A131" s="24"/>
    </row>
    <row r="132" spans="1:1" s="23" customFormat="1">
      <c r="A132" s="24"/>
    </row>
    <row r="133" spans="1:1" s="23" customFormat="1">
      <c r="A133" s="24"/>
    </row>
    <row r="134" spans="1:1" s="23" customFormat="1">
      <c r="A134" s="24"/>
    </row>
    <row r="135" spans="1:1" s="23" customFormat="1">
      <c r="A135" s="24"/>
    </row>
    <row r="136" spans="1:1" s="23" customFormat="1">
      <c r="A136" s="24"/>
    </row>
    <row r="137" spans="1:1" s="23" customFormat="1">
      <c r="A137" s="24"/>
    </row>
    <row r="138" spans="1:1" s="23" customFormat="1">
      <c r="A138" s="24"/>
    </row>
  </sheetData>
  <mergeCells count="52">
    <mergeCell ref="A24:B24"/>
    <mergeCell ref="A15:B15"/>
    <mergeCell ref="A23:B23"/>
    <mergeCell ref="A22:B22"/>
    <mergeCell ref="A21:B21"/>
    <mergeCell ref="A20:B20"/>
    <mergeCell ref="A19:B19"/>
    <mergeCell ref="A18:B18"/>
    <mergeCell ref="A17:B17"/>
    <mergeCell ref="A16:B16"/>
    <mergeCell ref="A3:B3"/>
    <mergeCell ref="A14:B14"/>
    <mergeCell ref="A13:B13"/>
    <mergeCell ref="A12:B12"/>
    <mergeCell ref="A11:B11"/>
    <mergeCell ref="A10:B10"/>
    <mergeCell ref="A9:B9"/>
    <mergeCell ref="A8:B8"/>
    <mergeCell ref="A7:B7"/>
    <mergeCell ref="A6:B6"/>
    <mergeCell ref="A5:B5"/>
    <mergeCell ref="A4:B4"/>
    <mergeCell ref="B50:J50"/>
    <mergeCell ref="B39:J39"/>
    <mergeCell ref="B40:J40"/>
    <mergeCell ref="B41:J41"/>
    <mergeCell ref="B42:J42"/>
    <mergeCell ref="B31:J31"/>
    <mergeCell ref="B32:J32"/>
    <mergeCell ref="B33:J33"/>
    <mergeCell ref="B34:J34"/>
    <mergeCell ref="B49:J49"/>
    <mergeCell ref="B35:J35"/>
    <mergeCell ref="B36:J36"/>
    <mergeCell ref="B37:J37"/>
    <mergeCell ref="B38:J38"/>
    <mergeCell ref="A25:B25"/>
    <mergeCell ref="B56:J56"/>
    <mergeCell ref="B57:J57"/>
    <mergeCell ref="B51:J51"/>
    <mergeCell ref="B52:J52"/>
    <mergeCell ref="B53:J53"/>
    <mergeCell ref="B54:J54"/>
    <mergeCell ref="B29:J29"/>
    <mergeCell ref="B55:J55"/>
    <mergeCell ref="B43:J43"/>
    <mergeCell ref="B44:J44"/>
    <mergeCell ref="B45:J45"/>
    <mergeCell ref="B46:J46"/>
    <mergeCell ref="B47:J47"/>
    <mergeCell ref="B48:J48"/>
    <mergeCell ref="B30:J30"/>
  </mergeCells>
  <phoneticPr fontId="8" type="noConversion"/>
  <conditionalFormatting sqref="C4:V22 Y4:AR22">
    <cfRule type="cellIs" dxfId="58" priority="7" operator="equal">
      <formula>"X"</formula>
    </cfRule>
  </conditionalFormatting>
  <conditionalFormatting sqref="Y4:AR22">
    <cfRule type="cellIs" dxfId="57" priority="6" operator="equal">
      <formula>"X"</formula>
    </cfRule>
  </conditionalFormatting>
  <conditionalFormatting sqref="Y24:AR24">
    <cfRule type="cellIs" dxfId="56" priority="4" operator="equal">
      <formula>"X"</formula>
    </cfRule>
  </conditionalFormatting>
  <conditionalFormatting sqref="Y24:AR24">
    <cfRule type="cellIs" dxfId="55" priority="3" operator="equal">
      <formula>"X"</formula>
    </cfRule>
  </conditionalFormatting>
  <conditionalFormatting sqref="Y23:AR23 C23:V24">
    <cfRule type="cellIs" dxfId="54" priority="2" operator="equal">
      <formula>"X"</formula>
    </cfRule>
  </conditionalFormatting>
  <conditionalFormatting sqref="Y23:AR23">
    <cfRule type="cellIs" dxfId="53" priority="1" operator="equal">
      <formula>"X"</formula>
    </cfRule>
  </conditionalFormatting>
  <pageMargins left="0.25" right="0.25" top="0.75" bottom="0.75" header="0.3" footer="0.3"/>
  <pageSetup scale="50" orientation="landscape" r:id="rId1"/>
  <headerFooter scaleWithDoc="0">
    <oddHeader>&amp;C&amp;"Arial,Bold"GSA EaaS BPA Pricing
Revision 1&amp;R&amp;G</oddHeader>
    <oddFooter>&amp;RNov 2012</oddFooter>
  </headerFooter>
  <ignoredErrors>
    <ignoredError sqref="D6:V19 D4:V4 D5:V5 Y6:AR8 Z4:AQ5 D21:V23 D20:E20 G20:I20 K20:V20 Y10:AR23 Y9:AJ9" emptyCellReference="1"/>
  </ignoredErrors>
  <legacyDrawingHF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theme="5" tint="0.59999389629810485"/>
  </sheetPr>
  <dimension ref="A1:Y199"/>
  <sheetViews>
    <sheetView zoomScaleNormal="100" zoomScalePageLayoutView="85" workbookViewId="0">
      <pane xSplit="3" ySplit="1" topLeftCell="D2" activePane="bottomRight" state="frozen"/>
      <selection activeCell="Y1" sqref="Y1:Y1048576"/>
      <selection pane="topRight" activeCell="Y1" sqref="Y1:Y1048576"/>
      <selection pane="bottomLeft" activeCell="Y1" sqref="Y1:Y1048576"/>
      <selection pane="bottomRight" activeCell="C2" sqref="C2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13" width="8.85546875" style="15"/>
    <col min="14" max="14" width="9" style="15" bestFit="1" customWidth="1"/>
    <col min="15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849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691</v>
      </c>
      <c r="B2" s="8" t="s">
        <v>598</v>
      </c>
      <c r="C2" s="9" t="s">
        <v>610</v>
      </c>
      <c r="D2" s="9" t="s">
        <v>603</v>
      </c>
      <c r="E2" s="49">
        <v>3.68</v>
      </c>
      <c r="F2" s="49"/>
      <c r="G2" s="49">
        <v>20.48</v>
      </c>
      <c r="H2" s="49">
        <v>8.4499999999999993</v>
      </c>
      <c r="I2" s="49">
        <v>12.51</v>
      </c>
      <c r="J2" s="49">
        <v>3.74</v>
      </c>
      <c r="K2" s="49"/>
      <c r="L2" s="49"/>
      <c r="M2" s="49">
        <v>3.59</v>
      </c>
      <c r="N2" s="49">
        <v>5.09</v>
      </c>
      <c r="O2" s="49">
        <v>10.79</v>
      </c>
      <c r="P2" s="49">
        <v>22.61</v>
      </c>
      <c r="Q2" s="49">
        <v>10.53</v>
      </c>
      <c r="R2" s="49">
        <v>3.7</v>
      </c>
      <c r="S2" s="49">
        <v>3.89</v>
      </c>
      <c r="T2" s="49">
        <v>30.87</v>
      </c>
      <c r="U2" s="49">
        <v>3.68</v>
      </c>
      <c r="V2" s="49"/>
      <c r="W2" s="49">
        <v>7.79</v>
      </c>
      <c r="X2" s="49"/>
      <c r="Y2" s="49">
        <v>4.75</v>
      </c>
    </row>
    <row r="3" spans="1:25" s="7" customFormat="1" ht="15" customHeight="1">
      <c r="A3" s="12" t="s">
        <v>692</v>
      </c>
      <c r="B3" s="8" t="s">
        <v>598</v>
      </c>
      <c r="C3" s="9" t="s">
        <v>611</v>
      </c>
      <c r="D3" s="9" t="s">
        <v>603</v>
      </c>
      <c r="E3" s="49">
        <v>3.68</v>
      </c>
      <c r="F3" s="49"/>
      <c r="G3" s="49">
        <v>18.43</v>
      </c>
      <c r="H3" s="49">
        <v>7.92</v>
      </c>
      <c r="I3" s="49">
        <v>11.85</v>
      </c>
      <c r="J3" s="49">
        <v>3.72</v>
      </c>
      <c r="K3" s="49"/>
      <c r="L3" s="49"/>
      <c r="M3" s="49">
        <v>3.59</v>
      </c>
      <c r="N3" s="49">
        <v>4.9400000000000004</v>
      </c>
      <c r="O3" s="49">
        <v>9.4700000000000006</v>
      </c>
      <c r="P3" s="49">
        <v>14.39</v>
      </c>
      <c r="Q3" s="49">
        <v>6.67</v>
      </c>
      <c r="R3" s="49">
        <v>3.7</v>
      </c>
      <c r="S3" s="49">
        <v>3.85</v>
      </c>
      <c r="T3" s="49">
        <v>22.23</v>
      </c>
      <c r="U3" s="49">
        <v>3.68</v>
      </c>
      <c r="V3" s="49"/>
      <c r="W3" s="49">
        <v>7.79</v>
      </c>
      <c r="X3" s="49"/>
      <c r="Y3" s="49">
        <v>4.75</v>
      </c>
    </row>
    <row r="4" spans="1:25" s="7" customFormat="1" ht="15" customHeight="1">
      <c r="A4" s="12" t="s">
        <v>693</v>
      </c>
      <c r="B4" s="8" t="s">
        <v>598</v>
      </c>
      <c r="C4" s="9" t="s">
        <v>612</v>
      </c>
      <c r="D4" s="9" t="s">
        <v>603</v>
      </c>
      <c r="E4" s="49">
        <v>3.68</v>
      </c>
      <c r="F4" s="49"/>
      <c r="G4" s="49">
        <v>16.38</v>
      </c>
      <c r="H4" s="49">
        <v>6.99</v>
      </c>
      <c r="I4" s="49">
        <v>11.57</v>
      </c>
      <c r="J4" s="49">
        <v>3.68</v>
      </c>
      <c r="K4" s="49"/>
      <c r="L4" s="49"/>
      <c r="M4" s="49">
        <v>3.59</v>
      </c>
      <c r="N4" s="49">
        <v>4.49</v>
      </c>
      <c r="O4" s="49">
        <v>9.0299999999999994</v>
      </c>
      <c r="P4" s="49">
        <v>11.3</v>
      </c>
      <c r="Q4" s="49">
        <v>6.02</v>
      </c>
      <c r="R4" s="49">
        <v>3.7</v>
      </c>
      <c r="S4" s="49">
        <v>3.81</v>
      </c>
      <c r="T4" s="49">
        <v>16.079999999999998</v>
      </c>
      <c r="U4" s="49">
        <v>3.68</v>
      </c>
      <c r="V4" s="49"/>
      <c r="W4" s="49">
        <v>7.79</v>
      </c>
      <c r="X4" s="49"/>
      <c r="Y4" s="49">
        <v>4.75</v>
      </c>
    </row>
    <row r="5" spans="1:25" s="7" customFormat="1" ht="15" customHeight="1">
      <c r="A5" s="12" t="s">
        <v>694</v>
      </c>
      <c r="B5" s="8" t="s">
        <v>598</v>
      </c>
      <c r="C5" s="9" t="s">
        <v>677</v>
      </c>
      <c r="D5" s="9" t="s">
        <v>604</v>
      </c>
      <c r="E5" s="49">
        <v>0</v>
      </c>
      <c r="F5" s="49"/>
      <c r="G5" s="49">
        <v>3.6</v>
      </c>
      <c r="H5" s="49">
        <v>0.84</v>
      </c>
      <c r="I5" s="49">
        <v>1.66</v>
      </c>
      <c r="J5" s="49">
        <v>0</v>
      </c>
      <c r="K5" s="49"/>
      <c r="L5" s="49"/>
      <c r="M5" s="49"/>
      <c r="N5" s="49">
        <v>0.33</v>
      </c>
      <c r="O5" s="49">
        <v>0.63</v>
      </c>
      <c r="P5" s="49">
        <v>1.5</v>
      </c>
      <c r="Q5" s="49">
        <v>0.65</v>
      </c>
      <c r="R5" s="49"/>
      <c r="S5" s="49"/>
      <c r="T5" s="49">
        <v>0.48</v>
      </c>
      <c r="U5" s="49"/>
      <c r="V5" s="49"/>
      <c r="W5" s="49"/>
      <c r="X5" s="49"/>
      <c r="Y5" s="49">
        <v>0</v>
      </c>
    </row>
    <row r="6" spans="1:25" s="7" customFormat="1" ht="15" customHeight="1">
      <c r="A6" s="12" t="s">
        <v>695</v>
      </c>
      <c r="B6" s="8" t="s">
        <v>598</v>
      </c>
      <c r="C6" s="9" t="s">
        <v>678</v>
      </c>
      <c r="D6" s="9" t="s">
        <v>604</v>
      </c>
      <c r="E6" s="49">
        <v>0</v>
      </c>
      <c r="F6" s="49"/>
      <c r="G6" s="49">
        <v>3.24</v>
      </c>
      <c r="H6" s="49">
        <v>0.84</v>
      </c>
      <c r="I6" s="49">
        <v>1.45</v>
      </c>
      <c r="J6" s="49">
        <v>0</v>
      </c>
      <c r="K6" s="49"/>
      <c r="L6" s="49"/>
      <c r="M6" s="49"/>
      <c r="N6" s="49">
        <v>0.14000000000000001</v>
      </c>
      <c r="O6" s="49">
        <v>0.55000000000000004</v>
      </c>
      <c r="P6" s="49">
        <v>1.5</v>
      </c>
      <c r="Q6" s="49">
        <v>0.65</v>
      </c>
      <c r="R6" s="49"/>
      <c r="S6" s="49"/>
      <c r="T6" s="49">
        <v>0.28999999999999998</v>
      </c>
      <c r="U6" s="49"/>
      <c r="V6" s="49"/>
      <c r="W6" s="49"/>
      <c r="X6" s="49"/>
      <c r="Y6" s="49">
        <v>0</v>
      </c>
    </row>
    <row r="7" spans="1:25" s="7" customFormat="1" ht="15" customHeight="1">
      <c r="A7" s="12" t="s">
        <v>696</v>
      </c>
      <c r="B7" s="8" t="s">
        <v>598</v>
      </c>
      <c r="C7" s="9" t="s">
        <v>679</v>
      </c>
      <c r="D7" s="9" t="s">
        <v>604</v>
      </c>
      <c r="E7" s="49">
        <v>0</v>
      </c>
      <c r="F7" s="49"/>
      <c r="G7" s="49">
        <v>2.88</v>
      </c>
      <c r="H7" s="49">
        <v>0.84</v>
      </c>
      <c r="I7" s="49">
        <v>1.38</v>
      </c>
      <c r="J7" s="49">
        <v>0</v>
      </c>
      <c r="K7" s="49"/>
      <c r="L7" s="49"/>
      <c r="M7" s="49"/>
      <c r="N7" s="49">
        <v>0.13</v>
      </c>
      <c r="O7" s="49">
        <v>0.43</v>
      </c>
      <c r="P7" s="49">
        <v>1.5</v>
      </c>
      <c r="Q7" s="49">
        <v>0.65</v>
      </c>
      <c r="R7" s="49"/>
      <c r="S7" s="49"/>
      <c r="T7" s="49">
        <v>0.24</v>
      </c>
      <c r="U7" s="49"/>
      <c r="V7" s="49"/>
      <c r="W7" s="49"/>
      <c r="X7" s="49"/>
      <c r="Y7" s="49">
        <v>0</v>
      </c>
    </row>
    <row r="8" spans="1:25" s="7" customFormat="1" ht="15" customHeight="1">
      <c r="A8" s="12" t="s">
        <v>697</v>
      </c>
      <c r="B8" s="8" t="s">
        <v>598</v>
      </c>
      <c r="C8" s="9" t="s">
        <v>613</v>
      </c>
      <c r="D8" s="9" t="s">
        <v>603</v>
      </c>
      <c r="E8" s="49">
        <v>1.38</v>
      </c>
      <c r="F8" s="49"/>
      <c r="G8" s="49">
        <v>18.899999999999999</v>
      </c>
      <c r="H8" s="49">
        <v>3.74</v>
      </c>
      <c r="I8" s="49">
        <v>8.02</v>
      </c>
      <c r="J8" s="49">
        <v>1.85</v>
      </c>
      <c r="K8" s="49"/>
      <c r="L8" s="49"/>
      <c r="M8" s="49">
        <v>1.35</v>
      </c>
      <c r="N8" s="49">
        <v>12.61</v>
      </c>
      <c r="O8" s="49">
        <v>2.78</v>
      </c>
      <c r="P8" s="49">
        <v>23.6</v>
      </c>
      <c r="Q8" s="49">
        <v>1.23</v>
      </c>
      <c r="R8" s="49">
        <v>1.83</v>
      </c>
      <c r="S8" s="49">
        <v>1.92</v>
      </c>
      <c r="T8" s="49">
        <v>1.51</v>
      </c>
      <c r="U8" s="49">
        <v>1.38</v>
      </c>
      <c r="V8" s="49"/>
      <c r="W8" s="49">
        <v>0</v>
      </c>
      <c r="X8" s="49"/>
      <c r="Y8" s="49">
        <v>0.78</v>
      </c>
    </row>
    <row r="9" spans="1:25" s="7" customFormat="1" ht="15" customHeight="1">
      <c r="A9" s="12" t="s">
        <v>698</v>
      </c>
      <c r="B9" s="8" t="s">
        <v>598</v>
      </c>
      <c r="C9" s="9" t="s">
        <v>614</v>
      </c>
      <c r="D9" s="9" t="s">
        <v>603</v>
      </c>
      <c r="E9" s="49">
        <v>1.38</v>
      </c>
      <c r="F9" s="49"/>
      <c r="G9" s="49">
        <v>17.55</v>
      </c>
      <c r="H9" s="49">
        <v>3.5</v>
      </c>
      <c r="I9" s="49">
        <v>7.26</v>
      </c>
      <c r="J9" s="49">
        <v>1.84</v>
      </c>
      <c r="K9" s="49"/>
      <c r="L9" s="49"/>
      <c r="M9" s="49">
        <v>1.35</v>
      </c>
      <c r="N9" s="49">
        <v>5.51</v>
      </c>
      <c r="O9" s="49">
        <v>2.78</v>
      </c>
      <c r="P9" s="49">
        <v>15.3</v>
      </c>
      <c r="Q9" s="49">
        <v>1.1599999999999999</v>
      </c>
      <c r="R9" s="49">
        <v>1.83</v>
      </c>
      <c r="S9" s="49">
        <v>1.9</v>
      </c>
      <c r="T9" s="49">
        <v>1.01</v>
      </c>
      <c r="U9" s="49">
        <v>1.38</v>
      </c>
      <c r="V9" s="49"/>
      <c r="W9" s="49">
        <v>0</v>
      </c>
      <c r="X9" s="49"/>
      <c r="Y9" s="49">
        <v>0.78</v>
      </c>
    </row>
    <row r="10" spans="1:25" s="7" customFormat="1" ht="15" customHeight="1">
      <c r="A10" s="12" t="s">
        <v>699</v>
      </c>
      <c r="B10" s="8" t="s">
        <v>598</v>
      </c>
      <c r="C10" s="9" t="s">
        <v>615</v>
      </c>
      <c r="D10" s="9" t="s">
        <v>603</v>
      </c>
      <c r="E10" s="49">
        <v>1.38</v>
      </c>
      <c r="F10" s="49"/>
      <c r="G10" s="49">
        <v>16.2</v>
      </c>
      <c r="H10" s="49">
        <v>2.91</v>
      </c>
      <c r="I10" s="49">
        <v>6.9</v>
      </c>
      <c r="J10" s="49">
        <v>1.82</v>
      </c>
      <c r="K10" s="49"/>
      <c r="L10" s="49"/>
      <c r="M10" s="49">
        <v>1.35</v>
      </c>
      <c r="N10" s="49">
        <v>4.54</v>
      </c>
      <c r="O10" s="49">
        <v>2.78</v>
      </c>
      <c r="P10" s="49">
        <v>12.09</v>
      </c>
      <c r="Q10" s="49">
        <v>1.1599999999999999</v>
      </c>
      <c r="R10" s="49">
        <v>1.83</v>
      </c>
      <c r="S10" s="49">
        <v>1.88</v>
      </c>
      <c r="T10" s="49">
        <v>0.76</v>
      </c>
      <c r="U10" s="49">
        <v>1.38</v>
      </c>
      <c r="V10" s="49"/>
      <c r="W10" s="49">
        <v>0</v>
      </c>
      <c r="X10" s="49"/>
      <c r="Y10" s="49">
        <v>0.78</v>
      </c>
    </row>
    <row r="11" spans="1:25" s="7" customFormat="1" ht="15" customHeight="1">
      <c r="A11" s="12" t="s">
        <v>700</v>
      </c>
      <c r="B11" s="8" t="s">
        <v>598</v>
      </c>
      <c r="C11" s="9" t="s">
        <v>616</v>
      </c>
      <c r="D11" s="9" t="s">
        <v>604</v>
      </c>
      <c r="E11" s="49">
        <v>0</v>
      </c>
      <c r="F11" s="49"/>
      <c r="G11" s="49">
        <v>3.6</v>
      </c>
      <c r="H11" s="49">
        <v>0.67</v>
      </c>
      <c r="I11" s="49">
        <v>0</v>
      </c>
      <c r="J11" s="49">
        <v>0</v>
      </c>
      <c r="K11" s="49"/>
      <c r="L11" s="49"/>
      <c r="M11" s="49">
        <v>0</v>
      </c>
      <c r="N11" s="49">
        <v>0.33</v>
      </c>
      <c r="O11" s="49">
        <v>0.71</v>
      </c>
      <c r="P11" s="49">
        <v>1.5</v>
      </c>
      <c r="Q11" s="49">
        <v>0.65</v>
      </c>
      <c r="R11" s="49">
        <v>0</v>
      </c>
      <c r="S11" s="49"/>
      <c r="T11" s="49">
        <v>0.22</v>
      </c>
      <c r="U11" s="49">
        <v>0</v>
      </c>
      <c r="V11" s="49"/>
      <c r="W11" s="49"/>
      <c r="X11" s="49"/>
      <c r="Y11" s="49">
        <v>0</v>
      </c>
    </row>
    <row r="12" spans="1:25" s="7" customFormat="1" ht="15" customHeight="1">
      <c r="A12" s="12" t="s">
        <v>701</v>
      </c>
      <c r="B12" s="8" t="s">
        <v>598</v>
      </c>
      <c r="C12" s="9" t="s">
        <v>617</v>
      </c>
      <c r="D12" s="9" t="s">
        <v>604</v>
      </c>
      <c r="E12" s="49">
        <v>0</v>
      </c>
      <c r="F12" s="49"/>
      <c r="G12" s="49">
        <v>3.24</v>
      </c>
      <c r="H12" s="49">
        <v>0.67</v>
      </c>
      <c r="I12" s="49">
        <v>0</v>
      </c>
      <c r="J12" s="49">
        <v>0</v>
      </c>
      <c r="K12" s="49"/>
      <c r="L12" s="49"/>
      <c r="M12" s="49">
        <v>0</v>
      </c>
      <c r="N12" s="49">
        <v>0.14000000000000001</v>
      </c>
      <c r="O12" s="49">
        <v>0.65</v>
      </c>
      <c r="P12" s="49">
        <v>1.5</v>
      </c>
      <c r="Q12" s="49">
        <v>0.65</v>
      </c>
      <c r="R12" s="49">
        <v>0</v>
      </c>
      <c r="S12" s="49"/>
      <c r="T12" s="49">
        <v>0.15</v>
      </c>
      <c r="U12" s="49">
        <v>0</v>
      </c>
      <c r="V12" s="49"/>
      <c r="W12" s="49"/>
      <c r="X12" s="49"/>
      <c r="Y12" s="49">
        <v>0</v>
      </c>
    </row>
    <row r="13" spans="1:25" s="7" customFormat="1" ht="15" customHeight="1">
      <c r="A13" s="12" t="s">
        <v>702</v>
      </c>
      <c r="B13" s="8" t="s">
        <v>598</v>
      </c>
      <c r="C13" s="9" t="s">
        <v>618</v>
      </c>
      <c r="D13" s="9" t="s">
        <v>604</v>
      </c>
      <c r="E13" s="49">
        <v>0</v>
      </c>
      <c r="F13" s="49"/>
      <c r="G13" s="49">
        <v>2.88</v>
      </c>
      <c r="H13" s="49">
        <v>0.67</v>
      </c>
      <c r="I13" s="49">
        <v>0</v>
      </c>
      <c r="J13" s="49">
        <v>0</v>
      </c>
      <c r="K13" s="49"/>
      <c r="L13" s="49"/>
      <c r="M13" s="49">
        <v>0</v>
      </c>
      <c r="N13" s="49">
        <v>0.13</v>
      </c>
      <c r="O13" s="49">
        <v>0.6</v>
      </c>
      <c r="P13" s="49">
        <v>1.5</v>
      </c>
      <c r="Q13" s="49">
        <v>0.65</v>
      </c>
      <c r="R13" s="49">
        <v>0</v>
      </c>
      <c r="S13" s="49"/>
      <c r="T13" s="49">
        <v>0.1</v>
      </c>
      <c r="U13" s="49">
        <v>0</v>
      </c>
      <c r="V13" s="49"/>
      <c r="W13" s="49"/>
      <c r="X13" s="49"/>
      <c r="Y13" s="49">
        <v>0</v>
      </c>
    </row>
    <row r="14" spans="1:25" s="7" customFormat="1" ht="15" customHeight="1">
      <c r="A14" s="12" t="s">
        <v>703</v>
      </c>
      <c r="B14" s="8" t="s">
        <v>598</v>
      </c>
      <c r="C14" s="9" t="s">
        <v>674</v>
      </c>
      <c r="D14" s="9" t="s">
        <v>603</v>
      </c>
      <c r="E14" s="49">
        <v>7.18</v>
      </c>
      <c r="F14" s="49"/>
      <c r="G14" s="49">
        <v>4</v>
      </c>
      <c r="H14" s="49">
        <v>14.13</v>
      </c>
      <c r="I14" s="49">
        <v>9.4</v>
      </c>
      <c r="J14" s="49">
        <v>14.63</v>
      </c>
      <c r="K14" s="49"/>
      <c r="L14" s="49"/>
      <c r="M14" s="49">
        <v>7.07</v>
      </c>
      <c r="N14" s="49">
        <v>4.74</v>
      </c>
      <c r="O14" s="49">
        <v>5.35</v>
      </c>
      <c r="P14" s="49">
        <v>14.39</v>
      </c>
      <c r="Q14" s="49">
        <v>8.7100000000000009</v>
      </c>
      <c r="R14" s="49">
        <v>6.66</v>
      </c>
      <c r="S14" s="49">
        <v>7.13</v>
      </c>
      <c r="T14" s="49">
        <v>10.08</v>
      </c>
      <c r="U14" s="49">
        <v>7.1821749999999991</v>
      </c>
      <c r="V14" s="49"/>
      <c r="W14" s="49">
        <v>32.25</v>
      </c>
      <c r="X14" s="49"/>
      <c r="Y14" s="49">
        <v>13.26</v>
      </c>
    </row>
    <row r="15" spans="1:25" s="7" customFormat="1" ht="15" customHeight="1">
      <c r="A15" s="12" t="s">
        <v>704</v>
      </c>
      <c r="B15" s="8" t="s">
        <v>598</v>
      </c>
      <c r="C15" s="9" t="s">
        <v>675</v>
      </c>
      <c r="D15" s="9" t="s">
        <v>603</v>
      </c>
      <c r="E15" s="49">
        <v>6.63</v>
      </c>
      <c r="F15" s="49"/>
      <c r="G15" s="49">
        <v>2.1</v>
      </c>
      <c r="H15" s="49">
        <v>13.25</v>
      </c>
      <c r="I15" s="49">
        <v>8.2799999999999994</v>
      </c>
      <c r="J15" s="49">
        <v>14.63</v>
      </c>
      <c r="K15" s="49"/>
      <c r="L15" s="49"/>
      <c r="M15" s="49">
        <v>6.53</v>
      </c>
      <c r="N15" s="49">
        <v>4.74</v>
      </c>
      <c r="O15" s="49">
        <v>5.1100000000000003</v>
      </c>
      <c r="P15" s="49">
        <v>12.33</v>
      </c>
      <c r="Q15" s="49">
        <v>3.69</v>
      </c>
      <c r="R15" s="49">
        <v>6.11</v>
      </c>
      <c r="S15" s="49">
        <v>6.58</v>
      </c>
      <c r="T15" s="49">
        <v>8.56</v>
      </c>
      <c r="U15" s="49">
        <v>6.6296999999999997</v>
      </c>
      <c r="V15" s="49"/>
      <c r="W15" s="49">
        <v>25.68</v>
      </c>
      <c r="X15" s="49"/>
      <c r="Y15" s="49">
        <v>9.73</v>
      </c>
    </row>
    <row r="16" spans="1:25" s="7" customFormat="1" ht="15" customHeight="1">
      <c r="A16" s="12" t="s">
        <v>705</v>
      </c>
      <c r="B16" s="8" t="s">
        <v>598</v>
      </c>
      <c r="C16" s="9" t="s">
        <v>676</v>
      </c>
      <c r="D16" s="9" t="s">
        <v>603</v>
      </c>
      <c r="E16" s="49">
        <v>6.08</v>
      </c>
      <c r="F16" s="49"/>
      <c r="G16" s="49">
        <v>2.1</v>
      </c>
      <c r="H16" s="49">
        <v>12.14</v>
      </c>
      <c r="I16" s="49">
        <v>7.09</v>
      </c>
      <c r="J16" s="49">
        <v>14.63</v>
      </c>
      <c r="K16" s="49"/>
      <c r="L16" s="49"/>
      <c r="M16" s="49">
        <v>5.98</v>
      </c>
      <c r="N16" s="49">
        <v>4.74</v>
      </c>
      <c r="O16" s="49">
        <v>5.1100000000000003</v>
      </c>
      <c r="P16" s="49">
        <v>11.3</v>
      </c>
      <c r="Q16" s="49">
        <v>3.05</v>
      </c>
      <c r="R16" s="49">
        <v>5.55</v>
      </c>
      <c r="S16" s="49">
        <v>6.03</v>
      </c>
      <c r="T16" s="49">
        <v>7.05</v>
      </c>
      <c r="U16" s="49">
        <v>6.0772249999999994</v>
      </c>
      <c r="V16" s="49"/>
      <c r="W16" s="49">
        <v>19.260000000000002</v>
      </c>
      <c r="X16" s="49"/>
      <c r="Y16" s="49">
        <v>7.73</v>
      </c>
    </row>
    <row r="17" spans="1:25" s="7" customFormat="1" ht="15" customHeight="1">
      <c r="A17" s="16"/>
      <c r="B17" s="17"/>
      <c r="C17" s="18"/>
      <c r="D17" s="18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spans="1:25" s="7" customFormat="1" ht="15" customHeight="1">
      <c r="A18" s="12" t="s">
        <v>706</v>
      </c>
      <c r="B18" s="8" t="s">
        <v>599</v>
      </c>
      <c r="C18" s="9" t="s">
        <v>610</v>
      </c>
      <c r="D18" s="9" t="s">
        <v>603</v>
      </c>
      <c r="E18" s="49"/>
      <c r="F18" s="49">
        <v>20.45</v>
      </c>
      <c r="G18" s="49">
        <v>22.76</v>
      </c>
      <c r="H18" s="49">
        <v>12.3</v>
      </c>
      <c r="I18" s="49"/>
      <c r="J18" s="49"/>
      <c r="K18" s="49">
        <v>17</v>
      </c>
      <c r="L18" s="49">
        <v>21.56</v>
      </c>
      <c r="M18" s="49"/>
      <c r="N18" s="49">
        <v>20.5</v>
      </c>
      <c r="O18" s="49">
        <v>12</v>
      </c>
      <c r="P18" s="49">
        <v>40.07</v>
      </c>
      <c r="Q18" s="49">
        <v>11.44</v>
      </c>
      <c r="R18" s="49"/>
      <c r="S18" s="49"/>
      <c r="T18" s="49">
        <v>35.729999999999997</v>
      </c>
      <c r="U18" s="49"/>
      <c r="V18" s="49">
        <v>20.8</v>
      </c>
      <c r="W18" s="49"/>
      <c r="X18" s="49">
        <v>22.12</v>
      </c>
      <c r="Y18" s="49"/>
    </row>
    <row r="19" spans="1:25" s="7" customFormat="1" ht="15" customHeight="1">
      <c r="A19" s="12" t="s">
        <v>707</v>
      </c>
      <c r="B19" s="8" t="s">
        <v>599</v>
      </c>
      <c r="C19" s="9" t="s">
        <v>611</v>
      </c>
      <c r="D19" s="9" t="s">
        <v>603</v>
      </c>
      <c r="E19" s="49"/>
      <c r="F19" s="49">
        <v>20.45</v>
      </c>
      <c r="G19" s="49">
        <v>20.49</v>
      </c>
      <c r="H19" s="49">
        <v>11.53</v>
      </c>
      <c r="I19" s="49"/>
      <c r="J19" s="49"/>
      <c r="K19" s="49">
        <v>12</v>
      </c>
      <c r="L19" s="49">
        <v>21.56</v>
      </c>
      <c r="M19" s="49"/>
      <c r="N19" s="49">
        <v>11.3</v>
      </c>
      <c r="O19" s="49">
        <v>10.68</v>
      </c>
      <c r="P19" s="49">
        <v>26.72</v>
      </c>
      <c r="Q19" s="49">
        <v>7.7</v>
      </c>
      <c r="R19" s="49"/>
      <c r="S19" s="49"/>
      <c r="T19" s="49">
        <v>23.47</v>
      </c>
      <c r="U19" s="49"/>
      <c r="V19" s="49">
        <v>20.8</v>
      </c>
      <c r="W19" s="49"/>
      <c r="X19" s="49">
        <v>22.12</v>
      </c>
      <c r="Y19" s="49"/>
    </row>
    <row r="20" spans="1:25" s="7" customFormat="1" ht="15" customHeight="1">
      <c r="A20" s="12" t="s">
        <v>708</v>
      </c>
      <c r="B20" s="8" t="s">
        <v>599</v>
      </c>
      <c r="C20" s="9" t="s">
        <v>612</v>
      </c>
      <c r="D20" s="9" t="s">
        <v>603</v>
      </c>
      <c r="E20" s="49"/>
      <c r="F20" s="49">
        <v>15.34</v>
      </c>
      <c r="G20" s="49">
        <v>16.39</v>
      </c>
      <c r="H20" s="49">
        <v>10.210000000000001</v>
      </c>
      <c r="I20" s="49"/>
      <c r="J20" s="49"/>
      <c r="K20" s="49">
        <v>8</v>
      </c>
      <c r="L20" s="49">
        <v>16.170000000000002</v>
      </c>
      <c r="M20" s="49"/>
      <c r="N20" s="49">
        <v>6.32</v>
      </c>
      <c r="O20" s="49">
        <v>10.199999999999999</v>
      </c>
      <c r="P20" s="49">
        <v>19.52</v>
      </c>
      <c r="Q20" s="49">
        <v>6.41</v>
      </c>
      <c r="R20" s="49"/>
      <c r="S20" s="49"/>
      <c r="T20" s="49">
        <v>16.34</v>
      </c>
      <c r="U20" s="49"/>
      <c r="V20" s="49">
        <v>20.8</v>
      </c>
      <c r="W20" s="49"/>
      <c r="X20" s="49">
        <v>22.12</v>
      </c>
      <c r="Y20" s="49"/>
    </row>
    <row r="21" spans="1:25" s="7" customFormat="1" ht="15" customHeight="1">
      <c r="A21" s="12" t="s">
        <v>709</v>
      </c>
      <c r="B21" s="8" t="s">
        <v>599</v>
      </c>
      <c r="C21" s="9" t="s">
        <v>677</v>
      </c>
      <c r="D21" s="9" t="s">
        <v>604</v>
      </c>
      <c r="E21" s="49"/>
      <c r="F21" s="49"/>
      <c r="G21" s="49">
        <v>3.6</v>
      </c>
      <c r="H21" s="49">
        <v>1.22</v>
      </c>
      <c r="I21" s="49"/>
      <c r="J21" s="49"/>
      <c r="K21" s="49">
        <v>2.25</v>
      </c>
      <c r="L21" s="49"/>
      <c r="M21" s="49"/>
      <c r="N21" s="49">
        <v>0.33</v>
      </c>
      <c r="O21" s="49">
        <v>0.78</v>
      </c>
      <c r="P21" s="49">
        <v>1.5</v>
      </c>
      <c r="Q21" s="49">
        <v>0.87</v>
      </c>
      <c r="R21" s="49"/>
      <c r="S21" s="49"/>
      <c r="T21" s="49">
        <v>0.53</v>
      </c>
      <c r="U21" s="49"/>
      <c r="V21" s="49"/>
      <c r="W21" s="49"/>
      <c r="X21" s="49"/>
      <c r="Y21" s="49"/>
    </row>
    <row r="22" spans="1:25" s="7" customFormat="1" ht="15" customHeight="1">
      <c r="A22" s="12" t="s">
        <v>710</v>
      </c>
      <c r="B22" s="8" t="s">
        <v>599</v>
      </c>
      <c r="C22" s="9" t="s">
        <v>678</v>
      </c>
      <c r="D22" s="9" t="s">
        <v>604</v>
      </c>
      <c r="E22" s="49"/>
      <c r="F22" s="49"/>
      <c r="G22" s="49">
        <v>3.24</v>
      </c>
      <c r="H22" s="49">
        <v>1.22</v>
      </c>
      <c r="I22" s="49"/>
      <c r="J22" s="49"/>
      <c r="K22" s="49">
        <v>1.75</v>
      </c>
      <c r="L22" s="49"/>
      <c r="M22" s="49"/>
      <c r="N22" s="49">
        <v>0.14000000000000001</v>
      </c>
      <c r="O22" s="49">
        <v>0.69</v>
      </c>
      <c r="P22" s="49">
        <v>1.5</v>
      </c>
      <c r="Q22" s="49">
        <v>0.87</v>
      </c>
      <c r="R22" s="49"/>
      <c r="S22" s="49"/>
      <c r="T22" s="49">
        <v>0.32</v>
      </c>
      <c r="U22" s="49"/>
      <c r="V22" s="49"/>
      <c r="W22" s="49"/>
      <c r="X22" s="49"/>
      <c r="Y22" s="49"/>
    </row>
    <row r="23" spans="1:25" s="7" customFormat="1" ht="15" customHeight="1">
      <c r="A23" s="12" t="s">
        <v>711</v>
      </c>
      <c r="B23" s="8" t="s">
        <v>599</v>
      </c>
      <c r="C23" s="9" t="s">
        <v>679</v>
      </c>
      <c r="D23" s="9" t="s">
        <v>604</v>
      </c>
      <c r="E23" s="49"/>
      <c r="F23" s="49"/>
      <c r="G23" s="49">
        <v>2.88</v>
      </c>
      <c r="H23" s="49">
        <v>1.22</v>
      </c>
      <c r="I23" s="49"/>
      <c r="J23" s="49"/>
      <c r="K23" s="49">
        <v>1.25</v>
      </c>
      <c r="L23" s="49"/>
      <c r="M23" s="49"/>
      <c r="N23" s="49">
        <v>0.13</v>
      </c>
      <c r="O23" s="49">
        <v>0.53</v>
      </c>
      <c r="P23" s="49">
        <v>1.5</v>
      </c>
      <c r="Q23" s="49">
        <v>0.87</v>
      </c>
      <c r="R23" s="49"/>
      <c r="S23" s="49"/>
      <c r="T23" s="49">
        <v>0.27</v>
      </c>
      <c r="U23" s="49"/>
      <c r="V23" s="49"/>
      <c r="W23" s="49"/>
      <c r="X23" s="49"/>
      <c r="Y23" s="49"/>
    </row>
    <row r="24" spans="1:25" s="7" customFormat="1" ht="15" customHeight="1">
      <c r="A24" s="12" t="s">
        <v>712</v>
      </c>
      <c r="B24" s="8" t="s">
        <v>599</v>
      </c>
      <c r="C24" s="9" t="s">
        <v>613</v>
      </c>
      <c r="D24" s="9" t="s">
        <v>603</v>
      </c>
      <c r="E24" s="49"/>
      <c r="F24" s="49">
        <v>8.64</v>
      </c>
      <c r="G24" s="49">
        <v>18.899999999999999</v>
      </c>
      <c r="H24" s="49">
        <v>5.45</v>
      </c>
      <c r="I24" s="49"/>
      <c r="J24" s="49"/>
      <c r="K24" s="49">
        <v>8</v>
      </c>
      <c r="L24" s="49">
        <v>8.1199999999999992</v>
      </c>
      <c r="M24" s="49"/>
      <c r="N24" s="49">
        <v>12.61</v>
      </c>
      <c r="O24" s="49">
        <v>3.34</v>
      </c>
      <c r="P24" s="49">
        <v>24.9</v>
      </c>
      <c r="Q24" s="49">
        <v>1.32</v>
      </c>
      <c r="R24" s="49"/>
      <c r="S24" s="49"/>
      <c r="T24" s="49">
        <v>3.02</v>
      </c>
      <c r="U24" s="49"/>
      <c r="V24" s="49">
        <v>8.7899999999999991</v>
      </c>
      <c r="W24" s="49"/>
      <c r="X24" s="49">
        <v>9.36</v>
      </c>
      <c r="Y24" s="49"/>
    </row>
    <row r="25" spans="1:25" s="7" customFormat="1" ht="15" customHeight="1">
      <c r="A25" s="12" t="s">
        <v>713</v>
      </c>
      <c r="B25" s="8" t="s">
        <v>599</v>
      </c>
      <c r="C25" s="9" t="s">
        <v>614</v>
      </c>
      <c r="D25" s="9" t="s">
        <v>603</v>
      </c>
      <c r="E25" s="49"/>
      <c r="F25" s="49">
        <v>8.64</v>
      </c>
      <c r="G25" s="49">
        <v>17.55</v>
      </c>
      <c r="H25" s="49">
        <v>5.1100000000000003</v>
      </c>
      <c r="I25" s="49"/>
      <c r="J25" s="49"/>
      <c r="K25" s="49">
        <v>6</v>
      </c>
      <c r="L25" s="49">
        <v>8.1199999999999992</v>
      </c>
      <c r="M25" s="49"/>
      <c r="N25" s="49">
        <v>5.51</v>
      </c>
      <c r="O25" s="49">
        <v>3.34</v>
      </c>
      <c r="P25" s="49">
        <v>15.56</v>
      </c>
      <c r="Q25" s="49">
        <v>1.23</v>
      </c>
      <c r="R25" s="49"/>
      <c r="S25" s="49"/>
      <c r="T25" s="49">
        <v>2.77</v>
      </c>
      <c r="U25" s="49"/>
      <c r="V25" s="49">
        <v>8.7899999999999991</v>
      </c>
      <c r="W25" s="49"/>
      <c r="X25" s="49">
        <v>9.36</v>
      </c>
      <c r="Y25" s="49"/>
    </row>
    <row r="26" spans="1:25" s="7" customFormat="1" ht="15" customHeight="1">
      <c r="A26" s="12" t="s">
        <v>714</v>
      </c>
      <c r="B26" s="8" t="s">
        <v>599</v>
      </c>
      <c r="C26" s="9" t="s">
        <v>615</v>
      </c>
      <c r="D26" s="9" t="s">
        <v>603</v>
      </c>
      <c r="E26" s="49"/>
      <c r="F26" s="49">
        <v>6.45</v>
      </c>
      <c r="G26" s="49">
        <v>16.2</v>
      </c>
      <c r="H26" s="49">
        <v>4.25</v>
      </c>
      <c r="I26" s="49"/>
      <c r="J26" s="49"/>
      <c r="K26" s="49">
        <v>4.5</v>
      </c>
      <c r="L26" s="49">
        <v>6.09</v>
      </c>
      <c r="M26" s="49"/>
      <c r="N26" s="49">
        <v>4.54</v>
      </c>
      <c r="O26" s="49">
        <v>3.34</v>
      </c>
      <c r="P26" s="49">
        <v>12.45</v>
      </c>
      <c r="Q26" s="49">
        <v>1.25</v>
      </c>
      <c r="R26" s="49"/>
      <c r="S26" s="49"/>
      <c r="T26" s="49">
        <v>2.52</v>
      </c>
      <c r="U26" s="49"/>
      <c r="V26" s="49">
        <v>8.7899999999999991</v>
      </c>
      <c r="W26" s="49"/>
      <c r="X26" s="49">
        <v>9.36</v>
      </c>
      <c r="Y26" s="49"/>
    </row>
    <row r="27" spans="1:25" s="7" customFormat="1" ht="15" customHeight="1">
      <c r="A27" s="12" t="s">
        <v>715</v>
      </c>
      <c r="B27" s="8" t="s">
        <v>599</v>
      </c>
      <c r="C27" s="9" t="s">
        <v>616</v>
      </c>
      <c r="D27" s="9" t="s">
        <v>604</v>
      </c>
      <c r="E27" s="49"/>
      <c r="F27" s="49"/>
      <c r="G27" s="49">
        <v>3.6</v>
      </c>
      <c r="H27" s="49">
        <v>0.98</v>
      </c>
      <c r="I27" s="49"/>
      <c r="J27" s="49"/>
      <c r="K27" s="49">
        <v>2.25</v>
      </c>
      <c r="L27" s="49"/>
      <c r="M27" s="49"/>
      <c r="N27" s="49">
        <v>0.33</v>
      </c>
      <c r="O27" s="49">
        <v>0.89</v>
      </c>
      <c r="P27" s="49">
        <v>1.5</v>
      </c>
      <c r="Q27" s="49">
        <v>0.87</v>
      </c>
      <c r="R27" s="49"/>
      <c r="S27" s="49"/>
      <c r="T27" s="49">
        <v>0.24</v>
      </c>
      <c r="U27" s="49"/>
      <c r="V27" s="49"/>
      <c r="W27" s="49"/>
      <c r="X27" s="49"/>
      <c r="Y27" s="49"/>
    </row>
    <row r="28" spans="1:25" s="7" customFormat="1" ht="15" customHeight="1">
      <c r="A28" s="12" t="s">
        <v>716</v>
      </c>
      <c r="B28" s="8" t="s">
        <v>599</v>
      </c>
      <c r="C28" s="9" t="s">
        <v>617</v>
      </c>
      <c r="D28" s="9" t="s">
        <v>604</v>
      </c>
      <c r="E28" s="49"/>
      <c r="F28" s="49"/>
      <c r="G28" s="49">
        <v>3.24</v>
      </c>
      <c r="H28" s="49">
        <v>0.98</v>
      </c>
      <c r="I28" s="49"/>
      <c r="J28" s="49"/>
      <c r="K28" s="49">
        <v>1.75</v>
      </c>
      <c r="L28" s="49"/>
      <c r="M28" s="49"/>
      <c r="N28" s="49">
        <v>0.14000000000000001</v>
      </c>
      <c r="O28" s="49">
        <v>0.81</v>
      </c>
      <c r="P28" s="49">
        <v>1.5</v>
      </c>
      <c r="Q28" s="49">
        <v>0.87</v>
      </c>
      <c r="R28" s="49"/>
      <c r="S28" s="49"/>
      <c r="T28" s="49">
        <v>0.16</v>
      </c>
      <c r="U28" s="49"/>
      <c r="V28" s="49"/>
      <c r="W28" s="49"/>
      <c r="X28" s="49"/>
      <c r="Y28" s="49"/>
    </row>
    <row r="29" spans="1:25" s="7" customFormat="1" ht="15" customHeight="1">
      <c r="A29" s="12" t="s">
        <v>717</v>
      </c>
      <c r="B29" s="8" t="s">
        <v>599</v>
      </c>
      <c r="C29" s="9" t="s">
        <v>618</v>
      </c>
      <c r="D29" s="9" t="s">
        <v>604</v>
      </c>
      <c r="E29" s="49"/>
      <c r="F29" s="49"/>
      <c r="G29" s="49">
        <v>2.88</v>
      </c>
      <c r="H29" s="49">
        <v>0.98</v>
      </c>
      <c r="I29" s="49"/>
      <c r="J29" s="49"/>
      <c r="K29" s="49">
        <v>1.25</v>
      </c>
      <c r="L29" s="49"/>
      <c r="M29" s="49"/>
      <c r="N29" s="49">
        <v>0.13</v>
      </c>
      <c r="O29" s="49">
        <v>0.74</v>
      </c>
      <c r="P29" s="49">
        <v>1.5</v>
      </c>
      <c r="Q29" s="49">
        <v>0.87</v>
      </c>
      <c r="R29" s="49"/>
      <c r="S29" s="49"/>
      <c r="T29" s="49">
        <v>0.11</v>
      </c>
      <c r="U29" s="49"/>
      <c r="V29" s="49"/>
      <c r="W29" s="49"/>
      <c r="X29" s="49"/>
      <c r="Y29" s="49"/>
    </row>
    <row r="30" spans="1:25" s="7" customFormat="1" ht="15" customHeight="1">
      <c r="A30" s="12" t="s">
        <v>718</v>
      </c>
      <c r="B30" s="8" t="s">
        <v>599</v>
      </c>
      <c r="C30" s="9" t="s">
        <v>674</v>
      </c>
      <c r="D30" s="9" t="s">
        <v>603</v>
      </c>
      <c r="E30" s="49"/>
      <c r="F30" s="49">
        <v>10.88</v>
      </c>
      <c r="G30" s="49">
        <v>4</v>
      </c>
      <c r="H30" s="49">
        <v>20.76</v>
      </c>
      <c r="I30" s="49"/>
      <c r="J30" s="49"/>
      <c r="K30" s="49">
        <v>7</v>
      </c>
      <c r="L30" s="49">
        <v>10.24</v>
      </c>
      <c r="M30" s="49"/>
      <c r="N30" s="49">
        <v>4.74</v>
      </c>
      <c r="O30" s="49">
        <v>5.2</v>
      </c>
      <c r="P30" s="49">
        <v>17.98</v>
      </c>
      <c r="Q30" s="49">
        <v>9.3699999999999992</v>
      </c>
      <c r="R30" s="49"/>
      <c r="S30" s="49"/>
      <c r="T30" s="49">
        <v>10.08</v>
      </c>
      <c r="U30" s="49"/>
      <c r="V30" s="49">
        <v>13.94</v>
      </c>
      <c r="W30" s="49"/>
      <c r="X30" s="49">
        <v>10.23</v>
      </c>
      <c r="Y30" s="49"/>
    </row>
    <row r="31" spans="1:25" s="7" customFormat="1" ht="15" customHeight="1">
      <c r="A31" s="12" t="s">
        <v>719</v>
      </c>
      <c r="B31" s="8" t="s">
        <v>599</v>
      </c>
      <c r="C31" s="9" t="s">
        <v>675</v>
      </c>
      <c r="D31" s="9" t="s">
        <v>603</v>
      </c>
      <c r="E31" s="49"/>
      <c r="F31" s="49">
        <v>10.26</v>
      </c>
      <c r="G31" s="49">
        <v>2.1</v>
      </c>
      <c r="H31" s="49">
        <v>19.47</v>
      </c>
      <c r="I31" s="49"/>
      <c r="J31" s="49"/>
      <c r="K31" s="49">
        <v>6</v>
      </c>
      <c r="L31" s="49">
        <v>8.59</v>
      </c>
      <c r="M31" s="49"/>
      <c r="N31" s="49">
        <v>4.74</v>
      </c>
      <c r="O31" s="49">
        <v>5.17</v>
      </c>
      <c r="P31" s="49">
        <v>16.440000000000001</v>
      </c>
      <c r="Q31" s="49">
        <v>4.24</v>
      </c>
      <c r="R31" s="49"/>
      <c r="S31" s="49"/>
      <c r="T31" s="49">
        <v>8.56</v>
      </c>
      <c r="U31" s="49"/>
      <c r="V31" s="49">
        <v>13.94</v>
      </c>
      <c r="W31" s="49"/>
      <c r="X31" s="49">
        <v>10.23</v>
      </c>
      <c r="Y31" s="49"/>
    </row>
    <row r="32" spans="1:25" s="7" customFormat="1" ht="15" customHeight="1">
      <c r="A32" s="12" t="s">
        <v>720</v>
      </c>
      <c r="B32" s="8" t="s">
        <v>599</v>
      </c>
      <c r="C32" s="9" t="s">
        <v>676</v>
      </c>
      <c r="D32" s="9" t="s">
        <v>603</v>
      </c>
      <c r="E32" s="49"/>
      <c r="F32" s="49">
        <v>8.6199999999999992</v>
      </c>
      <c r="G32" s="49">
        <v>2.1</v>
      </c>
      <c r="H32" s="49">
        <v>17.73</v>
      </c>
      <c r="I32" s="49"/>
      <c r="J32" s="49"/>
      <c r="K32" s="49">
        <v>4.5</v>
      </c>
      <c r="L32" s="49">
        <v>7.17</v>
      </c>
      <c r="M32" s="49"/>
      <c r="N32" s="49">
        <v>4.74</v>
      </c>
      <c r="O32" s="49">
        <v>5.17</v>
      </c>
      <c r="P32" s="49">
        <v>15.41</v>
      </c>
      <c r="Q32" s="49">
        <v>3.3</v>
      </c>
      <c r="R32" s="49"/>
      <c r="S32" s="49"/>
      <c r="T32" s="49">
        <v>7.05</v>
      </c>
      <c r="U32" s="49"/>
      <c r="V32" s="49">
        <v>13.94</v>
      </c>
      <c r="W32" s="49"/>
      <c r="X32" s="49">
        <v>10.23</v>
      </c>
      <c r="Y32" s="49"/>
    </row>
    <row r="33" spans="1:25" s="7" customFormat="1" ht="15" customHeight="1">
      <c r="A33" s="12"/>
      <c r="B33" s="6"/>
      <c r="C33" s="9"/>
      <c r="D33" s="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spans="1:25" s="7" customFormat="1" ht="15" customHeight="1">
      <c r="A34" s="12" t="s">
        <v>721</v>
      </c>
      <c r="B34" s="8" t="s">
        <v>600</v>
      </c>
      <c r="C34" s="9" t="s">
        <v>610</v>
      </c>
      <c r="D34" s="9" t="s">
        <v>603</v>
      </c>
      <c r="E34" s="49"/>
      <c r="F34" s="49"/>
      <c r="G34" s="49"/>
      <c r="H34" s="49"/>
      <c r="I34" s="49"/>
      <c r="J34" s="49"/>
      <c r="K34" s="49">
        <v>21</v>
      </c>
      <c r="L34" s="49"/>
      <c r="M34" s="49"/>
      <c r="N34" s="49">
        <v>31.77</v>
      </c>
      <c r="O34" s="49"/>
      <c r="P34" s="49">
        <v>59.18</v>
      </c>
      <c r="Q34" s="49">
        <v>16.399999999999999</v>
      </c>
      <c r="R34" s="49"/>
      <c r="S34" s="49"/>
      <c r="T34" s="49">
        <v>118.3</v>
      </c>
      <c r="U34" s="49"/>
      <c r="V34" s="49"/>
      <c r="W34" s="49"/>
      <c r="X34" s="49"/>
      <c r="Y34" s="49"/>
    </row>
    <row r="35" spans="1:25" s="7" customFormat="1" ht="15" customHeight="1">
      <c r="A35" s="12" t="s">
        <v>722</v>
      </c>
      <c r="B35" s="8" t="s">
        <v>600</v>
      </c>
      <c r="C35" s="9" t="s">
        <v>611</v>
      </c>
      <c r="D35" s="9" t="s">
        <v>603</v>
      </c>
      <c r="E35" s="49"/>
      <c r="F35" s="49"/>
      <c r="G35" s="49"/>
      <c r="H35" s="49"/>
      <c r="I35" s="49"/>
      <c r="J35" s="49"/>
      <c r="K35" s="49">
        <v>15</v>
      </c>
      <c r="L35" s="49"/>
      <c r="M35" s="49"/>
      <c r="N35" s="49">
        <v>14.08</v>
      </c>
      <c r="O35" s="49"/>
      <c r="P35" s="49">
        <v>43.87</v>
      </c>
      <c r="Q35" s="49">
        <v>8.2100000000000009</v>
      </c>
      <c r="R35" s="49"/>
      <c r="S35" s="49"/>
      <c r="T35" s="49">
        <v>41.51</v>
      </c>
      <c r="U35" s="49"/>
      <c r="V35" s="49"/>
      <c r="W35" s="49"/>
      <c r="X35" s="49"/>
      <c r="Y35" s="49"/>
    </row>
    <row r="36" spans="1:25" s="7" customFormat="1" ht="15" customHeight="1">
      <c r="A36" s="12" t="s">
        <v>723</v>
      </c>
      <c r="B36" s="8" t="s">
        <v>600</v>
      </c>
      <c r="C36" s="9" t="s">
        <v>612</v>
      </c>
      <c r="D36" s="9" t="s">
        <v>603</v>
      </c>
      <c r="E36" s="49"/>
      <c r="F36" s="49"/>
      <c r="G36" s="49"/>
      <c r="H36" s="49"/>
      <c r="I36" s="49"/>
      <c r="J36" s="49"/>
      <c r="K36" s="49">
        <v>9</v>
      </c>
      <c r="L36" s="49"/>
      <c r="M36" s="49"/>
      <c r="N36" s="49">
        <v>7.75</v>
      </c>
      <c r="O36" s="49"/>
      <c r="P36" s="49">
        <v>35.72</v>
      </c>
      <c r="Q36" s="49">
        <v>6.74</v>
      </c>
      <c r="R36" s="49"/>
      <c r="S36" s="49"/>
      <c r="T36" s="49">
        <v>20.75</v>
      </c>
      <c r="U36" s="49"/>
      <c r="V36" s="49"/>
      <c r="W36" s="49"/>
      <c r="X36" s="49"/>
      <c r="Y36" s="49"/>
    </row>
    <row r="37" spans="1:25" s="7" customFormat="1" ht="15" customHeight="1">
      <c r="A37" s="12" t="s">
        <v>724</v>
      </c>
      <c r="B37" s="8" t="s">
        <v>600</v>
      </c>
      <c r="C37" s="9" t="s">
        <v>677</v>
      </c>
      <c r="D37" s="9" t="s">
        <v>604</v>
      </c>
      <c r="E37" s="49"/>
      <c r="F37" s="49"/>
      <c r="G37" s="49"/>
      <c r="H37" s="49"/>
      <c r="I37" s="49"/>
      <c r="J37" s="49"/>
      <c r="K37" s="49">
        <v>2.25</v>
      </c>
      <c r="L37" s="49"/>
      <c r="M37" s="49"/>
      <c r="N37" s="49">
        <v>0.33</v>
      </c>
      <c r="O37" s="49"/>
      <c r="P37" s="49">
        <v>1.5</v>
      </c>
      <c r="Q37" s="49">
        <v>0.65</v>
      </c>
      <c r="R37" s="49"/>
      <c r="S37" s="49"/>
      <c r="T37" s="49">
        <v>1.44</v>
      </c>
      <c r="U37" s="49"/>
      <c r="V37" s="49"/>
      <c r="W37" s="49"/>
      <c r="X37" s="49"/>
      <c r="Y37" s="49"/>
    </row>
    <row r="38" spans="1:25" s="7" customFormat="1" ht="15" customHeight="1">
      <c r="A38" s="12" t="s">
        <v>725</v>
      </c>
      <c r="B38" s="8" t="s">
        <v>600</v>
      </c>
      <c r="C38" s="9" t="s">
        <v>678</v>
      </c>
      <c r="D38" s="9" t="s">
        <v>604</v>
      </c>
      <c r="E38" s="49"/>
      <c r="F38" s="49"/>
      <c r="G38" s="49"/>
      <c r="H38" s="49"/>
      <c r="I38" s="49"/>
      <c r="J38" s="49"/>
      <c r="K38" s="49">
        <v>1.75</v>
      </c>
      <c r="L38" s="49"/>
      <c r="M38" s="49"/>
      <c r="N38" s="49">
        <v>0.14000000000000001</v>
      </c>
      <c r="O38" s="49"/>
      <c r="P38" s="49">
        <v>1.5</v>
      </c>
      <c r="Q38" s="49">
        <v>0.65</v>
      </c>
      <c r="R38" s="49"/>
      <c r="S38" s="49"/>
      <c r="T38" s="49">
        <v>0.75</v>
      </c>
      <c r="U38" s="49"/>
      <c r="V38" s="49"/>
      <c r="W38" s="49"/>
      <c r="X38" s="49"/>
      <c r="Y38" s="49"/>
    </row>
    <row r="39" spans="1:25" s="7" customFormat="1" ht="15" customHeight="1">
      <c r="A39" s="12" t="s">
        <v>726</v>
      </c>
      <c r="B39" s="8" t="s">
        <v>600</v>
      </c>
      <c r="C39" s="9" t="s">
        <v>679</v>
      </c>
      <c r="D39" s="9" t="s">
        <v>604</v>
      </c>
      <c r="E39" s="49"/>
      <c r="F39" s="49"/>
      <c r="G39" s="49"/>
      <c r="H39" s="49"/>
      <c r="I39" s="49"/>
      <c r="J39" s="49"/>
      <c r="K39" s="49">
        <v>1.25</v>
      </c>
      <c r="L39" s="49"/>
      <c r="M39" s="49"/>
      <c r="N39" s="49">
        <v>0.13</v>
      </c>
      <c r="O39" s="49"/>
      <c r="P39" s="49">
        <v>1.5</v>
      </c>
      <c r="Q39" s="49">
        <v>0.65</v>
      </c>
      <c r="R39" s="49"/>
      <c r="S39" s="49"/>
      <c r="T39" s="49">
        <v>0.35</v>
      </c>
      <c r="U39" s="49"/>
      <c r="V39" s="49"/>
      <c r="W39" s="49"/>
      <c r="X39" s="49"/>
      <c r="Y39" s="49"/>
    </row>
    <row r="40" spans="1:25" s="7" customFormat="1" ht="15" customHeight="1">
      <c r="A40" s="12" t="s">
        <v>727</v>
      </c>
      <c r="B40" s="8" t="s">
        <v>600</v>
      </c>
      <c r="C40" s="9" t="s">
        <v>613</v>
      </c>
      <c r="D40" s="9" t="s">
        <v>603</v>
      </c>
      <c r="E40" s="49"/>
      <c r="F40" s="49"/>
      <c r="G40" s="49"/>
      <c r="H40" s="49"/>
      <c r="I40" s="49"/>
      <c r="J40" s="49"/>
      <c r="K40" s="49">
        <v>9</v>
      </c>
      <c r="L40" s="49"/>
      <c r="M40" s="49"/>
      <c r="N40" s="49">
        <v>12.61</v>
      </c>
      <c r="O40" s="49"/>
      <c r="P40" s="49">
        <v>26.64</v>
      </c>
      <c r="Q40" s="49">
        <v>1.31</v>
      </c>
      <c r="R40" s="49"/>
      <c r="S40" s="49"/>
      <c r="T40" s="49">
        <v>3.74</v>
      </c>
      <c r="U40" s="49"/>
      <c r="V40" s="49"/>
      <c r="W40" s="49"/>
      <c r="X40" s="49"/>
      <c r="Y40" s="49"/>
    </row>
    <row r="41" spans="1:25" s="7" customFormat="1" ht="15" customHeight="1">
      <c r="A41" s="12" t="s">
        <v>728</v>
      </c>
      <c r="B41" s="8" t="s">
        <v>600</v>
      </c>
      <c r="C41" s="9" t="s">
        <v>614</v>
      </c>
      <c r="D41" s="9" t="s">
        <v>603</v>
      </c>
      <c r="E41" s="49"/>
      <c r="F41" s="49"/>
      <c r="G41" s="49"/>
      <c r="H41" s="49"/>
      <c r="I41" s="49"/>
      <c r="J41" s="49"/>
      <c r="K41" s="49">
        <v>7</v>
      </c>
      <c r="L41" s="49"/>
      <c r="M41" s="49"/>
      <c r="N41" s="49">
        <v>5.51</v>
      </c>
      <c r="O41" s="49"/>
      <c r="P41" s="49">
        <v>17.64</v>
      </c>
      <c r="Q41" s="49">
        <v>1.27</v>
      </c>
      <c r="R41" s="49"/>
      <c r="S41" s="49"/>
      <c r="T41" s="49">
        <v>3.42</v>
      </c>
      <c r="U41" s="49"/>
      <c r="V41" s="49"/>
      <c r="W41" s="49"/>
      <c r="X41" s="49"/>
      <c r="Y41" s="49"/>
    </row>
    <row r="42" spans="1:25" s="7" customFormat="1" ht="15" customHeight="1">
      <c r="A42" s="12" t="s">
        <v>729</v>
      </c>
      <c r="B42" s="8" t="s">
        <v>600</v>
      </c>
      <c r="C42" s="9" t="s">
        <v>615</v>
      </c>
      <c r="D42" s="9" t="s">
        <v>603</v>
      </c>
      <c r="E42" s="49"/>
      <c r="F42" s="49"/>
      <c r="G42" s="49"/>
      <c r="H42" s="49"/>
      <c r="I42" s="49"/>
      <c r="J42" s="49"/>
      <c r="K42" s="49">
        <v>6</v>
      </c>
      <c r="L42" s="49"/>
      <c r="M42" s="49"/>
      <c r="N42" s="49">
        <v>4.54</v>
      </c>
      <c r="O42" s="49"/>
      <c r="P42" s="49">
        <v>14.57</v>
      </c>
      <c r="Q42" s="49">
        <v>1.27</v>
      </c>
      <c r="R42" s="49"/>
      <c r="S42" s="49"/>
      <c r="T42" s="49">
        <v>3.11</v>
      </c>
      <c r="U42" s="49"/>
      <c r="V42" s="49"/>
      <c r="W42" s="49"/>
      <c r="X42" s="49"/>
      <c r="Y42" s="49"/>
    </row>
    <row r="43" spans="1:25" s="7" customFormat="1" ht="15" customHeight="1">
      <c r="A43" s="12" t="s">
        <v>730</v>
      </c>
      <c r="B43" s="8" t="s">
        <v>600</v>
      </c>
      <c r="C43" s="9" t="s">
        <v>616</v>
      </c>
      <c r="D43" s="9" t="s">
        <v>604</v>
      </c>
      <c r="E43" s="49"/>
      <c r="F43" s="49"/>
      <c r="G43" s="49"/>
      <c r="H43" s="49"/>
      <c r="I43" s="49"/>
      <c r="J43" s="49"/>
      <c r="K43" s="49">
        <v>2.25</v>
      </c>
      <c r="L43" s="49"/>
      <c r="M43" s="49"/>
      <c r="N43" s="49">
        <v>0.33</v>
      </c>
      <c r="O43" s="49"/>
      <c r="P43" s="49">
        <v>1.5</v>
      </c>
      <c r="Q43" s="49">
        <v>0.65</v>
      </c>
      <c r="R43" s="49"/>
      <c r="S43" s="49"/>
      <c r="T43" s="49">
        <v>0.55000000000000004</v>
      </c>
      <c r="U43" s="49"/>
      <c r="V43" s="49"/>
      <c r="W43" s="49"/>
      <c r="X43" s="49"/>
      <c r="Y43" s="49"/>
    </row>
    <row r="44" spans="1:25" s="7" customFormat="1" ht="15" customHeight="1">
      <c r="A44" s="12" t="s">
        <v>731</v>
      </c>
      <c r="B44" s="8" t="s">
        <v>600</v>
      </c>
      <c r="C44" s="9" t="s">
        <v>617</v>
      </c>
      <c r="D44" s="9" t="s">
        <v>604</v>
      </c>
      <c r="E44" s="49"/>
      <c r="F44" s="49"/>
      <c r="G44" s="49"/>
      <c r="H44" s="49"/>
      <c r="I44" s="49"/>
      <c r="J44" s="49"/>
      <c r="K44" s="49">
        <v>1.75</v>
      </c>
      <c r="L44" s="49"/>
      <c r="M44" s="49"/>
      <c r="N44" s="49">
        <v>0.14000000000000001</v>
      </c>
      <c r="O44" s="49"/>
      <c r="P44" s="49">
        <v>1.5</v>
      </c>
      <c r="Q44" s="49">
        <v>0.65</v>
      </c>
      <c r="R44" s="49"/>
      <c r="S44" s="49"/>
      <c r="T44" s="49">
        <v>0.28999999999999998</v>
      </c>
      <c r="U44" s="49"/>
      <c r="V44" s="49"/>
      <c r="W44" s="49"/>
      <c r="X44" s="49"/>
      <c r="Y44" s="49"/>
    </row>
    <row r="45" spans="1:25" s="7" customFormat="1" ht="15" customHeight="1">
      <c r="A45" s="12" t="s">
        <v>732</v>
      </c>
      <c r="B45" s="8" t="s">
        <v>600</v>
      </c>
      <c r="C45" s="9" t="s">
        <v>618</v>
      </c>
      <c r="D45" s="9" t="s">
        <v>604</v>
      </c>
      <c r="E45" s="49"/>
      <c r="F45" s="49"/>
      <c r="G45" s="49"/>
      <c r="H45" s="49"/>
      <c r="I45" s="49"/>
      <c r="J45" s="49"/>
      <c r="K45" s="49">
        <v>1.25</v>
      </c>
      <c r="L45" s="49"/>
      <c r="M45" s="49"/>
      <c r="N45" s="49">
        <v>0.13</v>
      </c>
      <c r="O45" s="49"/>
      <c r="P45" s="49">
        <v>1.5</v>
      </c>
      <c r="Q45" s="49">
        <v>0.65</v>
      </c>
      <c r="R45" s="49"/>
      <c r="S45" s="49"/>
      <c r="T45" s="49">
        <v>0.13</v>
      </c>
      <c r="U45" s="49"/>
      <c r="V45" s="49"/>
      <c r="W45" s="49"/>
      <c r="X45" s="49"/>
      <c r="Y45" s="49"/>
    </row>
    <row r="46" spans="1:25" s="7" customFormat="1" ht="15" customHeight="1">
      <c r="A46" s="12" t="s">
        <v>733</v>
      </c>
      <c r="B46" s="8" t="s">
        <v>600</v>
      </c>
      <c r="C46" s="9" t="s">
        <v>674</v>
      </c>
      <c r="D46" s="9" t="s">
        <v>603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spans="1:25" s="7" customFormat="1" ht="15" customHeight="1">
      <c r="A47" s="12" t="s">
        <v>734</v>
      </c>
      <c r="B47" s="8" t="s">
        <v>600</v>
      </c>
      <c r="C47" s="9" t="s">
        <v>675</v>
      </c>
      <c r="D47" s="9" t="s">
        <v>603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spans="1:25" s="7" customFormat="1" ht="15" customHeight="1">
      <c r="A48" s="12" t="s">
        <v>735</v>
      </c>
      <c r="B48" s="8" t="s">
        <v>600</v>
      </c>
      <c r="C48" s="9" t="s">
        <v>676</v>
      </c>
      <c r="D48" s="9" t="s">
        <v>603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spans="1:25" s="7" customFormat="1" ht="15" customHeight="1">
      <c r="A49" s="12"/>
      <c r="B49" s="6"/>
      <c r="C49" s="9"/>
      <c r="D49" s="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spans="1:25" s="7" customFormat="1" ht="15" customHeight="1">
      <c r="A50" s="12" t="s">
        <v>736</v>
      </c>
      <c r="B50" s="8" t="s">
        <v>601</v>
      </c>
      <c r="C50" s="9" t="s">
        <v>610</v>
      </c>
      <c r="D50" s="9" t="s">
        <v>603</v>
      </c>
      <c r="E50" s="49">
        <v>3.68</v>
      </c>
      <c r="F50" s="49"/>
      <c r="G50" s="49"/>
      <c r="H50" s="49"/>
      <c r="I50" s="49">
        <v>12.51</v>
      </c>
      <c r="J50" s="49">
        <v>3.74</v>
      </c>
      <c r="K50" s="49"/>
      <c r="L50" s="49">
        <v>7.18</v>
      </c>
      <c r="M50" s="49">
        <v>3.59</v>
      </c>
      <c r="N50" s="49">
        <v>5.09</v>
      </c>
      <c r="O50" s="49">
        <v>10.51</v>
      </c>
      <c r="P50" s="49"/>
      <c r="Q50" s="49">
        <v>10.42</v>
      </c>
      <c r="R50" s="49">
        <v>3.7</v>
      </c>
      <c r="S50" s="49">
        <v>3.89</v>
      </c>
      <c r="T50" s="49"/>
      <c r="U50" s="49"/>
      <c r="V50" s="49"/>
      <c r="W50" s="49"/>
      <c r="X50" s="49"/>
      <c r="Y50" s="49"/>
    </row>
    <row r="51" spans="1:25" s="7" customFormat="1" ht="15" customHeight="1">
      <c r="A51" s="12" t="s">
        <v>737</v>
      </c>
      <c r="B51" s="8" t="s">
        <v>601</v>
      </c>
      <c r="C51" s="9" t="s">
        <v>611</v>
      </c>
      <c r="D51" s="9" t="s">
        <v>603</v>
      </c>
      <c r="E51" s="49">
        <v>3.68</v>
      </c>
      <c r="F51" s="49"/>
      <c r="G51" s="49"/>
      <c r="H51" s="49"/>
      <c r="I51" s="49">
        <v>11.85</v>
      </c>
      <c r="J51" s="49">
        <v>3.72</v>
      </c>
      <c r="K51" s="49"/>
      <c r="L51" s="49">
        <v>7.18</v>
      </c>
      <c r="M51" s="49">
        <v>3.59</v>
      </c>
      <c r="N51" s="49">
        <v>4.9400000000000004</v>
      </c>
      <c r="O51" s="49">
        <v>9.44</v>
      </c>
      <c r="P51" s="49"/>
      <c r="Q51" s="49">
        <v>6.6</v>
      </c>
      <c r="R51" s="49">
        <v>3.7</v>
      </c>
      <c r="S51" s="49">
        <v>3.85</v>
      </c>
      <c r="T51" s="49"/>
      <c r="U51" s="49"/>
      <c r="V51" s="49"/>
      <c r="W51" s="49"/>
      <c r="X51" s="49"/>
      <c r="Y51" s="49"/>
    </row>
    <row r="52" spans="1:25" s="7" customFormat="1" ht="15" customHeight="1">
      <c r="A52" s="12" t="s">
        <v>738</v>
      </c>
      <c r="B52" s="8" t="s">
        <v>601</v>
      </c>
      <c r="C52" s="9" t="s">
        <v>612</v>
      </c>
      <c r="D52" s="9" t="s">
        <v>603</v>
      </c>
      <c r="E52" s="49">
        <v>3.68</v>
      </c>
      <c r="F52" s="49"/>
      <c r="G52" s="49"/>
      <c r="H52" s="49"/>
      <c r="I52" s="49">
        <v>11.57</v>
      </c>
      <c r="J52" s="49">
        <v>3.68</v>
      </c>
      <c r="K52" s="49"/>
      <c r="L52" s="49">
        <v>7.18</v>
      </c>
      <c r="M52" s="49">
        <v>3.59</v>
      </c>
      <c r="N52" s="49">
        <v>4.49</v>
      </c>
      <c r="O52" s="49">
        <v>8.99</v>
      </c>
      <c r="P52" s="49"/>
      <c r="Q52" s="49">
        <v>5.95</v>
      </c>
      <c r="R52" s="49">
        <v>3.7</v>
      </c>
      <c r="S52" s="49">
        <v>3.81</v>
      </c>
      <c r="T52" s="49"/>
      <c r="U52" s="49"/>
      <c r="V52" s="49"/>
      <c r="W52" s="49"/>
      <c r="X52" s="49"/>
      <c r="Y52" s="49"/>
    </row>
    <row r="53" spans="1:25" s="7" customFormat="1" ht="15" customHeight="1">
      <c r="A53" s="12" t="s">
        <v>739</v>
      </c>
      <c r="B53" s="8" t="s">
        <v>601</v>
      </c>
      <c r="C53" s="9" t="s">
        <v>677</v>
      </c>
      <c r="D53" s="9" t="s">
        <v>604</v>
      </c>
      <c r="E53" s="49">
        <v>0</v>
      </c>
      <c r="F53" s="49"/>
      <c r="G53" s="49"/>
      <c r="H53" s="49"/>
      <c r="I53" s="49">
        <v>1.66</v>
      </c>
      <c r="J53" s="49">
        <v>0</v>
      </c>
      <c r="K53" s="49"/>
      <c r="L53" s="49"/>
      <c r="M53" s="49"/>
      <c r="N53" s="49">
        <v>0.33</v>
      </c>
      <c r="O53" s="49">
        <v>0.62</v>
      </c>
      <c r="P53" s="49"/>
      <c r="Q53" s="49">
        <v>0.65</v>
      </c>
      <c r="R53" s="49"/>
      <c r="S53" s="49"/>
      <c r="T53" s="49"/>
      <c r="U53" s="49"/>
      <c r="V53" s="49"/>
      <c r="W53" s="49"/>
      <c r="X53" s="49"/>
      <c r="Y53" s="49"/>
    </row>
    <row r="54" spans="1:25" s="7" customFormat="1" ht="15" customHeight="1">
      <c r="A54" s="12" t="s">
        <v>740</v>
      </c>
      <c r="B54" s="8" t="s">
        <v>601</v>
      </c>
      <c r="C54" s="9" t="s">
        <v>678</v>
      </c>
      <c r="D54" s="9" t="s">
        <v>604</v>
      </c>
      <c r="E54" s="49">
        <v>0</v>
      </c>
      <c r="F54" s="49"/>
      <c r="G54" s="49"/>
      <c r="H54" s="49"/>
      <c r="I54" s="49">
        <v>1.45</v>
      </c>
      <c r="J54" s="49">
        <v>0</v>
      </c>
      <c r="K54" s="49"/>
      <c r="L54" s="49"/>
      <c r="M54" s="49"/>
      <c r="N54" s="49">
        <v>0.14000000000000001</v>
      </c>
      <c r="O54" s="49">
        <v>0.54</v>
      </c>
      <c r="P54" s="49"/>
      <c r="Q54" s="49">
        <v>0.65</v>
      </c>
      <c r="R54" s="49"/>
      <c r="S54" s="49"/>
      <c r="T54" s="49"/>
      <c r="U54" s="49"/>
      <c r="V54" s="49"/>
      <c r="W54" s="49"/>
      <c r="X54" s="49"/>
      <c r="Y54" s="49"/>
    </row>
    <row r="55" spans="1:25" s="7" customFormat="1" ht="15" customHeight="1">
      <c r="A55" s="12" t="s">
        <v>741</v>
      </c>
      <c r="B55" s="8" t="s">
        <v>601</v>
      </c>
      <c r="C55" s="9" t="s">
        <v>679</v>
      </c>
      <c r="D55" s="9" t="s">
        <v>604</v>
      </c>
      <c r="E55" s="49">
        <v>0</v>
      </c>
      <c r="F55" s="49"/>
      <c r="G55" s="49"/>
      <c r="H55" s="49"/>
      <c r="I55" s="49">
        <v>1.38</v>
      </c>
      <c r="J55" s="49">
        <v>0</v>
      </c>
      <c r="K55" s="49"/>
      <c r="L55" s="49"/>
      <c r="M55" s="49"/>
      <c r="N55" s="49">
        <v>0.13</v>
      </c>
      <c r="O55" s="49">
        <v>0.42</v>
      </c>
      <c r="P55" s="49"/>
      <c r="Q55" s="49">
        <v>0.65</v>
      </c>
      <c r="R55" s="49"/>
      <c r="S55" s="49"/>
      <c r="T55" s="49"/>
      <c r="U55" s="49"/>
      <c r="V55" s="49"/>
      <c r="W55" s="49"/>
      <c r="X55" s="49"/>
      <c r="Y55" s="49"/>
    </row>
    <row r="56" spans="1:25" s="7" customFormat="1" ht="15" customHeight="1">
      <c r="A56" s="12" t="s">
        <v>742</v>
      </c>
      <c r="B56" s="8" t="s">
        <v>601</v>
      </c>
      <c r="C56" s="9" t="s">
        <v>613</v>
      </c>
      <c r="D56" s="9" t="s">
        <v>603</v>
      </c>
      <c r="E56" s="49">
        <v>1.38</v>
      </c>
      <c r="F56" s="49"/>
      <c r="G56" s="49"/>
      <c r="H56" s="49"/>
      <c r="I56" s="49">
        <v>8.02</v>
      </c>
      <c r="J56" s="49">
        <v>1.85</v>
      </c>
      <c r="K56" s="49"/>
      <c r="L56" s="49">
        <v>1.79</v>
      </c>
      <c r="M56" s="49">
        <v>1.35</v>
      </c>
      <c r="N56" s="49">
        <v>12.61</v>
      </c>
      <c r="O56" s="49">
        <v>2.66</v>
      </c>
      <c r="P56" s="49"/>
      <c r="Q56" s="49">
        <v>1.21</v>
      </c>
      <c r="R56" s="49">
        <v>1.83</v>
      </c>
      <c r="S56" s="49">
        <v>1.92</v>
      </c>
      <c r="T56" s="49"/>
      <c r="U56" s="49"/>
      <c r="V56" s="49"/>
      <c r="W56" s="49"/>
      <c r="X56" s="49"/>
      <c r="Y56" s="49"/>
    </row>
    <row r="57" spans="1:25" s="7" customFormat="1" ht="15" customHeight="1">
      <c r="A57" s="12" t="s">
        <v>743</v>
      </c>
      <c r="B57" s="8" t="s">
        <v>601</v>
      </c>
      <c r="C57" s="9" t="s">
        <v>614</v>
      </c>
      <c r="D57" s="9" t="s">
        <v>603</v>
      </c>
      <c r="E57" s="49">
        <v>1.38</v>
      </c>
      <c r="F57" s="49"/>
      <c r="G57" s="49"/>
      <c r="H57" s="49"/>
      <c r="I57" s="49">
        <v>7.26</v>
      </c>
      <c r="J57" s="49">
        <v>1.84</v>
      </c>
      <c r="K57" s="49"/>
      <c r="L57" s="49">
        <v>1.79</v>
      </c>
      <c r="M57" s="49">
        <v>1.35</v>
      </c>
      <c r="N57" s="49">
        <v>5.51</v>
      </c>
      <c r="O57" s="49">
        <v>2.66</v>
      </c>
      <c r="P57" s="49"/>
      <c r="Q57" s="49">
        <v>1.1399999999999999</v>
      </c>
      <c r="R57" s="49">
        <v>1.83</v>
      </c>
      <c r="S57" s="49">
        <v>1.9</v>
      </c>
      <c r="T57" s="49"/>
      <c r="U57" s="49"/>
      <c r="V57" s="49"/>
      <c r="W57" s="49"/>
      <c r="X57" s="49"/>
      <c r="Y57" s="49"/>
    </row>
    <row r="58" spans="1:25" s="7" customFormat="1" ht="15" customHeight="1">
      <c r="A58" s="12" t="s">
        <v>744</v>
      </c>
      <c r="B58" s="8" t="s">
        <v>601</v>
      </c>
      <c r="C58" s="9" t="s">
        <v>615</v>
      </c>
      <c r="D58" s="9" t="s">
        <v>603</v>
      </c>
      <c r="E58" s="49">
        <v>1.38</v>
      </c>
      <c r="F58" s="49"/>
      <c r="G58" s="49"/>
      <c r="H58" s="49"/>
      <c r="I58" s="49">
        <v>6.9</v>
      </c>
      <c r="J58" s="49">
        <v>1.82</v>
      </c>
      <c r="K58" s="49"/>
      <c r="L58" s="49">
        <v>1.79</v>
      </c>
      <c r="M58" s="49">
        <v>1.35</v>
      </c>
      <c r="N58" s="49">
        <v>4.54</v>
      </c>
      <c r="O58" s="49">
        <v>2.66</v>
      </c>
      <c r="P58" s="49"/>
      <c r="Q58" s="49">
        <v>1.1399999999999999</v>
      </c>
      <c r="R58" s="49">
        <v>1.83</v>
      </c>
      <c r="S58" s="49">
        <v>1.88</v>
      </c>
      <c r="T58" s="49"/>
      <c r="U58" s="49"/>
      <c r="V58" s="49"/>
      <c r="W58" s="49"/>
      <c r="X58" s="49"/>
      <c r="Y58" s="49"/>
    </row>
    <row r="59" spans="1:25" s="7" customFormat="1" ht="15" customHeight="1">
      <c r="A59" s="12" t="s">
        <v>745</v>
      </c>
      <c r="B59" s="8" t="s">
        <v>601</v>
      </c>
      <c r="C59" s="9" t="s">
        <v>616</v>
      </c>
      <c r="D59" s="9" t="s">
        <v>604</v>
      </c>
      <c r="E59" s="49">
        <v>0</v>
      </c>
      <c r="F59" s="49"/>
      <c r="G59" s="49"/>
      <c r="H59" s="49"/>
      <c r="I59" s="49">
        <v>0</v>
      </c>
      <c r="J59" s="49">
        <v>0</v>
      </c>
      <c r="K59" s="49"/>
      <c r="L59" s="49"/>
      <c r="M59" s="49">
        <v>0</v>
      </c>
      <c r="N59" s="49">
        <v>0.33</v>
      </c>
      <c r="O59" s="49">
        <v>0.71</v>
      </c>
      <c r="P59" s="49"/>
      <c r="Q59" s="49">
        <v>0.65</v>
      </c>
      <c r="R59" s="49">
        <v>0</v>
      </c>
      <c r="S59" s="49"/>
      <c r="T59" s="49"/>
      <c r="U59" s="49"/>
      <c r="V59" s="49"/>
      <c r="W59" s="49"/>
      <c r="X59" s="49"/>
      <c r="Y59" s="49"/>
    </row>
    <row r="60" spans="1:25" s="7" customFormat="1" ht="15" customHeight="1">
      <c r="A60" s="12" t="s">
        <v>746</v>
      </c>
      <c r="B60" s="8" t="s">
        <v>601</v>
      </c>
      <c r="C60" s="9" t="s">
        <v>617</v>
      </c>
      <c r="D60" s="9" t="s">
        <v>604</v>
      </c>
      <c r="E60" s="49">
        <v>0</v>
      </c>
      <c r="F60" s="49"/>
      <c r="G60" s="49"/>
      <c r="H60" s="49"/>
      <c r="I60" s="49">
        <v>0</v>
      </c>
      <c r="J60" s="49">
        <v>0</v>
      </c>
      <c r="K60" s="49"/>
      <c r="L60" s="49"/>
      <c r="M60" s="49">
        <v>0</v>
      </c>
      <c r="N60" s="49">
        <v>0.14000000000000001</v>
      </c>
      <c r="O60" s="49">
        <v>0.65</v>
      </c>
      <c r="P60" s="49"/>
      <c r="Q60" s="49">
        <v>0.65</v>
      </c>
      <c r="R60" s="49">
        <v>0</v>
      </c>
      <c r="S60" s="49"/>
      <c r="T60" s="49"/>
      <c r="U60" s="49"/>
      <c r="V60" s="49"/>
      <c r="W60" s="49"/>
      <c r="X60" s="49"/>
      <c r="Y60" s="49"/>
    </row>
    <row r="61" spans="1:25" s="7" customFormat="1" ht="15" customHeight="1">
      <c r="A61" s="12" t="s">
        <v>747</v>
      </c>
      <c r="B61" s="8" t="s">
        <v>601</v>
      </c>
      <c r="C61" s="9" t="s">
        <v>618</v>
      </c>
      <c r="D61" s="9" t="s">
        <v>604</v>
      </c>
      <c r="E61" s="49">
        <v>0</v>
      </c>
      <c r="F61" s="49"/>
      <c r="G61" s="49"/>
      <c r="H61" s="49"/>
      <c r="I61" s="49">
        <v>0</v>
      </c>
      <c r="J61" s="49">
        <v>0</v>
      </c>
      <c r="K61" s="49"/>
      <c r="L61" s="49"/>
      <c r="M61" s="49">
        <v>0</v>
      </c>
      <c r="N61" s="49">
        <v>0.13</v>
      </c>
      <c r="O61" s="49">
        <v>0.6</v>
      </c>
      <c r="P61" s="49"/>
      <c r="Q61" s="49">
        <v>0.65</v>
      </c>
      <c r="R61" s="49">
        <v>0</v>
      </c>
      <c r="S61" s="49"/>
      <c r="T61" s="49"/>
      <c r="U61" s="49"/>
      <c r="V61" s="49"/>
      <c r="W61" s="49"/>
      <c r="X61" s="49"/>
      <c r="Y61" s="49"/>
    </row>
    <row r="62" spans="1:25" s="7" customFormat="1" ht="15" customHeight="1">
      <c r="A62" s="12" t="s">
        <v>748</v>
      </c>
      <c r="B62" s="8" t="s">
        <v>601</v>
      </c>
      <c r="C62" s="9" t="s">
        <v>674</v>
      </c>
      <c r="D62" s="9" t="s">
        <v>603</v>
      </c>
      <c r="E62" s="49">
        <v>7.18</v>
      </c>
      <c r="F62" s="49"/>
      <c r="G62" s="49"/>
      <c r="H62" s="49"/>
      <c r="I62" s="49">
        <v>9.4</v>
      </c>
      <c r="J62" s="49">
        <v>14.63</v>
      </c>
      <c r="K62" s="49"/>
      <c r="L62" s="49">
        <v>10.24</v>
      </c>
      <c r="M62" s="49">
        <v>7.07</v>
      </c>
      <c r="N62" s="49">
        <v>4.74</v>
      </c>
      <c r="O62" s="49">
        <v>5.16</v>
      </c>
      <c r="P62" s="49"/>
      <c r="Q62" s="49">
        <v>8.59</v>
      </c>
      <c r="R62" s="49">
        <v>6.66</v>
      </c>
      <c r="S62" s="49">
        <v>7.13</v>
      </c>
      <c r="T62" s="49"/>
      <c r="U62" s="49"/>
      <c r="V62" s="49"/>
      <c r="W62" s="49"/>
      <c r="X62" s="49"/>
      <c r="Y62" s="49"/>
    </row>
    <row r="63" spans="1:25" s="7" customFormat="1" ht="15" customHeight="1">
      <c r="A63" s="12" t="s">
        <v>749</v>
      </c>
      <c r="B63" s="8" t="s">
        <v>601</v>
      </c>
      <c r="C63" s="9" t="s">
        <v>675</v>
      </c>
      <c r="D63" s="9" t="s">
        <v>603</v>
      </c>
      <c r="E63" s="49">
        <v>6.63</v>
      </c>
      <c r="F63" s="49"/>
      <c r="G63" s="49"/>
      <c r="H63" s="49"/>
      <c r="I63" s="49">
        <v>8.2799999999999994</v>
      </c>
      <c r="J63" s="49">
        <v>14.63</v>
      </c>
      <c r="K63" s="49"/>
      <c r="L63" s="49">
        <v>8.59</v>
      </c>
      <c r="M63" s="49">
        <v>6.53</v>
      </c>
      <c r="N63" s="49">
        <v>4.74</v>
      </c>
      <c r="O63" s="49">
        <v>5.1100000000000003</v>
      </c>
      <c r="P63" s="49"/>
      <c r="Q63" s="49">
        <v>3.63</v>
      </c>
      <c r="R63" s="49">
        <v>6.11</v>
      </c>
      <c r="S63" s="49">
        <v>6.58</v>
      </c>
      <c r="T63" s="49"/>
      <c r="U63" s="49"/>
      <c r="V63" s="49"/>
      <c r="W63" s="49"/>
      <c r="X63" s="49"/>
      <c r="Y63" s="49"/>
    </row>
    <row r="64" spans="1:25" s="7" customFormat="1" ht="15" customHeight="1">
      <c r="A64" s="12" t="s">
        <v>750</v>
      </c>
      <c r="B64" s="8" t="s">
        <v>601</v>
      </c>
      <c r="C64" s="9" t="s">
        <v>676</v>
      </c>
      <c r="D64" s="9" t="s">
        <v>603</v>
      </c>
      <c r="E64" s="49">
        <v>6.08</v>
      </c>
      <c r="F64" s="49"/>
      <c r="G64" s="49"/>
      <c r="H64" s="49"/>
      <c r="I64" s="49">
        <v>7.09</v>
      </c>
      <c r="J64" s="49">
        <v>14.63</v>
      </c>
      <c r="K64" s="49"/>
      <c r="L64" s="49">
        <v>7.17</v>
      </c>
      <c r="M64" s="49">
        <v>5.98</v>
      </c>
      <c r="N64" s="49">
        <v>4.74</v>
      </c>
      <c r="O64" s="49">
        <v>5.1100000000000003</v>
      </c>
      <c r="P64" s="49"/>
      <c r="Q64" s="49">
        <v>3</v>
      </c>
      <c r="R64" s="49">
        <v>5.55</v>
      </c>
      <c r="S64" s="49">
        <v>6.03</v>
      </c>
      <c r="T64" s="49"/>
      <c r="U64" s="49"/>
      <c r="V64" s="49"/>
      <c r="W64" s="49"/>
      <c r="X64" s="49"/>
      <c r="Y64" s="49"/>
    </row>
    <row r="65" spans="1:25" s="7" customFormat="1" ht="15" customHeight="1">
      <c r="A65" s="12"/>
      <c r="B65" s="8"/>
      <c r="C65" s="9"/>
      <c r="D65" s="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s="7" customFormat="1" ht="15" customHeight="1">
      <c r="A66" s="12" t="s">
        <v>751</v>
      </c>
      <c r="B66" s="8" t="s">
        <v>598</v>
      </c>
      <c r="C66" s="9" t="s">
        <v>609</v>
      </c>
      <c r="D66" s="9" t="s">
        <v>605</v>
      </c>
      <c r="E66" s="49">
        <v>3.68</v>
      </c>
      <c r="F66" s="49"/>
      <c r="G66" s="49"/>
      <c r="H66" s="49">
        <v>15.73</v>
      </c>
      <c r="I66" s="49"/>
      <c r="J66" s="49">
        <v>0</v>
      </c>
      <c r="K66" s="49"/>
      <c r="L66" s="49"/>
      <c r="M66" s="49">
        <v>3.59</v>
      </c>
      <c r="N66" s="49">
        <v>5.48</v>
      </c>
      <c r="O66" s="49">
        <v>5.53</v>
      </c>
      <c r="P66" s="49">
        <v>20.55</v>
      </c>
      <c r="Q66" s="49">
        <v>22.11</v>
      </c>
      <c r="R66" s="49">
        <v>3.7</v>
      </c>
      <c r="S66" s="49">
        <v>3.89</v>
      </c>
      <c r="T66" s="49">
        <v>31.1</v>
      </c>
      <c r="U66" s="49">
        <v>0</v>
      </c>
      <c r="V66" s="49"/>
      <c r="W66" s="49"/>
      <c r="X66" s="49"/>
      <c r="Y66" s="49">
        <v>0</v>
      </c>
    </row>
    <row r="67" spans="1:25" s="7" customFormat="1" ht="15" customHeight="1">
      <c r="A67" s="12" t="s">
        <v>752</v>
      </c>
      <c r="B67" s="8" t="s">
        <v>598</v>
      </c>
      <c r="C67" s="9" t="s">
        <v>619</v>
      </c>
      <c r="D67" s="9" t="s">
        <v>605</v>
      </c>
      <c r="E67" s="49">
        <v>3.68</v>
      </c>
      <c r="F67" s="49"/>
      <c r="G67" s="49"/>
      <c r="H67" s="49">
        <v>14.75</v>
      </c>
      <c r="I67" s="49"/>
      <c r="J67" s="49">
        <v>0</v>
      </c>
      <c r="K67" s="49"/>
      <c r="L67" s="49"/>
      <c r="M67" s="49">
        <v>3.59</v>
      </c>
      <c r="N67" s="49">
        <v>3.14</v>
      </c>
      <c r="O67" s="49">
        <v>4.0599999999999996</v>
      </c>
      <c r="P67" s="49">
        <v>12.33</v>
      </c>
      <c r="Q67" s="49">
        <v>20.45</v>
      </c>
      <c r="R67" s="49">
        <v>3.7</v>
      </c>
      <c r="S67" s="49">
        <v>3.85</v>
      </c>
      <c r="T67" s="49">
        <v>25.04</v>
      </c>
      <c r="U67" s="49">
        <v>0</v>
      </c>
      <c r="V67" s="49"/>
      <c r="W67" s="49"/>
      <c r="X67" s="49"/>
      <c r="Y67" s="49">
        <v>0</v>
      </c>
    </row>
    <row r="68" spans="1:25" s="7" customFormat="1" ht="15" customHeight="1">
      <c r="A68" s="12" t="s">
        <v>753</v>
      </c>
      <c r="B68" s="8" t="s">
        <v>598</v>
      </c>
      <c r="C68" s="9" t="s">
        <v>620</v>
      </c>
      <c r="D68" s="9" t="s">
        <v>605</v>
      </c>
      <c r="E68" s="49">
        <v>3.68</v>
      </c>
      <c r="F68" s="49"/>
      <c r="G68" s="49"/>
      <c r="H68" s="49">
        <v>13.07</v>
      </c>
      <c r="I68" s="49"/>
      <c r="J68" s="49">
        <v>0</v>
      </c>
      <c r="K68" s="49"/>
      <c r="L68" s="49"/>
      <c r="M68" s="49">
        <v>3.59</v>
      </c>
      <c r="N68" s="49">
        <v>3.14</v>
      </c>
      <c r="O68" s="49">
        <v>3.28</v>
      </c>
      <c r="P68" s="49">
        <v>9.76</v>
      </c>
      <c r="Q68" s="49">
        <v>19.54</v>
      </c>
      <c r="R68" s="49">
        <v>3.7</v>
      </c>
      <c r="S68" s="49">
        <v>3.81</v>
      </c>
      <c r="T68" s="49">
        <v>23.88</v>
      </c>
      <c r="U68" s="49">
        <v>0</v>
      </c>
      <c r="V68" s="49"/>
      <c r="W68" s="49"/>
      <c r="X68" s="49"/>
      <c r="Y68" s="49">
        <v>0</v>
      </c>
    </row>
    <row r="69" spans="1:25" s="7" customFormat="1" ht="15" customHeight="1">
      <c r="A69" s="12" t="s">
        <v>754</v>
      </c>
      <c r="B69" s="8" t="s">
        <v>598</v>
      </c>
      <c r="C69" s="9" t="s">
        <v>656</v>
      </c>
      <c r="D69" s="9" t="s">
        <v>604</v>
      </c>
      <c r="E69" s="49"/>
      <c r="F69" s="49"/>
      <c r="G69" s="49"/>
      <c r="H69" s="49">
        <v>0.84</v>
      </c>
      <c r="I69" s="49"/>
      <c r="J69" s="49">
        <v>0</v>
      </c>
      <c r="K69" s="49"/>
      <c r="L69" s="49"/>
      <c r="M69" s="49"/>
      <c r="N69" s="49">
        <v>0.33</v>
      </c>
      <c r="O69" s="49">
        <v>0.64</v>
      </c>
      <c r="P69" s="49">
        <v>1.5</v>
      </c>
      <c r="Q69" s="49">
        <v>0.65</v>
      </c>
      <c r="R69" s="49"/>
      <c r="S69" s="49"/>
      <c r="T69" s="49">
        <v>0.22</v>
      </c>
      <c r="U69" s="49"/>
      <c r="V69" s="49"/>
      <c r="W69" s="49"/>
      <c r="X69" s="49"/>
      <c r="Y69" s="49">
        <v>0</v>
      </c>
    </row>
    <row r="70" spans="1:25" s="7" customFormat="1" ht="15" customHeight="1">
      <c r="A70" s="12" t="s">
        <v>755</v>
      </c>
      <c r="B70" s="8" t="s">
        <v>598</v>
      </c>
      <c r="C70" s="9" t="s">
        <v>657</v>
      </c>
      <c r="D70" s="9" t="s">
        <v>604</v>
      </c>
      <c r="E70" s="49"/>
      <c r="F70" s="49"/>
      <c r="G70" s="49"/>
      <c r="H70" s="49">
        <v>0.84</v>
      </c>
      <c r="I70" s="49"/>
      <c r="J70" s="49">
        <v>0</v>
      </c>
      <c r="K70" s="49"/>
      <c r="L70" s="49"/>
      <c r="M70" s="49"/>
      <c r="N70" s="49">
        <v>0.14000000000000001</v>
      </c>
      <c r="O70" s="49">
        <v>0.51</v>
      </c>
      <c r="P70" s="49">
        <v>1.5</v>
      </c>
      <c r="Q70" s="49">
        <v>0.65</v>
      </c>
      <c r="R70" s="49"/>
      <c r="S70" s="49"/>
      <c r="T70" s="49">
        <v>0.15</v>
      </c>
      <c r="U70" s="49"/>
      <c r="V70" s="49"/>
      <c r="W70" s="49"/>
      <c r="X70" s="49"/>
      <c r="Y70" s="49">
        <v>0</v>
      </c>
    </row>
    <row r="71" spans="1:25" s="7" customFormat="1" ht="15" customHeight="1">
      <c r="A71" s="12" t="s">
        <v>756</v>
      </c>
      <c r="B71" s="8" t="s">
        <v>598</v>
      </c>
      <c r="C71" s="9" t="s">
        <v>658</v>
      </c>
      <c r="D71" s="9" t="s">
        <v>604</v>
      </c>
      <c r="E71" s="49"/>
      <c r="F71" s="49"/>
      <c r="G71" s="49"/>
      <c r="H71" s="49">
        <v>0.84</v>
      </c>
      <c r="I71" s="49"/>
      <c r="J71" s="49">
        <v>0</v>
      </c>
      <c r="K71" s="49"/>
      <c r="L71" s="49"/>
      <c r="M71" s="49"/>
      <c r="N71" s="49">
        <v>0.13</v>
      </c>
      <c r="O71" s="49">
        <v>0.38</v>
      </c>
      <c r="P71" s="49">
        <v>1.5</v>
      </c>
      <c r="Q71" s="49">
        <v>0.65</v>
      </c>
      <c r="R71" s="49"/>
      <c r="S71" s="49"/>
      <c r="T71" s="49">
        <v>0.1</v>
      </c>
      <c r="U71" s="49"/>
      <c r="V71" s="49"/>
      <c r="W71" s="49"/>
      <c r="X71" s="49"/>
      <c r="Y71" s="49">
        <v>0</v>
      </c>
    </row>
    <row r="72" spans="1:25" s="7" customFormat="1" ht="15" customHeight="1">
      <c r="A72" s="12"/>
      <c r="B72" s="8"/>
      <c r="C72" s="9"/>
      <c r="D72" s="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s="7" customFormat="1" ht="15" customHeight="1">
      <c r="A73" s="12" t="s">
        <v>757</v>
      </c>
      <c r="B73" s="8" t="s">
        <v>602</v>
      </c>
      <c r="C73" s="9" t="s">
        <v>609</v>
      </c>
      <c r="D73" s="9" t="s">
        <v>605</v>
      </c>
      <c r="E73" s="49"/>
      <c r="F73" s="49">
        <v>0</v>
      </c>
      <c r="G73" s="49"/>
      <c r="H73" s="49">
        <v>22.16</v>
      </c>
      <c r="I73" s="49"/>
      <c r="J73" s="49"/>
      <c r="K73" s="49">
        <v>17</v>
      </c>
      <c r="L73" s="49">
        <v>0</v>
      </c>
      <c r="M73" s="49"/>
      <c r="N73" s="49">
        <v>5.48</v>
      </c>
      <c r="O73" s="49">
        <v>5.98</v>
      </c>
      <c r="P73" s="49">
        <v>35.96</v>
      </c>
      <c r="Q73" s="49">
        <v>24.23</v>
      </c>
      <c r="R73" s="49"/>
      <c r="S73" s="49"/>
      <c r="T73" s="49">
        <v>31.1</v>
      </c>
      <c r="U73" s="49"/>
      <c r="V73" s="49">
        <v>0</v>
      </c>
      <c r="W73" s="49"/>
      <c r="X73" s="49">
        <v>0</v>
      </c>
      <c r="Y73" s="49"/>
    </row>
    <row r="74" spans="1:25" s="7" customFormat="1" ht="15" customHeight="1">
      <c r="A74" s="12" t="s">
        <v>758</v>
      </c>
      <c r="B74" s="8" t="s">
        <v>602</v>
      </c>
      <c r="C74" s="9" t="s">
        <v>619</v>
      </c>
      <c r="D74" s="9" t="s">
        <v>605</v>
      </c>
      <c r="E74" s="49"/>
      <c r="F74" s="49">
        <v>0</v>
      </c>
      <c r="G74" s="49"/>
      <c r="H74" s="49">
        <v>20.77</v>
      </c>
      <c r="I74" s="49"/>
      <c r="J74" s="49"/>
      <c r="K74" s="49">
        <v>14</v>
      </c>
      <c r="L74" s="49">
        <v>0</v>
      </c>
      <c r="M74" s="49"/>
      <c r="N74" s="49">
        <v>3.14</v>
      </c>
      <c r="O74" s="49">
        <v>4.28</v>
      </c>
      <c r="P74" s="49">
        <v>18.5</v>
      </c>
      <c r="Q74" s="49">
        <v>22.6</v>
      </c>
      <c r="R74" s="49"/>
      <c r="S74" s="49"/>
      <c r="T74" s="49">
        <v>25.04</v>
      </c>
      <c r="U74" s="49"/>
      <c r="V74" s="49">
        <v>0</v>
      </c>
      <c r="W74" s="49"/>
      <c r="X74" s="49">
        <v>0</v>
      </c>
      <c r="Y74" s="49"/>
    </row>
    <row r="75" spans="1:25" s="7" customFormat="1" ht="15" customHeight="1">
      <c r="A75" s="12" t="s">
        <v>759</v>
      </c>
      <c r="B75" s="8" t="s">
        <v>602</v>
      </c>
      <c r="C75" s="9" t="s">
        <v>620</v>
      </c>
      <c r="D75" s="9" t="s">
        <v>605</v>
      </c>
      <c r="E75" s="49"/>
      <c r="F75" s="49">
        <v>0</v>
      </c>
      <c r="G75" s="49"/>
      <c r="H75" s="49">
        <v>19.09</v>
      </c>
      <c r="I75" s="49"/>
      <c r="J75" s="49"/>
      <c r="K75" s="49">
        <v>11</v>
      </c>
      <c r="L75" s="49">
        <v>0</v>
      </c>
      <c r="M75" s="49"/>
      <c r="N75" s="49">
        <v>3.14</v>
      </c>
      <c r="O75" s="49">
        <v>3.39</v>
      </c>
      <c r="P75" s="49">
        <v>14.39</v>
      </c>
      <c r="Q75" s="49">
        <v>21.5</v>
      </c>
      <c r="R75" s="49"/>
      <c r="S75" s="49"/>
      <c r="T75" s="49">
        <v>23.88</v>
      </c>
      <c r="U75" s="49"/>
      <c r="V75" s="49">
        <v>0</v>
      </c>
      <c r="W75" s="49"/>
      <c r="X75" s="49">
        <v>0</v>
      </c>
      <c r="Y75" s="49"/>
    </row>
    <row r="76" spans="1:25" s="7" customFormat="1" ht="15" customHeight="1">
      <c r="A76" s="12" t="s">
        <v>760</v>
      </c>
      <c r="B76" s="8" t="s">
        <v>602</v>
      </c>
      <c r="C76" s="9" t="s">
        <v>656</v>
      </c>
      <c r="D76" s="9" t="s">
        <v>604</v>
      </c>
      <c r="E76" s="49"/>
      <c r="F76" s="49">
        <v>2.34</v>
      </c>
      <c r="G76" s="49"/>
      <c r="H76" s="49">
        <v>1.22</v>
      </c>
      <c r="I76" s="49"/>
      <c r="J76" s="49"/>
      <c r="K76" s="49">
        <v>2.25</v>
      </c>
      <c r="L76" s="49">
        <v>2.4700000000000002</v>
      </c>
      <c r="M76" s="49"/>
      <c r="N76" s="49">
        <v>0.33</v>
      </c>
      <c r="O76" s="49">
        <v>0.78</v>
      </c>
      <c r="P76" s="49">
        <v>1.5</v>
      </c>
      <c r="Q76" s="49">
        <v>0.87</v>
      </c>
      <c r="R76" s="49"/>
      <c r="S76" s="49"/>
      <c r="T76" s="49">
        <v>0.24</v>
      </c>
      <c r="U76" s="49"/>
      <c r="V76" s="49">
        <v>2.38</v>
      </c>
      <c r="W76" s="49"/>
      <c r="X76" s="49">
        <v>2.52</v>
      </c>
      <c r="Y76" s="49"/>
    </row>
    <row r="77" spans="1:25" s="7" customFormat="1" ht="15" customHeight="1">
      <c r="A77" s="12" t="s">
        <v>761</v>
      </c>
      <c r="B77" s="8" t="s">
        <v>602</v>
      </c>
      <c r="C77" s="9" t="s">
        <v>657</v>
      </c>
      <c r="D77" s="9" t="s">
        <v>604</v>
      </c>
      <c r="E77" s="49"/>
      <c r="F77" s="49">
        <v>2.34</v>
      </c>
      <c r="G77" s="49"/>
      <c r="H77" s="49">
        <v>1.22</v>
      </c>
      <c r="I77" s="49"/>
      <c r="J77" s="49"/>
      <c r="K77" s="49">
        <v>1.75</v>
      </c>
      <c r="L77" s="49">
        <v>2.4700000000000002</v>
      </c>
      <c r="M77" s="49"/>
      <c r="N77" s="49">
        <v>0.14000000000000001</v>
      </c>
      <c r="O77" s="49">
        <v>0.62</v>
      </c>
      <c r="P77" s="49">
        <v>1.5</v>
      </c>
      <c r="Q77" s="49">
        <v>0.87</v>
      </c>
      <c r="R77" s="49"/>
      <c r="S77" s="49"/>
      <c r="T77" s="49">
        <v>0.16</v>
      </c>
      <c r="U77" s="49"/>
      <c r="V77" s="49">
        <v>2.38</v>
      </c>
      <c r="W77" s="49"/>
      <c r="X77" s="49">
        <v>2.52</v>
      </c>
      <c r="Y77" s="49"/>
    </row>
    <row r="78" spans="1:25" s="7" customFormat="1" ht="15" customHeight="1">
      <c r="A78" s="12" t="s">
        <v>762</v>
      </c>
      <c r="B78" s="8" t="s">
        <v>602</v>
      </c>
      <c r="C78" s="9" t="s">
        <v>658</v>
      </c>
      <c r="D78" s="9" t="s">
        <v>604</v>
      </c>
      <c r="E78" s="49"/>
      <c r="F78" s="49">
        <v>2.34</v>
      </c>
      <c r="G78" s="49"/>
      <c r="H78" s="49">
        <v>1.22</v>
      </c>
      <c r="I78" s="49"/>
      <c r="J78" s="49"/>
      <c r="K78" s="49">
        <v>1.25</v>
      </c>
      <c r="L78" s="49">
        <v>2.4700000000000002</v>
      </c>
      <c r="M78" s="49"/>
      <c r="N78" s="49">
        <v>0.13</v>
      </c>
      <c r="O78" s="49">
        <v>0.47</v>
      </c>
      <c r="P78" s="49">
        <v>1.5</v>
      </c>
      <c r="Q78" s="49">
        <v>0.87</v>
      </c>
      <c r="R78" s="49"/>
      <c r="S78" s="49"/>
      <c r="T78" s="49">
        <v>0.11</v>
      </c>
      <c r="U78" s="49"/>
      <c r="V78" s="49">
        <v>2.38</v>
      </c>
      <c r="W78" s="49"/>
      <c r="X78" s="49">
        <v>2.52</v>
      </c>
      <c r="Y78" s="49"/>
    </row>
    <row r="79" spans="1:25" s="7" customFormat="1" ht="15" customHeight="1">
      <c r="A79" s="12"/>
      <c r="B79" s="8"/>
      <c r="C79" s="9"/>
      <c r="D79" s="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spans="1:25" s="7" customFormat="1" ht="15" customHeight="1">
      <c r="A80" s="12" t="s">
        <v>763</v>
      </c>
      <c r="B80" s="8" t="s">
        <v>600</v>
      </c>
      <c r="C80" s="9" t="s">
        <v>609</v>
      </c>
      <c r="D80" s="9" t="s">
        <v>605</v>
      </c>
      <c r="E80" s="49"/>
      <c r="F80" s="49"/>
      <c r="G80" s="49"/>
      <c r="H80" s="49"/>
      <c r="I80" s="49"/>
      <c r="J80" s="49"/>
      <c r="K80" s="49">
        <v>19</v>
      </c>
      <c r="L80" s="49"/>
      <c r="M80" s="49"/>
      <c r="N80" s="49">
        <v>5.48</v>
      </c>
      <c r="O80" s="49"/>
      <c r="P80" s="49">
        <v>59.19</v>
      </c>
      <c r="Q80" s="49">
        <v>23.95</v>
      </c>
      <c r="R80" s="49"/>
      <c r="S80" s="49"/>
      <c r="T80" s="49">
        <v>41.27</v>
      </c>
      <c r="U80" s="49"/>
      <c r="V80" s="49"/>
      <c r="W80" s="49"/>
      <c r="X80" s="49"/>
      <c r="Y80" s="49"/>
    </row>
    <row r="81" spans="1:25" s="7" customFormat="1" ht="15" customHeight="1">
      <c r="A81" s="12" t="s">
        <v>764</v>
      </c>
      <c r="B81" s="8" t="s">
        <v>600</v>
      </c>
      <c r="C81" s="9" t="s">
        <v>619</v>
      </c>
      <c r="D81" s="9" t="s">
        <v>605</v>
      </c>
      <c r="E81" s="49"/>
      <c r="F81" s="49"/>
      <c r="G81" s="49"/>
      <c r="H81" s="49"/>
      <c r="I81" s="49"/>
      <c r="J81" s="49"/>
      <c r="K81" s="49">
        <v>16</v>
      </c>
      <c r="L81" s="49"/>
      <c r="M81" s="49"/>
      <c r="N81" s="49">
        <v>3.14</v>
      </c>
      <c r="O81" s="49"/>
      <c r="P81" s="49">
        <v>37.76</v>
      </c>
      <c r="Q81" s="49">
        <v>22.94</v>
      </c>
      <c r="R81" s="49"/>
      <c r="S81" s="49"/>
      <c r="T81" s="49">
        <v>33.229999999999997</v>
      </c>
      <c r="U81" s="49"/>
      <c r="V81" s="49"/>
      <c r="W81" s="49"/>
      <c r="X81" s="49"/>
      <c r="Y81" s="49"/>
    </row>
    <row r="82" spans="1:25" s="7" customFormat="1" ht="15" customHeight="1">
      <c r="A82" s="12" t="s">
        <v>765</v>
      </c>
      <c r="B82" s="8" t="s">
        <v>600</v>
      </c>
      <c r="C82" s="9" t="s">
        <v>620</v>
      </c>
      <c r="D82" s="9" t="s">
        <v>605</v>
      </c>
      <c r="E82" s="49"/>
      <c r="F82" s="49"/>
      <c r="G82" s="49"/>
      <c r="H82" s="49"/>
      <c r="I82" s="49"/>
      <c r="J82" s="49"/>
      <c r="K82" s="49">
        <v>12</v>
      </c>
      <c r="L82" s="49"/>
      <c r="M82" s="49"/>
      <c r="N82" s="49">
        <v>3.14</v>
      </c>
      <c r="O82" s="49"/>
      <c r="P82" s="49">
        <v>32.65</v>
      </c>
      <c r="Q82" s="49">
        <v>21.95</v>
      </c>
      <c r="R82" s="49"/>
      <c r="S82" s="49"/>
      <c r="T82" s="49">
        <v>31.69</v>
      </c>
      <c r="U82" s="49"/>
      <c r="V82" s="49"/>
      <c r="W82" s="49"/>
      <c r="X82" s="49"/>
      <c r="Y82" s="49"/>
    </row>
    <row r="83" spans="1:25" s="7" customFormat="1" ht="15" customHeight="1">
      <c r="A83" s="12" t="s">
        <v>766</v>
      </c>
      <c r="B83" s="8" t="s">
        <v>600</v>
      </c>
      <c r="C83" s="9" t="s">
        <v>656</v>
      </c>
      <c r="D83" s="9" t="s">
        <v>604</v>
      </c>
      <c r="E83" s="49"/>
      <c r="F83" s="49"/>
      <c r="G83" s="49"/>
      <c r="H83" s="49"/>
      <c r="I83" s="49"/>
      <c r="J83" s="49"/>
      <c r="K83" s="49">
        <v>2.25</v>
      </c>
      <c r="L83" s="49"/>
      <c r="M83" s="49"/>
      <c r="N83" s="49">
        <v>0.33</v>
      </c>
      <c r="O83" s="49"/>
      <c r="P83" s="49">
        <v>1.5</v>
      </c>
      <c r="Q83" s="49">
        <v>0.65</v>
      </c>
      <c r="R83" s="49"/>
      <c r="S83" s="49"/>
      <c r="T83" s="49">
        <v>0.55000000000000004</v>
      </c>
      <c r="U83" s="49"/>
      <c r="V83" s="49"/>
      <c r="W83" s="49"/>
      <c r="X83" s="49"/>
      <c r="Y83" s="49"/>
    </row>
    <row r="84" spans="1:25" s="7" customFormat="1" ht="15" customHeight="1">
      <c r="A84" s="12" t="s">
        <v>767</v>
      </c>
      <c r="B84" s="8" t="s">
        <v>600</v>
      </c>
      <c r="C84" s="9" t="s">
        <v>657</v>
      </c>
      <c r="D84" s="9" t="s">
        <v>604</v>
      </c>
      <c r="E84" s="49"/>
      <c r="F84" s="49"/>
      <c r="G84" s="49"/>
      <c r="H84" s="49"/>
      <c r="I84" s="49"/>
      <c r="J84" s="49"/>
      <c r="K84" s="49">
        <v>1.75</v>
      </c>
      <c r="L84" s="49"/>
      <c r="M84" s="49"/>
      <c r="N84" s="49">
        <v>0.14000000000000001</v>
      </c>
      <c r="O84" s="49"/>
      <c r="P84" s="49">
        <v>1.5</v>
      </c>
      <c r="Q84" s="49">
        <v>0.65</v>
      </c>
      <c r="R84" s="49"/>
      <c r="S84" s="49"/>
      <c r="T84" s="49">
        <v>0.28999999999999998</v>
      </c>
      <c r="U84" s="49"/>
      <c r="V84" s="49"/>
      <c r="W84" s="49"/>
      <c r="X84" s="49"/>
      <c r="Y84" s="49"/>
    </row>
    <row r="85" spans="1:25" s="7" customFormat="1" ht="15" customHeight="1">
      <c r="A85" s="12" t="s">
        <v>768</v>
      </c>
      <c r="B85" s="8" t="s">
        <v>600</v>
      </c>
      <c r="C85" s="9" t="s">
        <v>658</v>
      </c>
      <c r="D85" s="9" t="s">
        <v>604</v>
      </c>
      <c r="E85" s="49"/>
      <c r="F85" s="49"/>
      <c r="G85" s="49"/>
      <c r="H85" s="49"/>
      <c r="I85" s="49"/>
      <c r="J85" s="49"/>
      <c r="K85" s="49">
        <v>1.25</v>
      </c>
      <c r="L85" s="49"/>
      <c r="M85" s="49"/>
      <c r="N85" s="49">
        <v>0.13</v>
      </c>
      <c r="O85" s="49"/>
      <c r="P85" s="49">
        <v>1.5</v>
      </c>
      <c r="Q85" s="49">
        <v>0.65</v>
      </c>
      <c r="R85" s="49"/>
      <c r="S85" s="49"/>
      <c r="T85" s="49">
        <v>0.13</v>
      </c>
      <c r="U85" s="49"/>
      <c r="V85" s="49"/>
      <c r="W85" s="49"/>
      <c r="X85" s="49"/>
      <c r="Y85" s="49"/>
    </row>
    <row r="86" spans="1:25" s="7" customFormat="1" ht="15" customHeight="1">
      <c r="A86" s="12"/>
      <c r="B86" s="8"/>
      <c r="C86" s="9"/>
      <c r="D86" s="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spans="1:25" s="7" customFormat="1" ht="15" customHeight="1">
      <c r="A87" s="12" t="s">
        <v>769</v>
      </c>
      <c r="B87" s="8" t="s">
        <v>601</v>
      </c>
      <c r="C87" s="9" t="s">
        <v>609</v>
      </c>
      <c r="D87" s="9" t="s">
        <v>605</v>
      </c>
      <c r="E87" s="49">
        <v>3.68</v>
      </c>
      <c r="F87" s="49"/>
      <c r="G87" s="49"/>
      <c r="H87" s="49"/>
      <c r="I87" s="49"/>
      <c r="J87" s="49">
        <v>0</v>
      </c>
      <c r="K87" s="49"/>
      <c r="L87" s="49">
        <v>0</v>
      </c>
      <c r="M87" s="49">
        <v>3.59</v>
      </c>
      <c r="N87" s="49">
        <v>5.48</v>
      </c>
      <c r="O87" s="49">
        <v>5.32</v>
      </c>
      <c r="P87" s="49"/>
      <c r="Q87" s="49">
        <v>21.72</v>
      </c>
      <c r="R87" s="49">
        <v>3.7</v>
      </c>
      <c r="S87" s="49">
        <v>3.89</v>
      </c>
      <c r="T87" s="49"/>
      <c r="U87" s="49"/>
      <c r="V87" s="49"/>
      <c r="W87" s="49"/>
      <c r="X87" s="49"/>
      <c r="Y87" s="49"/>
    </row>
    <row r="88" spans="1:25" s="7" customFormat="1" ht="15" customHeight="1">
      <c r="A88" s="12" t="s">
        <v>770</v>
      </c>
      <c r="B88" s="8" t="s">
        <v>601</v>
      </c>
      <c r="C88" s="9" t="s">
        <v>619</v>
      </c>
      <c r="D88" s="9" t="s">
        <v>605</v>
      </c>
      <c r="E88" s="49">
        <v>3.68</v>
      </c>
      <c r="F88" s="49"/>
      <c r="G88" s="49"/>
      <c r="H88" s="49"/>
      <c r="I88" s="49"/>
      <c r="J88" s="49">
        <v>0</v>
      </c>
      <c r="K88" s="49"/>
      <c r="L88" s="49">
        <v>0</v>
      </c>
      <c r="M88" s="49">
        <v>3.59</v>
      </c>
      <c r="N88" s="49">
        <v>3.14</v>
      </c>
      <c r="O88" s="49">
        <v>3.9</v>
      </c>
      <c r="P88" s="49"/>
      <c r="Q88" s="49">
        <v>20.079999999999998</v>
      </c>
      <c r="R88" s="49">
        <v>3.7</v>
      </c>
      <c r="S88" s="49">
        <v>3.85</v>
      </c>
      <c r="T88" s="49"/>
      <c r="U88" s="49"/>
      <c r="V88" s="49"/>
      <c r="W88" s="49"/>
      <c r="X88" s="49"/>
      <c r="Y88" s="49"/>
    </row>
    <row r="89" spans="1:25" s="7" customFormat="1" ht="15" customHeight="1">
      <c r="A89" s="12" t="s">
        <v>771</v>
      </c>
      <c r="B89" s="8" t="s">
        <v>601</v>
      </c>
      <c r="C89" s="9" t="s">
        <v>620</v>
      </c>
      <c r="D89" s="9" t="s">
        <v>605</v>
      </c>
      <c r="E89" s="49">
        <v>3.68</v>
      </c>
      <c r="F89" s="49"/>
      <c r="G89" s="49"/>
      <c r="H89" s="49"/>
      <c r="I89" s="49"/>
      <c r="J89" s="49">
        <v>0</v>
      </c>
      <c r="K89" s="49"/>
      <c r="L89" s="49">
        <v>0</v>
      </c>
      <c r="M89" s="49">
        <v>3.59</v>
      </c>
      <c r="N89" s="49">
        <v>3.14</v>
      </c>
      <c r="O89" s="49">
        <v>3.15</v>
      </c>
      <c r="P89" s="49"/>
      <c r="Q89" s="49">
        <v>19.2</v>
      </c>
      <c r="R89" s="49">
        <v>3.7</v>
      </c>
      <c r="S89" s="49">
        <v>3.81</v>
      </c>
      <c r="T89" s="49"/>
      <c r="U89" s="49"/>
      <c r="V89" s="49"/>
      <c r="W89" s="49"/>
      <c r="X89" s="49"/>
      <c r="Y89" s="49"/>
    </row>
    <row r="90" spans="1:25" s="7" customFormat="1" ht="15" customHeight="1">
      <c r="A90" s="12" t="s">
        <v>772</v>
      </c>
      <c r="B90" s="8" t="s">
        <v>601</v>
      </c>
      <c r="C90" s="9" t="s">
        <v>656</v>
      </c>
      <c r="D90" s="9" t="s">
        <v>604</v>
      </c>
      <c r="E90" s="49"/>
      <c r="F90" s="49"/>
      <c r="G90" s="49"/>
      <c r="H90" s="49"/>
      <c r="I90" s="49"/>
      <c r="J90" s="49">
        <v>0</v>
      </c>
      <c r="K90" s="49"/>
      <c r="L90" s="49">
        <v>1.77</v>
      </c>
      <c r="M90" s="49"/>
      <c r="N90" s="49">
        <v>0.33</v>
      </c>
      <c r="O90" s="49">
        <v>0.62</v>
      </c>
      <c r="P90" s="49"/>
      <c r="Q90" s="49">
        <v>0.65</v>
      </c>
      <c r="R90" s="49"/>
      <c r="S90" s="49"/>
      <c r="T90" s="49"/>
      <c r="U90" s="49"/>
      <c r="V90" s="49"/>
      <c r="W90" s="49"/>
      <c r="X90" s="49"/>
      <c r="Y90" s="49"/>
    </row>
    <row r="91" spans="1:25" s="7" customFormat="1" ht="15" customHeight="1">
      <c r="A91" s="12" t="s">
        <v>773</v>
      </c>
      <c r="B91" s="8" t="s">
        <v>601</v>
      </c>
      <c r="C91" s="9" t="s">
        <v>657</v>
      </c>
      <c r="D91" s="9" t="s">
        <v>604</v>
      </c>
      <c r="E91" s="49"/>
      <c r="F91" s="49"/>
      <c r="G91" s="49"/>
      <c r="H91" s="49"/>
      <c r="I91" s="49"/>
      <c r="J91" s="49">
        <v>0</v>
      </c>
      <c r="K91" s="49"/>
      <c r="L91" s="49">
        <v>1.77</v>
      </c>
      <c r="M91" s="49"/>
      <c r="N91" s="49">
        <v>0.14000000000000001</v>
      </c>
      <c r="O91" s="49">
        <v>0.49</v>
      </c>
      <c r="P91" s="49"/>
      <c r="Q91" s="49">
        <v>0.65</v>
      </c>
      <c r="R91" s="49"/>
      <c r="S91" s="49"/>
      <c r="T91" s="49"/>
      <c r="U91" s="49"/>
      <c r="V91" s="49"/>
      <c r="W91" s="49"/>
      <c r="X91" s="49"/>
      <c r="Y91" s="49"/>
    </row>
    <row r="92" spans="1:25" s="7" customFormat="1" ht="15" customHeight="1">
      <c r="A92" s="12" t="s">
        <v>774</v>
      </c>
      <c r="B92" s="8" t="s">
        <v>601</v>
      </c>
      <c r="C92" s="9" t="s">
        <v>658</v>
      </c>
      <c r="D92" s="9" t="s">
        <v>604</v>
      </c>
      <c r="E92" s="49"/>
      <c r="F92" s="49"/>
      <c r="G92" s="49"/>
      <c r="H92" s="49"/>
      <c r="I92" s="49"/>
      <c r="J92" s="49">
        <v>0</v>
      </c>
      <c r="K92" s="49"/>
      <c r="L92" s="49">
        <v>1.77</v>
      </c>
      <c r="M92" s="49"/>
      <c r="N92" s="49">
        <v>0.13</v>
      </c>
      <c r="O92" s="49">
        <v>0.37</v>
      </c>
      <c r="P92" s="49"/>
      <c r="Q92" s="49">
        <v>0.65</v>
      </c>
      <c r="R92" s="49"/>
      <c r="S92" s="49"/>
      <c r="T92" s="49"/>
      <c r="U92" s="49"/>
      <c r="V92" s="49"/>
      <c r="W92" s="49"/>
      <c r="X92" s="49"/>
      <c r="Y92" s="49"/>
    </row>
    <row r="93" spans="1:25" s="7" customFormat="1" ht="15" customHeight="1">
      <c r="A93" s="12"/>
      <c r="B93" s="8"/>
      <c r="C93" s="9"/>
      <c r="D93" s="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spans="1:25" s="7" customFormat="1" ht="15" customHeight="1">
      <c r="A94" s="12" t="s">
        <v>775</v>
      </c>
      <c r="B94" s="8" t="s">
        <v>598</v>
      </c>
      <c r="C94" s="9" t="s">
        <v>608</v>
      </c>
      <c r="D94" s="9" t="s">
        <v>605</v>
      </c>
      <c r="E94" s="49"/>
      <c r="F94" s="49"/>
      <c r="G94" s="49">
        <v>11.9</v>
      </c>
      <c r="H94" s="49">
        <v>50.2</v>
      </c>
      <c r="I94" s="49"/>
      <c r="J94" s="49"/>
      <c r="K94" s="49"/>
      <c r="L94" s="49"/>
      <c r="M94" s="49"/>
      <c r="N94" s="49">
        <v>11.72</v>
      </c>
      <c r="O94" s="49">
        <v>12.95</v>
      </c>
      <c r="P94" s="49">
        <v>26.87</v>
      </c>
      <c r="Q94" s="49">
        <v>2.15</v>
      </c>
      <c r="R94" s="49"/>
      <c r="S94" s="49"/>
      <c r="T94" s="49"/>
      <c r="U94" s="49"/>
      <c r="V94" s="49"/>
      <c r="W94" s="49"/>
      <c r="X94" s="49"/>
      <c r="Y94" s="49"/>
    </row>
    <row r="95" spans="1:25" s="7" customFormat="1" ht="15" customHeight="1">
      <c r="A95" s="12" t="s">
        <v>776</v>
      </c>
      <c r="B95" s="8" t="s">
        <v>598</v>
      </c>
      <c r="C95" s="9" t="s">
        <v>621</v>
      </c>
      <c r="D95" s="9" t="s">
        <v>605</v>
      </c>
      <c r="E95" s="49"/>
      <c r="F95" s="49"/>
      <c r="G95" s="49">
        <v>8.4</v>
      </c>
      <c r="H95" s="49">
        <v>42.84</v>
      </c>
      <c r="I95" s="49"/>
      <c r="J95" s="49"/>
      <c r="K95" s="49"/>
      <c r="L95" s="49"/>
      <c r="M95" s="49"/>
      <c r="N95" s="49">
        <v>11.72</v>
      </c>
      <c r="O95" s="49">
        <v>10.96</v>
      </c>
      <c r="P95" s="49">
        <v>20.75</v>
      </c>
      <c r="Q95" s="49">
        <v>1.01</v>
      </c>
      <c r="R95" s="49"/>
      <c r="S95" s="49"/>
      <c r="T95" s="49"/>
      <c r="U95" s="49"/>
      <c r="V95" s="49"/>
      <c r="W95" s="49"/>
      <c r="X95" s="49"/>
      <c r="Y95" s="49"/>
    </row>
    <row r="96" spans="1:25" s="7" customFormat="1" ht="15" customHeight="1">
      <c r="A96" s="12" t="s">
        <v>777</v>
      </c>
      <c r="B96" s="8" t="s">
        <v>598</v>
      </c>
      <c r="C96" s="9" t="s">
        <v>622</v>
      </c>
      <c r="D96" s="9" t="s">
        <v>605</v>
      </c>
      <c r="E96" s="49"/>
      <c r="F96" s="49"/>
      <c r="G96" s="49">
        <v>7.6</v>
      </c>
      <c r="H96" s="49">
        <v>37.229999999999997</v>
      </c>
      <c r="I96" s="49"/>
      <c r="J96" s="49"/>
      <c r="K96" s="49"/>
      <c r="L96" s="49"/>
      <c r="M96" s="49"/>
      <c r="N96" s="49">
        <v>11.72</v>
      </c>
      <c r="O96" s="49">
        <v>9.11</v>
      </c>
      <c r="P96" s="49">
        <v>16.87</v>
      </c>
      <c r="Q96" s="49">
        <v>0.99</v>
      </c>
      <c r="R96" s="49"/>
      <c r="S96" s="49"/>
      <c r="T96" s="49"/>
      <c r="U96" s="49"/>
      <c r="V96" s="49"/>
      <c r="W96" s="49"/>
      <c r="X96" s="49"/>
      <c r="Y96" s="49"/>
    </row>
    <row r="97" spans="1:25" s="7" customFormat="1" ht="15" customHeight="1">
      <c r="A97" s="12" t="s">
        <v>778</v>
      </c>
      <c r="B97" s="8" t="s">
        <v>598</v>
      </c>
      <c r="C97" s="9" t="s">
        <v>659</v>
      </c>
      <c r="D97" s="9" t="s">
        <v>604</v>
      </c>
      <c r="E97" s="49"/>
      <c r="F97" s="49"/>
      <c r="G97" s="49">
        <v>3.6</v>
      </c>
      <c r="H97" s="49">
        <v>0.84</v>
      </c>
      <c r="I97" s="49"/>
      <c r="J97" s="49"/>
      <c r="K97" s="49"/>
      <c r="L97" s="49"/>
      <c r="M97" s="49"/>
      <c r="N97" s="49">
        <v>0.33</v>
      </c>
      <c r="O97" s="49">
        <v>0.64</v>
      </c>
      <c r="P97" s="49">
        <v>1.5</v>
      </c>
      <c r="Q97" s="49">
        <v>0.65</v>
      </c>
      <c r="R97" s="49"/>
      <c r="S97" s="49"/>
      <c r="T97" s="49"/>
      <c r="U97" s="49"/>
      <c r="V97" s="49"/>
      <c r="W97" s="49"/>
      <c r="X97" s="49"/>
      <c r="Y97" s="49"/>
    </row>
    <row r="98" spans="1:25" s="7" customFormat="1" ht="15" customHeight="1">
      <c r="A98" s="12" t="s">
        <v>779</v>
      </c>
      <c r="B98" s="8" t="s">
        <v>598</v>
      </c>
      <c r="C98" s="9" t="s">
        <v>660</v>
      </c>
      <c r="D98" s="9" t="s">
        <v>604</v>
      </c>
      <c r="E98" s="49"/>
      <c r="F98" s="49"/>
      <c r="G98" s="49">
        <v>3.24</v>
      </c>
      <c r="H98" s="49">
        <v>0.84</v>
      </c>
      <c r="I98" s="49"/>
      <c r="J98" s="49"/>
      <c r="K98" s="49"/>
      <c r="L98" s="49"/>
      <c r="M98" s="49"/>
      <c r="N98" s="49">
        <v>0.14000000000000001</v>
      </c>
      <c r="O98" s="49">
        <v>0.51</v>
      </c>
      <c r="P98" s="49">
        <v>1.5</v>
      </c>
      <c r="Q98" s="49">
        <v>0.65</v>
      </c>
      <c r="R98" s="49"/>
      <c r="S98" s="49"/>
      <c r="T98" s="49"/>
      <c r="U98" s="49"/>
      <c r="V98" s="49"/>
      <c r="W98" s="49"/>
      <c r="X98" s="49"/>
      <c r="Y98" s="49"/>
    </row>
    <row r="99" spans="1:25" s="7" customFormat="1" ht="15" customHeight="1">
      <c r="A99" s="12" t="s">
        <v>780</v>
      </c>
      <c r="B99" s="8" t="s">
        <v>598</v>
      </c>
      <c r="C99" s="9" t="s">
        <v>661</v>
      </c>
      <c r="D99" s="9" t="s">
        <v>604</v>
      </c>
      <c r="E99" s="49"/>
      <c r="F99" s="49"/>
      <c r="G99" s="49">
        <v>2.88</v>
      </c>
      <c r="H99" s="49">
        <v>0.84</v>
      </c>
      <c r="I99" s="49"/>
      <c r="J99" s="49"/>
      <c r="K99" s="49"/>
      <c r="L99" s="49"/>
      <c r="M99" s="49"/>
      <c r="N99" s="49">
        <v>0.13</v>
      </c>
      <c r="O99" s="49">
        <v>0.38</v>
      </c>
      <c r="P99" s="49">
        <v>1.5</v>
      </c>
      <c r="Q99" s="49">
        <v>0.65</v>
      </c>
      <c r="R99" s="49"/>
      <c r="S99" s="49"/>
      <c r="T99" s="49"/>
      <c r="U99" s="49"/>
      <c r="V99" s="49"/>
      <c r="W99" s="49"/>
      <c r="X99" s="49"/>
      <c r="Y99" s="49"/>
    </row>
    <row r="100" spans="1:25" s="7" customFormat="1" ht="15" customHeight="1">
      <c r="A100" s="12"/>
      <c r="B100" s="6"/>
      <c r="C100" s="9"/>
      <c r="D100" s="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spans="1:25" s="7" customFormat="1" ht="15" customHeight="1">
      <c r="A101" s="12" t="s">
        <v>781</v>
      </c>
      <c r="B101" s="8" t="s">
        <v>602</v>
      </c>
      <c r="C101" s="9" t="s">
        <v>608</v>
      </c>
      <c r="D101" s="9" t="s">
        <v>605</v>
      </c>
      <c r="E101" s="49"/>
      <c r="F101" s="49"/>
      <c r="G101" s="49">
        <v>11.9</v>
      </c>
      <c r="H101" s="49">
        <v>73.290000000000006</v>
      </c>
      <c r="I101" s="49"/>
      <c r="J101" s="49"/>
      <c r="K101" s="49">
        <v>39</v>
      </c>
      <c r="L101" s="49"/>
      <c r="M101" s="49"/>
      <c r="N101" s="49">
        <v>11.72</v>
      </c>
      <c r="O101" s="49">
        <v>13.85</v>
      </c>
      <c r="P101" s="49">
        <v>33.51</v>
      </c>
      <c r="Q101" s="49">
        <v>2.33</v>
      </c>
      <c r="R101" s="49"/>
      <c r="S101" s="49"/>
      <c r="T101" s="49"/>
      <c r="U101" s="49"/>
      <c r="V101" s="49"/>
      <c r="W101" s="49"/>
      <c r="X101" s="49"/>
      <c r="Y101" s="49"/>
    </row>
    <row r="102" spans="1:25" s="7" customFormat="1" ht="15" customHeight="1">
      <c r="A102" s="12" t="s">
        <v>782</v>
      </c>
      <c r="B102" s="8" t="s">
        <v>602</v>
      </c>
      <c r="C102" s="9" t="s">
        <v>621</v>
      </c>
      <c r="D102" s="9" t="s">
        <v>605</v>
      </c>
      <c r="E102" s="49"/>
      <c r="F102" s="49"/>
      <c r="G102" s="49">
        <v>8.4</v>
      </c>
      <c r="H102" s="49">
        <v>62.54</v>
      </c>
      <c r="I102" s="49"/>
      <c r="J102" s="49"/>
      <c r="K102" s="49">
        <v>29</v>
      </c>
      <c r="L102" s="49"/>
      <c r="M102" s="49"/>
      <c r="N102" s="49">
        <v>11.72</v>
      </c>
      <c r="O102" s="49">
        <v>11.69</v>
      </c>
      <c r="P102" s="49">
        <v>22.83</v>
      </c>
      <c r="Q102" s="49">
        <v>1.07</v>
      </c>
      <c r="R102" s="49"/>
      <c r="S102" s="49"/>
      <c r="T102" s="49"/>
      <c r="U102" s="49"/>
      <c r="V102" s="49"/>
      <c r="W102" s="49"/>
      <c r="X102" s="49"/>
      <c r="Y102" s="49"/>
    </row>
    <row r="103" spans="1:25" s="7" customFormat="1" ht="15" customHeight="1">
      <c r="A103" s="12" t="s">
        <v>783</v>
      </c>
      <c r="B103" s="8" t="s">
        <v>602</v>
      </c>
      <c r="C103" s="9" t="s">
        <v>622</v>
      </c>
      <c r="D103" s="9" t="s">
        <v>605</v>
      </c>
      <c r="E103" s="49"/>
      <c r="F103" s="49"/>
      <c r="G103" s="49">
        <v>7.6</v>
      </c>
      <c r="H103" s="49">
        <v>54.35</v>
      </c>
      <c r="I103" s="49"/>
      <c r="J103" s="49"/>
      <c r="K103" s="49">
        <v>22</v>
      </c>
      <c r="L103" s="49"/>
      <c r="M103" s="49"/>
      <c r="N103" s="49">
        <v>11.72</v>
      </c>
      <c r="O103" s="49">
        <v>9.52</v>
      </c>
      <c r="P103" s="49">
        <v>19.170000000000002</v>
      </c>
      <c r="Q103" s="49">
        <v>1.06</v>
      </c>
      <c r="R103" s="49"/>
      <c r="S103" s="49"/>
      <c r="T103" s="49"/>
      <c r="U103" s="49"/>
      <c r="V103" s="49"/>
      <c r="W103" s="49"/>
      <c r="X103" s="49"/>
      <c r="Y103" s="49"/>
    </row>
    <row r="104" spans="1:25" s="7" customFormat="1" ht="15" customHeight="1">
      <c r="A104" s="12" t="s">
        <v>784</v>
      </c>
      <c r="B104" s="8" t="s">
        <v>602</v>
      </c>
      <c r="C104" s="9" t="s">
        <v>659</v>
      </c>
      <c r="D104" s="9" t="s">
        <v>604</v>
      </c>
      <c r="E104" s="49"/>
      <c r="F104" s="49"/>
      <c r="G104" s="49">
        <v>3.6</v>
      </c>
      <c r="H104" s="49">
        <v>1.22</v>
      </c>
      <c r="I104" s="49"/>
      <c r="J104" s="49"/>
      <c r="K104" s="49">
        <v>2.25</v>
      </c>
      <c r="L104" s="49"/>
      <c r="M104" s="49"/>
      <c r="N104" s="49">
        <v>0.33</v>
      </c>
      <c r="O104" s="49">
        <v>0.78</v>
      </c>
      <c r="P104" s="49">
        <v>1.5</v>
      </c>
      <c r="Q104" s="49">
        <v>0.87</v>
      </c>
      <c r="R104" s="49"/>
      <c r="S104" s="49"/>
      <c r="T104" s="49"/>
      <c r="U104" s="49"/>
      <c r="V104" s="49"/>
      <c r="W104" s="49"/>
      <c r="X104" s="49"/>
      <c r="Y104" s="49"/>
    </row>
    <row r="105" spans="1:25" s="7" customFormat="1" ht="15" customHeight="1">
      <c r="A105" s="12" t="s">
        <v>785</v>
      </c>
      <c r="B105" s="8" t="s">
        <v>602</v>
      </c>
      <c r="C105" s="9" t="s">
        <v>660</v>
      </c>
      <c r="D105" s="9" t="s">
        <v>604</v>
      </c>
      <c r="E105" s="49"/>
      <c r="F105" s="49"/>
      <c r="G105" s="49">
        <v>3.24</v>
      </c>
      <c r="H105" s="49">
        <v>1.22</v>
      </c>
      <c r="I105" s="49"/>
      <c r="J105" s="49"/>
      <c r="K105" s="49">
        <v>1.75</v>
      </c>
      <c r="L105" s="49"/>
      <c r="M105" s="49"/>
      <c r="N105" s="49">
        <v>0.14000000000000001</v>
      </c>
      <c r="O105" s="49">
        <v>0.62</v>
      </c>
      <c r="P105" s="49">
        <v>1.5</v>
      </c>
      <c r="Q105" s="49">
        <v>0.87</v>
      </c>
      <c r="R105" s="49"/>
      <c r="S105" s="49"/>
      <c r="T105" s="49"/>
      <c r="U105" s="49"/>
      <c r="V105" s="49"/>
      <c r="W105" s="49"/>
      <c r="X105" s="49"/>
      <c r="Y105" s="49"/>
    </row>
    <row r="106" spans="1:25" s="7" customFormat="1" ht="15" customHeight="1">
      <c r="A106" s="12" t="s">
        <v>786</v>
      </c>
      <c r="B106" s="8" t="s">
        <v>602</v>
      </c>
      <c r="C106" s="9" t="s">
        <v>661</v>
      </c>
      <c r="D106" s="9" t="s">
        <v>604</v>
      </c>
      <c r="E106" s="49"/>
      <c r="F106" s="49"/>
      <c r="G106" s="49">
        <v>2.88</v>
      </c>
      <c r="H106" s="49">
        <v>1.22</v>
      </c>
      <c r="I106" s="49"/>
      <c r="J106" s="49"/>
      <c r="K106" s="49">
        <v>1.25</v>
      </c>
      <c r="L106" s="49"/>
      <c r="M106" s="49"/>
      <c r="N106" s="49">
        <v>0.13</v>
      </c>
      <c r="O106" s="49">
        <v>0.47</v>
      </c>
      <c r="P106" s="49">
        <v>1.5</v>
      </c>
      <c r="Q106" s="49">
        <v>0.87</v>
      </c>
      <c r="R106" s="49"/>
      <c r="S106" s="49"/>
      <c r="T106" s="49"/>
      <c r="U106" s="49"/>
      <c r="V106" s="49"/>
      <c r="W106" s="49"/>
      <c r="X106" s="49"/>
      <c r="Y106" s="49"/>
    </row>
    <row r="107" spans="1:25" s="7" customFormat="1" ht="15" customHeight="1">
      <c r="A107" s="12"/>
      <c r="B107" s="8"/>
      <c r="C107" s="9"/>
      <c r="D107" s="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spans="1:25" ht="14.25" customHeight="1">
      <c r="A108" s="12" t="s">
        <v>787</v>
      </c>
      <c r="B108" s="8" t="s">
        <v>600</v>
      </c>
      <c r="C108" s="9" t="s">
        <v>608</v>
      </c>
      <c r="D108" s="9" t="s">
        <v>605</v>
      </c>
      <c r="E108" s="49"/>
      <c r="F108" s="49"/>
      <c r="G108" s="49"/>
      <c r="H108" s="49"/>
      <c r="I108" s="49"/>
      <c r="J108" s="49"/>
      <c r="K108" s="49">
        <v>40</v>
      </c>
      <c r="L108" s="49"/>
      <c r="M108" s="49"/>
      <c r="N108" s="49">
        <v>11.72</v>
      </c>
      <c r="O108" s="49"/>
      <c r="P108" s="49">
        <v>35.380000000000003</v>
      </c>
      <c r="Q108" s="49">
        <v>2.3199999999999998</v>
      </c>
      <c r="R108" s="49"/>
      <c r="S108" s="49"/>
      <c r="T108" s="49"/>
      <c r="U108" s="49"/>
      <c r="V108" s="49"/>
      <c r="W108" s="49"/>
      <c r="X108" s="49"/>
      <c r="Y108" s="49"/>
    </row>
    <row r="109" spans="1:25" ht="14.25" customHeight="1">
      <c r="A109" s="12" t="s">
        <v>788</v>
      </c>
      <c r="B109" s="8" t="s">
        <v>600</v>
      </c>
      <c r="C109" s="9" t="s">
        <v>621</v>
      </c>
      <c r="D109" s="9" t="s">
        <v>605</v>
      </c>
      <c r="E109" s="49"/>
      <c r="F109" s="49"/>
      <c r="G109" s="49"/>
      <c r="H109" s="49"/>
      <c r="I109" s="49"/>
      <c r="J109" s="49"/>
      <c r="K109" s="49">
        <v>30</v>
      </c>
      <c r="L109" s="49"/>
      <c r="M109" s="49"/>
      <c r="N109" s="49">
        <v>11.72</v>
      </c>
      <c r="O109" s="49"/>
      <c r="P109" s="49">
        <v>24.9</v>
      </c>
      <c r="Q109" s="49">
        <v>1.1200000000000001</v>
      </c>
      <c r="R109" s="49"/>
      <c r="S109" s="49"/>
      <c r="T109" s="49"/>
      <c r="U109" s="49"/>
      <c r="V109" s="49"/>
      <c r="W109" s="49"/>
      <c r="X109" s="49"/>
      <c r="Y109" s="49"/>
    </row>
    <row r="110" spans="1:25" ht="14.25" customHeight="1">
      <c r="A110" s="12" t="s">
        <v>789</v>
      </c>
      <c r="B110" s="8" t="s">
        <v>600</v>
      </c>
      <c r="C110" s="9" t="s">
        <v>622</v>
      </c>
      <c r="D110" s="9" t="s">
        <v>605</v>
      </c>
      <c r="E110" s="49"/>
      <c r="F110" s="49"/>
      <c r="G110" s="49"/>
      <c r="H110" s="49"/>
      <c r="I110" s="49"/>
      <c r="J110" s="49"/>
      <c r="K110" s="49">
        <v>23</v>
      </c>
      <c r="L110" s="49"/>
      <c r="M110" s="49"/>
      <c r="N110" s="49">
        <v>11.72</v>
      </c>
      <c r="O110" s="49"/>
      <c r="P110" s="49">
        <v>20.71</v>
      </c>
      <c r="Q110" s="49">
        <v>1.08</v>
      </c>
      <c r="R110" s="49"/>
      <c r="S110" s="49"/>
      <c r="T110" s="49"/>
      <c r="U110" s="49"/>
      <c r="V110" s="49"/>
      <c r="W110" s="49"/>
      <c r="X110" s="49"/>
      <c r="Y110" s="49"/>
    </row>
    <row r="111" spans="1:25" ht="14.25" customHeight="1">
      <c r="A111" s="12" t="s">
        <v>790</v>
      </c>
      <c r="B111" s="8" t="s">
        <v>600</v>
      </c>
      <c r="C111" s="9" t="s">
        <v>662</v>
      </c>
      <c r="D111" s="9" t="s">
        <v>604</v>
      </c>
      <c r="E111" s="49"/>
      <c r="F111" s="49"/>
      <c r="G111" s="49"/>
      <c r="H111" s="49"/>
      <c r="I111" s="49"/>
      <c r="J111" s="49"/>
      <c r="K111" s="49">
        <v>2.25</v>
      </c>
      <c r="L111" s="49"/>
      <c r="M111" s="49"/>
      <c r="N111" s="49">
        <v>0.33</v>
      </c>
      <c r="O111" s="49"/>
      <c r="P111" s="49">
        <v>1.5</v>
      </c>
      <c r="Q111" s="49">
        <v>0.65</v>
      </c>
      <c r="R111" s="49"/>
      <c r="S111" s="49"/>
      <c r="T111" s="49"/>
      <c r="U111" s="49"/>
      <c r="V111" s="49"/>
      <c r="W111" s="49"/>
      <c r="X111" s="49"/>
      <c r="Y111" s="49"/>
    </row>
    <row r="112" spans="1:25" ht="14.25" customHeight="1">
      <c r="A112" s="12" t="s">
        <v>791</v>
      </c>
      <c r="B112" s="8" t="s">
        <v>600</v>
      </c>
      <c r="C112" s="9" t="s">
        <v>663</v>
      </c>
      <c r="D112" s="9" t="s">
        <v>604</v>
      </c>
      <c r="E112" s="49"/>
      <c r="F112" s="49"/>
      <c r="G112" s="49"/>
      <c r="H112" s="49"/>
      <c r="I112" s="49"/>
      <c r="J112" s="49"/>
      <c r="K112" s="49">
        <v>1.75</v>
      </c>
      <c r="L112" s="49"/>
      <c r="M112" s="49"/>
      <c r="N112" s="49">
        <v>0.14000000000000001</v>
      </c>
      <c r="O112" s="49"/>
      <c r="P112" s="49">
        <v>1.5</v>
      </c>
      <c r="Q112" s="49">
        <v>0.65</v>
      </c>
      <c r="R112" s="49"/>
      <c r="S112" s="49"/>
      <c r="T112" s="49"/>
      <c r="U112" s="49"/>
      <c r="V112" s="49"/>
      <c r="W112" s="49"/>
      <c r="X112" s="49"/>
      <c r="Y112" s="49"/>
    </row>
    <row r="113" spans="1:25" ht="14.25" customHeight="1">
      <c r="A113" s="12" t="s">
        <v>792</v>
      </c>
      <c r="B113" s="8" t="s">
        <v>600</v>
      </c>
      <c r="C113" s="9" t="s">
        <v>664</v>
      </c>
      <c r="D113" s="9" t="s">
        <v>604</v>
      </c>
      <c r="E113" s="49"/>
      <c r="F113" s="49"/>
      <c r="G113" s="49"/>
      <c r="H113" s="49"/>
      <c r="I113" s="49"/>
      <c r="J113" s="49"/>
      <c r="K113" s="49">
        <v>1.25</v>
      </c>
      <c r="L113" s="49"/>
      <c r="M113" s="49"/>
      <c r="N113" s="49">
        <v>0.13</v>
      </c>
      <c r="O113" s="49"/>
      <c r="P113" s="49">
        <v>1.5</v>
      </c>
      <c r="Q113" s="49">
        <v>0.65</v>
      </c>
      <c r="R113" s="49"/>
      <c r="S113" s="49"/>
      <c r="T113" s="49"/>
      <c r="U113" s="49"/>
      <c r="V113" s="49"/>
      <c r="W113" s="49"/>
      <c r="X113" s="49"/>
      <c r="Y113" s="49"/>
    </row>
    <row r="114" spans="1:25" ht="14.25" customHeight="1">
      <c r="A114" s="12"/>
      <c r="B114" s="8"/>
      <c r="C114" s="9"/>
      <c r="D114" s="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spans="1:25" ht="14.25" customHeight="1">
      <c r="A115" s="12" t="s">
        <v>793</v>
      </c>
      <c r="B115" s="8" t="s">
        <v>601</v>
      </c>
      <c r="C115" s="9" t="s">
        <v>608</v>
      </c>
      <c r="D115" s="9" t="s">
        <v>605</v>
      </c>
      <c r="E115" s="49"/>
      <c r="F115" s="49"/>
      <c r="G115" s="49"/>
      <c r="H115" s="49"/>
      <c r="I115" s="49"/>
      <c r="J115" s="49"/>
      <c r="K115" s="49"/>
      <c r="L115" s="49"/>
      <c r="M115" s="49"/>
      <c r="N115" s="49">
        <v>11.72</v>
      </c>
      <c r="O115" s="49">
        <v>12.45</v>
      </c>
      <c r="P115" s="49"/>
      <c r="Q115" s="49">
        <v>2.12</v>
      </c>
      <c r="R115" s="49"/>
      <c r="S115" s="49"/>
      <c r="T115" s="49"/>
      <c r="U115" s="49"/>
      <c r="V115" s="49"/>
      <c r="W115" s="49"/>
      <c r="X115" s="49"/>
      <c r="Y115" s="49"/>
    </row>
    <row r="116" spans="1:25" ht="14.25" customHeight="1">
      <c r="A116" s="12" t="s">
        <v>794</v>
      </c>
      <c r="B116" s="8" t="s">
        <v>601</v>
      </c>
      <c r="C116" s="9" t="s">
        <v>621</v>
      </c>
      <c r="D116" s="9" t="s">
        <v>605</v>
      </c>
      <c r="E116" s="49"/>
      <c r="F116" s="49"/>
      <c r="G116" s="49"/>
      <c r="H116" s="49"/>
      <c r="I116" s="49"/>
      <c r="J116" s="49"/>
      <c r="K116" s="49"/>
      <c r="L116" s="49"/>
      <c r="M116" s="49"/>
      <c r="N116" s="49">
        <v>11.72</v>
      </c>
      <c r="O116" s="49">
        <v>10.54</v>
      </c>
      <c r="P116" s="49"/>
      <c r="Q116" s="49">
        <v>1</v>
      </c>
      <c r="R116" s="49"/>
      <c r="S116" s="49"/>
      <c r="T116" s="49"/>
      <c r="U116" s="49"/>
      <c r="V116" s="49"/>
      <c r="W116" s="49"/>
      <c r="X116" s="49"/>
      <c r="Y116" s="49"/>
    </row>
    <row r="117" spans="1:25" ht="14.25" customHeight="1">
      <c r="A117" s="12" t="s">
        <v>795</v>
      </c>
      <c r="B117" s="8" t="s">
        <v>601</v>
      </c>
      <c r="C117" s="9" t="s">
        <v>622</v>
      </c>
      <c r="D117" s="9" t="s">
        <v>605</v>
      </c>
      <c r="E117" s="49"/>
      <c r="F117" s="49"/>
      <c r="G117" s="49"/>
      <c r="H117" s="49"/>
      <c r="I117" s="49"/>
      <c r="J117" s="49"/>
      <c r="K117" s="49"/>
      <c r="L117" s="49"/>
      <c r="M117" s="49"/>
      <c r="N117" s="49">
        <v>11.72</v>
      </c>
      <c r="O117" s="49">
        <v>8.76</v>
      </c>
      <c r="P117" s="49"/>
      <c r="Q117" s="49">
        <v>0.98</v>
      </c>
      <c r="R117" s="49"/>
      <c r="S117" s="49"/>
      <c r="T117" s="49"/>
      <c r="U117" s="49"/>
      <c r="V117" s="49"/>
      <c r="W117" s="49"/>
      <c r="X117" s="49"/>
      <c r="Y117" s="49"/>
    </row>
    <row r="118" spans="1:25" ht="14.25" customHeight="1">
      <c r="A118" s="12" t="s">
        <v>796</v>
      </c>
      <c r="B118" s="8" t="s">
        <v>601</v>
      </c>
      <c r="C118" s="9" t="s">
        <v>662</v>
      </c>
      <c r="D118" s="9" t="s">
        <v>604</v>
      </c>
      <c r="E118" s="49"/>
      <c r="F118" s="49"/>
      <c r="G118" s="49"/>
      <c r="H118" s="49"/>
      <c r="I118" s="49"/>
      <c r="J118" s="49"/>
      <c r="K118" s="49"/>
      <c r="L118" s="49"/>
      <c r="M118" s="49"/>
      <c r="N118" s="49">
        <v>0.33</v>
      </c>
      <c r="O118" s="49">
        <v>0.62</v>
      </c>
      <c r="P118" s="49"/>
      <c r="Q118" s="49">
        <v>0.65</v>
      </c>
      <c r="R118" s="49"/>
      <c r="S118" s="49"/>
      <c r="T118" s="49"/>
      <c r="U118" s="49"/>
      <c r="V118" s="49"/>
      <c r="W118" s="49"/>
      <c r="X118" s="49"/>
      <c r="Y118" s="49"/>
    </row>
    <row r="119" spans="1:25" ht="14.25" customHeight="1">
      <c r="A119" s="12" t="s">
        <v>797</v>
      </c>
      <c r="B119" s="8" t="s">
        <v>601</v>
      </c>
      <c r="C119" s="9" t="s">
        <v>663</v>
      </c>
      <c r="D119" s="9" t="s">
        <v>604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49">
        <v>0.14000000000000001</v>
      </c>
      <c r="O119" s="49">
        <v>0.49</v>
      </c>
      <c r="P119" s="49"/>
      <c r="Q119" s="49">
        <v>0.65</v>
      </c>
      <c r="R119" s="49"/>
      <c r="S119" s="49"/>
      <c r="T119" s="49"/>
      <c r="U119" s="49"/>
      <c r="V119" s="49"/>
      <c r="W119" s="49"/>
      <c r="X119" s="49"/>
      <c r="Y119" s="49"/>
    </row>
    <row r="120" spans="1:25" ht="14.25" customHeight="1">
      <c r="A120" s="12" t="s">
        <v>798</v>
      </c>
      <c r="B120" s="8" t="s">
        <v>601</v>
      </c>
      <c r="C120" s="9" t="s">
        <v>664</v>
      </c>
      <c r="D120" s="9" t="s">
        <v>604</v>
      </c>
      <c r="E120" s="49"/>
      <c r="F120" s="49"/>
      <c r="G120" s="49"/>
      <c r="H120" s="49"/>
      <c r="I120" s="49"/>
      <c r="J120" s="49"/>
      <c r="K120" s="49"/>
      <c r="L120" s="49"/>
      <c r="M120" s="49"/>
      <c r="N120" s="49">
        <v>0.13</v>
      </c>
      <c r="O120" s="49">
        <v>0.37</v>
      </c>
      <c r="P120" s="49"/>
      <c r="Q120" s="49">
        <v>0.65</v>
      </c>
      <c r="R120" s="49"/>
      <c r="S120" s="49"/>
      <c r="T120" s="49"/>
      <c r="U120" s="49"/>
      <c r="V120" s="49"/>
      <c r="W120" s="49"/>
      <c r="X120" s="49"/>
      <c r="Y120" s="49"/>
    </row>
    <row r="121" spans="1:25" ht="14.25" customHeight="1">
      <c r="A121" s="12"/>
      <c r="B121" s="8"/>
      <c r="C121" s="9"/>
      <c r="D121" s="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spans="1:25" ht="14.25" customHeight="1">
      <c r="A122" s="12" t="s">
        <v>799</v>
      </c>
      <c r="B122" s="8" t="s">
        <v>598</v>
      </c>
      <c r="C122" s="9" t="s">
        <v>665</v>
      </c>
      <c r="D122" s="9" t="s">
        <v>606</v>
      </c>
      <c r="E122" s="49">
        <v>257.32</v>
      </c>
      <c r="F122" s="49"/>
      <c r="G122" s="49">
        <v>150</v>
      </c>
      <c r="H122" s="49">
        <v>272</v>
      </c>
      <c r="I122" s="49">
        <v>110.02</v>
      </c>
      <c r="J122" s="49">
        <v>300.58999999999997</v>
      </c>
      <c r="K122" s="49"/>
      <c r="L122" s="49"/>
      <c r="M122" s="49">
        <v>509.85</v>
      </c>
      <c r="N122" s="49">
        <v>569.29999999999995</v>
      </c>
      <c r="O122" s="49">
        <v>285</v>
      </c>
      <c r="P122" s="49">
        <v>417.94</v>
      </c>
      <c r="Q122" s="49">
        <v>151.04</v>
      </c>
      <c r="R122" s="49">
        <v>145</v>
      </c>
      <c r="S122" s="49">
        <v>170.5271421591367</v>
      </c>
      <c r="T122" s="49">
        <v>327.86</v>
      </c>
      <c r="U122" s="49">
        <v>543.84</v>
      </c>
      <c r="V122" s="49"/>
      <c r="W122" s="49">
        <v>297.45999999999998</v>
      </c>
      <c r="X122" s="49"/>
      <c r="Y122" s="49">
        <v>432.51</v>
      </c>
    </row>
    <row r="123" spans="1:25" ht="14.25" customHeight="1">
      <c r="A123" s="12" t="s">
        <v>800</v>
      </c>
      <c r="B123" s="8" t="s">
        <v>598</v>
      </c>
      <c r="C123" s="9" t="s">
        <v>666</v>
      </c>
      <c r="D123" s="9" t="s">
        <v>606</v>
      </c>
      <c r="E123" s="49">
        <v>176.55</v>
      </c>
      <c r="F123" s="49"/>
      <c r="G123" s="49">
        <v>50</v>
      </c>
      <c r="H123" s="49">
        <v>170</v>
      </c>
      <c r="I123" s="49">
        <v>110.02</v>
      </c>
      <c r="J123" s="49">
        <v>254.68</v>
      </c>
      <c r="K123" s="49"/>
      <c r="L123" s="49"/>
      <c r="M123" s="49">
        <v>301.73</v>
      </c>
      <c r="N123" s="49">
        <v>569.29999999999995</v>
      </c>
      <c r="O123" s="49">
        <v>285</v>
      </c>
      <c r="P123" s="49">
        <v>353.22</v>
      </c>
      <c r="Q123" s="49">
        <v>127.9</v>
      </c>
      <c r="R123" s="49">
        <v>143</v>
      </c>
      <c r="S123" s="49">
        <v>167.7546382675223</v>
      </c>
      <c r="T123" s="49">
        <v>285.10000000000002</v>
      </c>
      <c r="U123" s="49">
        <v>321.85000000000002</v>
      </c>
      <c r="V123" s="49"/>
      <c r="W123" s="49">
        <v>247.88</v>
      </c>
      <c r="X123" s="49"/>
      <c r="Y123" s="49">
        <v>432.51</v>
      </c>
    </row>
    <row r="124" spans="1:25" ht="14.25" customHeight="1">
      <c r="A124" s="12" t="s">
        <v>801</v>
      </c>
      <c r="B124" s="8" t="s">
        <v>598</v>
      </c>
      <c r="C124" s="9" t="s">
        <v>667</v>
      </c>
      <c r="D124" s="9" t="s">
        <v>606</v>
      </c>
      <c r="E124" s="49">
        <v>150.41</v>
      </c>
      <c r="F124" s="49"/>
      <c r="G124" s="49">
        <v>30</v>
      </c>
      <c r="H124" s="49">
        <v>136</v>
      </c>
      <c r="I124" s="49">
        <v>110.02</v>
      </c>
      <c r="J124" s="49">
        <v>252.29</v>
      </c>
      <c r="K124" s="49"/>
      <c r="L124" s="49"/>
      <c r="M124" s="49">
        <v>228.39</v>
      </c>
      <c r="N124" s="49">
        <v>569.29999999999995</v>
      </c>
      <c r="O124" s="49">
        <v>285</v>
      </c>
      <c r="P124" s="49">
        <v>340.12</v>
      </c>
      <c r="Q124" s="49">
        <v>119.32</v>
      </c>
      <c r="R124" s="49">
        <v>141</v>
      </c>
      <c r="S124" s="49">
        <v>161.2522324369003</v>
      </c>
      <c r="T124" s="49">
        <v>247.91</v>
      </c>
      <c r="U124" s="49">
        <v>243.61</v>
      </c>
      <c r="V124" s="49"/>
      <c r="W124" s="49">
        <v>198.31</v>
      </c>
      <c r="X124" s="49"/>
      <c r="Y124" s="49">
        <v>432.51</v>
      </c>
    </row>
    <row r="125" spans="1:25" ht="14.25" customHeight="1">
      <c r="A125" s="12" t="s">
        <v>802</v>
      </c>
      <c r="B125" s="8" t="s">
        <v>598</v>
      </c>
      <c r="C125" s="9" t="s">
        <v>668</v>
      </c>
      <c r="D125" s="9" t="s">
        <v>606</v>
      </c>
      <c r="E125" s="49">
        <v>115.81</v>
      </c>
      <c r="F125" s="49"/>
      <c r="G125" s="49">
        <v>75</v>
      </c>
      <c r="H125" s="49">
        <v>102</v>
      </c>
      <c r="I125" s="49">
        <v>68.760000000000005</v>
      </c>
      <c r="J125" s="49">
        <v>68.819999999999993</v>
      </c>
      <c r="K125" s="49"/>
      <c r="L125" s="49"/>
      <c r="M125" s="49">
        <v>72.900000000000006</v>
      </c>
      <c r="N125" s="49">
        <v>130.99</v>
      </c>
      <c r="O125" s="49">
        <v>42.75</v>
      </c>
      <c r="P125" s="49">
        <v>159.12</v>
      </c>
      <c r="Q125" s="49">
        <v>58.85</v>
      </c>
      <c r="R125" s="49">
        <v>25</v>
      </c>
      <c r="S125" s="49">
        <v>34.852054120032705</v>
      </c>
      <c r="T125" s="49">
        <v>57.16</v>
      </c>
      <c r="U125" s="49">
        <v>77.180000000000007</v>
      </c>
      <c r="V125" s="49"/>
      <c r="W125" s="49">
        <v>55.02</v>
      </c>
      <c r="X125" s="49"/>
      <c r="Y125" s="49">
        <v>388.71</v>
      </c>
    </row>
    <row r="126" spans="1:25" ht="14.25" customHeight="1">
      <c r="A126" s="12" t="s">
        <v>803</v>
      </c>
      <c r="B126" s="8" t="s">
        <v>598</v>
      </c>
      <c r="C126" s="9" t="s">
        <v>669</v>
      </c>
      <c r="D126" s="9" t="s">
        <v>606</v>
      </c>
      <c r="E126" s="49">
        <v>39.76</v>
      </c>
      <c r="F126" s="49"/>
      <c r="G126" s="49">
        <v>35</v>
      </c>
      <c r="H126" s="49">
        <v>68</v>
      </c>
      <c r="I126" s="49">
        <v>68.760000000000005</v>
      </c>
      <c r="J126" s="49">
        <v>31.41</v>
      </c>
      <c r="K126" s="49"/>
      <c r="L126" s="49"/>
      <c r="M126" s="49">
        <v>48.52</v>
      </c>
      <c r="N126" s="49">
        <v>79.66</v>
      </c>
      <c r="O126" s="49">
        <v>40.61</v>
      </c>
      <c r="P126" s="49">
        <v>134.78</v>
      </c>
      <c r="Q126" s="49">
        <v>35.71</v>
      </c>
      <c r="R126" s="49">
        <v>20</v>
      </c>
      <c r="S126" s="49">
        <v>28.68839692144072</v>
      </c>
      <c r="T126" s="49">
        <v>49.7</v>
      </c>
      <c r="U126" s="49">
        <v>51.37</v>
      </c>
      <c r="V126" s="49"/>
      <c r="W126" s="49">
        <v>43.67</v>
      </c>
      <c r="X126" s="49"/>
      <c r="Y126" s="49">
        <v>152.74</v>
      </c>
    </row>
    <row r="127" spans="1:25" ht="14.25" customHeight="1">
      <c r="A127" s="12" t="s">
        <v>804</v>
      </c>
      <c r="B127" s="8" t="s">
        <v>598</v>
      </c>
      <c r="C127" s="9" t="s">
        <v>670</v>
      </c>
      <c r="D127" s="9" t="s">
        <v>606</v>
      </c>
      <c r="E127" s="49">
        <v>16.29</v>
      </c>
      <c r="F127" s="49"/>
      <c r="G127" s="49">
        <v>20</v>
      </c>
      <c r="H127" s="49">
        <v>54</v>
      </c>
      <c r="I127" s="49">
        <v>68.760000000000005</v>
      </c>
      <c r="J127" s="49">
        <v>19.670000000000002</v>
      </c>
      <c r="K127" s="49"/>
      <c r="L127" s="49"/>
      <c r="M127" s="49">
        <v>32.299999999999997</v>
      </c>
      <c r="N127" s="49">
        <v>66.84</v>
      </c>
      <c r="O127" s="49">
        <v>38.58</v>
      </c>
      <c r="P127" s="49">
        <v>129.78</v>
      </c>
      <c r="Q127" s="49">
        <v>27.13</v>
      </c>
      <c r="R127" s="49">
        <v>15</v>
      </c>
      <c r="S127" s="49">
        <v>18.793207823841122</v>
      </c>
      <c r="T127" s="49">
        <v>43.22</v>
      </c>
      <c r="U127" s="49">
        <v>34.200000000000003</v>
      </c>
      <c r="V127" s="49"/>
      <c r="W127" s="49">
        <v>34.47</v>
      </c>
      <c r="X127" s="49"/>
      <c r="Y127" s="49">
        <v>117.94</v>
      </c>
    </row>
    <row r="128" spans="1:25" ht="14.25" customHeight="1">
      <c r="A128" s="12"/>
      <c r="B128" s="8"/>
      <c r="C128" s="9"/>
      <c r="D128" s="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spans="1:25" ht="14.25" customHeight="1">
      <c r="A129" s="12" t="s">
        <v>805</v>
      </c>
      <c r="B129" s="8" t="s">
        <v>602</v>
      </c>
      <c r="C129" s="9" t="s">
        <v>665</v>
      </c>
      <c r="D129" s="9" t="s">
        <v>606</v>
      </c>
      <c r="E129" s="49"/>
      <c r="F129" s="49">
        <v>319.13</v>
      </c>
      <c r="G129" s="49">
        <v>150</v>
      </c>
      <c r="H129" s="49">
        <v>272</v>
      </c>
      <c r="I129" s="49"/>
      <c r="J129" s="49"/>
      <c r="K129" s="49">
        <v>65</v>
      </c>
      <c r="L129" s="49">
        <v>336.46</v>
      </c>
      <c r="M129" s="49"/>
      <c r="N129" s="49">
        <v>569.29999999999995</v>
      </c>
      <c r="O129" s="49">
        <v>285</v>
      </c>
      <c r="P129" s="49">
        <v>417.94</v>
      </c>
      <c r="Q129" s="49">
        <v>175.12</v>
      </c>
      <c r="R129" s="49"/>
      <c r="S129" s="49"/>
      <c r="T129" s="49">
        <v>327.86</v>
      </c>
      <c r="U129" s="49"/>
      <c r="V129" s="49">
        <v>326.39999999999998</v>
      </c>
      <c r="W129" s="49"/>
      <c r="X129" s="49">
        <v>432.51</v>
      </c>
      <c r="Y129" s="49"/>
    </row>
    <row r="130" spans="1:25" ht="14.25" customHeight="1">
      <c r="A130" s="12" t="s">
        <v>806</v>
      </c>
      <c r="B130" s="8" t="s">
        <v>602</v>
      </c>
      <c r="C130" s="9" t="s">
        <v>666</v>
      </c>
      <c r="D130" s="9" t="s">
        <v>606</v>
      </c>
      <c r="E130" s="49"/>
      <c r="F130" s="49">
        <v>319.13</v>
      </c>
      <c r="G130" s="49">
        <v>50</v>
      </c>
      <c r="H130" s="49">
        <v>170</v>
      </c>
      <c r="I130" s="49"/>
      <c r="J130" s="49"/>
      <c r="K130" s="49">
        <v>60</v>
      </c>
      <c r="L130" s="49">
        <v>336.46</v>
      </c>
      <c r="M130" s="49"/>
      <c r="N130" s="49">
        <v>569.29999999999995</v>
      </c>
      <c r="O130" s="49">
        <v>285</v>
      </c>
      <c r="P130" s="49">
        <v>353.22</v>
      </c>
      <c r="Q130" s="49">
        <v>149.99</v>
      </c>
      <c r="R130" s="49"/>
      <c r="S130" s="49"/>
      <c r="T130" s="49">
        <v>285.10000000000002</v>
      </c>
      <c r="U130" s="49"/>
      <c r="V130" s="49">
        <v>326.39999999999998</v>
      </c>
      <c r="W130" s="49"/>
      <c r="X130" s="49">
        <v>432.51</v>
      </c>
      <c r="Y130" s="49"/>
    </row>
    <row r="131" spans="1:25" ht="14.25" customHeight="1">
      <c r="A131" s="12" t="s">
        <v>807</v>
      </c>
      <c r="B131" s="8" t="s">
        <v>602</v>
      </c>
      <c r="C131" s="9" t="s">
        <v>667</v>
      </c>
      <c r="D131" s="9" t="s">
        <v>606</v>
      </c>
      <c r="E131" s="49"/>
      <c r="F131" s="49">
        <v>319.13</v>
      </c>
      <c r="G131" s="49">
        <v>30</v>
      </c>
      <c r="H131" s="49">
        <v>136</v>
      </c>
      <c r="I131" s="49"/>
      <c r="J131" s="49"/>
      <c r="K131" s="49">
        <v>55</v>
      </c>
      <c r="L131" s="49">
        <v>336.46</v>
      </c>
      <c r="M131" s="49"/>
      <c r="N131" s="49">
        <v>569.29999999999995</v>
      </c>
      <c r="O131" s="49">
        <v>285</v>
      </c>
      <c r="P131" s="49">
        <v>340.12</v>
      </c>
      <c r="Q131" s="49">
        <v>134.16</v>
      </c>
      <c r="R131" s="49"/>
      <c r="S131" s="49"/>
      <c r="T131" s="49">
        <v>247.91</v>
      </c>
      <c r="U131" s="49"/>
      <c r="V131" s="49">
        <v>326.39999999999998</v>
      </c>
      <c r="W131" s="49"/>
      <c r="X131" s="49">
        <v>432.51</v>
      </c>
      <c r="Y131" s="49"/>
    </row>
    <row r="132" spans="1:25" ht="14.25" customHeight="1">
      <c r="A132" s="12" t="s">
        <v>808</v>
      </c>
      <c r="B132" s="8" t="s">
        <v>602</v>
      </c>
      <c r="C132" s="9" t="s">
        <v>668</v>
      </c>
      <c r="D132" s="9" t="s">
        <v>606</v>
      </c>
      <c r="E132" s="49"/>
      <c r="F132" s="49">
        <v>52.53</v>
      </c>
      <c r="G132" s="49">
        <v>75</v>
      </c>
      <c r="H132" s="49">
        <v>102</v>
      </c>
      <c r="I132" s="49"/>
      <c r="J132" s="49"/>
      <c r="K132" s="49">
        <v>49</v>
      </c>
      <c r="L132" s="49">
        <v>50.47</v>
      </c>
      <c r="M132" s="49"/>
      <c r="N132" s="49">
        <v>130.99</v>
      </c>
      <c r="O132" s="49">
        <v>47.31</v>
      </c>
      <c r="P132" s="49">
        <v>159.12</v>
      </c>
      <c r="Q132" s="49">
        <v>73.53</v>
      </c>
      <c r="R132" s="49"/>
      <c r="S132" s="49"/>
      <c r="T132" s="49">
        <v>57.16</v>
      </c>
      <c r="U132" s="49"/>
      <c r="V132" s="49">
        <v>85</v>
      </c>
      <c r="W132" s="49"/>
      <c r="X132" s="49">
        <v>343.33</v>
      </c>
      <c r="Y132" s="49"/>
    </row>
    <row r="133" spans="1:25" ht="14.25" customHeight="1">
      <c r="A133" s="12" t="s">
        <v>809</v>
      </c>
      <c r="B133" s="8" t="s">
        <v>602</v>
      </c>
      <c r="C133" s="9" t="s">
        <v>669</v>
      </c>
      <c r="D133" s="9" t="s">
        <v>606</v>
      </c>
      <c r="E133" s="49"/>
      <c r="F133" s="49">
        <v>50.9</v>
      </c>
      <c r="G133" s="49">
        <v>35</v>
      </c>
      <c r="H133" s="49">
        <v>68</v>
      </c>
      <c r="I133" s="49"/>
      <c r="J133" s="49"/>
      <c r="K133" s="49">
        <v>49</v>
      </c>
      <c r="L133" s="49">
        <v>50.47</v>
      </c>
      <c r="M133" s="49"/>
      <c r="N133" s="49">
        <v>79.66</v>
      </c>
      <c r="O133" s="49">
        <v>44.94</v>
      </c>
      <c r="P133" s="49">
        <v>134.78</v>
      </c>
      <c r="Q133" s="49">
        <v>47.84</v>
      </c>
      <c r="R133" s="49"/>
      <c r="S133" s="49"/>
      <c r="T133" s="49">
        <v>49.7</v>
      </c>
      <c r="U133" s="49"/>
      <c r="V133" s="49">
        <v>43.86</v>
      </c>
      <c r="W133" s="49"/>
      <c r="X133" s="49">
        <v>180.09</v>
      </c>
      <c r="Y133" s="49"/>
    </row>
    <row r="134" spans="1:25" ht="14.25" customHeight="1">
      <c r="A134" s="12" t="s">
        <v>810</v>
      </c>
      <c r="B134" s="8" t="s">
        <v>602</v>
      </c>
      <c r="C134" s="9" t="s">
        <v>670</v>
      </c>
      <c r="D134" s="9" t="s">
        <v>606</v>
      </c>
      <c r="E134" s="49"/>
      <c r="F134" s="49">
        <v>34.61</v>
      </c>
      <c r="G134" s="49">
        <v>20</v>
      </c>
      <c r="H134" s="49">
        <v>54</v>
      </c>
      <c r="I134" s="49"/>
      <c r="J134" s="49"/>
      <c r="K134" s="49">
        <v>49</v>
      </c>
      <c r="L134" s="49">
        <v>33.65</v>
      </c>
      <c r="M134" s="49"/>
      <c r="N134" s="49">
        <v>66.84</v>
      </c>
      <c r="O134" s="49">
        <v>42.69</v>
      </c>
      <c r="P134" s="49">
        <v>129.78</v>
      </c>
      <c r="Q134" s="49">
        <v>32.58</v>
      </c>
      <c r="R134" s="49"/>
      <c r="S134" s="49"/>
      <c r="T134" s="49">
        <v>43.22</v>
      </c>
      <c r="U134" s="49"/>
      <c r="V134" s="49">
        <v>35.700000000000003</v>
      </c>
      <c r="W134" s="49"/>
      <c r="X134" s="49">
        <v>117.58</v>
      </c>
      <c r="Y134" s="49"/>
    </row>
    <row r="135" spans="1:25" ht="14.25" customHeight="1">
      <c r="A135" s="12"/>
      <c r="B135" s="8"/>
      <c r="C135" s="9"/>
      <c r="D135" s="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spans="1:25" ht="14.25" customHeight="1">
      <c r="A136" s="12" t="s">
        <v>811</v>
      </c>
      <c r="B136" s="8" t="s">
        <v>600</v>
      </c>
      <c r="C136" s="9" t="s">
        <v>665</v>
      </c>
      <c r="D136" s="9" t="s">
        <v>606</v>
      </c>
      <c r="E136" s="49"/>
      <c r="F136" s="49"/>
      <c r="G136" s="49"/>
      <c r="H136" s="49"/>
      <c r="I136" s="49"/>
      <c r="J136" s="49"/>
      <c r="K136" s="49">
        <v>65</v>
      </c>
      <c r="L136" s="49"/>
      <c r="M136" s="49"/>
      <c r="N136" s="52">
        <v>626.23</v>
      </c>
      <c r="O136" s="49"/>
      <c r="P136" s="49">
        <v>417.94</v>
      </c>
      <c r="Q136" s="49">
        <v>222.41</v>
      </c>
      <c r="R136" s="49"/>
      <c r="S136" s="49"/>
      <c r="T136" s="49">
        <v>435.08</v>
      </c>
      <c r="U136" s="49"/>
      <c r="V136" s="49"/>
      <c r="W136" s="49"/>
      <c r="X136" s="49"/>
      <c r="Y136" s="49"/>
    </row>
    <row r="137" spans="1:25" ht="14.25" customHeight="1">
      <c r="A137" s="12" t="s">
        <v>812</v>
      </c>
      <c r="B137" s="8" t="s">
        <v>600</v>
      </c>
      <c r="C137" s="9" t="s">
        <v>666</v>
      </c>
      <c r="D137" s="9" t="s">
        <v>606</v>
      </c>
      <c r="E137" s="49"/>
      <c r="F137" s="49"/>
      <c r="G137" s="49"/>
      <c r="H137" s="49"/>
      <c r="I137" s="49"/>
      <c r="J137" s="49"/>
      <c r="K137" s="49">
        <v>60</v>
      </c>
      <c r="L137" s="49"/>
      <c r="M137" s="49"/>
      <c r="N137" s="52">
        <v>626.23</v>
      </c>
      <c r="O137" s="49"/>
      <c r="P137" s="49">
        <v>353.22</v>
      </c>
      <c r="Q137" s="49">
        <v>154.38999999999999</v>
      </c>
      <c r="R137" s="49"/>
      <c r="S137" s="49"/>
      <c r="T137" s="49">
        <v>378.33</v>
      </c>
      <c r="U137" s="49"/>
      <c r="V137" s="49"/>
      <c r="W137" s="49"/>
      <c r="X137" s="49"/>
      <c r="Y137" s="49"/>
    </row>
    <row r="138" spans="1:25" ht="14.25" customHeight="1">
      <c r="A138" s="12" t="s">
        <v>813</v>
      </c>
      <c r="B138" s="8" t="s">
        <v>600</v>
      </c>
      <c r="C138" s="9" t="s">
        <v>667</v>
      </c>
      <c r="D138" s="9" t="s">
        <v>606</v>
      </c>
      <c r="E138" s="49"/>
      <c r="F138" s="49"/>
      <c r="G138" s="49"/>
      <c r="H138" s="49"/>
      <c r="I138" s="49"/>
      <c r="J138" s="49"/>
      <c r="K138" s="49">
        <v>55</v>
      </c>
      <c r="L138" s="49"/>
      <c r="M138" s="49"/>
      <c r="N138" s="52">
        <v>626.23</v>
      </c>
      <c r="O138" s="49"/>
      <c r="P138" s="49">
        <v>340.12</v>
      </c>
      <c r="Q138" s="49">
        <v>139.56</v>
      </c>
      <c r="R138" s="49"/>
      <c r="S138" s="49"/>
      <c r="T138" s="49">
        <v>328.98</v>
      </c>
      <c r="U138" s="49"/>
      <c r="V138" s="49"/>
      <c r="W138" s="49"/>
      <c r="X138" s="49"/>
      <c r="Y138" s="49"/>
    </row>
    <row r="139" spans="1:25" ht="14.25" customHeight="1">
      <c r="A139" s="12" t="s">
        <v>814</v>
      </c>
      <c r="B139" s="8" t="s">
        <v>600</v>
      </c>
      <c r="C139" s="9" t="s">
        <v>668</v>
      </c>
      <c r="D139" s="9" t="s">
        <v>606</v>
      </c>
      <c r="E139" s="49"/>
      <c r="F139" s="49"/>
      <c r="G139" s="49"/>
      <c r="H139" s="49"/>
      <c r="I139" s="49"/>
      <c r="J139" s="49"/>
      <c r="K139" s="49">
        <v>49</v>
      </c>
      <c r="L139" s="49"/>
      <c r="M139" s="49"/>
      <c r="N139" s="49">
        <v>130.99</v>
      </c>
      <c r="O139" s="49"/>
      <c r="P139" s="49">
        <v>159.12</v>
      </c>
      <c r="Q139" s="49">
        <v>118.7</v>
      </c>
      <c r="R139" s="49"/>
      <c r="S139" s="49"/>
      <c r="T139" s="49">
        <v>75.849999999999994</v>
      </c>
      <c r="U139" s="49"/>
      <c r="V139" s="49"/>
      <c r="W139" s="49"/>
      <c r="X139" s="49"/>
      <c r="Y139" s="49"/>
    </row>
    <row r="140" spans="1:25" ht="14.25" customHeight="1">
      <c r="A140" s="12" t="s">
        <v>815</v>
      </c>
      <c r="B140" s="8" t="s">
        <v>600</v>
      </c>
      <c r="C140" s="9" t="s">
        <v>669</v>
      </c>
      <c r="D140" s="9" t="s">
        <v>606</v>
      </c>
      <c r="E140" s="49"/>
      <c r="F140" s="49"/>
      <c r="G140" s="49"/>
      <c r="H140" s="49"/>
      <c r="I140" s="49"/>
      <c r="J140" s="49"/>
      <c r="K140" s="49">
        <v>49</v>
      </c>
      <c r="L140" s="49"/>
      <c r="M140" s="49"/>
      <c r="N140" s="49">
        <v>79.66</v>
      </c>
      <c r="O140" s="49"/>
      <c r="P140" s="49">
        <v>134.78</v>
      </c>
      <c r="Q140" s="49">
        <v>50.67</v>
      </c>
      <c r="R140" s="49"/>
      <c r="S140" s="49"/>
      <c r="T140" s="49">
        <v>65.959999999999994</v>
      </c>
      <c r="U140" s="49"/>
      <c r="V140" s="49"/>
      <c r="W140" s="49"/>
      <c r="X140" s="49"/>
      <c r="Y140" s="49"/>
    </row>
    <row r="141" spans="1:25" ht="14.25" customHeight="1">
      <c r="A141" s="12" t="s">
        <v>816</v>
      </c>
      <c r="B141" s="8" t="s">
        <v>600</v>
      </c>
      <c r="C141" s="9" t="s">
        <v>670</v>
      </c>
      <c r="D141" s="9" t="s">
        <v>606</v>
      </c>
      <c r="E141" s="49"/>
      <c r="F141" s="49"/>
      <c r="G141" s="49"/>
      <c r="H141" s="49"/>
      <c r="I141" s="49"/>
      <c r="J141" s="49"/>
      <c r="K141" s="49">
        <v>49</v>
      </c>
      <c r="L141" s="49"/>
      <c r="M141" s="49"/>
      <c r="N141" s="49">
        <v>66.84</v>
      </c>
      <c r="O141" s="49"/>
      <c r="P141" s="49">
        <v>129.78</v>
      </c>
      <c r="Q141" s="49">
        <v>35.76</v>
      </c>
      <c r="R141" s="49"/>
      <c r="S141" s="49"/>
      <c r="T141" s="49">
        <v>57.35</v>
      </c>
      <c r="U141" s="49"/>
      <c r="V141" s="49"/>
      <c r="W141" s="49"/>
      <c r="X141" s="49"/>
      <c r="Y141" s="49"/>
    </row>
    <row r="142" spans="1:25" ht="14.25" customHeight="1">
      <c r="A142" s="12"/>
      <c r="B142" s="8"/>
      <c r="C142" s="9"/>
      <c r="D142" s="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spans="1:25" ht="14.25" customHeight="1">
      <c r="A143" s="12" t="s">
        <v>817</v>
      </c>
      <c r="B143" s="8" t="s">
        <v>601</v>
      </c>
      <c r="C143" s="9" t="s">
        <v>665</v>
      </c>
      <c r="D143" s="9" t="s">
        <v>606</v>
      </c>
      <c r="E143" s="49">
        <v>257.32</v>
      </c>
      <c r="F143" s="49"/>
      <c r="G143" s="49"/>
      <c r="H143" s="49"/>
      <c r="I143" s="49">
        <v>110.02</v>
      </c>
      <c r="J143" s="49">
        <v>300.58999999999997</v>
      </c>
      <c r="K143" s="49"/>
      <c r="L143" s="49">
        <v>336.46</v>
      </c>
      <c r="M143" s="49">
        <v>509.85</v>
      </c>
      <c r="N143" s="49">
        <v>569.29999999999995</v>
      </c>
      <c r="O143" s="49">
        <v>285</v>
      </c>
      <c r="P143" s="49"/>
      <c r="Q143" s="49">
        <v>148.13999999999999</v>
      </c>
      <c r="R143" s="49">
        <v>145</v>
      </c>
      <c r="S143" s="49">
        <v>170.5271421591367</v>
      </c>
      <c r="T143" s="49"/>
      <c r="U143" s="49"/>
      <c r="V143" s="49"/>
      <c r="W143" s="49"/>
      <c r="X143" s="49"/>
      <c r="Y143" s="49"/>
    </row>
    <row r="144" spans="1:25" ht="14.25" customHeight="1">
      <c r="A144" s="12" t="s">
        <v>818</v>
      </c>
      <c r="B144" s="8" t="s">
        <v>601</v>
      </c>
      <c r="C144" s="9" t="s">
        <v>666</v>
      </c>
      <c r="D144" s="9" t="s">
        <v>606</v>
      </c>
      <c r="E144" s="49">
        <v>176.55</v>
      </c>
      <c r="F144" s="49"/>
      <c r="G144" s="49"/>
      <c r="H144" s="49"/>
      <c r="I144" s="49">
        <v>110.02</v>
      </c>
      <c r="J144" s="49">
        <v>254.68</v>
      </c>
      <c r="K144" s="49"/>
      <c r="L144" s="49">
        <v>336.46</v>
      </c>
      <c r="M144" s="49">
        <v>301.73</v>
      </c>
      <c r="N144" s="49">
        <v>569.29999999999995</v>
      </c>
      <c r="O144" s="49">
        <v>285</v>
      </c>
      <c r="P144" s="49"/>
      <c r="Q144" s="49">
        <v>125.44</v>
      </c>
      <c r="R144" s="49">
        <v>143</v>
      </c>
      <c r="S144" s="49">
        <v>167.7546382675223</v>
      </c>
      <c r="T144" s="49"/>
      <c r="U144" s="49"/>
      <c r="V144" s="49"/>
      <c r="W144" s="49"/>
      <c r="X144" s="49"/>
      <c r="Y144" s="49"/>
    </row>
    <row r="145" spans="1:25" ht="14.25" customHeight="1">
      <c r="A145" s="12" t="s">
        <v>819</v>
      </c>
      <c r="B145" s="8" t="s">
        <v>601</v>
      </c>
      <c r="C145" s="9" t="s">
        <v>667</v>
      </c>
      <c r="D145" s="9" t="s">
        <v>606</v>
      </c>
      <c r="E145" s="49">
        <v>150.41</v>
      </c>
      <c r="F145" s="49"/>
      <c r="G145" s="49"/>
      <c r="H145" s="49"/>
      <c r="I145" s="49">
        <v>110.02</v>
      </c>
      <c r="J145" s="49">
        <v>252.29</v>
      </c>
      <c r="K145" s="49"/>
      <c r="L145" s="49">
        <v>336.46</v>
      </c>
      <c r="M145" s="49">
        <v>228.39</v>
      </c>
      <c r="N145" s="49">
        <v>569.29999999999995</v>
      </c>
      <c r="O145" s="49">
        <v>285</v>
      </c>
      <c r="P145" s="49"/>
      <c r="Q145" s="49">
        <v>117.02</v>
      </c>
      <c r="R145" s="49">
        <v>141</v>
      </c>
      <c r="S145" s="49">
        <v>161.2522324369003</v>
      </c>
      <c r="T145" s="49"/>
      <c r="U145" s="49"/>
      <c r="V145" s="49"/>
      <c r="W145" s="49"/>
      <c r="X145" s="49"/>
      <c r="Y145" s="49"/>
    </row>
    <row r="146" spans="1:25" ht="14.25" customHeight="1">
      <c r="A146" s="12" t="s">
        <v>820</v>
      </c>
      <c r="B146" s="8" t="s">
        <v>601</v>
      </c>
      <c r="C146" s="9" t="s">
        <v>668</v>
      </c>
      <c r="D146" s="9" t="s">
        <v>606</v>
      </c>
      <c r="E146" s="49">
        <v>115.81</v>
      </c>
      <c r="F146" s="49"/>
      <c r="G146" s="49"/>
      <c r="H146" s="49"/>
      <c r="I146" s="49">
        <v>68.760000000000005</v>
      </c>
      <c r="J146" s="49">
        <v>68.819999999999993</v>
      </c>
      <c r="K146" s="49"/>
      <c r="L146" s="49">
        <v>50.47</v>
      </c>
      <c r="M146" s="49">
        <v>72.900000000000006</v>
      </c>
      <c r="N146" s="49">
        <v>130.99</v>
      </c>
      <c r="O146" s="49">
        <v>42.75</v>
      </c>
      <c r="P146" s="49"/>
      <c r="Q146" s="49">
        <v>57.72</v>
      </c>
      <c r="R146" s="49">
        <v>25</v>
      </c>
      <c r="S146" s="49">
        <v>34.852054120032705</v>
      </c>
      <c r="T146" s="49"/>
      <c r="U146" s="49"/>
      <c r="V146" s="49"/>
      <c r="W146" s="49"/>
      <c r="X146" s="49"/>
      <c r="Y146" s="49"/>
    </row>
    <row r="147" spans="1:25" ht="14.25" customHeight="1">
      <c r="A147" s="12" t="s">
        <v>821</v>
      </c>
      <c r="B147" s="8" t="s">
        <v>601</v>
      </c>
      <c r="C147" s="9" t="s">
        <v>669</v>
      </c>
      <c r="D147" s="9" t="s">
        <v>606</v>
      </c>
      <c r="E147" s="49">
        <v>39.76</v>
      </c>
      <c r="F147" s="49"/>
      <c r="G147" s="49"/>
      <c r="H147" s="49"/>
      <c r="I147" s="49">
        <v>68.760000000000005</v>
      </c>
      <c r="J147" s="49">
        <v>31.41</v>
      </c>
      <c r="K147" s="49"/>
      <c r="L147" s="49">
        <v>43.74</v>
      </c>
      <c r="M147" s="49">
        <v>48.52</v>
      </c>
      <c r="N147" s="49">
        <v>79.66</v>
      </c>
      <c r="O147" s="49">
        <v>40.61</v>
      </c>
      <c r="P147" s="49"/>
      <c r="Q147" s="49">
        <v>35.03</v>
      </c>
      <c r="R147" s="49">
        <v>20</v>
      </c>
      <c r="S147" s="49">
        <v>28.68839692144072</v>
      </c>
      <c r="T147" s="49"/>
      <c r="U147" s="49"/>
      <c r="V147" s="49"/>
      <c r="W147" s="49"/>
      <c r="X147" s="49"/>
      <c r="Y147" s="49"/>
    </row>
    <row r="148" spans="1:25" ht="14.25" customHeight="1">
      <c r="A148" s="12" t="s">
        <v>822</v>
      </c>
      <c r="B148" s="8" t="s">
        <v>601</v>
      </c>
      <c r="C148" s="9" t="s">
        <v>670</v>
      </c>
      <c r="D148" s="9" t="s">
        <v>606</v>
      </c>
      <c r="E148" s="49">
        <v>16.29</v>
      </c>
      <c r="F148" s="49"/>
      <c r="G148" s="49"/>
      <c r="H148" s="49"/>
      <c r="I148" s="49">
        <v>68.760000000000005</v>
      </c>
      <c r="J148" s="49">
        <v>19.670000000000002</v>
      </c>
      <c r="K148" s="49"/>
      <c r="L148" s="49">
        <v>43.74</v>
      </c>
      <c r="M148" s="49">
        <v>32.299999999999997</v>
      </c>
      <c r="N148" s="49">
        <v>66.84</v>
      </c>
      <c r="O148" s="49">
        <v>38.58</v>
      </c>
      <c r="P148" s="49"/>
      <c r="Q148" s="49">
        <v>26.61</v>
      </c>
      <c r="R148" s="49">
        <v>15</v>
      </c>
      <c r="S148" s="49">
        <v>18.793207823841122</v>
      </c>
      <c r="T148" s="49"/>
      <c r="U148" s="49"/>
      <c r="V148" s="49"/>
      <c r="W148" s="49"/>
      <c r="X148" s="49"/>
      <c r="Y148" s="49"/>
    </row>
    <row r="149" spans="1:25" ht="14.25" customHeight="1">
      <c r="A149" s="12"/>
      <c r="B149" s="8"/>
      <c r="C149" s="9"/>
      <c r="D149" s="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spans="1:25" ht="14.25" customHeight="1">
      <c r="A150" s="12" t="s">
        <v>823</v>
      </c>
      <c r="B150" s="8" t="s">
        <v>598</v>
      </c>
      <c r="C150" s="9" t="s">
        <v>623</v>
      </c>
      <c r="D150" s="9" t="s">
        <v>607</v>
      </c>
      <c r="E150" s="49">
        <v>339.61</v>
      </c>
      <c r="F150" s="49"/>
      <c r="G150" s="49">
        <v>108.14</v>
      </c>
      <c r="H150" s="49">
        <v>192</v>
      </c>
      <c r="I150" s="49">
        <v>158.68</v>
      </c>
      <c r="J150" s="49">
        <v>169</v>
      </c>
      <c r="K150" s="49"/>
      <c r="L150" s="49"/>
      <c r="M150" s="49">
        <v>199</v>
      </c>
      <c r="N150" s="49">
        <v>142.01</v>
      </c>
      <c r="O150" s="49">
        <v>174.86</v>
      </c>
      <c r="P150" s="49">
        <v>171</v>
      </c>
      <c r="Q150" s="49">
        <v>234</v>
      </c>
      <c r="R150" s="49">
        <v>145</v>
      </c>
      <c r="S150" s="49">
        <v>158</v>
      </c>
      <c r="T150" s="49">
        <v>254.54</v>
      </c>
      <c r="U150" s="49">
        <v>181</v>
      </c>
      <c r="V150" s="49"/>
      <c r="W150" s="49">
        <v>137.97</v>
      </c>
      <c r="X150" s="49"/>
      <c r="Y150" s="49">
        <v>184.03</v>
      </c>
    </row>
    <row r="151" spans="1:25" ht="14.25" customHeight="1">
      <c r="A151" s="12" t="s">
        <v>824</v>
      </c>
      <c r="B151" s="8" t="s">
        <v>598</v>
      </c>
      <c r="C151" s="9" t="s">
        <v>624</v>
      </c>
      <c r="D151" s="9" t="s">
        <v>607</v>
      </c>
      <c r="E151" s="49">
        <v>201.75</v>
      </c>
      <c r="F151" s="49"/>
      <c r="G151" s="49">
        <v>69.66</v>
      </c>
      <c r="H151" s="49">
        <v>154</v>
      </c>
      <c r="I151" s="49">
        <v>99.17</v>
      </c>
      <c r="J151" s="49">
        <v>101</v>
      </c>
      <c r="K151" s="49"/>
      <c r="L151" s="49"/>
      <c r="M151" s="49">
        <v>167</v>
      </c>
      <c r="N151" s="49">
        <v>399.31</v>
      </c>
      <c r="O151" s="49">
        <v>121.22</v>
      </c>
      <c r="P151" s="49">
        <v>252</v>
      </c>
      <c r="Q151" s="49">
        <v>162</v>
      </c>
      <c r="R151" s="49">
        <v>145</v>
      </c>
      <c r="S151" s="49">
        <v>167</v>
      </c>
      <c r="T151" s="49">
        <v>215.47</v>
      </c>
      <c r="U151" s="49">
        <v>181</v>
      </c>
      <c r="V151" s="49"/>
      <c r="W151" s="49">
        <v>104.92</v>
      </c>
      <c r="X151" s="49"/>
      <c r="Y151" s="49">
        <v>175.28</v>
      </c>
    </row>
    <row r="152" spans="1:25" ht="14.25" customHeight="1">
      <c r="A152" s="12" t="s">
        <v>825</v>
      </c>
      <c r="B152" s="8" t="s">
        <v>598</v>
      </c>
      <c r="C152" s="9" t="s">
        <v>625</v>
      </c>
      <c r="D152" s="9" t="s">
        <v>607</v>
      </c>
      <c r="E152" s="49">
        <v>308.10000000000002</v>
      </c>
      <c r="F152" s="49"/>
      <c r="G152" s="49">
        <v>85.6</v>
      </c>
      <c r="H152" s="49">
        <v>181</v>
      </c>
      <c r="I152" s="49">
        <v>115.7</v>
      </c>
      <c r="J152" s="49">
        <v>114</v>
      </c>
      <c r="K152" s="49"/>
      <c r="L152" s="49"/>
      <c r="M152" s="49">
        <v>199</v>
      </c>
      <c r="N152" s="49">
        <v>336.25</v>
      </c>
      <c r="O152" s="49">
        <v>139.68</v>
      </c>
      <c r="P152" s="49">
        <v>302.39999999999998</v>
      </c>
      <c r="Q152" s="49">
        <v>191</v>
      </c>
      <c r="R152" s="49">
        <v>150</v>
      </c>
      <c r="S152" s="49">
        <v>199</v>
      </c>
      <c r="T152" s="49">
        <v>223.97</v>
      </c>
      <c r="U152" s="49">
        <v>266</v>
      </c>
      <c r="V152" s="49"/>
      <c r="W152" s="49">
        <v>137.97</v>
      </c>
      <c r="X152" s="49"/>
      <c r="Y152" s="49">
        <v>182.62</v>
      </c>
    </row>
    <row r="153" spans="1:25" ht="14.25" customHeight="1">
      <c r="A153" s="12" t="s">
        <v>826</v>
      </c>
      <c r="B153" s="8" t="s">
        <v>598</v>
      </c>
      <c r="C153" s="9" t="s">
        <v>626</v>
      </c>
      <c r="D153" s="9" t="s">
        <v>607</v>
      </c>
      <c r="E153" s="49">
        <v>354.15</v>
      </c>
      <c r="F153" s="49"/>
      <c r="G153" s="49">
        <v>114.12</v>
      </c>
      <c r="H153" s="49">
        <v>196</v>
      </c>
      <c r="I153" s="49">
        <v>138.84</v>
      </c>
      <c r="J153" s="49">
        <v>129</v>
      </c>
      <c r="K153" s="49"/>
      <c r="L153" s="49"/>
      <c r="M153" s="49">
        <v>248</v>
      </c>
      <c r="N153" s="49">
        <v>274.79000000000002</v>
      </c>
      <c r="O153" s="49">
        <v>177.81</v>
      </c>
      <c r="P153" s="49">
        <v>371.7</v>
      </c>
      <c r="Q153" s="49">
        <v>234</v>
      </c>
      <c r="R153" s="49">
        <v>160</v>
      </c>
      <c r="S153" s="49">
        <v>222</v>
      </c>
      <c r="T153" s="49">
        <v>303.01</v>
      </c>
      <c r="U153" s="49">
        <v>340</v>
      </c>
      <c r="V153" s="49"/>
      <c r="W153" s="49">
        <v>161.88</v>
      </c>
      <c r="X153" s="49"/>
      <c r="Y153" s="49">
        <v>204.06</v>
      </c>
    </row>
    <row r="154" spans="1:25" ht="14.25" customHeight="1">
      <c r="A154" s="12" t="s">
        <v>827</v>
      </c>
      <c r="B154" s="8" t="s">
        <v>598</v>
      </c>
      <c r="C154" s="9" t="s">
        <v>627</v>
      </c>
      <c r="D154" s="9" t="s">
        <v>607</v>
      </c>
      <c r="E154" s="49">
        <v>160.35</v>
      </c>
      <c r="F154" s="49"/>
      <c r="G154" s="49">
        <v>78.94</v>
      </c>
      <c r="H154" s="49">
        <v>152</v>
      </c>
      <c r="I154" s="49">
        <v>105.79</v>
      </c>
      <c r="J154" s="49">
        <v>102</v>
      </c>
      <c r="K154" s="49"/>
      <c r="L154" s="49"/>
      <c r="M154" s="49">
        <v>114</v>
      </c>
      <c r="N154" s="49">
        <v>78.52</v>
      </c>
      <c r="O154" s="49">
        <v>118.15</v>
      </c>
      <c r="P154" s="49">
        <v>122.4</v>
      </c>
      <c r="Q154" s="49">
        <v>140</v>
      </c>
      <c r="R154" s="49">
        <v>75</v>
      </c>
      <c r="S154" s="49">
        <v>75</v>
      </c>
      <c r="T154" s="49">
        <v>153.44999999999999</v>
      </c>
      <c r="U154" s="49">
        <v>97</v>
      </c>
      <c r="V154" s="49"/>
      <c r="W154" s="49">
        <v>137.97</v>
      </c>
      <c r="X154" s="49"/>
      <c r="Y154" s="49">
        <v>116.2</v>
      </c>
    </row>
    <row r="155" spans="1:25" ht="14.25" customHeight="1">
      <c r="A155" s="12" t="s">
        <v>828</v>
      </c>
      <c r="B155" s="8" t="s">
        <v>598</v>
      </c>
      <c r="C155" s="9" t="s">
        <v>628</v>
      </c>
      <c r="D155" s="9" t="s">
        <v>607</v>
      </c>
      <c r="E155" s="49">
        <v>266.18</v>
      </c>
      <c r="F155" s="49"/>
      <c r="G155" s="49">
        <v>101.27</v>
      </c>
      <c r="H155" s="49">
        <v>196</v>
      </c>
      <c r="I155" s="49">
        <v>138.84</v>
      </c>
      <c r="J155" s="49">
        <v>150</v>
      </c>
      <c r="K155" s="49"/>
      <c r="L155" s="49"/>
      <c r="M155" s="49">
        <v>199</v>
      </c>
      <c r="N155" s="49">
        <v>149.58000000000001</v>
      </c>
      <c r="O155" s="49">
        <v>211.52</v>
      </c>
      <c r="P155" s="49">
        <v>171</v>
      </c>
      <c r="Q155" s="49">
        <v>191</v>
      </c>
      <c r="R155" s="49">
        <v>140</v>
      </c>
      <c r="S155" s="49">
        <v>201</v>
      </c>
      <c r="T155" s="49">
        <v>171.71</v>
      </c>
      <c r="U155" s="49">
        <v>340</v>
      </c>
      <c r="V155" s="49"/>
      <c r="W155" s="49">
        <v>161.88</v>
      </c>
      <c r="X155" s="49"/>
      <c r="Y155" s="49">
        <v>204.06</v>
      </c>
    </row>
    <row r="156" spans="1:25" ht="14.25" customHeight="1">
      <c r="A156" s="12" t="s">
        <v>829</v>
      </c>
      <c r="B156" s="8" t="s">
        <v>598</v>
      </c>
      <c r="C156" s="9" t="s">
        <v>629</v>
      </c>
      <c r="D156" s="9" t="s">
        <v>607</v>
      </c>
      <c r="E156" s="49">
        <v>201.75</v>
      </c>
      <c r="F156" s="49"/>
      <c r="G156" s="49">
        <v>91.3</v>
      </c>
      <c r="H156" s="49">
        <v>173</v>
      </c>
      <c r="I156" s="49">
        <v>125.62</v>
      </c>
      <c r="J156" s="49">
        <v>90</v>
      </c>
      <c r="K156" s="49"/>
      <c r="L156" s="49"/>
      <c r="M156" s="49">
        <v>167</v>
      </c>
      <c r="N156" s="49">
        <v>90.12</v>
      </c>
      <c r="O156" s="49">
        <v>139.68</v>
      </c>
      <c r="P156" s="49">
        <v>151.19999999999999</v>
      </c>
      <c r="Q156" s="49">
        <v>162</v>
      </c>
      <c r="R156" s="49">
        <v>120</v>
      </c>
      <c r="S156" s="49">
        <v>161</v>
      </c>
      <c r="T156" s="49">
        <v>120.82</v>
      </c>
      <c r="U156" s="49">
        <v>176</v>
      </c>
      <c r="V156" s="49"/>
      <c r="W156" s="49">
        <v>161.88</v>
      </c>
      <c r="X156" s="49"/>
      <c r="Y156" s="49">
        <v>156.41999999999999</v>
      </c>
    </row>
    <row r="157" spans="1:25" ht="14.25" customHeight="1">
      <c r="A157" s="12" t="s">
        <v>830</v>
      </c>
      <c r="B157" s="8" t="s">
        <v>598</v>
      </c>
      <c r="C157" s="9" t="s">
        <v>630</v>
      </c>
      <c r="D157" s="9" t="s">
        <v>607</v>
      </c>
      <c r="E157" s="49">
        <v>107.07</v>
      </c>
      <c r="F157" s="49"/>
      <c r="G157" s="49">
        <v>79.61</v>
      </c>
      <c r="H157" s="49">
        <v>162</v>
      </c>
      <c r="I157" s="49">
        <v>105.79</v>
      </c>
      <c r="J157" s="49">
        <v>89</v>
      </c>
      <c r="K157" s="49"/>
      <c r="L157" s="49"/>
      <c r="M157" s="49">
        <v>100</v>
      </c>
      <c r="N157" s="49">
        <v>72.92</v>
      </c>
      <c r="O157" s="49">
        <v>139.68</v>
      </c>
      <c r="P157" s="49">
        <v>122.4</v>
      </c>
      <c r="Q157" s="49">
        <v>112</v>
      </c>
      <c r="R157" s="49">
        <v>93</v>
      </c>
      <c r="S157" s="49">
        <v>93</v>
      </c>
      <c r="T157" s="49">
        <v>130.51</v>
      </c>
      <c r="U157" s="49">
        <v>135</v>
      </c>
      <c r="V157" s="49"/>
      <c r="W157" s="49">
        <v>137.97</v>
      </c>
      <c r="X157" s="49"/>
      <c r="Y157" s="49">
        <v>92.61</v>
      </c>
    </row>
    <row r="158" spans="1:25" ht="14.25" customHeight="1">
      <c r="A158" s="12" t="s">
        <v>831</v>
      </c>
      <c r="B158" s="8" t="s">
        <v>598</v>
      </c>
      <c r="C158" s="9" t="s">
        <v>631</v>
      </c>
      <c r="D158" s="9" t="s">
        <v>607</v>
      </c>
      <c r="E158" s="49">
        <v>266.18</v>
      </c>
      <c r="F158" s="49"/>
      <c r="G158" s="49">
        <v>120.27</v>
      </c>
      <c r="H158" s="49">
        <v>112</v>
      </c>
      <c r="I158" s="49">
        <v>138.84</v>
      </c>
      <c r="J158" s="49">
        <v>128</v>
      </c>
      <c r="K158" s="49"/>
      <c r="L158" s="49"/>
      <c r="M158" s="49">
        <v>167</v>
      </c>
      <c r="N158" s="49">
        <v>117.28</v>
      </c>
      <c r="O158" s="49">
        <v>127.92</v>
      </c>
      <c r="P158" s="49">
        <v>185.4</v>
      </c>
      <c r="Q158" s="49">
        <v>140</v>
      </c>
      <c r="R158" s="49">
        <v>222</v>
      </c>
      <c r="S158" s="49">
        <v>222</v>
      </c>
      <c r="T158" s="49">
        <v>163.05000000000001</v>
      </c>
      <c r="U158" s="49">
        <v>135</v>
      </c>
      <c r="V158" s="49"/>
      <c r="W158" s="49">
        <v>137.97</v>
      </c>
      <c r="X158" s="49"/>
      <c r="Y158" s="49">
        <v>151.38</v>
      </c>
    </row>
    <row r="159" spans="1:25" ht="14.25" customHeight="1">
      <c r="A159" s="12" t="s">
        <v>832</v>
      </c>
      <c r="B159" s="8" t="s">
        <v>598</v>
      </c>
      <c r="C159" s="9" t="s">
        <v>632</v>
      </c>
      <c r="D159" s="9" t="s">
        <v>607</v>
      </c>
      <c r="E159" s="49">
        <v>208.66</v>
      </c>
      <c r="F159" s="49"/>
      <c r="G159" s="49">
        <v>77.27</v>
      </c>
      <c r="H159" s="49">
        <v>192</v>
      </c>
      <c r="I159" s="49">
        <v>138.84</v>
      </c>
      <c r="J159" s="49">
        <v>153</v>
      </c>
      <c r="K159" s="49"/>
      <c r="L159" s="49"/>
      <c r="M159" s="49">
        <v>130</v>
      </c>
      <c r="N159" s="49">
        <v>128</v>
      </c>
      <c r="O159" s="49">
        <v>127.92</v>
      </c>
      <c r="P159" s="49">
        <v>151.19999999999999</v>
      </c>
      <c r="Q159" s="49">
        <v>112</v>
      </c>
      <c r="R159" s="49">
        <v>138</v>
      </c>
      <c r="S159" s="49">
        <v>138</v>
      </c>
      <c r="T159" s="49">
        <v>161.35</v>
      </c>
      <c r="U159" s="49">
        <v>97</v>
      </c>
      <c r="V159" s="49"/>
      <c r="W159" s="49">
        <v>137.97</v>
      </c>
      <c r="X159" s="49"/>
      <c r="Y159" s="49">
        <v>204.06</v>
      </c>
    </row>
    <row r="160" spans="1:25" ht="14.25" customHeight="1">
      <c r="A160" s="12" t="s">
        <v>833</v>
      </c>
      <c r="B160" s="8" t="s">
        <v>598</v>
      </c>
      <c r="C160" s="9" t="s">
        <v>633</v>
      </c>
      <c r="D160" s="9" t="s">
        <v>607</v>
      </c>
      <c r="E160" s="49">
        <v>229.26</v>
      </c>
      <c r="F160" s="49"/>
      <c r="G160" s="49">
        <v>77.61</v>
      </c>
      <c r="H160" s="49">
        <v>181</v>
      </c>
      <c r="I160" s="49">
        <v>122.31</v>
      </c>
      <c r="J160" s="49">
        <v>107</v>
      </c>
      <c r="K160" s="49"/>
      <c r="L160" s="49"/>
      <c r="M160" s="49">
        <v>296</v>
      </c>
      <c r="N160" s="49">
        <v>123.66</v>
      </c>
      <c r="O160" s="49">
        <v>118.15</v>
      </c>
      <c r="P160" s="49">
        <v>185.4</v>
      </c>
      <c r="Q160" s="49">
        <v>191</v>
      </c>
      <c r="R160" s="49">
        <v>140</v>
      </c>
      <c r="S160" s="49">
        <v>119</v>
      </c>
      <c r="T160" s="49">
        <v>111.61</v>
      </c>
      <c r="U160" s="49">
        <v>135</v>
      </c>
      <c r="V160" s="49"/>
      <c r="W160" s="49">
        <v>137.97</v>
      </c>
      <c r="X160" s="49"/>
      <c r="Y160" s="49">
        <v>184.03</v>
      </c>
    </row>
    <row r="161" spans="1:25" ht="14.25" customHeight="1">
      <c r="A161" s="12"/>
      <c r="B161" s="8"/>
      <c r="C161" s="9"/>
      <c r="D161" s="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spans="1:25" ht="14.25" customHeight="1">
      <c r="A162" s="12" t="s">
        <v>834</v>
      </c>
      <c r="B162" s="8" t="s">
        <v>602</v>
      </c>
      <c r="C162" s="9" t="s">
        <v>623</v>
      </c>
      <c r="D162" s="9" t="s">
        <v>607</v>
      </c>
      <c r="E162" s="49"/>
      <c r="F162" s="49">
        <v>339.61</v>
      </c>
      <c r="G162" s="49">
        <v>108.14</v>
      </c>
      <c r="H162" s="49">
        <v>192</v>
      </c>
      <c r="I162" s="49"/>
      <c r="J162" s="49"/>
      <c r="K162" s="49">
        <v>169</v>
      </c>
      <c r="L162" s="49">
        <v>152.72</v>
      </c>
      <c r="M162" s="49"/>
      <c r="N162" s="49">
        <v>142.01</v>
      </c>
      <c r="O162" s="49">
        <v>174.86</v>
      </c>
      <c r="P162" s="49">
        <v>171</v>
      </c>
      <c r="Q162" s="49">
        <v>234</v>
      </c>
      <c r="R162" s="49"/>
      <c r="S162" s="49"/>
      <c r="T162" s="49">
        <v>254.54</v>
      </c>
      <c r="U162" s="49"/>
      <c r="V162" s="49">
        <v>181</v>
      </c>
      <c r="W162" s="49"/>
      <c r="X162" s="49">
        <v>184.03</v>
      </c>
      <c r="Y162" s="49"/>
    </row>
    <row r="163" spans="1:25" ht="14.25" customHeight="1">
      <c r="A163" s="12" t="s">
        <v>835</v>
      </c>
      <c r="B163" s="8" t="s">
        <v>602</v>
      </c>
      <c r="C163" s="9" t="s">
        <v>624</v>
      </c>
      <c r="D163" s="9" t="s">
        <v>607</v>
      </c>
      <c r="E163" s="49"/>
      <c r="F163" s="49">
        <v>201.75</v>
      </c>
      <c r="G163" s="49">
        <v>69.66</v>
      </c>
      <c r="H163" s="49">
        <v>154</v>
      </c>
      <c r="I163" s="49"/>
      <c r="J163" s="49"/>
      <c r="K163" s="49">
        <v>192</v>
      </c>
      <c r="L163" s="49">
        <v>119.66</v>
      </c>
      <c r="M163" s="49"/>
      <c r="N163" s="49">
        <v>399.31</v>
      </c>
      <c r="O163" s="49">
        <v>121.22</v>
      </c>
      <c r="P163" s="49">
        <v>252</v>
      </c>
      <c r="Q163" s="49">
        <v>162</v>
      </c>
      <c r="R163" s="49"/>
      <c r="S163" s="49"/>
      <c r="T163" s="49">
        <v>215.47</v>
      </c>
      <c r="U163" s="49"/>
      <c r="V163" s="49">
        <v>181</v>
      </c>
      <c r="W163" s="49"/>
      <c r="X163" s="49">
        <v>175.28</v>
      </c>
      <c r="Y163" s="49"/>
    </row>
    <row r="164" spans="1:25" ht="14.25" customHeight="1">
      <c r="A164" s="12" t="s">
        <v>836</v>
      </c>
      <c r="B164" s="8" t="s">
        <v>602</v>
      </c>
      <c r="C164" s="9" t="s">
        <v>625</v>
      </c>
      <c r="D164" s="9" t="s">
        <v>607</v>
      </c>
      <c r="E164" s="49"/>
      <c r="F164" s="49">
        <v>308.10000000000002</v>
      </c>
      <c r="G164" s="49">
        <v>85.6</v>
      </c>
      <c r="H164" s="49">
        <v>181</v>
      </c>
      <c r="I164" s="49"/>
      <c r="J164" s="49"/>
      <c r="K164" s="49">
        <v>240</v>
      </c>
      <c r="L164" s="49">
        <v>131.19</v>
      </c>
      <c r="M164" s="49"/>
      <c r="N164" s="49">
        <v>336.25</v>
      </c>
      <c r="O164" s="49">
        <v>139.68</v>
      </c>
      <c r="P164" s="49">
        <v>302.39999999999998</v>
      </c>
      <c r="Q164" s="49">
        <v>191</v>
      </c>
      <c r="R164" s="49"/>
      <c r="S164" s="49"/>
      <c r="T164" s="49">
        <v>223.97</v>
      </c>
      <c r="U164" s="49"/>
      <c r="V164" s="49">
        <v>266</v>
      </c>
      <c r="W164" s="49"/>
      <c r="X164" s="49">
        <v>182.62</v>
      </c>
      <c r="Y164" s="49"/>
    </row>
    <row r="165" spans="1:25" ht="14.25" customHeight="1">
      <c r="A165" s="12" t="s">
        <v>837</v>
      </c>
      <c r="B165" s="8" t="s">
        <v>602</v>
      </c>
      <c r="C165" s="9" t="s">
        <v>626</v>
      </c>
      <c r="D165" s="9" t="s">
        <v>607</v>
      </c>
      <c r="E165" s="49"/>
      <c r="F165" s="49">
        <v>354.15</v>
      </c>
      <c r="G165" s="49">
        <v>114.12</v>
      </c>
      <c r="H165" s="49">
        <v>196</v>
      </c>
      <c r="I165" s="49"/>
      <c r="J165" s="49"/>
      <c r="K165" s="49">
        <v>341</v>
      </c>
      <c r="L165" s="49">
        <v>171.01</v>
      </c>
      <c r="M165" s="49"/>
      <c r="N165" s="49">
        <v>274.79000000000002</v>
      </c>
      <c r="O165" s="49">
        <v>177.81</v>
      </c>
      <c r="P165" s="49">
        <v>371.7</v>
      </c>
      <c r="Q165" s="49">
        <v>234</v>
      </c>
      <c r="R165" s="49"/>
      <c r="S165" s="49"/>
      <c r="T165" s="49">
        <v>303.01</v>
      </c>
      <c r="U165" s="49"/>
      <c r="V165" s="49">
        <v>340</v>
      </c>
      <c r="W165" s="49"/>
      <c r="X165" s="49">
        <v>204.06</v>
      </c>
      <c r="Y165" s="49"/>
    </row>
    <row r="166" spans="1:25" ht="14.25" customHeight="1">
      <c r="A166" s="12" t="s">
        <v>838</v>
      </c>
      <c r="B166" s="8" t="s">
        <v>602</v>
      </c>
      <c r="C166" s="9" t="s">
        <v>627</v>
      </c>
      <c r="D166" s="9" t="s">
        <v>607</v>
      </c>
      <c r="E166" s="49"/>
      <c r="F166" s="49">
        <v>160.35</v>
      </c>
      <c r="G166" s="49">
        <v>78.94</v>
      </c>
      <c r="H166" s="49">
        <v>152</v>
      </c>
      <c r="I166" s="49"/>
      <c r="J166" s="49"/>
      <c r="K166" s="49">
        <v>102</v>
      </c>
      <c r="L166" s="49">
        <v>99.29</v>
      </c>
      <c r="M166" s="49"/>
      <c r="N166" s="49">
        <v>78.52</v>
      </c>
      <c r="O166" s="49">
        <v>118.15</v>
      </c>
      <c r="P166" s="49">
        <v>122.4</v>
      </c>
      <c r="Q166" s="49">
        <v>140</v>
      </c>
      <c r="R166" s="49"/>
      <c r="S166" s="49"/>
      <c r="T166" s="49">
        <v>153.44999999999999</v>
      </c>
      <c r="U166" s="49"/>
      <c r="V166" s="49">
        <v>97</v>
      </c>
      <c r="W166" s="49"/>
      <c r="X166" s="49">
        <v>116.2</v>
      </c>
      <c r="Y166" s="49"/>
    </row>
    <row r="167" spans="1:25" ht="14.25" customHeight="1">
      <c r="A167" s="12" t="s">
        <v>839</v>
      </c>
      <c r="B167" s="8" t="s">
        <v>602</v>
      </c>
      <c r="C167" s="9" t="s">
        <v>628</v>
      </c>
      <c r="D167" s="9" t="s">
        <v>607</v>
      </c>
      <c r="E167" s="49"/>
      <c r="F167" s="49">
        <v>266.18</v>
      </c>
      <c r="G167" s="49">
        <v>101.27</v>
      </c>
      <c r="H167" s="49">
        <v>196</v>
      </c>
      <c r="I167" s="49"/>
      <c r="J167" s="49"/>
      <c r="K167" s="49">
        <v>150</v>
      </c>
      <c r="L167" s="49">
        <v>131.19</v>
      </c>
      <c r="M167" s="49"/>
      <c r="N167" s="49">
        <v>149.58000000000001</v>
      </c>
      <c r="O167" s="49">
        <v>211.52</v>
      </c>
      <c r="P167" s="49">
        <v>171</v>
      </c>
      <c r="Q167" s="49">
        <v>191</v>
      </c>
      <c r="R167" s="49"/>
      <c r="S167" s="49"/>
      <c r="T167" s="49">
        <v>171.71</v>
      </c>
      <c r="U167" s="49"/>
      <c r="V167" s="49">
        <v>340</v>
      </c>
      <c r="W167" s="49"/>
      <c r="X167" s="49">
        <v>204.06</v>
      </c>
      <c r="Y167" s="49"/>
    </row>
    <row r="168" spans="1:25" ht="14.25" customHeight="1">
      <c r="A168" s="12" t="s">
        <v>840</v>
      </c>
      <c r="B168" s="8" t="s">
        <v>602</v>
      </c>
      <c r="C168" s="9" t="s">
        <v>629</v>
      </c>
      <c r="D168" s="9" t="s">
        <v>607</v>
      </c>
      <c r="E168" s="49"/>
      <c r="F168" s="49">
        <v>201.75</v>
      </c>
      <c r="G168" s="49">
        <v>91.3</v>
      </c>
      <c r="H168" s="49">
        <v>173</v>
      </c>
      <c r="I168" s="49"/>
      <c r="J168" s="49"/>
      <c r="K168" s="49">
        <v>240</v>
      </c>
      <c r="L168" s="49">
        <v>77.349999999999994</v>
      </c>
      <c r="M168" s="49"/>
      <c r="N168" s="49">
        <v>90.12</v>
      </c>
      <c r="O168" s="49">
        <v>139.68</v>
      </c>
      <c r="P168" s="49">
        <v>151.19999999999999</v>
      </c>
      <c r="Q168" s="49">
        <v>162</v>
      </c>
      <c r="R168" s="49"/>
      <c r="S168" s="49"/>
      <c r="T168" s="49">
        <v>120.82</v>
      </c>
      <c r="U168" s="49"/>
      <c r="V168" s="49">
        <v>176</v>
      </c>
      <c r="W168" s="49"/>
      <c r="X168" s="49">
        <v>156.41999999999999</v>
      </c>
      <c r="Y168" s="49"/>
    </row>
    <row r="169" spans="1:25" ht="14.25" customHeight="1">
      <c r="A169" s="12" t="s">
        <v>841</v>
      </c>
      <c r="B169" s="8" t="s">
        <v>602</v>
      </c>
      <c r="C169" s="9" t="s">
        <v>630</v>
      </c>
      <c r="D169" s="9" t="s">
        <v>607</v>
      </c>
      <c r="E169" s="49"/>
      <c r="F169" s="49">
        <v>107.07</v>
      </c>
      <c r="G169" s="49">
        <v>79.61</v>
      </c>
      <c r="H169" s="49">
        <v>162</v>
      </c>
      <c r="I169" s="49"/>
      <c r="J169" s="49"/>
      <c r="K169" s="49">
        <v>89</v>
      </c>
      <c r="L169" s="49">
        <v>77.349999999999994</v>
      </c>
      <c r="M169" s="49"/>
      <c r="N169" s="49">
        <v>72.92</v>
      </c>
      <c r="O169" s="49">
        <v>139.68</v>
      </c>
      <c r="P169" s="49">
        <v>122.4</v>
      </c>
      <c r="Q169" s="49">
        <v>112</v>
      </c>
      <c r="R169" s="49"/>
      <c r="S169" s="49"/>
      <c r="T169" s="49">
        <v>130.51</v>
      </c>
      <c r="U169" s="49"/>
      <c r="V169" s="49">
        <v>135</v>
      </c>
      <c r="W169" s="49"/>
      <c r="X169" s="49">
        <v>92.61</v>
      </c>
      <c r="Y169" s="49"/>
    </row>
    <row r="170" spans="1:25" ht="14.25" customHeight="1">
      <c r="A170" s="12" t="s">
        <v>842</v>
      </c>
      <c r="B170" s="8" t="s">
        <v>602</v>
      </c>
      <c r="C170" s="9" t="s">
        <v>631</v>
      </c>
      <c r="D170" s="9" t="s">
        <v>607</v>
      </c>
      <c r="E170" s="49"/>
      <c r="F170" s="49">
        <v>266.18</v>
      </c>
      <c r="G170" s="49">
        <v>120.27</v>
      </c>
      <c r="H170" s="49">
        <v>112</v>
      </c>
      <c r="I170" s="49"/>
      <c r="J170" s="49"/>
      <c r="K170" s="49">
        <v>128</v>
      </c>
      <c r="L170" s="49">
        <v>65.92</v>
      </c>
      <c r="M170" s="49"/>
      <c r="N170" s="49">
        <v>117.28</v>
      </c>
      <c r="O170" s="49">
        <v>127.92</v>
      </c>
      <c r="P170" s="49">
        <v>185.4</v>
      </c>
      <c r="Q170" s="49">
        <v>140</v>
      </c>
      <c r="R170" s="49"/>
      <c r="S170" s="49"/>
      <c r="T170" s="49">
        <v>163.05000000000001</v>
      </c>
      <c r="U170" s="49"/>
      <c r="V170" s="49">
        <v>135</v>
      </c>
      <c r="W170" s="49"/>
      <c r="X170" s="49">
        <v>151.38</v>
      </c>
      <c r="Y170" s="49"/>
    </row>
    <row r="171" spans="1:25" ht="14.25" customHeight="1">
      <c r="A171" s="12" t="s">
        <v>843</v>
      </c>
      <c r="B171" s="8" t="s">
        <v>602</v>
      </c>
      <c r="C171" s="9" t="s">
        <v>632</v>
      </c>
      <c r="D171" s="9" t="s">
        <v>607</v>
      </c>
      <c r="E171" s="49"/>
      <c r="F171" s="49">
        <v>208.66</v>
      </c>
      <c r="G171" s="49">
        <v>77.27</v>
      </c>
      <c r="H171" s="49">
        <v>192</v>
      </c>
      <c r="I171" s="49"/>
      <c r="J171" s="49"/>
      <c r="K171" s="49">
        <v>153</v>
      </c>
      <c r="L171" s="49">
        <v>49.81</v>
      </c>
      <c r="M171" s="49"/>
      <c r="N171" s="49">
        <v>128</v>
      </c>
      <c r="O171" s="49">
        <v>127.92</v>
      </c>
      <c r="P171" s="49">
        <v>151.19999999999999</v>
      </c>
      <c r="Q171" s="49">
        <v>112</v>
      </c>
      <c r="R171" s="49"/>
      <c r="S171" s="49"/>
      <c r="T171" s="49">
        <v>161.35</v>
      </c>
      <c r="U171" s="49"/>
      <c r="V171" s="49">
        <v>97</v>
      </c>
      <c r="W171" s="49"/>
      <c r="X171" s="49">
        <v>204.06</v>
      </c>
      <c r="Y171" s="49"/>
    </row>
    <row r="172" spans="1:25" ht="14.25" customHeight="1">
      <c r="A172" s="12" t="s">
        <v>844</v>
      </c>
      <c r="B172" s="8" t="s">
        <v>602</v>
      </c>
      <c r="C172" s="9" t="s">
        <v>633</v>
      </c>
      <c r="D172" s="9" t="s">
        <v>607</v>
      </c>
      <c r="E172" s="49"/>
      <c r="F172" s="49">
        <v>229.26</v>
      </c>
      <c r="G172" s="49">
        <v>77.61</v>
      </c>
      <c r="H172" s="49">
        <v>181</v>
      </c>
      <c r="I172" s="49"/>
      <c r="J172" s="49"/>
      <c r="K172" s="49">
        <v>107</v>
      </c>
      <c r="L172" s="49">
        <v>116.19</v>
      </c>
      <c r="M172" s="49"/>
      <c r="N172" s="49">
        <v>123.66</v>
      </c>
      <c r="O172" s="49">
        <v>118.15</v>
      </c>
      <c r="P172" s="49">
        <v>185.4</v>
      </c>
      <c r="Q172" s="49">
        <v>191</v>
      </c>
      <c r="R172" s="49"/>
      <c r="S172" s="49"/>
      <c r="T172" s="49">
        <v>111.61</v>
      </c>
      <c r="U172" s="49"/>
      <c r="V172" s="49">
        <v>135</v>
      </c>
      <c r="W172" s="49"/>
      <c r="X172" s="49">
        <v>184.03</v>
      </c>
      <c r="Y172" s="49"/>
    </row>
    <row r="173" spans="1:25" ht="14.25" customHeight="1">
      <c r="A173" s="12"/>
      <c r="B173" s="8"/>
      <c r="C173" s="9"/>
      <c r="D173" s="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spans="1:25" ht="14.25" customHeight="1">
      <c r="A174" s="12" t="s">
        <v>634</v>
      </c>
      <c r="B174" s="8" t="s">
        <v>600</v>
      </c>
      <c r="C174" s="9" t="s">
        <v>623</v>
      </c>
      <c r="D174" s="9" t="s">
        <v>607</v>
      </c>
      <c r="E174" s="49"/>
      <c r="F174" s="49"/>
      <c r="G174" s="49"/>
      <c r="H174" s="49"/>
      <c r="I174" s="49"/>
      <c r="J174" s="49"/>
      <c r="K174" s="49">
        <v>169</v>
      </c>
      <c r="L174" s="49"/>
      <c r="M174" s="49"/>
      <c r="N174" s="49">
        <v>142.01</v>
      </c>
      <c r="O174" s="49"/>
      <c r="P174" s="49">
        <v>171</v>
      </c>
      <c r="Q174" s="49">
        <v>234</v>
      </c>
      <c r="R174" s="49"/>
      <c r="S174" s="49"/>
      <c r="T174" s="49">
        <v>254.54</v>
      </c>
      <c r="U174" s="49"/>
      <c r="V174" s="49"/>
      <c r="W174" s="49"/>
      <c r="X174" s="49"/>
      <c r="Y174" s="49"/>
    </row>
    <row r="175" spans="1:25" ht="14.25" customHeight="1">
      <c r="A175" s="12" t="s">
        <v>635</v>
      </c>
      <c r="B175" s="8" t="s">
        <v>600</v>
      </c>
      <c r="C175" s="9" t="s">
        <v>624</v>
      </c>
      <c r="D175" s="9" t="s">
        <v>607</v>
      </c>
      <c r="E175" s="49"/>
      <c r="F175" s="49"/>
      <c r="G175" s="49"/>
      <c r="H175" s="49"/>
      <c r="I175" s="49"/>
      <c r="J175" s="49"/>
      <c r="K175" s="49">
        <v>192</v>
      </c>
      <c r="L175" s="49"/>
      <c r="M175" s="49"/>
      <c r="N175" s="49">
        <v>399.31</v>
      </c>
      <c r="O175" s="49"/>
      <c r="P175" s="49">
        <v>252</v>
      </c>
      <c r="Q175" s="49">
        <v>162</v>
      </c>
      <c r="R175" s="49"/>
      <c r="S175" s="49"/>
      <c r="T175" s="49">
        <v>215.47</v>
      </c>
      <c r="U175" s="49"/>
      <c r="V175" s="49"/>
      <c r="W175" s="49"/>
      <c r="X175" s="49"/>
      <c r="Y175" s="49"/>
    </row>
    <row r="176" spans="1:25" ht="14.25" customHeight="1">
      <c r="A176" s="12" t="s">
        <v>636</v>
      </c>
      <c r="B176" s="8" t="s">
        <v>600</v>
      </c>
      <c r="C176" s="9" t="s">
        <v>625</v>
      </c>
      <c r="D176" s="9" t="s">
        <v>607</v>
      </c>
      <c r="E176" s="49"/>
      <c r="F176" s="49"/>
      <c r="G176" s="49"/>
      <c r="H176" s="49"/>
      <c r="I176" s="49"/>
      <c r="J176" s="49"/>
      <c r="K176" s="49">
        <v>240</v>
      </c>
      <c r="L176" s="49"/>
      <c r="M176" s="49"/>
      <c r="N176" s="49">
        <v>336.25</v>
      </c>
      <c r="O176" s="49"/>
      <c r="P176" s="49">
        <v>302.39999999999998</v>
      </c>
      <c r="Q176" s="49">
        <v>191</v>
      </c>
      <c r="R176" s="49"/>
      <c r="S176" s="49"/>
      <c r="T176" s="49">
        <v>223.97</v>
      </c>
      <c r="U176" s="49"/>
      <c r="V176" s="49"/>
      <c r="W176" s="49"/>
      <c r="X176" s="49"/>
      <c r="Y176" s="49"/>
    </row>
    <row r="177" spans="1:25" ht="14.25" customHeight="1">
      <c r="A177" s="12" t="s">
        <v>637</v>
      </c>
      <c r="B177" s="8" t="s">
        <v>600</v>
      </c>
      <c r="C177" s="9" t="s">
        <v>626</v>
      </c>
      <c r="D177" s="9" t="s">
        <v>607</v>
      </c>
      <c r="E177" s="49"/>
      <c r="F177" s="49"/>
      <c r="G177" s="49"/>
      <c r="H177" s="49"/>
      <c r="I177" s="49"/>
      <c r="J177" s="49"/>
      <c r="K177" s="49">
        <v>341</v>
      </c>
      <c r="L177" s="49"/>
      <c r="M177" s="49"/>
      <c r="N177" s="49">
        <v>274.79000000000002</v>
      </c>
      <c r="O177" s="49"/>
      <c r="P177" s="49">
        <v>371.7</v>
      </c>
      <c r="Q177" s="49">
        <v>234</v>
      </c>
      <c r="R177" s="49"/>
      <c r="S177" s="49"/>
      <c r="T177" s="49">
        <v>303.01</v>
      </c>
      <c r="U177" s="49"/>
      <c r="V177" s="49"/>
      <c r="W177" s="49"/>
      <c r="X177" s="49"/>
      <c r="Y177" s="49"/>
    </row>
    <row r="178" spans="1:25" ht="14.25" customHeight="1">
      <c r="A178" s="12" t="s">
        <v>638</v>
      </c>
      <c r="B178" s="8" t="s">
        <v>600</v>
      </c>
      <c r="C178" s="9" t="s">
        <v>627</v>
      </c>
      <c r="D178" s="9" t="s">
        <v>607</v>
      </c>
      <c r="E178" s="49"/>
      <c r="F178" s="49"/>
      <c r="G178" s="49"/>
      <c r="H178" s="49"/>
      <c r="I178" s="49"/>
      <c r="J178" s="49"/>
      <c r="K178" s="49">
        <v>102</v>
      </c>
      <c r="L178" s="49"/>
      <c r="M178" s="49"/>
      <c r="N178" s="49">
        <v>78.52</v>
      </c>
      <c r="O178" s="49"/>
      <c r="P178" s="49">
        <v>122.4</v>
      </c>
      <c r="Q178" s="49">
        <v>140</v>
      </c>
      <c r="R178" s="49"/>
      <c r="S178" s="49"/>
      <c r="T178" s="49">
        <v>153.44999999999999</v>
      </c>
      <c r="U178" s="49"/>
      <c r="V178" s="49"/>
      <c r="W178" s="49"/>
      <c r="X178" s="49"/>
      <c r="Y178" s="49"/>
    </row>
    <row r="179" spans="1:25" ht="14.25" customHeight="1">
      <c r="A179" s="12" t="s">
        <v>639</v>
      </c>
      <c r="B179" s="8" t="s">
        <v>600</v>
      </c>
      <c r="C179" s="9" t="s">
        <v>628</v>
      </c>
      <c r="D179" s="9" t="s">
        <v>607</v>
      </c>
      <c r="E179" s="49"/>
      <c r="F179" s="49"/>
      <c r="G179" s="49"/>
      <c r="H179" s="49"/>
      <c r="I179" s="49"/>
      <c r="J179" s="49"/>
      <c r="K179" s="49">
        <v>150</v>
      </c>
      <c r="L179" s="49"/>
      <c r="M179" s="49"/>
      <c r="N179" s="49">
        <v>149.58000000000001</v>
      </c>
      <c r="O179" s="49"/>
      <c r="P179" s="49">
        <v>171</v>
      </c>
      <c r="Q179" s="49">
        <v>191</v>
      </c>
      <c r="R179" s="49"/>
      <c r="S179" s="49"/>
      <c r="T179" s="49">
        <v>171.71</v>
      </c>
      <c r="U179" s="49"/>
      <c r="V179" s="49"/>
      <c r="W179" s="49"/>
      <c r="X179" s="49"/>
      <c r="Y179" s="49"/>
    </row>
    <row r="180" spans="1:25" ht="14.25" customHeight="1">
      <c r="A180" s="12" t="s">
        <v>640</v>
      </c>
      <c r="B180" s="8" t="s">
        <v>600</v>
      </c>
      <c r="C180" s="9" t="s">
        <v>629</v>
      </c>
      <c r="D180" s="9" t="s">
        <v>607</v>
      </c>
      <c r="E180" s="49"/>
      <c r="F180" s="49"/>
      <c r="G180" s="49"/>
      <c r="H180" s="49"/>
      <c r="I180" s="49"/>
      <c r="J180" s="49"/>
      <c r="K180" s="49">
        <v>240</v>
      </c>
      <c r="L180" s="49"/>
      <c r="M180" s="49"/>
      <c r="N180" s="49">
        <v>90.12</v>
      </c>
      <c r="O180" s="49"/>
      <c r="P180" s="49">
        <v>151.19999999999999</v>
      </c>
      <c r="Q180" s="49">
        <v>162</v>
      </c>
      <c r="R180" s="49"/>
      <c r="S180" s="49"/>
      <c r="T180" s="49">
        <v>120.82</v>
      </c>
      <c r="U180" s="49"/>
      <c r="V180" s="49"/>
      <c r="W180" s="49"/>
      <c r="X180" s="49"/>
      <c r="Y180" s="49"/>
    </row>
    <row r="181" spans="1:25" ht="14.25" customHeight="1">
      <c r="A181" s="12" t="s">
        <v>641</v>
      </c>
      <c r="B181" s="8" t="s">
        <v>600</v>
      </c>
      <c r="C181" s="9" t="s">
        <v>630</v>
      </c>
      <c r="D181" s="9" t="s">
        <v>607</v>
      </c>
      <c r="E181" s="49"/>
      <c r="F181" s="49"/>
      <c r="G181" s="49"/>
      <c r="H181" s="49"/>
      <c r="I181" s="49"/>
      <c r="J181" s="49"/>
      <c r="K181" s="49">
        <v>89</v>
      </c>
      <c r="L181" s="49"/>
      <c r="M181" s="49"/>
      <c r="N181" s="49">
        <v>72.92</v>
      </c>
      <c r="O181" s="49"/>
      <c r="P181" s="49">
        <v>122.4</v>
      </c>
      <c r="Q181" s="49">
        <v>112</v>
      </c>
      <c r="R181" s="49"/>
      <c r="S181" s="49"/>
      <c r="T181" s="49">
        <v>130.51</v>
      </c>
      <c r="U181" s="49"/>
      <c r="V181" s="49"/>
      <c r="W181" s="49"/>
      <c r="X181" s="49"/>
      <c r="Y181" s="49"/>
    </row>
    <row r="182" spans="1:25" ht="14.25" customHeight="1">
      <c r="A182" s="12" t="s">
        <v>642</v>
      </c>
      <c r="B182" s="8" t="s">
        <v>600</v>
      </c>
      <c r="C182" s="9" t="s">
        <v>631</v>
      </c>
      <c r="D182" s="9" t="s">
        <v>607</v>
      </c>
      <c r="E182" s="49"/>
      <c r="F182" s="49"/>
      <c r="G182" s="49"/>
      <c r="H182" s="49"/>
      <c r="I182" s="49"/>
      <c r="J182" s="49"/>
      <c r="K182" s="49">
        <v>128</v>
      </c>
      <c r="L182" s="49"/>
      <c r="M182" s="49"/>
      <c r="N182" s="49">
        <v>117.28</v>
      </c>
      <c r="O182" s="49"/>
      <c r="P182" s="49">
        <v>185.4</v>
      </c>
      <c r="Q182" s="49">
        <v>140</v>
      </c>
      <c r="R182" s="49"/>
      <c r="S182" s="49"/>
      <c r="T182" s="49">
        <v>163.05000000000001</v>
      </c>
      <c r="U182" s="49"/>
      <c r="V182" s="49"/>
      <c r="W182" s="49"/>
      <c r="X182" s="49"/>
      <c r="Y182" s="49"/>
    </row>
    <row r="183" spans="1:25" ht="14.25" customHeight="1">
      <c r="A183" s="12" t="s">
        <v>643</v>
      </c>
      <c r="B183" s="8" t="s">
        <v>600</v>
      </c>
      <c r="C183" s="9" t="s">
        <v>632</v>
      </c>
      <c r="D183" s="9" t="s">
        <v>607</v>
      </c>
      <c r="E183" s="49"/>
      <c r="F183" s="49"/>
      <c r="G183" s="49"/>
      <c r="H183" s="49"/>
      <c r="I183" s="49"/>
      <c r="J183" s="49"/>
      <c r="K183" s="49">
        <v>153</v>
      </c>
      <c r="L183" s="49"/>
      <c r="M183" s="49"/>
      <c r="N183" s="49">
        <v>128</v>
      </c>
      <c r="O183" s="49"/>
      <c r="P183" s="49">
        <v>151.19999999999999</v>
      </c>
      <c r="Q183" s="49">
        <v>112</v>
      </c>
      <c r="R183" s="49"/>
      <c r="S183" s="49"/>
      <c r="T183" s="49">
        <v>161.35</v>
      </c>
      <c r="U183" s="49"/>
      <c r="V183" s="49"/>
      <c r="W183" s="49"/>
      <c r="X183" s="49"/>
      <c r="Y183" s="49"/>
    </row>
    <row r="184" spans="1:25" ht="14.25" customHeight="1">
      <c r="A184" s="12" t="s">
        <v>644</v>
      </c>
      <c r="B184" s="8" t="s">
        <v>600</v>
      </c>
      <c r="C184" s="9" t="s">
        <v>633</v>
      </c>
      <c r="D184" s="9" t="s">
        <v>607</v>
      </c>
      <c r="E184" s="49"/>
      <c r="F184" s="49"/>
      <c r="G184" s="49"/>
      <c r="H184" s="49"/>
      <c r="I184" s="49"/>
      <c r="J184" s="49"/>
      <c r="K184" s="49">
        <v>107</v>
      </c>
      <c r="L184" s="49"/>
      <c r="M184" s="49"/>
      <c r="N184" s="49">
        <v>123.66</v>
      </c>
      <c r="O184" s="49"/>
      <c r="P184" s="49">
        <v>185.4</v>
      </c>
      <c r="Q184" s="49">
        <v>191</v>
      </c>
      <c r="R184" s="49"/>
      <c r="S184" s="49"/>
      <c r="T184" s="49">
        <v>111.61</v>
      </c>
      <c r="U184" s="49"/>
      <c r="V184" s="49"/>
      <c r="W184" s="49"/>
      <c r="X184" s="49"/>
      <c r="Y184" s="49"/>
    </row>
    <row r="185" spans="1:25" ht="14.25" customHeight="1">
      <c r="A185" s="12"/>
      <c r="B185" s="8"/>
      <c r="C185" s="9"/>
      <c r="D185" s="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spans="1:25" ht="14.25" customHeight="1">
      <c r="A186" s="12" t="s">
        <v>645</v>
      </c>
      <c r="B186" s="8" t="s">
        <v>601</v>
      </c>
      <c r="C186" s="9" t="s">
        <v>623</v>
      </c>
      <c r="D186" s="9" t="s">
        <v>607</v>
      </c>
      <c r="E186" s="49">
        <v>339.61</v>
      </c>
      <c r="F186" s="49"/>
      <c r="G186" s="49"/>
      <c r="H186" s="49"/>
      <c r="I186" s="49">
        <v>158.68</v>
      </c>
      <c r="J186" s="49">
        <v>169</v>
      </c>
      <c r="K186" s="49"/>
      <c r="L186" s="49">
        <v>124.68</v>
      </c>
      <c r="M186" s="49">
        <v>199</v>
      </c>
      <c r="N186" s="49">
        <v>142.01</v>
      </c>
      <c r="O186" s="49">
        <v>174.86</v>
      </c>
      <c r="P186" s="49"/>
      <c r="Q186" s="49">
        <v>234</v>
      </c>
      <c r="R186" s="49">
        <v>145</v>
      </c>
      <c r="S186" s="49">
        <v>158</v>
      </c>
      <c r="T186" s="49"/>
      <c r="U186" s="49"/>
      <c r="V186" s="49"/>
      <c r="W186" s="49"/>
      <c r="X186" s="49"/>
      <c r="Y186" s="49"/>
    </row>
    <row r="187" spans="1:25" ht="14.25" customHeight="1">
      <c r="A187" s="12" t="s">
        <v>646</v>
      </c>
      <c r="B187" s="8" t="s">
        <v>601</v>
      </c>
      <c r="C187" s="9" t="s">
        <v>624</v>
      </c>
      <c r="D187" s="9" t="s">
        <v>607</v>
      </c>
      <c r="E187" s="49">
        <v>201.75</v>
      </c>
      <c r="F187" s="49"/>
      <c r="G187" s="49"/>
      <c r="H187" s="49"/>
      <c r="I187" s="49">
        <v>99.17</v>
      </c>
      <c r="J187" s="49">
        <v>101</v>
      </c>
      <c r="K187" s="49"/>
      <c r="L187" s="49">
        <v>135.87</v>
      </c>
      <c r="M187" s="49">
        <v>167</v>
      </c>
      <c r="N187" s="49">
        <v>399.31</v>
      </c>
      <c r="O187" s="49">
        <v>121.22</v>
      </c>
      <c r="P187" s="49"/>
      <c r="Q187" s="49">
        <v>162</v>
      </c>
      <c r="R187" s="49">
        <v>145</v>
      </c>
      <c r="S187" s="49">
        <v>167</v>
      </c>
      <c r="T187" s="49"/>
      <c r="U187" s="49"/>
      <c r="V187" s="49"/>
      <c r="W187" s="49"/>
      <c r="X187" s="49"/>
      <c r="Y187" s="49"/>
    </row>
    <row r="188" spans="1:25" ht="14.25" customHeight="1">
      <c r="A188" s="12" t="s">
        <v>647</v>
      </c>
      <c r="B188" s="8" t="s">
        <v>601</v>
      </c>
      <c r="C188" s="9" t="s">
        <v>625</v>
      </c>
      <c r="D188" s="9" t="s">
        <v>607</v>
      </c>
      <c r="E188" s="49">
        <v>308.10000000000002</v>
      </c>
      <c r="F188" s="49"/>
      <c r="G188" s="49"/>
      <c r="H188" s="49"/>
      <c r="I188" s="49">
        <v>115.7</v>
      </c>
      <c r="J188" s="49">
        <v>114</v>
      </c>
      <c r="K188" s="49"/>
      <c r="L188" s="49">
        <v>148.96</v>
      </c>
      <c r="M188" s="49">
        <v>199</v>
      </c>
      <c r="N188" s="49">
        <v>336.25</v>
      </c>
      <c r="O188" s="49">
        <v>139.68</v>
      </c>
      <c r="P188" s="49"/>
      <c r="Q188" s="49">
        <v>191</v>
      </c>
      <c r="R188" s="49">
        <v>150</v>
      </c>
      <c r="S188" s="49">
        <v>199</v>
      </c>
      <c r="T188" s="49"/>
      <c r="U188" s="49"/>
      <c r="V188" s="49"/>
      <c r="W188" s="49"/>
      <c r="X188" s="49"/>
      <c r="Y188" s="49"/>
    </row>
    <row r="189" spans="1:25" ht="14.25" customHeight="1">
      <c r="A189" s="12" t="s">
        <v>648</v>
      </c>
      <c r="B189" s="8" t="s">
        <v>601</v>
      </c>
      <c r="C189" s="9" t="s">
        <v>626</v>
      </c>
      <c r="D189" s="9" t="s">
        <v>607</v>
      </c>
      <c r="E189" s="49">
        <v>354.15</v>
      </c>
      <c r="F189" s="49"/>
      <c r="G189" s="49"/>
      <c r="H189" s="49"/>
      <c r="I189" s="49">
        <v>138.84</v>
      </c>
      <c r="J189" s="49">
        <v>129</v>
      </c>
      <c r="K189" s="49"/>
      <c r="L189" s="49">
        <v>194.2</v>
      </c>
      <c r="M189" s="49">
        <v>248</v>
      </c>
      <c r="N189" s="49">
        <v>274.79000000000002</v>
      </c>
      <c r="O189" s="49">
        <v>177.81</v>
      </c>
      <c r="P189" s="49"/>
      <c r="Q189" s="49">
        <v>234</v>
      </c>
      <c r="R189" s="49">
        <v>160</v>
      </c>
      <c r="S189" s="49">
        <v>222</v>
      </c>
      <c r="T189" s="49"/>
      <c r="U189" s="49"/>
      <c r="V189" s="49"/>
      <c r="W189" s="49"/>
      <c r="X189" s="49"/>
      <c r="Y189" s="49"/>
    </row>
    <row r="190" spans="1:25" ht="14.25" customHeight="1">
      <c r="A190" s="12" t="s">
        <v>649</v>
      </c>
      <c r="B190" s="8" t="s">
        <v>601</v>
      </c>
      <c r="C190" s="9" t="s">
        <v>627</v>
      </c>
      <c r="D190" s="9" t="s">
        <v>607</v>
      </c>
      <c r="E190" s="49">
        <v>160.35</v>
      </c>
      <c r="F190" s="49"/>
      <c r="G190" s="49"/>
      <c r="H190" s="49"/>
      <c r="I190" s="49">
        <v>105.79</v>
      </c>
      <c r="J190" s="49">
        <v>102</v>
      </c>
      <c r="K190" s="49"/>
      <c r="L190" s="49">
        <v>74.849999999999994</v>
      </c>
      <c r="M190" s="49">
        <v>114</v>
      </c>
      <c r="N190" s="49">
        <v>78.52</v>
      </c>
      <c r="O190" s="49">
        <v>118.15</v>
      </c>
      <c r="P190" s="49"/>
      <c r="Q190" s="49">
        <v>140</v>
      </c>
      <c r="R190" s="49">
        <v>75</v>
      </c>
      <c r="S190" s="49">
        <v>75</v>
      </c>
      <c r="T190" s="49"/>
      <c r="U190" s="49"/>
      <c r="V190" s="49"/>
      <c r="W190" s="49"/>
      <c r="X190" s="49"/>
      <c r="Y190" s="49"/>
    </row>
    <row r="191" spans="1:25" ht="14.25" customHeight="1">
      <c r="A191" s="12" t="s">
        <v>650</v>
      </c>
      <c r="B191" s="8" t="s">
        <v>601</v>
      </c>
      <c r="C191" s="9" t="s">
        <v>628</v>
      </c>
      <c r="D191" s="9" t="s">
        <v>607</v>
      </c>
      <c r="E191" s="49">
        <v>266.18</v>
      </c>
      <c r="F191" s="49"/>
      <c r="G191" s="49"/>
      <c r="H191" s="49"/>
      <c r="I191" s="49">
        <v>138.84</v>
      </c>
      <c r="J191" s="49">
        <v>150</v>
      </c>
      <c r="K191" s="49"/>
      <c r="L191" s="49">
        <v>194.2</v>
      </c>
      <c r="M191" s="49">
        <v>199</v>
      </c>
      <c r="N191" s="49">
        <v>149.58000000000001</v>
      </c>
      <c r="O191" s="49">
        <v>211.52</v>
      </c>
      <c r="P191" s="49"/>
      <c r="Q191" s="49">
        <v>191</v>
      </c>
      <c r="R191" s="49">
        <v>140</v>
      </c>
      <c r="S191" s="49">
        <v>201</v>
      </c>
      <c r="T191" s="49"/>
      <c r="U191" s="49"/>
      <c r="V191" s="49"/>
      <c r="W191" s="49"/>
      <c r="X191" s="49"/>
      <c r="Y191" s="49"/>
    </row>
    <row r="192" spans="1:25" ht="14.25" customHeight="1">
      <c r="A192" s="12" t="s">
        <v>651</v>
      </c>
      <c r="B192" s="8" t="s">
        <v>601</v>
      </c>
      <c r="C192" s="9" t="s">
        <v>629</v>
      </c>
      <c r="D192" s="9" t="s">
        <v>607</v>
      </c>
      <c r="E192" s="49">
        <v>201.75</v>
      </c>
      <c r="F192" s="49"/>
      <c r="G192" s="49"/>
      <c r="H192" s="49"/>
      <c r="I192" s="49">
        <v>125.62</v>
      </c>
      <c r="J192" s="49">
        <v>90</v>
      </c>
      <c r="K192" s="49"/>
      <c r="L192" s="49">
        <v>74.849999999999994</v>
      </c>
      <c r="M192" s="49">
        <v>167</v>
      </c>
      <c r="N192" s="49">
        <v>90.12</v>
      </c>
      <c r="O192" s="49">
        <v>139.68</v>
      </c>
      <c r="P192" s="49"/>
      <c r="Q192" s="49">
        <v>162</v>
      </c>
      <c r="R192" s="49">
        <v>120</v>
      </c>
      <c r="S192" s="49">
        <v>161</v>
      </c>
      <c r="T192" s="49"/>
      <c r="U192" s="49"/>
      <c r="V192" s="49"/>
      <c r="W192" s="49"/>
      <c r="X192" s="49"/>
      <c r="Y192" s="49"/>
    </row>
    <row r="193" spans="1:25" ht="14.25" customHeight="1">
      <c r="A193" s="12" t="s">
        <v>652</v>
      </c>
      <c r="B193" s="8" t="s">
        <v>601</v>
      </c>
      <c r="C193" s="9" t="s">
        <v>630</v>
      </c>
      <c r="D193" s="9" t="s">
        <v>607</v>
      </c>
      <c r="E193" s="49">
        <v>107.07</v>
      </c>
      <c r="F193" s="49"/>
      <c r="G193" s="49"/>
      <c r="H193" s="49"/>
      <c r="I193" s="49">
        <v>105.79</v>
      </c>
      <c r="J193" s="49">
        <v>89</v>
      </c>
      <c r="K193" s="49"/>
      <c r="L193" s="49">
        <v>58.55</v>
      </c>
      <c r="M193" s="49">
        <v>100</v>
      </c>
      <c r="N193" s="49">
        <v>72.92</v>
      </c>
      <c r="O193" s="49">
        <v>139.68</v>
      </c>
      <c r="P193" s="49"/>
      <c r="Q193" s="49">
        <v>112</v>
      </c>
      <c r="R193" s="49">
        <v>93</v>
      </c>
      <c r="S193" s="49">
        <v>93</v>
      </c>
      <c r="T193" s="49"/>
      <c r="U193" s="49"/>
      <c r="V193" s="49"/>
      <c r="W193" s="49"/>
      <c r="X193" s="49"/>
      <c r="Y193" s="49"/>
    </row>
    <row r="194" spans="1:25" ht="14.25" customHeight="1">
      <c r="A194" s="12" t="s">
        <v>653</v>
      </c>
      <c r="B194" s="8" t="s">
        <v>601</v>
      </c>
      <c r="C194" s="9" t="s">
        <v>631</v>
      </c>
      <c r="D194" s="9" t="s">
        <v>607</v>
      </c>
      <c r="E194" s="49">
        <v>266.18</v>
      </c>
      <c r="F194" s="49"/>
      <c r="G194" s="49"/>
      <c r="H194" s="49"/>
      <c r="I194" s="49">
        <v>138.84</v>
      </c>
      <c r="J194" s="49">
        <v>128</v>
      </c>
      <c r="K194" s="49"/>
      <c r="L194" s="49">
        <v>135.87</v>
      </c>
      <c r="M194" s="49">
        <v>167</v>
      </c>
      <c r="N194" s="49">
        <v>117.28</v>
      </c>
      <c r="O194" s="49">
        <v>127.92</v>
      </c>
      <c r="P194" s="49"/>
      <c r="Q194" s="49">
        <v>140</v>
      </c>
      <c r="R194" s="49">
        <v>222</v>
      </c>
      <c r="S194" s="49">
        <v>222</v>
      </c>
      <c r="T194" s="49"/>
      <c r="U194" s="49"/>
      <c r="V194" s="49"/>
      <c r="W194" s="49"/>
      <c r="X194" s="49"/>
      <c r="Y194" s="49"/>
    </row>
    <row r="195" spans="1:25" ht="14.25" customHeight="1">
      <c r="A195" s="12" t="s">
        <v>654</v>
      </c>
      <c r="B195" s="8" t="s">
        <v>601</v>
      </c>
      <c r="C195" s="9" t="s">
        <v>632</v>
      </c>
      <c r="D195" s="9" t="s">
        <v>607</v>
      </c>
      <c r="E195" s="49">
        <v>208.66</v>
      </c>
      <c r="F195" s="49"/>
      <c r="G195" s="49"/>
      <c r="H195" s="49"/>
      <c r="I195" s="49">
        <v>138.84</v>
      </c>
      <c r="J195" s="49">
        <v>153</v>
      </c>
      <c r="K195" s="49"/>
      <c r="L195" s="49">
        <v>87.84</v>
      </c>
      <c r="M195" s="49">
        <v>130</v>
      </c>
      <c r="N195" s="49">
        <v>128</v>
      </c>
      <c r="O195" s="49">
        <v>127.92</v>
      </c>
      <c r="P195" s="49"/>
      <c r="Q195" s="49">
        <v>112</v>
      </c>
      <c r="R195" s="49">
        <v>138</v>
      </c>
      <c r="S195" s="49">
        <v>138</v>
      </c>
      <c r="T195" s="49"/>
      <c r="U195" s="49"/>
      <c r="V195" s="49"/>
      <c r="W195" s="49"/>
      <c r="X195" s="49"/>
      <c r="Y195" s="49"/>
    </row>
    <row r="196" spans="1:25" ht="14.25" customHeight="1">
      <c r="A196" s="12" t="s">
        <v>655</v>
      </c>
      <c r="B196" s="8" t="s">
        <v>601</v>
      </c>
      <c r="C196" s="9" t="s">
        <v>633</v>
      </c>
      <c r="D196" s="9" t="s">
        <v>607</v>
      </c>
      <c r="E196" s="49">
        <v>229.26</v>
      </c>
      <c r="F196" s="49"/>
      <c r="G196" s="49"/>
      <c r="H196" s="49"/>
      <c r="I196" s="49">
        <v>122.31</v>
      </c>
      <c r="J196" s="49">
        <v>107</v>
      </c>
      <c r="K196" s="49"/>
      <c r="L196" s="49">
        <v>131.94</v>
      </c>
      <c r="M196" s="49">
        <v>296</v>
      </c>
      <c r="N196" s="49">
        <v>123.66</v>
      </c>
      <c r="O196" s="49">
        <v>118.15</v>
      </c>
      <c r="P196" s="49"/>
      <c r="Q196" s="49">
        <v>191</v>
      </c>
      <c r="R196" s="49">
        <v>140</v>
      </c>
      <c r="S196" s="49">
        <v>119</v>
      </c>
      <c r="T196" s="49"/>
      <c r="U196" s="49"/>
      <c r="V196" s="49"/>
      <c r="W196" s="49"/>
      <c r="X196" s="49"/>
      <c r="Y196" s="49"/>
    </row>
    <row r="199" spans="1:25">
      <c r="A199" s="13"/>
      <c r="C199" s="10"/>
      <c r="D199" s="10"/>
    </row>
  </sheetData>
  <autoFilter ref="A1:Y196">
    <filterColumn colId="0"/>
    <filterColumn colId="1"/>
  </autoFilter>
  <phoneticPr fontId="2" type="noConversion"/>
  <conditionalFormatting sqref="Y83:Y89">
    <cfRule type="cellIs" dxfId="52" priority="4" stopIfTrue="1" operator="notBetween">
      <formula>#REF!</formula>
      <formula>#REF!</formula>
    </cfRule>
    <cfRule type="cellIs" dxfId="51" priority="5" stopIfTrue="1" operator="notBetween">
      <formula>#REF!</formula>
      <formula>#REF!</formula>
    </cfRule>
  </conditionalFormatting>
  <conditionalFormatting sqref="Y91:Y94 Y96:Y98 Y3:Y5 Y7:Y10 Y12:Y21 Y23:Y26 Y28:Y31 Y34:Y37 Y39:Y47 Y50:Y53 Y55:Y57 Y59:Y65 Y67:Y73 Y75:Y81 Y101:Y196">
    <cfRule type="cellIs" dxfId="50" priority="1" stopIfTrue="1" operator="notBetween">
      <formula>#REF!</formula>
      <formula>#REF!</formula>
    </cfRule>
    <cfRule type="cellIs" dxfId="49" priority="2" stopIfTrue="1" operator="notBetween">
      <formula>#REF!</formula>
      <formula>#REF!</formula>
    </cfRule>
    <cfRule type="cellIs" dxfId="48" priority="3" stopIfTrue="1" operator="greaterThan">
      <formula>#REF!</formula>
    </cfRule>
  </conditionalFormatting>
  <pageMargins left="0.37" right="0.38" top="0.79" bottom="0.41" header="0.36" footer="0.16"/>
  <pageSetup scale="50" orientation="portrait" r:id="rId1"/>
  <headerFooter scaleWithDoc="0" alignWithMargins="0">
    <oddHeader>&amp;C&amp;"Arial,Bold"GSA EaaS BPA Pricing
Revision 1&amp;R&amp;G</oddHeader>
    <oddFooter>&amp;RNov 2012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theme="5" tint="0.59999389629810485"/>
  </sheetPr>
  <dimension ref="A1:Y199"/>
  <sheetViews>
    <sheetView zoomScaleNormal="100" zoomScalePageLayoutView="85" workbookViewId="0">
      <pane xSplit="3" ySplit="1" topLeftCell="H2" activePane="bottomRight" state="frozen"/>
      <selection activeCell="E2" sqref="E2:Y196"/>
      <selection pane="topRight" activeCell="E2" sqref="E2:Y196"/>
      <selection pane="bottomLeft" activeCell="E2" sqref="E2:Y196"/>
      <selection pane="bottomRight" activeCell="N2" sqref="N2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850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507</v>
      </c>
      <c r="B2" s="8" t="s">
        <v>598</v>
      </c>
      <c r="C2" s="9" t="s">
        <v>610</v>
      </c>
      <c r="D2" s="9" t="s">
        <v>603</v>
      </c>
      <c r="E2" s="49">
        <v>3.86</v>
      </c>
      <c r="F2" s="49"/>
      <c r="G2" s="49">
        <v>20.48</v>
      </c>
      <c r="H2" s="49">
        <v>8.23</v>
      </c>
      <c r="I2" s="49">
        <v>11.98</v>
      </c>
      <c r="J2" s="49">
        <v>3.74</v>
      </c>
      <c r="K2" s="49"/>
      <c r="L2" s="49"/>
      <c r="M2" s="49">
        <v>3.77</v>
      </c>
      <c r="N2" s="49">
        <v>5.26</v>
      </c>
      <c r="O2" s="49">
        <v>10.79</v>
      </c>
      <c r="P2" s="49">
        <v>22.61</v>
      </c>
      <c r="Q2" s="49">
        <v>10.53</v>
      </c>
      <c r="R2" s="49">
        <v>3.7</v>
      </c>
      <c r="S2" s="49">
        <v>3.89</v>
      </c>
      <c r="T2" s="49">
        <v>31.8</v>
      </c>
      <c r="U2" s="49">
        <v>3.86</v>
      </c>
      <c r="V2" s="49"/>
      <c r="W2" s="49">
        <v>7.79</v>
      </c>
      <c r="X2" s="49"/>
      <c r="Y2" s="49">
        <v>4.75</v>
      </c>
    </row>
    <row r="3" spans="1:25" s="7" customFormat="1" ht="15" customHeight="1">
      <c r="A3" s="12" t="s">
        <v>508</v>
      </c>
      <c r="B3" s="8" t="s">
        <v>598</v>
      </c>
      <c r="C3" s="9" t="s">
        <v>611</v>
      </c>
      <c r="D3" s="9" t="s">
        <v>603</v>
      </c>
      <c r="E3" s="49">
        <v>3.86</v>
      </c>
      <c r="F3" s="49"/>
      <c r="G3" s="49">
        <v>18.43</v>
      </c>
      <c r="H3" s="49">
        <v>7.72</v>
      </c>
      <c r="I3" s="49">
        <v>11.33</v>
      </c>
      <c r="J3" s="49">
        <v>3.72</v>
      </c>
      <c r="K3" s="49"/>
      <c r="L3" s="49"/>
      <c r="M3" s="49">
        <v>3.77</v>
      </c>
      <c r="N3" s="49">
        <v>5.1100000000000003</v>
      </c>
      <c r="O3" s="49">
        <v>9.4700000000000006</v>
      </c>
      <c r="P3" s="49">
        <v>14.39</v>
      </c>
      <c r="Q3" s="49">
        <v>6.67</v>
      </c>
      <c r="R3" s="49">
        <v>3.7</v>
      </c>
      <c r="S3" s="49">
        <v>3.85</v>
      </c>
      <c r="T3" s="49">
        <v>22.89</v>
      </c>
      <c r="U3" s="49">
        <v>3.86</v>
      </c>
      <c r="V3" s="49"/>
      <c r="W3" s="49">
        <v>7.79</v>
      </c>
      <c r="X3" s="49"/>
      <c r="Y3" s="49">
        <v>4.75</v>
      </c>
    </row>
    <row r="4" spans="1:25" s="7" customFormat="1" ht="15" customHeight="1">
      <c r="A4" s="12" t="s">
        <v>509</v>
      </c>
      <c r="B4" s="8" t="s">
        <v>598</v>
      </c>
      <c r="C4" s="9" t="s">
        <v>612</v>
      </c>
      <c r="D4" s="9" t="s">
        <v>603</v>
      </c>
      <c r="E4" s="49">
        <v>3.86</v>
      </c>
      <c r="F4" s="49"/>
      <c r="G4" s="49">
        <v>16.38</v>
      </c>
      <c r="H4" s="49">
        <v>6.82</v>
      </c>
      <c r="I4" s="49">
        <v>11.06</v>
      </c>
      <c r="J4" s="49">
        <v>3.68</v>
      </c>
      <c r="K4" s="49"/>
      <c r="L4" s="49"/>
      <c r="M4" s="49">
        <v>3.77</v>
      </c>
      <c r="N4" s="49">
        <v>4.6399999999999997</v>
      </c>
      <c r="O4" s="49">
        <v>9.0299999999999994</v>
      </c>
      <c r="P4" s="49">
        <v>11.3</v>
      </c>
      <c r="Q4" s="49">
        <v>6.02</v>
      </c>
      <c r="R4" s="49">
        <v>3.7</v>
      </c>
      <c r="S4" s="49">
        <v>3.81</v>
      </c>
      <c r="T4" s="49">
        <v>16.57</v>
      </c>
      <c r="U4" s="49">
        <v>3.86</v>
      </c>
      <c r="V4" s="49"/>
      <c r="W4" s="49">
        <v>7.79</v>
      </c>
      <c r="X4" s="49"/>
      <c r="Y4" s="49">
        <v>4.75</v>
      </c>
    </row>
    <row r="5" spans="1:25" s="7" customFormat="1" ht="15" customHeight="1">
      <c r="A5" s="12" t="s">
        <v>510</v>
      </c>
      <c r="B5" s="8" t="s">
        <v>598</v>
      </c>
      <c r="C5" s="9" t="s">
        <v>677</v>
      </c>
      <c r="D5" s="9" t="s">
        <v>604</v>
      </c>
      <c r="E5" s="49">
        <v>0</v>
      </c>
      <c r="F5" s="49"/>
      <c r="G5" s="49">
        <v>3.6</v>
      </c>
      <c r="H5" s="49">
        <v>0.82</v>
      </c>
      <c r="I5" s="49">
        <v>1.63</v>
      </c>
      <c r="J5" s="49">
        <v>0</v>
      </c>
      <c r="K5" s="49"/>
      <c r="L5" s="49"/>
      <c r="M5" s="49"/>
      <c r="N5" s="49">
        <v>0.34</v>
      </c>
      <c r="O5" s="49">
        <v>0.63</v>
      </c>
      <c r="P5" s="49">
        <v>1.5</v>
      </c>
      <c r="Q5" s="49">
        <v>0.65</v>
      </c>
      <c r="R5" s="49"/>
      <c r="S5" s="49"/>
      <c r="T5" s="49">
        <v>0.49</v>
      </c>
      <c r="U5" s="49"/>
      <c r="V5" s="49"/>
      <c r="W5" s="49"/>
      <c r="X5" s="49"/>
      <c r="Y5" s="49">
        <v>0</v>
      </c>
    </row>
    <row r="6" spans="1:25" s="7" customFormat="1" ht="15" customHeight="1">
      <c r="A6" s="12" t="s">
        <v>511</v>
      </c>
      <c r="B6" s="8" t="s">
        <v>598</v>
      </c>
      <c r="C6" s="9" t="s">
        <v>678</v>
      </c>
      <c r="D6" s="9" t="s">
        <v>604</v>
      </c>
      <c r="E6" s="49">
        <v>0</v>
      </c>
      <c r="F6" s="49"/>
      <c r="G6" s="49">
        <v>3.24</v>
      </c>
      <c r="H6" s="49">
        <v>0.82</v>
      </c>
      <c r="I6" s="49">
        <v>1.42</v>
      </c>
      <c r="J6" s="49">
        <v>0</v>
      </c>
      <c r="K6" s="49"/>
      <c r="L6" s="49"/>
      <c r="M6" s="49"/>
      <c r="N6" s="49">
        <v>0.14000000000000001</v>
      </c>
      <c r="O6" s="49">
        <v>0.55000000000000004</v>
      </c>
      <c r="P6" s="49">
        <v>1.5</v>
      </c>
      <c r="Q6" s="49">
        <v>0.65</v>
      </c>
      <c r="R6" s="49"/>
      <c r="S6" s="49"/>
      <c r="T6" s="49">
        <v>0.3</v>
      </c>
      <c r="U6" s="49"/>
      <c r="V6" s="49"/>
      <c r="W6" s="49"/>
      <c r="X6" s="49"/>
      <c r="Y6" s="49">
        <v>0</v>
      </c>
    </row>
    <row r="7" spans="1:25" s="7" customFormat="1" ht="15" customHeight="1">
      <c r="A7" s="12" t="s">
        <v>512</v>
      </c>
      <c r="B7" s="8" t="s">
        <v>598</v>
      </c>
      <c r="C7" s="9" t="s">
        <v>679</v>
      </c>
      <c r="D7" s="9" t="s">
        <v>604</v>
      </c>
      <c r="E7" s="49">
        <v>0</v>
      </c>
      <c r="F7" s="49"/>
      <c r="G7" s="49">
        <v>2.88</v>
      </c>
      <c r="H7" s="49">
        <v>0.82</v>
      </c>
      <c r="I7" s="49">
        <v>1.36</v>
      </c>
      <c r="J7" s="49">
        <v>0</v>
      </c>
      <c r="K7" s="49"/>
      <c r="L7" s="49"/>
      <c r="M7" s="49"/>
      <c r="N7" s="49">
        <v>0.13</v>
      </c>
      <c r="O7" s="49">
        <v>0.43</v>
      </c>
      <c r="P7" s="49">
        <v>1.5</v>
      </c>
      <c r="Q7" s="49">
        <v>0.65</v>
      </c>
      <c r="R7" s="49"/>
      <c r="S7" s="49"/>
      <c r="T7" s="49">
        <v>0.25</v>
      </c>
      <c r="U7" s="49"/>
      <c r="V7" s="49"/>
      <c r="W7" s="49"/>
      <c r="X7" s="49"/>
      <c r="Y7" s="49">
        <v>0</v>
      </c>
    </row>
    <row r="8" spans="1:25" s="7" customFormat="1" ht="15" customHeight="1">
      <c r="A8" s="12" t="s">
        <v>513</v>
      </c>
      <c r="B8" s="8" t="s">
        <v>598</v>
      </c>
      <c r="C8" s="9" t="s">
        <v>613</v>
      </c>
      <c r="D8" s="9" t="s">
        <v>603</v>
      </c>
      <c r="E8" s="49">
        <v>1.45</v>
      </c>
      <c r="F8" s="49"/>
      <c r="G8" s="49">
        <v>18.899999999999999</v>
      </c>
      <c r="H8" s="49">
        <v>3.64</v>
      </c>
      <c r="I8" s="49">
        <v>7.86</v>
      </c>
      <c r="J8" s="49">
        <v>1.85</v>
      </c>
      <c r="K8" s="49"/>
      <c r="L8" s="49"/>
      <c r="M8" s="49">
        <v>1.42</v>
      </c>
      <c r="N8" s="49">
        <v>13.05</v>
      </c>
      <c r="O8" s="49">
        <v>2.78</v>
      </c>
      <c r="P8" s="49">
        <v>23.6</v>
      </c>
      <c r="Q8" s="49">
        <v>1.23</v>
      </c>
      <c r="R8" s="49">
        <v>1.83</v>
      </c>
      <c r="S8" s="49">
        <v>1.92</v>
      </c>
      <c r="T8" s="49">
        <v>1.56</v>
      </c>
      <c r="U8" s="49">
        <v>1.45</v>
      </c>
      <c r="V8" s="49"/>
      <c r="W8" s="49">
        <v>0</v>
      </c>
      <c r="X8" s="49"/>
      <c r="Y8" s="49">
        <v>0.79</v>
      </c>
    </row>
    <row r="9" spans="1:25" s="7" customFormat="1" ht="15" customHeight="1">
      <c r="A9" s="12" t="s">
        <v>514</v>
      </c>
      <c r="B9" s="8" t="s">
        <v>598</v>
      </c>
      <c r="C9" s="9" t="s">
        <v>614</v>
      </c>
      <c r="D9" s="9" t="s">
        <v>603</v>
      </c>
      <c r="E9" s="49">
        <v>1.45</v>
      </c>
      <c r="F9" s="49"/>
      <c r="G9" s="49">
        <v>17.55</v>
      </c>
      <c r="H9" s="49">
        <v>3.41</v>
      </c>
      <c r="I9" s="49">
        <v>7.12</v>
      </c>
      <c r="J9" s="49">
        <v>1.84</v>
      </c>
      <c r="K9" s="49"/>
      <c r="L9" s="49"/>
      <c r="M9" s="49">
        <v>1.42</v>
      </c>
      <c r="N9" s="49">
        <v>5.7</v>
      </c>
      <c r="O9" s="49">
        <v>2.78</v>
      </c>
      <c r="P9" s="49">
        <v>15.3</v>
      </c>
      <c r="Q9" s="49">
        <v>1.1599999999999999</v>
      </c>
      <c r="R9" s="49">
        <v>1.83</v>
      </c>
      <c r="S9" s="49">
        <v>1.9</v>
      </c>
      <c r="T9" s="49">
        <v>1.04</v>
      </c>
      <c r="U9" s="49">
        <v>1.45</v>
      </c>
      <c r="V9" s="49"/>
      <c r="W9" s="49">
        <v>0</v>
      </c>
      <c r="X9" s="49"/>
      <c r="Y9" s="49">
        <v>0.79</v>
      </c>
    </row>
    <row r="10" spans="1:25" s="7" customFormat="1" ht="15" customHeight="1">
      <c r="A10" s="12" t="s">
        <v>515</v>
      </c>
      <c r="B10" s="8" t="s">
        <v>598</v>
      </c>
      <c r="C10" s="9" t="s">
        <v>615</v>
      </c>
      <c r="D10" s="9" t="s">
        <v>603</v>
      </c>
      <c r="E10" s="49">
        <v>1.45</v>
      </c>
      <c r="F10" s="49"/>
      <c r="G10" s="49">
        <v>16.2</v>
      </c>
      <c r="H10" s="49">
        <v>2.84</v>
      </c>
      <c r="I10" s="49">
        <v>6.77</v>
      </c>
      <c r="J10" s="49">
        <v>1.82</v>
      </c>
      <c r="K10" s="49"/>
      <c r="L10" s="49"/>
      <c r="M10" s="49">
        <v>1.42</v>
      </c>
      <c r="N10" s="49">
        <v>4.7</v>
      </c>
      <c r="O10" s="49">
        <v>2.78</v>
      </c>
      <c r="P10" s="49">
        <v>12.09</v>
      </c>
      <c r="Q10" s="49">
        <v>1.1599999999999999</v>
      </c>
      <c r="R10" s="49">
        <v>1.83</v>
      </c>
      <c r="S10" s="49">
        <v>1.88</v>
      </c>
      <c r="T10" s="49">
        <v>0.78</v>
      </c>
      <c r="U10" s="49">
        <v>1.45</v>
      </c>
      <c r="V10" s="49"/>
      <c r="W10" s="49">
        <v>0</v>
      </c>
      <c r="X10" s="49"/>
      <c r="Y10" s="49">
        <v>0.79</v>
      </c>
    </row>
    <row r="11" spans="1:25" s="7" customFormat="1" ht="15" customHeight="1">
      <c r="A11" s="12" t="s">
        <v>516</v>
      </c>
      <c r="B11" s="8" t="s">
        <v>598</v>
      </c>
      <c r="C11" s="9" t="s">
        <v>616</v>
      </c>
      <c r="D11" s="9" t="s">
        <v>604</v>
      </c>
      <c r="E11" s="49">
        <v>0</v>
      </c>
      <c r="F11" s="49"/>
      <c r="G11" s="49">
        <v>3.6</v>
      </c>
      <c r="H11" s="49">
        <v>0.66</v>
      </c>
      <c r="I11" s="49">
        <v>0</v>
      </c>
      <c r="J11" s="49">
        <v>0</v>
      </c>
      <c r="K11" s="49"/>
      <c r="L11" s="49"/>
      <c r="M11" s="49">
        <v>0</v>
      </c>
      <c r="N11" s="49">
        <v>0.34</v>
      </c>
      <c r="O11" s="49">
        <v>0.71</v>
      </c>
      <c r="P11" s="49">
        <v>1.5</v>
      </c>
      <c r="Q11" s="49">
        <v>0.65</v>
      </c>
      <c r="R11" s="49">
        <v>0</v>
      </c>
      <c r="S11" s="49"/>
      <c r="T11" s="49">
        <v>0.23</v>
      </c>
      <c r="U11" s="49">
        <v>0</v>
      </c>
      <c r="V11" s="49"/>
      <c r="W11" s="49"/>
      <c r="X11" s="49"/>
      <c r="Y11" s="49">
        <v>0</v>
      </c>
    </row>
    <row r="12" spans="1:25" s="7" customFormat="1" ht="15" customHeight="1">
      <c r="A12" s="12" t="s">
        <v>517</v>
      </c>
      <c r="B12" s="8" t="s">
        <v>598</v>
      </c>
      <c r="C12" s="9" t="s">
        <v>617</v>
      </c>
      <c r="D12" s="9" t="s">
        <v>604</v>
      </c>
      <c r="E12" s="49">
        <v>0</v>
      </c>
      <c r="F12" s="49"/>
      <c r="G12" s="49">
        <v>3.24</v>
      </c>
      <c r="H12" s="49">
        <v>0.66</v>
      </c>
      <c r="I12" s="49">
        <v>0</v>
      </c>
      <c r="J12" s="49">
        <v>0</v>
      </c>
      <c r="K12" s="49"/>
      <c r="L12" s="49"/>
      <c r="M12" s="49">
        <v>0</v>
      </c>
      <c r="N12" s="49">
        <v>0.14000000000000001</v>
      </c>
      <c r="O12" s="49">
        <v>0.65</v>
      </c>
      <c r="P12" s="49">
        <v>1.5</v>
      </c>
      <c r="Q12" s="49">
        <v>0.65</v>
      </c>
      <c r="R12" s="49">
        <v>0</v>
      </c>
      <c r="S12" s="49"/>
      <c r="T12" s="49">
        <v>0.15</v>
      </c>
      <c r="U12" s="49">
        <v>0</v>
      </c>
      <c r="V12" s="49"/>
      <c r="W12" s="49"/>
      <c r="X12" s="49"/>
      <c r="Y12" s="49">
        <v>0</v>
      </c>
    </row>
    <row r="13" spans="1:25" s="7" customFormat="1" ht="15" customHeight="1">
      <c r="A13" s="12" t="s">
        <v>518</v>
      </c>
      <c r="B13" s="8" t="s">
        <v>598</v>
      </c>
      <c r="C13" s="9" t="s">
        <v>618</v>
      </c>
      <c r="D13" s="9" t="s">
        <v>604</v>
      </c>
      <c r="E13" s="49">
        <v>0</v>
      </c>
      <c r="F13" s="49"/>
      <c r="G13" s="49">
        <v>2.88</v>
      </c>
      <c r="H13" s="49">
        <v>0.66</v>
      </c>
      <c r="I13" s="49">
        <v>0</v>
      </c>
      <c r="J13" s="49">
        <v>0</v>
      </c>
      <c r="K13" s="49"/>
      <c r="L13" s="49"/>
      <c r="M13" s="49">
        <v>0</v>
      </c>
      <c r="N13" s="49">
        <v>0.13</v>
      </c>
      <c r="O13" s="49">
        <v>0.6</v>
      </c>
      <c r="P13" s="49">
        <v>1.5</v>
      </c>
      <c r="Q13" s="49">
        <v>0.65</v>
      </c>
      <c r="R13" s="49">
        <v>0</v>
      </c>
      <c r="S13" s="49"/>
      <c r="T13" s="49">
        <v>0.11</v>
      </c>
      <c r="U13" s="49">
        <v>0</v>
      </c>
      <c r="V13" s="49"/>
      <c r="W13" s="49"/>
      <c r="X13" s="49"/>
      <c r="Y13" s="49">
        <v>0</v>
      </c>
    </row>
    <row r="14" spans="1:25" s="7" customFormat="1" ht="15" customHeight="1">
      <c r="A14" s="12" t="s">
        <v>519</v>
      </c>
      <c r="B14" s="8" t="s">
        <v>598</v>
      </c>
      <c r="C14" s="9" t="s">
        <v>674</v>
      </c>
      <c r="D14" s="9" t="s">
        <v>603</v>
      </c>
      <c r="E14" s="49">
        <v>7.54</v>
      </c>
      <c r="F14" s="49"/>
      <c r="G14" s="49">
        <v>4</v>
      </c>
      <c r="H14" s="49">
        <v>13.78</v>
      </c>
      <c r="I14" s="49">
        <v>9.2100000000000009</v>
      </c>
      <c r="J14" s="49">
        <v>14.63</v>
      </c>
      <c r="K14" s="49"/>
      <c r="L14" s="49"/>
      <c r="M14" s="49">
        <v>7.43</v>
      </c>
      <c r="N14" s="49">
        <v>4.91</v>
      </c>
      <c r="O14" s="49">
        <v>5.35</v>
      </c>
      <c r="P14" s="49">
        <v>14.39</v>
      </c>
      <c r="Q14" s="49">
        <v>8.7100000000000009</v>
      </c>
      <c r="R14" s="49">
        <v>6.86</v>
      </c>
      <c r="S14" s="49">
        <v>7.13</v>
      </c>
      <c r="T14" s="49">
        <v>10.38</v>
      </c>
      <c r="U14" s="49">
        <v>7.54</v>
      </c>
      <c r="V14" s="49"/>
      <c r="W14" s="49">
        <v>32.25</v>
      </c>
      <c r="X14" s="49"/>
      <c r="Y14" s="49">
        <v>13.32</v>
      </c>
    </row>
    <row r="15" spans="1:25" s="7" customFormat="1" ht="15" customHeight="1">
      <c r="A15" s="12" t="s">
        <v>520</v>
      </c>
      <c r="B15" s="8" t="s">
        <v>598</v>
      </c>
      <c r="C15" s="9" t="s">
        <v>675</v>
      </c>
      <c r="D15" s="9" t="s">
        <v>603</v>
      </c>
      <c r="E15" s="49">
        <v>6.96</v>
      </c>
      <c r="F15" s="49"/>
      <c r="G15" s="49">
        <v>2.1</v>
      </c>
      <c r="H15" s="49">
        <v>12.92</v>
      </c>
      <c r="I15" s="49">
        <v>8.1199999999999992</v>
      </c>
      <c r="J15" s="49">
        <v>14.63</v>
      </c>
      <c r="K15" s="49"/>
      <c r="L15" s="49"/>
      <c r="M15" s="49">
        <v>6.85</v>
      </c>
      <c r="N15" s="49">
        <v>4.91</v>
      </c>
      <c r="O15" s="49">
        <v>5.1100000000000003</v>
      </c>
      <c r="P15" s="49">
        <v>12.33</v>
      </c>
      <c r="Q15" s="49">
        <v>3.69</v>
      </c>
      <c r="R15" s="49">
        <v>6.29</v>
      </c>
      <c r="S15" s="49">
        <v>6.58</v>
      </c>
      <c r="T15" s="49">
        <v>8.82</v>
      </c>
      <c r="U15" s="49">
        <v>6.96</v>
      </c>
      <c r="V15" s="49"/>
      <c r="W15" s="49">
        <v>25.68</v>
      </c>
      <c r="X15" s="49"/>
      <c r="Y15" s="49">
        <v>9.75</v>
      </c>
    </row>
    <row r="16" spans="1:25" s="7" customFormat="1" ht="15" customHeight="1">
      <c r="A16" s="12" t="s">
        <v>521</v>
      </c>
      <c r="B16" s="8" t="s">
        <v>598</v>
      </c>
      <c r="C16" s="9" t="s">
        <v>676</v>
      </c>
      <c r="D16" s="9" t="s">
        <v>603</v>
      </c>
      <c r="E16" s="49">
        <v>6.38</v>
      </c>
      <c r="F16" s="49"/>
      <c r="G16" s="49">
        <v>2.1</v>
      </c>
      <c r="H16" s="49">
        <v>11.84</v>
      </c>
      <c r="I16" s="49">
        <v>6.95</v>
      </c>
      <c r="J16" s="49">
        <v>14.63</v>
      </c>
      <c r="K16" s="49"/>
      <c r="L16" s="49"/>
      <c r="M16" s="49">
        <v>6.28</v>
      </c>
      <c r="N16" s="49">
        <v>4.91</v>
      </c>
      <c r="O16" s="49">
        <v>5.1100000000000003</v>
      </c>
      <c r="P16" s="49">
        <v>11.3</v>
      </c>
      <c r="Q16" s="49">
        <v>3.05</v>
      </c>
      <c r="R16" s="49">
        <v>5.72</v>
      </c>
      <c r="S16" s="49">
        <v>6.03</v>
      </c>
      <c r="T16" s="49">
        <v>7.26</v>
      </c>
      <c r="U16" s="49">
        <v>6.38</v>
      </c>
      <c r="V16" s="49"/>
      <c r="W16" s="49">
        <v>19.260000000000002</v>
      </c>
      <c r="X16" s="49"/>
      <c r="Y16" s="49">
        <v>7.73</v>
      </c>
    </row>
    <row r="17" spans="1:25" s="7" customFormat="1" ht="15" customHeight="1">
      <c r="A17" s="12"/>
      <c r="B17" s="8"/>
      <c r="C17" s="9"/>
      <c r="D17" s="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spans="1:25" s="7" customFormat="1" ht="15" customHeight="1">
      <c r="A18" s="12" t="s">
        <v>522</v>
      </c>
      <c r="B18" s="8" t="s">
        <v>599</v>
      </c>
      <c r="C18" s="9" t="s">
        <v>610</v>
      </c>
      <c r="D18" s="9" t="s">
        <v>603</v>
      </c>
      <c r="E18" s="49"/>
      <c r="F18" s="49">
        <v>20.45</v>
      </c>
      <c r="G18" s="49">
        <v>22.76</v>
      </c>
      <c r="H18" s="49">
        <v>11.99</v>
      </c>
      <c r="I18" s="49"/>
      <c r="J18" s="49"/>
      <c r="K18" s="49">
        <v>17</v>
      </c>
      <c r="L18" s="49">
        <v>21.56</v>
      </c>
      <c r="M18" s="49"/>
      <c r="N18" s="49">
        <v>21.22</v>
      </c>
      <c r="O18" s="49">
        <v>12</v>
      </c>
      <c r="P18" s="49">
        <v>40.07</v>
      </c>
      <c r="Q18" s="49">
        <v>11.44</v>
      </c>
      <c r="R18" s="49"/>
      <c r="S18" s="49"/>
      <c r="T18" s="49">
        <v>36.799999999999997</v>
      </c>
      <c r="U18" s="49"/>
      <c r="V18" s="49">
        <v>20.8</v>
      </c>
      <c r="W18" s="49"/>
      <c r="X18" s="49">
        <v>22.13</v>
      </c>
      <c r="Y18" s="49"/>
    </row>
    <row r="19" spans="1:25" s="7" customFormat="1" ht="15" customHeight="1">
      <c r="A19" s="12" t="s">
        <v>523</v>
      </c>
      <c r="B19" s="8" t="s">
        <v>599</v>
      </c>
      <c r="C19" s="9" t="s">
        <v>611</v>
      </c>
      <c r="D19" s="9" t="s">
        <v>603</v>
      </c>
      <c r="E19" s="49"/>
      <c r="F19" s="49">
        <v>20.45</v>
      </c>
      <c r="G19" s="49">
        <v>20.49</v>
      </c>
      <c r="H19" s="49">
        <v>11.25</v>
      </c>
      <c r="I19" s="49"/>
      <c r="J19" s="49"/>
      <c r="K19" s="49">
        <v>12</v>
      </c>
      <c r="L19" s="49">
        <v>21.56</v>
      </c>
      <c r="M19" s="49"/>
      <c r="N19" s="49">
        <v>11.7</v>
      </c>
      <c r="O19" s="49">
        <v>10.68</v>
      </c>
      <c r="P19" s="49">
        <v>26.72</v>
      </c>
      <c r="Q19" s="49">
        <v>7.7</v>
      </c>
      <c r="R19" s="49"/>
      <c r="S19" s="49"/>
      <c r="T19" s="49">
        <v>24.8</v>
      </c>
      <c r="U19" s="49"/>
      <c r="V19" s="49">
        <v>20.8</v>
      </c>
      <c r="W19" s="49"/>
      <c r="X19" s="49">
        <v>22.13</v>
      </c>
      <c r="Y19" s="49"/>
    </row>
    <row r="20" spans="1:25" s="7" customFormat="1" ht="15" customHeight="1">
      <c r="A20" s="12" t="s">
        <v>524</v>
      </c>
      <c r="B20" s="8" t="s">
        <v>599</v>
      </c>
      <c r="C20" s="9" t="s">
        <v>612</v>
      </c>
      <c r="D20" s="9" t="s">
        <v>603</v>
      </c>
      <c r="E20" s="49"/>
      <c r="F20" s="49">
        <v>15.34</v>
      </c>
      <c r="G20" s="49">
        <v>16.39</v>
      </c>
      <c r="H20" s="49">
        <v>9.9600000000000009</v>
      </c>
      <c r="I20" s="49"/>
      <c r="J20" s="49"/>
      <c r="K20" s="49">
        <v>8</v>
      </c>
      <c r="L20" s="49">
        <v>16.170000000000002</v>
      </c>
      <c r="M20" s="49"/>
      <c r="N20" s="49">
        <v>6.55</v>
      </c>
      <c r="O20" s="49">
        <v>10.199999999999999</v>
      </c>
      <c r="P20" s="49">
        <v>19.52</v>
      </c>
      <c r="Q20" s="49">
        <v>6.41</v>
      </c>
      <c r="R20" s="49"/>
      <c r="S20" s="49"/>
      <c r="T20" s="49">
        <v>16.829999999999998</v>
      </c>
      <c r="U20" s="49"/>
      <c r="V20" s="49">
        <v>20.8</v>
      </c>
      <c r="W20" s="49"/>
      <c r="X20" s="49">
        <v>22.13</v>
      </c>
      <c r="Y20" s="49"/>
    </row>
    <row r="21" spans="1:25" s="7" customFormat="1" ht="15" customHeight="1">
      <c r="A21" s="12" t="s">
        <v>525</v>
      </c>
      <c r="B21" s="8" t="s">
        <v>599</v>
      </c>
      <c r="C21" s="9" t="s">
        <v>677</v>
      </c>
      <c r="D21" s="9" t="s">
        <v>604</v>
      </c>
      <c r="E21" s="49"/>
      <c r="F21" s="49"/>
      <c r="G21" s="49">
        <v>3.6</v>
      </c>
      <c r="H21" s="49">
        <v>1.19</v>
      </c>
      <c r="I21" s="49"/>
      <c r="J21" s="49"/>
      <c r="K21" s="49">
        <v>2.25</v>
      </c>
      <c r="L21" s="49"/>
      <c r="M21" s="49"/>
      <c r="N21" s="49">
        <v>0.34</v>
      </c>
      <c r="O21" s="49">
        <v>0.78</v>
      </c>
      <c r="P21" s="49">
        <v>1.5</v>
      </c>
      <c r="Q21" s="49">
        <v>0.87</v>
      </c>
      <c r="R21" s="49"/>
      <c r="S21" s="49"/>
      <c r="T21" s="49">
        <v>0.54</v>
      </c>
      <c r="U21" s="49"/>
      <c r="V21" s="49"/>
      <c r="W21" s="49"/>
      <c r="X21" s="49"/>
      <c r="Y21" s="49"/>
    </row>
    <row r="22" spans="1:25" s="7" customFormat="1" ht="15" customHeight="1">
      <c r="A22" s="12" t="s">
        <v>526</v>
      </c>
      <c r="B22" s="8" t="s">
        <v>599</v>
      </c>
      <c r="C22" s="9" t="s">
        <v>678</v>
      </c>
      <c r="D22" s="9" t="s">
        <v>604</v>
      </c>
      <c r="E22" s="49"/>
      <c r="F22" s="49"/>
      <c r="G22" s="49">
        <v>3.24</v>
      </c>
      <c r="H22" s="49">
        <v>1.19</v>
      </c>
      <c r="I22" s="49"/>
      <c r="J22" s="49"/>
      <c r="K22" s="49">
        <v>1.75</v>
      </c>
      <c r="L22" s="49"/>
      <c r="M22" s="49"/>
      <c r="N22" s="49">
        <v>0.14000000000000001</v>
      </c>
      <c r="O22" s="49">
        <v>0.69</v>
      </c>
      <c r="P22" s="49">
        <v>1.5</v>
      </c>
      <c r="Q22" s="49">
        <v>0.87</v>
      </c>
      <c r="R22" s="49"/>
      <c r="S22" s="49"/>
      <c r="T22" s="49">
        <v>0.33</v>
      </c>
      <c r="U22" s="49"/>
      <c r="V22" s="49"/>
      <c r="W22" s="49"/>
      <c r="X22" s="49"/>
      <c r="Y22" s="49"/>
    </row>
    <row r="23" spans="1:25" s="7" customFormat="1" ht="15" customHeight="1">
      <c r="A23" s="12" t="s">
        <v>527</v>
      </c>
      <c r="B23" s="8" t="s">
        <v>599</v>
      </c>
      <c r="C23" s="9" t="s">
        <v>679</v>
      </c>
      <c r="D23" s="9" t="s">
        <v>604</v>
      </c>
      <c r="E23" s="49"/>
      <c r="F23" s="49"/>
      <c r="G23" s="49">
        <v>2.88</v>
      </c>
      <c r="H23" s="49">
        <v>1.19</v>
      </c>
      <c r="I23" s="49"/>
      <c r="J23" s="49"/>
      <c r="K23" s="49">
        <v>1.25</v>
      </c>
      <c r="L23" s="49"/>
      <c r="M23" s="49"/>
      <c r="N23" s="49">
        <v>0.13</v>
      </c>
      <c r="O23" s="49">
        <v>0.53</v>
      </c>
      <c r="P23" s="49">
        <v>1.5</v>
      </c>
      <c r="Q23" s="49">
        <v>0.87</v>
      </c>
      <c r="R23" s="49"/>
      <c r="S23" s="49"/>
      <c r="T23" s="49">
        <v>0.28000000000000003</v>
      </c>
      <c r="U23" s="49"/>
      <c r="V23" s="49"/>
      <c r="W23" s="49"/>
      <c r="X23" s="49"/>
      <c r="Y23" s="49"/>
    </row>
    <row r="24" spans="1:25" s="7" customFormat="1" ht="15" customHeight="1">
      <c r="A24" s="12" t="s">
        <v>528</v>
      </c>
      <c r="B24" s="8" t="s">
        <v>599</v>
      </c>
      <c r="C24" s="9" t="s">
        <v>613</v>
      </c>
      <c r="D24" s="9" t="s">
        <v>603</v>
      </c>
      <c r="E24" s="49"/>
      <c r="F24" s="49">
        <v>8.64</v>
      </c>
      <c r="G24" s="49">
        <v>18.899999999999999</v>
      </c>
      <c r="H24" s="49">
        <v>5.31</v>
      </c>
      <c r="I24" s="49"/>
      <c r="J24" s="49"/>
      <c r="K24" s="49">
        <v>8</v>
      </c>
      <c r="L24" s="49">
        <v>8.1199999999999992</v>
      </c>
      <c r="M24" s="49"/>
      <c r="N24" s="49">
        <v>13.05</v>
      </c>
      <c r="O24" s="49">
        <v>3.34</v>
      </c>
      <c r="P24" s="49">
        <v>24.9</v>
      </c>
      <c r="Q24" s="49">
        <v>1.32</v>
      </c>
      <c r="R24" s="49"/>
      <c r="S24" s="49"/>
      <c r="T24" s="49">
        <v>3.11</v>
      </c>
      <c r="U24" s="49"/>
      <c r="V24" s="49">
        <v>8.7899999999999991</v>
      </c>
      <c r="W24" s="49"/>
      <c r="X24" s="49">
        <v>9.35</v>
      </c>
      <c r="Y24" s="49"/>
    </row>
    <row r="25" spans="1:25" s="7" customFormat="1" ht="15" customHeight="1">
      <c r="A25" s="12" t="s">
        <v>529</v>
      </c>
      <c r="B25" s="8" t="s">
        <v>599</v>
      </c>
      <c r="C25" s="9" t="s">
        <v>614</v>
      </c>
      <c r="D25" s="9" t="s">
        <v>603</v>
      </c>
      <c r="E25" s="49"/>
      <c r="F25" s="49">
        <v>8.64</v>
      </c>
      <c r="G25" s="49">
        <v>17.55</v>
      </c>
      <c r="H25" s="49">
        <v>4.9800000000000004</v>
      </c>
      <c r="I25" s="49"/>
      <c r="J25" s="49"/>
      <c r="K25" s="49">
        <v>6</v>
      </c>
      <c r="L25" s="49">
        <v>8.1199999999999992</v>
      </c>
      <c r="M25" s="49"/>
      <c r="N25" s="49">
        <v>5.7</v>
      </c>
      <c r="O25" s="49">
        <v>3.34</v>
      </c>
      <c r="P25" s="49">
        <v>15.56</v>
      </c>
      <c r="Q25" s="49">
        <v>1.23</v>
      </c>
      <c r="R25" s="49"/>
      <c r="S25" s="49"/>
      <c r="T25" s="49">
        <v>2.85</v>
      </c>
      <c r="U25" s="49"/>
      <c r="V25" s="49">
        <v>8.7899999999999991</v>
      </c>
      <c r="W25" s="49"/>
      <c r="X25" s="49">
        <v>9.35</v>
      </c>
      <c r="Y25" s="49"/>
    </row>
    <row r="26" spans="1:25" s="7" customFormat="1" ht="15" customHeight="1">
      <c r="A26" s="12" t="s">
        <v>530</v>
      </c>
      <c r="B26" s="8" t="s">
        <v>599</v>
      </c>
      <c r="C26" s="9" t="s">
        <v>615</v>
      </c>
      <c r="D26" s="9" t="s">
        <v>603</v>
      </c>
      <c r="E26" s="49"/>
      <c r="F26" s="49">
        <v>6.45</v>
      </c>
      <c r="G26" s="49">
        <v>16.2</v>
      </c>
      <c r="H26" s="49">
        <v>4.1500000000000004</v>
      </c>
      <c r="I26" s="49"/>
      <c r="J26" s="49"/>
      <c r="K26" s="49">
        <v>4.5</v>
      </c>
      <c r="L26" s="49">
        <v>6.09</v>
      </c>
      <c r="M26" s="49"/>
      <c r="N26" s="49">
        <v>4.7</v>
      </c>
      <c r="O26" s="49">
        <v>3.34</v>
      </c>
      <c r="P26" s="49">
        <v>12.45</v>
      </c>
      <c r="Q26" s="49">
        <v>1.25</v>
      </c>
      <c r="R26" s="49"/>
      <c r="S26" s="49"/>
      <c r="T26" s="49">
        <v>2.59</v>
      </c>
      <c r="U26" s="49"/>
      <c r="V26" s="49">
        <v>8.7899999999999991</v>
      </c>
      <c r="W26" s="49"/>
      <c r="X26" s="49">
        <v>9.35</v>
      </c>
      <c r="Y26" s="49"/>
    </row>
    <row r="27" spans="1:25" s="7" customFormat="1" ht="15" customHeight="1">
      <c r="A27" s="12" t="s">
        <v>531</v>
      </c>
      <c r="B27" s="8" t="s">
        <v>599</v>
      </c>
      <c r="C27" s="9" t="s">
        <v>616</v>
      </c>
      <c r="D27" s="9" t="s">
        <v>604</v>
      </c>
      <c r="E27" s="49"/>
      <c r="F27" s="49"/>
      <c r="G27" s="49">
        <v>3.6</v>
      </c>
      <c r="H27" s="49">
        <v>0.96</v>
      </c>
      <c r="I27" s="49"/>
      <c r="J27" s="49"/>
      <c r="K27" s="49">
        <v>2.25</v>
      </c>
      <c r="L27" s="49"/>
      <c r="M27" s="49"/>
      <c r="N27" s="49">
        <v>0.34</v>
      </c>
      <c r="O27" s="49">
        <v>0.89</v>
      </c>
      <c r="P27" s="49">
        <v>1.5</v>
      </c>
      <c r="Q27" s="49">
        <v>0.87</v>
      </c>
      <c r="R27" s="49"/>
      <c r="S27" s="49"/>
      <c r="T27" s="49">
        <v>0.25</v>
      </c>
      <c r="U27" s="49"/>
      <c r="V27" s="49"/>
      <c r="W27" s="49"/>
      <c r="X27" s="49"/>
      <c r="Y27" s="49"/>
    </row>
    <row r="28" spans="1:25" s="7" customFormat="1" ht="15" customHeight="1">
      <c r="A28" s="12" t="s">
        <v>532</v>
      </c>
      <c r="B28" s="8" t="s">
        <v>599</v>
      </c>
      <c r="C28" s="9" t="s">
        <v>617</v>
      </c>
      <c r="D28" s="9" t="s">
        <v>604</v>
      </c>
      <c r="E28" s="49"/>
      <c r="F28" s="49"/>
      <c r="G28" s="49">
        <v>3.24</v>
      </c>
      <c r="H28" s="49">
        <v>0.96</v>
      </c>
      <c r="I28" s="49"/>
      <c r="J28" s="49"/>
      <c r="K28" s="49">
        <v>1.75</v>
      </c>
      <c r="L28" s="49"/>
      <c r="M28" s="49"/>
      <c r="N28" s="49">
        <v>0.14000000000000001</v>
      </c>
      <c r="O28" s="49">
        <v>0.81</v>
      </c>
      <c r="P28" s="49">
        <v>1.5</v>
      </c>
      <c r="Q28" s="49">
        <v>0.87</v>
      </c>
      <c r="R28" s="49"/>
      <c r="S28" s="49"/>
      <c r="T28" s="49">
        <v>0.17</v>
      </c>
      <c r="U28" s="49"/>
      <c r="V28" s="49"/>
      <c r="W28" s="49"/>
      <c r="X28" s="49"/>
      <c r="Y28" s="49"/>
    </row>
    <row r="29" spans="1:25" s="7" customFormat="1" ht="15" customHeight="1">
      <c r="A29" s="12" t="s">
        <v>533</v>
      </c>
      <c r="B29" s="8" t="s">
        <v>599</v>
      </c>
      <c r="C29" s="9" t="s">
        <v>618</v>
      </c>
      <c r="D29" s="9" t="s">
        <v>604</v>
      </c>
      <c r="E29" s="49"/>
      <c r="F29" s="49"/>
      <c r="G29" s="49">
        <v>2.88</v>
      </c>
      <c r="H29" s="49">
        <v>0.96</v>
      </c>
      <c r="I29" s="49"/>
      <c r="J29" s="49"/>
      <c r="K29" s="49">
        <v>1.25</v>
      </c>
      <c r="L29" s="49"/>
      <c r="M29" s="49"/>
      <c r="N29" s="49">
        <v>0.13</v>
      </c>
      <c r="O29" s="49">
        <v>0.74</v>
      </c>
      <c r="P29" s="49">
        <v>1.5</v>
      </c>
      <c r="Q29" s="49">
        <v>0.87</v>
      </c>
      <c r="R29" s="49"/>
      <c r="S29" s="49"/>
      <c r="T29" s="49">
        <v>0.12</v>
      </c>
      <c r="U29" s="49"/>
      <c r="V29" s="49"/>
      <c r="W29" s="49"/>
      <c r="X29" s="49"/>
      <c r="Y29" s="49"/>
    </row>
    <row r="30" spans="1:25" s="7" customFormat="1" ht="15" customHeight="1">
      <c r="A30" s="12" t="s">
        <v>534</v>
      </c>
      <c r="B30" s="8" t="s">
        <v>599</v>
      </c>
      <c r="C30" s="9" t="s">
        <v>674</v>
      </c>
      <c r="D30" s="9" t="s">
        <v>603</v>
      </c>
      <c r="E30" s="49"/>
      <c r="F30" s="49"/>
      <c r="G30" s="49">
        <v>4</v>
      </c>
      <c r="H30" s="49">
        <v>20.239999999999998</v>
      </c>
      <c r="I30" s="49"/>
      <c r="J30" s="49"/>
      <c r="K30" s="49">
        <v>7</v>
      </c>
      <c r="L30" s="49">
        <v>10.24</v>
      </c>
      <c r="M30" s="49"/>
      <c r="N30" s="49">
        <v>4.91</v>
      </c>
      <c r="O30" s="49">
        <v>5.2</v>
      </c>
      <c r="P30" s="49">
        <v>17.98</v>
      </c>
      <c r="Q30" s="49">
        <v>9.3699999999999992</v>
      </c>
      <c r="R30" s="49"/>
      <c r="S30" s="49"/>
      <c r="T30" s="49">
        <v>10.38</v>
      </c>
      <c r="U30" s="49"/>
      <c r="V30" s="49">
        <v>13.94</v>
      </c>
      <c r="W30" s="49"/>
      <c r="X30" s="49">
        <v>10.24</v>
      </c>
      <c r="Y30" s="49"/>
    </row>
    <row r="31" spans="1:25" s="7" customFormat="1" ht="15" customHeight="1">
      <c r="A31" s="12" t="s">
        <v>535</v>
      </c>
      <c r="B31" s="8" t="s">
        <v>599</v>
      </c>
      <c r="C31" s="9" t="s">
        <v>675</v>
      </c>
      <c r="D31" s="9" t="s">
        <v>603</v>
      </c>
      <c r="E31" s="49"/>
      <c r="F31" s="49"/>
      <c r="G31" s="49">
        <v>2.1</v>
      </c>
      <c r="H31" s="49">
        <v>18.98</v>
      </c>
      <c r="I31" s="49"/>
      <c r="J31" s="49"/>
      <c r="K31" s="49">
        <v>6</v>
      </c>
      <c r="L31" s="49">
        <v>8.59</v>
      </c>
      <c r="M31" s="49"/>
      <c r="N31" s="49">
        <v>4.91</v>
      </c>
      <c r="O31" s="49">
        <v>5.17</v>
      </c>
      <c r="P31" s="49">
        <v>16.440000000000001</v>
      </c>
      <c r="Q31" s="49">
        <v>4.24</v>
      </c>
      <c r="R31" s="49"/>
      <c r="S31" s="49"/>
      <c r="T31" s="49">
        <v>8.82</v>
      </c>
      <c r="U31" s="49"/>
      <c r="V31" s="49">
        <v>13.94</v>
      </c>
      <c r="W31" s="49"/>
      <c r="X31" s="49">
        <v>10.24</v>
      </c>
      <c r="Y31" s="49"/>
    </row>
    <row r="32" spans="1:25" s="7" customFormat="1" ht="15" customHeight="1">
      <c r="A32" s="12" t="s">
        <v>536</v>
      </c>
      <c r="B32" s="8" t="s">
        <v>599</v>
      </c>
      <c r="C32" s="9" t="s">
        <v>676</v>
      </c>
      <c r="D32" s="9" t="s">
        <v>603</v>
      </c>
      <c r="E32" s="49"/>
      <c r="F32" s="49"/>
      <c r="G32" s="49">
        <v>2.1</v>
      </c>
      <c r="H32" s="49">
        <v>17.28</v>
      </c>
      <c r="I32" s="49"/>
      <c r="J32" s="49"/>
      <c r="K32" s="49">
        <v>4.5</v>
      </c>
      <c r="L32" s="49">
        <v>7.17</v>
      </c>
      <c r="M32" s="49"/>
      <c r="N32" s="49">
        <v>4.91</v>
      </c>
      <c r="O32" s="49">
        <v>5.17</v>
      </c>
      <c r="P32" s="49">
        <v>15.41</v>
      </c>
      <c r="Q32" s="49">
        <v>3.3</v>
      </c>
      <c r="R32" s="49"/>
      <c r="S32" s="49"/>
      <c r="T32" s="49">
        <v>7.26</v>
      </c>
      <c r="U32" s="49"/>
      <c r="V32" s="49">
        <v>13.94</v>
      </c>
      <c r="W32" s="49"/>
      <c r="X32" s="49">
        <v>10.24</v>
      </c>
      <c r="Y32" s="49"/>
    </row>
    <row r="33" spans="1:25" s="7" customFormat="1" ht="15" customHeight="1">
      <c r="A33" s="12"/>
      <c r="B33" s="6"/>
      <c r="C33" s="9"/>
      <c r="D33" s="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spans="1:25" s="7" customFormat="1" ht="15" customHeight="1">
      <c r="A34" s="12" t="s">
        <v>537</v>
      </c>
      <c r="B34" s="8" t="s">
        <v>600</v>
      </c>
      <c r="C34" s="9" t="s">
        <v>610</v>
      </c>
      <c r="D34" s="9" t="s">
        <v>603</v>
      </c>
      <c r="E34" s="49"/>
      <c r="F34" s="49"/>
      <c r="G34" s="49"/>
      <c r="H34" s="49"/>
      <c r="I34" s="49"/>
      <c r="J34" s="49"/>
      <c r="K34" s="49">
        <v>21</v>
      </c>
      <c r="L34" s="49"/>
      <c r="M34" s="49"/>
      <c r="N34" s="49">
        <v>32.880000000000003</v>
      </c>
      <c r="O34" s="49"/>
      <c r="P34" s="49">
        <v>59.18</v>
      </c>
      <c r="Q34" s="49">
        <v>16.399999999999999</v>
      </c>
      <c r="R34" s="49"/>
      <c r="S34" s="49"/>
      <c r="T34" s="49">
        <v>121.85</v>
      </c>
      <c r="U34" s="49"/>
      <c r="V34" s="49"/>
      <c r="W34" s="49"/>
      <c r="X34" s="49"/>
      <c r="Y34" s="49"/>
    </row>
    <row r="35" spans="1:25" s="7" customFormat="1" ht="15" customHeight="1">
      <c r="A35" s="12" t="s">
        <v>538</v>
      </c>
      <c r="B35" s="8" t="s">
        <v>600</v>
      </c>
      <c r="C35" s="9" t="s">
        <v>611</v>
      </c>
      <c r="D35" s="9" t="s">
        <v>603</v>
      </c>
      <c r="E35" s="49"/>
      <c r="F35" s="49"/>
      <c r="G35" s="49"/>
      <c r="H35" s="49"/>
      <c r="I35" s="49"/>
      <c r="J35" s="49"/>
      <c r="K35" s="49">
        <v>15</v>
      </c>
      <c r="L35" s="49"/>
      <c r="M35" s="49"/>
      <c r="N35" s="49">
        <v>14.57</v>
      </c>
      <c r="O35" s="49"/>
      <c r="P35" s="49">
        <v>43.87</v>
      </c>
      <c r="Q35" s="49">
        <v>8.2100000000000009</v>
      </c>
      <c r="R35" s="49"/>
      <c r="S35" s="49"/>
      <c r="T35" s="49">
        <v>42.75</v>
      </c>
      <c r="U35" s="49"/>
      <c r="V35" s="49"/>
      <c r="W35" s="49"/>
      <c r="X35" s="49"/>
      <c r="Y35" s="49"/>
    </row>
    <row r="36" spans="1:25" s="7" customFormat="1" ht="15" customHeight="1">
      <c r="A36" s="12" t="s">
        <v>539</v>
      </c>
      <c r="B36" s="8" t="s">
        <v>600</v>
      </c>
      <c r="C36" s="9" t="s">
        <v>612</v>
      </c>
      <c r="D36" s="9" t="s">
        <v>603</v>
      </c>
      <c r="E36" s="49"/>
      <c r="F36" s="49"/>
      <c r="G36" s="49"/>
      <c r="H36" s="49"/>
      <c r="I36" s="49"/>
      <c r="J36" s="49"/>
      <c r="K36" s="49">
        <v>9</v>
      </c>
      <c r="L36" s="49"/>
      <c r="M36" s="49"/>
      <c r="N36" s="49">
        <v>8.0299999999999994</v>
      </c>
      <c r="O36" s="49"/>
      <c r="P36" s="49">
        <v>35.72</v>
      </c>
      <c r="Q36" s="49">
        <v>6.74</v>
      </c>
      <c r="R36" s="49"/>
      <c r="S36" s="49"/>
      <c r="T36" s="49">
        <v>21.38</v>
      </c>
      <c r="U36" s="49"/>
      <c r="V36" s="49"/>
      <c r="W36" s="49"/>
      <c r="X36" s="49"/>
      <c r="Y36" s="49"/>
    </row>
    <row r="37" spans="1:25" s="7" customFormat="1" ht="15" customHeight="1">
      <c r="A37" s="12" t="s">
        <v>540</v>
      </c>
      <c r="B37" s="8" t="s">
        <v>600</v>
      </c>
      <c r="C37" s="9" t="s">
        <v>677</v>
      </c>
      <c r="D37" s="9" t="s">
        <v>604</v>
      </c>
      <c r="E37" s="49"/>
      <c r="F37" s="49"/>
      <c r="G37" s="49"/>
      <c r="H37" s="49"/>
      <c r="I37" s="49"/>
      <c r="J37" s="49"/>
      <c r="K37" s="49">
        <v>2.25</v>
      </c>
      <c r="L37" s="49"/>
      <c r="M37" s="49"/>
      <c r="N37" s="49">
        <v>0.34</v>
      </c>
      <c r="O37" s="49"/>
      <c r="P37" s="49">
        <v>1.5</v>
      </c>
      <c r="Q37" s="49">
        <v>0.65</v>
      </c>
      <c r="R37" s="49"/>
      <c r="S37" s="49"/>
      <c r="T37" s="49">
        <v>1.49</v>
      </c>
      <c r="U37" s="49"/>
      <c r="V37" s="49"/>
      <c r="W37" s="49"/>
      <c r="X37" s="49"/>
      <c r="Y37" s="49"/>
    </row>
    <row r="38" spans="1:25" s="7" customFormat="1" ht="15" customHeight="1">
      <c r="A38" s="12" t="s">
        <v>541</v>
      </c>
      <c r="B38" s="8" t="s">
        <v>600</v>
      </c>
      <c r="C38" s="9" t="s">
        <v>678</v>
      </c>
      <c r="D38" s="9" t="s">
        <v>604</v>
      </c>
      <c r="E38" s="49"/>
      <c r="F38" s="49"/>
      <c r="G38" s="49"/>
      <c r="H38" s="49"/>
      <c r="I38" s="49"/>
      <c r="J38" s="49"/>
      <c r="K38" s="49">
        <v>1.75</v>
      </c>
      <c r="L38" s="49"/>
      <c r="M38" s="49"/>
      <c r="N38" s="49">
        <v>0.14000000000000001</v>
      </c>
      <c r="O38" s="49"/>
      <c r="P38" s="49">
        <v>1.5</v>
      </c>
      <c r="Q38" s="49">
        <v>0.65</v>
      </c>
      <c r="R38" s="49"/>
      <c r="S38" s="49"/>
      <c r="T38" s="49">
        <v>0.77</v>
      </c>
      <c r="U38" s="49"/>
      <c r="V38" s="49"/>
      <c r="W38" s="49"/>
      <c r="X38" s="49"/>
      <c r="Y38" s="49"/>
    </row>
    <row r="39" spans="1:25" s="7" customFormat="1" ht="15" customHeight="1">
      <c r="A39" s="12" t="s">
        <v>542</v>
      </c>
      <c r="B39" s="8" t="s">
        <v>600</v>
      </c>
      <c r="C39" s="9" t="s">
        <v>679</v>
      </c>
      <c r="D39" s="9" t="s">
        <v>604</v>
      </c>
      <c r="E39" s="49"/>
      <c r="F39" s="49"/>
      <c r="G39" s="49"/>
      <c r="H39" s="49"/>
      <c r="I39" s="49"/>
      <c r="J39" s="49"/>
      <c r="K39" s="49">
        <v>1.25</v>
      </c>
      <c r="L39" s="49"/>
      <c r="M39" s="49"/>
      <c r="N39" s="49">
        <v>0.13</v>
      </c>
      <c r="O39" s="49"/>
      <c r="P39" s="49">
        <v>1.5</v>
      </c>
      <c r="Q39" s="49">
        <v>0.65</v>
      </c>
      <c r="R39" s="49"/>
      <c r="S39" s="49"/>
      <c r="T39" s="49">
        <v>0.36</v>
      </c>
      <c r="U39" s="49"/>
      <c r="V39" s="49"/>
      <c r="W39" s="49"/>
      <c r="X39" s="49"/>
      <c r="Y39" s="49"/>
    </row>
    <row r="40" spans="1:25" s="7" customFormat="1" ht="15" customHeight="1">
      <c r="A40" s="12" t="s">
        <v>543</v>
      </c>
      <c r="B40" s="8" t="s">
        <v>600</v>
      </c>
      <c r="C40" s="9" t="s">
        <v>613</v>
      </c>
      <c r="D40" s="9" t="s">
        <v>603</v>
      </c>
      <c r="E40" s="49"/>
      <c r="F40" s="49"/>
      <c r="G40" s="49"/>
      <c r="H40" s="49"/>
      <c r="I40" s="49"/>
      <c r="J40" s="49"/>
      <c r="K40" s="49">
        <v>9</v>
      </c>
      <c r="L40" s="49"/>
      <c r="M40" s="49"/>
      <c r="N40" s="49">
        <v>13.05</v>
      </c>
      <c r="O40" s="49"/>
      <c r="P40" s="49">
        <v>26.64</v>
      </c>
      <c r="Q40" s="49">
        <v>1.31</v>
      </c>
      <c r="R40" s="49"/>
      <c r="S40" s="49"/>
      <c r="T40" s="49">
        <v>3.85</v>
      </c>
      <c r="U40" s="49"/>
      <c r="V40" s="49"/>
      <c r="W40" s="49"/>
      <c r="X40" s="49"/>
      <c r="Y40" s="49"/>
    </row>
    <row r="41" spans="1:25" s="7" customFormat="1" ht="15" customHeight="1">
      <c r="A41" s="12" t="s">
        <v>544</v>
      </c>
      <c r="B41" s="8" t="s">
        <v>600</v>
      </c>
      <c r="C41" s="9" t="s">
        <v>614</v>
      </c>
      <c r="D41" s="9" t="s">
        <v>603</v>
      </c>
      <c r="E41" s="49"/>
      <c r="F41" s="49"/>
      <c r="G41" s="49"/>
      <c r="H41" s="49"/>
      <c r="I41" s="49"/>
      <c r="J41" s="49"/>
      <c r="K41" s="49">
        <v>7</v>
      </c>
      <c r="L41" s="49"/>
      <c r="M41" s="49"/>
      <c r="N41" s="49">
        <v>5.7</v>
      </c>
      <c r="O41" s="49"/>
      <c r="P41" s="49">
        <v>17.64</v>
      </c>
      <c r="Q41" s="49">
        <v>1.27</v>
      </c>
      <c r="R41" s="49"/>
      <c r="S41" s="49"/>
      <c r="T41" s="49">
        <v>3.53</v>
      </c>
      <c r="U41" s="49"/>
      <c r="V41" s="49"/>
      <c r="W41" s="49"/>
      <c r="X41" s="49"/>
      <c r="Y41" s="49"/>
    </row>
    <row r="42" spans="1:25" s="7" customFormat="1" ht="15" customHeight="1">
      <c r="A42" s="12" t="s">
        <v>545</v>
      </c>
      <c r="B42" s="8" t="s">
        <v>600</v>
      </c>
      <c r="C42" s="9" t="s">
        <v>615</v>
      </c>
      <c r="D42" s="9" t="s">
        <v>603</v>
      </c>
      <c r="E42" s="49"/>
      <c r="F42" s="49"/>
      <c r="G42" s="49"/>
      <c r="H42" s="49"/>
      <c r="I42" s="49"/>
      <c r="J42" s="49"/>
      <c r="K42" s="49">
        <v>6</v>
      </c>
      <c r="L42" s="49"/>
      <c r="M42" s="49"/>
      <c r="N42" s="49">
        <v>4.7</v>
      </c>
      <c r="O42" s="49"/>
      <c r="P42" s="49">
        <v>14.57</v>
      </c>
      <c r="Q42" s="49">
        <v>1.27</v>
      </c>
      <c r="R42" s="49"/>
      <c r="S42" s="49"/>
      <c r="T42" s="49">
        <v>3.21</v>
      </c>
      <c r="U42" s="49"/>
      <c r="V42" s="49"/>
      <c r="W42" s="49"/>
      <c r="X42" s="49"/>
      <c r="Y42" s="49"/>
    </row>
    <row r="43" spans="1:25" s="7" customFormat="1" ht="15" customHeight="1">
      <c r="A43" s="12" t="s">
        <v>546</v>
      </c>
      <c r="B43" s="8" t="s">
        <v>600</v>
      </c>
      <c r="C43" s="9" t="s">
        <v>616</v>
      </c>
      <c r="D43" s="9" t="s">
        <v>604</v>
      </c>
      <c r="E43" s="49"/>
      <c r="F43" s="49"/>
      <c r="G43" s="49"/>
      <c r="H43" s="49"/>
      <c r="I43" s="49"/>
      <c r="J43" s="49"/>
      <c r="K43" s="49">
        <v>2.25</v>
      </c>
      <c r="L43" s="49"/>
      <c r="M43" s="49"/>
      <c r="N43" s="49">
        <v>0.34</v>
      </c>
      <c r="O43" s="49"/>
      <c r="P43" s="49">
        <v>1.5</v>
      </c>
      <c r="Q43" s="49">
        <v>0.65</v>
      </c>
      <c r="R43" s="49"/>
      <c r="S43" s="49"/>
      <c r="T43" s="49">
        <v>0.56000000000000005</v>
      </c>
      <c r="U43" s="49"/>
      <c r="V43" s="49"/>
      <c r="W43" s="49"/>
      <c r="X43" s="49"/>
      <c r="Y43" s="49"/>
    </row>
    <row r="44" spans="1:25" s="7" customFormat="1" ht="15" customHeight="1">
      <c r="A44" s="12" t="s">
        <v>547</v>
      </c>
      <c r="B44" s="8" t="s">
        <v>600</v>
      </c>
      <c r="C44" s="9" t="s">
        <v>617</v>
      </c>
      <c r="D44" s="9" t="s">
        <v>604</v>
      </c>
      <c r="E44" s="49"/>
      <c r="F44" s="49"/>
      <c r="G44" s="49"/>
      <c r="H44" s="49"/>
      <c r="I44" s="49"/>
      <c r="J44" s="49"/>
      <c r="K44" s="49">
        <v>1.75</v>
      </c>
      <c r="L44" s="49"/>
      <c r="M44" s="49"/>
      <c r="N44" s="49">
        <v>0.14000000000000001</v>
      </c>
      <c r="O44" s="49"/>
      <c r="P44" s="49">
        <v>1.5</v>
      </c>
      <c r="Q44" s="49">
        <v>0.65</v>
      </c>
      <c r="R44" s="49"/>
      <c r="S44" s="49"/>
      <c r="T44" s="49">
        <v>0.28999999999999998</v>
      </c>
      <c r="U44" s="49"/>
      <c r="V44" s="49"/>
      <c r="W44" s="49"/>
      <c r="X44" s="49"/>
      <c r="Y44" s="49"/>
    </row>
    <row r="45" spans="1:25" s="7" customFormat="1" ht="15" customHeight="1">
      <c r="A45" s="12" t="s">
        <v>548</v>
      </c>
      <c r="B45" s="8" t="s">
        <v>600</v>
      </c>
      <c r="C45" s="9" t="s">
        <v>618</v>
      </c>
      <c r="D45" s="9" t="s">
        <v>604</v>
      </c>
      <c r="E45" s="49"/>
      <c r="F45" s="49"/>
      <c r="G45" s="49"/>
      <c r="H45" s="49"/>
      <c r="I45" s="49"/>
      <c r="J45" s="49"/>
      <c r="K45" s="49">
        <v>1.25</v>
      </c>
      <c r="L45" s="49"/>
      <c r="M45" s="49"/>
      <c r="N45" s="49">
        <v>0.13</v>
      </c>
      <c r="O45" s="49"/>
      <c r="P45" s="49">
        <v>1.5</v>
      </c>
      <c r="Q45" s="49">
        <v>0.65</v>
      </c>
      <c r="R45" s="49"/>
      <c r="S45" s="49"/>
      <c r="T45" s="49">
        <v>0.14000000000000001</v>
      </c>
      <c r="U45" s="49"/>
      <c r="V45" s="49"/>
      <c r="W45" s="49"/>
      <c r="X45" s="49"/>
      <c r="Y45" s="49"/>
    </row>
    <row r="46" spans="1:25" s="7" customFormat="1" ht="15" customHeight="1">
      <c r="A46" s="12" t="s">
        <v>549</v>
      </c>
      <c r="B46" s="8" t="s">
        <v>600</v>
      </c>
      <c r="C46" s="9" t="s">
        <v>674</v>
      </c>
      <c r="D46" s="9" t="s">
        <v>603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spans="1:25" s="7" customFormat="1" ht="15" customHeight="1">
      <c r="A47" s="12" t="s">
        <v>550</v>
      </c>
      <c r="B47" s="8" t="s">
        <v>600</v>
      </c>
      <c r="C47" s="9" t="s">
        <v>675</v>
      </c>
      <c r="D47" s="9" t="s">
        <v>603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spans="1:25" s="7" customFormat="1" ht="15" customHeight="1">
      <c r="A48" s="12" t="s">
        <v>551</v>
      </c>
      <c r="B48" s="8" t="s">
        <v>600</v>
      </c>
      <c r="C48" s="9" t="s">
        <v>676</v>
      </c>
      <c r="D48" s="9" t="s">
        <v>603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spans="1:25" s="7" customFormat="1" ht="15" customHeight="1">
      <c r="A49" s="12"/>
      <c r="B49" s="6"/>
      <c r="C49" s="9"/>
      <c r="D49" s="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spans="1:25" s="7" customFormat="1" ht="15" customHeight="1">
      <c r="A50" s="12" t="s">
        <v>552</v>
      </c>
      <c r="B50" s="8" t="s">
        <v>601</v>
      </c>
      <c r="C50" s="9" t="s">
        <v>610</v>
      </c>
      <c r="D50" s="9" t="s">
        <v>603</v>
      </c>
      <c r="E50" s="49">
        <v>3.86</v>
      </c>
      <c r="F50" s="49"/>
      <c r="G50" s="49"/>
      <c r="H50" s="49"/>
      <c r="I50" s="49">
        <v>11.98</v>
      </c>
      <c r="J50" s="49">
        <v>3.74</v>
      </c>
      <c r="K50" s="49"/>
      <c r="L50" s="49">
        <v>7.18</v>
      </c>
      <c r="M50" s="49">
        <v>3.77</v>
      </c>
      <c r="N50" s="49">
        <v>5.26</v>
      </c>
      <c r="O50" s="49">
        <v>10.51</v>
      </c>
      <c r="P50" s="49"/>
      <c r="Q50" s="49">
        <v>10.42</v>
      </c>
      <c r="R50" s="49">
        <v>3.7</v>
      </c>
      <c r="S50" s="49">
        <v>3.89</v>
      </c>
      <c r="T50" s="49"/>
      <c r="U50" s="49"/>
      <c r="V50" s="49"/>
      <c r="W50" s="49"/>
      <c r="X50" s="49"/>
      <c r="Y50" s="49"/>
    </row>
    <row r="51" spans="1:25" s="7" customFormat="1" ht="15" customHeight="1">
      <c r="A51" s="12" t="s">
        <v>553</v>
      </c>
      <c r="B51" s="8" t="s">
        <v>601</v>
      </c>
      <c r="C51" s="9" t="s">
        <v>611</v>
      </c>
      <c r="D51" s="9" t="s">
        <v>603</v>
      </c>
      <c r="E51" s="49">
        <v>3.86</v>
      </c>
      <c r="F51" s="49"/>
      <c r="G51" s="49"/>
      <c r="H51" s="49"/>
      <c r="I51" s="49">
        <v>11.33</v>
      </c>
      <c r="J51" s="49">
        <v>3.72</v>
      </c>
      <c r="K51" s="49"/>
      <c r="L51" s="49">
        <v>7.18</v>
      </c>
      <c r="M51" s="49">
        <v>3.77</v>
      </c>
      <c r="N51" s="49">
        <v>5.1100000000000003</v>
      </c>
      <c r="O51" s="49">
        <v>9.44</v>
      </c>
      <c r="P51" s="49"/>
      <c r="Q51" s="49">
        <v>6.6</v>
      </c>
      <c r="R51" s="49">
        <v>3.7</v>
      </c>
      <c r="S51" s="49">
        <v>3.85</v>
      </c>
      <c r="T51" s="49"/>
      <c r="U51" s="49"/>
      <c r="V51" s="49"/>
      <c r="W51" s="49"/>
      <c r="X51" s="49"/>
      <c r="Y51" s="49"/>
    </row>
    <row r="52" spans="1:25" s="7" customFormat="1" ht="15" customHeight="1">
      <c r="A52" s="12" t="s">
        <v>554</v>
      </c>
      <c r="B52" s="8" t="s">
        <v>601</v>
      </c>
      <c r="C52" s="9" t="s">
        <v>612</v>
      </c>
      <c r="D52" s="9" t="s">
        <v>603</v>
      </c>
      <c r="E52" s="49">
        <v>3.86</v>
      </c>
      <c r="F52" s="49"/>
      <c r="G52" s="49"/>
      <c r="H52" s="49"/>
      <c r="I52" s="49">
        <v>11.06</v>
      </c>
      <c r="J52" s="49">
        <v>3.68</v>
      </c>
      <c r="K52" s="49"/>
      <c r="L52" s="49">
        <v>7.18</v>
      </c>
      <c r="M52" s="49">
        <v>3.77</v>
      </c>
      <c r="N52" s="49">
        <v>4.6399999999999997</v>
      </c>
      <c r="O52" s="49">
        <v>8.99</v>
      </c>
      <c r="P52" s="49"/>
      <c r="Q52" s="49">
        <v>5.95</v>
      </c>
      <c r="R52" s="49">
        <v>3.7</v>
      </c>
      <c r="S52" s="49">
        <v>3.81</v>
      </c>
      <c r="T52" s="49"/>
      <c r="U52" s="49"/>
      <c r="V52" s="49"/>
      <c r="W52" s="49"/>
      <c r="X52" s="49"/>
      <c r="Y52" s="49"/>
    </row>
    <row r="53" spans="1:25" s="7" customFormat="1" ht="15" customHeight="1">
      <c r="A53" s="12" t="s">
        <v>555</v>
      </c>
      <c r="B53" s="8" t="s">
        <v>601</v>
      </c>
      <c r="C53" s="9" t="s">
        <v>677</v>
      </c>
      <c r="D53" s="9" t="s">
        <v>604</v>
      </c>
      <c r="E53" s="49">
        <v>0</v>
      </c>
      <c r="F53" s="49"/>
      <c r="G53" s="49"/>
      <c r="H53" s="49"/>
      <c r="I53" s="49">
        <v>1.63</v>
      </c>
      <c r="J53" s="49">
        <v>0</v>
      </c>
      <c r="K53" s="49"/>
      <c r="L53" s="49"/>
      <c r="M53" s="49"/>
      <c r="N53" s="49">
        <v>0.34</v>
      </c>
      <c r="O53" s="49">
        <v>0.62</v>
      </c>
      <c r="P53" s="49"/>
      <c r="Q53" s="49">
        <v>0.65</v>
      </c>
      <c r="R53" s="49"/>
      <c r="S53" s="49"/>
      <c r="T53" s="49"/>
      <c r="U53" s="49"/>
      <c r="V53" s="49"/>
      <c r="W53" s="49"/>
      <c r="X53" s="49"/>
      <c r="Y53" s="49"/>
    </row>
    <row r="54" spans="1:25" s="7" customFormat="1" ht="15" customHeight="1">
      <c r="A54" s="12" t="s">
        <v>556</v>
      </c>
      <c r="B54" s="8" t="s">
        <v>601</v>
      </c>
      <c r="C54" s="9" t="s">
        <v>678</v>
      </c>
      <c r="D54" s="9" t="s">
        <v>604</v>
      </c>
      <c r="E54" s="49">
        <v>0</v>
      </c>
      <c r="F54" s="49"/>
      <c r="G54" s="49"/>
      <c r="H54" s="49"/>
      <c r="I54" s="49">
        <v>1.42</v>
      </c>
      <c r="J54" s="49">
        <v>0</v>
      </c>
      <c r="K54" s="49"/>
      <c r="L54" s="49"/>
      <c r="M54" s="49"/>
      <c r="N54" s="49">
        <v>0.14000000000000001</v>
      </c>
      <c r="O54" s="49">
        <v>0.54</v>
      </c>
      <c r="P54" s="49"/>
      <c r="Q54" s="49">
        <v>0.65</v>
      </c>
      <c r="R54" s="49"/>
      <c r="S54" s="49"/>
      <c r="T54" s="49"/>
      <c r="U54" s="49"/>
      <c r="V54" s="49"/>
      <c r="W54" s="49"/>
      <c r="X54" s="49"/>
      <c r="Y54" s="49"/>
    </row>
    <row r="55" spans="1:25" s="7" customFormat="1" ht="15" customHeight="1">
      <c r="A55" s="12" t="s">
        <v>557</v>
      </c>
      <c r="B55" s="8" t="s">
        <v>601</v>
      </c>
      <c r="C55" s="9" t="s">
        <v>679</v>
      </c>
      <c r="D55" s="9" t="s">
        <v>604</v>
      </c>
      <c r="E55" s="49">
        <v>0</v>
      </c>
      <c r="F55" s="49"/>
      <c r="G55" s="49"/>
      <c r="H55" s="49"/>
      <c r="I55" s="49">
        <v>1.36</v>
      </c>
      <c r="J55" s="49">
        <v>0</v>
      </c>
      <c r="K55" s="49"/>
      <c r="L55" s="49"/>
      <c r="M55" s="49"/>
      <c r="N55" s="49">
        <v>0.13</v>
      </c>
      <c r="O55" s="49">
        <v>0.42</v>
      </c>
      <c r="P55" s="49"/>
      <c r="Q55" s="49">
        <v>0.65</v>
      </c>
      <c r="R55" s="49"/>
      <c r="S55" s="49"/>
      <c r="T55" s="49"/>
      <c r="U55" s="49"/>
      <c r="V55" s="49"/>
      <c r="W55" s="49"/>
      <c r="X55" s="49"/>
      <c r="Y55" s="49"/>
    </row>
    <row r="56" spans="1:25" s="7" customFormat="1" ht="15" customHeight="1">
      <c r="A56" s="12" t="s">
        <v>558</v>
      </c>
      <c r="B56" s="8" t="s">
        <v>601</v>
      </c>
      <c r="C56" s="9" t="s">
        <v>613</v>
      </c>
      <c r="D56" s="9" t="s">
        <v>603</v>
      </c>
      <c r="E56" s="49">
        <v>1.45</v>
      </c>
      <c r="F56" s="49"/>
      <c r="G56" s="49"/>
      <c r="H56" s="49"/>
      <c r="I56" s="49">
        <v>7.86</v>
      </c>
      <c r="J56" s="49">
        <v>1.85</v>
      </c>
      <c r="K56" s="49"/>
      <c r="L56" s="49">
        <v>1.79</v>
      </c>
      <c r="M56" s="49">
        <v>1.42</v>
      </c>
      <c r="N56" s="49">
        <v>13.05</v>
      </c>
      <c r="O56" s="49">
        <v>2.66</v>
      </c>
      <c r="P56" s="49"/>
      <c r="Q56" s="49">
        <v>1.21</v>
      </c>
      <c r="R56" s="49">
        <v>1.83</v>
      </c>
      <c r="S56" s="49">
        <v>1.92</v>
      </c>
      <c r="T56" s="49"/>
      <c r="U56" s="49"/>
      <c r="V56" s="49"/>
      <c r="W56" s="49"/>
      <c r="X56" s="49"/>
      <c r="Y56" s="49"/>
    </row>
    <row r="57" spans="1:25" s="7" customFormat="1" ht="15" customHeight="1">
      <c r="A57" s="12" t="s">
        <v>559</v>
      </c>
      <c r="B57" s="8" t="s">
        <v>601</v>
      </c>
      <c r="C57" s="9" t="s">
        <v>614</v>
      </c>
      <c r="D57" s="9" t="s">
        <v>603</v>
      </c>
      <c r="E57" s="49">
        <v>1.45</v>
      </c>
      <c r="F57" s="49"/>
      <c r="G57" s="49"/>
      <c r="H57" s="49"/>
      <c r="I57" s="49">
        <v>7.12</v>
      </c>
      <c r="J57" s="49">
        <v>1.84</v>
      </c>
      <c r="K57" s="49"/>
      <c r="L57" s="49">
        <v>1.79</v>
      </c>
      <c r="M57" s="49">
        <v>1.42</v>
      </c>
      <c r="N57" s="49">
        <v>5.7</v>
      </c>
      <c r="O57" s="49">
        <v>2.66</v>
      </c>
      <c r="P57" s="49"/>
      <c r="Q57" s="49">
        <v>1.1399999999999999</v>
      </c>
      <c r="R57" s="49">
        <v>1.83</v>
      </c>
      <c r="S57" s="49">
        <v>1.9</v>
      </c>
      <c r="T57" s="49"/>
      <c r="U57" s="49"/>
      <c r="V57" s="49"/>
      <c r="W57" s="49"/>
      <c r="X57" s="49"/>
      <c r="Y57" s="49"/>
    </row>
    <row r="58" spans="1:25" s="7" customFormat="1" ht="15" customHeight="1">
      <c r="A58" s="12" t="s">
        <v>560</v>
      </c>
      <c r="B58" s="8" t="s">
        <v>601</v>
      </c>
      <c r="C58" s="9" t="s">
        <v>615</v>
      </c>
      <c r="D58" s="9" t="s">
        <v>603</v>
      </c>
      <c r="E58" s="49">
        <v>1.45</v>
      </c>
      <c r="F58" s="49"/>
      <c r="G58" s="49"/>
      <c r="H58" s="49"/>
      <c r="I58" s="49">
        <v>6.77</v>
      </c>
      <c r="J58" s="49">
        <v>1.82</v>
      </c>
      <c r="K58" s="49"/>
      <c r="L58" s="49">
        <v>1.79</v>
      </c>
      <c r="M58" s="49">
        <v>1.42</v>
      </c>
      <c r="N58" s="49">
        <v>4.7</v>
      </c>
      <c r="O58" s="49">
        <v>2.66</v>
      </c>
      <c r="P58" s="49"/>
      <c r="Q58" s="49">
        <v>1.1399999999999999</v>
      </c>
      <c r="R58" s="49">
        <v>1.83</v>
      </c>
      <c r="S58" s="49">
        <v>1.88</v>
      </c>
      <c r="T58" s="49"/>
      <c r="U58" s="49"/>
      <c r="V58" s="49"/>
      <c r="W58" s="49"/>
      <c r="X58" s="49"/>
      <c r="Y58" s="49"/>
    </row>
    <row r="59" spans="1:25" s="7" customFormat="1" ht="15" customHeight="1">
      <c r="A59" s="12" t="s">
        <v>561</v>
      </c>
      <c r="B59" s="8" t="s">
        <v>601</v>
      </c>
      <c r="C59" s="9" t="s">
        <v>616</v>
      </c>
      <c r="D59" s="9" t="s">
        <v>604</v>
      </c>
      <c r="E59" s="49">
        <v>0</v>
      </c>
      <c r="F59" s="49"/>
      <c r="G59" s="49"/>
      <c r="H59" s="49"/>
      <c r="I59" s="49">
        <v>0</v>
      </c>
      <c r="J59" s="49">
        <v>0</v>
      </c>
      <c r="K59" s="49"/>
      <c r="L59" s="49"/>
      <c r="M59" s="49">
        <v>0</v>
      </c>
      <c r="N59" s="49">
        <v>0.34</v>
      </c>
      <c r="O59" s="49">
        <v>0.71</v>
      </c>
      <c r="P59" s="49"/>
      <c r="Q59" s="49">
        <v>0.65</v>
      </c>
      <c r="R59" s="49">
        <v>0</v>
      </c>
      <c r="S59" s="49"/>
      <c r="T59" s="49"/>
      <c r="U59" s="49"/>
      <c r="V59" s="49"/>
      <c r="W59" s="49"/>
      <c r="X59" s="49"/>
      <c r="Y59" s="49"/>
    </row>
    <row r="60" spans="1:25" s="7" customFormat="1" ht="15" customHeight="1">
      <c r="A60" s="12" t="s">
        <v>562</v>
      </c>
      <c r="B60" s="8" t="s">
        <v>601</v>
      </c>
      <c r="C60" s="9" t="s">
        <v>617</v>
      </c>
      <c r="D60" s="9" t="s">
        <v>604</v>
      </c>
      <c r="E60" s="49">
        <v>0</v>
      </c>
      <c r="F60" s="49"/>
      <c r="G60" s="49"/>
      <c r="H60" s="49"/>
      <c r="I60" s="49">
        <v>0</v>
      </c>
      <c r="J60" s="49">
        <v>0</v>
      </c>
      <c r="K60" s="49"/>
      <c r="L60" s="49"/>
      <c r="M60" s="49">
        <v>0</v>
      </c>
      <c r="N60" s="49">
        <v>0.14000000000000001</v>
      </c>
      <c r="O60" s="49">
        <v>0.65</v>
      </c>
      <c r="P60" s="49"/>
      <c r="Q60" s="49">
        <v>0.65</v>
      </c>
      <c r="R60" s="49">
        <v>0</v>
      </c>
      <c r="S60" s="49"/>
      <c r="T60" s="49"/>
      <c r="U60" s="49"/>
      <c r="V60" s="49"/>
      <c r="W60" s="49"/>
      <c r="X60" s="49"/>
      <c r="Y60" s="49"/>
    </row>
    <row r="61" spans="1:25" s="7" customFormat="1" ht="15" customHeight="1">
      <c r="A61" s="12" t="s">
        <v>563</v>
      </c>
      <c r="B61" s="8" t="s">
        <v>601</v>
      </c>
      <c r="C61" s="9" t="s">
        <v>618</v>
      </c>
      <c r="D61" s="9" t="s">
        <v>604</v>
      </c>
      <c r="E61" s="49">
        <v>0</v>
      </c>
      <c r="F61" s="49"/>
      <c r="G61" s="49"/>
      <c r="H61" s="49"/>
      <c r="I61" s="49">
        <v>0</v>
      </c>
      <c r="J61" s="49">
        <v>0</v>
      </c>
      <c r="K61" s="49"/>
      <c r="L61" s="49"/>
      <c r="M61" s="49">
        <v>0</v>
      </c>
      <c r="N61" s="49">
        <v>0.13</v>
      </c>
      <c r="O61" s="49">
        <v>0.6</v>
      </c>
      <c r="P61" s="49"/>
      <c r="Q61" s="49">
        <v>0.65</v>
      </c>
      <c r="R61" s="49">
        <v>0</v>
      </c>
      <c r="S61" s="49"/>
      <c r="T61" s="49"/>
      <c r="U61" s="49"/>
      <c r="V61" s="49"/>
      <c r="W61" s="49"/>
      <c r="X61" s="49"/>
      <c r="Y61" s="49"/>
    </row>
    <row r="62" spans="1:25" s="7" customFormat="1" ht="15" customHeight="1">
      <c r="A62" s="12" t="s">
        <v>564</v>
      </c>
      <c r="B62" s="8" t="s">
        <v>601</v>
      </c>
      <c r="C62" s="9" t="s">
        <v>674</v>
      </c>
      <c r="D62" s="9" t="s">
        <v>603</v>
      </c>
      <c r="E62" s="49">
        <v>7.54</v>
      </c>
      <c r="F62" s="49"/>
      <c r="G62" s="49"/>
      <c r="H62" s="49"/>
      <c r="I62" s="49">
        <v>9.2100000000000009</v>
      </c>
      <c r="J62" s="49">
        <v>14.63</v>
      </c>
      <c r="K62" s="49"/>
      <c r="L62" s="49">
        <v>10.24</v>
      </c>
      <c r="M62" s="49">
        <v>7.43</v>
      </c>
      <c r="N62" s="49">
        <v>4.91</v>
      </c>
      <c r="O62" s="49">
        <v>5.16</v>
      </c>
      <c r="P62" s="49"/>
      <c r="Q62" s="49">
        <v>8.59</v>
      </c>
      <c r="R62" s="49">
        <v>6.86</v>
      </c>
      <c r="S62" s="49">
        <v>7.13</v>
      </c>
      <c r="T62" s="49"/>
      <c r="U62" s="49"/>
      <c r="V62" s="49"/>
      <c r="W62" s="49"/>
      <c r="X62" s="49"/>
      <c r="Y62" s="49"/>
    </row>
    <row r="63" spans="1:25" s="7" customFormat="1" ht="15" customHeight="1">
      <c r="A63" s="12" t="s">
        <v>565</v>
      </c>
      <c r="B63" s="8" t="s">
        <v>601</v>
      </c>
      <c r="C63" s="9" t="s">
        <v>675</v>
      </c>
      <c r="D63" s="9" t="s">
        <v>603</v>
      </c>
      <c r="E63" s="49">
        <v>6.96</v>
      </c>
      <c r="F63" s="49"/>
      <c r="G63" s="49"/>
      <c r="H63" s="49"/>
      <c r="I63" s="49">
        <v>8.1199999999999992</v>
      </c>
      <c r="J63" s="49">
        <v>14.63</v>
      </c>
      <c r="K63" s="49"/>
      <c r="L63" s="49">
        <v>8.59</v>
      </c>
      <c r="M63" s="49">
        <v>6.85</v>
      </c>
      <c r="N63" s="49">
        <v>4.91</v>
      </c>
      <c r="O63" s="49">
        <v>5.1100000000000003</v>
      </c>
      <c r="P63" s="49"/>
      <c r="Q63" s="49">
        <v>3.63</v>
      </c>
      <c r="R63" s="49">
        <v>6.29</v>
      </c>
      <c r="S63" s="49">
        <v>6.58</v>
      </c>
      <c r="T63" s="49"/>
      <c r="U63" s="49"/>
      <c r="V63" s="49"/>
      <c r="W63" s="49"/>
      <c r="X63" s="49"/>
      <c r="Y63" s="49"/>
    </row>
    <row r="64" spans="1:25" s="7" customFormat="1" ht="15" customHeight="1">
      <c r="A64" s="12" t="s">
        <v>566</v>
      </c>
      <c r="B64" s="8" t="s">
        <v>601</v>
      </c>
      <c r="C64" s="9" t="s">
        <v>676</v>
      </c>
      <c r="D64" s="9" t="s">
        <v>603</v>
      </c>
      <c r="E64" s="49">
        <v>6.38</v>
      </c>
      <c r="F64" s="49"/>
      <c r="G64" s="49"/>
      <c r="H64" s="49"/>
      <c r="I64" s="49">
        <v>6.95</v>
      </c>
      <c r="J64" s="49">
        <v>14.63</v>
      </c>
      <c r="K64" s="49"/>
      <c r="L64" s="49">
        <v>7.17</v>
      </c>
      <c r="M64" s="49">
        <v>6.28</v>
      </c>
      <c r="N64" s="49">
        <v>4.91</v>
      </c>
      <c r="O64" s="49">
        <v>5.1100000000000003</v>
      </c>
      <c r="P64" s="49"/>
      <c r="Q64" s="49">
        <v>3</v>
      </c>
      <c r="R64" s="49">
        <v>5.72</v>
      </c>
      <c r="S64" s="49">
        <v>6.03</v>
      </c>
      <c r="T64" s="49"/>
      <c r="U64" s="49"/>
      <c r="V64" s="49"/>
      <c r="W64" s="49"/>
      <c r="X64" s="49"/>
      <c r="Y64" s="49"/>
    </row>
    <row r="65" spans="1:25" s="7" customFormat="1" ht="15" customHeight="1">
      <c r="A65" s="12"/>
      <c r="B65" s="8"/>
      <c r="C65" s="9"/>
      <c r="D65" s="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s="7" customFormat="1" ht="15" customHeight="1">
      <c r="A66" s="12" t="s">
        <v>567</v>
      </c>
      <c r="B66" s="8" t="s">
        <v>598</v>
      </c>
      <c r="C66" s="9" t="s">
        <v>609</v>
      </c>
      <c r="D66" s="9" t="s">
        <v>605</v>
      </c>
      <c r="E66" s="49">
        <v>3.86</v>
      </c>
      <c r="F66" s="49"/>
      <c r="G66" s="49"/>
      <c r="H66" s="49">
        <v>15.34</v>
      </c>
      <c r="I66" s="49"/>
      <c r="J66" s="49">
        <v>0</v>
      </c>
      <c r="K66" s="49"/>
      <c r="L66" s="49"/>
      <c r="M66" s="49">
        <v>3.96</v>
      </c>
      <c r="N66" s="49">
        <v>5.67</v>
      </c>
      <c r="O66" s="49">
        <v>5.53</v>
      </c>
      <c r="P66" s="49">
        <v>20.55</v>
      </c>
      <c r="Q66" s="49">
        <v>22.11</v>
      </c>
      <c r="R66" s="49">
        <v>3.7</v>
      </c>
      <c r="S66" s="49">
        <v>3.89</v>
      </c>
      <c r="T66" s="49">
        <v>32.03</v>
      </c>
      <c r="U66" s="49">
        <v>0</v>
      </c>
      <c r="V66" s="49"/>
      <c r="W66" s="49"/>
      <c r="X66" s="49"/>
      <c r="Y66" s="49">
        <v>0</v>
      </c>
    </row>
    <row r="67" spans="1:25" s="7" customFormat="1" ht="15" customHeight="1">
      <c r="A67" s="12" t="s">
        <v>568</v>
      </c>
      <c r="B67" s="8" t="s">
        <v>598</v>
      </c>
      <c r="C67" s="9" t="s">
        <v>619</v>
      </c>
      <c r="D67" s="9" t="s">
        <v>605</v>
      </c>
      <c r="E67" s="49">
        <v>3.86</v>
      </c>
      <c r="F67" s="49"/>
      <c r="G67" s="49"/>
      <c r="H67" s="49">
        <v>14.38</v>
      </c>
      <c r="I67" s="49"/>
      <c r="J67" s="49">
        <v>0</v>
      </c>
      <c r="K67" s="49"/>
      <c r="L67" s="49"/>
      <c r="M67" s="49">
        <v>3.96</v>
      </c>
      <c r="N67" s="49">
        <v>3.25</v>
      </c>
      <c r="O67" s="49">
        <v>4.0599999999999996</v>
      </c>
      <c r="P67" s="49">
        <v>12.33</v>
      </c>
      <c r="Q67" s="49">
        <v>20.45</v>
      </c>
      <c r="R67" s="49">
        <v>3.7</v>
      </c>
      <c r="S67" s="49">
        <v>3.85</v>
      </c>
      <c r="T67" s="49">
        <v>25.79</v>
      </c>
      <c r="U67" s="49">
        <v>0</v>
      </c>
      <c r="V67" s="49"/>
      <c r="W67" s="49"/>
      <c r="X67" s="49"/>
      <c r="Y67" s="49">
        <v>0</v>
      </c>
    </row>
    <row r="68" spans="1:25" s="7" customFormat="1" ht="15" customHeight="1">
      <c r="A68" s="12" t="s">
        <v>569</v>
      </c>
      <c r="B68" s="8" t="s">
        <v>598</v>
      </c>
      <c r="C68" s="9" t="s">
        <v>620</v>
      </c>
      <c r="D68" s="9" t="s">
        <v>605</v>
      </c>
      <c r="E68" s="49">
        <v>3.86</v>
      </c>
      <c r="F68" s="49"/>
      <c r="G68" s="49"/>
      <c r="H68" s="49">
        <v>12.75</v>
      </c>
      <c r="I68" s="49"/>
      <c r="J68" s="49">
        <v>0</v>
      </c>
      <c r="K68" s="49"/>
      <c r="L68" s="49"/>
      <c r="M68" s="49">
        <v>3.96</v>
      </c>
      <c r="N68" s="49">
        <v>3.25</v>
      </c>
      <c r="O68" s="49">
        <v>3.28</v>
      </c>
      <c r="P68" s="49">
        <v>9.76</v>
      </c>
      <c r="Q68" s="49">
        <v>19.54</v>
      </c>
      <c r="R68" s="49">
        <v>3.7</v>
      </c>
      <c r="S68" s="49">
        <v>3.81</v>
      </c>
      <c r="T68" s="49">
        <v>24.59</v>
      </c>
      <c r="U68" s="49">
        <v>0</v>
      </c>
      <c r="V68" s="49"/>
      <c r="W68" s="49"/>
      <c r="X68" s="49"/>
      <c r="Y68" s="49">
        <v>0</v>
      </c>
    </row>
    <row r="69" spans="1:25" s="7" customFormat="1" ht="15" customHeight="1">
      <c r="A69" s="12" t="s">
        <v>570</v>
      </c>
      <c r="B69" s="8" t="s">
        <v>598</v>
      </c>
      <c r="C69" s="9" t="s">
        <v>656</v>
      </c>
      <c r="D69" s="9" t="s">
        <v>604</v>
      </c>
      <c r="E69" s="49"/>
      <c r="F69" s="49"/>
      <c r="G69" s="49"/>
      <c r="H69" s="49">
        <v>0.82</v>
      </c>
      <c r="I69" s="49"/>
      <c r="J69" s="49">
        <v>0</v>
      </c>
      <c r="K69" s="49"/>
      <c r="L69" s="49"/>
      <c r="M69" s="49"/>
      <c r="N69" s="49">
        <v>0.34</v>
      </c>
      <c r="O69" s="49">
        <v>0.64</v>
      </c>
      <c r="P69" s="49">
        <v>1.5</v>
      </c>
      <c r="Q69" s="49">
        <v>0.65</v>
      </c>
      <c r="R69" s="49"/>
      <c r="S69" s="49"/>
      <c r="T69" s="49">
        <v>0.23</v>
      </c>
      <c r="U69" s="49"/>
      <c r="V69" s="49"/>
      <c r="W69" s="49"/>
      <c r="X69" s="49"/>
      <c r="Y69" s="49">
        <v>0</v>
      </c>
    </row>
    <row r="70" spans="1:25" s="7" customFormat="1" ht="15" customHeight="1">
      <c r="A70" s="12" t="s">
        <v>571</v>
      </c>
      <c r="B70" s="8" t="s">
        <v>598</v>
      </c>
      <c r="C70" s="9" t="s">
        <v>657</v>
      </c>
      <c r="D70" s="9" t="s">
        <v>604</v>
      </c>
      <c r="E70" s="49"/>
      <c r="F70" s="49"/>
      <c r="G70" s="49"/>
      <c r="H70" s="49">
        <v>0.82</v>
      </c>
      <c r="I70" s="49"/>
      <c r="J70" s="49">
        <v>0</v>
      </c>
      <c r="K70" s="49"/>
      <c r="L70" s="49"/>
      <c r="M70" s="49"/>
      <c r="N70" s="49">
        <v>0.14000000000000001</v>
      </c>
      <c r="O70" s="49">
        <v>0.51</v>
      </c>
      <c r="P70" s="49">
        <v>1.5</v>
      </c>
      <c r="Q70" s="49">
        <v>0.65</v>
      </c>
      <c r="R70" s="49"/>
      <c r="S70" s="49"/>
      <c r="T70" s="49">
        <v>0.15</v>
      </c>
      <c r="U70" s="49"/>
      <c r="V70" s="49"/>
      <c r="W70" s="49"/>
      <c r="X70" s="49"/>
      <c r="Y70" s="49">
        <v>0</v>
      </c>
    </row>
    <row r="71" spans="1:25" s="7" customFormat="1" ht="15" customHeight="1">
      <c r="A71" s="12" t="s">
        <v>572</v>
      </c>
      <c r="B71" s="8" t="s">
        <v>598</v>
      </c>
      <c r="C71" s="9" t="s">
        <v>658</v>
      </c>
      <c r="D71" s="9" t="s">
        <v>604</v>
      </c>
      <c r="E71" s="49"/>
      <c r="F71" s="49"/>
      <c r="G71" s="49"/>
      <c r="H71" s="49">
        <v>0.82</v>
      </c>
      <c r="I71" s="49"/>
      <c r="J71" s="49">
        <v>0</v>
      </c>
      <c r="K71" s="49"/>
      <c r="L71" s="49"/>
      <c r="M71" s="49"/>
      <c r="N71" s="49">
        <v>0.13</v>
      </c>
      <c r="O71" s="49">
        <v>0.38</v>
      </c>
      <c r="P71" s="49">
        <v>1.5</v>
      </c>
      <c r="Q71" s="49">
        <v>0.65</v>
      </c>
      <c r="R71" s="49"/>
      <c r="S71" s="49"/>
      <c r="T71" s="49">
        <v>0.11</v>
      </c>
      <c r="U71" s="49"/>
      <c r="V71" s="49"/>
      <c r="W71" s="49"/>
      <c r="X71" s="49"/>
      <c r="Y71" s="49">
        <v>0</v>
      </c>
    </row>
    <row r="72" spans="1:25" s="7" customFormat="1" ht="15" customHeight="1">
      <c r="A72" s="12"/>
      <c r="B72" s="8"/>
      <c r="C72" s="9"/>
      <c r="D72" s="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s="7" customFormat="1" ht="15" customHeight="1">
      <c r="A73" s="12" t="s">
        <v>573</v>
      </c>
      <c r="B73" s="8" t="s">
        <v>602</v>
      </c>
      <c r="C73" s="9" t="s">
        <v>609</v>
      </c>
      <c r="D73" s="9" t="s">
        <v>605</v>
      </c>
      <c r="E73" s="49"/>
      <c r="F73" s="49">
        <v>0</v>
      </c>
      <c r="G73" s="49"/>
      <c r="H73" s="49">
        <v>21.6</v>
      </c>
      <c r="I73" s="49"/>
      <c r="J73" s="49"/>
      <c r="K73" s="49">
        <v>17</v>
      </c>
      <c r="L73" s="49">
        <v>0</v>
      </c>
      <c r="M73" s="49"/>
      <c r="N73" s="49">
        <v>5.67</v>
      </c>
      <c r="O73" s="49">
        <v>5.98</v>
      </c>
      <c r="P73" s="49">
        <v>35.96</v>
      </c>
      <c r="Q73" s="49">
        <v>24.23</v>
      </c>
      <c r="R73" s="49"/>
      <c r="S73" s="49"/>
      <c r="T73" s="49">
        <v>32.03</v>
      </c>
      <c r="U73" s="49"/>
      <c r="V73" s="49">
        <v>0</v>
      </c>
      <c r="W73" s="49"/>
      <c r="X73" s="49">
        <v>0</v>
      </c>
      <c r="Y73" s="49"/>
    </row>
    <row r="74" spans="1:25" s="7" customFormat="1" ht="15" customHeight="1">
      <c r="A74" s="12" t="s">
        <v>574</v>
      </c>
      <c r="B74" s="8" t="s">
        <v>602</v>
      </c>
      <c r="C74" s="9" t="s">
        <v>619</v>
      </c>
      <c r="D74" s="9" t="s">
        <v>605</v>
      </c>
      <c r="E74" s="49"/>
      <c r="F74" s="49">
        <v>0</v>
      </c>
      <c r="G74" s="49"/>
      <c r="H74" s="49">
        <v>20.25</v>
      </c>
      <c r="I74" s="49"/>
      <c r="J74" s="49"/>
      <c r="K74" s="49">
        <v>14</v>
      </c>
      <c r="L74" s="49">
        <v>0</v>
      </c>
      <c r="M74" s="49"/>
      <c r="N74" s="49">
        <v>3.25</v>
      </c>
      <c r="O74" s="49">
        <v>4.28</v>
      </c>
      <c r="P74" s="49">
        <v>18.5</v>
      </c>
      <c r="Q74" s="49">
        <v>22.6</v>
      </c>
      <c r="R74" s="49"/>
      <c r="S74" s="49"/>
      <c r="T74" s="49">
        <v>25.79</v>
      </c>
      <c r="U74" s="49"/>
      <c r="V74" s="49">
        <v>0</v>
      </c>
      <c r="W74" s="49"/>
      <c r="X74" s="49">
        <v>0</v>
      </c>
      <c r="Y74" s="49"/>
    </row>
    <row r="75" spans="1:25" s="7" customFormat="1" ht="15" customHeight="1">
      <c r="A75" s="12" t="s">
        <v>575</v>
      </c>
      <c r="B75" s="8" t="s">
        <v>602</v>
      </c>
      <c r="C75" s="9" t="s">
        <v>620</v>
      </c>
      <c r="D75" s="9" t="s">
        <v>605</v>
      </c>
      <c r="E75" s="49"/>
      <c r="F75" s="49">
        <v>0</v>
      </c>
      <c r="G75" s="49"/>
      <c r="H75" s="49">
        <v>18.61</v>
      </c>
      <c r="I75" s="49"/>
      <c r="J75" s="49"/>
      <c r="K75" s="49">
        <v>11</v>
      </c>
      <c r="L75" s="49">
        <v>0</v>
      </c>
      <c r="M75" s="49"/>
      <c r="N75" s="49">
        <v>3.25</v>
      </c>
      <c r="O75" s="49">
        <v>3.39</v>
      </c>
      <c r="P75" s="49">
        <v>14.39</v>
      </c>
      <c r="Q75" s="49">
        <v>21.5</v>
      </c>
      <c r="R75" s="49"/>
      <c r="S75" s="49"/>
      <c r="T75" s="49">
        <v>24.59</v>
      </c>
      <c r="U75" s="49"/>
      <c r="V75" s="49">
        <v>0</v>
      </c>
      <c r="W75" s="49"/>
      <c r="X75" s="49">
        <v>0</v>
      </c>
      <c r="Y75" s="49"/>
    </row>
    <row r="76" spans="1:25" s="7" customFormat="1" ht="15" customHeight="1">
      <c r="A76" s="12" t="s">
        <v>576</v>
      </c>
      <c r="B76" s="8" t="s">
        <v>602</v>
      </c>
      <c r="C76" s="9" t="s">
        <v>656</v>
      </c>
      <c r="D76" s="9" t="s">
        <v>604</v>
      </c>
      <c r="E76" s="49"/>
      <c r="F76" s="49">
        <v>2.34</v>
      </c>
      <c r="G76" s="49"/>
      <c r="H76" s="49">
        <v>1.19</v>
      </c>
      <c r="I76" s="49"/>
      <c r="J76" s="49"/>
      <c r="K76" s="49">
        <v>2.25</v>
      </c>
      <c r="L76" s="49">
        <v>2.4700000000000002</v>
      </c>
      <c r="M76" s="49"/>
      <c r="N76" s="49">
        <v>0.34</v>
      </c>
      <c r="O76" s="49">
        <v>0.78</v>
      </c>
      <c r="P76" s="49">
        <v>1.5</v>
      </c>
      <c r="Q76" s="49">
        <v>0.87</v>
      </c>
      <c r="R76" s="49"/>
      <c r="S76" s="49"/>
      <c r="T76" s="49">
        <v>0.25</v>
      </c>
      <c r="U76" s="49"/>
      <c r="V76" s="49">
        <v>2.38</v>
      </c>
      <c r="W76" s="49"/>
      <c r="X76" s="49">
        <v>2.52</v>
      </c>
      <c r="Y76" s="49"/>
    </row>
    <row r="77" spans="1:25" s="7" customFormat="1" ht="15" customHeight="1">
      <c r="A77" s="12" t="s">
        <v>577</v>
      </c>
      <c r="B77" s="8" t="s">
        <v>602</v>
      </c>
      <c r="C77" s="9" t="s">
        <v>657</v>
      </c>
      <c r="D77" s="9" t="s">
        <v>604</v>
      </c>
      <c r="E77" s="49"/>
      <c r="F77" s="49">
        <v>2.34</v>
      </c>
      <c r="G77" s="49"/>
      <c r="H77" s="49">
        <v>1.19</v>
      </c>
      <c r="I77" s="49"/>
      <c r="J77" s="49"/>
      <c r="K77" s="49">
        <v>1.75</v>
      </c>
      <c r="L77" s="49">
        <v>2.4700000000000002</v>
      </c>
      <c r="M77" s="49"/>
      <c r="N77" s="49">
        <v>0.14000000000000001</v>
      </c>
      <c r="O77" s="49">
        <v>0.62</v>
      </c>
      <c r="P77" s="49">
        <v>1.5</v>
      </c>
      <c r="Q77" s="49">
        <v>0.87</v>
      </c>
      <c r="R77" s="49"/>
      <c r="S77" s="49"/>
      <c r="T77" s="49">
        <v>0.17</v>
      </c>
      <c r="U77" s="49"/>
      <c r="V77" s="49">
        <v>2.38</v>
      </c>
      <c r="W77" s="49"/>
      <c r="X77" s="49">
        <v>2.52</v>
      </c>
      <c r="Y77" s="49"/>
    </row>
    <row r="78" spans="1:25" s="7" customFormat="1" ht="15" customHeight="1">
      <c r="A78" s="12" t="s">
        <v>578</v>
      </c>
      <c r="B78" s="8" t="s">
        <v>602</v>
      </c>
      <c r="C78" s="9" t="s">
        <v>658</v>
      </c>
      <c r="D78" s="9" t="s">
        <v>604</v>
      </c>
      <c r="E78" s="49"/>
      <c r="F78" s="49">
        <v>2.34</v>
      </c>
      <c r="G78" s="49"/>
      <c r="H78" s="49">
        <v>1.19</v>
      </c>
      <c r="I78" s="49"/>
      <c r="J78" s="49"/>
      <c r="K78" s="49">
        <v>1.25</v>
      </c>
      <c r="L78" s="49">
        <v>2.4700000000000002</v>
      </c>
      <c r="M78" s="49"/>
      <c r="N78" s="49">
        <v>0.13</v>
      </c>
      <c r="O78" s="49">
        <v>0.47</v>
      </c>
      <c r="P78" s="49">
        <v>1.5</v>
      </c>
      <c r="Q78" s="49">
        <v>0.87</v>
      </c>
      <c r="R78" s="49"/>
      <c r="S78" s="49"/>
      <c r="T78" s="49">
        <v>0.12</v>
      </c>
      <c r="U78" s="49"/>
      <c r="V78" s="49">
        <v>2.38</v>
      </c>
      <c r="W78" s="49"/>
      <c r="X78" s="49">
        <v>2.52</v>
      </c>
      <c r="Y78" s="49"/>
    </row>
    <row r="79" spans="1:25" s="7" customFormat="1" ht="15" customHeight="1">
      <c r="A79" s="12"/>
      <c r="B79" s="8"/>
      <c r="C79" s="9"/>
      <c r="D79" s="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spans="1:25" s="7" customFormat="1" ht="15" customHeight="1">
      <c r="A80" s="12" t="s">
        <v>579</v>
      </c>
      <c r="B80" s="8" t="s">
        <v>600</v>
      </c>
      <c r="C80" s="9" t="s">
        <v>609</v>
      </c>
      <c r="D80" s="9" t="s">
        <v>605</v>
      </c>
      <c r="E80" s="49"/>
      <c r="F80" s="49"/>
      <c r="G80" s="49"/>
      <c r="H80" s="49"/>
      <c r="I80" s="49"/>
      <c r="J80" s="49"/>
      <c r="K80" s="49">
        <v>19</v>
      </c>
      <c r="L80" s="49"/>
      <c r="M80" s="49"/>
      <c r="N80" s="49">
        <v>5.67</v>
      </c>
      <c r="O80" s="49"/>
      <c r="P80" s="49">
        <v>59.19</v>
      </c>
      <c r="Q80" s="49">
        <v>23.95</v>
      </c>
      <c r="R80" s="49"/>
      <c r="S80" s="49"/>
      <c r="T80" s="49">
        <v>42.51</v>
      </c>
      <c r="U80" s="49"/>
      <c r="V80" s="49"/>
      <c r="W80" s="49"/>
      <c r="X80" s="49"/>
      <c r="Y80" s="49"/>
    </row>
    <row r="81" spans="1:25" s="7" customFormat="1" ht="15" customHeight="1">
      <c r="A81" s="12" t="s">
        <v>580</v>
      </c>
      <c r="B81" s="8" t="s">
        <v>600</v>
      </c>
      <c r="C81" s="9" t="s">
        <v>619</v>
      </c>
      <c r="D81" s="9" t="s">
        <v>605</v>
      </c>
      <c r="E81" s="49"/>
      <c r="F81" s="49"/>
      <c r="G81" s="49"/>
      <c r="H81" s="49"/>
      <c r="I81" s="49"/>
      <c r="J81" s="49"/>
      <c r="K81" s="49">
        <v>16</v>
      </c>
      <c r="L81" s="49"/>
      <c r="M81" s="49"/>
      <c r="N81" s="49">
        <v>3.25</v>
      </c>
      <c r="O81" s="49"/>
      <c r="P81" s="49">
        <v>37.76</v>
      </c>
      <c r="Q81" s="49">
        <v>22.94</v>
      </c>
      <c r="R81" s="49"/>
      <c r="S81" s="49"/>
      <c r="T81" s="49">
        <v>34.229999999999997</v>
      </c>
      <c r="U81" s="49"/>
      <c r="V81" s="49"/>
      <c r="W81" s="49"/>
      <c r="X81" s="49"/>
      <c r="Y81" s="49"/>
    </row>
    <row r="82" spans="1:25" s="7" customFormat="1" ht="15" customHeight="1">
      <c r="A82" s="12" t="s">
        <v>581</v>
      </c>
      <c r="B82" s="8" t="s">
        <v>600</v>
      </c>
      <c r="C82" s="9" t="s">
        <v>620</v>
      </c>
      <c r="D82" s="9" t="s">
        <v>605</v>
      </c>
      <c r="E82" s="49"/>
      <c r="F82" s="49"/>
      <c r="G82" s="49"/>
      <c r="H82" s="49"/>
      <c r="I82" s="49"/>
      <c r="J82" s="49"/>
      <c r="K82" s="49">
        <v>12</v>
      </c>
      <c r="L82" s="49"/>
      <c r="M82" s="49"/>
      <c r="N82" s="49">
        <v>3.25</v>
      </c>
      <c r="O82" s="49"/>
      <c r="P82" s="49">
        <v>32.65</v>
      </c>
      <c r="Q82" s="49">
        <v>21.95</v>
      </c>
      <c r="R82" s="49"/>
      <c r="S82" s="49"/>
      <c r="T82" s="49">
        <v>32.64</v>
      </c>
      <c r="U82" s="49"/>
      <c r="V82" s="49"/>
      <c r="W82" s="49"/>
      <c r="X82" s="49"/>
      <c r="Y82" s="49"/>
    </row>
    <row r="83" spans="1:25" s="7" customFormat="1" ht="15" customHeight="1">
      <c r="A83" s="12" t="s">
        <v>582</v>
      </c>
      <c r="B83" s="8" t="s">
        <v>600</v>
      </c>
      <c r="C83" s="9" t="s">
        <v>656</v>
      </c>
      <c r="D83" s="9" t="s">
        <v>604</v>
      </c>
      <c r="E83" s="49"/>
      <c r="F83" s="49"/>
      <c r="G83" s="49"/>
      <c r="H83" s="49"/>
      <c r="I83" s="49"/>
      <c r="J83" s="49"/>
      <c r="K83" s="49">
        <v>2.25</v>
      </c>
      <c r="L83" s="49"/>
      <c r="M83" s="49"/>
      <c r="N83" s="49">
        <v>0.34</v>
      </c>
      <c r="O83" s="49"/>
      <c r="P83" s="49">
        <v>1.5</v>
      </c>
      <c r="Q83" s="49">
        <v>0.65</v>
      </c>
      <c r="R83" s="49"/>
      <c r="S83" s="49"/>
      <c r="T83" s="49">
        <v>0.56000000000000005</v>
      </c>
      <c r="U83" s="49"/>
      <c r="V83" s="49"/>
      <c r="W83" s="49"/>
      <c r="X83" s="49"/>
      <c r="Y83" s="49"/>
    </row>
    <row r="84" spans="1:25" s="7" customFormat="1" ht="15" customHeight="1">
      <c r="A84" s="12" t="s">
        <v>583</v>
      </c>
      <c r="B84" s="8" t="s">
        <v>600</v>
      </c>
      <c r="C84" s="9" t="s">
        <v>657</v>
      </c>
      <c r="D84" s="9" t="s">
        <v>604</v>
      </c>
      <c r="E84" s="49"/>
      <c r="F84" s="49"/>
      <c r="G84" s="49"/>
      <c r="H84" s="49"/>
      <c r="I84" s="49"/>
      <c r="J84" s="49"/>
      <c r="K84" s="49">
        <v>1.75</v>
      </c>
      <c r="L84" s="49"/>
      <c r="M84" s="49"/>
      <c r="N84" s="49">
        <v>0.14000000000000001</v>
      </c>
      <c r="O84" s="49"/>
      <c r="P84" s="49">
        <v>1.5</v>
      </c>
      <c r="Q84" s="49">
        <v>0.65</v>
      </c>
      <c r="R84" s="49"/>
      <c r="S84" s="49"/>
      <c r="T84" s="49">
        <v>0.26</v>
      </c>
      <c r="U84" s="49"/>
      <c r="V84" s="49"/>
      <c r="W84" s="49"/>
      <c r="X84" s="49"/>
      <c r="Y84" s="49"/>
    </row>
    <row r="85" spans="1:25" s="7" customFormat="1" ht="15" customHeight="1">
      <c r="A85" s="12" t="s">
        <v>584</v>
      </c>
      <c r="B85" s="8" t="s">
        <v>600</v>
      </c>
      <c r="C85" s="9" t="s">
        <v>658</v>
      </c>
      <c r="D85" s="9" t="s">
        <v>604</v>
      </c>
      <c r="E85" s="49"/>
      <c r="F85" s="49"/>
      <c r="G85" s="49"/>
      <c r="H85" s="49"/>
      <c r="I85" s="49"/>
      <c r="J85" s="49"/>
      <c r="K85" s="49">
        <v>1.25</v>
      </c>
      <c r="L85" s="49"/>
      <c r="M85" s="49"/>
      <c r="N85" s="49">
        <v>0.13</v>
      </c>
      <c r="O85" s="49"/>
      <c r="P85" s="49">
        <v>1.5</v>
      </c>
      <c r="Q85" s="49">
        <v>0.65</v>
      </c>
      <c r="R85" s="49"/>
      <c r="S85" s="49"/>
      <c r="T85" s="49">
        <v>0.14000000000000001</v>
      </c>
      <c r="U85" s="49"/>
      <c r="V85" s="49"/>
      <c r="W85" s="49"/>
      <c r="X85" s="49"/>
      <c r="Y85" s="49"/>
    </row>
    <row r="86" spans="1:25" s="7" customFormat="1" ht="15" customHeight="1">
      <c r="A86" s="12"/>
      <c r="B86" s="8"/>
      <c r="C86" s="9"/>
      <c r="D86" s="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spans="1:25" s="7" customFormat="1" ht="15" customHeight="1">
      <c r="A87" s="12" t="s">
        <v>585</v>
      </c>
      <c r="B87" s="8" t="s">
        <v>601</v>
      </c>
      <c r="C87" s="9" t="s">
        <v>609</v>
      </c>
      <c r="D87" s="9" t="s">
        <v>605</v>
      </c>
      <c r="E87" s="49">
        <v>3.86</v>
      </c>
      <c r="F87" s="49"/>
      <c r="G87" s="49"/>
      <c r="H87" s="49"/>
      <c r="I87" s="49"/>
      <c r="J87" s="49">
        <v>0</v>
      </c>
      <c r="K87" s="49"/>
      <c r="L87" s="49">
        <v>0</v>
      </c>
      <c r="M87" s="49">
        <v>3.77</v>
      </c>
      <c r="N87" s="49">
        <v>5.67</v>
      </c>
      <c r="O87" s="49">
        <v>5.32</v>
      </c>
      <c r="P87" s="49"/>
      <c r="Q87" s="49">
        <v>21.72</v>
      </c>
      <c r="R87" s="49">
        <v>3.7</v>
      </c>
      <c r="S87" s="49">
        <v>3.89</v>
      </c>
      <c r="T87" s="49"/>
      <c r="U87" s="49"/>
      <c r="V87" s="49"/>
      <c r="W87" s="49"/>
      <c r="X87" s="49"/>
      <c r="Y87" s="49"/>
    </row>
    <row r="88" spans="1:25" s="7" customFormat="1" ht="15" customHeight="1">
      <c r="A88" s="12" t="s">
        <v>586</v>
      </c>
      <c r="B88" s="8" t="s">
        <v>601</v>
      </c>
      <c r="C88" s="9" t="s">
        <v>619</v>
      </c>
      <c r="D88" s="9" t="s">
        <v>605</v>
      </c>
      <c r="E88" s="49">
        <v>3.86</v>
      </c>
      <c r="F88" s="49"/>
      <c r="G88" s="49"/>
      <c r="H88" s="49"/>
      <c r="I88" s="49"/>
      <c r="J88" s="49">
        <v>0</v>
      </c>
      <c r="K88" s="49"/>
      <c r="L88" s="49">
        <v>0</v>
      </c>
      <c r="M88" s="49">
        <v>3.77</v>
      </c>
      <c r="N88" s="49">
        <v>3.25</v>
      </c>
      <c r="O88" s="49">
        <v>3.9</v>
      </c>
      <c r="P88" s="49"/>
      <c r="Q88" s="49">
        <v>20.079999999999998</v>
      </c>
      <c r="R88" s="49">
        <v>3.7</v>
      </c>
      <c r="S88" s="49">
        <v>3.85</v>
      </c>
      <c r="T88" s="49"/>
      <c r="U88" s="49"/>
      <c r="V88" s="49"/>
      <c r="W88" s="49"/>
      <c r="X88" s="49"/>
      <c r="Y88" s="49"/>
    </row>
    <row r="89" spans="1:25" s="7" customFormat="1" ht="15" customHeight="1">
      <c r="A89" s="12" t="s">
        <v>587</v>
      </c>
      <c r="B89" s="8" t="s">
        <v>601</v>
      </c>
      <c r="C89" s="9" t="s">
        <v>620</v>
      </c>
      <c r="D89" s="9" t="s">
        <v>605</v>
      </c>
      <c r="E89" s="49">
        <v>3.86</v>
      </c>
      <c r="F89" s="49"/>
      <c r="G89" s="49"/>
      <c r="H89" s="49"/>
      <c r="I89" s="49"/>
      <c r="J89" s="49">
        <v>0</v>
      </c>
      <c r="K89" s="49"/>
      <c r="L89" s="49">
        <v>0</v>
      </c>
      <c r="M89" s="49">
        <v>3.77</v>
      </c>
      <c r="N89" s="49">
        <v>3.25</v>
      </c>
      <c r="O89" s="49">
        <v>3.15</v>
      </c>
      <c r="P89" s="49"/>
      <c r="Q89" s="49">
        <v>19.2</v>
      </c>
      <c r="R89" s="49">
        <v>3.7</v>
      </c>
      <c r="S89" s="49">
        <v>3.81</v>
      </c>
      <c r="T89" s="49"/>
      <c r="U89" s="49"/>
      <c r="V89" s="49"/>
      <c r="W89" s="49"/>
      <c r="X89" s="49"/>
      <c r="Y89" s="49"/>
    </row>
    <row r="90" spans="1:25" s="7" customFormat="1" ht="15" customHeight="1">
      <c r="A90" s="12" t="s">
        <v>351</v>
      </c>
      <c r="B90" s="8" t="s">
        <v>601</v>
      </c>
      <c r="C90" s="9" t="s">
        <v>656</v>
      </c>
      <c r="D90" s="9" t="s">
        <v>604</v>
      </c>
      <c r="E90" s="49"/>
      <c r="F90" s="49"/>
      <c r="G90" s="49"/>
      <c r="H90" s="49"/>
      <c r="I90" s="49"/>
      <c r="J90" s="49">
        <v>0</v>
      </c>
      <c r="K90" s="49"/>
      <c r="L90" s="49">
        <v>1.77</v>
      </c>
      <c r="M90" s="49"/>
      <c r="N90" s="49">
        <v>0.34</v>
      </c>
      <c r="O90" s="49">
        <v>0.62</v>
      </c>
      <c r="P90" s="49"/>
      <c r="Q90" s="49">
        <v>0.65</v>
      </c>
      <c r="R90" s="49"/>
      <c r="S90" s="49"/>
      <c r="T90" s="49"/>
      <c r="U90" s="49"/>
      <c r="V90" s="49"/>
      <c r="W90" s="49"/>
      <c r="X90" s="49"/>
      <c r="Y90" s="49"/>
    </row>
    <row r="91" spans="1:25" s="7" customFormat="1" ht="15" customHeight="1">
      <c r="A91" s="12" t="s">
        <v>352</v>
      </c>
      <c r="B91" s="8" t="s">
        <v>601</v>
      </c>
      <c r="C91" s="9" t="s">
        <v>657</v>
      </c>
      <c r="D91" s="9" t="s">
        <v>604</v>
      </c>
      <c r="E91" s="49"/>
      <c r="F91" s="49"/>
      <c r="G91" s="49"/>
      <c r="H91" s="49"/>
      <c r="I91" s="49"/>
      <c r="J91" s="49">
        <v>0</v>
      </c>
      <c r="K91" s="49"/>
      <c r="L91" s="49">
        <v>1.77</v>
      </c>
      <c r="M91" s="49"/>
      <c r="N91" s="49">
        <v>0.14000000000000001</v>
      </c>
      <c r="O91" s="49">
        <v>0.49</v>
      </c>
      <c r="P91" s="49"/>
      <c r="Q91" s="49">
        <v>0.65</v>
      </c>
      <c r="R91" s="49"/>
      <c r="S91" s="49"/>
      <c r="T91" s="49"/>
      <c r="U91" s="49"/>
      <c r="V91" s="49"/>
      <c r="W91" s="49"/>
      <c r="X91" s="49"/>
      <c r="Y91" s="49"/>
    </row>
    <row r="92" spans="1:25" s="7" customFormat="1" ht="15" customHeight="1">
      <c r="A92" s="12" t="s">
        <v>353</v>
      </c>
      <c r="B92" s="8" t="s">
        <v>601</v>
      </c>
      <c r="C92" s="9" t="s">
        <v>658</v>
      </c>
      <c r="D92" s="9" t="s">
        <v>604</v>
      </c>
      <c r="E92" s="49"/>
      <c r="F92" s="49"/>
      <c r="G92" s="49"/>
      <c r="H92" s="49"/>
      <c r="I92" s="49"/>
      <c r="J92" s="49">
        <v>0</v>
      </c>
      <c r="K92" s="49"/>
      <c r="L92" s="49">
        <v>1.77</v>
      </c>
      <c r="M92" s="49"/>
      <c r="N92" s="49">
        <v>0.13</v>
      </c>
      <c r="O92" s="49">
        <v>0.37</v>
      </c>
      <c r="P92" s="49"/>
      <c r="Q92" s="49">
        <v>0.65</v>
      </c>
      <c r="R92" s="49"/>
      <c r="S92" s="49"/>
      <c r="T92" s="49"/>
      <c r="U92" s="49"/>
      <c r="V92" s="49"/>
      <c r="W92" s="49"/>
      <c r="X92" s="49"/>
      <c r="Y92" s="49"/>
    </row>
    <row r="93" spans="1:25" s="7" customFormat="1" ht="15" customHeight="1">
      <c r="A93" s="12"/>
      <c r="B93" s="8"/>
      <c r="C93" s="9"/>
      <c r="D93" s="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spans="1:25" s="7" customFormat="1" ht="15" customHeight="1">
      <c r="A94" s="12" t="s">
        <v>354</v>
      </c>
      <c r="B94" s="8" t="s">
        <v>598</v>
      </c>
      <c r="C94" s="9" t="s">
        <v>608</v>
      </c>
      <c r="D94" s="9" t="s">
        <v>605</v>
      </c>
      <c r="E94" s="49"/>
      <c r="F94" s="49"/>
      <c r="G94" s="49">
        <v>11.9</v>
      </c>
      <c r="H94" s="49">
        <v>50.2</v>
      </c>
      <c r="I94" s="49"/>
      <c r="J94" s="49"/>
      <c r="K94" s="49"/>
      <c r="L94" s="49"/>
      <c r="M94" s="49"/>
      <c r="N94" s="49">
        <v>12.13</v>
      </c>
      <c r="O94" s="49">
        <v>12.95</v>
      </c>
      <c r="P94" s="49">
        <v>26.87</v>
      </c>
      <c r="Q94" s="49">
        <v>2.15</v>
      </c>
      <c r="R94" s="49"/>
      <c r="S94" s="49"/>
      <c r="T94" s="49"/>
      <c r="U94" s="49"/>
      <c r="V94" s="49"/>
      <c r="W94" s="49"/>
      <c r="X94" s="49"/>
      <c r="Y94" s="49"/>
    </row>
    <row r="95" spans="1:25" s="7" customFormat="1" ht="15" customHeight="1">
      <c r="A95" s="12" t="s">
        <v>355</v>
      </c>
      <c r="B95" s="8" t="s">
        <v>598</v>
      </c>
      <c r="C95" s="9" t="s">
        <v>621</v>
      </c>
      <c r="D95" s="9" t="s">
        <v>605</v>
      </c>
      <c r="E95" s="49"/>
      <c r="F95" s="49"/>
      <c r="G95" s="49">
        <v>8.4</v>
      </c>
      <c r="H95" s="49">
        <v>42.84</v>
      </c>
      <c r="I95" s="49"/>
      <c r="J95" s="49"/>
      <c r="K95" s="49"/>
      <c r="L95" s="49"/>
      <c r="M95" s="49"/>
      <c r="N95" s="49">
        <v>12.13</v>
      </c>
      <c r="O95" s="49">
        <v>10.96</v>
      </c>
      <c r="P95" s="49">
        <v>20.75</v>
      </c>
      <c r="Q95" s="49">
        <v>1.01</v>
      </c>
      <c r="R95" s="49"/>
      <c r="S95" s="49"/>
      <c r="T95" s="49"/>
      <c r="U95" s="49"/>
      <c r="V95" s="49"/>
      <c r="W95" s="49"/>
      <c r="X95" s="49"/>
      <c r="Y95" s="49"/>
    </row>
    <row r="96" spans="1:25" s="7" customFormat="1" ht="15" customHeight="1">
      <c r="A96" s="12" t="s">
        <v>356</v>
      </c>
      <c r="B96" s="8" t="s">
        <v>598</v>
      </c>
      <c r="C96" s="9" t="s">
        <v>622</v>
      </c>
      <c r="D96" s="9" t="s">
        <v>605</v>
      </c>
      <c r="E96" s="49"/>
      <c r="F96" s="49"/>
      <c r="G96" s="49">
        <v>7.6</v>
      </c>
      <c r="H96" s="49">
        <v>37.229999999999997</v>
      </c>
      <c r="I96" s="49"/>
      <c r="J96" s="49"/>
      <c r="K96" s="49"/>
      <c r="L96" s="49"/>
      <c r="M96" s="49"/>
      <c r="N96" s="49">
        <v>12.13</v>
      </c>
      <c r="O96" s="49">
        <v>9.11</v>
      </c>
      <c r="P96" s="49">
        <v>16.87</v>
      </c>
      <c r="Q96" s="49">
        <v>0.99</v>
      </c>
      <c r="R96" s="49"/>
      <c r="S96" s="49"/>
      <c r="T96" s="49"/>
      <c r="U96" s="49"/>
      <c r="V96" s="49"/>
      <c r="W96" s="49"/>
      <c r="X96" s="49"/>
      <c r="Y96" s="49"/>
    </row>
    <row r="97" spans="1:25" s="7" customFormat="1" ht="15" customHeight="1">
      <c r="A97" s="12" t="s">
        <v>357</v>
      </c>
      <c r="B97" s="8" t="s">
        <v>598</v>
      </c>
      <c r="C97" s="9" t="s">
        <v>659</v>
      </c>
      <c r="D97" s="9" t="s">
        <v>604</v>
      </c>
      <c r="E97" s="49"/>
      <c r="F97" s="49"/>
      <c r="G97" s="49">
        <v>3.6</v>
      </c>
      <c r="H97" s="49">
        <v>0.84</v>
      </c>
      <c r="I97" s="49"/>
      <c r="J97" s="49"/>
      <c r="K97" s="49"/>
      <c r="L97" s="49"/>
      <c r="M97" s="49"/>
      <c r="N97" s="49">
        <v>0.34</v>
      </c>
      <c r="O97" s="49">
        <v>0.64</v>
      </c>
      <c r="P97" s="49">
        <v>1.5</v>
      </c>
      <c r="Q97" s="49">
        <v>0.65</v>
      </c>
      <c r="R97" s="49"/>
      <c r="S97" s="49"/>
      <c r="T97" s="49"/>
      <c r="U97" s="49"/>
      <c r="V97" s="49"/>
      <c r="W97" s="49"/>
      <c r="X97" s="49"/>
      <c r="Y97" s="49"/>
    </row>
    <row r="98" spans="1:25" s="7" customFormat="1" ht="15" customHeight="1">
      <c r="A98" s="12" t="s">
        <v>358</v>
      </c>
      <c r="B98" s="8" t="s">
        <v>598</v>
      </c>
      <c r="C98" s="9" t="s">
        <v>660</v>
      </c>
      <c r="D98" s="9" t="s">
        <v>604</v>
      </c>
      <c r="E98" s="49"/>
      <c r="F98" s="49"/>
      <c r="G98" s="49">
        <v>3.24</v>
      </c>
      <c r="H98" s="49">
        <v>0.84</v>
      </c>
      <c r="I98" s="49"/>
      <c r="J98" s="49"/>
      <c r="K98" s="49"/>
      <c r="L98" s="49"/>
      <c r="M98" s="49"/>
      <c r="N98" s="49">
        <v>0.14000000000000001</v>
      </c>
      <c r="O98" s="49">
        <v>0.51</v>
      </c>
      <c r="P98" s="49">
        <v>1.5</v>
      </c>
      <c r="Q98" s="49">
        <v>0.65</v>
      </c>
      <c r="R98" s="49"/>
      <c r="S98" s="49"/>
      <c r="T98" s="49"/>
      <c r="U98" s="49"/>
      <c r="V98" s="49"/>
      <c r="W98" s="49"/>
      <c r="X98" s="49"/>
      <c r="Y98" s="49"/>
    </row>
    <row r="99" spans="1:25" s="7" customFormat="1" ht="15" customHeight="1">
      <c r="A99" s="12" t="s">
        <v>359</v>
      </c>
      <c r="B99" s="8" t="s">
        <v>598</v>
      </c>
      <c r="C99" s="9" t="s">
        <v>661</v>
      </c>
      <c r="D99" s="9" t="s">
        <v>604</v>
      </c>
      <c r="E99" s="49"/>
      <c r="F99" s="49"/>
      <c r="G99" s="49">
        <v>2.88</v>
      </c>
      <c r="H99" s="49">
        <v>0.84</v>
      </c>
      <c r="I99" s="49"/>
      <c r="J99" s="49"/>
      <c r="K99" s="49"/>
      <c r="L99" s="49"/>
      <c r="M99" s="49"/>
      <c r="N99" s="49">
        <v>0.13</v>
      </c>
      <c r="O99" s="49">
        <v>0.38</v>
      </c>
      <c r="P99" s="49">
        <v>1.5</v>
      </c>
      <c r="Q99" s="49">
        <v>0.65</v>
      </c>
      <c r="R99" s="49"/>
      <c r="S99" s="49"/>
      <c r="T99" s="49"/>
      <c r="U99" s="49"/>
      <c r="V99" s="49"/>
      <c r="W99" s="49"/>
      <c r="X99" s="49"/>
      <c r="Y99" s="49"/>
    </row>
    <row r="100" spans="1:25" s="7" customFormat="1" ht="15" customHeight="1">
      <c r="A100" s="12"/>
      <c r="B100" s="6"/>
      <c r="C100" s="9"/>
      <c r="D100" s="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spans="1:25" s="7" customFormat="1" ht="15" customHeight="1">
      <c r="A101" s="12" t="s">
        <v>360</v>
      </c>
      <c r="B101" s="8" t="s">
        <v>602</v>
      </c>
      <c r="C101" s="9" t="s">
        <v>608</v>
      </c>
      <c r="D101" s="9" t="s">
        <v>605</v>
      </c>
      <c r="E101" s="49"/>
      <c r="F101" s="49"/>
      <c r="G101" s="49">
        <v>11.9</v>
      </c>
      <c r="H101" s="49">
        <v>73.290000000000006</v>
      </c>
      <c r="I101" s="49"/>
      <c r="J101" s="49"/>
      <c r="K101" s="49">
        <v>39</v>
      </c>
      <c r="L101" s="49"/>
      <c r="M101" s="49"/>
      <c r="N101" s="49">
        <v>12.13</v>
      </c>
      <c r="O101" s="49">
        <v>13.85</v>
      </c>
      <c r="P101" s="49">
        <v>33.51</v>
      </c>
      <c r="Q101" s="49">
        <v>2.33</v>
      </c>
      <c r="R101" s="49"/>
      <c r="S101" s="49"/>
      <c r="T101" s="49"/>
      <c r="U101" s="49"/>
      <c r="V101" s="49"/>
      <c r="W101" s="49"/>
      <c r="X101" s="49"/>
      <c r="Y101" s="49"/>
    </row>
    <row r="102" spans="1:25" s="7" customFormat="1" ht="15" customHeight="1">
      <c r="A102" s="12" t="s">
        <v>361</v>
      </c>
      <c r="B102" s="8" t="s">
        <v>602</v>
      </c>
      <c r="C102" s="9" t="s">
        <v>621</v>
      </c>
      <c r="D102" s="9" t="s">
        <v>605</v>
      </c>
      <c r="E102" s="49"/>
      <c r="F102" s="49"/>
      <c r="G102" s="49">
        <v>8.4</v>
      </c>
      <c r="H102" s="49">
        <v>62.54</v>
      </c>
      <c r="I102" s="49"/>
      <c r="J102" s="49"/>
      <c r="K102" s="49">
        <v>29</v>
      </c>
      <c r="L102" s="49"/>
      <c r="M102" s="49"/>
      <c r="N102" s="49">
        <v>12.13</v>
      </c>
      <c r="O102" s="49">
        <v>11.69</v>
      </c>
      <c r="P102" s="49">
        <v>22.83</v>
      </c>
      <c r="Q102" s="49">
        <v>1.07</v>
      </c>
      <c r="R102" s="49"/>
      <c r="S102" s="49"/>
      <c r="T102" s="49"/>
      <c r="U102" s="49"/>
      <c r="V102" s="49"/>
      <c r="W102" s="49"/>
      <c r="X102" s="49"/>
      <c r="Y102" s="49"/>
    </row>
    <row r="103" spans="1:25" s="7" customFormat="1" ht="15" customHeight="1">
      <c r="A103" s="12" t="s">
        <v>362</v>
      </c>
      <c r="B103" s="8" t="s">
        <v>602</v>
      </c>
      <c r="C103" s="9" t="s">
        <v>622</v>
      </c>
      <c r="D103" s="9" t="s">
        <v>605</v>
      </c>
      <c r="E103" s="49"/>
      <c r="F103" s="49"/>
      <c r="G103" s="49">
        <v>7.6</v>
      </c>
      <c r="H103" s="49">
        <v>54.35</v>
      </c>
      <c r="I103" s="49"/>
      <c r="J103" s="49"/>
      <c r="K103" s="49">
        <v>22</v>
      </c>
      <c r="L103" s="49"/>
      <c r="M103" s="49"/>
      <c r="N103" s="49">
        <v>12.13</v>
      </c>
      <c r="O103" s="49">
        <v>9.52</v>
      </c>
      <c r="P103" s="49">
        <v>19.170000000000002</v>
      </c>
      <c r="Q103" s="49">
        <v>1.06</v>
      </c>
      <c r="R103" s="49"/>
      <c r="S103" s="49"/>
      <c r="T103" s="49"/>
      <c r="U103" s="49"/>
      <c r="V103" s="49"/>
      <c r="W103" s="49"/>
      <c r="X103" s="49"/>
      <c r="Y103" s="49"/>
    </row>
    <row r="104" spans="1:25" s="7" customFormat="1" ht="15" customHeight="1">
      <c r="A104" s="12" t="s">
        <v>363</v>
      </c>
      <c r="B104" s="8" t="s">
        <v>602</v>
      </c>
      <c r="C104" s="9" t="s">
        <v>659</v>
      </c>
      <c r="D104" s="9" t="s">
        <v>604</v>
      </c>
      <c r="E104" s="49"/>
      <c r="F104" s="49"/>
      <c r="G104" s="49">
        <v>3.6</v>
      </c>
      <c r="H104" s="49">
        <v>1.22</v>
      </c>
      <c r="I104" s="49"/>
      <c r="J104" s="49"/>
      <c r="K104" s="49">
        <v>2.25</v>
      </c>
      <c r="L104" s="49"/>
      <c r="M104" s="49"/>
      <c r="N104" s="49">
        <v>0.34</v>
      </c>
      <c r="O104" s="49">
        <v>0.78</v>
      </c>
      <c r="P104" s="49">
        <v>1.5</v>
      </c>
      <c r="Q104" s="49">
        <v>0.87</v>
      </c>
      <c r="R104" s="49"/>
      <c r="S104" s="49"/>
      <c r="T104" s="49"/>
      <c r="U104" s="49"/>
      <c r="V104" s="49"/>
      <c r="W104" s="49"/>
      <c r="X104" s="49"/>
      <c r="Y104" s="49"/>
    </row>
    <row r="105" spans="1:25" s="7" customFormat="1" ht="15" customHeight="1">
      <c r="A105" s="12" t="s">
        <v>364</v>
      </c>
      <c r="B105" s="8" t="s">
        <v>602</v>
      </c>
      <c r="C105" s="9" t="s">
        <v>660</v>
      </c>
      <c r="D105" s="9" t="s">
        <v>604</v>
      </c>
      <c r="E105" s="49"/>
      <c r="F105" s="49"/>
      <c r="G105" s="49">
        <v>3.24</v>
      </c>
      <c r="H105" s="49">
        <v>1.22</v>
      </c>
      <c r="I105" s="49"/>
      <c r="J105" s="49"/>
      <c r="K105" s="49">
        <v>1.75</v>
      </c>
      <c r="L105" s="49"/>
      <c r="M105" s="49"/>
      <c r="N105" s="49">
        <v>0.14000000000000001</v>
      </c>
      <c r="O105" s="49">
        <v>0.62</v>
      </c>
      <c r="P105" s="49">
        <v>1.5</v>
      </c>
      <c r="Q105" s="49">
        <v>0.87</v>
      </c>
      <c r="R105" s="49"/>
      <c r="S105" s="49"/>
      <c r="T105" s="49"/>
      <c r="U105" s="49"/>
      <c r="V105" s="49"/>
      <c r="W105" s="49"/>
      <c r="X105" s="49"/>
      <c r="Y105" s="49"/>
    </row>
    <row r="106" spans="1:25" s="7" customFormat="1" ht="15" customHeight="1">
      <c r="A106" s="12" t="s">
        <v>365</v>
      </c>
      <c r="B106" s="8" t="s">
        <v>602</v>
      </c>
      <c r="C106" s="9" t="s">
        <v>661</v>
      </c>
      <c r="D106" s="9" t="s">
        <v>604</v>
      </c>
      <c r="E106" s="49"/>
      <c r="F106" s="49"/>
      <c r="G106" s="49">
        <v>2.88</v>
      </c>
      <c r="H106" s="49">
        <v>1.22</v>
      </c>
      <c r="I106" s="49"/>
      <c r="J106" s="49"/>
      <c r="K106" s="49">
        <v>1.25</v>
      </c>
      <c r="L106" s="49"/>
      <c r="M106" s="49"/>
      <c r="N106" s="49">
        <v>0.13</v>
      </c>
      <c r="O106" s="49">
        <v>0.47</v>
      </c>
      <c r="P106" s="49">
        <v>1.5</v>
      </c>
      <c r="Q106" s="49">
        <v>0.87</v>
      </c>
      <c r="R106" s="49"/>
      <c r="S106" s="49"/>
      <c r="T106" s="49"/>
      <c r="U106" s="49"/>
      <c r="V106" s="49"/>
      <c r="W106" s="49"/>
      <c r="X106" s="49"/>
      <c r="Y106" s="49"/>
    </row>
    <row r="107" spans="1:25" s="7" customFormat="1" ht="15" customHeight="1">
      <c r="A107" s="12"/>
      <c r="B107" s="8"/>
      <c r="C107" s="9"/>
      <c r="D107" s="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spans="1:25" ht="14.25" customHeight="1">
      <c r="A108" s="12" t="s">
        <v>366</v>
      </c>
      <c r="B108" s="8" t="s">
        <v>600</v>
      </c>
      <c r="C108" s="9" t="s">
        <v>608</v>
      </c>
      <c r="D108" s="9" t="s">
        <v>605</v>
      </c>
      <c r="E108" s="49"/>
      <c r="F108" s="49"/>
      <c r="G108" s="49"/>
      <c r="H108" s="49"/>
      <c r="I108" s="49"/>
      <c r="J108" s="49"/>
      <c r="K108" s="49">
        <v>40</v>
      </c>
      <c r="L108" s="49"/>
      <c r="M108" s="49"/>
      <c r="N108" s="49">
        <v>12.13</v>
      </c>
      <c r="O108" s="49"/>
      <c r="P108" s="49">
        <v>35.380000000000003</v>
      </c>
      <c r="Q108" s="49">
        <v>2.3199999999999998</v>
      </c>
      <c r="R108" s="49"/>
      <c r="S108" s="49"/>
      <c r="T108" s="49"/>
      <c r="U108" s="49"/>
      <c r="V108" s="49"/>
      <c r="W108" s="49"/>
      <c r="X108" s="49"/>
      <c r="Y108" s="49"/>
    </row>
    <row r="109" spans="1:25" ht="14.25" customHeight="1">
      <c r="A109" s="12" t="s">
        <v>367</v>
      </c>
      <c r="B109" s="8" t="s">
        <v>600</v>
      </c>
      <c r="C109" s="9" t="s">
        <v>621</v>
      </c>
      <c r="D109" s="9" t="s">
        <v>605</v>
      </c>
      <c r="E109" s="49"/>
      <c r="F109" s="49"/>
      <c r="G109" s="49"/>
      <c r="H109" s="49"/>
      <c r="I109" s="49"/>
      <c r="J109" s="49"/>
      <c r="K109" s="49">
        <v>30</v>
      </c>
      <c r="L109" s="49"/>
      <c r="M109" s="49"/>
      <c r="N109" s="49">
        <v>12.13</v>
      </c>
      <c r="O109" s="49"/>
      <c r="P109" s="49">
        <v>24.9</v>
      </c>
      <c r="Q109" s="49">
        <v>1.1200000000000001</v>
      </c>
      <c r="R109" s="49"/>
      <c r="S109" s="49"/>
      <c r="T109" s="49"/>
      <c r="U109" s="49"/>
      <c r="V109" s="49"/>
      <c r="W109" s="49"/>
      <c r="X109" s="49"/>
      <c r="Y109" s="49"/>
    </row>
    <row r="110" spans="1:25" ht="14.25" customHeight="1">
      <c r="A110" s="12" t="s">
        <v>368</v>
      </c>
      <c r="B110" s="8" t="s">
        <v>600</v>
      </c>
      <c r="C110" s="9" t="s">
        <v>622</v>
      </c>
      <c r="D110" s="9" t="s">
        <v>605</v>
      </c>
      <c r="E110" s="49"/>
      <c r="F110" s="49"/>
      <c r="G110" s="49"/>
      <c r="H110" s="49"/>
      <c r="I110" s="49"/>
      <c r="J110" s="49"/>
      <c r="K110" s="49">
        <v>23</v>
      </c>
      <c r="L110" s="49"/>
      <c r="M110" s="49"/>
      <c r="N110" s="49">
        <v>12.13</v>
      </c>
      <c r="O110" s="49"/>
      <c r="P110" s="49">
        <v>20.71</v>
      </c>
      <c r="Q110" s="49">
        <v>1.08</v>
      </c>
      <c r="R110" s="49"/>
      <c r="S110" s="49"/>
      <c r="T110" s="49"/>
      <c r="U110" s="49"/>
      <c r="V110" s="49"/>
      <c r="W110" s="49"/>
      <c r="X110" s="49"/>
      <c r="Y110" s="49"/>
    </row>
    <row r="111" spans="1:25" ht="14.25" customHeight="1">
      <c r="A111" s="12" t="s">
        <v>369</v>
      </c>
      <c r="B111" s="8" t="s">
        <v>600</v>
      </c>
      <c r="C111" s="9" t="s">
        <v>662</v>
      </c>
      <c r="D111" s="9" t="s">
        <v>604</v>
      </c>
      <c r="E111" s="49"/>
      <c r="F111" s="49"/>
      <c r="G111" s="49"/>
      <c r="H111" s="49"/>
      <c r="I111" s="49"/>
      <c r="J111" s="49"/>
      <c r="K111" s="49">
        <v>2.25</v>
      </c>
      <c r="L111" s="49"/>
      <c r="M111" s="49"/>
      <c r="N111" s="49">
        <v>0.34</v>
      </c>
      <c r="O111" s="49"/>
      <c r="P111" s="49">
        <v>1.5</v>
      </c>
      <c r="Q111" s="49">
        <v>0.65</v>
      </c>
      <c r="R111" s="49"/>
      <c r="S111" s="49"/>
      <c r="T111" s="49"/>
      <c r="U111" s="49"/>
      <c r="V111" s="49"/>
      <c r="W111" s="49"/>
      <c r="X111" s="49"/>
      <c r="Y111" s="49"/>
    </row>
    <row r="112" spans="1:25" ht="14.25" customHeight="1">
      <c r="A112" s="12" t="s">
        <v>370</v>
      </c>
      <c r="B112" s="8" t="s">
        <v>600</v>
      </c>
      <c r="C112" s="9" t="s">
        <v>663</v>
      </c>
      <c r="D112" s="9" t="s">
        <v>604</v>
      </c>
      <c r="E112" s="49"/>
      <c r="F112" s="49"/>
      <c r="G112" s="49"/>
      <c r="H112" s="49"/>
      <c r="I112" s="49"/>
      <c r="J112" s="49"/>
      <c r="K112" s="49">
        <v>1.75</v>
      </c>
      <c r="L112" s="49"/>
      <c r="M112" s="49"/>
      <c r="N112" s="49">
        <v>0.14000000000000001</v>
      </c>
      <c r="O112" s="49"/>
      <c r="P112" s="49">
        <v>1.5</v>
      </c>
      <c r="Q112" s="49">
        <v>0.65</v>
      </c>
      <c r="R112" s="49"/>
      <c r="S112" s="49"/>
      <c r="T112" s="49"/>
      <c r="U112" s="49"/>
      <c r="V112" s="49"/>
      <c r="W112" s="49"/>
      <c r="X112" s="49"/>
      <c r="Y112" s="49"/>
    </row>
    <row r="113" spans="1:25" ht="14.25" customHeight="1">
      <c r="A113" s="12" t="s">
        <v>371</v>
      </c>
      <c r="B113" s="8" t="s">
        <v>600</v>
      </c>
      <c r="C113" s="9" t="s">
        <v>664</v>
      </c>
      <c r="D113" s="9" t="s">
        <v>604</v>
      </c>
      <c r="E113" s="49"/>
      <c r="F113" s="49"/>
      <c r="G113" s="49"/>
      <c r="H113" s="49"/>
      <c r="I113" s="49"/>
      <c r="J113" s="49"/>
      <c r="K113" s="49">
        <v>1.25</v>
      </c>
      <c r="L113" s="49"/>
      <c r="M113" s="49"/>
      <c r="N113" s="49">
        <v>0.13</v>
      </c>
      <c r="O113" s="49"/>
      <c r="P113" s="49">
        <v>1.5</v>
      </c>
      <c r="Q113" s="49">
        <v>0.65</v>
      </c>
      <c r="R113" s="49"/>
      <c r="S113" s="49"/>
      <c r="T113" s="49"/>
      <c r="U113" s="49"/>
      <c r="V113" s="49"/>
      <c r="W113" s="49"/>
      <c r="X113" s="49"/>
      <c r="Y113" s="49"/>
    </row>
    <row r="114" spans="1:25" ht="14.25" customHeight="1">
      <c r="A114" s="12"/>
      <c r="B114" s="8"/>
      <c r="C114" s="9"/>
      <c r="D114" s="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spans="1:25" ht="14.25" customHeight="1">
      <c r="A115" s="12" t="s">
        <v>372</v>
      </c>
      <c r="B115" s="8" t="s">
        <v>601</v>
      </c>
      <c r="C115" s="9" t="s">
        <v>608</v>
      </c>
      <c r="D115" s="9" t="s">
        <v>605</v>
      </c>
      <c r="E115" s="49"/>
      <c r="F115" s="49"/>
      <c r="G115" s="49"/>
      <c r="H115" s="49"/>
      <c r="I115" s="49"/>
      <c r="J115" s="49"/>
      <c r="K115" s="49"/>
      <c r="L115" s="49"/>
      <c r="M115" s="49"/>
      <c r="N115" s="49">
        <v>12.13</v>
      </c>
      <c r="O115" s="49">
        <v>12.45</v>
      </c>
      <c r="P115" s="49"/>
      <c r="Q115" s="49">
        <v>2.12</v>
      </c>
      <c r="R115" s="49"/>
      <c r="S115" s="49"/>
      <c r="T115" s="49"/>
      <c r="U115" s="49"/>
      <c r="V115" s="49"/>
      <c r="W115" s="49"/>
      <c r="X115" s="49"/>
      <c r="Y115" s="49"/>
    </row>
    <row r="116" spans="1:25" ht="14.25" customHeight="1">
      <c r="A116" s="12" t="s">
        <v>373</v>
      </c>
      <c r="B116" s="8" t="s">
        <v>601</v>
      </c>
      <c r="C116" s="9" t="s">
        <v>621</v>
      </c>
      <c r="D116" s="9" t="s">
        <v>605</v>
      </c>
      <c r="E116" s="49"/>
      <c r="F116" s="49"/>
      <c r="G116" s="49"/>
      <c r="H116" s="49"/>
      <c r="I116" s="49"/>
      <c r="J116" s="49"/>
      <c r="K116" s="49"/>
      <c r="L116" s="49"/>
      <c r="M116" s="49"/>
      <c r="N116" s="49">
        <v>12.13</v>
      </c>
      <c r="O116" s="49">
        <v>10.54</v>
      </c>
      <c r="P116" s="49"/>
      <c r="Q116" s="49">
        <v>1</v>
      </c>
      <c r="R116" s="49"/>
      <c r="S116" s="49"/>
      <c r="T116" s="49"/>
      <c r="U116" s="49"/>
      <c r="V116" s="49"/>
      <c r="W116" s="49"/>
      <c r="X116" s="49"/>
      <c r="Y116" s="49"/>
    </row>
    <row r="117" spans="1:25" ht="14.25" customHeight="1">
      <c r="A117" s="12" t="s">
        <v>374</v>
      </c>
      <c r="B117" s="8" t="s">
        <v>601</v>
      </c>
      <c r="C117" s="9" t="s">
        <v>622</v>
      </c>
      <c r="D117" s="9" t="s">
        <v>605</v>
      </c>
      <c r="E117" s="49"/>
      <c r="F117" s="49"/>
      <c r="G117" s="49"/>
      <c r="H117" s="49"/>
      <c r="I117" s="49"/>
      <c r="J117" s="49"/>
      <c r="K117" s="49"/>
      <c r="L117" s="49"/>
      <c r="M117" s="49"/>
      <c r="N117" s="49">
        <v>12.13</v>
      </c>
      <c r="O117" s="49">
        <v>8.76</v>
      </c>
      <c r="P117" s="49"/>
      <c r="Q117" s="49">
        <v>0.98</v>
      </c>
      <c r="R117" s="49"/>
      <c r="S117" s="49"/>
      <c r="T117" s="49"/>
      <c r="U117" s="49"/>
      <c r="V117" s="49"/>
      <c r="W117" s="49"/>
      <c r="X117" s="49"/>
      <c r="Y117" s="49"/>
    </row>
    <row r="118" spans="1:25" ht="14.25" customHeight="1">
      <c r="A118" s="12" t="s">
        <v>375</v>
      </c>
      <c r="B118" s="8" t="s">
        <v>601</v>
      </c>
      <c r="C118" s="9" t="s">
        <v>662</v>
      </c>
      <c r="D118" s="9" t="s">
        <v>604</v>
      </c>
      <c r="E118" s="49"/>
      <c r="F118" s="49"/>
      <c r="G118" s="49"/>
      <c r="H118" s="49"/>
      <c r="I118" s="49"/>
      <c r="J118" s="49"/>
      <c r="K118" s="49"/>
      <c r="L118" s="49"/>
      <c r="M118" s="49"/>
      <c r="N118" s="49">
        <v>0.34</v>
      </c>
      <c r="O118" s="49">
        <v>0.62</v>
      </c>
      <c r="P118" s="49"/>
      <c r="Q118" s="49">
        <v>0.65</v>
      </c>
      <c r="R118" s="49"/>
      <c r="S118" s="49"/>
      <c r="T118" s="49"/>
      <c r="U118" s="49"/>
      <c r="V118" s="49"/>
      <c r="W118" s="49"/>
      <c r="X118" s="49"/>
      <c r="Y118" s="49"/>
    </row>
    <row r="119" spans="1:25" ht="14.25" customHeight="1">
      <c r="A119" s="12" t="s">
        <v>376</v>
      </c>
      <c r="B119" s="8" t="s">
        <v>601</v>
      </c>
      <c r="C119" s="9" t="s">
        <v>663</v>
      </c>
      <c r="D119" s="9" t="s">
        <v>604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49">
        <v>0.14000000000000001</v>
      </c>
      <c r="O119" s="49">
        <v>0.49</v>
      </c>
      <c r="P119" s="49"/>
      <c r="Q119" s="49">
        <v>0.65</v>
      </c>
      <c r="R119" s="49"/>
      <c r="S119" s="49"/>
      <c r="T119" s="49"/>
      <c r="U119" s="49"/>
      <c r="V119" s="49"/>
      <c r="W119" s="49"/>
      <c r="X119" s="49"/>
      <c r="Y119" s="49"/>
    </row>
    <row r="120" spans="1:25" ht="14.25" customHeight="1">
      <c r="A120" s="12" t="s">
        <v>377</v>
      </c>
      <c r="B120" s="8" t="s">
        <v>601</v>
      </c>
      <c r="C120" s="9" t="s">
        <v>664</v>
      </c>
      <c r="D120" s="9" t="s">
        <v>604</v>
      </c>
      <c r="E120" s="49"/>
      <c r="F120" s="49"/>
      <c r="G120" s="49"/>
      <c r="H120" s="49"/>
      <c r="I120" s="49"/>
      <c r="J120" s="49"/>
      <c r="K120" s="49"/>
      <c r="L120" s="49"/>
      <c r="M120" s="49"/>
      <c r="N120" s="49">
        <v>0.13</v>
      </c>
      <c r="O120" s="49">
        <v>0.37</v>
      </c>
      <c r="P120" s="49"/>
      <c r="Q120" s="49">
        <v>0.65</v>
      </c>
      <c r="R120" s="49"/>
      <c r="S120" s="49"/>
      <c r="T120" s="49"/>
      <c r="U120" s="49"/>
      <c r="V120" s="49"/>
      <c r="W120" s="49"/>
      <c r="X120" s="49"/>
      <c r="Y120" s="49"/>
    </row>
    <row r="121" spans="1:25" ht="14.25" customHeight="1">
      <c r="A121" s="12"/>
      <c r="B121" s="8"/>
      <c r="C121" s="9"/>
      <c r="D121" s="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spans="1:25" ht="14.25" customHeight="1">
      <c r="A122" s="12" t="s">
        <v>378</v>
      </c>
      <c r="B122" s="8" t="s">
        <v>598</v>
      </c>
      <c r="C122" s="9" t="s">
        <v>665</v>
      </c>
      <c r="D122" s="9" t="s">
        <v>606</v>
      </c>
      <c r="E122" s="49">
        <v>269.02</v>
      </c>
      <c r="F122" s="49"/>
      <c r="G122" s="49">
        <v>150</v>
      </c>
      <c r="H122" s="49">
        <v>272</v>
      </c>
      <c r="I122" s="49">
        <v>101.81</v>
      </c>
      <c r="J122" s="49">
        <v>317.38</v>
      </c>
      <c r="K122" s="49"/>
      <c r="L122" s="49"/>
      <c r="M122" s="49">
        <v>535.34</v>
      </c>
      <c r="N122" s="49">
        <v>589.23</v>
      </c>
      <c r="O122" s="49">
        <v>285</v>
      </c>
      <c r="P122" s="49">
        <v>436.58</v>
      </c>
      <c r="Q122" s="49">
        <v>151.04</v>
      </c>
      <c r="R122" s="49">
        <v>149.35</v>
      </c>
      <c r="S122" s="49">
        <v>170.53</v>
      </c>
      <c r="T122" s="49">
        <v>337.7</v>
      </c>
      <c r="U122" s="49">
        <v>571.03</v>
      </c>
      <c r="V122" s="49"/>
      <c r="W122" s="49">
        <v>297.45999999999998</v>
      </c>
      <c r="X122" s="49"/>
      <c r="Y122" s="49">
        <v>440.41</v>
      </c>
    </row>
    <row r="123" spans="1:25" ht="14.25" customHeight="1">
      <c r="A123" s="12" t="s">
        <v>379</v>
      </c>
      <c r="B123" s="8" t="s">
        <v>598</v>
      </c>
      <c r="C123" s="9" t="s">
        <v>666</v>
      </c>
      <c r="D123" s="9" t="s">
        <v>606</v>
      </c>
      <c r="E123" s="49">
        <v>184.54</v>
      </c>
      <c r="F123" s="49"/>
      <c r="G123" s="49">
        <v>50</v>
      </c>
      <c r="H123" s="49">
        <v>170</v>
      </c>
      <c r="I123" s="49">
        <v>101.81</v>
      </c>
      <c r="J123" s="49">
        <v>267.68</v>
      </c>
      <c r="K123" s="49"/>
      <c r="L123" s="49"/>
      <c r="M123" s="49">
        <v>316.82</v>
      </c>
      <c r="N123" s="49">
        <v>589.23</v>
      </c>
      <c r="O123" s="49">
        <v>285</v>
      </c>
      <c r="P123" s="49">
        <v>369.19</v>
      </c>
      <c r="Q123" s="49">
        <v>127.9</v>
      </c>
      <c r="R123" s="49">
        <v>147.29</v>
      </c>
      <c r="S123" s="49">
        <v>167.75</v>
      </c>
      <c r="T123" s="49">
        <v>293.64999999999998</v>
      </c>
      <c r="U123" s="49">
        <v>337.94</v>
      </c>
      <c r="V123" s="49"/>
      <c r="W123" s="49">
        <v>247.88</v>
      </c>
      <c r="X123" s="49"/>
      <c r="Y123" s="49">
        <v>440.41</v>
      </c>
    </row>
    <row r="124" spans="1:25" ht="14.25" customHeight="1">
      <c r="A124" s="12" t="s">
        <v>380</v>
      </c>
      <c r="B124" s="8" t="s">
        <v>598</v>
      </c>
      <c r="C124" s="9" t="s">
        <v>667</v>
      </c>
      <c r="D124" s="9" t="s">
        <v>606</v>
      </c>
      <c r="E124" s="49">
        <v>157.21</v>
      </c>
      <c r="F124" s="49"/>
      <c r="G124" s="49">
        <v>30</v>
      </c>
      <c r="H124" s="49">
        <v>136</v>
      </c>
      <c r="I124" s="49">
        <v>101.81</v>
      </c>
      <c r="J124" s="49">
        <v>262.58</v>
      </c>
      <c r="K124" s="49"/>
      <c r="L124" s="49"/>
      <c r="M124" s="49">
        <v>239.81</v>
      </c>
      <c r="N124" s="49">
        <v>589.23</v>
      </c>
      <c r="O124" s="49">
        <v>285</v>
      </c>
      <c r="P124" s="49">
        <v>355.71</v>
      </c>
      <c r="Q124" s="49">
        <v>119.32</v>
      </c>
      <c r="R124" s="49">
        <v>145.22999999999999</v>
      </c>
      <c r="S124" s="49">
        <v>161.25</v>
      </c>
      <c r="T124" s="49">
        <v>255.35</v>
      </c>
      <c r="U124" s="49">
        <v>255.79</v>
      </c>
      <c r="V124" s="49"/>
      <c r="W124" s="49">
        <v>198.31</v>
      </c>
      <c r="X124" s="49"/>
      <c r="Y124" s="49">
        <v>440.41</v>
      </c>
    </row>
    <row r="125" spans="1:25" ht="14.25" customHeight="1">
      <c r="A125" s="12" t="s">
        <v>381</v>
      </c>
      <c r="B125" s="8" t="s">
        <v>598</v>
      </c>
      <c r="C125" s="9" t="s">
        <v>668</v>
      </c>
      <c r="D125" s="9" t="s">
        <v>606</v>
      </c>
      <c r="E125" s="49">
        <v>121.21</v>
      </c>
      <c r="F125" s="49"/>
      <c r="G125" s="49">
        <v>75</v>
      </c>
      <c r="H125" s="49">
        <v>102</v>
      </c>
      <c r="I125" s="49">
        <v>63.63</v>
      </c>
      <c r="J125" s="49">
        <v>72.38</v>
      </c>
      <c r="K125" s="49"/>
      <c r="L125" s="49"/>
      <c r="M125" s="49">
        <v>76.55</v>
      </c>
      <c r="N125" s="49">
        <v>135.57</v>
      </c>
      <c r="O125" s="49">
        <v>42.75</v>
      </c>
      <c r="P125" s="49">
        <v>166.32</v>
      </c>
      <c r="Q125" s="49">
        <v>58.85</v>
      </c>
      <c r="R125" s="49">
        <v>25.75</v>
      </c>
      <c r="S125" s="49">
        <v>34.85</v>
      </c>
      <c r="T125" s="49">
        <v>58.87</v>
      </c>
      <c r="U125" s="49">
        <v>81.040000000000006</v>
      </c>
      <c r="V125" s="49"/>
      <c r="W125" s="49">
        <v>55.02</v>
      </c>
      <c r="X125" s="49"/>
      <c r="Y125" s="49">
        <v>395.71</v>
      </c>
    </row>
    <row r="126" spans="1:25" ht="14.25" customHeight="1">
      <c r="A126" s="12" t="s">
        <v>382</v>
      </c>
      <c r="B126" s="8" t="s">
        <v>598</v>
      </c>
      <c r="C126" s="9" t="s">
        <v>669</v>
      </c>
      <c r="D126" s="9" t="s">
        <v>606</v>
      </c>
      <c r="E126" s="49">
        <v>41.57</v>
      </c>
      <c r="F126" s="49"/>
      <c r="G126" s="49">
        <v>35</v>
      </c>
      <c r="H126" s="49">
        <v>68</v>
      </c>
      <c r="I126" s="49">
        <v>63.63</v>
      </c>
      <c r="J126" s="49">
        <v>32.840000000000003</v>
      </c>
      <c r="K126" s="49"/>
      <c r="L126" s="49"/>
      <c r="M126" s="49">
        <v>50.95</v>
      </c>
      <c r="N126" s="49">
        <v>82.45</v>
      </c>
      <c r="O126" s="49">
        <v>40.61</v>
      </c>
      <c r="P126" s="49">
        <v>140.63999999999999</v>
      </c>
      <c r="Q126" s="49">
        <v>35.71</v>
      </c>
      <c r="R126" s="49">
        <v>20.6</v>
      </c>
      <c r="S126" s="49">
        <v>28.69</v>
      </c>
      <c r="T126" s="49">
        <v>51.2</v>
      </c>
      <c r="U126" s="49">
        <v>53.94</v>
      </c>
      <c r="V126" s="49"/>
      <c r="W126" s="49">
        <v>43.67</v>
      </c>
      <c r="X126" s="49"/>
      <c r="Y126" s="49">
        <v>155.43</v>
      </c>
    </row>
    <row r="127" spans="1:25" ht="14.25" customHeight="1">
      <c r="A127" s="12" t="s">
        <v>383</v>
      </c>
      <c r="B127" s="8" t="s">
        <v>598</v>
      </c>
      <c r="C127" s="9" t="s">
        <v>670</v>
      </c>
      <c r="D127" s="9" t="s">
        <v>606</v>
      </c>
      <c r="E127" s="49">
        <v>17.03</v>
      </c>
      <c r="F127" s="49"/>
      <c r="G127" s="49">
        <v>20</v>
      </c>
      <c r="H127" s="49">
        <v>54</v>
      </c>
      <c r="I127" s="49">
        <v>63.63</v>
      </c>
      <c r="J127" s="49">
        <v>20.37</v>
      </c>
      <c r="K127" s="49"/>
      <c r="L127" s="49"/>
      <c r="M127" s="49">
        <v>33.92</v>
      </c>
      <c r="N127" s="49">
        <v>69.180000000000007</v>
      </c>
      <c r="O127" s="49">
        <v>38.58</v>
      </c>
      <c r="P127" s="49">
        <v>135.51</v>
      </c>
      <c r="Q127" s="49">
        <v>27.13</v>
      </c>
      <c r="R127" s="49">
        <v>15.45</v>
      </c>
      <c r="S127" s="49">
        <v>18.79</v>
      </c>
      <c r="T127" s="49">
        <v>44.52</v>
      </c>
      <c r="U127" s="49">
        <v>35.909999999999997</v>
      </c>
      <c r="V127" s="49"/>
      <c r="W127" s="49">
        <v>34.47</v>
      </c>
      <c r="X127" s="49"/>
      <c r="Y127" s="49">
        <v>120</v>
      </c>
    </row>
    <row r="128" spans="1:25" ht="14.25" customHeight="1">
      <c r="A128" s="12"/>
      <c r="B128" s="8"/>
      <c r="C128" s="9"/>
      <c r="D128" s="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spans="1:25" ht="14.25" customHeight="1">
      <c r="A129" s="12" t="s">
        <v>384</v>
      </c>
      <c r="B129" s="8" t="s">
        <v>602</v>
      </c>
      <c r="C129" s="9" t="s">
        <v>665</v>
      </c>
      <c r="D129" s="9" t="s">
        <v>606</v>
      </c>
      <c r="E129" s="49"/>
      <c r="F129" s="49">
        <v>335.09</v>
      </c>
      <c r="G129" s="49">
        <v>150</v>
      </c>
      <c r="H129" s="49">
        <v>272</v>
      </c>
      <c r="I129" s="49"/>
      <c r="J129" s="49"/>
      <c r="K129" s="49">
        <v>65</v>
      </c>
      <c r="L129" s="49">
        <v>353.28</v>
      </c>
      <c r="M129" s="49"/>
      <c r="N129" s="49">
        <v>589.23</v>
      </c>
      <c r="O129" s="49">
        <v>285</v>
      </c>
      <c r="P129" s="49">
        <v>436.58</v>
      </c>
      <c r="Q129" s="49">
        <v>175.12</v>
      </c>
      <c r="R129" s="49"/>
      <c r="S129" s="49"/>
      <c r="T129" s="49">
        <v>337.7</v>
      </c>
      <c r="U129" s="49"/>
      <c r="V129" s="49">
        <v>336.6</v>
      </c>
      <c r="W129" s="49"/>
      <c r="X129" s="49">
        <v>440.41</v>
      </c>
      <c r="Y129" s="49"/>
    </row>
    <row r="130" spans="1:25" ht="14.25" customHeight="1">
      <c r="A130" s="12" t="s">
        <v>385</v>
      </c>
      <c r="B130" s="8" t="s">
        <v>602</v>
      </c>
      <c r="C130" s="9" t="s">
        <v>666</v>
      </c>
      <c r="D130" s="9" t="s">
        <v>606</v>
      </c>
      <c r="E130" s="49"/>
      <c r="F130" s="49">
        <v>335.09</v>
      </c>
      <c r="G130" s="49">
        <v>50</v>
      </c>
      <c r="H130" s="49">
        <v>170</v>
      </c>
      <c r="I130" s="49"/>
      <c r="J130" s="49"/>
      <c r="K130" s="49">
        <v>60</v>
      </c>
      <c r="L130" s="49">
        <v>353.28</v>
      </c>
      <c r="M130" s="49"/>
      <c r="N130" s="49">
        <v>589.23</v>
      </c>
      <c r="O130" s="49">
        <v>285</v>
      </c>
      <c r="P130" s="49">
        <v>369.19</v>
      </c>
      <c r="Q130" s="49">
        <v>149.99</v>
      </c>
      <c r="R130" s="49"/>
      <c r="S130" s="49"/>
      <c r="T130" s="49">
        <v>293.64999999999998</v>
      </c>
      <c r="U130" s="49"/>
      <c r="V130" s="49">
        <v>336.6</v>
      </c>
      <c r="W130" s="49"/>
      <c r="X130" s="49">
        <v>440.41</v>
      </c>
      <c r="Y130" s="49"/>
    </row>
    <row r="131" spans="1:25" ht="14.25" customHeight="1">
      <c r="A131" s="12" t="s">
        <v>386</v>
      </c>
      <c r="B131" s="8" t="s">
        <v>602</v>
      </c>
      <c r="C131" s="9" t="s">
        <v>667</v>
      </c>
      <c r="D131" s="9" t="s">
        <v>606</v>
      </c>
      <c r="E131" s="49"/>
      <c r="F131" s="49">
        <v>335.09</v>
      </c>
      <c r="G131" s="49">
        <v>30</v>
      </c>
      <c r="H131" s="49">
        <v>136</v>
      </c>
      <c r="I131" s="49"/>
      <c r="J131" s="49"/>
      <c r="K131" s="49">
        <v>55</v>
      </c>
      <c r="L131" s="49">
        <v>353.28</v>
      </c>
      <c r="M131" s="49"/>
      <c r="N131" s="49">
        <v>589.23</v>
      </c>
      <c r="O131" s="49">
        <v>285</v>
      </c>
      <c r="P131" s="49">
        <v>355.71</v>
      </c>
      <c r="Q131" s="49">
        <v>134.16</v>
      </c>
      <c r="R131" s="49"/>
      <c r="S131" s="49"/>
      <c r="T131" s="49">
        <v>255.35</v>
      </c>
      <c r="U131" s="49"/>
      <c r="V131" s="49">
        <v>336.6</v>
      </c>
      <c r="W131" s="49"/>
      <c r="X131" s="49">
        <v>440.41</v>
      </c>
      <c r="Y131" s="49"/>
    </row>
    <row r="132" spans="1:25" ht="14.25" customHeight="1">
      <c r="A132" s="12" t="s">
        <v>387</v>
      </c>
      <c r="B132" s="8" t="s">
        <v>602</v>
      </c>
      <c r="C132" s="9" t="s">
        <v>668</v>
      </c>
      <c r="D132" s="9" t="s">
        <v>606</v>
      </c>
      <c r="E132" s="49"/>
      <c r="F132" s="49">
        <v>55.13</v>
      </c>
      <c r="G132" s="49">
        <v>75</v>
      </c>
      <c r="H132" s="49">
        <v>102</v>
      </c>
      <c r="I132" s="49"/>
      <c r="J132" s="49"/>
      <c r="K132" s="49">
        <v>49</v>
      </c>
      <c r="L132" s="49">
        <v>52.99</v>
      </c>
      <c r="M132" s="49"/>
      <c r="N132" s="49">
        <v>135.57</v>
      </c>
      <c r="O132" s="49">
        <v>47.31</v>
      </c>
      <c r="P132" s="49">
        <v>166.32</v>
      </c>
      <c r="Q132" s="49">
        <v>73.53</v>
      </c>
      <c r="R132" s="49"/>
      <c r="S132" s="49"/>
      <c r="T132" s="49">
        <v>58.87</v>
      </c>
      <c r="U132" s="49"/>
      <c r="V132" s="49">
        <v>85</v>
      </c>
      <c r="W132" s="49"/>
      <c r="X132" s="49">
        <v>352.6</v>
      </c>
      <c r="Y132" s="49"/>
    </row>
    <row r="133" spans="1:25" ht="14.25" customHeight="1">
      <c r="A133" s="12" t="s">
        <v>388</v>
      </c>
      <c r="B133" s="8" t="s">
        <v>602</v>
      </c>
      <c r="C133" s="9" t="s">
        <v>669</v>
      </c>
      <c r="D133" s="9" t="s">
        <v>606</v>
      </c>
      <c r="E133" s="49"/>
      <c r="F133" s="49">
        <v>55.13</v>
      </c>
      <c r="G133" s="49">
        <v>35</v>
      </c>
      <c r="H133" s="49">
        <v>68</v>
      </c>
      <c r="I133" s="49"/>
      <c r="J133" s="49"/>
      <c r="K133" s="49">
        <v>49</v>
      </c>
      <c r="L133" s="49">
        <v>52.99</v>
      </c>
      <c r="M133" s="49"/>
      <c r="N133" s="49">
        <v>82.45</v>
      </c>
      <c r="O133" s="49">
        <v>44.94</v>
      </c>
      <c r="P133" s="49">
        <v>140.63999999999999</v>
      </c>
      <c r="Q133" s="49">
        <v>47.84</v>
      </c>
      <c r="R133" s="49"/>
      <c r="S133" s="49"/>
      <c r="T133" s="49">
        <v>51.2</v>
      </c>
      <c r="U133" s="49"/>
      <c r="V133" s="49">
        <v>46.92</v>
      </c>
      <c r="W133" s="49"/>
      <c r="X133" s="49">
        <v>186.39</v>
      </c>
      <c r="Y133" s="49"/>
    </row>
    <row r="134" spans="1:25" ht="14.25" customHeight="1">
      <c r="A134" s="12" t="s">
        <v>389</v>
      </c>
      <c r="B134" s="8" t="s">
        <v>602</v>
      </c>
      <c r="C134" s="9" t="s">
        <v>670</v>
      </c>
      <c r="D134" s="9" t="s">
        <v>606</v>
      </c>
      <c r="E134" s="49"/>
      <c r="F134" s="49">
        <v>55.13</v>
      </c>
      <c r="G134" s="49">
        <v>20</v>
      </c>
      <c r="H134" s="49">
        <v>54</v>
      </c>
      <c r="I134" s="49"/>
      <c r="J134" s="49"/>
      <c r="K134" s="49">
        <v>49</v>
      </c>
      <c r="L134" s="49">
        <v>35.33</v>
      </c>
      <c r="M134" s="49"/>
      <c r="N134" s="49">
        <v>69.180000000000007</v>
      </c>
      <c r="O134" s="49">
        <v>42.69</v>
      </c>
      <c r="P134" s="49">
        <v>135.51</v>
      </c>
      <c r="Q134" s="49">
        <v>32.58</v>
      </c>
      <c r="R134" s="49"/>
      <c r="S134" s="49"/>
      <c r="T134" s="49">
        <v>44.52</v>
      </c>
      <c r="U134" s="49"/>
      <c r="V134" s="49">
        <v>38.76</v>
      </c>
      <c r="W134" s="49"/>
      <c r="X134" s="49">
        <v>121.73</v>
      </c>
      <c r="Y134" s="49"/>
    </row>
    <row r="135" spans="1:25" ht="14.25" customHeight="1">
      <c r="A135" s="12"/>
      <c r="B135" s="8"/>
      <c r="C135" s="9"/>
      <c r="D135" s="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spans="1:25" ht="14.25" customHeight="1">
      <c r="A136" s="12" t="s">
        <v>390</v>
      </c>
      <c r="B136" s="8" t="s">
        <v>600</v>
      </c>
      <c r="C136" s="9" t="s">
        <v>665</v>
      </c>
      <c r="D136" s="9" t="s">
        <v>606</v>
      </c>
      <c r="E136" s="49"/>
      <c r="F136" s="49"/>
      <c r="G136" s="49"/>
      <c r="H136" s="49"/>
      <c r="I136" s="49"/>
      <c r="J136" s="49"/>
      <c r="K136" s="49">
        <v>65</v>
      </c>
      <c r="L136" s="49"/>
      <c r="M136" s="49"/>
      <c r="N136" s="52">
        <v>648.15</v>
      </c>
      <c r="O136" s="49"/>
      <c r="P136" s="49">
        <v>436.58</v>
      </c>
      <c r="Q136" s="49">
        <v>222.41</v>
      </c>
      <c r="R136" s="49"/>
      <c r="S136" s="49"/>
      <c r="T136" s="49">
        <v>448.13</v>
      </c>
      <c r="U136" s="49"/>
      <c r="V136" s="49"/>
      <c r="W136" s="49"/>
      <c r="X136" s="49"/>
      <c r="Y136" s="49"/>
    </row>
    <row r="137" spans="1:25" ht="14.25" customHeight="1">
      <c r="A137" s="12" t="s">
        <v>391</v>
      </c>
      <c r="B137" s="8" t="s">
        <v>600</v>
      </c>
      <c r="C137" s="9" t="s">
        <v>666</v>
      </c>
      <c r="D137" s="9" t="s">
        <v>606</v>
      </c>
      <c r="E137" s="49"/>
      <c r="F137" s="49"/>
      <c r="G137" s="49"/>
      <c r="H137" s="49"/>
      <c r="I137" s="49"/>
      <c r="J137" s="49"/>
      <c r="K137" s="49">
        <v>60</v>
      </c>
      <c r="L137" s="49"/>
      <c r="M137" s="49"/>
      <c r="N137" s="52">
        <v>648.15</v>
      </c>
      <c r="O137" s="49"/>
      <c r="P137" s="49">
        <v>369.19</v>
      </c>
      <c r="Q137" s="49">
        <v>154.38999999999999</v>
      </c>
      <c r="R137" s="49"/>
      <c r="S137" s="49"/>
      <c r="T137" s="49">
        <v>389.68</v>
      </c>
      <c r="U137" s="49"/>
      <c r="V137" s="49"/>
      <c r="W137" s="49"/>
      <c r="X137" s="49"/>
      <c r="Y137" s="49"/>
    </row>
    <row r="138" spans="1:25" ht="14.25" customHeight="1">
      <c r="A138" s="12" t="s">
        <v>392</v>
      </c>
      <c r="B138" s="8" t="s">
        <v>600</v>
      </c>
      <c r="C138" s="9" t="s">
        <v>667</v>
      </c>
      <c r="D138" s="9" t="s">
        <v>606</v>
      </c>
      <c r="E138" s="49"/>
      <c r="F138" s="49"/>
      <c r="G138" s="49"/>
      <c r="H138" s="49"/>
      <c r="I138" s="49"/>
      <c r="J138" s="49"/>
      <c r="K138" s="49">
        <v>55</v>
      </c>
      <c r="L138" s="49"/>
      <c r="M138" s="49"/>
      <c r="N138" s="52">
        <v>648.15</v>
      </c>
      <c r="O138" s="49"/>
      <c r="P138" s="49">
        <v>355.71</v>
      </c>
      <c r="Q138" s="49">
        <v>139.56</v>
      </c>
      <c r="R138" s="49"/>
      <c r="S138" s="49"/>
      <c r="T138" s="49">
        <v>338.85</v>
      </c>
      <c r="U138" s="49"/>
      <c r="V138" s="49"/>
      <c r="W138" s="49"/>
      <c r="X138" s="49"/>
      <c r="Y138" s="49"/>
    </row>
    <row r="139" spans="1:25" ht="14.25" customHeight="1">
      <c r="A139" s="12" t="s">
        <v>393</v>
      </c>
      <c r="B139" s="8" t="s">
        <v>600</v>
      </c>
      <c r="C139" s="9" t="s">
        <v>668</v>
      </c>
      <c r="D139" s="9" t="s">
        <v>606</v>
      </c>
      <c r="E139" s="49"/>
      <c r="F139" s="49"/>
      <c r="G139" s="49"/>
      <c r="H139" s="49"/>
      <c r="I139" s="49"/>
      <c r="J139" s="49"/>
      <c r="K139" s="49">
        <v>49</v>
      </c>
      <c r="L139" s="49"/>
      <c r="M139" s="49"/>
      <c r="N139" s="49">
        <v>135.57</v>
      </c>
      <c r="O139" s="49"/>
      <c r="P139" s="49">
        <v>166.32</v>
      </c>
      <c r="Q139" s="49">
        <v>118.7</v>
      </c>
      <c r="R139" s="49"/>
      <c r="S139" s="49"/>
      <c r="T139" s="49">
        <v>78.13</v>
      </c>
      <c r="U139" s="49"/>
      <c r="V139" s="49"/>
      <c r="W139" s="49"/>
      <c r="X139" s="49"/>
      <c r="Y139" s="49"/>
    </row>
    <row r="140" spans="1:25" ht="14.25" customHeight="1">
      <c r="A140" s="12" t="s">
        <v>394</v>
      </c>
      <c r="B140" s="8" t="s">
        <v>600</v>
      </c>
      <c r="C140" s="9" t="s">
        <v>669</v>
      </c>
      <c r="D140" s="9" t="s">
        <v>606</v>
      </c>
      <c r="E140" s="49"/>
      <c r="F140" s="49"/>
      <c r="G140" s="49"/>
      <c r="H140" s="49"/>
      <c r="I140" s="49"/>
      <c r="J140" s="49"/>
      <c r="K140" s="49">
        <v>49</v>
      </c>
      <c r="L140" s="49"/>
      <c r="M140" s="49"/>
      <c r="N140" s="49">
        <v>82.45</v>
      </c>
      <c r="O140" s="49"/>
      <c r="P140" s="49">
        <v>140.63999999999999</v>
      </c>
      <c r="Q140" s="49">
        <v>50.67</v>
      </c>
      <c r="R140" s="49"/>
      <c r="S140" s="49"/>
      <c r="T140" s="49">
        <v>67.94</v>
      </c>
      <c r="U140" s="49"/>
      <c r="V140" s="49"/>
      <c r="W140" s="49"/>
      <c r="X140" s="49"/>
      <c r="Y140" s="49"/>
    </row>
    <row r="141" spans="1:25" ht="14.25" customHeight="1">
      <c r="A141" s="12" t="s">
        <v>395</v>
      </c>
      <c r="B141" s="8" t="s">
        <v>600</v>
      </c>
      <c r="C141" s="9" t="s">
        <v>670</v>
      </c>
      <c r="D141" s="9" t="s">
        <v>606</v>
      </c>
      <c r="E141" s="49"/>
      <c r="F141" s="49"/>
      <c r="G141" s="49"/>
      <c r="H141" s="49"/>
      <c r="I141" s="49"/>
      <c r="J141" s="49"/>
      <c r="K141" s="49">
        <v>49</v>
      </c>
      <c r="L141" s="49"/>
      <c r="M141" s="49"/>
      <c r="N141" s="49">
        <v>69.180000000000007</v>
      </c>
      <c r="O141" s="49"/>
      <c r="P141" s="49">
        <v>135.57</v>
      </c>
      <c r="Q141" s="49">
        <v>35.76</v>
      </c>
      <c r="R141" s="49"/>
      <c r="S141" s="49"/>
      <c r="T141" s="49">
        <v>59.08</v>
      </c>
      <c r="U141" s="49"/>
      <c r="V141" s="49"/>
      <c r="W141" s="49"/>
      <c r="X141" s="49"/>
      <c r="Y141" s="49"/>
    </row>
    <row r="142" spans="1:25" ht="14.25" customHeight="1">
      <c r="A142" s="12"/>
      <c r="B142" s="8"/>
      <c r="C142" s="9"/>
      <c r="D142" s="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spans="1:25" ht="14.25" customHeight="1">
      <c r="A143" s="12" t="s">
        <v>396</v>
      </c>
      <c r="B143" s="8" t="s">
        <v>601</v>
      </c>
      <c r="C143" s="9" t="s">
        <v>665</v>
      </c>
      <c r="D143" s="9" t="s">
        <v>606</v>
      </c>
      <c r="E143" s="49">
        <v>269.02</v>
      </c>
      <c r="F143" s="49"/>
      <c r="G143" s="49"/>
      <c r="H143" s="49"/>
      <c r="I143" s="49">
        <v>101.81</v>
      </c>
      <c r="J143" s="49">
        <v>317.38</v>
      </c>
      <c r="K143" s="49"/>
      <c r="L143" s="49">
        <v>353.28</v>
      </c>
      <c r="M143" s="49">
        <v>535.34</v>
      </c>
      <c r="N143" s="49">
        <v>589.23</v>
      </c>
      <c r="O143" s="49">
        <v>285</v>
      </c>
      <c r="P143" s="49"/>
      <c r="Q143" s="49">
        <v>148.13999999999999</v>
      </c>
      <c r="R143" s="49">
        <v>149.35</v>
      </c>
      <c r="S143" s="49">
        <v>170.53</v>
      </c>
      <c r="T143" s="49"/>
      <c r="U143" s="49"/>
      <c r="V143" s="49"/>
      <c r="W143" s="49"/>
      <c r="X143" s="49"/>
      <c r="Y143" s="49"/>
    </row>
    <row r="144" spans="1:25" ht="14.25" customHeight="1">
      <c r="A144" s="12" t="s">
        <v>397</v>
      </c>
      <c r="B144" s="8" t="s">
        <v>601</v>
      </c>
      <c r="C144" s="9" t="s">
        <v>666</v>
      </c>
      <c r="D144" s="9" t="s">
        <v>606</v>
      </c>
      <c r="E144" s="49">
        <v>184.54</v>
      </c>
      <c r="F144" s="49"/>
      <c r="G144" s="49"/>
      <c r="H144" s="49"/>
      <c r="I144" s="49">
        <v>101.81</v>
      </c>
      <c r="J144" s="49">
        <v>267.68</v>
      </c>
      <c r="K144" s="49"/>
      <c r="L144" s="49">
        <v>353.28</v>
      </c>
      <c r="M144" s="49">
        <v>316.82</v>
      </c>
      <c r="N144" s="49">
        <v>589.23</v>
      </c>
      <c r="O144" s="49">
        <v>285</v>
      </c>
      <c r="P144" s="49"/>
      <c r="Q144" s="49">
        <v>125.44</v>
      </c>
      <c r="R144" s="49">
        <v>147.29</v>
      </c>
      <c r="S144" s="49">
        <v>167.75</v>
      </c>
      <c r="T144" s="49"/>
      <c r="U144" s="49"/>
      <c r="V144" s="49"/>
      <c r="W144" s="49"/>
      <c r="X144" s="49"/>
      <c r="Y144" s="49"/>
    </row>
    <row r="145" spans="1:25" ht="14.25" customHeight="1">
      <c r="A145" s="12" t="s">
        <v>398</v>
      </c>
      <c r="B145" s="8" t="s">
        <v>601</v>
      </c>
      <c r="C145" s="9" t="s">
        <v>667</v>
      </c>
      <c r="D145" s="9" t="s">
        <v>606</v>
      </c>
      <c r="E145" s="49">
        <v>157.21</v>
      </c>
      <c r="F145" s="49"/>
      <c r="G145" s="49"/>
      <c r="H145" s="49"/>
      <c r="I145" s="49">
        <v>101.81</v>
      </c>
      <c r="J145" s="49">
        <v>262.58</v>
      </c>
      <c r="K145" s="49"/>
      <c r="L145" s="49">
        <v>353.28</v>
      </c>
      <c r="M145" s="49">
        <v>239.81</v>
      </c>
      <c r="N145" s="49">
        <v>589.23</v>
      </c>
      <c r="O145" s="49">
        <v>285</v>
      </c>
      <c r="P145" s="49"/>
      <c r="Q145" s="49">
        <v>117.02</v>
      </c>
      <c r="R145" s="49">
        <v>145.22999999999999</v>
      </c>
      <c r="S145" s="49">
        <v>161.25</v>
      </c>
      <c r="T145" s="49"/>
      <c r="U145" s="49"/>
      <c r="V145" s="49"/>
      <c r="W145" s="49"/>
      <c r="X145" s="49"/>
      <c r="Y145" s="49"/>
    </row>
    <row r="146" spans="1:25" ht="14.25" customHeight="1">
      <c r="A146" s="12" t="s">
        <v>399</v>
      </c>
      <c r="B146" s="8" t="s">
        <v>601</v>
      </c>
      <c r="C146" s="9" t="s">
        <v>668</v>
      </c>
      <c r="D146" s="9" t="s">
        <v>606</v>
      </c>
      <c r="E146" s="49">
        <v>121.21</v>
      </c>
      <c r="F146" s="49"/>
      <c r="G146" s="49"/>
      <c r="H146" s="49"/>
      <c r="I146" s="49">
        <v>63.63</v>
      </c>
      <c r="J146" s="49">
        <v>72.38</v>
      </c>
      <c r="K146" s="49"/>
      <c r="L146" s="49">
        <v>52.99</v>
      </c>
      <c r="M146" s="49">
        <v>76.55</v>
      </c>
      <c r="N146" s="49">
        <v>135.57</v>
      </c>
      <c r="O146" s="49">
        <v>42.75</v>
      </c>
      <c r="P146" s="49"/>
      <c r="Q146" s="49">
        <v>57.72</v>
      </c>
      <c r="R146" s="49">
        <v>25.75</v>
      </c>
      <c r="S146" s="49">
        <v>34.85</v>
      </c>
      <c r="T146" s="49"/>
      <c r="U146" s="49"/>
      <c r="V146" s="49"/>
      <c r="W146" s="49"/>
      <c r="X146" s="49"/>
      <c r="Y146" s="49"/>
    </row>
    <row r="147" spans="1:25" ht="14.25" customHeight="1">
      <c r="A147" s="12" t="s">
        <v>400</v>
      </c>
      <c r="B147" s="8" t="s">
        <v>601</v>
      </c>
      <c r="C147" s="9" t="s">
        <v>669</v>
      </c>
      <c r="D147" s="9" t="s">
        <v>606</v>
      </c>
      <c r="E147" s="49">
        <v>41.57</v>
      </c>
      <c r="F147" s="49"/>
      <c r="G147" s="49"/>
      <c r="H147" s="49"/>
      <c r="I147" s="49">
        <v>63.63</v>
      </c>
      <c r="J147" s="49">
        <v>32.840000000000003</v>
      </c>
      <c r="K147" s="49"/>
      <c r="L147" s="49">
        <v>45.93</v>
      </c>
      <c r="M147" s="49">
        <v>50.95</v>
      </c>
      <c r="N147" s="49">
        <v>82.45</v>
      </c>
      <c r="O147" s="49">
        <v>40.61</v>
      </c>
      <c r="P147" s="49"/>
      <c r="Q147" s="49">
        <v>35.03</v>
      </c>
      <c r="R147" s="49">
        <v>20.6</v>
      </c>
      <c r="S147" s="49">
        <v>28.69</v>
      </c>
      <c r="T147" s="49"/>
      <c r="U147" s="49"/>
      <c r="V147" s="49"/>
      <c r="W147" s="49"/>
      <c r="X147" s="49"/>
      <c r="Y147" s="49"/>
    </row>
    <row r="148" spans="1:25" ht="14.25" customHeight="1">
      <c r="A148" s="12" t="s">
        <v>401</v>
      </c>
      <c r="B148" s="8" t="s">
        <v>601</v>
      </c>
      <c r="C148" s="9" t="s">
        <v>670</v>
      </c>
      <c r="D148" s="9" t="s">
        <v>606</v>
      </c>
      <c r="E148" s="49">
        <v>17.03</v>
      </c>
      <c r="F148" s="49"/>
      <c r="G148" s="49"/>
      <c r="H148" s="49"/>
      <c r="I148" s="49">
        <v>63.63</v>
      </c>
      <c r="J148" s="49">
        <v>20.37</v>
      </c>
      <c r="K148" s="49"/>
      <c r="L148" s="49">
        <v>45.93</v>
      </c>
      <c r="M148" s="49">
        <v>33.92</v>
      </c>
      <c r="N148" s="49">
        <v>69.180000000000007</v>
      </c>
      <c r="O148" s="49">
        <v>38.58</v>
      </c>
      <c r="P148" s="49"/>
      <c r="Q148" s="49">
        <v>26.61</v>
      </c>
      <c r="R148" s="49">
        <v>15.45</v>
      </c>
      <c r="S148" s="49">
        <v>18.79</v>
      </c>
      <c r="T148" s="49"/>
      <c r="U148" s="49"/>
      <c r="V148" s="49"/>
      <c r="W148" s="49"/>
      <c r="X148" s="49"/>
      <c r="Y148" s="49"/>
    </row>
    <row r="149" spans="1:25" ht="14.25" customHeight="1">
      <c r="A149" s="12"/>
      <c r="B149" s="8"/>
      <c r="C149" s="9"/>
      <c r="D149" s="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spans="1:25" ht="14.25" customHeight="1">
      <c r="A150" s="12" t="s">
        <v>402</v>
      </c>
      <c r="B150" s="8" t="s">
        <v>598</v>
      </c>
      <c r="C150" s="9" t="s">
        <v>623</v>
      </c>
      <c r="D150" s="9" t="s">
        <v>607</v>
      </c>
      <c r="E150" s="49">
        <v>354.63</v>
      </c>
      <c r="F150" s="49"/>
      <c r="G150" s="49">
        <v>108.14</v>
      </c>
      <c r="H150" s="49">
        <v>197</v>
      </c>
      <c r="I150" s="49">
        <v>146.84</v>
      </c>
      <c r="J150" s="49">
        <v>179</v>
      </c>
      <c r="K150" s="49"/>
      <c r="L150" s="49"/>
      <c r="M150" s="49">
        <v>209</v>
      </c>
      <c r="N150" s="49">
        <v>146.97999999999999</v>
      </c>
      <c r="O150" s="49">
        <v>179.06</v>
      </c>
      <c r="P150" s="49">
        <v>180.98</v>
      </c>
      <c r="Q150" s="49">
        <v>238</v>
      </c>
      <c r="R150" s="49">
        <v>149.35</v>
      </c>
      <c r="S150" s="49">
        <v>165</v>
      </c>
      <c r="T150" s="49">
        <v>262.18</v>
      </c>
      <c r="U150" s="49">
        <v>187</v>
      </c>
      <c r="V150" s="49"/>
      <c r="W150" s="49">
        <v>137.97</v>
      </c>
      <c r="X150" s="49"/>
      <c r="Y150" s="49">
        <v>187.37</v>
      </c>
    </row>
    <row r="151" spans="1:25" ht="14.25" customHeight="1">
      <c r="A151" s="12" t="s">
        <v>403</v>
      </c>
      <c r="B151" s="8" t="s">
        <v>598</v>
      </c>
      <c r="C151" s="9" t="s">
        <v>624</v>
      </c>
      <c r="D151" s="9" t="s">
        <v>607</v>
      </c>
      <c r="E151" s="49">
        <v>210.53</v>
      </c>
      <c r="F151" s="49"/>
      <c r="G151" s="49">
        <v>69.66</v>
      </c>
      <c r="H151" s="49">
        <v>158</v>
      </c>
      <c r="I151" s="49">
        <v>91.78</v>
      </c>
      <c r="J151" s="49">
        <v>107</v>
      </c>
      <c r="K151" s="49"/>
      <c r="L151" s="49"/>
      <c r="M151" s="49">
        <v>175</v>
      </c>
      <c r="N151" s="49">
        <v>413.28</v>
      </c>
      <c r="O151" s="49">
        <v>124.13</v>
      </c>
      <c r="P151" s="49">
        <v>266.7</v>
      </c>
      <c r="Q151" s="49">
        <v>165</v>
      </c>
      <c r="R151" s="49">
        <v>149.35</v>
      </c>
      <c r="S151" s="49">
        <v>175</v>
      </c>
      <c r="T151" s="49">
        <v>221.93</v>
      </c>
      <c r="U151" s="49">
        <v>187</v>
      </c>
      <c r="V151" s="49"/>
      <c r="W151" s="49">
        <v>104.92</v>
      </c>
      <c r="X151" s="49"/>
      <c r="Y151" s="49">
        <v>178.46</v>
      </c>
    </row>
    <row r="152" spans="1:25" ht="14.25" customHeight="1">
      <c r="A152" s="12" t="s">
        <v>404</v>
      </c>
      <c r="B152" s="8" t="s">
        <v>598</v>
      </c>
      <c r="C152" s="9" t="s">
        <v>625</v>
      </c>
      <c r="D152" s="9" t="s">
        <v>607</v>
      </c>
      <c r="E152" s="49">
        <v>321.68</v>
      </c>
      <c r="F152" s="49"/>
      <c r="G152" s="49">
        <v>85.6</v>
      </c>
      <c r="H152" s="49">
        <v>186</v>
      </c>
      <c r="I152" s="49">
        <v>107.07</v>
      </c>
      <c r="J152" s="49">
        <v>121</v>
      </c>
      <c r="K152" s="49"/>
      <c r="L152" s="49"/>
      <c r="M152" s="49">
        <v>209</v>
      </c>
      <c r="N152" s="49">
        <v>348.02</v>
      </c>
      <c r="O152" s="49">
        <v>143.04</v>
      </c>
      <c r="P152" s="49">
        <v>320.04000000000002</v>
      </c>
      <c r="Q152" s="49">
        <v>194</v>
      </c>
      <c r="R152" s="49">
        <v>154.5</v>
      </c>
      <c r="S152" s="49">
        <v>208</v>
      </c>
      <c r="T152" s="49">
        <v>230.69</v>
      </c>
      <c r="U152" s="49">
        <v>276</v>
      </c>
      <c r="V152" s="49"/>
      <c r="W152" s="49">
        <v>137.97</v>
      </c>
      <c r="X152" s="49"/>
      <c r="Y152" s="49">
        <v>185.36</v>
      </c>
    </row>
    <row r="153" spans="1:25" ht="14.25" customHeight="1">
      <c r="A153" s="12" t="s">
        <v>405</v>
      </c>
      <c r="B153" s="8" t="s">
        <v>598</v>
      </c>
      <c r="C153" s="9" t="s">
        <v>626</v>
      </c>
      <c r="D153" s="9" t="s">
        <v>607</v>
      </c>
      <c r="E153" s="49">
        <v>369.82</v>
      </c>
      <c r="F153" s="49"/>
      <c r="G153" s="49">
        <v>114.12</v>
      </c>
      <c r="H153" s="49">
        <v>201</v>
      </c>
      <c r="I153" s="49">
        <v>128.49</v>
      </c>
      <c r="J153" s="49">
        <v>136</v>
      </c>
      <c r="K153" s="49"/>
      <c r="L153" s="49"/>
      <c r="M153" s="49">
        <v>260</v>
      </c>
      <c r="N153" s="49">
        <v>284.41000000000003</v>
      </c>
      <c r="O153" s="49">
        <v>182.08</v>
      </c>
      <c r="P153" s="49">
        <v>393.38</v>
      </c>
      <c r="Q153" s="49">
        <v>238</v>
      </c>
      <c r="R153" s="49">
        <v>164.8</v>
      </c>
      <c r="S153" s="49">
        <v>232</v>
      </c>
      <c r="T153" s="49">
        <v>312.10000000000002</v>
      </c>
      <c r="U153" s="49">
        <v>354</v>
      </c>
      <c r="V153" s="49"/>
      <c r="W153" s="49">
        <v>161.88</v>
      </c>
      <c r="X153" s="49"/>
      <c r="Y153" s="49">
        <v>207.79</v>
      </c>
    </row>
    <row r="154" spans="1:25" ht="14.25" customHeight="1">
      <c r="A154" s="12" t="s">
        <v>406</v>
      </c>
      <c r="B154" s="8" t="s">
        <v>598</v>
      </c>
      <c r="C154" s="9" t="s">
        <v>627</v>
      </c>
      <c r="D154" s="9" t="s">
        <v>607</v>
      </c>
      <c r="E154" s="49">
        <v>167.25</v>
      </c>
      <c r="F154" s="49"/>
      <c r="G154" s="49">
        <v>78.94</v>
      </c>
      <c r="H154" s="49">
        <v>156</v>
      </c>
      <c r="I154" s="49">
        <v>97.9</v>
      </c>
      <c r="J154" s="49">
        <v>108</v>
      </c>
      <c r="K154" s="49"/>
      <c r="L154" s="49"/>
      <c r="M154" s="49">
        <v>120</v>
      </c>
      <c r="N154" s="49">
        <v>81.260000000000005</v>
      </c>
      <c r="O154" s="49">
        <v>120.99</v>
      </c>
      <c r="P154" s="49">
        <v>129.54</v>
      </c>
      <c r="Q154" s="49">
        <v>142</v>
      </c>
      <c r="R154" s="49">
        <v>79</v>
      </c>
      <c r="S154" s="49">
        <v>79</v>
      </c>
      <c r="T154" s="49">
        <v>158.05000000000001</v>
      </c>
      <c r="U154" s="49">
        <v>101</v>
      </c>
      <c r="V154" s="49"/>
      <c r="W154" s="49">
        <v>137.97</v>
      </c>
      <c r="X154" s="49"/>
      <c r="Y154" s="49">
        <v>118.32</v>
      </c>
    </row>
    <row r="155" spans="1:25" ht="14.25" customHeight="1">
      <c r="A155" s="12" t="s">
        <v>407</v>
      </c>
      <c r="B155" s="8" t="s">
        <v>598</v>
      </c>
      <c r="C155" s="9" t="s">
        <v>628</v>
      </c>
      <c r="D155" s="9" t="s">
        <v>607</v>
      </c>
      <c r="E155" s="49">
        <v>277.87</v>
      </c>
      <c r="F155" s="49"/>
      <c r="G155" s="49">
        <v>101.27</v>
      </c>
      <c r="H155" s="49">
        <v>201</v>
      </c>
      <c r="I155" s="49">
        <v>128.49</v>
      </c>
      <c r="J155" s="49">
        <v>158</v>
      </c>
      <c r="K155" s="49"/>
      <c r="L155" s="49"/>
      <c r="M155" s="49">
        <v>209</v>
      </c>
      <c r="N155" s="49">
        <v>154.82</v>
      </c>
      <c r="O155" s="49">
        <v>216.59</v>
      </c>
      <c r="P155" s="49">
        <v>180.98</v>
      </c>
      <c r="Q155" s="49">
        <v>194</v>
      </c>
      <c r="R155" s="49">
        <v>144.19999999999999</v>
      </c>
      <c r="S155" s="49">
        <v>211</v>
      </c>
      <c r="T155" s="49">
        <v>176.86</v>
      </c>
      <c r="U155" s="49">
        <v>354</v>
      </c>
      <c r="V155" s="49"/>
      <c r="W155" s="49">
        <v>161.88</v>
      </c>
      <c r="X155" s="49"/>
      <c r="Y155" s="49">
        <v>207.79</v>
      </c>
    </row>
    <row r="156" spans="1:25" ht="14.25" customHeight="1">
      <c r="A156" s="12" t="s">
        <v>408</v>
      </c>
      <c r="B156" s="8" t="s">
        <v>598</v>
      </c>
      <c r="C156" s="9" t="s">
        <v>629</v>
      </c>
      <c r="D156" s="9" t="s">
        <v>607</v>
      </c>
      <c r="E156" s="49">
        <v>210.53</v>
      </c>
      <c r="F156" s="49"/>
      <c r="G156" s="49">
        <v>91.3</v>
      </c>
      <c r="H156" s="49">
        <v>177</v>
      </c>
      <c r="I156" s="49">
        <v>116.25</v>
      </c>
      <c r="J156" s="49">
        <v>95</v>
      </c>
      <c r="K156" s="49"/>
      <c r="L156" s="49"/>
      <c r="M156" s="49">
        <v>175</v>
      </c>
      <c r="N156" s="49">
        <v>93.27</v>
      </c>
      <c r="O156" s="49">
        <v>143.04</v>
      </c>
      <c r="P156" s="49">
        <v>160.02000000000001</v>
      </c>
      <c r="Q156" s="49">
        <v>165</v>
      </c>
      <c r="R156" s="49">
        <v>123.6</v>
      </c>
      <c r="S156" s="49">
        <v>168</v>
      </c>
      <c r="T156" s="49">
        <v>124.44</v>
      </c>
      <c r="U156" s="49">
        <v>183</v>
      </c>
      <c r="V156" s="49"/>
      <c r="W156" s="49">
        <v>161.88</v>
      </c>
      <c r="X156" s="49"/>
      <c r="Y156" s="49">
        <v>159.30000000000001</v>
      </c>
    </row>
    <row r="157" spans="1:25" ht="14.25" customHeight="1">
      <c r="A157" s="12" t="s">
        <v>409</v>
      </c>
      <c r="B157" s="8" t="s">
        <v>598</v>
      </c>
      <c r="C157" s="9" t="s">
        <v>630</v>
      </c>
      <c r="D157" s="9" t="s">
        <v>607</v>
      </c>
      <c r="E157" s="49">
        <v>111.57</v>
      </c>
      <c r="F157" s="49"/>
      <c r="G157" s="49">
        <v>79.61</v>
      </c>
      <c r="H157" s="49">
        <v>166</v>
      </c>
      <c r="I157" s="49">
        <v>97.9</v>
      </c>
      <c r="J157" s="49">
        <v>94</v>
      </c>
      <c r="K157" s="49"/>
      <c r="L157" s="49"/>
      <c r="M157" s="49">
        <v>105</v>
      </c>
      <c r="N157" s="49">
        <v>75.47</v>
      </c>
      <c r="O157" s="49">
        <v>143.04</v>
      </c>
      <c r="P157" s="49">
        <v>129.54</v>
      </c>
      <c r="Q157" s="49">
        <v>114</v>
      </c>
      <c r="R157" s="49">
        <v>98</v>
      </c>
      <c r="S157" s="49">
        <v>98</v>
      </c>
      <c r="T157" s="49">
        <v>134.43</v>
      </c>
      <c r="U157" s="49">
        <v>140</v>
      </c>
      <c r="V157" s="49"/>
      <c r="W157" s="49">
        <v>137.97</v>
      </c>
      <c r="X157" s="49"/>
      <c r="Y157" s="49">
        <v>94.32</v>
      </c>
    </row>
    <row r="158" spans="1:25" ht="14.25" customHeight="1">
      <c r="A158" s="12" t="s">
        <v>410</v>
      </c>
      <c r="B158" s="8" t="s">
        <v>598</v>
      </c>
      <c r="C158" s="9" t="s">
        <v>631</v>
      </c>
      <c r="D158" s="9" t="s">
        <v>607</v>
      </c>
      <c r="E158" s="49">
        <v>277.87</v>
      </c>
      <c r="F158" s="49"/>
      <c r="G158" s="49">
        <v>120.27</v>
      </c>
      <c r="H158" s="49">
        <v>115</v>
      </c>
      <c r="I158" s="49">
        <v>128.49</v>
      </c>
      <c r="J158" s="49">
        <v>136</v>
      </c>
      <c r="K158" s="49"/>
      <c r="L158" s="49"/>
      <c r="M158" s="49">
        <v>175</v>
      </c>
      <c r="N158" s="49">
        <v>121.38</v>
      </c>
      <c r="O158" s="49">
        <v>130.99</v>
      </c>
      <c r="P158" s="49">
        <v>196.22</v>
      </c>
      <c r="Q158" s="49">
        <v>142</v>
      </c>
      <c r="R158" s="49">
        <v>232</v>
      </c>
      <c r="S158" s="49">
        <v>232</v>
      </c>
      <c r="T158" s="49">
        <v>167.94</v>
      </c>
      <c r="U158" s="49">
        <v>140</v>
      </c>
      <c r="V158" s="49"/>
      <c r="W158" s="49">
        <v>137.97</v>
      </c>
      <c r="X158" s="49"/>
      <c r="Y158" s="49">
        <v>154.16</v>
      </c>
    </row>
    <row r="159" spans="1:25" ht="14.25" customHeight="1">
      <c r="A159" s="12" t="s">
        <v>411</v>
      </c>
      <c r="B159" s="8" t="s">
        <v>598</v>
      </c>
      <c r="C159" s="9" t="s">
        <v>632</v>
      </c>
      <c r="D159" s="9" t="s">
        <v>607</v>
      </c>
      <c r="E159" s="49">
        <v>217.75</v>
      </c>
      <c r="F159" s="49"/>
      <c r="G159" s="49">
        <v>77.27</v>
      </c>
      <c r="H159" s="49">
        <v>197</v>
      </c>
      <c r="I159" s="49">
        <v>128.49</v>
      </c>
      <c r="J159" s="49">
        <v>162</v>
      </c>
      <c r="K159" s="49"/>
      <c r="L159" s="49"/>
      <c r="M159" s="49">
        <v>137</v>
      </c>
      <c r="N159" s="49">
        <v>132.47999999999999</v>
      </c>
      <c r="O159" s="49">
        <v>130.99</v>
      </c>
      <c r="P159" s="49">
        <v>160.02000000000001</v>
      </c>
      <c r="Q159" s="49">
        <v>114</v>
      </c>
      <c r="R159" s="49">
        <v>144</v>
      </c>
      <c r="S159" s="49">
        <v>144</v>
      </c>
      <c r="T159" s="49">
        <v>166.19</v>
      </c>
      <c r="U159" s="49">
        <v>101</v>
      </c>
      <c r="V159" s="49"/>
      <c r="W159" s="49">
        <v>137.97</v>
      </c>
      <c r="X159" s="49"/>
      <c r="Y159" s="49">
        <v>207.79</v>
      </c>
    </row>
    <row r="160" spans="1:25" ht="14.25" customHeight="1">
      <c r="A160" s="12" t="s">
        <v>412</v>
      </c>
      <c r="B160" s="8" t="s">
        <v>598</v>
      </c>
      <c r="C160" s="9" t="s">
        <v>633</v>
      </c>
      <c r="D160" s="9" t="s">
        <v>607</v>
      </c>
      <c r="E160" s="49">
        <v>239.28</v>
      </c>
      <c r="F160" s="49"/>
      <c r="G160" s="49">
        <v>77.61</v>
      </c>
      <c r="H160" s="49">
        <v>186</v>
      </c>
      <c r="I160" s="49">
        <v>113.19</v>
      </c>
      <c r="J160" s="49">
        <v>113</v>
      </c>
      <c r="K160" s="49"/>
      <c r="L160" s="49"/>
      <c r="M160" s="49">
        <v>311</v>
      </c>
      <c r="N160" s="49">
        <v>127.99</v>
      </c>
      <c r="O160" s="49">
        <v>120.99</v>
      </c>
      <c r="P160" s="49">
        <v>196.22</v>
      </c>
      <c r="Q160" s="49">
        <v>194</v>
      </c>
      <c r="R160" s="49">
        <v>144.19999999999999</v>
      </c>
      <c r="S160" s="49">
        <v>124</v>
      </c>
      <c r="T160" s="49">
        <v>114.96</v>
      </c>
      <c r="U160" s="49">
        <v>140</v>
      </c>
      <c r="V160" s="49"/>
      <c r="W160" s="49">
        <v>137.97</v>
      </c>
      <c r="X160" s="49"/>
      <c r="Y160" s="49">
        <v>187.37</v>
      </c>
    </row>
    <row r="161" spans="1:25" ht="14.25" customHeight="1">
      <c r="A161" s="12"/>
      <c r="B161" s="8"/>
      <c r="C161" s="9"/>
      <c r="D161" s="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spans="1:25" ht="14.25" customHeight="1">
      <c r="A162" s="12" t="s">
        <v>413</v>
      </c>
      <c r="B162" s="8" t="s">
        <v>602</v>
      </c>
      <c r="C162" s="9" t="s">
        <v>623</v>
      </c>
      <c r="D162" s="9" t="s">
        <v>607</v>
      </c>
      <c r="E162" s="49"/>
      <c r="F162" s="49">
        <v>354.63</v>
      </c>
      <c r="G162" s="49">
        <v>108.14</v>
      </c>
      <c r="H162" s="49">
        <v>197</v>
      </c>
      <c r="I162" s="49"/>
      <c r="J162" s="49"/>
      <c r="K162" s="49">
        <v>181</v>
      </c>
      <c r="L162" s="49">
        <v>157.06</v>
      </c>
      <c r="M162" s="49"/>
      <c r="N162" s="49">
        <v>146.97999999999999</v>
      </c>
      <c r="O162" s="49">
        <v>179.06</v>
      </c>
      <c r="P162" s="49">
        <v>180.98</v>
      </c>
      <c r="Q162" s="49">
        <v>238</v>
      </c>
      <c r="R162" s="49"/>
      <c r="S162" s="49"/>
      <c r="T162" s="49">
        <v>262.18</v>
      </c>
      <c r="U162" s="49"/>
      <c r="V162" s="49">
        <v>187</v>
      </c>
      <c r="W162" s="49"/>
      <c r="X162" s="49">
        <v>187.37</v>
      </c>
      <c r="Y162" s="49"/>
    </row>
    <row r="163" spans="1:25" ht="14.25" customHeight="1">
      <c r="A163" s="12" t="s">
        <v>414</v>
      </c>
      <c r="B163" s="8" t="s">
        <v>602</v>
      </c>
      <c r="C163" s="9" t="s">
        <v>624</v>
      </c>
      <c r="D163" s="9" t="s">
        <v>607</v>
      </c>
      <c r="E163" s="49"/>
      <c r="F163" s="49">
        <v>210.53</v>
      </c>
      <c r="G163" s="49">
        <v>69.66</v>
      </c>
      <c r="H163" s="49">
        <v>158</v>
      </c>
      <c r="I163" s="49"/>
      <c r="J163" s="49"/>
      <c r="K163" s="49">
        <v>206</v>
      </c>
      <c r="L163" s="49">
        <v>123.08</v>
      </c>
      <c r="M163" s="49"/>
      <c r="N163" s="49">
        <v>413.28</v>
      </c>
      <c r="O163" s="49">
        <v>124.13</v>
      </c>
      <c r="P163" s="49">
        <v>266.7</v>
      </c>
      <c r="Q163" s="49">
        <v>165</v>
      </c>
      <c r="R163" s="49"/>
      <c r="S163" s="49"/>
      <c r="T163" s="49">
        <v>221.93</v>
      </c>
      <c r="U163" s="49"/>
      <c r="V163" s="49">
        <v>187</v>
      </c>
      <c r="W163" s="49"/>
      <c r="X163" s="49">
        <v>178.46</v>
      </c>
      <c r="Y163" s="49"/>
    </row>
    <row r="164" spans="1:25" ht="14.25" customHeight="1">
      <c r="A164" s="12" t="s">
        <v>415</v>
      </c>
      <c r="B164" s="8" t="s">
        <v>602</v>
      </c>
      <c r="C164" s="9" t="s">
        <v>625</v>
      </c>
      <c r="D164" s="9" t="s">
        <v>607</v>
      </c>
      <c r="E164" s="49"/>
      <c r="F164" s="49">
        <v>321.68</v>
      </c>
      <c r="G164" s="49">
        <v>85.6</v>
      </c>
      <c r="H164" s="49">
        <v>186</v>
      </c>
      <c r="I164" s="49"/>
      <c r="J164" s="49"/>
      <c r="K164" s="49">
        <v>257</v>
      </c>
      <c r="L164" s="49">
        <v>134.91</v>
      </c>
      <c r="M164" s="49"/>
      <c r="N164" s="49">
        <v>348.02</v>
      </c>
      <c r="O164" s="49">
        <v>143.04</v>
      </c>
      <c r="P164" s="49">
        <v>320.04000000000002</v>
      </c>
      <c r="Q164" s="49">
        <v>194</v>
      </c>
      <c r="R164" s="49"/>
      <c r="S164" s="49"/>
      <c r="T164" s="49">
        <v>230.69</v>
      </c>
      <c r="U164" s="49"/>
      <c r="V164" s="49">
        <v>276</v>
      </c>
      <c r="W164" s="49"/>
      <c r="X164" s="49">
        <v>185.96</v>
      </c>
      <c r="Y164" s="49"/>
    </row>
    <row r="165" spans="1:25" ht="14.25" customHeight="1">
      <c r="A165" s="12" t="s">
        <v>416</v>
      </c>
      <c r="B165" s="8" t="s">
        <v>602</v>
      </c>
      <c r="C165" s="9" t="s">
        <v>626</v>
      </c>
      <c r="D165" s="9" t="s">
        <v>607</v>
      </c>
      <c r="E165" s="49"/>
      <c r="F165" s="49">
        <v>369.82</v>
      </c>
      <c r="G165" s="49">
        <v>114.12</v>
      </c>
      <c r="H165" s="49">
        <v>201</v>
      </c>
      <c r="I165" s="49"/>
      <c r="J165" s="49"/>
      <c r="K165" s="49">
        <v>365</v>
      </c>
      <c r="L165" s="49">
        <v>175.9</v>
      </c>
      <c r="M165" s="49"/>
      <c r="N165" s="49">
        <v>284.41000000000003</v>
      </c>
      <c r="O165" s="49">
        <v>182.08</v>
      </c>
      <c r="P165" s="49">
        <v>393.38</v>
      </c>
      <c r="Q165" s="49">
        <v>238</v>
      </c>
      <c r="R165" s="49"/>
      <c r="S165" s="49"/>
      <c r="T165" s="49">
        <v>312.10000000000002</v>
      </c>
      <c r="U165" s="49"/>
      <c r="V165" s="49">
        <v>354</v>
      </c>
      <c r="W165" s="49"/>
      <c r="X165" s="49">
        <v>207.79</v>
      </c>
      <c r="Y165" s="49"/>
    </row>
    <row r="166" spans="1:25" ht="14.25" customHeight="1">
      <c r="A166" s="12" t="s">
        <v>417</v>
      </c>
      <c r="B166" s="8" t="s">
        <v>602</v>
      </c>
      <c r="C166" s="9" t="s">
        <v>627</v>
      </c>
      <c r="D166" s="9" t="s">
        <v>607</v>
      </c>
      <c r="E166" s="49"/>
      <c r="F166" s="49">
        <v>167.25</v>
      </c>
      <c r="G166" s="49">
        <v>78.94</v>
      </c>
      <c r="H166" s="49">
        <v>156</v>
      </c>
      <c r="I166" s="49"/>
      <c r="J166" s="49"/>
      <c r="K166" s="49">
        <v>109</v>
      </c>
      <c r="L166" s="49">
        <v>102.13</v>
      </c>
      <c r="M166" s="49"/>
      <c r="N166" s="49">
        <v>81.260000000000005</v>
      </c>
      <c r="O166" s="49">
        <v>120.99</v>
      </c>
      <c r="P166" s="49">
        <v>129.54</v>
      </c>
      <c r="Q166" s="49">
        <v>142</v>
      </c>
      <c r="R166" s="49"/>
      <c r="S166" s="49"/>
      <c r="T166" s="49">
        <v>158.05000000000001</v>
      </c>
      <c r="U166" s="49"/>
      <c r="V166" s="49">
        <v>101</v>
      </c>
      <c r="W166" s="49"/>
      <c r="X166" s="49">
        <v>118.32</v>
      </c>
      <c r="Y166" s="49"/>
    </row>
    <row r="167" spans="1:25" ht="14.25" customHeight="1">
      <c r="A167" s="12" t="s">
        <v>418</v>
      </c>
      <c r="B167" s="8" t="s">
        <v>602</v>
      </c>
      <c r="C167" s="9" t="s">
        <v>628</v>
      </c>
      <c r="D167" s="9" t="s">
        <v>607</v>
      </c>
      <c r="E167" s="49"/>
      <c r="F167" s="49">
        <v>277.87</v>
      </c>
      <c r="G167" s="49">
        <v>101.27</v>
      </c>
      <c r="H167" s="49">
        <v>201</v>
      </c>
      <c r="I167" s="49"/>
      <c r="J167" s="49"/>
      <c r="K167" s="49">
        <v>160</v>
      </c>
      <c r="L167" s="49">
        <v>134.91</v>
      </c>
      <c r="M167" s="49"/>
      <c r="N167" s="49">
        <v>154.82</v>
      </c>
      <c r="O167" s="49">
        <v>216.59</v>
      </c>
      <c r="P167" s="49">
        <v>180.98</v>
      </c>
      <c r="Q167" s="49">
        <v>194</v>
      </c>
      <c r="R167" s="49"/>
      <c r="S167" s="49"/>
      <c r="T167" s="49">
        <v>176.86</v>
      </c>
      <c r="U167" s="49"/>
      <c r="V167" s="49">
        <v>354</v>
      </c>
      <c r="W167" s="49"/>
      <c r="X167" s="49">
        <v>207.79</v>
      </c>
      <c r="Y167" s="49"/>
    </row>
    <row r="168" spans="1:25" ht="14.25" customHeight="1">
      <c r="A168" s="12" t="s">
        <v>419</v>
      </c>
      <c r="B168" s="8" t="s">
        <v>602</v>
      </c>
      <c r="C168" s="9" t="s">
        <v>629</v>
      </c>
      <c r="D168" s="9" t="s">
        <v>607</v>
      </c>
      <c r="E168" s="49"/>
      <c r="F168" s="49">
        <v>210.53</v>
      </c>
      <c r="G168" s="49">
        <v>91.3</v>
      </c>
      <c r="H168" s="49">
        <v>177</v>
      </c>
      <c r="I168" s="49"/>
      <c r="J168" s="49"/>
      <c r="K168" s="49">
        <v>257</v>
      </c>
      <c r="L168" s="49">
        <v>79.55</v>
      </c>
      <c r="M168" s="49"/>
      <c r="N168" s="49">
        <v>93.27</v>
      </c>
      <c r="O168" s="49">
        <v>143.04</v>
      </c>
      <c r="P168" s="49">
        <v>160.02000000000001</v>
      </c>
      <c r="Q168" s="49">
        <v>165</v>
      </c>
      <c r="R168" s="49"/>
      <c r="S168" s="49"/>
      <c r="T168" s="49">
        <v>124.44</v>
      </c>
      <c r="U168" s="49"/>
      <c r="V168" s="49">
        <v>183</v>
      </c>
      <c r="W168" s="49"/>
      <c r="X168" s="49">
        <v>159.30000000000001</v>
      </c>
      <c r="Y168" s="49"/>
    </row>
    <row r="169" spans="1:25" ht="14.25" customHeight="1">
      <c r="A169" s="12" t="s">
        <v>420</v>
      </c>
      <c r="B169" s="8" t="s">
        <v>602</v>
      </c>
      <c r="C169" s="9" t="s">
        <v>630</v>
      </c>
      <c r="D169" s="9" t="s">
        <v>607</v>
      </c>
      <c r="E169" s="49"/>
      <c r="F169" s="49">
        <v>111.57</v>
      </c>
      <c r="G169" s="49">
        <v>79.61</v>
      </c>
      <c r="H169" s="49">
        <v>166</v>
      </c>
      <c r="I169" s="49"/>
      <c r="J169" s="49"/>
      <c r="K169" s="49">
        <v>95</v>
      </c>
      <c r="L169" s="49">
        <v>79.55</v>
      </c>
      <c r="M169" s="49"/>
      <c r="N169" s="49">
        <v>75.47</v>
      </c>
      <c r="O169" s="49">
        <v>143.04</v>
      </c>
      <c r="P169" s="49">
        <v>129.54</v>
      </c>
      <c r="Q169" s="49">
        <v>114</v>
      </c>
      <c r="R169" s="49"/>
      <c r="S169" s="49"/>
      <c r="T169" s="49">
        <v>134.43</v>
      </c>
      <c r="U169" s="49"/>
      <c r="V169" s="49">
        <v>140</v>
      </c>
      <c r="W169" s="49"/>
      <c r="X169" s="49">
        <v>94.32</v>
      </c>
      <c r="Y169" s="49"/>
    </row>
    <row r="170" spans="1:25" ht="14.25" customHeight="1">
      <c r="A170" s="12" t="s">
        <v>421</v>
      </c>
      <c r="B170" s="8" t="s">
        <v>602</v>
      </c>
      <c r="C170" s="9" t="s">
        <v>631</v>
      </c>
      <c r="D170" s="9" t="s">
        <v>607</v>
      </c>
      <c r="E170" s="49"/>
      <c r="F170" s="49">
        <v>277.87</v>
      </c>
      <c r="G170" s="49">
        <v>120.27</v>
      </c>
      <c r="H170" s="49">
        <v>115</v>
      </c>
      <c r="I170" s="49"/>
      <c r="J170" s="49"/>
      <c r="K170" s="49">
        <v>137</v>
      </c>
      <c r="L170" s="49">
        <v>67.790000000000006</v>
      </c>
      <c r="M170" s="49"/>
      <c r="N170" s="49">
        <v>121.38</v>
      </c>
      <c r="O170" s="49">
        <v>130.99</v>
      </c>
      <c r="P170" s="49">
        <v>196.22</v>
      </c>
      <c r="Q170" s="49">
        <v>142</v>
      </c>
      <c r="R170" s="49"/>
      <c r="S170" s="49"/>
      <c r="T170" s="49">
        <v>167.94</v>
      </c>
      <c r="U170" s="49"/>
      <c r="V170" s="49">
        <v>140</v>
      </c>
      <c r="W170" s="49"/>
      <c r="X170" s="49">
        <v>154.16</v>
      </c>
      <c r="Y170" s="49"/>
    </row>
    <row r="171" spans="1:25" ht="14.25" customHeight="1">
      <c r="A171" s="12" t="s">
        <v>422</v>
      </c>
      <c r="B171" s="8" t="s">
        <v>602</v>
      </c>
      <c r="C171" s="9" t="s">
        <v>632</v>
      </c>
      <c r="D171" s="9" t="s">
        <v>607</v>
      </c>
      <c r="E171" s="49"/>
      <c r="F171" s="49">
        <v>217.75</v>
      </c>
      <c r="G171" s="49">
        <v>77.27</v>
      </c>
      <c r="H171" s="49">
        <v>197</v>
      </c>
      <c r="I171" s="49"/>
      <c r="J171" s="49"/>
      <c r="K171" s="49">
        <v>164</v>
      </c>
      <c r="L171" s="49">
        <v>51.21</v>
      </c>
      <c r="M171" s="49"/>
      <c r="N171" s="49">
        <v>132.47999999999999</v>
      </c>
      <c r="O171" s="49">
        <v>130.99</v>
      </c>
      <c r="P171" s="49">
        <v>160.02000000000001</v>
      </c>
      <c r="Q171" s="49">
        <v>114</v>
      </c>
      <c r="R171" s="49"/>
      <c r="S171" s="49"/>
      <c r="T171" s="49">
        <v>166.19</v>
      </c>
      <c r="U171" s="49"/>
      <c r="V171" s="49">
        <v>101</v>
      </c>
      <c r="W171" s="49"/>
      <c r="X171" s="49">
        <v>207.79</v>
      </c>
      <c r="Y171" s="49"/>
    </row>
    <row r="172" spans="1:25" ht="14.25" customHeight="1">
      <c r="A172" s="12" t="s">
        <v>423</v>
      </c>
      <c r="B172" s="8" t="s">
        <v>602</v>
      </c>
      <c r="C172" s="9" t="s">
        <v>633</v>
      </c>
      <c r="D172" s="9" t="s">
        <v>607</v>
      </c>
      <c r="E172" s="49"/>
      <c r="F172" s="49">
        <v>239.28</v>
      </c>
      <c r="G172" s="49">
        <v>77.61</v>
      </c>
      <c r="H172" s="49">
        <v>186</v>
      </c>
      <c r="I172" s="49"/>
      <c r="J172" s="49"/>
      <c r="K172" s="49">
        <v>114</v>
      </c>
      <c r="L172" s="49">
        <v>119.51</v>
      </c>
      <c r="M172" s="49"/>
      <c r="N172" s="49">
        <v>127.99</v>
      </c>
      <c r="O172" s="49">
        <v>120.99</v>
      </c>
      <c r="P172" s="49">
        <v>196.22</v>
      </c>
      <c r="Q172" s="49">
        <v>194</v>
      </c>
      <c r="R172" s="49"/>
      <c r="S172" s="49"/>
      <c r="T172" s="49">
        <v>114.96</v>
      </c>
      <c r="U172" s="49"/>
      <c r="V172" s="49">
        <v>140</v>
      </c>
      <c r="W172" s="49"/>
      <c r="X172" s="49">
        <v>187.37</v>
      </c>
      <c r="Y172" s="49"/>
    </row>
    <row r="173" spans="1:25" ht="14.25" customHeight="1">
      <c r="A173" s="12"/>
      <c r="B173" s="8"/>
      <c r="C173" s="9"/>
      <c r="D173" s="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spans="1:25" ht="14.25" customHeight="1">
      <c r="A174" s="12" t="s">
        <v>424</v>
      </c>
      <c r="B174" s="8" t="s">
        <v>600</v>
      </c>
      <c r="C174" s="9" t="s">
        <v>623</v>
      </c>
      <c r="D174" s="9" t="s">
        <v>607</v>
      </c>
      <c r="E174" s="49"/>
      <c r="F174" s="49"/>
      <c r="G174" s="49"/>
      <c r="H174" s="49"/>
      <c r="I174" s="49"/>
      <c r="J174" s="49"/>
      <c r="K174" s="49">
        <v>181</v>
      </c>
      <c r="L174" s="49"/>
      <c r="M174" s="49"/>
      <c r="N174" s="49">
        <v>146.97999999999999</v>
      </c>
      <c r="O174" s="49"/>
      <c r="P174" s="49">
        <v>180.98</v>
      </c>
      <c r="Q174" s="49">
        <v>238</v>
      </c>
      <c r="R174" s="49"/>
      <c r="S174" s="49"/>
      <c r="T174" s="49">
        <v>262.18</v>
      </c>
      <c r="U174" s="49"/>
      <c r="V174" s="49"/>
      <c r="W174" s="49"/>
      <c r="X174" s="49"/>
      <c r="Y174" s="49"/>
    </row>
    <row r="175" spans="1:25" ht="14.25" customHeight="1">
      <c r="A175" s="12" t="s">
        <v>425</v>
      </c>
      <c r="B175" s="8" t="s">
        <v>600</v>
      </c>
      <c r="C175" s="9" t="s">
        <v>624</v>
      </c>
      <c r="D175" s="9" t="s">
        <v>607</v>
      </c>
      <c r="E175" s="49"/>
      <c r="F175" s="49"/>
      <c r="G175" s="49"/>
      <c r="H175" s="49"/>
      <c r="I175" s="49"/>
      <c r="J175" s="49"/>
      <c r="K175" s="49">
        <v>206</v>
      </c>
      <c r="L175" s="49"/>
      <c r="M175" s="49"/>
      <c r="N175" s="49">
        <v>413.28</v>
      </c>
      <c r="O175" s="49"/>
      <c r="P175" s="49">
        <v>266.7</v>
      </c>
      <c r="Q175" s="49">
        <v>165</v>
      </c>
      <c r="R175" s="49"/>
      <c r="S175" s="49"/>
      <c r="T175" s="49">
        <v>221.93</v>
      </c>
      <c r="U175" s="49"/>
      <c r="V175" s="49"/>
      <c r="W175" s="49"/>
      <c r="X175" s="49"/>
      <c r="Y175" s="49"/>
    </row>
    <row r="176" spans="1:25" ht="14.25" customHeight="1">
      <c r="A176" s="12" t="s">
        <v>426</v>
      </c>
      <c r="B176" s="8" t="s">
        <v>600</v>
      </c>
      <c r="C176" s="9" t="s">
        <v>625</v>
      </c>
      <c r="D176" s="9" t="s">
        <v>607</v>
      </c>
      <c r="E176" s="49"/>
      <c r="F176" s="49"/>
      <c r="G176" s="49"/>
      <c r="H176" s="49"/>
      <c r="I176" s="49"/>
      <c r="J176" s="49"/>
      <c r="K176" s="49">
        <v>257</v>
      </c>
      <c r="L176" s="49"/>
      <c r="M176" s="49"/>
      <c r="N176" s="49">
        <v>348.02</v>
      </c>
      <c r="O176" s="49"/>
      <c r="P176" s="49">
        <v>320.04000000000002</v>
      </c>
      <c r="Q176" s="49">
        <v>194</v>
      </c>
      <c r="R176" s="49"/>
      <c r="S176" s="49"/>
      <c r="T176" s="49">
        <v>230.69</v>
      </c>
      <c r="U176" s="49"/>
      <c r="V176" s="49"/>
      <c r="W176" s="49"/>
      <c r="X176" s="49"/>
      <c r="Y176" s="49"/>
    </row>
    <row r="177" spans="1:25" ht="14.25" customHeight="1">
      <c r="A177" s="12" t="s">
        <v>427</v>
      </c>
      <c r="B177" s="8" t="s">
        <v>600</v>
      </c>
      <c r="C177" s="9" t="s">
        <v>626</v>
      </c>
      <c r="D177" s="9" t="s">
        <v>607</v>
      </c>
      <c r="E177" s="49"/>
      <c r="F177" s="49"/>
      <c r="G177" s="49"/>
      <c r="H177" s="49"/>
      <c r="I177" s="49"/>
      <c r="J177" s="49"/>
      <c r="K177" s="49">
        <v>365</v>
      </c>
      <c r="L177" s="49"/>
      <c r="M177" s="49"/>
      <c r="N177" s="49">
        <v>284.41000000000003</v>
      </c>
      <c r="O177" s="49"/>
      <c r="P177" s="49">
        <v>393.38</v>
      </c>
      <c r="Q177" s="49">
        <v>238</v>
      </c>
      <c r="R177" s="49"/>
      <c r="S177" s="49"/>
      <c r="T177" s="49">
        <v>312.10000000000002</v>
      </c>
      <c r="U177" s="49"/>
      <c r="V177" s="49"/>
      <c r="W177" s="49"/>
      <c r="X177" s="49"/>
      <c r="Y177" s="49"/>
    </row>
    <row r="178" spans="1:25" ht="14.25" customHeight="1">
      <c r="A178" s="12" t="s">
        <v>428</v>
      </c>
      <c r="B178" s="8" t="s">
        <v>600</v>
      </c>
      <c r="C178" s="9" t="s">
        <v>627</v>
      </c>
      <c r="D178" s="9" t="s">
        <v>607</v>
      </c>
      <c r="E178" s="49"/>
      <c r="F178" s="49"/>
      <c r="G178" s="49"/>
      <c r="H178" s="49"/>
      <c r="I178" s="49"/>
      <c r="J178" s="49"/>
      <c r="K178" s="49">
        <v>109</v>
      </c>
      <c r="L178" s="49"/>
      <c r="M178" s="49"/>
      <c r="N178" s="49">
        <v>81.260000000000005</v>
      </c>
      <c r="O178" s="49"/>
      <c r="P178" s="49">
        <v>129.54</v>
      </c>
      <c r="Q178" s="49">
        <v>142</v>
      </c>
      <c r="R178" s="49"/>
      <c r="S178" s="49"/>
      <c r="T178" s="49">
        <v>158.05000000000001</v>
      </c>
      <c r="U178" s="49"/>
      <c r="V178" s="49"/>
      <c r="W178" s="49"/>
      <c r="X178" s="49"/>
      <c r="Y178" s="49"/>
    </row>
    <row r="179" spans="1:25" ht="14.25" customHeight="1">
      <c r="A179" s="12" t="s">
        <v>429</v>
      </c>
      <c r="B179" s="8" t="s">
        <v>600</v>
      </c>
      <c r="C179" s="9" t="s">
        <v>628</v>
      </c>
      <c r="D179" s="9" t="s">
        <v>607</v>
      </c>
      <c r="E179" s="49"/>
      <c r="F179" s="49"/>
      <c r="G179" s="49"/>
      <c r="H179" s="49"/>
      <c r="I179" s="49"/>
      <c r="J179" s="49"/>
      <c r="K179" s="49">
        <v>160</v>
      </c>
      <c r="L179" s="49"/>
      <c r="M179" s="49"/>
      <c r="N179" s="49">
        <v>154.82</v>
      </c>
      <c r="O179" s="49"/>
      <c r="P179" s="49">
        <v>180.98</v>
      </c>
      <c r="Q179" s="49">
        <v>194</v>
      </c>
      <c r="R179" s="49"/>
      <c r="S179" s="49"/>
      <c r="T179" s="49">
        <v>176.86</v>
      </c>
      <c r="U179" s="49"/>
      <c r="V179" s="49"/>
      <c r="W179" s="49"/>
      <c r="X179" s="49"/>
      <c r="Y179" s="49"/>
    </row>
    <row r="180" spans="1:25" ht="14.25" customHeight="1">
      <c r="A180" s="12" t="s">
        <v>430</v>
      </c>
      <c r="B180" s="8" t="s">
        <v>600</v>
      </c>
      <c r="C180" s="9" t="s">
        <v>629</v>
      </c>
      <c r="D180" s="9" t="s">
        <v>607</v>
      </c>
      <c r="E180" s="49"/>
      <c r="F180" s="49"/>
      <c r="G180" s="49"/>
      <c r="H180" s="49"/>
      <c r="I180" s="49"/>
      <c r="J180" s="49"/>
      <c r="K180" s="49">
        <v>257</v>
      </c>
      <c r="L180" s="49"/>
      <c r="M180" s="49"/>
      <c r="N180" s="49">
        <v>93.27</v>
      </c>
      <c r="O180" s="49"/>
      <c r="P180" s="49">
        <v>160.02000000000001</v>
      </c>
      <c r="Q180" s="49">
        <v>165</v>
      </c>
      <c r="R180" s="49"/>
      <c r="S180" s="49"/>
      <c r="T180" s="49">
        <v>124.44</v>
      </c>
      <c r="U180" s="49"/>
      <c r="V180" s="49"/>
      <c r="W180" s="49"/>
      <c r="X180" s="49"/>
      <c r="Y180" s="49"/>
    </row>
    <row r="181" spans="1:25" ht="14.25" customHeight="1">
      <c r="A181" s="12" t="s">
        <v>431</v>
      </c>
      <c r="B181" s="8" t="s">
        <v>600</v>
      </c>
      <c r="C181" s="9" t="s">
        <v>630</v>
      </c>
      <c r="D181" s="9" t="s">
        <v>607</v>
      </c>
      <c r="E181" s="49"/>
      <c r="F181" s="49"/>
      <c r="G181" s="49"/>
      <c r="H181" s="49"/>
      <c r="I181" s="49"/>
      <c r="J181" s="49"/>
      <c r="K181" s="49">
        <v>95</v>
      </c>
      <c r="L181" s="49"/>
      <c r="M181" s="49"/>
      <c r="N181" s="49">
        <v>75.47</v>
      </c>
      <c r="O181" s="49"/>
      <c r="P181" s="49">
        <v>129.54</v>
      </c>
      <c r="Q181" s="49">
        <v>114</v>
      </c>
      <c r="R181" s="49"/>
      <c r="S181" s="49"/>
      <c r="T181" s="49">
        <v>134.43</v>
      </c>
      <c r="U181" s="49"/>
      <c r="V181" s="49"/>
      <c r="W181" s="49"/>
      <c r="X181" s="49"/>
      <c r="Y181" s="49"/>
    </row>
    <row r="182" spans="1:25" ht="14.25" customHeight="1">
      <c r="A182" s="12" t="s">
        <v>432</v>
      </c>
      <c r="B182" s="8" t="s">
        <v>600</v>
      </c>
      <c r="C182" s="9" t="s">
        <v>631</v>
      </c>
      <c r="D182" s="9" t="s">
        <v>607</v>
      </c>
      <c r="E182" s="49"/>
      <c r="F182" s="49"/>
      <c r="G182" s="49"/>
      <c r="H182" s="49"/>
      <c r="I182" s="49"/>
      <c r="J182" s="49"/>
      <c r="K182" s="49">
        <v>137</v>
      </c>
      <c r="L182" s="49"/>
      <c r="M182" s="49"/>
      <c r="N182" s="49">
        <v>121.38</v>
      </c>
      <c r="O182" s="49"/>
      <c r="P182" s="49">
        <v>196.22</v>
      </c>
      <c r="Q182" s="49">
        <v>142</v>
      </c>
      <c r="R182" s="49"/>
      <c r="S182" s="49"/>
      <c r="T182" s="49">
        <v>167.94</v>
      </c>
      <c r="U182" s="49"/>
      <c r="V182" s="49"/>
      <c r="W182" s="49"/>
      <c r="X182" s="49"/>
      <c r="Y182" s="49"/>
    </row>
    <row r="183" spans="1:25" ht="14.25" customHeight="1">
      <c r="A183" s="12" t="s">
        <v>433</v>
      </c>
      <c r="B183" s="8" t="s">
        <v>600</v>
      </c>
      <c r="C183" s="9" t="s">
        <v>632</v>
      </c>
      <c r="D183" s="9" t="s">
        <v>607</v>
      </c>
      <c r="E183" s="49"/>
      <c r="F183" s="49"/>
      <c r="G183" s="49"/>
      <c r="H183" s="49"/>
      <c r="I183" s="49"/>
      <c r="J183" s="49"/>
      <c r="K183" s="49">
        <v>164</v>
      </c>
      <c r="L183" s="49"/>
      <c r="M183" s="49"/>
      <c r="N183" s="49">
        <v>132.47999999999999</v>
      </c>
      <c r="O183" s="49"/>
      <c r="P183" s="49">
        <v>160.02000000000001</v>
      </c>
      <c r="Q183" s="49">
        <v>114</v>
      </c>
      <c r="R183" s="49"/>
      <c r="S183" s="49"/>
      <c r="T183" s="49">
        <v>166.19</v>
      </c>
      <c r="U183" s="49"/>
      <c r="V183" s="49"/>
      <c r="W183" s="49"/>
      <c r="X183" s="49"/>
      <c r="Y183" s="49"/>
    </row>
    <row r="184" spans="1:25" ht="14.25" customHeight="1">
      <c r="A184" s="12" t="s">
        <v>434</v>
      </c>
      <c r="B184" s="8" t="s">
        <v>600</v>
      </c>
      <c r="C184" s="9" t="s">
        <v>633</v>
      </c>
      <c r="D184" s="9" t="s">
        <v>607</v>
      </c>
      <c r="E184" s="49"/>
      <c r="F184" s="49"/>
      <c r="G184" s="49"/>
      <c r="H184" s="49"/>
      <c r="I184" s="49"/>
      <c r="J184" s="49"/>
      <c r="K184" s="49">
        <v>114</v>
      </c>
      <c r="L184" s="49"/>
      <c r="M184" s="49"/>
      <c r="N184" s="49">
        <v>127.99</v>
      </c>
      <c r="O184" s="49"/>
      <c r="P184" s="49">
        <v>196.22</v>
      </c>
      <c r="Q184" s="49">
        <v>194</v>
      </c>
      <c r="R184" s="49"/>
      <c r="S184" s="49"/>
      <c r="T184" s="49">
        <v>114.96</v>
      </c>
      <c r="U184" s="49"/>
      <c r="V184" s="49"/>
      <c r="W184" s="49"/>
      <c r="X184" s="49"/>
      <c r="Y184" s="49"/>
    </row>
    <row r="185" spans="1:25" ht="14.25" customHeight="1">
      <c r="A185" s="12"/>
      <c r="B185" s="8"/>
      <c r="C185" s="9"/>
      <c r="D185" s="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spans="1:25" ht="14.25" customHeight="1">
      <c r="A186" s="12" t="s">
        <v>435</v>
      </c>
      <c r="B186" s="8" t="s">
        <v>601</v>
      </c>
      <c r="C186" s="9" t="s">
        <v>623</v>
      </c>
      <c r="D186" s="9" t="s">
        <v>607</v>
      </c>
      <c r="E186" s="49">
        <v>354.63</v>
      </c>
      <c r="F186" s="49"/>
      <c r="G186" s="49"/>
      <c r="H186" s="49"/>
      <c r="I186" s="49">
        <v>146.84</v>
      </c>
      <c r="J186" s="49">
        <v>179</v>
      </c>
      <c r="K186" s="49"/>
      <c r="L186" s="49">
        <v>127.67</v>
      </c>
      <c r="M186" s="49">
        <v>209</v>
      </c>
      <c r="N186" s="49">
        <v>146.97999999999999</v>
      </c>
      <c r="O186" s="49">
        <v>179.06</v>
      </c>
      <c r="P186" s="49"/>
      <c r="Q186" s="49">
        <v>238</v>
      </c>
      <c r="R186" s="49">
        <v>149.35</v>
      </c>
      <c r="S186" s="49">
        <v>165</v>
      </c>
      <c r="T186" s="49"/>
      <c r="U186" s="49"/>
      <c r="V186" s="49"/>
      <c r="W186" s="49"/>
      <c r="X186" s="49"/>
      <c r="Y186" s="49"/>
    </row>
    <row r="187" spans="1:25" ht="14.25" customHeight="1">
      <c r="A187" s="12" t="s">
        <v>436</v>
      </c>
      <c r="B187" s="8" t="s">
        <v>601</v>
      </c>
      <c r="C187" s="9" t="s">
        <v>624</v>
      </c>
      <c r="D187" s="9" t="s">
        <v>607</v>
      </c>
      <c r="E187" s="49">
        <v>210.53</v>
      </c>
      <c r="F187" s="49"/>
      <c r="G187" s="49"/>
      <c r="H187" s="49"/>
      <c r="I187" s="49">
        <v>91.78</v>
      </c>
      <c r="J187" s="49">
        <v>107</v>
      </c>
      <c r="K187" s="49"/>
      <c r="L187" s="49">
        <v>139.12</v>
      </c>
      <c r="M187" s="49">
        <v>175</v>
      </c>
      <c r="N187" s="49">
        <v>413.28</v>
      </c>
      <c r="O187" s="49">
        <v>124.13</v>
      </c>
      <c r="P187" s="49"/>
      <c r="Q187" s="49">
        <v>165</v>
      </c>
      <c r="R187" s="49">
        <v>149.35</v>
      </c>
      <c r="S187" s="49">
        <v>175</v>
      </c>
      <c r="T187" s="49"/>
      <c r="U187" s="49"/>
      <c r="V187" s="49"/>
      <c r="W187" s="49"/>
      <c r="X187" s="49"/>
      <c r="Y187" s="49"/>
    </row>
    <row r="188" spans="1:25" ht="14.25" customHeight="1">
      <c r="A188" s="12" t="s">
        <v>437</v>
      </c>
      <c r="B188" s="8" t="s">
        <v>601</v>
      </c>
      <c r="C188" s="9" t="s">
        <v>625</v>
      </c>
      <c r="D188" s="9" t="s">
        <v>607</v>
      </c>
      <c r="E188" s="49">
        <v>321.68</v>
      </c>
      <c r="F188" s="49"/>
      <c r="G188" s="49"/>
      <c r="H188" s="49"/>
      <c r="I188" s="49">
        <v>107.07</v>
      </c>
      <c r="J188" s="49">
        <v>121</v>
      </c>
      <c r="K188" s="49"/>
      <c r="L188" s="49">
        <v>152.5</v>
      </c>
      <c r="M188" s="49">
        <v>209</v>
      </c>
      <c r="N188" s="49">
        <v>348.02</v>
      </c>
      <c r="O188" s="49">
        <v>143.04</v>
      </c>
      <c r="P188" s="49"/>
      <c r="Q188" s="49">
        <v>194</v>
      </c>
      <c r="R188" s="49">
        <v>154.5</v>
      </c>
      <c r="S188" s="49">
        <v>208</v>
      </c>
      <c r="T188" s="49"/>
      <c r="U188" s="49"/>
      <c r="V188" s="49"/>
      <c r="W188" s="49"/>
      <c r="X188" s="49"/>
      <c r="Y188" s="49"/>
    </row>
    <row r="189" spans="1:25" ht="14.25" customHeight="1">
      <c r="A189" s="12" t="s">
        <v>438</v>
      </c>
      <c r="B189" s="8" t="s">
        <v>601</v>
      </c>
      <c r="C189" s="9" t="s">
        <v>626</v>
      </c>
      <c r="D189" s="9" t="s">
        <v>607</v>
      </c>
      <c r="E189" s="49">
        <v>369.82</v>
      </c>
      <c r="F189" s="49"/>
      <c r="G189" s="49"/>
      <c r="H189" s="49"/>
      <c r="I189" s="49">
        <v>128.49</v>
      </c>
      <c r="J189" s="49">
        <v>136</v>
      </c>
      <c r="K189" s="49"/>
      <c r="L189" s="49">
        <v>198.84</v>
      </c>
      <c r="M189" s="49">
        <v>260</v>
      </c>
      <c r="N189" s="49">
        <v>284.41000000000003</v>
      </c>
      <c r="O189" s="49">
        <v>182.08</v>
      </c>
      <c r="P189" s="49"/>
      <c r="Q189" s="49">
        <v>238</v>
      </c>
      <c r="R189" s="49">
        <v>164.8</v>
      </c>
      <c r="S189" s="49">
        <v>232</v>
      </c>
      <c r="T189" s="49"/>
      <c r="U189" s="49"/>
      <c r="V189" s="49"/>
      <c r="W189" s="49"/>
      <c r="X189" s="49"/>
      <c r="Y189" s="49"/>
    </row>
    <row r="190" spans="1:25" ht="14.25" customHeight="1">
      <c r="A190" s="12" t="s">
        <v>439</v>
      </c>
      <c r="B190" s="8" t="s">
        <v>601</v>
      </c>
      <c r="C190" s="9" t="s">
        <v>627</v>
      </c>
      <c r="D190" s="9" t="s">
        <v>607</v>
      </c>
      <c r="E190" s="49">
        <v>167.25</v>
      </c>
      <c r="F190" s="49"/>
      <c r="G190" s="49"/>
      <c r="H190" s="49"/>
      <c r="I190" s="49">
        <v>97.9</v>
      </c>
      <c r="J190" s="49">
        <v>108</v>
      </c>
      <c r="K190" s="49"/>
      <c r="L190" s="49">
        <v>76.64</v>
      </c>
      <c r="M190" s="49">
        <v>120</v>
      </c>
      <c r="N190" s="49">
        <v>81.260000000000005</v>
      </c>
      <c r="O190" s="49">
        <v>120.99</v>
      </c>
      <c r="P190" s="49"/>
      <c r="Q190" s="49">
        <v>142</v>
      </c>
      <c r="R190" s="49">
        <v>79</v>
      </c>
      <c r="S190" s="49">
        <v>79</v>
      </c>
      <c r="T190" s="49"/>
      <c r="U190" s="49"/>
      <c r="V190" s="49"/>
      <c r="W190" s="49"/>
      <c r="X190" s="49"/>
      <c r="Y190" s="49"/>
    </row>
    <row r="191" spans="1:25" ht="14.25" customHeight="1">
      <c r="A191" s="12" t="s">
        <v>440</v>
      </c>
      <c r="B191" s="8" t="s">
        <v>601</v>
      </c>
      <c r="C191" s="9" t="s">
        <v>628</v>
      </c>
      <c r="D191" s="9" t="s">
        <v>607</v>
      </c>
      <c r="E191" s="49">
        <v>277.87</v>
      </c>
      <c r="F191" s="49"/>
      <c r="G191" s="49"/>
      <c r="H191" s="49"/>
      <c r="I191" s="49">
        <v>128.49</v>
      </c>
      <c r="J191" s="49">
        <v>158</v>
      </c>
      <c r="K191" s="49"/>
      <c r="L191" s="49">
        <v>198.84</v>
      </c>
      <c r="M191" s="49">
        <v>209</v>
      </c>
      <c r="N191" s="49">
        <v>154.82</v>
      </c>
      <c r="O191" s="49">
        <v>216.59</v>
      </c>
      <c r="P191" s="49"/>
      <c r="Q191" s="49">
        <v>194</v>
      </c>
      <c r="R191" s="49">
        <v>144.19999999999999</v>
      </c>
      <c r="S191" s="49">
        <v>211</v>
      </c>
      <c r="T191" s="49"/>
      <c r="U191" s="49"/>
      <c r="V191" s="49"/>
      <c r="W191" s="49"/>
      <c r="X191" s="49"/>
      <c r="Y191" s="49"/>
    </row>
    <row r="192" spans="1:25" ht="14.25" customHeight="1">
      <c r="A192" s="12" t="s">
        <v>441</v>
      </c>
      <c r="B192" s="8" t="s">
        <v>601</v>
      </c>
      <c r="C192" s="9" t="s">
        <v>629</v>
      </c>
      <c r="D192" s="9" t="s">
        <v>607</v>
      </c>
      <c r="E192" s="49">
        <v>210.53</v>
      </c>
      <c r="F192" s="49"/>
      <c r="G192" s="49"/>
      <c r="H192" s="49"/>
      <c r="I192" s="49">
        <v>116.25</v>
      </c>
      <c r="J192" s="49">
        <v>95</v>
      </c>
      <c r="K192" s="49"/>
      <c r="L192" s="49">
        <v>76.64</v>
      </c>
      <c r="M192" s="49">
        <v>175</v>
      </c>
      <c r="N192" s="49">
        <v>93.27</v>
      </c>
      <c r="O192" s="49">
        <v>143.04</v>
      </c>
      <c r="P192" s="49"/>
      <c r="Q192" s="49">
        <v>165</v>
      </c>
      <c r="R192" s="49">
        <v>123.6</v>
      </c>
      <c r="S192" s="49">
        <v>168</v>
      </c>
      <c r="T192" s="49"/>
      <c r="U192" s="49"/>
      <c r="V192" s="49"/>
      <c r="W192" s="49"/>
      <c r="X192" s="49"/>
      <c r="Y192" s="49"/>
    </row>
    <row r="193" spans="1:25" ht="14.25" customHeight="1">
      <c r="A193" s="12" t="s">
        <v>442</v>
      </c>
      <c r="B193" s="8" t="s">
        <v>601</v>
      </c>
      <c r="C193" s="9" t="s">
        <v>630</v>
      </c>
      <c r="D193" s="9" t="s">
        <v>607</v>
      </c>
      <c r="E193" s="49">
        <v>111.57</v>
      </c>
      <c r="F193" s="49"/>
      <c r="G193" s="49"/>
      <c r="H193" s="49"/>
      <c r="I193" s="49">
        <v>97.9</v>
      </c>
      <c r="J193" s="49">
        <v>94</v>
      </c>
      <c r="K193" s="49"/>
      <c r="L193" s="49">
        <v>59.95</v>
      </c>
      <c r="M193" s="49">
        <v>105</v>
      </c>
      <c r="N193" s="49">
        <v>75.47</v>
      </c>
      <c r="O193" s="49">
        <v>143.04</v>
      </c>
      <c r="P193" s="49"/>
      <c r="Q193" s="49">
        <v>114</v>
      </c>
      <c r="R193" s="49">
        <v>98</v>
      </c>
      <c r="S193" s="49">
        <v>98</v>
      </c>
      <c r="T193" s="49"/>
      <c r="U193" s="49"/>
      <c r="V193" s="49"/>
      <c r="W193" s="49"/>
      <c r="X193" s="49"/>
      <c r="Y193" s="49"/>
    </row>
    <row r="194" spans="1:25" ht="14.25" customHeight="1">
      <c r="A194" s="12" t="s">
        <v>443</v>
      </c>
      <c r="B194" s="8" t="s">
        <v>601</v>
      </c>
      <c r="C194" s="9" t="s">
        <v>631</v>
      </c>
      <c r="D194" s="9" t="s">
        <v>607</v>
      </c>
      <c r="E194" s="49">
        <v>277.87</v>
      </c>
      <c r="F194" s="49"/>
      <c r="G194" s="49"/>
      <c r="H194" s="49"/>
      <c r="I194" s="49">
        <v>128.49</v>
      </c>
      <c r="J194" s="49">
        <v>136</v>
      </c>
      <c r="K194" s="49"/>
      <c r="L194" s="49">
        <v>139.12</v>
      </c>
      <c r="M194" s="49">
        <v>175</v>
      </c>
      <c r="N194" s="49">
        <v>121.38</v>
      </c>
      <c r="O194" s="49">
        <v>130.99</v>
      </c>
      <c r="P194" s="49"/>
      <c r="Q194" s="49">
        <v>142</v>
      </c>
      <c r="R194" s="49">
        <v>232</v>
      </c>
      <c r="S194" s="49">
        <v>232</v>
      </c>
      <c r="T194" s="49"/>
      <c r="U194" s="49"/>
      <c r="V194" s="49"/>
      <c r="W194" s="49"/>
      <c r="X194" s="49"/>
      <c r="Y194" s="49"/>
    </row>
    <row r="195" spans="1:25" ht="14.25" customHeight="1">
      <c r="A195" s="12" t="s">
        <v>444</v>
      </c>
      <c r="B195" s="8" t="s">
        <v>601</v>
      </c>
      <c r="C195" s="9" t="s">
        <v>632</v>
      </c>
      <c r="D195" s="9" t="s">
        <v>607</v>
      </c>
      <c r="E195" s="49">
        <v>217.75</v>
      </c>
      <c r="F195" s="49"/>
      <c r="G195" s="49"/>
      <c r="H195" s="49"/>
      <c r="I195" s="49">
        <v>128.49</v>
      </c>
      <c r="J195" s="49">
        <v>162</v>
      </c>
      <c r="K195" s="49"/>
      <c r="L195" s="49">
        <v>89.92</v>
      </c>
      <c r="M195" s="49">
        <v>137</v>
      </c>
      <c r="N195" s="49">
        <v>132.47999999999999</v>
      </c>
      <c r="O195" s="49">
        <v>130.99</v>
      </c>
      <c r="P195" s="49"/>
      <c r="Q195" s="49">
        <v>114</v>
      </c>
      <c r="R195" s="49">
        <v>144</v>
      </c>
      <c r="S195" s="49">
        <v>144</v>
      </c>
      <c r="T195" s="49"/>
      <c r="U195" s="49"/>
      <c r="V195" s="49"/>
      <c r="W195" s="49"/>
      <c r="X195" s="49"/>
      <c r="Y195" s="49"/>
    </row>
    <row r="196" spans="1:25" ht="14.25" customHeight="1">
      <c r="A196" s="12" t="s">
        <v>445</v>
      </c>
      <c r="B196" s="8" t="s">
        <v>601</v>
      </c>
      <c r="C196" s="9" t="s">
        <v>633</v>
      </c>
      <c r="D196" s="9" t="s">
        <v>607</v>
      </c>
      <c r="E196" s="49">
        <v>239.28</v>
      </c>
      <c r="F196" s="49"/>
      <c r="G196" s="49"/>
      <c r="H196" s="49"/>
      <c r="I196" s="49">
        <v>113.19</v>
      </c>
      <c r="J196" s="49">
        <v>113</v>
      </c>
      <c r="K196" s="49"/>
      <c r="L196" s="49">
        <v>135.09</v>
      </c>
      <c r="M196" s="49">
        <v>311</v>
      </c>
      <c r="N196" s="49">
        <v>127.99</v>
      </c>
      <c r="O196" s="49">
        <v>120.99</v>
      </c>
      <c r="P196" s="49"/>
      <c r="Q196" s="49">
        <v>194</v>
      </c>
      <c r="R196" s="49">
        <v>144.19999999999999</v>
      </c>
      <c r="S196" s="49">
        <v>124</v>
      </c>
      <c r="T196" s="49"/>
      <c r="U196" s="49"/>
      <c r="V196" s="49"/>
      <c r="W196" s="49"/>
      <c r="X196" s="49"/>
      <c r="Y196" s="49"/>
    </row>
    <row r="199" spans="1:25">
      <c r="A199" s="13"/>
      <c r="C199" s="10"/>
      <c r="D199" s="10"/>
    </row>
  </sheetData>
  <autoFilter ref="A1:Y196">
    <filterColumn colId="0"/>
    <filterColumn colId="1"/>
  </autoFilter>
  <phoneticPr fontId="8" type="noConversion"/>
  <conditionalFormatting sqref="G83:X89">
    <cfRule type="cellIs" dxfId="47" priority="21" stopIfTrue="1" operator="notBetween">
      <formula>#REF!</formula>
      <formula>#REF!</formula>
    </cfRule>
    <cfRule type="cellIs" dxfId="46" priority="22" stopIfTrue="1" operator="notBetween">
      <formula>#REF!</formula>
      <formula>#REF!</formula>
    </cfRule>
  </conditionalFormatting>
  <conditionalFormatting sqref="E2:M196 O2:Y196 N2:N135 N137:N196">
    <cfRule type="cellIs" dxfId="45" priority="18" stopIfTrue="1" operator="notBetween">
      <formula>#REF!</formula>
      <formula>#REF!</formula>
    </cfRule>
    <cfRule type="cellIs" dxfId="44" priority="19" stopIfTrue="1" operator="notBetween">
      <formula>#REF!</formula>
      <formula>#REF!</formula>
    </cfRule>
    <cfRule type="cellIs" dxfId="43" priority="20" stopIfTrue="1" operator="greaterThan">
      <formula>#REF!</formula>
    </cfRule>
  </conditionalFormatting>
  <conditionalFormatting sqref="M67:M71">
    <cfRule type="cellIs" dxfId="42" priority="15" stopIfTrue="1" operator="notBetween">
      <formula>#REF!</formula>
      <formula>#REF!</formula>
    </cfRule>
    <cfRule type="cellIs" dxfId="41" priority="16" stopIfTrue="1" operator="notBetween">
      <formula>#REF!</formula>
      <formula>#REF!</formula>
    </cfRule>
    <cfRule type="cellIs" dxfId="40" priority="17" stopIfTrue="1" operator="greaterThan">
      <formula>#REF!</formula>
    </cfRule>
  </conditionalFormatting>
  <conditionalFormatting sqref="Y83:Y89">
    <cfRule type="cellIs" dxfId="39" priority="13" stopIfTrue="1" operator="notBetween">
      <formula>#REF!</formula>
      <formula>#REF!</formula>
    </cfRule>
    <cfRule type="cellIs" dxfId="38" priority="14" stopIfTrue="1" operator="notBetween">
      <formula>#REF!</formula>
      <formula>#REF!</formula>
    </cfRule>
  </conditionalFormatting>
  <conditionalFormatting sqref="Y91:Y94 Y96:Y98 Y3:Y5 Y7:Y10 Y12:Y21 Y23:Y26 Y28:Y31 Y34:Y37 Y39:Y47 Y50:Y53 Y55:Y57 Y59:Y65 Y67:Y73 Y75:Y81 Y101:Y196">
    <cfRule type="cellIs" dxfId="37" priority="10" stopIfTrue="1" operator="notBetween">
      <formula>#REF!</formula>
      <formula>#REF!</formula>
    </cfRule>
    <cfRule type="cellIs" dxfId="36" priority="11" stopIfTrue="1" operator="notBetween">
      <formula>#REF!</formula>
      <formula>#REF!</formula>
    </cfRule>
    <cfRule type="cellIs" dxfId="35" priority="12" stopIfTrue="1" operator="greaterThan">
      <formula>#REF!</formula>
    </cfRule>
  </conditionalFormatting>
  <conditionalFormatting sqref="N136">
    <cfRule type="cellIs" dxfId="34" priority="7" stopIfTrue="1" operator="notBetween">
      <formula>#REF!</formula>
      <formula>#REF!</formula>
    </cfRule>
    <cfRule type="cellIs" dxfId="33" priority="8" stopIfTrue="1" operator="notBetween">
      <formula>#REF!</formula>
      <formula>#REF!</formula>
    </cfRule>
    <cfRule type="cellIs" dxfId="32" priority="9" stopIfTrue="1" operator="greaterThan">
      <formula>#REF!</formula>
    </cfRule>
  </conditionalFormatting>
  <conditionalFormatting sqref="N137">
    <cfRule type="cellIs" dxfId="31" priority="4" stopIfTrue="1" operator="notBetween">
      <formula>#REF!</formula>
      <formula>#REF!</formula>
    </cfRule>
    <cfRule type="cellIs" dxfId="30" priority="5" stopIfTrue="1" operator="notBetween">
      <formula>#REF!</formula>
      <formula>#REF!</formula>
    </cfRule>
    <cfRule type="cellIs" dxfId="29" priority="6" stopIfTrue="1" operator="greaterThan">
      <formula>#REF!</formula>
    </cfRule>
  </conditionalFormatting>
  <conditionalFormatting sqref="N138">
    <cfRule type="cellIs" dxfId="28" priority="1" stopIfTrue="1" operator="notBetween">
      <formula>#REF!</formula>
      <formula>#REF!</formula>
    </cfRule>
    <cfRule type="cellIs" dxfId="27" priority="2" stopIfTrue="1" operator="notBetween">
      <formula>#REF!</formula>
      <formula>#REF!</formula>
    </cfRule>
    <cfRule type="cellIs" dxfId="26" priority="3" stopIfTrue="1" operator="greaterThan">
      <formula>#REF!</formula>
    </cfRule>
  </conditionalFormatting>
  <pageMargins left="0.37" right="0.38" top="0.79" bottom="0.41" header="0.36" footer="0.16"/>
  <pageSetup scale="50" orientation="portrait" r:id="rId1"/>
  <headerFooter alignWithMargins="0">
    <oddHeader>&amp;C&amp;"Arial,Bold"GSA EaaS BPA Pricing
Revision 1&amp;R&amp;G</oddHeader>
    <oddFooter>&amp;RNov 2012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4" enableFormatConditionsCalculation="0">
    <tabColor theme="5" tint="0.59999389629810485"/>
  </sheetPr>
  <dimension ref="A1:Y199"/>
  <sheetViews>
    <sheetView zoomScaleNormal="100" zoomScalePageLayoutView="85" workbookViewId="0">
      <pane xSplit="3" ySplit="1" topLeftCell="H2" activePane="bottomRight" state="frozen"/>
      <selection activeCell="E2" sqref="E2:Y196"/>
      <selection pane="topRight" activeCell="E2" sqref="E2:Y196"/>
      <selection pane="bottomLeft" activeCell="E2" sqref="E2:Y196"/>
      <selection pane="bottomRight" activeCell="N4" sqref="N4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851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446</v>
      </c>
      <c r="B2" s="8" t="s">
        <v>598</v>
      </c>
      <c r="C2" s="9" t="s">
        <v>610</v>
      </c>
      <c r="D2" s="9" t="s">
        <v>603</v>
      </c>
      <c r="E2" s="49">
        <v>4.05</v>
      </c>
      <c r="F2" s="49"/>
      <c r="G2" s="49">
        <v>20.48</v>
      </c>
      <c r="H2" s="49">
        <v>8.0299999999999994</v>
      </c>
      <c r="I2" s="49">
        <v>11.78</v>
      </c>
      <c r="J2" s="49">
        <v>3.74</v>
      </c>
      <c r="K2" s="49"/>
      <c r="L2" s="49"/>
      <c r="M2" s="49">
        <v>3.96</v>
      </c>
      <c r="N2" s="49">
        <v>5.45</v>
      </c>
      <c r="O2" s="49">
        <v>10.79</v>
      </c>
      <c r="P2" s="49">
        <v>22.61</v>
      </c>
      <c r="Q2" s="49">
        <v>10.53</v>
      </c>
      <c r="R2" s="49">
        <v>3.85</v>
      </c>
      <c r="S2" s="49">
        <v>4.04</v>
      </c>
      <c r="T2" s="49">
        <v>32.75</v>
      </c>
      <c r="U2" s="49">
        <v>4.05</v>
      </c>
      <c r="V2" s="49"/>
      <c r="W2" s="49">
        <v>7.79</v>
      </c>
      <c r="X2" s="49"/>
      <c r="Y2" s="49">
        <v>4.75</v>
      </c>
    </row>
    <row r="3" spans="1:25" s="7" customFormat="1" ht="15" customHeight="1">
      <c r="A3" s="12" t="s">
        <v>447</v>
      </c>
      <c r="B3" s="8" t="s">
        <v>598</v>
      </c>
      <c r="C3" s="9" t="s">
        <v>611</v>
      </c>
      <c r="D3" s="9" t="s">
        <v>603</v>
      </c>
      <c r="E3" s="49">
        <v>4.05</v>
      </c>
      <c r="F3" s="49"/>
      <c r="G3" s="49">
        <v>18.43</v>
      </c>
      <c r="H3" s="49">
        <v>7.53</v>
      </c>
      <c r="I3" s="49">
        <v>11.13</v>
      </c>
      <c r="J3" s="49">
        <v>3.72</v>
      </c>
      <c r="K3" s="49"/>
      <c r="L3" s="49"/>
      <c r="M3" s="49">
        <v>3.96</v>
      </c>
      <c r="N3" s="49">
        <v>5.29</v>
      </c>
      <c r="O3" s="49">
        <v>9.4700000000000006</v>
      </c>
      <c r="P3" s="49">
        <v>14.39</v>
      </c>
      <c r="Q3" s="49">
        <v>6.67</v>
      </c>
      <c r="R3" s="49">
        <v>3.85</v>
      </c>
      <c r="S3" s="49">
        <v>4</v>
      </c>
      <c r="T3" s="49">
        <v>23.58</v>
      </c>
      <c r="U3" s="49">
        <v>4.05</v>
      </c>
      <c r="V3" s="49"/>
      <c r="W3" s="49">
        <v>7.79</v>
      </c>
      <c r="X3" s="49"/>
      <c r="Y3" s="49">
        <v>4.75</v>
      </c>
    </row>
    <row r="4" spans="1:25" s="7" customFormat="1" ht="15" customHeight="1">
      <c r="A4" s="12" t="s">
        <v>448</v>
      </c>
      <c r="B4" s="8" t="s">
        <v>598</v>
      </c>
      <c r="C4" s="9" t="s">
        <v>612</v>
      </c>
      <c r="D4" s="9" t="s">
        <v>603</v>
      </c>
      <c r="E4" s="49">
        <v>4.05</v>
      </c>
      <c r="F4" s="49"/>
      <c r="G4" s="49">
        <v>16.38</v>
      </c>
      <c r="H4" s="49">
        <v>6.65</v>
      </c>
      <c r="I4" s="49">
        <v>10.86</v>
      </c>
      <c r="J4" s="49">
        <v>3.68</v>
      </c>
      <c r="K4" s="49"/>
      <c r="L4" s="49"/>
      <c r="M4" s="49">
        <v>3.96</v>
      </c>
      <c r="N4" s="49">
        <v>4.8</v>
      </c>
      <c r="O4" s="49">
        <v>9.0299999999999994</v>
      </c>
      <c r="P4" s="49">
        <v>11.3</v>
      </c>
      <c r="Q4" s="49">
        <v>6.02</v>
      </c>
      <c r="R4" s="49">
        <v>3.85</v>
      </c>
      <c r="S4" s="49">
        <v>3.97</v>
      </c>
      <c r="T4" s="49">
        <v>17.059999999999999</v>
      </c>
      <c r="U4" s="49">
        <v>4.05</v>
      </c>
      <c r="V4" s="49"/>
      <c r="W4" s="49">
        <v>7.79</v>
      </c>
      <c r="X4" s="49"/>
      <c r="Y4" s="49">
        <v>4.75</v>
      </c>
    </row>
    <row r="5" spans="1:25" s="7" customFormat="1" ht="15" customHeight="1">
      <c r="A5" s="12" t="s">
        <v>449</v>
      </c>
      <c r="B5" s="8" t="s">
        <v>598</v>
      </c>
      <c r="C5" s="9" t="s">
        <v>677</v>
      </c>
      <c r="D5" s="9" t="s">
        <v>604</v>
      </c>
      <c r="E5" s="49">
        <v>0</v>
      </c>
      <c r="F5" s="49"/>
      <c r="G5" s="49">
        <v>3.6</v>
      </c>
      <c r="H5" s="49">
        <v>0.8</v>
      </c>
      <c r="I5" s="49">
        <v>1.61</v>
      </c>
      <c r="J5" s="49">
        <v>0</v>
      </c>
      <c r="K5" s="49"/>
      <c r="L5" s="49"/>
      <c r="M5" s="49"/>
      <c r="N5" s="49">
        <v>0.35</v>
      </c>
      <c r="O5" s="49">
        <v>0.63</v>
      </c>
      <c r="P5" s="49">
        <v>1.5</v>
      </c>
      <c r="Q5" s="49">
        <v>0.65</v>
      </c>
      <c r="R5" s="49"/>
      <c r="S5" s="49"/>
      <c r="T5" s="49">
        <v>0.51</v>
      </c>
      <c r="U5" s="49"/>
      <c r="V5" s="49"/>
      <c r="W5" s="49"/>
      <c r="X5" s="49"/>
      <c r="Y5" s="49">
        <v>0</v>
      </c>
    </row>
    <row r="6" spans="1:25" s="7" customFormat="1" ht="15" customHeight="1">
      <c r="A6" s="12" t="s">
        <v>450</v>
      </c>
      <c r="B6" s="8" t="s">
        <v>598</v>
      </c>
      <c r="C6" s="9" t="s">
        <v>678</v>
      </c>
      <c r="D6" s="9" t="s">
        <v>604</v>
      </c>
      <c r="E6" s="49">
        <v>0</v>
      </c>
      <c r="F6" s="49"/>
      <c r="G6" s="49">
        <v>3.24</v>
      </c>
      <c r="H6" s="49">
        <v>0.8</v>
      </c>
      <c r="I6" s="49">
        <v>1.41</v>
      </c>
      <c r="J6" s="49">
        <v>0</v>
      </c>
      <c r="K6" s="49"/>
      <c r="L6" s="49"/>
      <c r="M6" s="49"/>
      <c r="N6" s="49">
        <v>0.14000000000000001</v>
      </c>
      <c r="O6" s="49">
        <v>0.55000000000000004</v>
      </c>
      <c r="P6" s="49">
        <v>1.5</v>
      </c>
      <c r="Q6" s="49">
        <v>0.65</v>
      </c>
      <c r="R6" s="49"/>
      <c r="S6" s="49"/>
      <c r="T6" s="49">
        <v>0.31</v>
      </c>
      <c r="U6" s="49"/>
      <c r="V6" s="49"/>
      <c r="W6" s="49"/>
      <c r="X6" s="49"/>
      <c r="Y6" s="49">
        <v>0</v>
      </c>
    </row>
    <row r="7" spans="1:25" s="7" customFormat="1" ht="15" customHeight="1">
      <c r="A7" s="12" t="s">
        <v>451</v>
      </c>
      <c r="B7" s="8" t="s">
        <v>598</v>
      </c>
      <c r="C7" s="9" t="s">
        <v>679</v>
      </c>
      <c r="D7" s="9" t="s">
        <v>604</v>
      </c>
      <c r="E7" s="49">
        <v>0</v>
      </c>
      <c r="F7" s="49"/>
      <c r="G7" s="49">
        <v>2.88</v>
      </c>
      <c r="H7" s="49">
        <v>0.8</v>
      </c>
      <c r="I7" s="49">
        <v>1.34</v>
      </c>
      <c r="J7" s="49">
        <v>0</v>
      </c>
      <c r="K7" s="49"/>
      <c r="L7" s="49"/>
      <c r="M7" s="49"/>
      <c r="N7" s="49">
        <v>0.13</v>
      </c>
      <c r="O7" s="49">
        <v>0.43</v>
      </c>
      <c r="P7" s="49">
        <v>1.5</v>
      </c>
      <c r="Q7" s="49">
        <v>0.65</v>
      </c>
      <c r="R7" s="49"/>
      <c r="S7" s="49"/>
      <c r="T7" s="49">
        <v>0.26</v>
      </c>
      <c r="U7" s="49"/>
      <c r="V7" s="49"/>
      <c r="W7" s="49"/>
      <c r="X7" s="49"/>
      <c r="Y7" s="49">
        <v>0</v>
      </c>
    </row>
    <row r="8" spans="1:25" s="7" customFormat="1" ht="15" customHeight="1">
      <c r="A8" s="12" t="s">
        <v>452</v>
      </c>
      <c r="B8" s="8" t="s">
        <v>598</v>
      </c>
      <c r="C8" s="9" t="s">
        <v>613</v>
      </c>
      <c r="D8" s="9" t="s">
        <v>603</v>
      </c>
      <c r="E8" s="49">
        <v>1.52</v>
      </c>
      <c r="F8" s="49"/>
      <c r="G8" s="49">
        <v>18.899999999999999</v>
      </c>
      <c r="H8" s="49">
        <v>3.55</v>
      </c>
      <c r="I8" s="49">
        <v>7.8</v>
      </c>
      <c r="J8" s="49">
        <v>1.85</v>
      </c>
      <c r="K8" s="49"/>
      <c r="L8" s="49"/>
      <c r="M8" s="49">
        <v>1.49</v>
      </c>
      <c r="N8" s="49">
        <v>13.5</v>
      </c>
      <c r="O8" s="49">
        <v>2.78</v>
      </c>
      <c r="P8" s="49">
        <v>23.6</v>
      </c>
      <c r="Q8" s="49">
        <v>1.23</v>
      </c>
      <c r="R8" s="49">
        <v>1.91</v>
      </c>
      <c r="S8" s="49">
        <v>2.0099999999999998</v>
      </c>
      <c r="T8" s="49">
        <v>1.6</v>
      </c>
      <c r="U8" s="49">
        <v>1.52</v>
      </c>
      <c r="V8" s="49"/>
      <c r="W8" s="49">
        <v>0</v>
      </c>
      <c r="X8" s="49"/>
      <c r="Y8" s="49">
        <v>0.79</v>
      </c>
    </row>
    <row r="9" spans="1:25" s="7" customFormat="1" ht="15" customHeight="1">
      <c r="A9" s="12" t="s">
        <v>453</v>
      </c>
      <c r="B9" s="8" t="s">
        <v>598</v>
      </c>
      <c r="C9" s="9" t="s">
        <v>614</v>
      </c>
      <c r="D9" s="9" t="s">
        <v>603</v>
      </c>
      <c r="E9" s="49">
        <v>1.52</v>
      </c>
      <c r="F9" s="49"/>
      <c r="G9" s="49">
        <v>17.55</v>
      </c>
      <c r="H9" s="49">
        <v>3.33</v>
      </c>
      <c r="I9" s="49">
        <v>7.06</v>
      </c>
      <c r="J9" s="49">
        <v>1.84</v>
      </c>
      <c r="K9" s="49"/>
      <c r="L9" s="49"/>
      <c r="M9" s="49">
        <v>1.49</v>
      </c>
      <c r="N9" s="49">
        <v>5.91</v>
      </c>
      <c r="O9" s="49">
        <v>2.78</v>
      </c>
      <c r="P9" s="49">
        <v>15.3</v>
      </c>
      <c r="Q9" s="49">
        <v>1.1599999999999999</v>
      </c>
      <c r="R9" s="49">
        <v>1.91</v>
      </c>
      <c r="S9" s="49">
        <v>1.99</v>
      </c>
      <c r="T9" s="49">
        <v>1.07</v>
      </c>
      <c r="U9" s="49">
        <v>1.52</v>
      </c>
      <c r="V9" s="49"/>
      <c r="W9" s="49">
        <v>0</v>
      </c>
      <c r="X9" s="49"/>
      <c r="Y9" s="49">
        <v>0.79</v>
      </c>
    </row>
    <row r="10" spans="1:25" s="7" customFormat="1" ht="15" customHeight="1">
      <c r="A10" s="12" t="s">
        <v>454</v>
      </c>
      <c r="B10" s="8" t="s">
        <v>598</v>
      </c>
      <c r="C10" s="9" t="s">
        <v>615</v>
      </c>
      <c r="D10" s="9" t="s">
        <v>603</v>
      </c>
      <c r="E10" s="49">
        <v>1.52</v>
      </c>
      <c r="F10" s="49"/>
      <c r="G10" s="49">
        <v>16.2</v>
      </c>
      <c r="H10" s="49">
        <v>2.77</v>
      </c>
      <c r="I10" s="49">
        <v>6.71</v>
      </c>
      <c r="J10" s="49">
        <v>1.82</v>
      </c>
      <c r="K10" s="49"/>
      <c r="L10" s="49"/>
      <c r="M10" s="49">
        <v>1.49</v>
      </c>
      <c r="N10" s="49">
        <v>4.87</v>
      </c>
      <c r="O10" s="49">
        <v>2.78</v>
      </c>
      <c r="P10" s="49">
        <v>12.09</v>
      </c>
      <c r="Q10" s="49">
        <v>1.1599999999999999</v>
      </c>
      <c r="R10" s="49">
        <v>1.91</v>
      </c>
      <c r="S10" s="49">
        <v>1.97</v>
      </c>
      <c r="T10" s="49">
        <v>0.8</v>
      </c>
      <c r="U10" s="49">
        <v>1.52</v>
      </c>
      <c r="V10" s="49"/>
      <c r="W10" s="49">
        <v>0</v>
      </c>
      <c r="X10" s="49"/>
      <c r="Y10" s="49">
        <v>0.79</v>
      </c>
    </row>
    <row r="11" spans="1:25" s="7" customFormat="1" ht="15" customHeight="1">
      <c r="A11" s="12" t="s">
        <v>455</v>
      </c>
      <c r="B11" s="8" t="s">
        <v>598</v>
      </c>
      <c r="C11" s="9" t="s">
        <v>616</v>
      </c>
      <c r="D11" s="9" t="s">
        <v>604</v>
      </c>
      <c r="E11" s="49">
        <v>0</v>
      </c>
      <c r="F11" s="49"/>
      <c r="G11" s="49">
        <v>3.6</v>
      </c>
      <c r="H11" s="49">
        <v>0.64</v>
      </c>
      <c r="I11" s="49">
        <v>0</v>
      </c>
      <c r="J11" s="49">
        <v>0</v>
      </c>
      <c r="K11" s="49"/>
      <c r="L11" s="49"/>
      <c r="M11" s="49">
        <v>0</v>
      </c>
      <c r="N11" s="49">
        <v>0.35</v>
      </c>
      <c r="O11" s="49">
        <v>0.71</v>
      </c>
      <c r="P11" s="49">
        <v>1.5</v>
      </c>
      <c r="Q11" s="49">
        <v>0.65</v>
      </c>
      <c r="R11" s="49">
        <v>0</v>
      </c>
      <c r="S11" s="49"/>
      <c r="T11" s="49">
        <v>0.23</v>
      </c>
      <c r="U11" s="49">
        <v>0</v>
      </c>
      <c r="V11" s="49"/>
      <c r="W11" s="49"/>
      <c r="X11" s="49"/>
      <c r="Y11" s="49">
        <v>0</v>
      </c>
    </row>
    <row r="12" spans="1:25" s="7" customFormat="1" ht="15" customHeight="1">
      <c r="A12" s="12" t="s">
        <v>456</v>
      </c>
      <c r="B12" s="8" t="s">
        <v>598</v>
      </c>
      <c r="C12" s="9" t="s">
        <v>617</v>
      </c>
      <c r="D12" s="9" t="s">
        <v>604</v>
      </c>
      <c r="E12" s="49">
        <v>0</v>
      </c>
      <c r="F12" s="49"/>
      <c r="G12" s="49">
        <v>3.24</v>
      </c>
      <c r="H12" s="49">
        <v>0.64</v>
      </c>
      <c r="I12" s="49">
        <v>0</v>
      </c>
      <c r="J12" s="49">
        <v>0</v>
      </c>
      <c r="K12" s="49"/>
      <c r="L12" s="49"/>
      <c r="M12" s="49">
        <v>0</v>
      </c>
      <c r="N12" s="49">
        <v>0.14000000000000001</v>
      </c>
      <c r="O12" s="49">
        <v>0.65</v>
      </c>
      <c r="P12" s="49">
        <v>1.5</v>
      </c>
      <c r="Q12" s="49">
        <v>0.65</v>
      </c>
      <c r="R12" s="49">
        <v>0</v>
      </c>
      <c r="S12" s="49"/>
      <c r="T12" s="49">
        <v>0.16</v>
      </c>
      <c r="U12" s="49">
        <v>0</v>
      </c>
      <c r="V12" s="49"/>
      <c r="W12" s="49"/>
      <c r="X12" s="49"/>
      <c r="Y12" s="49">
        <v>0</v>
      </c>
    </row>
    <row r="13" spans="1:25" s="7" customFormat="1" ht="15" customHeight="1">
      <c r="A13" s="12" t="s">
        <v>457</v>
      </c>
      <c r="B13" s="8" t="s">
        <v>598</v>
      </c>
      <c r="C13" s="9" t="s">
        <v>618</v>
      </c>
      <c r="D13" s="9" t="s">
        <v>604</v>
      </c>
      <c r="E13" s="49">
        <v>0</v>
      </c>
      <c r="F13" s="49"/>
      <c r="G13" s="49">
        <v>2.88</v>
      </c>
      <c r="H13" s="49">
        <v>0.64</v>
      </c>
      <c r="I13" s="49">
        <v>0</v>
      </c>
      <c r="J13" s="49">
        <v>0</v>
      </c>
      <c r="K13" s="49"/>
      <c r="L13" s="49"/>
      <c r="M13" s="49">
        <v>0</v>
      </c>
      <c r="N13" s="49">
        <v>0.13</v>
      </c>
      <c r="O13" s="49">
        <v>0.6</v>
      </c>
      <c r="P13" s="49">
        <v>1.5</v>
      </c>
      <c r="Q13" s="49">
        <v>0.65</v>
      </c>
      <c r="R13" s="49">
        <v>0</v>
      </c>
      <c r="S13" s="49"/>
      <c r="T13" s="49">
        <v>0.11</v>
      </c>
      <c r="U13" s="49">
        <v>0</v>
      </c>
      <c r="V13" s="49"/>
      <c r="W13" s="49"/>
      <c r="X13" s="49"/>
      <c r="Y13" s="49">
        <v>0</v>
      </c>
    </row>
    <row r="14" spans="1:25" s="7" customFormat="1" ht="15" customHeight="1">
      <c r="A14" s="12" t="s">
        <v>458</v>
      </c>
      <c r="B14" s="8" t="s">
        <v>598</v>
      </c>
      <c r="C14" s="9" t="s">
        <v>674</v>
      </c>
      <c r="D14" s="9" t="s">
        <v>603</v>
      </c>
      <c r="E14" s="49">
        <v>7.92</v>
      </c>
      <c r="F14" s="49"/>
      <c r="G14" s="49">
        <v>4</v>
      </c>
      <c r="H14" s="49">
        <v>13.44</v>
      </c>
      <c r="I14" s="49">
        <v>9.14</v>
      </c>
      <c r="J14" s="49">
        <v>14.63</v>
      </c>
      <c r="K14" s="49"/>
      <c r="L14" s="49"/>
      <c r="M14" s="49">
        <v>7.8</v>
      </c>
      <c r="N14" s="49">
        <v>5.08</v>
      </c>
      <c r="O14" s="49">
        <v>5.35</v>
      </c>
      <c r="P14" s="49">
        <v>14.39</v>
      </c>
      <c r="Q14" s="49">
        <v>8.7100000000000009</v>
      </c>
      <c r="R14" s="49">
        <v>7.07</v>
      </c>
      <c r="S14" s="49">
        <v>7.13</v>
      </c>
      <c r="T14" s="49">
        <v>10.69</v>
      </c>
      <c r="U14" s="49">
        <v>7.92</v>
      </c>
      <c r="V14" s="49"/>
      <c r="W14" s="49">
        <v>32.25</v>
      </c>
      <c r="X14" s="49"/>
      <c r="Y14" s="49">
        <v>13.31</v>
      </c>
    </row>
    <row r="15" spans="1:25" s="7" customFormat="1" ht="15" customHeight="1">
      <c r="A15" s="12" t="s">
        <v>459</v>
      </c>
      <c r="B15" s="8" t="s">
        <v>598</v>
      </c>
      <c r="C15" s="9" t="s">
        <v>675</v>
      </c>
      <c r="D15" s="9" t="s">
        <v>603</v>
      </c>
      <c r="E15" s="49">
        <v>7.31</v>
      </c>
      <c r="F15" s="49"/>
      <c r="G15" s="49">
        <v>2.1</v>
      </c>
      <c r="H15" s="49">
        <v>12.6</v>
      </c>
      <c r="I15" s="49">
        <v>8.0500000000000007</v>
      </c>
      <c r="J15" s="49">
        <v>14.63</v>
      </c>
      <c r="K15" s="49"/>
      <c r="L15" s="49"/>
      <c r="M15" s="49">
        <v>7.2</v>
      </c>
      <c r="N15" s="49">
        <v>5.08</v>
      </c>
      <c r="O15" s="49">
        <v>5.1100000000000003</v>
      </c>
      <c r="P15" s="49">
        <v>12.33</v>
      </c>
      <c r="Q15" s="49">
        <v>3.69</v>
      </c>
      <c r="R15" s="49">
        <v>6.48</v>
      </c>
      <c r="S15" s="49">
        <v>6.58</v>
      </c>
      <c r="T15" s="49">
        <v>9.09</v>
      </c>
      <c r="U15" s="49">
        <v>7.31</v>
      </c>
      <c r="V15" s="49"/>
      <c r="W15" s="49">
        <v>25.68</v>
      </c>
      <c r="X15" s="49"/>
      <c r="Y15" s="49">
        <v>9.74</v>
      </c>
    </row>
    <row r="16" spans="1:25" s="7" customFormat="1" ht="15" customHeight="1">
      <c r="A16" s="12" t="s">
        <v>460</v>
      </c>
      <c r="B16" s="8" t="s">
        <v>598</v>
      </c>
      <c r="C16" s="9" t="s">
        <v>676</v>
      </c>
      <c r="D16" s="9" t="s">
        <v>603</v>
      </c>
      <c r="E16" s="49">
        <v>6.7</v>
      </c>
      <c r="F16" s="49"/>
      <c r="G16" s="49">
        <v>2.1</v>
      </c>
      <c r="H16" s="49">
        <v>11.54</v>
      </c>
      <c r="I16" s="49">
        <v>6.89</v>
      </c>
      <c r="J16" s="49">
        <v>14.63</v>
      </c>
      <c r="K16" s="49"/>
      <c r="L16" s="49"/>
      <c r="M16" s="49">
        <v>6.6</v>
      </c>
      <c r="N16" s="49">
        <v>5.08</v>
      </c>
      <c r="O16" s="49">
        <v>5.1100000000000003</v>
      </c>
      <c r="P16" s="49">
        <v>11.3</v>
      </c>
      <c r="Q16" s="49">
        <v>3.05</v>
      </c>
      <c r="R16" s="49">
        <v>5.89</v>
      </c>
      <c r="S16" s="49">
        <v>6.03</v>
      </c>
      <c r="T16" s="49">
        <v>7.48</v>
      </c>
      <c r="U16" s="49">
        <v>6.7</v>
      </c>
      <c r="V16" s="49"/>
      <c r="W16" s="49">
        <v>19.260000000000002</v>
      </c>
      <c r="X16" s="49"/>
      <c r="Y16" s="49">
        <v>7.73</v>
      </c>
    </row>
    <row r="17" spans="1:25" s="7" customFormat="1" ht="15" customHeight="1">
      <c r="A17" s="12"/>
      <c r="B17" s="8"/>
      <c r="C17" s="9"/>
      <c r="D17" s="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spans="1:25" s="7" customFormat="1" ht="15" customHeight="1">
      <c r="A18" s="12" t="s">
        <v>461</v>
      </c>
      <c r="B18" s="8" t="s">
        <v>599</v>
      </c>
      <c r="C18" s="9" t="s">
        <v>610</v>
      </c>
      <c r="D18" s="9" t="s">
        <v>603</v>
      </c>
      <c r="E18" s="49"/>
      <c r="F18" s="49">
        <v>20.45</v>
      </c>
      <c r="G18" s="49">
        <v>22.76</v>
      </c>
      <c r="H18" s="49">
        <v>11.7</v>
      </c>
      <c r="I18" s="49"/>
      <c r="J18" s="49"/>
      <c r="K18" s="49">
        <v>17</v>
      </c>
      <c r="L18" s="49">
        <v>21.56</v>
      </c>
      <c r="M18" s="49"/>
      <c r="N18" s="49">
        <v>21.96</v>
      </c>
      <c r="O18" s="49">
        <v>12</v>
      </c>
      <c r="P18" s="49">
        <v>40.07</v>
      </c>
      <c r="Q18" s="49">
        <v>11.44</v>
      </c>
      <c r="R18" s="49"/>
      <c r="S18" s="49"/>
      <c r="T18" s="49">
        <v>37.9</v>
      </c>
      <c r="U18" s="49"/>
      <c r="V18" s="49">
        <v>20.8</v>
      </c>
      <c r="W18" s="49"/>
      <c r="X18" s="49">
        <v>22.11</v>
      </c>
      <c r="Y18" s="49"/>
    </row>
    <row r="19" spans="1:25" s="7" customFormat="1" ht="15" customHeight="1">
      <c r="A19" s="12" t="s">
        <v>462</v>
      </c>
      <c r="B19" s="8" t="s">
        <v>599</v>
      </c>
      <c r="C19" s="9" t="s">
        <v>611</v>
      </c>
      <c r="D19" s="9" t="s">
        <v>603</v>
      </c>
      <c r="E19" s="49"/>
      <c r="F19" s="49">
        <v>20.45</v>
      </c>
      <c r="G19" s="49">
        <v>20.49</v>
      </c>
      <c r="H19" s="49">
        <v>10.96</v>
      </c>
      <c r="I19" s="49"/>
      <c r="J19" s="49"/>
      <c r="K19" s="49">
        <v>12</v>
      </c>
      <c r="L19" s="49">
        <v>21.56</v>
      </c>
      <c r="M19" s="49"/>
      <c r="N19" s="49">
        <v>12.11</v>
      </c>
      <c r="O19" s="49">
        <v>10.68</v>
      </c>
      <c r="P19" s="49">
        <v>26.72</v>
      </c>
      <c r="Q19" s="49">
        <v>7.7</v>
      </c>
      <c r="R19" s="49"/>
      <c r="S19" s="49"/>
      <c r="T19" s="49">
        <v>24.9</v>
      </c>
      <c r="U19" s="49"/>
      <c r="V19" s="49">
        <v>20.8</v>
      </c>
      <c r="W19" s="49"/>
      <c r="X19" s="49">
        <v>22.11</v>
      </c>
      <c r="Y19" s="49"/>
    </row>
    <row r="20" spans="1:25" s="7" customFormat="1" ht="15" customHeight="1">
      <c r="A20" s="12" t="s">
        <v>463</v>
      </c>
      <c r="B20" s="8" t="s">
        <v>599</v>
      </c>
      <c r="C20" s="9" t="s">
        <v>612</v>
      </c>
      <c r="D20" s="9" t="s">
        <v>603</v>
      </c>
      <c r="E20" s="49"/>
      <c r="F20" s="49">
        <v>15.34</v>
      </c>
      <c r="G20" s="49">
        <v>16.39</v>
      </c>
      <c r="H20" s="49">
        <v>9.7100000000000009</v>
      </c>
      <c r="I20" s="49"/>
      <c r="J20" s="49"/>
      <c r="K20" s="49">
        <v>8</v>
      </c>
      <c r="L20" s="49">
        <v>16.170000000000002</v>
      </c>
      <c r="M20" s="49"/>
      <c r="N20" s="49">
        <v>6.77</v>
      </c>
      <c r="O20" s="49">
        <v>10.199999999999999</v>
      </c>
      <c r="P20" s="49">
        <v>19.52</v>
      </c>
      <c r="Q20" s="49">
        <v>6.41</v>
      </c>
      <c r="R20" s="49"/>
      <c r="S20" s="49"/>
      <c r="T20" s="49">
        <v>17.34</v>
      </c>
      <c r="U20" s="49"/>
      <c r="V20" s="49">
        <v>20.8</v>
      </c>
      <c r="W20" s="49"/>
      <c r="X20" s="49">
        <v>22.11</v>
      </c>
      <c r="Y20" s="49"/>
    </row>
    <row r="21" spans="1:25" s="7" customFormat="1" ht="15" customHeight="1">
      <c r="A21" s="12" t="s">
        <v>464</v>
      </c>
      <c r="B21" s="8" t="s">
        <v>599</v>
      </c>
      <c r="C21" s="9" t="s">
        <v>677</v>
      </c>
      <c r="D21" s="9" t="s">
        <v>604</v>
      </c>
      <c r="E21" s="49"/>
      <c r="F21" s="49"/>
      <c r="G21" s="49">
        <v>3.6</v>
      </c>
      <c r="H21" s="49">
        <v>1.1599999999999999</v>
      </c>
      <c r="I21" s="49"/>
      <c r="J21" s="49"/>
      <c r="K21" s="49">
        <v>2.25</v>
      </c>
      <c r="L21" s="49"/>
      <c r="M21" s="49"/>
      <c r="N21" s="49">
        <v>0.35</v>
      </c>
      <c r="O21" s="49">
        <v>0.78</v>
      </c>
      <c r="P21" s="49">
        <v>1.5</v>
      </c>
      <c r="Q21" s="49">
        <v>0.87</v>
      </c>
      <c r="R21" s="49"/>
      <c r="S21" s="49"/>
      <c r="T21" s="49">
        <v>0.56000000000000005</v>
      </c>
      <c r="U21" s="49"/>
      <c r="V21" s="49"/>
      <c r="W21" s="49"/>
      <c r="X21" s="49"/>
      <c r="Y21" s="49"/>
    </row>
    <row r="22" spans="1:25" s="7" customFormat="1" ht="15" customHeight="1">
      <c r="A22" s="12" t="s">
        <v>465</v>
      </c>
      <c r="B22" s="8" t="s">
        <v>599</v>
      </c>
      <c r="C22" s="9" t="s">
        <v>678</v>
      </c>
      <c r="D22" s="9" t="s">
        <v>604</v>
      </c>
      <c r="E22" s="49"/>
      <c r="F22" s="49"/>
      <c r="G22" s="49">
        <v>3.24</v>
      </c>
      <c r="H22" s="49">
        <v>1.1599999999999999</v>
      </c>
      <c r="I22" s="49"/>
      <c r="J22" s="49"/>
      <c r="K22" s="49">
        <v>1.75</v>
      </c>
      <c r="L22" s="49"/>
      <c r="M22" s="49"/>
      <c r="N22" s="49">
        <v>0.14000000000000001</v>
      </c>
      <c r="O22" s="49">
        <v>0.69</v>
      </c>
      <c r="P22" s="49">
        <v>1.5</v>
      </c>
      <c r="Q22" s="49">
        <v>0.87</v>
      </c>
      <c r="R22" s="49"/>
      <c r="S22" s="49"/>
      <c r="T22" s="49">
        <v>0.34</v>
      </c>
      <c r="U22" s="49"/>
      <c r="V22" s="49"/>
      <c r="W22" s="49"/>
      <c r="X22" s="49"/>
      <c r="Y22" s="49"/>
    </row>
    <row r="23" spans="1:25" s="7" customFormat="1" ht="15" customHeight="1">
      <c r="A23" s="12" t="s">
        <v>466</v>
      </c>
      <c r="B23" s="8" t="s">
        <v>599</v>
      </c>
      <c r="C23" s="9" t="s">
        <v>679</v>
      </c>
      <c r="D23" s="9" t="s">
        <v>604</v>
      </c>
      <c r="E23" s="49"/>
      <c r="F23" s="49"/>
      <c r="G23" s="49">
        <v>2.88</v>
      </c>
      <c r="H23" s="49">
        <v>1.1599999999999999</v>
      </c>
      <c r="I23" s="49"/>
      <c r="J23" s="49"/>
      <c r="K23" s="49">
        <v>1.25</v>
      </c>
      <c r="L23" s="49"/>
      <c r="M23" s="49"/>
      <c r="N23" s="49">
        <v>0.13</v>
      </c>
      <c r="O23" s="49">
        <v>0.53</v>
      </c>
      <c r="P23" s="49">
        <v>1.5</v>
      </c>
      <c r="Q23" s="49">
        <v>0.87</v>
      </c>
      <c r="R23" s="49"/>
      <c r="S23" s="49"/>
      <c r="T23" s="49">
        <v>0.28999999999999998</v>
      </c>
      <c r="U23" s="49"/>
      <c r="V23" s="49"/>
      <c r="W23" s="49"/>
      <c r="X23" s="49"/>
      <c r="Y23" s="49"/>
    </row>
    <row r="24" spans="1:25" s="7" customFormat="1" ht="15" customHeight="1">
      <c r="A24" s="12" t="s">
        <v>467</v>
      </c>
      <c r="B24" s="8" t="s">
        <v>599</v>
      </c>
      <c r="C24" s="9" t="s">
        <v>613</v>
      </c>
      <c r="D24" s="9" t="s">
        <v>603</v>
      </c>
      <c r="E24" s="49"/>
      <c r="F24" s="49">
        <v>8.64</v>
      </c>
      <c r="G24" s="49">
        <v>18.899999999999999</v>
      </c>
      <c r="H24" s="49">
        <v>5.18</v>
      </c>
      <c r="I24" s="49"/>
      <c r="J24" s="49"/>
      <c r="K24" s="49">
        <v>8</v>
      </c>
      <c r="L24" s="49">
        <v>8.1199999999999992</v>
      </c>
      <c r="M24" s="49"/>
      <c r="N24" s="49">
        <v>13.5</v>
      </c>
      <c r="O24" s="49">
        <v>3.34</v>
      </c>
      <c r="P24" s="49">
        <v>24.9</v>
      </c>
      <c r="Q24" s="49">
        <v>1.32</v>
      </c>
      <c r="R24" s="49"/>
      <c r="S24" s="49"/>
      <c r="T24" s="49">
        <v>3.21</v>
      </c>
      <c r="U24" s="49"/>
      <c r="V24" s="49">
        <v>8.7899999999999991</v>
      </c>
      <c r="W24" s="49"/>
      <c r="X24" s="49">
        <v>9.35</v>
      </c>
      <c r="Y24" s="49"/>
    </row>
    <row r="25" spans="1:25" s="7" customFormat="1" ht="15" customHeight="1">
      <c r="A25" s="12" t="s">
        <v>468</v>
      </c>
      <c r="B25" s="8" t="s">
        <v>599</v>
      </c>
      <c r="C25" s="9" t="s">
        <v>614</v>
      </c>
      <c r="D25" s="9" t="s">
        <v>603</v>
      </c>
      <c r="E25" s="49"/>
      <c r="F25" s="49">
        <v>8.64</v>
      </c>
      <c r="G25" s="49">
        <v>17.55</v>
      </c>
      <c r="H25" s="49">
        <v>4.8499999999999996</v>
      </c>
      <c r="I25" s="49"/>
      <c r="J25" s="49"/>
      <c r="K25" s="49">
        <v>6</v>
      </c>
      <c r="L25" s="49">
        <v>8.1199999999999992</v>
      </c>
      <c r="M25" s="49"/>
      <c r="N25" s="49">
        <v>5.91</v>
      </c>
      <c r="O25" s="49">
        <v>3.34</v>
      </c>
      <c r="P25" s="49">
        <v>15.56</v>
      </c>
      <c r="Q25" s="49">
        <v>1.23</v>
      </c>
      <c r="R25" s="49"/>
      <c r="S25" s="49"/>
      <c r="T25" s="49">
        <v>2.94</v>
      </c>
      <c r="U25" s="49"/>
      <c r="V25" s="49">
        <v>8.7899999999999991</v>
      </c>
      <c r="W25" s="49"/>
      <c r="X25" s="49">
        <v>9.35</v>
      </c>
      <c r="Y25" s="49"/>
    </row>
    <row r="26" spans="1:25" s="7" customFormat="1" ht="15" customHeight="1">
      <c r="A26" s="12" t="s">
        <v>469</v>
      </c>
      <c r="B26" s="8" t="s">
        <v>599</v>
      </c>
      <c r="C26" s="9" t="s">
        <v>615</v>
      </c>
      <c r="D26" s="9" t="s">
        <v>603</v>
      </c>
      <c r="E26" s="49"/>
      <c r="F26" s="49">
        <v>6.45</v>
      </c>
      <c r="G26" s="49">
        <v>16.2</v>
      </c>
      <c r="H26" s="49">
        <v>4.04</v>
      </c>
      <c r="I26" s="49"/>
      <c r="J26" s="49"/>
      <c r="K26" s="49">
        <v>4.5</v>
      </c>
      <c r="L26" s="49">
        <v>6.09</v>
      </c>
      <c r="M26" s="49"/>
      <c r="N26" s="49">
        <v>4.87</v>
      </c>
      <c r="O26" s="49">
        <v>3.34</v>
      </c>
      <c r="P26" s="49">
        <v>12.45</v>
      </c>
      <c r="Q26" s="49">
        <v>1.25</v>
      </c>
      <c r="R26" s="49"/>
      <c r="S26" s="49"/>
      <c r="T26" s="49">
        <v>2.67</v>
      </c>
      <c r="U26" s="49"/>
      <c r="V26" s="49">
        <v>8.7899999999999991</v>
      </c>
      <c r="W26" s="49"/>
      <c r="X26" s="49">
        <v>9.35</v>
      </c>
      <c r="Y26" s="49"/>
    </row>
    <row r="27" spans="1:25" s="7" customFormat="1" ht="15" customHeight="1">
      <c r="A27" s="12" t="s">
        <v>470</v>
      </c>
      <c r="B27" s="8" t="s">
        <v>599</v>
      </c>
      <c r="C27" s="9" t="s">
        <v>616</v>
      </c>
      <c r="D27" s="9" t="s">
        <v>604</v>
      </c>
      <c r="E27" s="49"/>
      <c r="F27" s="49"/>
      <c r="G27" s="49">
        <v>3.6</v>
      </c>
      <c r="H27" s="49">
        <v>0.93</v>
      </c>
      <c r="I27" s="49"/>
      <c r="J27" s="49"/>
      <c r="K27" s="49">
        <v>2.25</v>
      </c>
      <c r="L27" s="49"/>
      <c r="M27" s="49"/>
      <c r="N27" s="49">
        <v>0.35</v>
      </c>
      <c r="O27" s="49">
        <v>0.89</v>
      </c>
      <c r="P27" s="49">
        <v>1.5</v>
      </c>
      <c r="Q27" s="49">
        <v>0.87</v>
      </c>
      <c r="R27" s="49"/>
      <c r="S27" s="49"/>
      <c r="T27" s="49">
        <v>0.25</v>
      </c>
      <c r="U27" s="49"/>
      <c r="V27" s="49"/>
      <c r="W27" s="49"/>
      <c r="X27" s="49"/>
      <c r="Y27" s="49"/>
    </row>
    <row r="28" spans="1:25" s="7" customFormat="1" ht="15" customHeight="1">
      <c r="A28" s="12" t="s">
        <v>471</v>
      </c>
      <c r="B28" s="8" t="s">
        <v>599</v>
      </c>
      <c r="C28" s="9" t="s">
        <v>617</v>
      </c>
      <c r="D28" s="9" t="s">
        <v>604</v>
      </c>
      <c r="E28" s="49"/>
      <c r="F28" s="49"/>
      <c r="G28" s="49">
        <v>3.24</v>
      </c>
      <c r="H28" s="49">
        <v>0.93</v>
      </c>
      <c r="I28" s="49"/>
      <c r="J28" s="49"/>
      <c r="K28" s="49">
        <v>1.75</v>
      </c>
      <c r="L28" s="49"/>
      <c r="M28" s="49"/>
      <c r="N28" s="49">
        <v>0.14000000000000001</v>
      </c>
      <c r="O28" s="49">
        <v>0.81</v>
      </c>
      <c r="P28" s="49">
        <v>1.5</v>
      </c>
      <c r="Q28" s="49">
        <v>0.87</v>
      </c>
      <c r="R28" s="49"/>
      <c r="S28" s="49"/>
      <c r="T28" s="49">
        <v>0.17</v>
      </c>
      <c r="U28" s="49"/>
      <c r="V28" s="49"/>
      <c r="W28" s="49"/>
      <c r="X28" s="49"/>
      <c r="Y28" s="49"/>
    </row>
    <row r="29" spans="1:25" s="7" customFormat="1" ht="15" customHeight="1">
      <c r="A29" s="12" t="s">
        <v>472</v>
      </c>
      <c r="B29" s="8" t="s">
        <v>599</v>
      </c>
      <c r="C29" s="9" t="s">
        <v>618</v>
      </c>
      <c r="D29" s="9" t="s">
        <v>604</v>
      </c>
      <c r="E29" s="49"/>
      <c r="F29" s="49"/>
      <c r="G29" s="49">
        <v>2.88</v>
      </c>
      <c r="H29" s="49">
        <v>0.93</v>
      </c>
      <c r="I29" s="49"/>
      <c r="J29" s="49"/>
      <c r="K29" s="49">
        <v>1.25</v>
      </c>
      <c r="L29" s="49"/>
      <c r="M29" s="49"/>
      <c r="N29" s="49">
        <v>0.13</v>
      </c>
      <c r="O29" s="49">
        <v>0.74</v>
      </c>
      <c r="P29" s="49">
        <v>1.5</v>
      </c>
      <c r="Q29" s="49">
        <v>0.87</v>
      </c>
      <c r="R29" s="49"/>
      <c r="S29" s="49"/>
      <c r="T29" s="49">
        <v>0.12</v>
      </c>
      <c r="U29" s="49"/>
      <c r="V29" s="49"/>
      <c r="W29" s="49"/>
      <c r="X29" s="49"/>
      <c r="Y29" s="49"/>
    </row>
    <row r="30" spans="1:25" s="7" customFormat="1" ht="15" customHeight="1">
      <c r="A30" s="12" t="s">
        <v>473</v>
      </c>
      <c r="B30" s="8" t="s">
        <v>599</v>
      </c>
      <c r="C30" s="9" t="s">
        <v>674</v>
      </c>
      <c r="D30" s="9" t="s">
        <v>603</v>
      </c>
      <c r="E30" s="49"/>
      <c r="F30" s="49">
        <v>15.01</v>
      </c>
      <c r="G30" s="49">
        <v>4</v>
      </c>
      <c r="H30" s="49">
        <v>19.739999999999998</v>
      </c>
      <c r="I30" s="49"/>
      <c r="J30" s="49"/>
      <c r="K30" s="49">
        <v>7</v>
      </c>
      <c r="L30" s="49">
        <v>10.24</v>
      </c>
      <c r="M30" s="49"/>
      <c r="N30" s="49">
        <v>5.08</v>
      </c>
      <c r="O30" s="49">
        <v>5.2</v>
      </c>
      <c r="P30" s="49">
        <v>17.98</v>
      </c>
      <c r="Q30" s="49">
        <v>9.3699999999999992</v>
      </c>
      <c r="R30" s="49"/>
      <c r="S30" s="49"/>
      <c r="T30" s="49">
        <v>10.69</v>
      </c>
      <c r="U30" s="49"/>
      <c r="V30" s="49">
        <v>13.94</v>
      </c>
      <c r="W30" s="49"/>
      <c r="X30" s="49">
        <v>10.220000000000001</v>
      </c>
      <c r="Y30" s="49"/>
    </row>
    <row r="31" spans="1:25" s="7" customFormat="1" ht="15" customHeight="1">
      <c r="A31" s="12" t="s">
        <v>474</v>
      </c>
      <c r="B31" s="8" t="s">
        <v>599</v>
      </c>
      <c r="C31" s="9" t="s">
        <v>675</v>
      </c>
      <c r="D31" s="9" t="s">
        <v>603</v>
      </c>
      <c r="E31" s="49"/>
      <c r="F31" s="49">
        <v>14.39</v>
      </c>
      <c r="G31" s="49">
        <v>2.1</v>
      </c>
      <c r="H31" s="49">
        <v>18.5</v>
      </c>
      <c r="I31" s="49"/>
      <c r="J31" s="49"/>
      <c r="K31" s="49">
        <v>6</v>
      </c>
      <c r="L31" s="49">
        <v>8.59</v>
      </c>
      <c r="M31" s="49"/>
      <c r="N31" s="49">
        <v>5.08</v>
      </c>
      <c r="O31" s="49">
        <v>5.17</v>
      </c>
      <c r="P31" s="49">
        <v>16.440000000000001</v>
      </c>
      <c r="Q31" s="49">
        <v>4.24</v>
      </c>
      <c r="R31" s="49"/>
      <c r="S31" s="49"/>
      <c r="T31" s="49">
        <v>9.09</v>
      </c>
      <c r="U31" s="49"/>
      <c r="V31" s="49">
        <v>13.94</v>
      </c>
      <c r="W31" s="49"/>
      <c r="X31" s="49">
        <v>10.220000000000001</v>
      </c>
      <c r="Y31" s="49"/>
    </row>
    <row r="32" spans="1:25" s="7" customFormat="1" ht="15" customHeight="1">
      <c r="A32" s="12" t="s">
        <v>475</v>
      </c>
      <c r="B32" s="8" t="s">
        <v>599</v>
      </c>
      <c r="C32" s="9" t="s">
        <v>676</v>
      </c>
      <c r="D32" s="9" t="s">
        <v>603</v>
      </c>
      <c r="E32" s="49"/>
      <c r="F32" s="49">
        <v>12.31</v>
      </c>
      <c r="G32" s="49">
        <v>2.1</v>
      </c>
      <c r="H32" s="49">
        <v>16.850000000000001</v>
      </c>
      <c r="I32" s="49"/>
      <c r="J32" s="49"/>
      <c r="K32" s="49">
        <v>4.5</v>
      </c>
      <c r="L32" s="49">
        <v>7.17</v>
      </c>
      <c r="M32" s="49"/>
      <c r="N32" s="49">
        <v>5.08</v>
      </c>
      <c r="O32" s="49">
        <v>5.17</v>
      </c>
      <c r="P32" s="49">
        <v>15.41</v>
      </c>
      <c r="Q32" s="49">
        <v>3.3</v>
      </c>
      <c r="R32" s="49"/>
      <c r="S32" s="49"/>
      <c r="T32" s="49">
        <v>7.48</v>
      </c>
      <c r="U32" s="49"/>
      <c r="V32" s="49">
        <v>13.94</v>
      </c>
      <c r="W32" s="49"/>
      <c r="X32" s="49">
        <v>10.220000000000001</v>
      </c>
      <c r="Y32" s="49"/>
    </row>
    <row r="33" spans="1:25" s="7" customFormat="1" ht="15" customHeight="1">
      <c r="A33" s="12"/>
      <c r="B33" s="6"/>
      <c r="C33" s="9"/>
      <c r="D33" s="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spans="1:25" s="7" customFormat="1" ht="15" customHeight="1">
      <c r="A34" s="12" t="s">
        <v>476</v>
      </c>
      <c r="B34" s="8" t="s">
        <v>600</v>
      </c>
      <c r="C34" s="9" t="s">
        <v>610</v>
      </c>
      <c r="D34" s="9" t="s">
        <v>603</v>
      </c>
      <c r="E34" s="49"/>
      <c r="F34" s="49"/>
      <c r="G34" s="49"/>
      <c r="H34" s="49"/>
      <c r="I34" s="49"/>
      <c r="J34" s="49"/>
      <c r="K34" s="49">
        <v>21</v>
      </c>
      <c r="L34" s="49"/>
      <c r="M34" s="49"/>
      <c r="N34" s="49">
        <v>34.04</v>
      </c>
      <c r="O34" s="49"/>
      <c r="P34" s="49">
        <v>59.18</v>
      </c>
      <c r="Q34" s="49">
        <v>16.399999999999999</v>
      </c>
      <c r="R34" s="49"/>
      <c r="S34" s="49"/>
      <c r="T34" s="49">
        <v>125.51</v>
      </c>
      <c r="U34" s="49"/>
      <c r="V34" s="49"/>
      <c r="W34" s="49"/>
      <c r="X34" s="49"/>
      <c r="Y34" s="49"/>
    </row>
    <row r="35" spans="1:25" s="7" customFormat="1" ht="15" customHeight="1">
      <c r="A35" s="12" t="s">
        <v>477</v>
      </c>
      <c r="B35" s="8" t="s">
        <v>600</v>
      </c>
      <c r="C35" s="9" t="s">
        <v>611</v>
      </c>
      <c r="D35" s="9" t="s">
        <v>603</v>
      </c>
      <c r="E35" s="49"/>
      <c r="F35" s="49"/>
      <c r="G35" s="49"/>
      <c r="H35" s="49"/>
      <c r="I35" s="49"/>
      <c r="J35" s="49"/>
      <c r="K35" s="49">
        <v>15</v>
      </c>
      <c r="L35" s="49"/>
      <c r="M35" s="49"/>
      <c r="N35" s="49">
        <v>15.08</v>
      </c>
      <c r="O35" s="49"/>
      <c r="P35" s="49">
        <v>43.87</v>
      </c>
      <c r="Q35" s="49">
        <v>8.2100000000000009</v>
      </c>
      <c r="R35" s="49"/>
      <c r="S35" s="49"/>
      <c r="T35" s="49">
        <v>44.04</v>
      </c>
      <c r="U35" s="49"/>
      <c r="V35" s="49"/>
      <c r="W35" s="49"/>
      <c r="X35" s="49"/>
      <c r="Y35" s="49"/>
    </row>
    <row r="36" spans="1:25" s="7" customFormat="1" ht="15" customHeight="1">
      <c r="A36" s="12" t="s">
        <v>478</v>
      </c>
      <c r="B36" s="8" t="s">
        <v>600</v>
      </c>
      <c r="C36" s="9" t="s">
        <v>612</v>
      </c>
      <c r="D36" s="9" t="s">
        <v>603</v>
      </c>
      <c r="E36" s="49"/>
      <c r="F36" s="49"/>
      <c r="G36" s="49"/>
      <c r="H36" s="49"/>
      <c r="I36" s="49"/>
      <c r="J36" s="49"/>
      <c r="K36" s="49">
        <v>9</v>
      </c>
      <c r="L36" s="49"/>
      <c r="M36" s="49"/>
      <c r="N36" s="49">
        <v>8.31</v>
      </c>
      <c r="O36" s="49"/>
      <c r="P36" s="49">
        <v>35.72</v>
      </c>
      <c r="Q36" s="49">
        <v>6.74</v>
      </c>
      <c r="R36" s="49"/>
      <c r="S36" s="49"/>
      <c r="T36" s="49">
        <v>22.02</v>
      </c>
      <c r="U36" s="49"/>
      <c r="V36" s="49"/>
      <c r="W36" s="49"/>
      <c r="X36" s="49"/>
      <c r="Y36" s="49"/>
    </row>
    <row r="37" spans="1:25" s="7" customFormat="1" ht="15" customHeight="1">
      <c r="A37" s="12" t="s">
        <v>479</v>
      </c>
      <c r="B37" s="8" t="s">
        <v>600</v>
      </c>
      <c r="C37" s="9" t="s">
        <v>677</v>
      </c>
      <c r="D37" s="9" t="s">
        <v>604</v>
      </c>
      <c r="E37" s="49"/>
      <c r="F37" s="49"/>
      <c r="G37" s="49"/>
      <c r="H37" s="49"/>
      <c r="I37" s="49"/>
      <c r="J37" s="49"/>
      <c r="K37" s="49">
        <v>2.25</v>
      </c>
      <c r="L37" s="49"/>
      <c r="M37" s="49"/>
      <c r="N37" s="49">
        <v>0.35</v>
      </c>
      <c r="O37" s="49"/>
      <c r="P37" s="49">
        <v>1.5</v>
      </c>
      <c r="Q37" s="49">
        <v>0.65</v>
      </c>
      <c r="R37" s="49"/>
      <c r="S37" s="49"/>
      <c r="T37" s="49">
        <v>1.53</v>
      </c>
      <c r="U37" s="49"/>
      <c r="V37" s="49"/>
      <c r="W37" s="49"/>
      <c r="X37" s="49"/>
      <c r="Y37" s="49"/>
    </row>
    <row r="38" spans="1:25" s="7" customFormat="1" ht="15" customHeight="1">
      <c r="A38" s="12" t="s">
        <v>480</v>
      </c>
      <c r="B38" s="8" t="s">
        <v>600</v>
      </c>
      <c r="C38" s="9" t="s">
        <v>678</v>
      </c>
      <c r="D38" s="9" t="s">
        <v>604</v>
      </c>
      <c r="E38" s="49"/>
      <c r="F38" s="49"/>
      <c r="G38" s="49"/>
      <c r="H38" s="49"/>
      <c r="I38" s="49"/>
      <c r="J38" s="49"/>
      <c r="K38" s="49">
        <v>1.75</v>
      </c>
      <c r="L38" s="49"/>
      <c r="M38" s="49"/>
      <c r="N38" s="49">
        <v>0.14000000000000001</v>
      </c>
      <c r="O38" s="49"/>
      <c r="P38" s="49">
        <v>1.5</v>
      </c>
      <c r="Q38" s="49">
        <v>0.65</v>
      </c>
      <c r="R38" s="49"/>
      <c r="S38" s="49"/>
      <c r="T38" s="49">
        <v>0.8</v>
      </c>
      <c r="U38" s="49"/>
      <c r="V38" s="49"/>
      <c r="W38" s="49"/>
      <c r="X38" s="49"/>
      <c r="Y38" s="49"/>
    </row>
    <row r="39" spans="1:25" s="7" customFormat="1" ht="15" customHeight="1">
      <c r="A39" s="12" t="s">
        <v>481</v>
      </c>
      <c r="B39" s="8" t="s">
        <v>600</v>
      </c>
      <c r="C39" s="9" t="s">
        <v>679</v>
      </c>
      <c r="D39" s="9" t="s">
        <v>604</v>
      </c>
      <c r="E39" s="49"/>
      <c r="F39" s="49"/>
      <c r="G39" s="49"/>
      <c r="H39" s="49"/>
      <c r="I39" s="49"/>
      <c r="J39" s="49"/>
      <c r="K39" s="49">
        <v>1.25</v>
      </c>
      <c r="L39" s="49"/>
      <c r="M39" s="49"/>
      <c r="N39" s="49">
        <v>0.13</v>
      </c>
      <c r="O39" s="49"/>
      <c r="P39" s="49">
        <v>1.5</v>
      </c>
      <c r="Q39" s="49">
        <v>0.65</v>
      </c>
      <c r="R39" s="49"/>
      <c r="S39" s="49"/>
      <c r="T39" s="49">
        <v>0.37</v>
      </c>
      <c r="U39" s="49"/>
      <c r="V39" s="49"/>
      <c r="W39" s="49"/>
      <c r="X39" s="49"/>
      <c r="Y39" s="49"/>
    </row>
    <row r="40" spans="1:25" s="7" customFormat="1" ht="15" customHeight="1">
      <c r="A40" s="12" t="s">
        <v>482</v>
      </c>
      <c r="B40" s="8" t="s">
        <v>600</v>
      </c>
      <c r="C40" s="9" t="s">
        <v>613</v>
      </c>
      <c r="D40" s="9" t="s">
        <v>603</v>
      </c>
      <c r="E40" s="49"/>
      <c r="F40" s="49"/>
      <c r="G40" s="49"/>
      <c r="H40" s="49"/>
      <c r="I40" s="49"/>
      <c r="J40" s="49"/>
      <c r="K40" s="49">
        <v>9</v>
      </c>
      <c r="L40" s="49"/>
      <c r="M40" s="49"/>
      <c r="N40" s="49">
        <v>13.5</v>
      </c>
      <c r="O40" s="49"/>
      <c r="P40" s="49">
        <v>26.64</v>
      </c>
      <c r="Q40" s="49">
        <v>1.31</v>
      </c>
      <c r="R40" s="49"/>
      <c r="S40" s="49"/>
      <c r="T40" s="49">
        <v>3.96</v>
      </c>
      <c r="U40" s="49"/>
      <c r="V40" s="49"/>
      <c r="W40" s="49"/>
      <c r="X40" s="49"/>
      <c r="Y40" s="49"/>
    </row>
    <row r="41" spans="1:25" s="7" customFormat="1" ht="15" customHeight="1">
      <c r="A41" s="12" t="s">
        <v>483</v>
      </c>
      <c r="B41" s="8" t="s">
        <v>600</v>
      </c>
      <c r="C41" s="9" t="s">
        <v>614</v>
      </c>
      <c r="D41" s="9" t="s">
        <v>603</v>
      </c>
      <c r="E41" s="49"/>
      <c r="F41" s="49"/>
      <c r="G41" s="49"/>
      <c r="H41" s="49"/>
      <c r="I41" s="49"/>
      <c r="J41" s="49"/>
      <c r="K41" s="49">
        <v>7</v>
      </c>
      <c r="L41" s="49"/>
      <c r="M41" s="49"/>
      <c r="N41" s="49">
        <v>5.91</v>
      </c>
      <c r="O41" s="49"/>
      <c r="P41" s="49">
        <v>17.64</v>
      </c>
      <c r="Q41" s="49">
        <v>1.27</v>
      </c>
      <c r="R41" s="49"/>
      <c r="S41" s="49"/>
      <c r="T41" s="49">
        <v>3.63</v>
      </c>
      <c r="U41" s="49"/>
      <c r="V41" s="49"/>
      <c r="W41" s="49"/>
      <c r="X41" s="49"/>
      <c r="Y41" s="49"/>
    </row>
    <row r="42" spans="1:25" s="7" customFormat="1" ht="15" customHeight="1">
      <c r="A42" s="12" t="s">
        <v>484</v>
      </c>
      <c r="B42" s="8" t="s">
        <v>600</v>
      </c>
      <c r="C42" s="9" t="s">
        <v>615</v>
      </c>
      <c r="D42" s="9" t="s">
        <v>603</v>
      </c>
      <c r="E42" s="49"/>
      <c r="F42" s="49"/>
      <c r="G42" s="49"/>
      <c r="H42" s="49"/>
      <c r="I42" s="49"/>
      <c r="J42" s="49"/>
      <c r="K42" s="49">
        <v>6</v>
      </c>
      <c r="L42" s="49"/>
      <c r="M42" s="49"/>
      <c r="N42" s="49">
        <v>4.87</v>
      </c>
      <c r="O42" s="49"/>
      <c r="P42" s="49">
        <v>14.57</v>
      </c>
      <c r="Q42" s="49">
        <v>1.27</v>
      </c>
      <c r="R42" s="49"/>
      <c r="S42" s="49"/>
      <c r="T42" s="49">
        <v>3.3</v>
      </c>
      <c r="U42" s="49"/>
      <c r="V42" s="49"/>
      <c r="W42" s="49"/>
      <c r="X42" s="49"/>
      <c r="Y42" s="49"/>
    </row>
    <row r="43" spans="1:25" s="7" customFormat="1" ht="15" customHeight="1">
      <c r="A43" s="12" t="s">
        <v>485</v>
      </c>
      <c r="B43" s="8" t="s">
        <v>600</v>
      </c>
      <c r="C43" s="9" t="s">
        <v>616</v>
      </c>
      <c r="D43" s="9" t="s">
        <v>604</v>
      </c>
      <c r="E43" s="49"/>
      <c r="F43" s="49"/>
      <c r="G43" s="49"/>
      <c r="H43" s="49"/>
      <c r="I43" s="49"/>
      <c r="J43" s="49"/>
      <c r="K43" s="49">
        <v>2.25</v>
      </c>
      <c r="L43" s="49"/>
      <c r="M43" s="49"/>
      <c r="N43" s="49">
        <v>0.35</v>
      </c>
      <c r="O43" s="49"/>
      <c r="P43" s="49">
        <v>1.5</v>
      </c>
      <c r="Q43" s="49">
        <v>0.65</v>
      </c>
      <c r="R43" s="49"/>
      <c r="S43" s="49"/>
      <c r="T43" s="49">
        <v>0.57999999999999996</v>
      </c>
      <c r="U43" s="49"/>
      <c r="V43" s="49"/>
      <c r="W43" s="49"/>
      <c r="X43" s="49"/>
      <c r="Y43" s="49"/>
    </row>
    <row r="44" spans="1:25" s="7" customFormat="1" ht="15" customHeight="1">
      <c r="A44" s="12" t="s">
        <v>486</v>
      </c>
      <c r="B44" s="8" t="s">
        <v>600</v>
      </c>
      <c r="C44" s="9" t="s">
        <v>617</v>
      </c>
      <c r="D44" s="9" t="s">
        <v>604</v>
      </c>
      <c r="E44" s="49"/>
      <c r="F44" s="49"/>
      <c r="G44" s="49"/>
      <c r="H44" s="49"/>
      <c r="I44" s="49"/>
      <c r="J44" s="49"/>
      <c r="K44" s="49">
        <v>1.75</v>
      </c>
      <c r="L44" s="49"/>
      <c r="M44" s="49"/>
      <c r="N44" s="49">
        <v>0.14000000000000001</v>
      </c>
      <c r="O44" s="49"/>
      <c r="P44" s="49">
        <v>1.5</v>
      </c>
      <c r="Q44" s="49">
        <v>0.65</v>
      </c>
      <c r="R44" s="49"/>
      <c r="S44" s="49"/>
      <c r="T44" s="49">
        <v>0.3</v>
      </c>
      <c r="U44" s="49"/>
      <c r="V44" s="49"/>
      <c r="W44" s="49"/>
      <c r="X44" s="49"/>
      <c r="Y44" s="49"/>
    </row>
    <row r="45" spans="1:25" s="7" customFormat="1" ht="15" customHeight="1">
      <c r="A45" s="12" t="s">
        <v>487</v>
      </c>
      <c r="B45" s="8" t="s">
        <v>600</v>
      </c>
      <c r="C45" s="9" t="s">
        <v>618</v>
      </c>
      <c r="D45" s="9" t="s">
        <v>604</v>
      </c>
      <c r="E45" s="49"/>
      <c r="F45" s="49"/>
      <c r="G45" s="49"/>
      <c r="H45" s="49"/>
      <c r="I45" s="49"/>
      <c r="J45" s="49"/>
      <c r="K45" s="49">
        <v>1.25</v>
      </c>
      <c r="L45" s="49"/>
      <c r="M45" s="49"/>
      <c r="N45" s="49">
        <v>0.13</v>
      </c>
      <c r="O45" s="49"/>
      <c r="P45" s="49">
        <v>1.5</v>
      </c>
      <c r="Q45" s="49">
        <v>0.65</v>
      </c>
      <c r="R45" s="49"/>
      <c r="S45" s="49"/>
      <c r="T45" s="49">
        <v>0.14000000000000001</v>
      </c>
      <c r="U45" s="49"/>
      <c r="V45" s="49"/>
      <c r="W45" s="49"/>
      <c r="X45" s="49"/>
      <c r="Y45" s="49"/>
    </row>
    <row r="46" spans="1:25" s="7" customFormat="1" ht="15" customHeight="1">
      <c r="A46" s="12" t="s">
        <v>488</v>
      </c>
      <c r="B46" s="8" t="s">
        <v>600</v>
      </c>
      <c r="C46" s="9" t="s">
        <v>674</v>
      </c>
      <c r="D46" s="9" t="s">
        <v>603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spans="1:25" s="7" customFormat="1" ht="15" customHeight="1">
      <c r="A47" s="12" t="s">
        <v>489</v>
      </c>
      <c r="B47" s="8" t="s">
        <v>600</v>
      </c>
      <c r="C47" s="9" t="s">
        <v>675</v>
      </c>
      <c r="D47" s="9" t="s">
        <v>603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spans="1:25" s="7" customFormat="1" ht="15" customHeight="1">
      <c r="A48" s="12" t="s">
        <v>490</v>
      </c>
      <c r="B48" s="8" t="s">
        <v>600</v>
      </c>
      <c r="C48" s="9" t="s">
        <v>676</v>
      </c>
      <c r="D48" s="9" t="s">
        <v>603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spans="1:25" s="7" customFormat="1" ht="15" customHeight="1">
      <c r="A49" s="12"/>
      <c r="B49" s="6"/>
      <c r="C49" s="9"/>
      <c r="D49" s="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spans="1:25" s="7" customFormat="1" ht="15" customHeight="1">
      <c r="A50" s="12" t="s">
        <v>491</v>
      </c>
      <c r="B50" s="8" t="s">
        <v>601</v>
      </c>
      <c r="C50" s="9" t="s">
        <v>610</v>
      </c>
      <c r="D50" s="9" t="s">
        <v>603</v>
      </c>
      <c r="E50" s="49">
        <v>4.05</v>
      </c>
      <c r="F50" s="49"/>
      <c r="G50" s="49"/>
      <c r="H50" s="49"/>
      <c r="I50" s="49">
        <v>11.78</v>
      </c>
      <c r="J50" s="49">
        <v>3.74</v>
      </c>
      <c r="K50" s="49"/>
      <c r="L50" s="49">
        <v>7.18</v>
      </c>
      <c r="M50" s="49">
        <v>3.96</v>
      </c>
      <c r="N50" s="49">
        <v>5.45</v>
      </c>
      <c r="O50" s="49">
        <v>10.51</v>
      </c>
      <c r="P50" s="49"/>
      <c r="Q50" s="49">
        <v>10.42</v>
      </c>
      <c r="R50" s="49">
        <v>3.85</v>
      </c>
      <c r="S50" s="49">
        <v>4.04</v>
      </c>
      <c r="T50" s="49"/>
      <c r="U50" s="49"/>
      <c r="V50" s="49"/>
      <c r="W50" s="49"/>
      <c r="X50" s="49"/>
      <c r="Y50" s="49"/>
    </row>
    <row r="51" spans="1:25" s="7" customFormat="1" ht="15" customHeight="1">
      <c r="A51" s="12" t="s">
        <v>492</v>
      </c>
      <c r="B51" s="8" t="s">
        <v>601</v>
      </c>
      <c r="C51" s="9" t="s">
        <v>611</v>
      </c>
      <c r="D51" s="9" t="s">
        <v>603</v>
      </c>
      <c r="E51" s="49">
        <v>4.05</v>
      </c>
      <c r="F51" s="49"/>
      <c r="G51" s="49"/>
      <c r="H51" s="49"/>
      <c r="I51" s="49">
        <v>11.13</v>
      </c>
      <c r="J51" s="49">
        <v>3.72</v>
      </c>
      <c r="K51" s="49"/>
      <c r="L51" s="49">
        <v>7.18</v>
      </c>
      <c r="M51" s="49">
        <v>3.96</v>
      </c>
      <c r="N51" s="49">
        <v>5.29</v>
      </c>
      <c r="O51" s="49">
        <v>9.44</v>
      </c>
      <c r="P51" s="49"/>
      <c r="Q51" s="49">
        <v>6.6</v>
      </c>
      <c r="R51" s="49">
        <v>3.85</v>
      </c>
      <c r="S51" s="49">
        <v>4</v>
      </c>
      <c r="T51" s="49"/>
      <c r="U51" s="49"/>
      <c r="V51" s="49"/>
      <c r="W51" s="49"/>
      <c r="X51" s="49"/>
      <c r="Y51" s="49"/>
    </row>
    <row r="52" spans="1:25" s="7" customFormat="1" ht="15" customHeight="1">
      <c r="A52" s="12" t="s">
        <v>493</v>
      </c>
      <c r="B52" s="8" t="s">
        <v>601</v>
      </c>
      <c r="C52" s="9" t="s">
        <v>612</v>
      </c>
      <c r="D52" s="9" t="s">
        <v>603</v>
      </c>
      <c r="E52" s="49">
        <v>4.05</v>
      </c>
      <c r="F52" s="49"/>
      <c r="G52" s="49"/>
      <c r="H52" s="49"/>
      <c r="I52" s="49">
        <v>10.86</v>
      </c>
      <c r="J52" s="49">
        <v>3.68</v>
      </c>
      <c r="K52" s="49"/>
      <c r="L52" s="49">
        <v>7.18</v>
      </c>
      <c r="M52" s="49">
        <v>3.96</v>
      </c>
      <c r="N52" s="49">
        <v>4.8</v>
      </c>
      <c r="O52" s="49">
        <v>8.99</v>
      </c>
      <c r="P52" s="49"/>
      <c r="Q52" s="49">
        <v>5.95</v>
      </c>
      <c r="R52" s="49">
        <v>3.85</v>
      </c>
      <c r="S52" s="49">
        <v>3.97</v>
      </c>
      <c r="T52" s="49"/>
      <c r="U52" s="49"/>
      <c r="V52" s="49"/>
      <c r="W52" s="49"/>
      <c r="X52" s="49"/>
      <c r="Y52" s="49"/>
    </row>
    <row r="53" spans="1:25" s="7" customFormat="1" ht="15" customHeight="1">
      <c r="A53" s="12" t="s">
        <v>494</v>
      </c>
      <c r="B53" s="8" t="s">
        <v>601</v>
      </c>
      <c r="C53" s="9" t="s">
        <v>677</v>
      </c>
      <c r="D53" s="9" t="s">
        <v>604</v>
      </c>
      <c r="E53" s="49">
        <v>0</v>
      </c>
      <c r="F53" s="49"/>
      <c r="G53" s="49"/>
      <c r="H53" s="49"/>
      <c r="I53" s="49">
        <v>1.61</v>
      </c>
      <c r="J53" s="49">
        <v>0</v>
      </c>
      <c r="K53" s="49"/>
      <c r="L53" s="49"/>
      <c r="M53" s="49"/>
      <c r="N53" s="49">
        <v>0.35</v>
      </c>
      <c r="O53" s="49">
        <v>0.62</v>
      </c>
      <c r="P53" s="49"/>
      <c r="Q53" s="49">
        <v>0.65</v>
      </c>
      <c r="R53" s="49"/>
      <c r="S53" s="49"/>
      <c r="T53" s="49"/>
      <c r="U53" s="49"/>
      <c r="V53" s="49"/>
      <c r="W53" s="49"/>
      <c r="X53" s="49"/>
      <c r="Y53" s="49"/>
    </row>
    <row r="54" spans="1:25" s="7" customFormat="1" ht="15" customHeight="1">
      <c r="A54" s="12" t="s">
        <v>495</v>
      </c>
      <c r="B54" s="8" t="s">
        <v>601</v>
      </c>
      <c r="C54" s="9" t="s">
        <v>678</v>
      </c>
      <c r="D54" s="9" t="s">
        <v>604</v>
      </c>
      <c r="E54" s="49">
        <v>0</v>
      </c>
      <c r="F54" s="49"/>
      <c r="G54" s="49"/>
      <c r="H54" s="49"/>
      <c r="I54" s="49">
        <v>1.41</v>
      </c>
      <c r="J54" s="49">
        <v>0</v>
      </c>
      <c r="K54" s="49"/>
      <c r="L54" s="49"/>
      <c r="M54" s="49"/>
      <c r="N54" s="49">
        <v>0.14000000000000001</v>
      </c>
      <c r="O54" s="49">
        <v>0.54</v>
      </c>
      <c r="P54" s="49"/>
      <c r="Q54" s="49">
        <v>0.65</v>
      </c>
      <c r="R54" s="49"/>
      <c r="S54" s="49"/>
      <c r="T54" s="49"/>
      <c r="U54" s="49"/>
      <c r="V54" s="49"/>
      <c r="W54" s="49"/>
      <c r="X54" s="49"/>
      <c r="Y54" s="49"/>
    </row>
    <row r="55" spans="1:25" s="7" customFormat="1" ht="15" customHeight="1">
      <c r="A55" s="12" t="s">
        <v>496</v>
      </c>
      <c r="B55" s="8" t="s">
        <v>601</v>
      </c>
      <c r="C55" s="9" t="s">
        <v>679</v>
      </c>
      <c r="D55" s="9" t="s">
        <v>604</v>
      </c>
      <c r="E55" s="49">
        <v>0</v>
      </c>
      <c r="F55" s="49"/>
      <c r="G55" s="49"/>
      <c r="H55" s="49"/>
      <c r="I55" s="49">
        <v>1.34</v>
      </c>
      <c r="J55" s="49">
        <v>0</v>
      </c>
      <c r="K55" s="49"/>
      <c r="L55" s="49"/>
      <c r="M55" s="49"/>
      <c r="N55" s="49">
        <v>0.13</v>
      </c>
      <c r="O55" s="49">
        <v>0.42</v>
      </c>
      <c r="P55" s="49"/>
      <c r="Q55" s="49">
        <v>0.65</v>
      </c>
      <c r="R55" s="49"/>
      <c r="S55" s="49"/>
      <c r="T55" s="49"/>
      <c r="U55" s="49"/>
      <c r="V55" s="49"/>
      <c r="W55" s="49"/>
      <c r="X55" s="49"/>
      <c r="Y55" s="49"/>
    </row>
    <row r="56" spans="1:25" s="7" customFormat="1" ht="15" customHeight="1">
      <c r="A56" s="12" t="s">
        <v>497</v>
      </c>
      <c r="B56" s="8" t="s">
        <v>601</v>
      </c>
      <c r="C56" s="9" t="s">
        <v>613</v>
      </c>
      <c r="D56" s="9" t="s">
        <v>603</v>
      </c>
      <c r="E56" s="49">
        <v>1.52</v>
      </c>
      <c r="F56" s="49"/>
      <c r="G56" s="49"/>
      <c r="H56" s="49"/>
      <c r="I56" s="49">
        <v>7.8</v>
      </c>
      <c r="J56" s="49">
        <v>1.85</v>
      </c>
      <c r="K56" s="49"/>
      <c r="L56" s="49">
        <v>1.79</v>
      </c>
      <c r="M56" s="49">
        <v>1.49</v>
      </c>
      <c r="N56" s="49">
        <v>13.5</v>
      </c>
      <c r="O56" s="49">
        <v>2.66</v>
      </c>
      <c r="P56" s="49"/>
      <c r="Q56" s="49">
        <v>1.21</v>
      </c>
      <c r="R56" s="49">
        <v>1.91</v>
      </c>
      <c r="S56" s="49">
        <v>2.0099999999999998</v>
      </c>
      <c r="T56" s="49"/>
      <c r="U56" s="49"/>
      <c r="V56" s="49"/>
      <c r="W56" s="49"/>
      <c r="X56" s="49"/>
      <c r="Y56" s="49"/>
    </row>
    <row r="57" spans="1:25" s="7" customFormat="1" ht="15" customHeight="1">
      <c r="A57" s="12" t="s">
        <v>498</v>
      </c>
      <c r="B57" s="8" t="s">
        <v>601</v>
      </c>
      <c r="C57" s="9" t="s">
        <v>614</v>
      </c>
      <c r="D57" s="9" t="s">
        <v>603</v>
      </c>
      <c r="E57" s="49">
        <v>1.52</v>
      </c>
      <c r="F57" s="49"/>
      <c r="G57" s="49"/>
      <c r="H57" s="49"/>
      <c r="I57" s="49">
        <v>7.06</v>
      </c>
      <c r="J57" s="49">
        <v>1.84</v>
      </c>
      <c r="K57" s="49"/>
      <c r="L57" s="49">
        <v>1.79</v>
      </c>
      <c r="M57" s="49">
        <v>1.49</v>
      </c>
      <c r="N57" s="49">
        <v>5.91</v>
      </c>
      <c r="O57" s="49">
        <v>2.66</v>
      </c>
      <c r="P57" s="49"/>
      <c r="Q57" s="49">
        <v>1.1399999999999999</v>
      </c>
      <c r="R57" s="49">
        <v>1.91</v>
      </c>
      <c r="S57" s="49">
        <v>1.99</v>
      </c>
      <c r="T57" s="49"/>
      <c r="U57" s="49"/>
      <c r="V57" s="49"/>
      <c r="W57" s="49"/>
      <c r="X57" s="49"/>
      <c r="Y57" s="49"/>
    </row>
    <row r="58" spans="1:25" s="7" customFormat="1" ht="15" customHeight="1">
      <c r="A58" s="12" t="s">
        <v>499</v>
      </c>
      <c r="B58" s="8" t="s">
        <v>601</v>
      </c>
      <c r="C58" s="9" t="s">
        <v>615</v>
      </c>
      <c r="D58" s="9" t="s">
        <v>603</v>
      </c>
      <c r="E58" s="49">
        <v>1.52</v>
      </c>
      <c r="F58" s="49"/>
      <c r="G58" s="49"/>
      <c r="H58" s="49"/>
      <c r="I58" s="49">
        <v>6.71</v>
      </c>
      <c r="J58" s="49">
        <v>1.82</v>
      </c>
      <c r="K58" s="49"/>
      <c r="L58" s="49">
        <v>1.79</v>
      </c>
      <c r="M58" s="49">
        <v>1.49</v>
      </c>
      <c r="N58" s="49">
        <v>4.87</v>
      </c>
      <c r="O58" s="49">
        <v>2.66</v>
      </c>
      <c r="P58" s="49"/>
      <c r="Q58" s="49">
        <v>1.1399999999999999</v>
      </c>
      <c r="R58" s="49">
        <v>1.91</v>
      </c>
      <c r="S58" s="49">
        <v>1.97</v>
      </c>
      <c r="T58" s="49"/>
      <c r="U58" s="49"/>
      <c r="V58" s="49"/>
      <c r="W58" s="49"/>
      <c r="X58" s="49"/>
      <c r="Y58" s="49"/>
    </row>
    <row r="59" spans="1:25" s="7" customFormat="1" ht="15" customHeight="1">
      <c r="A59" s="12" t="s">
        <v>500</v>
      </c>
      <c r="B59" s="8" t="s">
        <v>601</v>
      </c>
      <c r="C59" s="9" t="s">
        <v>616</v>
      </c>
      <c r="D59" s="9" t="s">
        <v>604</v>
      </c>
      <c r="E59" s="49">
        <v>0</v>
      </c>
      <c r="F59" s="49"/>
      <c r="G59" s="49"/>
      <c r="H59" s="49"/>
      <c r="I59" s="49">
        <v>0</v>
      </c>
      <c r="J59" s="49">
        <v>0</v>
      </c>
      <c r="K59" s="49"/>
      <c r="L59" s="49"/>
      <c r="M59" s="49">
        <v>0</v>
      </c>
      <c r="N59" s="49">
        <v>0.35</v>
      </c>
      <c r="O59" s="49">
        <v>0.71</v>
      </c>
      <c r="P59" s="49"/>
      <c r="Q59" s="49">
        <v>0.65</v>
      </c>
      <c r="R59" s="49">
        <v>0</v>
      </c>
      <c r="S59" s="49"/>
      <c r="T59" s="49"/>
      <c r="U59" s="49"/>
      <c r="V59" s="49"/>
      <c r="W59" s="49"/>
      <c r="X59" s="49"/>
      <c r="Y59" s="49"/>
    </row>
    <row r="60" spans="1:25" s="7" customFormat="1" ht="15" customHeight="1">
      <c r="A60" s="12" t="s">
        <v>501</v>
      </c>
      <c r="B60" s="8" t="s">
        <v>601</v>
      </c>
      <c r="C60" s="9" t="s">
        <v>617</v>
      </c>
      <c r="D60" s="9" t="s">
        <v>604</v>
      </c>
      <c r="E60" s="49">
        <v>0</v>
      </c>
      <c r="F60" s="49"/>
      <c r="G60" s="49"/>
      <c r="H60" s="49"/>
      <c r="I60" s="49">
        <v>0</v>
      </c>
      <c r="J60" s="49">
        <v>0</v>
      </c>
      <c r="K60" s="49"/>
      <c r="L60" s="49"/>
      <c r="M60" s="49">
        <v>0</v>
      </c>
      <c r="N60" s="49">
        <v>0.14000000000000001</v>
      </c>
      <c r="O60" s="49">
        <v>0.65</v>
      </c>
      <c r="P60" s="49"/>
      <c r="Q60" s="49">
        <v>0.65</v>
      </c>
      <c r="R60" s="49">
        <v>0</v>
      </c>
      <c r="S60" s="49"/>
      <c r="T60" s="49"/>
      <c r="U60" s="49"/>
      <c r="V60" s="49"/>
      <c r="W60" s="49"/>
      <c r="X60" s="49"/>
      <c r="Y60" s="49"/>
    </row>
    <row r="61" spans="1:25" s="7" customFormat="1" ht="15" customHeight="1">
      <c r="A61" s="12" t="s">
        <v>502</v>
      </c>
      <c r="B61" s="8" t="s">
        <v>601</v>
      </c>
      <c r="C61" s="9" t="s">
        <v>618</v>
      </c>
      <c r="D61" s="9" t="s">
        <v>604</v>
      </c>
      <c r="E61" s="49">
        <v>0</v>
      </c>
      <c r="F61" s="49"/>
      <c r="G61" s="49"/>
      <c r="H61" s="49"/>
      <c r="I61" s="49">
        <v>0</v>
      </c>
      <c r="J61" s="49">
        <v>0</v>
      </c>
      <c r="K61" s="49"/>
      <c r="L61" s="49"/>
      <c r="M61" s="49">
        <v>0</v>
      </c>
      <c r="N61" s="49">
        <v>0.13</v>
      </c>
      <c r="O61" s="49">
        <v>0.6</v>
      </c>
      <c r="P61" s="49"/>
      <c r="Q61" s="49">
        <v>0.65</v>
      </c>
      <c r="R61" s="49">
        <v>0</v>
      </c>
      <c r="S61" s="49"/>
      <c r="T61" s="49"/>
      <c r="U61" s="49"/>
      <c r="V61" s="49"/>
      <c r="W61" s="49"/>
      <c r="X61" s="49"/>
      <c r="Y61" s="49"/>
    </row>
    <row r="62" spans="1:25" s="7" customFormat="1" ht="15" customHeight="1">
      <c r="A62" s="12" t="s">
        <v>503</v>
      </c>
      <c r="B62" s="8" t="s">
        <v>601</v>
      </c>
      <c r="C62" s="9" t="s">
        <v>674</v>
      </c>
      <c r="D62" s="9" t="s">
        <v>603</v>
      </c>
      <c r="E62" s="49">
        <v>7.92</v>
      </c>
      <c r="F62" s="49"/>
      <c r="G62" s="49"/>
      <c r="H62" s="49"/>
      <c r="I62" s="49">
        <v>9.14</v>
      </c>
      <c r="J62" s="49">
        <v>14.63</v>
      </c>
      <c r="K62" s="49"/>
      <c r="L62" s="49">
        <v>10.24</v>
      </c>
      <c r="M62" s="49">
        <v>7.8</v>
      </c>
      <c r="N62" s="49">
        <v>5.08</v>
      </c>
      <c r="O62" s="49">
        <v>5.16</v>
      </c>
      <c r="P62" s="49"/>
      <c r="Q62" s="49">
        <v>8.59</v>
      </c>
      <c r="R62" s="49">
        <v>7.07</v>
      </c>
      <c r="S62" s="49">
        <v>7.13</v>
      </c>
      <c r="T62" s="49"/>
      <c r="U62" s="49"/>
      <c r="V62" s="49"/>
      <c r="W62" s="49"/>
      <c r="X62" s="49"/>
      <c r="Y62" s="49"/>
    </row>
    <row r="63" spans="1:25" s="7" customFormat="1" ht="15" customHeight="1">
      <c r="A63" s="12" t="s">
        <v>504</v>
      </c>
      <c r="B63" s="8" t="s">
        <v>601</v>
      </c>
      <c r="C63" s="9" t="s">
        <v>675</v>
      </c>
      <c r="D63" s="9" t="s">
        <v>603</v>
      </c>
      <c r="E63" s="49">
        <v>7.31</v>
      </c>
      <c r="F63" s="49"/>
      <c r="G63" s="49"/>
      <c r="H63" s="49"/>
      <c r="I63" s="49">
        <v>8.0500000000000007</v>
      </c>
      <c r="J63" s="49">
        <v>14.63</v>
      </c>
      <c r="K63" s="49"/>
      <c r="L63" s="49">
        <v>8.59</v>
      </c>
      <c r="M63" s="49">
        <v>7.2</v>
      </c>
      <c r="N63" s="49">
        <v>5.08</v>
      </c>
      <c r="O63" s="49">
        <v>5.1100000000000003</v>
      </c>
      <c r="P63" s="49"/>
      <c r="Q63" s="49">
        <v>3.63</v>
      </c>
      <c r="R63" s="49">
        <v>6.48</v>
      </c>
      <c r="S63" s="49">
        <v>6.58</v>
      </c>
      <c r="T63" s="49"/>
      <c r="U63" s="49"/>
      <c r="V63" s="49"/>
      <c r="W63" s="49"/>
      <c r="X63" s="49"/>
      <c r="Y63" s="49"/>
    </row>
    <row r="64" spans="1:25" s="7" customFormat="1" ht="15" customHeight="1">
      <c r="A64" s="12" t="s">
        <v>505</v>
      </c>
      <c r="B64" s="8" t="s">
        <v>601</v>
      </c>
      <c r="C64" s="9" t="s">
        <v>676</v>
      </c>
      <c r="D64" s="9" t="s">
        <v>603</v>
      </c>
      <c r="E64" s="49">
        <v>6.7</v>
      </c>
      <c r="F64" s="49"/>
      <c r="G64" s="49"/>
      <c r="H64" s="49"/>
      <c r="I64" s="49">
        <v>6.89</v>
      </c>
      <c r="J64" s="49">
        <v>14.63</v>
      </c>
      <c r="K64" s="49"/>
      <c r="L64" s="49">
        <v>7.17</v>
      </c>
      <c r="M64" s="49">
        <v>6.6</v>
      </c>
      <c r="N64" s="49">
        <v>5.08</v>
      </c>
      <c r="O64" s="49">
        <v>5.1100000000000003</v>
      </c>
      <c r="P64" s="49"/>
      <c r="Q64" s="49">
        <v>3</v>
      </c>
      <c r="R64" s="49">
        <v>5.89</v>
      </c>
      <c r="S64" s="49">
        <v>6.03</v>
      </c>
      <c r="T64" s="49"/>
      <c r="U64" s="49"/>
      <c r="V64" s="49"/>
      <c r="W64" s="49"/>
      <c r="X64" s="49"/>
      <c r="Y64" s="49"/>
    </row>
    <row r="65" spans="1:25" s="7" customFormat="1" ht="15" customHeight="1">
      <c r="A65" s="12"/>
      <c r="B65" s="8"/>
      <c r="C65" s="9"/>
      <c r="D65" s="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s="7" customFormat="1" ht="15" customHeight="1">
      <c r="A66" s="12" t="s">
        <v>506</v>
      </c>
      <c r="B66" s="8" t="s">
        <v>598</v>
      </c>
      <c r="C66" s="9" t="s">
        <v>609</v>
      </c>
      <c r="D66" s="9" t="s">
        <v>605</v>
      </c>
      <c r="E66" s="49">
        <v>4.05</v>
      </c>
      <c r="F66" s="49"/>
      <c r="G66" s="49"/>
      <c r="H66" s="49">
        <v>14.95</v>
      </c>
      <c r="I66" s="49"/>
      <c r="J66" s="49">
        <v>0</v>
      </c>
      <c r="K66" s="49"/>
      <c r="L66" s="49"/>
      <c r="M66" s="49">
        <v>3.96</v>
      </c>
      <c r="N66" s="49">
        <v>5.87</v>
      </c>
      <c r="O66" s="49">
        <v>5.53</v>
      </c>
      <c r="P66" s="49">
        <v>20.55</v>
      </c>
      <c r="Q66" s="49">
        <v>22.11</v>
      </c>
      <c r="R66" s="49">
        <v>3.85</v>
      </c>
      <c r="S66" s="49">
        <v>4.04</v>
      </c>
      <c r="T66" s="49">
        <v>32.99</v>
      </c>
      <c r="U66" s="49">
        <v>0</v>
      </c>
      <c r="V66" s="49"/>
      <c r="W66" s="49"/>
      <c r="X66" s="49"/>
      <c r="Y66" s="49">
        <v>0</v>
      </c>
    </row>
    <row r="67" spans="1:25" s="7" customFormat="1" ht="15" customHeight="1">
      <c r="A67" s="12" t="s">
        <v>195</v>
      </c>
      <c r="B67" s="8" t="s">
        <v>598</v>
      </c>
      <c r="C67" s="9" t="s">
        <v>619</v>
      </c>
      <c r="D67" s="9" t="s">
        <v>605</v>
      </c>
      <c r="E67" s="49">
        <v>4.05</v>
      </c>
      <c r="F67" s="49"/>
      <c r="G67" s="49"/>
      <c r="H67" s="49">
        <v>14.02</v>
      </c>
      <c r="I67" s="49"/>
      <c r="J67" s="49">
        <v>0</v>
      </c>
      <c r="K67" s="49"/>
      <c r="L67" s="49"/>
      <c r="M67" s="49">
        <v>3.96</v>
      </c>
      <c r="N67" s="49">
        <v>3.37</v>
      </c>
      <c r="O67" s="49">
        <v>4.0599999999999996</v>
      </c>
      <c r="P67" s="49">
        <v>12.33</v>
      </c>
      <c r="Q67" s="49">
        <v>20.45</v>
      </c>
      <c r="R67" s="49">
        <v>3.85</v>
      </c>
      <c r="S67" s="49">
        <v>4</v>
      </c>
      <c r="T67" s="49">
        <v>26.57</v>
      </c>
      <c r="U67" s="49">
        <v>0</v>
      </c>
      <c r="V67" s="49"/>
      <c r="W67" s="49"/>
      <c r="X67" s="49"/>
      <c r="Y67" s="49">
        <v>0</v>
      </c>
    </row>
    <row r="68" spans="1:25" s="7" customFormat="1" ht="15" customHeight="1">
      <c r="A68" s="12" t="s">
        <v>196</v>
      </c>
      <c r="B68" s="8" t="s">
        <v>598</v>
      </c>
      <c r="C68" s="9" t="s">
        <v>620</v>
      </c>
      <c r="D68" s="9" t="s">
        <v>605</v>
      </c>
      <c r="E68" s="49">
        <v>4.05</v>
      </c>
      <c r="F68" s="49"/>
      <c r="G68" s="49"/>
      <c r="H68" s="49">
        <v>12.43</v>
      </c>
      <c r="I68" s="49"/>
      <c r="J68" s="49">
        <v>0</v>
      </c>
      <c r="K68" s="49"/>
      <c r="L68" s="49"/>
      <c r="M68" s="49">
        <v>3.96</v>
      </c>
      <c r="N68" s="49">
        <v>3.37</v>
      </c>
      <c r="O68" s="49">
        <v>3.28</v>
      </c>
      <c r="P68" s="49">
        <v>9.76</v>
      </c>
      <c r="Q68" s="49">
        <v>19.54</v>
      </c>
      <c r="R68" s="49">
        <v>3.85</v>
      </c>
      <c r="S68" s="49">
        <v>3.97</v>
      </c>
      <c r="T68" s="49">
        <v>25.33</v>
      </c>
      <c r="U68" s="49">
        <v>0</v>
      </c>
      <c r="V68" s="49"/>
      <c r="W68" s="49"/>
      <c r="X68" s="49"/>
      <c r="Y68" s="49">
        <v>0</v>
      </c>
    </row>
    <row r="69" spans="1:25" s="7" customFormat="1" ht="15" customHeight="1">
      <c r="A69" s="12" t="s">
        <v>197</v>
      </c>
      <c r="B69" s="8" t="s">
        <v>598</v>
      </c>
      <c r="C69" s="9" t="s">
        <v>656</v>
      </c>
      <c r="D69" s="9" t="s">
        <v>604</v>
      </c>
      <c r="E69" s="49"/>
      <c r="F69" s="49"/>
      <c r="G69" s="49"/>
      <c r="H69" s="49">
        <v>0.8</v>
      </c>
      <c r="I69" s="49"/>
      <c r="J69" s="49">
        <v>0</v>
      </c>
      <c r="K69" s="49"/>
      <c r="L69" s="49"/>
      <c r="M69" s="49"/>
      <c r="N69" s="49">
        <v>0.35</v>
      </c>
      <c r="O69" s="49">
        <v>0.64</v>
      </c>
      <c r="P69" s="49">
        <v>1.5</v>
      </c>
      <c r="Q69" s="49">
        <v>0.65</v>
      </c>
      <c r="R69" s="49"/>
      <c r="S69" s="49"/>
      <c r="T69" s="49">
        <v>0.23</v>
      </c>
      <c r="U69" s="49"/>
      <c r="V69" s="49"/>
      <c r="W69" s="49"/>
      <c r="X69" s="49"/>
      <c r="Y69" s="49">
        <v>0</v>
      </c>
    </row>
    <row r="70" spans="1:25" s="7" customFormat="1" ht="15" customHeight="1">
      <c r="A70" s="12" t="s">
        <v>198</v>
      </c>
      <c r="B70" s="8" t="s">
        <v>598</v>
      </c>
      <c r="C70" s="9" t="s">
        <v>657</v>
      </c>
      <c r="D70" s="9" t="s">
        <v>604</v>
      </c>
      <c r="E70" s="49"/>
      <c r="F70" s="49"/>
      <c r="G70" s="49"/>
      <c r="H70" s="49">
        <v>0.8</v>
      </c>
      <c r="I70" s="49"/>
      <c r="J70" s="49">
        <v>0</v>
      </c>
      <c r="K70" s="49"/>
      <c r="L70" s="49"/>
      <c r="M70" s="49"/>
      <c r="N70" s="49">
        <v>0.14000000000000001</v>
      </c>
      <c r="O70" s="49">
        <v>0.51</v>
      </c>
      <c r="P70" s="49">
        <v>1.5</v>
      </c>
      <c r="Q70" s="49">
        <v>0.65</v>
      </c>
      <c r="R70" s="49"/>
      <c r="S70" s="49"/>
      <c r="T70" s="49">
        <v>0.16</v>
      </c>
      <c r="U70" s="49"/>
      <c r="V70" s="49"/>
      <c r="W70" s="49"/>
      <c r="X70" s="49"/>
      <c r="Y70" s="49">
        <v>0</v>
      </c>
    </row>
    <row r="71" spans="1:25" s="7" customFormat="1" ht="15" customHeight="1">
      <c r="A71" s="12" t="s">
        <v>199</v>
      </c>
      <c r="B71" s="8" t="s">
        <v>598</v>
      </c>
      <c r="C71" s="9" t="s">
        <v>658</v>
      </c>
      <c r="D71" s="9" t="s">
        <v>604</v>
      </c>
      <c r="E71" s="49"/>
      <c r="F71" s="49"/>
      <c r="G71" s="49"/>
      <c r="H71" s="49">
        <v>0.8</v>
      </c>
      <c r="I71" s="49"/>
      <c r="J71" s="49">
        <v>0</v>
      </c>
      <c r="K71" s="49"/>
      <c r="L71" s="49"/>
      <c r="M71" s="49"/>
      <c r="N71" s="49">
        <v>0.13</v>
      </c>
      <c r="O71" s="49">
        <v>0.38</v>
      </c>
      <c r="P71" s="49">
        <v>1.5</v>
      </c>
      <c r="Q71" s="49">
        <v>0.65</v>
      </c>
      <c r="R71" s="49"/>
      <c r="S71" s="49"/>
      <c r="T71" s="49">
        <v>0.11</v>
      </c>
      <c r="U71" s="49"/>
      <c r="V71" s="49"/>
      <c r="W71" s="49"/>
      <c r="X71" s="49"/>
      <c r="Y71" s="49">
        <v>0</v>
      </c>
    </row>
    <row r="72" spans="1:25" s="7" customFormat="1" ht="15" customHeight="1">
      <c r="A72" s="12"/>
      <c r="B72" s="8"/>
      <c r="C72" s="9"/>
      <c r="D72" s="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s="7" customFormat="1" ht="15" customHeight="1">
      <c r="A73" s="12" t="s">
        <v>200</v>
      </c>
      <c r="B73" s="8" t="s">
        <v>602</v>
      </c>
      <c r="C73" s="9" t="s">
        <v>609</v>
      </c>
      <c r="D73" s="9" t="s">
        <v>605</v>
      </c>
      <c r="E73" s="49"/>
      <c r="F73" s="49">
        <v>0</v>
      </c>
      <c r="G73" s="49"/>
      <c r="H73" s="49">
        <v>21.06</v>
      </c>
      <c r="I73" s="49"/>
      <c r="J73" s="49"/>
      <c r="K73" s="49">
        <v>17</v>
      </c>
      <c r="L73" s="49">
        <v>0</v>
      </c>
      <c r="M73" s="49"/>
      <c r="N73" s="49">
        <v>5.87</v>
      </c>
      <c r="O73" s="49">
        <v>5.98</v>
      </c>
      <c r="P73" s="49">
        <v>35.96</v>
      </c>
      <c r="Q73" s="49">
        <v>24.23</v>
      </c>
      <c r="R73" s="49"/>
      <c r="S73" s="49"/>
      <c r="T73" s="49">
        <v>32.99</v>
      </c>
      <c r="U73" s="49"/>
      <c r="V73" s="49">
        <v>0</v>
      </c>
      <c r="W73" s="49"/>
      <c r="X73" s="49">
        <v>0</v>
      </c>
      <c r="Y73" s="49"/>
    </row>
    <row r="74" spans="1:25" s="7" customFormat="1" ht="15" customHeight="1">
      <c r="A74" s="12" t="s">
        <v>201</v>
      </c>
      <c r="B74" s="8" t="s">
        <v>602</v>
      </c>
      <c r="C74" s="9" t="s">
        <v>619</v>
      </c>
      <c r="D74" s="9" t="s">
        <v>605</v>
      </c>
      <c r="E74" s="49"/>
      <c r="F74" s="49">
        <v>0</v>
      </c>
      <c r="G74" s="49"/>
      <c r="H74" s="49">
        <v>19.75</v>
      </c>
      <c r="I74" s="49"/>
      <c r="J74" s="49"/>
      <c r="K74" s="49">
        <v>14</v>
      </c>
      <c r="L74" s="49">
        <v>0</v>
      </c>
      <c r="M74" s="49"/>
      <c r="N74" s="49">
        <v>3.37</v>
      </c>
      <c r="O74" s="49">
        <v>4.28</v>
      </c>
      <c r="P74" s="49">
        <v>18.5</v>
      </c>
      <c r="Q74" s="49">
        <v>22.6</v>
      </c>
      <c r="R74" s="49"/>
      <c r="S74" s="49"/>
      <c r="T74" s="49">
        <v>26.57</v>
      </c>
      <c r="U74" s="49"/>
      <c r="V74" s="49">
        <v>0</v>
      </c>
      <c r="W74" s="49"/>
      <c r="X74" s="49">
        <v>0</v>
      </c>
      <c r="Y74" s="49"/>
    </row>
    <row r="75" spans="1:25" s="7" customFormat="1" ht="15" customHeight="1">
      <c r="A75" s="12" t="s">
        <v>202</v>
      </c>
      <c r="B75" s="8" t="s">
        <v>602</v>
      </c>
      <c r="C75" s="9" t="s">
        <v>620</v>
      </c>
      <c r="D75" s="9" t="s">
        <v>605</v>
      </c>
      <c r="E75" s="49"/>
      <c r="F75" s="49">
        <v>0</v>
      </c>
      <c r="G75" s="49"/>
      <c r="H75" s="49">
        <v>18.14</v>
      </c>
      <c r="I75" s="49"/>
      <c r="J75" s="49"/>
      <c r="K75" s="49">
        <v>11</v>
      </c>
      <c r="L75" s="49">
        <v>0</v>
      </c>
      <c r="M75" s="49"/>
      <c r="N75" s="49">
        <v>3.37</v>
      </c>
      <c r="O75" s="49">
        <v>3.39</v>
      </c>
      <c r="P75" s="49">
        <v>14.39</v>
      </c>
      <c r="Q75" s="49">
        <v>21.5</v>
      </c>
      <c r="R75" s="49"/>
      <c r="S75" s="49"/>
      <c r="T75" s="49">
        <v>25.33</v>
      </c>
      <c r="U75" s="49"/>
      <c r="V75" s="49">
        <v>0</v>
      </c>
      <c r="W75" s="49"/>
      <c r="X75" s="49">
        <v>0</v>
      </c>
      <c r="Y75" s="49"/>
    </row>
    <row r="76" spans="1:25" s="7" customFormat="1" ht="15" customHeight="1">
      <c r="A76" s="12" t="s">
        <v>203</v>
      </c>
      <c r="B76" s="8" t="s">
        <v>602</v>
      </c>
      <c r="C76" s="9" t="s">
        <v>656</v>
      </c>
      <c r="D76" s="9" t="s">
        <v>604</v>
      </c>
      <c r="E76" s="49"/>
      <c r="F76" s="49">
        <v>2.34</v>
      </c>
      <c r="G76" s="49"/>
      <c r="H76" s="49">
        <v>1.1599999999999999</v>
      </c>
      <c r="I76" s="49"/>
      <c r="J76" s="49"/>
      <c r="K76" s="49">
        <v>2.25</v>
      </c>
      <c r="L76" s="49">
        <v>2.4700000000000002</v>
      </c>
      <c r="M76" s="49"/>
      <c r="N76" s="49">
        <v>0.35</v>
      </c>
      <c r="O76" s="49">
        <v>0.78</v>
      </c>
      <c r="P76" s="49">
        <v>1.5</v>
      </c>
      <c r="Q76" s="49">
        <v>0.87</v>
      </c>
      <c r="R76" s="49"/>
      <c r="S76" s="49"/>
      <c r="T76" s="49">
        <v>0.25</v>
      </c>
      <c r="U76" s="49"/>
      <c r="V76" s="49">
        <v>2.38</v>
      </c>
      <c r="W76" s="49"/>
      <c r="X76" s="49">
        <v>2.52</v>
      </c>
      <c r="Y76" s="49"/>
    </row>
    <row r="77" spans="1:25" s="7" customFormat="1" ht="15" customHeight="1">
      <c r="A77" s="12" t="s">
        <v>204</v>
      </c>
      <c r="B77" s="8" t="s">
        <v>602</v>
      </c>
      <c r="C77" s="9" t="s">
        <v>657</v>
      </c>
      <c r="D77" s="9" t="s">
        <v>604</v>
      </c>
      <c r="E77" s="49"/>
      <c r="F77" s="49">
        <v>2.34</v>
      </c>
      <c r="G77" s="49"/>
      <c r="H77" s="49">
        <v>1.1599999999999999</v>
      </c>
      <c r="I77" s="49"/>
      <c r="J77" s="49"/>
      <c r="K77" s="49">
        <v>1.75</v>
      </c>
      <c r="L77" s="49">
        <v>2.4700000000000002</v>
      </c>
      <c r="M77" s="49"/>
      <c r="N77" s="49">
        <v>0.14000000000000001</v>
      </c>
      <c r="O77" s="49">
        <v>0.62</v>
      </c>
      <c r="P77" s="49">
        <v>1.5</v>
      </c>
      <c r="Q77" s="49">
        <v>0.87</v>
      </c>
      <c r="R77" s="49"/>
      <c r="S77" s="49"/>
      <c r="T77" s="49">
        <v>0.17</v>
      </c>
      <c r="U77" s="49"/>
      <c r="V77" s="49">
        <v>2.38</v>
      </c>
      <c r="W77" s="49"/>
      <c r="X77" s="49">
        <v>2.52</v>
      </c>
      <c r="Y77" s="49"/>
    </row>
    <row r="78" spans="1:25" s="7" customFormat="1" ht="15" customHeight="1">
      <c r="A78" s="12" t="s">
        <v>205</v>
      </c>
      <c r="B78" s="8" t="s">
        <v>602</v>
      </c>
      <c r="C78" s="9" t="s">
        <v>658</v>
      </c>
      <c r="D78" s="9" t="s">
        <v>604</v>
      </c>
      <c r="E78" s="49"/>
      <c r="F78" s="49">
        <v>2.34</v>
      </c>
      <c r="G78" s="49"/>
      <c r="H78" s="49">
        <v>1.1599999999999999</v>
      </c>
      <c r="I78" s="49"/>
      <c r="J78" s="49"/>
      <c r="K78" s="49">
        <v>1.25</v>
      </c>
      <c r="L78" s="49">
        <v>2.4700000000000002</v>
      </c>
      <c r="M78" s="49"/>
      <c r="N78" s="49">
        <v>0.13</v>
      </c>
      <c r="O78" s="49">
        <v>0.47</v>
      </c>
      <c r="P78" s="49">
        <v>1.5</v>
      </c>
      <c r="Q78" s="49">
        <v>0.87</v>
      </c>
      <c r="R78" s="49"/>
      <c r="S78" s="49"/>
      <c r="T78" s="49">
        <v>0.12</v>
      </c>
      <c r="U78" s="49"/>
      <c r="V78" s="49">
        <v>2.38</v>
      </c>
      <c r="W78" s="49"/>
      <c r="X78" s="49">
        <v>2.52</v>
      </c>
      <c r="Y78" s="49"/>
    </row>
    <row r="79" spans="1:25" s="7" customFormat="1" ht="15" customHeight="1">
      <c r="A79" s="12"/>
      <c r="B79" s="8"/>
      <c r="C79" s="9"/>
      <c r="D79" s="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spans="1:25" s="7" customFormat="1" ht="15" customHeight="1">
      <c r="A80" s="12" t="s">
        <v>206</v>
      </c>
      <c r="B80" s="8" t="s">
        <v>600</v>
      </c>
      <c r="C80" s="9" t="s">
        <v>609</v>
      </c>
      <c r="D80" s="9" t="s">
        <v>605</v>
      </c>
      <c r="E80" s="49"/>
      <c r="F80" s="49"/>
      <c r="G80" s="49"/>
      <c r="H80" s="49"/>
      <c r="I80" s="49"/>
      <c r="J80" s="49"/>
      <c r="K80" s="49">
        <v>19</v>
      </c>
      <c r="L80" s="49"/>
      <c r="M80" s="49"/>
      <c r="N80" s="49">
        <v>5.87</v>
      </c>
      <c r="O80" s="49"/>
      <c r="P80" s="49">
        <v>59.19</v>
      </c>
      <c r="Q80" s="49">
        <v>23.95</v>
      </c>
      <c r="R80" s="49"/>
      <c r="S80" s="49"/>
      <c r="T80" s="49">
        <v>43.78</v>
      </c>
      <c r="U80" s="49"/>
      <c r="V80" s="49"/>
      <c r="W80" s="49"/>
      <c r="X80" s="49"/>
      <c r="Y80" s="49"/>
    </row>
    <row r="81" spans="1:25" s="7" customFormat="1" ht="15" customHeight="1">
      <c r="A81" s="12" t="s">
        <v>207</v>
      </c>
      <c r="B81" s="8" t="s">
        <v>600</v>
      </c>
      <c r="C81" s="9" t="s">
        <v>619</v>
      </c>
      <c r="D81" s="9" t="s">
        <v>605</v>
      </c>
      <c r="E81" s="49"/>
      <c r="F81" s="49"/>
      <c r="G81" s="49"/>
      <c r="H81" s="49"/>
      <c r="I81" s="49"/>
      <c r="J81" s="49"/>
      <c r="K81" s="49">
        <v>16</v>
      </c>
      <c r="L81" s="49"/>
      <c r="M81" s="49"/>
      <c r="N81" s="49">
        <v>3.37</v>
      </c>
      <c r="O81" s="49"/>
      <c r="P81" s="49">
        <v>37.76</v>
      </c>
      <c r="Q81" s="49">
        <v>22.94</v>
      </c>
      <c r="R81" s="49"/>
      <c r="S81" s="49"/>
      <c r="T81" s="49">
        <v>35.25</v>
      </c>
      <c r="U81" s="49"/>
      <c r="V81" s="49"/>
      <c r="W81" s="49"/>
      <c r="X81" s="49"/>
      <c r="Y81" s="49"/>
    </row>
    <row r="82" spans="1:25" s="7" customFormat="1" ht="15" customHeight="1">
      <c r="A82" s="12" t="s">
        <v>208</v>
      </c>
      <c r="B82" s="8" t="s">
        <v>600</v>
      </c>
      <c r="C82" s="9" t="s">
        <v>620</v>
      </c>
      <c r="D82" s="9" t="s">
        <v>605</v>
      </c>
      <c r="E82" s="49"/>
      <c r="F82" s="49"/>
      <c r="G82" s="49"/>
      <c r="H82" s="49"/>
      <c r="I82" s="49"/>
      <c r="J82" s="49"/>
      <c r="K82" s="49">
        <v>12</v>
      </c>
      <c r="L82" s="49"/>
      <c r="M82" s="49"/>
      <c r="N82" s="49">
        <v>3.37</v>
      </c>
      <c r="O82" s="49"/>
      <c r="P82" s="49">
        <v>32.65</v>
      </c>
      <c r="Q82" s="49">
        <v>21.95</v>
      </c>
      <c r="R82" s="49"/>
      <c r="S82" s="49"/>
      <c r="T82" s="49">
        <v>33.619999999999997</v>
      </c>
      <c r="U82" s="49"/>
      <c r="V82" s="49"/>
      <c r="W82" s="49"/>
      <c r="X82" s="49"/>
      <c r="Y82" s="49"/>
    </row>
    <row r="83" spans="1:25" s="7" customFormat="1" ht="15" customHeight="1">
      <c r="A83" s="12" t="s">
        <v>209</v>
      </c>
      <c r="B83" s="8" t="s">
        <v>600</v>
      </c>
      <c r="C83" s="9" t="s">
        <v>656</v>
      </c>
      <c r="D83" s="9" t="s">
        <v>604</v>
      </c>
      <c r="E83" s="49"/>
      <c r="F83" s="49"/>
      <c r="G83" s="49"/>
      <c r="H83" s="49"/>
      <c r="I83" s="49"/>
      <c r="J83" s="49"/>
      <c r="K83" s="49">
        <v>2.25</v>
      </c>
      <c r="L83" s="49"/>
      <c r="M83" s="49"/>
      <c r="N83" s="49">
        <v>0.35</v>
      </c>
      <c r="O83" s="49"/>
      <c r="P83" s="49">
        <v>1.5</v>
      </c>
      <c r="Q83" s="49">
        <v>0.65</v>
      </c>
      <c r="R83" s="49"/>
      <c r="S83" s="49"/>
      <c r="T83" s="49">
        <v>0.57999999999999996</v>
      </c>
      <c r="U83" s="49"/>
      <c r="V83" s="49"/>
      <c r="W83" s="49"/>
      <c r="X83" s="49"/>
      <c r="Y83" s="49"/>
    </row>
    <row r="84" spans="1:25" s="7" customFormat="1" ht="15" customHeight="1">
      <c r="A84" s="12" t="s">
        <v>210</v>
      </c>
      <c r="B84" s="8" t="s">
        <v>600</v>
      </c>
      <c r="C84" s="9" t="s">
        <v>657</v>
      </c>
      <c r="D84" s="9" t="s">
        <v>604</v>
      </c>
      <c r="E84" s="49"/>
      <c r="F84" s="49"/>
      <c r="G84" s="49"/>
      <c r="H84" s="49"/>
      <c r="I84" s="49"/>
      <c r="J84" s="49"/>
      <c r="K84" s="49">
        <v>1.75</v>
      </c>
      <c r="L84" s="49"/>
      <c r="M84" s="49"/>
      <c r="N84" s="49">
        <v>0.14000000000000001</v>
      </c>
      <c r="O84" s="49"/>
      <c r="P84" s="49">
        <v>1.5</v>
      </c>
      <c r="Q84" s="49">
        <v>0.65</v>
      </c>
      <c r="R84" s="49"/>
      <c r="S84" s="49"/>
      <c r="T84" s="49">
        <v>0.3</v>
      </c>
      <c r="U84" s="49"/>
      <c r="V84" s="49"/>
      <c r="W84" s="49"/>
      <c r="X84" s="49"/>
      <c r="Y84" s="49"/>
    </row>
    <row r="85" spans="1:25" s="7" customFormat="1" ht="15" customHeight="1">
      <c r="A85" s="12" t="s">
        <v>211</v>
      </c>
      <c r="B85" s="8" t="s">
        <v>600</v>
      </c>
      <c r="C85" s="9" t="s">
        <v>658</v>
      </c>
      <c r="D85" s="9" t="s">
        <v>604</v>
      </c>
      <c r="E85" s="49"/>
      <c r="F85" s="49"/>
      <c r="G85" s="49"/>
      <c r="H85" s="49"/>
      <c r="I85" s="49"/>
      <c r="J85" s="49"/>
      <c r="K85" s="49">
        <v>1.25</v>
      </c>
      <c r="L85" s="49"/>
      <c r="M85" s="49"/>
      <c r="N85" s="49">
        <v>0.13</v>
      </c>
      <c r="O85" s="49"/>
      <c r="P85" s="49">
        <v>1.5</v>
      </c>
      <c r="Q85" s="49">
        <v>0.65</v>
      </c>
      <c r="R85" s="49"/>
      <c r="S85" s="49"/>
      <c r="T85" s="49">
        <v>0.14000000000000001</v>
      </c>
      <c r="U85" s="49"/>
      <c r="V85" s="49"/>
      <c r="W85" s="49"/>
      <c r="X85" s="49"/>
      <c r="Y85" s="49"/>
    </row>
    <row r="86" spans="1:25" s="7" customFormat="1" ht="15" customHeight="1">
      <c r="A86" s="12"/>
      <c r="B86" s="8"/>
      <c r="C86" s="9"/>
      <c r="D86" s="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spans="1:25" s="7" customFormat="1" ht="15" customHeight="1">
      <c r="A87" s="12" t="s">
        <v>212</v>
      </c>
      <c r="B87" s="8" t="s">
        <v>601</v>
      </c>
      <c r="C87" s="9" t="s">
        <v>609</v>
      </c>
      <c r="D87" s="9" t="s">
        <v>605</v>
      </c>
      <c r="E87" s="49">
        <v>4.05</v>
      </c>
      <c r="F87" s="49"/>
      <c r="G87" s="49"/>
      <c r="H87" s="49"/>
      <c r="I87" s="49"/>
      <c r="J87" s="49">
        <v>0</v>
      </c>
      <c r="K87" s="49"/>
      <c r="L87" s="49">
        <v>0</v>
      </c>
      <c r="M87" s="49">
        <v>3.96</v>
      </c>
      <c r="N87" s="49">
        <v>5.87</v>
      </c>
      <c r="O87" s="49">
        <v>5.32</v>
      </c>
      <c r="P87" s="49"/>
      <c r="Q87" s="49">
        <v>21.72</v>
      </c>
      <c r="R87" s="49">
        <v>3.85</v>
      </c>
      <c r="S87" s="49">
        <v>4.04</v>
      </c>
      <c r="T87" s="49"/>
      <c r="U87" s="49"/>
      <c r="V87" s="49"/>
      <c r="W87" s="49"/>
      <c r="X87" s="49"/>
      <c r="Y87" s="49"/>
    </row>
    <row r="88" spans="1:25" s="7" customFormat="1" ht="15" customHeight="1">
      <c r="A88" s="12" t="s">
        <v>213</v>
      </c>
      <c r="B88" s="8" t="s">
        <v>601</v>
      </c>
      <c r="C88" s="9" t="s">
        <v>619</v>
      </c>
      <c r="D88" s="9" t="s">
        <v>605</v>
      </c>
      <c r="E88" s="49">
        <v>4.05</v>
      </c>
      <c r="F88" s="49"/>
      <c r="G88" s="49"/>
      <c r="H88" s="49"/>
      <c r="I88" s="49"/>
      <c r="J88" s="49">
        <v>0</v>
      </c>
      <c r="K88" s="49"/>
      <c r="L88" s="49">
        <v>0</v>
      </c>
      <c r="M88" s="49">
        <v>3.96</v>
      </c>
      <c r="N88" s="49">
        <v>3.37</v>
      </c>
      <c r="O88" s="49">
        <v>3.9</v>
      </c>
      <c r="P88" s="49"/>
      <c r="Q88" s="49">
        <v>20.079999999999998</v>
      </c>
      <c r="R88" s="49">
        <v>3.85</v>
      </c>
      <c r="S88" s="49">
        <v>4</v>
      </c>
      <c r="T88" s="49"/>
      <c r="U88" s="49"/>
      <c r="V88" s="49"/>
      <c r="W88" s="49"/>
      <c r="X88" s="49"/>
      <c r="Y88" s="49"/>
    </row>
    <row r="89" spans="1:25" s="7" customFormat="1" ht="15" customHeight="1">
      <c r="A89" s="12" t="s">
        <v>214</v>
      </c>
      <c r="B89" s="8" t="s">
        <v>601</v>
      </c>
      <c r="C89" s="9" t="s">
        <v>620</v>
      </c>
      <c r="D89" s="9" t="s">
        <v>605</v>
      </c>
      <c r="E89" s="49">
        <v>4.05</v>
      </c>
      <c r="F89" s="49"/>
      <c r="G89" s="49"/>
      <c r="H89" s="49"/>
      <c r="I89" s="49"/>
      <c r="J89" s="49">
        <v>0</v>
      </c>
      <c r="K89" s="49"/>
      <c r="L89" s="49">
        <v>0</v>
      </c>
      <c r="M89" s="49">
        <v>3.96</v>
      </c>
      <c r="N89" s="49">
        <v>3.37</v>
      </c>
      <c r="O89" s="49">
        <v>3.15</v>
      </c>
      <c r="P89" s="49"/>
      <c r="Q89" s="49">
        <v>19.2</v>
      </c>
      <c r="R89" s="49">
        <v>3.85</v>
      </c>
      <c r="S89" s="49">
        <v>3.97</v>
      </c>
      <c r="T89" s="49"/>
      <c r="U89" s="49"/>
      <c r="V89" s="49"/>
      <c r="W89" s="49"/>
      <c r="X89" s="49"/>
      <c r="Y89" s="49"/>
    </row>
    <row r="90" spans="1:25" s="7" customFormat="1" ht="15" customHeight="1">
      <c r="A90" s="12" t="s">
        <v>215</v>
      </c>
      <c r="B90" s="8" t="s">
        <v>601</v>
      </c>
      <c r="C90" s="9" t="s">
        <v>656</v>
      </c>
      <c r="D90" s="9" t="s">
        <v>604</v>
      </c>
      <c r="E90" s="49"/>
      <c r="F90" s="49"/>
      <c r="G90" s="49"/>
      <c r="H90" s="49"/>
      <c r="I90" s="49"/>
      <c r="J90" s="49">
        <v>0</v>
      </c>
      <c r="K90" s="49"/>
      <c r="L90" s="49">
        <v>1.77</v>
      </c>
      <c r="M90" s="49"/>
      <c r="N90" s="49">
        <v>0.35</v>
      </c>
      <c r="O90" s="49">
        <v>0.62</v>
      </c>
      <c r="P90" s="49"/>
      <c r="Q90" s="49">
        <v>0.65</v>
      </c>
      <c r="R90" s="49"/>
      <c r="S90" s="49"/>
      <c r="T90" s="49"/>
      <c r="U90" s="49"/>
      <c r="V90" s="49"/>
      <c r="W90" s="49"/>
      <c r="X90" s="49"/>
      <c r="Y90" s="49"/>
    </row>
    <row r="91" spans="1:25" s="7" customFormat="1" ht="15" customHeight="1">
      <c r="A91" s="12" t="s">
        <v>216</v>
      </c>
      <c r="B91" s="8" t="s">
        <v>601</v>
      </c>
      <c r="C91" s="9" t="s">
        <v>657</v>
      </c>
      <c r="D91" s="9" t="s">
        <v>604</v>
      </c>
      <c r="E91" s="49"/>
      <c r="F91" s="49"/>
      <c r="G91" s="49"/>
      <c r="H91" s="49"/>
      <c r="I91" s="49"/>
      <c r="J91" s="49">
        <v>0</v>
      </c>
      <c r="K91" s="49"/>
      <c r="L91" s="49">
        <v>1.77</v>
      </c>
      <c r="M91" s="49"/>
      <c r="N91" s="49">
        <v>0.14000000000000001</v>
      </c>
      <c r="O91" s="49">
        <v>0.49</v>
      </c>
      <c r="P91" s="49"/>
      <c r="Q91" s="49">
        <v>0.65</v>
      </c>
      <c r="R91" s="49"/>
      <c r="S91" s="49"/>
      <c r="T91" s="49"/>
      <c r="U91" s="49"/>
      <c r="V91" s="49"/>
      <c r="W91" s="49"/>
      <c r="X91" s="49"/>
      <c r="Y91" s="49"/>
    </row>
    <row r="92" spans="1:25" s="7" customFormat="1" ht="15" customHeight="1">
      <c r="A92" s="12" t="s">
        <v>217</v>
      </c>
      <c r="B92" s="8" t="s">
        <v>601</v>
      </c>
      <c r="C92" s="9" t="s">
        <v>658</v>
      </c>
      <c r="D92" s="9" t="s">
        <v>604</v>
      </c>
      <c r="E92" s="49"/>
      <c r="F92" s="49"/>
      <c r="G92" s="49"/>
      <c r="H92" s="49"/>
      <c r="I92" s="49"/>
      <c r="J92" s="49">
        <v>0</v>
      </c>
      <c r="K92" s="49"/>
      <c r="L92" s="49">
        <v>1.77</v>
      </c>
      <c r="M92" s="49"/>
      <c r="N92" s="49">
        <v>0.13</v>
      </c>
      <c r="O92" s="49">
        <v>0.37</v>
      </c>
      <c r="P92" s="49"/>
      <c r="Q92" s="49">
        <v>0.65</v>
      </c>
      <c r="R92" s="49"/>
      <c r="S92" s="49"/>
      <c r="T92" s="49"/>
      <c r="U92" s="49"/>
      <c r="V92" s="49"/>
      <c r="W92" s="49"/>
      <c r="X92" s="49"/>
      <c r="Y92" s="49"/>
    </row>
    <row r="93" spans="1:25" s="7" customFormat="1" ht="15" customHeight="1">
      <c r="A93" s="12"/>
      <c r="B93" s="8"/>
      <c r="C93" s="9"/>
      <c r="D93" s="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spans="1:25" s="7" customFormat="1" ht="15" customHeight="1">
      <c r="A94" s="12" t="s">
        <v>218</v>
      </c>
      <c r="B94" s="8" t="s">
        <v>598</v>
      </c>
      <c r="C94" s="9" t="s">
        <v>608</v>
      </c>
      <c r="D94" s="9" t="s">
        <v>605</v>
      </c>
      <c r="E94" s="49"/>
      <c r="F94" s="49"/>
      <c r="G94" s="49">
        <v>11.9</v>
      </c>
      <c r="H94" s="49">
        <v>50.2</v>
      </c>
      <c r="I94" s="49"/>
      <c r="J94" s="49"/>
      <c r="K94" s="49"/>
      <c r="L94" s="49"/>
      <c r="M94" s="49"/>
      <c r="N94" s="49">
        <v>12.56</v>
      </c>
      <c r="O94" s="49">
        <v>12.95</v>
      </c>
      <c r="P94" s="49">
        <v>26.87</v>
      </c>
      <c r="Q94" s="49">
        <v>2.15</v>
      </c>
      <c r="R94" s="49"/>
      <c r="S94" s="49"/>
      <c r="T94" s="49"/>
      <c r="U94" s="49"/>
      <c r="V94" s="49"/>
      <c r="W94" s="49"/>
      <c r="X94" s="49"/>
      <c r="Y94" s="49"/>
    </row>
    <row r="95" spans="1:25" s="7" customFormat="1" ht="15" customHeight="1">
      <c r="A95" s="12" t="s">
        <v>219</v>
      </c>
      <c r="B95" s="8" t="s">
        <v>598</v>
      </c>
      <c r="C95" s="9" t="s">
        <v>621</v>
      </c>
      <c r="D95" s="9" t="s">
        <v>605</v>
      </c>
      <c r="E95" s="49"/>
      <c r="F95" s="49"/>
      <c r="G95" s="49">
        <v>8.4</v>
      </c>
      <c r="H95" s="49">
        <v>42.84</v>
      </c>
      <c r="I95" s="49"/>
      <c r="J95" s="49"/>
      <c r="K95" s="49"/>
      <c r="L95" s="49"/>
      <c r="M95" s="49"/>
      <c r="N95" s="49">
        <v>12.56</v>
      </c>
      <c r="O95" s="49">
        <v>10.96</v>
      </c>
      <c r="P95" s="49">
        <v>20.75</v>
      </c>
      <c r="Q95" s="49">
        <v>1.01</v>
      </c>
      <c r="R95" s="49"/>
      <c r="S95" s="49"/>
      <c r="T95" s="49"/>
      <c r="U95" s="49"/>
      <c r="V95" s="49"/>
      <c r="W95" s="49"/>
      <c r="X95" s="49"/>
      <c r="Y95" s="49"/>
    </row>
    <row r="96" spans="1:25" s="7" customFormat="1" ht="15" customHeight="1">
      <c r="A96" s="12" t="s">
        <v>220</v>
      </c>
      <c r="B96" s="8" t="s">
        <v>598</v>
      </c>
      <c r="C96" s="9" t="s">
        <v>622</v>
      </c>
      <c r="D96" s="9" t="s">
        <v>605</v>
      </c>
      <c r="E96" s="49"/>
      <c r="F96" s="49"/>
      <c r="G96" s="49">
        <v>7.6</v>
      </c>
      <c r="H96" s="49">
        <v>37.229999999999997</v>
      </c>
      <c r="I96" s="49"/>
      <c r="J96" s="49"/>
      <c r="K96" s="49"/>
      <c r="L96" s="49"/>
      <c r="M96" s="49"/>
      <c r="N96" s="49">
        <v>12.56</v>
      </c>
      <c r="O96" s="49">
        <v>9.11</v>
      </c>
      <c r="P96" s="49">
        <v>16.87</v>
      </c>
      <c r="Q96" s="49">
        <v>0.99</v>
      </c>
      <c r="R96" s="49"/>
      <c r="S96" s="49"/>
      <c r="T96" s="49"/>
      <c r="U96" s="49"/>
      <c r="V96" s="49"/>
      <c r="W96" s="49"/>
      <c r="X96" s="49"/>
      <c r="Y96" s="49"/>
    </row>
    <row r="97" spans="1:25" s="7" customFormat="1" ht="15" customHeight="1">
      <c r="A97" s="12" t="s">
        <v>221</v>
      </c>
      <c r="B97" s="8" t="s">
        <v>598</v>
      </c>
      <c r="C97" s="9" t="s">
        <v>659</v>
      </c>
      <c r="D97" s="9" t="s">
        <v>604</v>
      </c>
      <c r="E97" s="49"/>
      <c r="F97" s="49"/>
      <c r="G97" s="49">
        <v>3.6</v>
      </c>
      <c r="H97" s="49">
        <v>0.84</v>
      </c>
      <c r="I97" s="49"/>
      <c r="J97" s="49"/>
      <c r="K97" s="49"/>
      <c r="L97" s="49"/>
      <c r="M97" s="49"/>
      <c r="N97" s="49">
        <v>0.35</v>
      </c>
      <c r="O97" s="49">
        <v>0.64</v>
      </c>
      <c r="P97" s="49">
        <v>1.5</v>
      </c>
      <c r="Q97" s="49">
        <v>0.65</v>
      </c>
      <c r="R97" s="49"/>
      <c r="S97" s="49"/>
      <c r="T97" s="49"/>
      <c r="U97" s="49"/>
      <c r="V97" s="49"/>
      <c r="W97" s="49"/>
      <c r="X97" s="49"/>
      <c r="Y97" s="49"/>
    </row>
    <row r="98" spans="1:25" s="7" customFormat="1" ht="15" customHeight="1">
      <c r="A98" s="12" t="s">
        <v>222</v>
      </c>
      <c r="B98" s="8" t="s">
        <v>598</v>
      </c>
      <c r="C98" s="9" t="s">
        <v>660</v>
      </c>
      <c r="D98" s="9" t="s">
        <v>604</v>
      </c>
      <c r="E98" s="49"/>
      <c r="F98" s="49"/>
      <c r="G98" s="49">
        <v>3.24</v>
      </c>
      <c r="H98" s="49">
        <v>0.84</v>
      </c>
      <c r="I98" s="49"/>
      <c r="J98" s="49"/>
      <c r="K98" s="49"/>
      <c r="L98" s="49"/>
      <c r="M98" s="49"/>
      <c r="N98" s="49">
        <v>0.14000000000000001</v>
      </c>
      <c r="O98" s="49">
        <v>0.51</v>
      </c>
      <c r="P98" s="49">
        <v>1.5</v>
      </c>
      <c r="Q98" s="49">
        <v>0.65</v>
      </c>
      <c r="R98" s="49"/>
      <c r="S98" s="49"/>
      <c r="T98" s="49"/>
      <c r="U98" s="49"/>
      <c r="V98" s="49"/>
      <c r="W98" s="49"/>
      <c r="X98" s="49"/>
      <c r="Y98" s="49"/>
    </row>
    <row r="99" spans="1:25" s="7" customFormat="1" ht="15" customHeight="1">
      <c r="A99" s="12" t="s">
        <v>223</v>
      </c>
      <c r="B99" s="8" t="s">
        <v>598</v>
      </c>
      <c r="C99" s="9" t="s">
        <v>661</v>
      </c>
      <c r="D99" s="9" t="s">
        <v>604</v>
      </c>
      <c r="E99" s="49"/>
      <c r="F99" s="49"/>
      <c r="G99" s="49">
        <v>2.88</v>
      </c>
      <c r="H99" s="49">
        <v>0.84</v>
      </c>
      <c r="I99" s="49"/>
      <c r="J99" s="49"/>
      <c r="K99" s="49"/>
      <c r="L99" s="49"/>
      <c r="M99" s="49"/>
      <c r="N99" s="49">
        <v>0.13</v>
      </c>
      <c r="O99" s="49">
        <v>0.38</v>
      </c>
      <c r="P99" s="49">
        <v>1.5</v>
      </c>
      <c r="Q99" s="49">
        <v>0.65</v>
      </c>
      <c r="R99" s="49"/>
      <c r="S99" s="49"/>
      <c r="T99" s="49"/>
      <c r="U99" s="49"/>
      <c r="V99" s="49"/>
      <c r="W99" s="49"/>
      <c r="X99" s="49"/>
      <c r="Y99" s="49"/>
    </row>
    <row r="100" spans="1:25" s="7" customFormat="1" ht="15" customHeight="1">
      <c r="A100" s="12"/>
      <c r="B100" s="6"/>
      <c r="C100" s="9"/>
      <c r="D100" s="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spans="1:25" s="7" customFormat="1" ht="15" customHeight="1">
      <c r="A101" s="12" t="s">
        <v>224</v>
      </c>
      <c r="B101" s="8" t="s">
        <v>602</v>
      </c>
      <c r="C101" s="9" t="s">
        <v>608</v>
      </c>
      <c r="D101" s="9" t="s">
        <v>605</v>
      </c>
      <c r="E101" s="49"/>
      <c r="F101" s="49"/>
      <c r="G101" s="49">
        <v>11.9</v>
      </c>
      <c r="H101" s="49">
        <v>73.290000000000006</v>
      </c>
      <c r="I101" s="49"/>
      <c r="J101" s="49"/>
      <c r="K101" s="49">
        <v>39</v>
      </c>
      <c r="L101" s="49"/>
      <c r="M101" s="49"/>
      <c r="N101" s="49">
        <v>12.56</v>
      </c>
      <c r="O101" s="49">
        <v>13.85</v>
      </c>
      <c r="P101" s="49">
        <v>33.51</v>
      </c>
      <c r="Q101" s="49">
        <v>2.33</v>
      </c>
      <c r="R101" s="49"/>
      <c r="S101" s="49"/>
      <c r="T101" s="49"/>
      <c r="U101" s="49"/>
      <c r="V101" s="49"/>
      <c r="W101" s="49"/>
      <c r="X101" s="49"/>
      <c r="Y101" s="49"/>
    </row>
    <row r="102" spans="1:25" s="7" customFormat="1" ht="15" customHeight="1">
      <c r="A102" s="12" t="s">
        <v>225</v>
      </c>
      <c r="B102" s="8" t="s">
        <v>602</v>
      </c>
      <c r="C102" s="9" t="s">
        <v>621</v>
      </c>
      <c r="D102" s="9" t="s">
        <v>605</v>
      </c>
      <c r="E102" s="49"/>
      <c r="F102" s="49"/>
      <c r="G102" s="49">
        <v>8.4</v>
      </c>
      <c r="H102" s="49">
        <v>62.54</v>
      </c>
      <c r="I102" s="49"/>
      <c r="J102" s="49"/>
      <c r="K102" s="49">
        <v>29</v>
      </c>
      <c r="L102" s="49"/>
      <c r="M102" s="49"/>
      <c r="N102" s="49">
        <v>12.56</v>
      </c>
      <c r="O102" s="49">
        <v>11.69</v>
      </c>
      <c r="P102" s="49">
        <v>22.83</v>
      </c>
      <c r="Q102" s="49">
        <v>1.07</v>
      </c>
      <c r="R102" s="49"/>
      <c r="S102" s="49"/>
      <c r="T102" s="49"/>
      <c r="U102" s="49"/>
      <c r="V102" s="49"/>
      <c r="W102" s="49"/>
      <c r="X102" s="49"/>
      <c r="Y102" s="49"/>
    </row>
    <row r="103" spans="1:25" s="7" customFormat="1" ht="15" customHeight="1">
      <c r="A103" s="12" t="s">
        <v>226</v>
      </c>
      <c r="B103" s="8" t="s">
        <v>602</v>
      </c>
      <c r="C103" s="9" t="s">
        <v>622</v>
      </c>
      <c r="D103" s="9" t="s">
        <v>605</v>
      </c>
      <c r="E103" s="49"/>
      <c r="F103" s="49"/>
      <c r="G103" s="49">
        <v>7.6</v>
      </c>
      <c r="H103" s="49">
        <v>54.35</v>
      </c>
      <c r="I103" s="49"/>
      <c r="J103" s="49"/>
      <c r="K103" s="49">
        <v>22</v>
      </c>
      <c r="L103" s="49"/>
      <c r="M103" s="49"/>
      <c r="N103" s="49">
        <v>12.56</v>
      </c>
      <c r="O103" s="49">
        <v>9.52</v>
      </c>
      <c r="P103" s="49">
        <v>19.170000000000002</v>
      </c>
      <c r="Q103" s="49">
        <v>1.06</v>
      </c>
      <c r="R103" s="49"/>
      <c r="S103" s="49"/>
      <c r="T103" s="49"/>
      <c r="U103" s="49"/>
      <c r="V103" s="49"/>
      <c r="W103" s="49"/>
      <c r="X103" s="49"/>
      <c r="Y103" s="49"/>
    </row>
    <row r="104" spans="1:25" s="7" customFormat="1" ht="15" customHeight="1">
      <c r="A104" s="12" t="s">
        <v>227</v>
      </c>
      <c r="B104" s="8" t="s">
        <v>602</v>
      </c>
      <c r="C104" s="9" t="s">
        <v>659</v>
      </c>
      <c r="D104" s="9" t="s">
        <v>604</v>
      </c>
      <c r="E104" s="49"/>
      <c r="F104" s="49"/>
      <c r="G104" s="49">
        <v>3.6</v>
      </c>
      <c r="H104" s="49">
        <v>1.22</v>
      </c>
      <c r="I104" s="49"/>
      <c r="J104" s="49"/>
      <c r="K104" s="49">
        <v>2.25</v>
      </c>
      <c r="L104" s="49"/>
      <c r="M104" s="49"/>
      <c r="N104" s="49">
        <v>0.35</v>
      </c>
      <c r="O104" s="49">
        <v>0.78</v>
      </c>
      <c r="P104" s="49">
        <v>1.5</v>
      </c>
      <c r="Q104" s="49">
        <v>0.87</v>
      </c>
      <c r="R104" s="49"/>
      <c r="S104" s="49"/>
      <c r="T104" s="49"/>
      <c r="U104" s="49"/>
      <c r="V104" s="49"/>
      <c r="W104" s="49"/>
      <c r="X104" s="49"/>
      <c r="Y104" s="49"/>
    </row>
    <row r="105" spans="1:25" s="7" customFormat="1" ht="15" customHeight="1">
      <c r="A105" s="12" t="s">
        <v>228</v>
      </c>
      <c r="B105" s="8" t="s">
        <v>602</v>
      </c>
      <c r="C105" s="9" t="s">
        <v>660</v>
      </c>
      <c r="D105" s="9" t="s">
        <v>604</v>
      </c>
      <c r="E105" s="49"/>
      <c r="F105" s="49"/>
      <c r="G105" s="49">
        <v>3.24</v>
      </c>
      <c r="H105" s="49">
        <v>1.22</v>
      </c>
      <c r="I105" s="49"/>
      <c r="J105" s="49"/>
      <c r="K105" s="49">
        <v>1.75</v>
      </c>
      <c r="L105" s="49"/>
      <c r="M105" s="49"/>
      <c r="N105" s="49">
        <v>0.14000000000000001</v>
      </c>
      <c r="O105" s="49">
        <v>0.62</v>
      </c>
      <c r="P105" s="49">
        <v>1.5</v>
      </c>
      <c r="Q105" s="49">
        <v>0.87</v>
      </c>
      <c r="R105" s="49"/>
      <c r="S105" s="49"/>
      <c r="T105" s="49"/>
      <c r="U105" s="49"/>
      <c r="V105" s="49"/>
      <c r="W105" s="49"/>
      <c r="X105" s="49"/>
      <c r="Y105" s="49"/>
    </row>
    <row r="106" spans="1:25" s="7" customFormat="1" ht="15" customHeight="1">
      <c r="A106" s="12" t="s">
        <v>229</v>
      </c>
      <c r="B106" s="8" t="s">
        <v>602</v>
      </c>
      <c r="C106" s="9" t="s">
        <v>661</v>
      </c>
      <c r="D106" s="9" t="s">
        <v>604</v>
      </c>
      <c r="E106" s="49"/>
      <c r="F106" s="49"/>
      <c r="G106" s="49">
        <v>2.88</v>
      </c>
      <c r="H106" s="49">
        <v>1.22</v>
      </c>
      <c r="I106" s="49"/>
      <c r="J106" s="49"/>
      <c r="K106" s="49">
        <v>1.25</v>
      </c>
      <c r="L106" s="49"/>
      <c r="M106" s="49"/>
      <c r="N106" s="49">
        <v>0.13</v>
      </c>
      <c r="O106" s="49">
        <v>0.47</v>
      </c>
      <c r="P106" s="49">
        <v>1.5</v>
      </c>
      <c r="Q106" s="49">
        <v>0.87</v>
      </c>
      <c r="R106" s="49"/>
      <c r="S106" s="49"/>
      <c r="T106" s="49"/>
      <c r="U106" s="49"/>
      <c r="V106" s="49"/>
      <c r="W106" s="49"/>
      <c r="X106" s="49"/>
      <c r="Y106" s="49"/>
    </row>
    <row r="107" spans="1:25" s="7" customFormat="1" ht="15" customHeight="1">
      <c r="A107" s="12"/>
      <c r="B107" s="8"/>
      <c r="C107" s="9"/>
      <c r="D107" s="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spans="1:25" ht="14.25" customHeight="1">
      <c r="A108" s="12" t="s">
        <v>230</v>
      </c>
      <c r="B108" s="8" t="s">
        <v>600</v>
      </c>
      <c r="C108" s="9" t="s">
        <v>608</v>
      </c>
      <c r="D108" s="9" t="s">
        <v>605</v>
      </c>
      <c r="E108" s="49"/>
      <c r="F108" s="49"/>
      <c r="G108" s="49"/>
      <c r="H108" s="49"/>
      <c r="I108" s="49"/>
      <c r="J108" s="49"/>
      <c r="K108" s="49">
        <v>40</v>
      </c>
      <c r="L108" s="49"/>
      <c r="M108" s="49"/>
      <c r="N108" s="49">
        <v>12.56</v>
      </c>
      <c r="O108" s="49"/>
      <c r="P108" s="49">
        <v>35.380000000000003</v>
      </c>
      <c r="Q108" s="49">
        <v>2.3199999999999998</v>
      </c>
      <c r="R108" s="49"/>
      <c r="S108" s="49"/>
      <c r="T108" s="49"/>
      <c r="U108" s="49"/>
      <c r="V108" s="49"/>
      <c r="W108" s="49"/>
      <c r="X108" s="49"/>
      <c r="Y108" s="49"/>
    </row>
    <row r="109" spans="1:25" ht="14.25" customHeight="1">
      <c r="A109" s="12" t="s">
        <v>231</v>
      </c>
      <c r="B109" s="8" t="s">
        <v>600</v>
      </c>
      <c r="C109" s="9" t="s">
        <v>621</v>
      </c>
      <c r="D109" s="9" t="s">
        <v>605</v>
      </c>
      <c r="E109" s="49"/>
      <c r="F109" s="49"/>
      <c r="G109" s="49"/>
      <c r="H109" s="49"/>
      <c r="I109" s="49"/>
      <c r="J109" s="49"/>
      <c r="K109" s="49">
        <v>30</v>
      </c>
      <c r="L109" s="49"/>
      <c r="M109" s="49"/>
      <c r="N109" s="49">
        <v>12.56</v>
      </c>
      <c r="O109" s="49"/>
      <c r="P109" s="49">
        <v>24.9</v>
      </c>
      <c r="Q109" s="49">
        <v>1.1200000000000001</v>
      </c>
      <c r="R109" s="49"/>
      <c r="S109" s="49"/>
      <c r="T109" s="49"/>
      <c r="U109" s="49"/>
      <c r="V109" s="49"/>
      <c r="W109" s="49"/>
      <c r="X109" s="49"/>
      <c r="Y109" s="49"/>
    </row>
    <row r="110" spans="1:25" ht="14.25" customHeight="1">
      <c r="A110" s="12" t="s">
        <v>232</v>
      </c>
      <c r="B110" s="8" t="s">
        <v>600</v>
      </c>
      <c r="C110" s="9" t="s">
        <v>622</v>
      </c>
      <c r="D110" s="9" t="s">
        <v>605</v>
      </c>
      <c r="E110" s="49"/>
      <c r="F110" s="49"/>
      <c r="G110" s="49"/>
      <c r="H110" s="49"/>
      <c r="I110" s="49"/>
      <c r="J110" s="49"/>
      <c r="K110" s="49">
        <v>23</v>
      </c>
      <c r="L110" s="49"/>
      <c r="M110" s="49"/>
      <c r="N110" s="49">
        <v>12.56</v>
      </c>
      <c r="O110" s="49"/>
      <c r="P110" s="49">
        <v>20.71</v>
      </c>
      <c r="Q110" s="49">
        <v>1.08</v>
      </c>
      <c r="R110" s="49"/>
      <c r="S110" s="49"/>
      <c r="T110" s="49"/>
      <c r="U110" s="49"/>
      <c r="V110" s="49"/>
      <c r="W110" s="49"/>
      <c r="X110" s="49"/>
      <c r="Y110" s="49"/>
    </row>
    <row r="111" spans="1:25" ht="14.25" customHeight="1">
      <c r="A111" s="12" t="s">
        <v>233</v>
      </c>
      <c r="B111" s="8" t="s">
        <v>600</v>
      </c>
      <c r="C111" s="9" t="s">
        <v>662</v>
      </c>
      <c r="D111" s="9" t="s">
        <v>604</v>
      </c>
      <c r="E111" s="49"/>
      <c r="F111" s="49"/>
      <c r="G111" s="49"/>
      <c r="H111" s="49"/>
      <c r="I111" s="49"/>
      <c r="J111" s="49"/>
      <c r="K111" s="49">
        <v>2.25</v>
      </c>
      <c r="L111" s="49"/>
      <c r="M111" s="49"/>
      <c r="N111" s="49">
        <v>0.35</v>
      </c>
      <c r="O111" s="49"/>
      <c r="P111" s="49">
        <v>1.5</v>
      </c>
      <c r="Q111" s="49">
        <v>0.65</v>
      </c>
      <c r="R111" s="49"/>
      <c r="S111" s="49"/>
      <c r="T111" s="49"/>
      <c r="U111" s="49"/>
      <c r="V111" s="49"/>
      <c r="W111" s="49"/>
      <c r="X111" s="49"/>
      <c r="Y111" s="49"/>
    </row>
    <row r="112" spans="1:25" ht="14.25" customHeight="1">
      <c r="A112" s="12" t="s">
        <v>234</v>
      </c>
      <c r="B112" s="8" t="s">
        <v>600</v>
      </c>
      <c r="C112" s="9" t="s">
        <v>663</v>
      </c>
      <c r="D112" s="9" t="s">
        <v>604</v>
      </c>
      <c r="E112" s="49"/>
      <c r="F112" s="49"/>
      <c r="G112" s="49"/>
      <c r="H112" s="49"/>
      <c r="I112" s="49"/>
      <c r="J112" s="49"/>
      <c r="K112" s="49">
        <v>1.75</v>
      </c>
      <c r="L112" s="49"/>
      <c r="M112" s="49"/>
      <c r="N112" s="49">
        <v>0.14000000000000001</v>
      </c>
      <c r="O112" s="49"/>
      <c r="P112" s="49">
        <v>1.5</v>
      </c>
      <c r="Q112" s="49">
        <v>0.65</v>
      </c>
      <c r="R112" s="49"/>
      <c r="S112" s="49"/>
      <c r="T112" s="49"/>
      <c r="U112" s="49"/>
      <c r="V112" s="49"/>
      <c r="W112" s="49"/>
      <c r="X112" s="49"/>
      <c r="Y112" s="49"/>
    </row>
    <row r="113" spans="1:25" ht="14.25" customHeight="1">
      <c r="A113" s="12" t="s">
        <v>235</v>
      </c>
      <c r="B113" s="8" t="s">
        <v>600</v>
      </c>
      <c r="C113" s="9" t="s">
        <v>664</v>
      </c>
      <c r="D113" s="9" t="s">
        <v>604</v>
      </c>
      <c r="E113" s="49"/>
      <c r="F113" s="49"/>
      <c r="G113" s="49"/>
      <c r="H113" s="49"/>
      <c r="I113" s="49"/>
      <c r="J113" s="49"/>
      <c r="K113" s="49">
        <v>1.25</v>
      </c>
      <c r="L113" s="49"/>
      <c r="M113" s="49"/>
      <c r="N113" s="49">
        <v>0.13</v>
      </c>
      <c r="O113" s="49"/>
      <c r="P113" s="49">
        <v>1.5</v>
      </c>
      <c r="Q113" s="49">
        <v>0.65</v>
      </c>
      <c r="R113" s="49"/>
      <c r="S113" s="49"/>
      <c r="T113" s="49"/>
      <c r="U113" s="49"/>
      <c r="V113" s="49"/>
      <c r="W113" s="49"/>
      <c r="X113" s="49"/>
      <c r="Y113" s="49"/>
    </row>
    <row r="114" spans="1:25" ht="14.25" customHeight="1">
      <c r="A114" s="12"/>
      <c r="B114" s="8"/>
      <c r="C114" s="9"/>
      <c r="D114" s="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spans="1:25" ht="14.25" customHeight="1">
      <c r="A115" s="12" t="s">
        <v>236</v>
      </c>
      <c r="B115" s="8" t="s">
        <v>601</v>
      </c>
      <c r="C115" s="9" t="s">
        <v>608</v>
      </c>
      <c r="D115" s="9" t="s">
        <v>605</v>
      </c>
      <c r="E115" s="49"/>
      <c r="F115" s="49"/>
      <c r="G115" s="49"/>
      <c r="H115" s="49"/>
      <c r="I115" s="49"/>
      <c r="J115" s="49"/>
      <c r="K115" s="49"/>
      <c r="L115" s="49"/>
      <c r="M115" s="49"/>
      <c r="N115" s="49">
        <v>12.56</v>
      </c>
      <c r="O115" s="49">
        <v>12.45</v>
      </c>
      <c r="P115" s="49"/>
      <c r="Q115" s="49">
        <v>2.12</v>
      </c>
      <c r="R115" s="49"/>
      <c r="S115" s="49"/>
      <c r="T115" s="49"/>
      <c r="U115" s="49"/>
      <c r="V115" s="49"/>
      <c r="W115" s="49"/>
      <c r="X115" s="49"/>
      <c r="Y115" s="49"/>
    </row>
    <row r="116" spans="1:25" ht="14.25" customHeight="1">
      <c r="A116" s="12" t="s">
        <v>237</v>
      </c>
      <c r="B116" s="8" t="s">
        <v>601</v>
      </c>
      <c r="C116" s="9" t="s">
        <v>621</v>
      </c>
      <c r="D116" s="9" t="s">
        <v>605</v>
      </c>
      <c r="E116" s="49"/>
      <c r="F116" s="49"/>
      <c r="G116" s="49"/>
      <c r="H116" s="49"/>
      <c r="I116" s="49"/>
      <c r="J116" s="49"/>
      <c r="K116" s="49"/>
      <c r="L116" s="49"/>
      <c r="M116" s="49"/>
      <c r="N116" s="49">
        <v>12.56</v>
      </c>
      <c r="O116" s="49">
        <v>10.54</v>
      </c>
      <c r="P116" s="49"/>
      <c r="Q116" s="49">
        <v>1</v>
      </c>
      <c r="R116" s="49"/>
      <c r="S116" s="49"/>
      <c r="T116" s="49"/>
      <c r="U116" s="49"/>
      <c r="V116" s="49"/>
      <c r="W116" s="49"/>
      <c r="X116" s="49"/>
      <c r="Y116" s="49"/>
    </row>
    <row r="117" spans="1:25" ht="14.25" customHeight="1">
      <c r="A117" s="12" t="s">
        <v>238</v>
      </c>
      <c r="B117" s="8" t="s">
        <v>601</v>
      </c>
      <c r="C117" s="9" t="s">
        <v>622</v>
      </c>
      <c r="D117" s="9" t="s">
        <v>605</v>
      </c>
      <c r="E117" s="49"/>
      <c r="F117" s="49"/>
      <c r="G117" s="49"/>
      <c r="H117" s="49"/>
      <c r="I117" s="49"/>
      <c r="J117" s="49"/>
      <c r="K117" s="49"/>
      <c r="L117" s="49"/>
      <c r="M117" s="49"/>
      <c r="N117" s="49">
        <v>12.56</v>
      </c>
      <c r="O117" s="49">
        <v>8.76</v>
      </c>
      <c r="P117" s="49"/>
      <c r="Q117" s="49">
        <v>0.98</v>
      </c>
      <c r="R117" s="49"/>
      <c r="S117" s="49"/>
      <c r="T117" s="49"/>
      <c r="U117" s="49"/>
      <c r="V117" s="49"/>
      <c r="W117" s="49"/>
      <c r="X117" s="49"/>
      <c r="Y117" s="49"/>
    </row>
    <row r="118" spans="1:25" ht="14.25" customHeight="1">
      <c r="A118" s="12" t="s">
        <v>239</v>
      </c>
      <c r="B118" s="8" t="s">
        <v>601</v>
      </c>
      <c r="C118" s="9" t="s">
        <v>662</v>
      </c>
      <c r="D118" s="9" t="s">
        <v>604</v>
      </c>
      <c r="E118" s="49"/>
      <c r="F118" s="49"/>
      <c r="G118" s="49"/>
      <c r="H118" s="49"/>
      <c r="I118" s="49"/>
      <c r="J118" s="49"/>
      <c r="K118" s="49"/>
      <c r="L118" s="49"/>
      <c r="M118" s="49"/>
      <c r="N118" s="49">
        <v>0.35</v>
      </c>
      <c r="O118" s="49">
        <v>0.62</v>
      </c>
      <c r="P118" s="49"/>
      <c r="Q118" s="49">
        <v>0.65</v>
      </c>
      <c r="R118" s="49"/>
      <c r="S118" s="49"/>
      <c r="T118" s="49"/>
      <c r="U118" s="49"/>
      <c r="V118" s="49"/>
      <c r="W118" s="49"/>
      <c r="X118" s="49"/>
      <c r="Y118" s="49"/>
    </row>
    <row r="119" spans="1:25" ht="14.25" customHeight="1">
      <c r="A119" s="12" t="s">
        <v>240</v>
      </c>
      <c r="B119" s="8" t="s">
        <v>601</v>
      </c>
      <c r="C119" s="9" t="s">
        <v>663</v>
      </c>
      <c r="D119" s="9" t="s">
        <v>604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49">
        <v>0.14000000000000001</v>
      </c>
      <c r="O119" s="49">
        <v>0.49</v>
      </c>
      <c r="P119" s="49"/>
      <c r="Q119" s="49">
        <v>0.65</v>
      </c>
      <c r="R119" s="49"/>
      <c r="S119" s="49"/>
      <c r="T119" s="49"/>
      <c r="U119" s="49"/>
      <c r="V119" s="49"/>
      <c r="W119" s="49"/>
      <c r="X119" s="49"/>
      <c r="Y119" s="49"/>
    </row>
    <row r="120" spans="1:25" ht="14.25" customHeight="1">
      <c r="A120" s="12" t="s">
        <v>241</v>
      </c>
      <c r="B120" s="8" t="s">
        <v>601</v>
      </c>
      <c r="C120" s="9" t="s">
        <v>664</v>
      </c>
      <c r="D120" s="9" t="s">
        <v>604</v>
      </c>
      <c r="E120" s="49"/>
      <c r="F120" s="49"/>
      <c r="G120" s="49"/>
      <c r="H120" s="49"/>
      <c r="I120" s="49"/>
      <c r="J120" s="49"/>
      <c r="K120" s="49"/>
      <c r="L120" s="49"/>
      <c r="M120" s="49"/>
      <c r="N120" s="49">
        <v>0.13</v>
      </c>
      <c r="O120" s="49">
        <v>0.37</v>
      </c>
      <c r="P120" s="49"/>
      <c r="Q120" s="49">
        <v>0.65</v>
      </c>
      <c r="R120" s="49"/>
      <c r="S120" s="49"/>
      <c r="T120" s="49"/>
      <c r="U120" s="49"/>
      <c r="V120" s="49"/>
      <c r="W120" s="49"/>
      <c r="X120" s="49"/>
      <c r="Y120" s="49"/>
    </row>
    <row r="121" spans="1:25" ht="14.25" customHeight="1">
      <c r="A121" s="12"/>
      <c r="B121" s="8"/>
      <c r="C121" s="9"/>
      <c r="D121" s="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spans="1:25" ht="14.25" customHeight="1">
      <c r="A122" s="12" t="s">
        <v>242</v>
      </c>
      <c r="B122" s="8" t="s">
        <v>598</v>
      </c>
      <c r="C122" s="9" t="s">
        <v>665</v>
      </c>
      <c r="D122" s="9" t="s">
        <v>606</v>
      </c>
      <c r="E122" s="49">
        <v>277.10000000000002</v>
      </c>
      <c r="F122" s="49"/>
      <c r="G122" s="49">
        <v>150</v>
      </c>
      <c r="H122" s="49">
        <v>272</v>
      </c>
      <c r="I122" s="49">
        <v>98.86</v>
      </c>
      <c r="J122" s="49">
        <v>326.31</v>
      </c>
      <c r="K122" s="49"/>
      <c r="L122" s="49"/>
      <c r="M122" s="49">
        <v>562.11</v>
      </c>
      <c r="N122" s="49">
        <v>609.85</v>
      </c>
      <c r="O122" s="49">
        <v>285</v>
      </c>
      <c r="P122" s="49">
        <v>449.68</v>
      </c>
      <c r="Q122" s="49">
        <v>151.04</v>
      </c>
      <c r="R122" s="49">
        <v>153.83000000000001</v>
      </c>
      <c r="S122" s="49">
        <v>170.53</v>
      </c>
      <c r="T122" s="49">
        <v>347.83</v>
      </c>
      <c r="U122" s="49">
        <v>599.58000000000004</v>
      </c>
      <c r="V122" s="49"/>
      <c r="W122" s="49">
        <v>297.45999999999998</v>
      </c>
      <c r="X122" s="49"/>
      <c r="Y122" s="49">
        <v>440.41</v>
      </c>
    </row>
    <row r="123" spans="1:25" ht="14.25" customHeight="1">
      <c r="A123" s="12" t="s">
        <v>243</v>
      </c>
      <c r="B123" s="8" t="s">
        <v>598</v>
      </c>
      <c r="C123" s="9" t="s">
        <v>666</v>
      </c>
      <c r="D123" s="9" t="s">
        <v>606</v>
      </c>
      <c r="E123" s="49">
        <v>190.08</v>
      </c>
      <c r="F123" s="49"/>
      <c r="G123" s="49">
        <v>50</v>
      </c>
      <c r="H123" s="49">
        <v>170</v>
      </c>
      <c r="I123" s="49">
        <v>98.86</v>
      </c>
      <c r="J123" s="49">
        <v>275.23</v>
      </c>
      <c r="K123" s="49"/>
      <c r="L123" s="49"/>
      <c r="M123" s="49">
        <v>332.66</v>
      </c>
      <c r="N123" s="49">
        <v>609.85</v>
      </c>
      <c r="O123" s="49">
        <v>285</v>
      </c>
      <c r="P123" s="49">
        <v>380.26</v>
      </c>
      <c r="Q123" s="49">
        <v>127.9</v>
      </c>
      <c r="R123" s="49">
        <v>151.71</v>
      </c>
      <c r="S123" s="49">
        <v>167.75</v>
      </c>
      <c r="T123" s="49">
        <v>302.45999999999998</v>
      </c>
      <c r="U123" s="49">
        <v>354.84</v>
      </c>
      <c r="V123" s="49"/>
      <c r="W123" s="49">
        <v>247.88</v>
      </c>
      <c r="X123" s="49"/>
      <c r="Y123" s="49">
        <v>440.41</v>
      </c>
    </row>
    <row r="124" spans="1:25" ht="14.25" customHeight="1">
      <c r="A124" s="12" t="s">
        <v>244</v>
      </c>
      <c r="B124" s="8" t="s">
        <v>598</v>
      </c>
      <c r="C124" s="9" t="s">
        <v>667</v>
      </c>
      <c r="D124" s="9" t="s">
        <v>606</v>
      </c>
      <c r="E124" s="49">
        <v>161.93</v>
      </c>
      <c r="F124" s="49"/>
      <c r="G124" s="49">
        <v>30</v>
      </c>
      <c r="H124" s="49">
        <v>136</v>
      </c>
      <c r="I124" s="49">
        <v>98.86</v>
      </c>
      <c r="J124" s="49">
        <v>269.99</v>
      </c>
      <c r="K124" s="49"/>
      <c r="L124" s="49"/>
      <c r="M124" s="49">
        <v>251.8</v>
      </c>
      <c r="N124" s="49">
        <v>609.85</v>
      </c>
      <c r="O124" s="49">
        <v>285</v>
      </c>
      <c r="P124" s="49">
        <v>366.38</v>
      </c>
      <c r="Q124" s="49">
        <v>119.32</v>
      </c>
      <c r="R124" s="49">
        <v>149.59</v>
      </c>
      <c r="S124" s="49">
        <v>161.25</v>
      </c>
      <c r="T124" s="49">
        <v>263.01</v>
      </c>
      <c r="U124" s="49">
        <v>268.58</v>
      </c>
      <c r="V124" s="49"/>
      <c r="W124" s="49">
        <v>198.31</v>
      </c>
      <c r="X124" s="49"/>
      <c r="Y124" s="49">
        <v>440.41</v>
      </c>
    </row>
    <row r="125" spans="1:25" ht="14.25" customHeight="1">
      <c r="A125" s="12" t="s">
        <v>245</v>
      </c>
      <c r="B125" s="8" t="s">
        <v>598</v>
      </c>
      <c r="C125" s="9" t="s">
        <v>668</v>
      </c>
      <c r="D125" s="9" t="s">
        <v>606</v>
      </c>
      <c r="E125" s="49">
        <v>124.75</v>
      </c>
      <c r="F125" s="49"/>
      <c r="G125" s="49">
        <v>75</v>
      </c>
      <c r="H125" s="49">
        <v>102</v>
      </c>
      <c r="I125" s="49">
        <v>61.79</v>
      </c>
      <c r="J125" s="49">
        <v>74.37</v>
      </c>
      <c r="K125" s="49"/>
      <c r="L125" s="49"/>
      <c r="M125" s="49">
        <v>80.37</v>
      </c>
      <c r="N125" s="49">
        <v>140.31</v>
      </c>
      <c r="O125" s="49">
        <v>42.75</v>
      </c>
      <c r="P125" s="49">
        <v>171.31</v>
      </c>
      <c r="Q125" s="49">
        <v>58.85</v>
      </c>
      <c r="R125" s="49">
        <v>26.52</v>
      </c>
      <c r="S125" s="49">
        <v>34.85</v>
      </c>
      <c r="T125" s="49">
        <v>60.64</v>
      </c>
      <c r="U125" s="49">
        <v>85.09</v>
      </c>
      <c r="V125" s="49"/>
      <c r="W125" s="49">
        <v>55.02</v>
      </c>
      <c r="X125" s="49"/>
      <c r="Y125" s="49">
        <v>395.71</v>
      </c>
    </row>
    <row r="126" spans="1:25" ht="14.25" customHeight="1">
      <c r="A126" s="12" t="s">
        <v>246</v>
      </c>
      <c r="B126" s="8" t="s">
        <v>598</v>
      </c>
      <c r="C126" s="9" t="s">
        <v>669</v>
      </c>
      <c r="D126" s="9" t="s">
        <v>606</v>
      </c>
      <c r="E126" s="49">
        <v>42.82</v>
      </c>
      <c r="F126" s="49"/>
      <c r="G126" s="49">
        <v>35</v>
      </c>
      <c r="H126" s="49">
        <v>68</v>
      </c>
      <c r="I126" s="49">
        <v>61.79</v>
      </c>
      <c r="J126" s="49">
        <v>33.729999999999997</v>
      </c>
      <c r="K126" s="49"/>
      <c r="L126" s="49"/>
      <c r="M126" s="49">
        <v>53.5</v>
      </c>
      <c r="N126" s="49">
        <v>85.34</v>
      </c>
      <c r="O126" s="49">
        <v>40.61</v>
      </c>
      <c r="P126" s="49">
        <v>144.86000000000001</v>
      </c>
      <c r="Q126" s="49">
        <v>35.71</v>
      </c>
      <c r="R126" s="49">
        <v>21.22</v>
      </c>
      <c r="S126" s="49">
        <v>28.69</v>
      </c>
      <c r="T126" s="49">
        <v>52.73</v>
      </c>
      <c r="U126" s="49">
        <v>56.64</v>
      </c>
      <c r="V126" s="49"/>
      <c r="W126" s="49">
        <v>43.67</v>
      </c>
      <c r="X126" s="49"/>
      <c r="Y126" s="49">
        <v>155.41999999999999</v>
      </c>
    </row>
    <row r="127" spans="1:25" ht="14.25" customHeight="1">
      <c r="A127" s="12" t="s">
        <v>247</v>
      </c>
      <c r="B127" s="8" t="s">
        <v>598</v>
      </c>
      <c r="C127" s="9" t="s">
        <v>670</v>
      </c>
      <c r="D127" s="9" t="s">
        <v>606</v>
      </c>
      <c r="E127" s="49">
        <v>17.54</v>
      </c>
      <c r="F127" s="49"/>
      <c r="G127" s="49">
        <v>20</v>
      </c>
      <c r="H127" s="49">
        <v>54</v>
      </c>
      <c r="I127" s="49">
        <v>61.79</v>
      </c>
      <c r="J127" s="49">
        <v>20.92</v>
      </c>
      <c r="K127" s="49"/>
      <c r="L127" s="49"/>
      <c r="M127" s="49">
        <v>35.619999999999997</v>
      </c>
      <c r="N127" s="49">
        <v>71.599999999999994</v>
      </c>
      <c r="O127" s="49">
        <v>38.58</v>
      </c>
      <c r="P127" s="49">
        <v>139.57</v>
      </c>
      <c r="Q127" s="49">
        <v>27.13</v>
      </c>
      <c r="R127" s="49">
        <v>15.91</v>
      </c>
      <c r="S127" s="49">
        <v>18.79</v>
      </c>
      <c r="T127" s="49">
        <v>45.85</v>
      </c>
      <c r="U127" s="49">
        <v>37.71</v>
      </c>
      <c r="V127" s="49"/>
      <c r="W127" s="49">
        <v>34.47</v>
      </c>
      <c r="X127" s="49"/>
      <c r="Y127" s="49">
        <v>120</v>
      </c>
    </row>
    <row r="128" spans="1:25" ht="14.25" customHeight="1">
      <c r="A128" s="12"/>
      <c r="B128" s="8"/>
      <c r="C128" s="9"/>
      <c r="D128" s="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spans="1:25" ht="14.25" customHeight="1">
      <c r="A129" s="12" t="s">
        <v>248</v>
      </c>
      <c r="B129" s="8" t="s">
        <v>602</v>
      </c>
      <c r="C129" s="9" t="s">
        <v>665</v>
      </c>
      <c r="D129" s="9" t="s">
        <v>606</v>
      </c>
      <c r="E129" s="49"/>
      <c r="F129" s="49">
        <v>351.84</v>
      </c>
      <c r="G129" s="49">
        <v>150</v>
      </c>
      <c r="H129" s="49">
        <v>272</v>
      </c>
      <c r="I129" s="49"/>
      <c r="J129" s="49"/>
      <c r="K129" s="49">
        <v>65</v>
      </c>
      <c r="L129" s="49">
        <v>370.94</v>
      </c>
      <c r="M129" s="49"/>
      <c r="N129" s="49">
        <v>609.85</v>
      </c>
      <c r="O129" s="49">
        <v>285</v>
      </c>
      <c r="P129" s="49">
        <v>449.68</v>
      </c>
      <c r="Q129" s="49">
        <v>175.12</v>
      </c>
      <c r="R129" s="49"/>
      <c r="S129" s="49"/>
      <c r="T129" s="49">
        <v>347.83</v>
      </c>
      <c r="U129" s="49"/>
      <c r="V129" s="49">
        <v>336.6</v>
      </c>
      <c r="W129" s="49"/>
      <c r="X129" s="49">
        <v>440.41</v>
      </c>
      <c r="Y129" s="49"/>
    </row>
    <row r="130" spans="1:25" ht="14.25" customHeight="1">
      <c r="A130" s="12" t="s">
        <v>249</v>
      </c>
      <c r="B130" s="8" t="s">
        <v>602</v>
      </c>
      <c r="C130" s="9" t="s">
        <v>666</v>
      </c>
      <c r="D130" s="9" t="s">
        <v>606</v>
      </c>
      <c r="E130" s="49"/>
      <c r="F130" s="49">
        <v>351.84</v>
      </c>
      <c r="G130" s="49">
        <v>50</v>
      </c>
      <c r="H130" s="49">
        <v>170</v>
      </c>
      <c r="I130" s="49"/>
      <c r="J130" s="49"/>
      <c r="K130" s="49">
        <v>60</v>
      </c>
      <c r="L130" s="49">
        <v>370.94</v>
      </c>
      <c r="M130" s="49"/>
      <c r="N130" s="49">
        <v>609.85</v>
      </c>
      <c r="O130" s="49">
        <v>285</v>
      </c>
      <c r="P130" s="49">
        <v>380.26</v>
      </c>
      <c r="Q130" s="49">
        <v>149.99</v>
      </c>
      <c r="R130" s="49"/>
      <c r="S130" s="49"/>
      <c r="T130" s="49">
        <v>302.45999999999998</v>
      </c>
      <c r="U130" s="49"/>
      <c r="V130" s="49">
        <v>336.6</v>
      </c>
      <c r="W130" s="49"/>
      <c r="X130" s="49">
        <v>440.41</v>
      </c>
      <c r="Y130" s="49"/>
    </row>
    <row r="131" spans="1:25" ht="14.25" customHeight="1">
      <c r="A131" s="12" t="s">
        <v>250</v>
      </c>
      <c r="B131" s="8" t="s">
        <v>602</v>
      </c>
      <c r="C131" s="9" t="s">
        <v>667</v>
      </c>
      <c r="D131" s="9" t="s">
        <v>606</v>
      </c>
      <c r="E131" s="49"/>
      <c r="F131" s="49">
        <v>351.84</v>
      </c>
      <c r="G131" s="49">
        <v>30</v>
      </c>
      <c r="H131" s="49">
        <v>136</v>
      </c>
      <c r="I131" s="49"/>
      <c r="J131" s="49"/>
      <c r="K131" s="49">
        <v>55</v>
      </c>
      <c r="L131" s="49">
        <v>370.94</v>
      </c>
      <c r="M131" s="49"/>
      <c r="N131" s="49">
        <v>609.85</v>
      </c>
      <c r="O131" s="49">
        <v>285</v>
      </c>
      <c r="P131" s="49">
        <v>366.38</v>
      </c>
      <c r="Q131" s="49">
        <v>134.16</v>
      </c>
      <c r="R131" s="49"/>
      <c r="S131" s="49"/>
      <c r="T131" s="49">
        <v>263.01</v>
      </c>
      <c r="U131" s="49"/>
      <c r="V131" s="49">
        <v>336.6</v>
      </c>
      <c r="W131" s="49"/>
      <c r="X131" s="49">
        <v>440.41</v>
      </c>
      <c r="Y131" s="49"/>
    </row>
    <row r="132" spans="1:25" ht="14.25" customHeight="1">
      <c r="A132" s="12" t="s">
        <v>251</v>
      </c>
      <c r="B132" s="8" t="s">
        <v>602</v>
      </c>
      <c r="C132" s="9" t="s">
        <v>668</v>
      </c>
      <c r="D132" s="9" t="s">
        <v>606</v>
      </c>
      <c r="E132" s="49"/>
      <c r="F132" s="49">
        <v>57.78</v>
      </c>
      <c r="G132" s="49">
        <v>75</v>
      </c>
      <c r="H132" s="49">
        <v>102</v>
      </c>
      <c r="I132" s="49"/>
      <c r="J132" s="49"/>
      <c r="K132" s="49">
        <v>49</v>
      </c>
      <c r="L132" s="49">
        <v>52.99</v>
      </c>
      <c r="M132" s="49"/>
      <c r="N132" s="49">
        <v>140.31</v>
      </c>
      <c r="O132" s="49">
        <v>47.31</v>
      </c>
      <c r="P132" s="49">
        <v>171.31</v>
      </c>
      <c r="Q132" s="49">
        <v>73.53</v>
      </c>
      <c r="R132" s="49"/>
      <c r="S132" s="49"/>
      <c r="T132" s="49">
        <v>60.64</v>
      </c>
      <c r="U132" s="49"/>
      <c r="V132" s="49">
        <v>85</v>
      </c>
      <c r="W132" s="49"/>
      <c r="X132" s="49">
        <v>357.46</v>
      </c>
      <c r="Y132" s="49"/>
    </row>
    <row r="133" spans="1:25" ht="14.25" customHeight="1">
      <c r="A133" s="12" t="s">
        <v>252</v>
      </c>
      <c r="B133" s="8" t="s">
        <v>602</v>
      </c>
      <c r="C133" s="9" t="s">
        <v>669</v>
      </c>
      <c r="D133" s="9" t="s">
        <v>606</v>
      </c>
      <c r="E133" s="49"/>
      <c r="F133" s="49">
        <v>56.03</v>
      </c>
      <c r="G133" s="49">
        <v>35</v>
      </c>
      <c r="H133" s="49">
        <v>68</v>
      </c>
      <c r="I133" s="49"/>
      <c r="J133" s="49"/>
      <c r="K133" s="49">
        <v>49</v>
      </c>
      <c r="L133" s="49">
        <v>52.99</v>
      </c>
      <c r="M133" s="49"/>
      <c r="N133" s="49">
        <v>85.34</v>
      </c>
      <c r="O133" s="49">
        <v>44.94</v>
      </c>
      <c r="P133" s="49">
        <v>144.86000000000001</v>
      </c>
      <c r="Q133" s="49">
        <v>47.84</v>
      </c>
      <c r="R133" s="49"/>
      <c r="S133" s="49"/>
      <c r="T133" s="49">
        <v>52.73</v>
      </c>
      <c r="U133" s="49"/>
      <c r="V133" s="49">
        <v>48.96</v>
      </c>
      <c r="W133" s="49"/>
      <c r="X133" s="49">
        <v>191.25</v>
      </c>
      <c r="Y133" s="49"/>
    </row>
    <row r="134" spans="1:25" ht="14.25" customHeight="1">
      <c r="A134" s="12" t="s">
        <v>253</v>
      </c>
      <c r="B134" s="8" t="s">
        <v>602</v>
      </c>
      <c r="C134" s="9" t="s">
        <v>670</v>
      </c>
      <c r="D134" s="9" t="s">
        <v>606</v>
      </c>
      <c r="E134" s="49"/>
      <c r="F134" s="49">
        <v>38.090000000000003</v>
      </c>
      <c r="G134" s="49">
        <v>20</v>
      </c>
      <c r="H134" s="49">
        <v>54</v>
      </c>
      <c r="I134" s="49"/>
      <c r="J134" s="49"/>
      <c r="K134" s="49">
        <v>49</v>
      </c>
      <c r="L134" s="49">
        <v>35.33</v>
      </c>
      <c r="M134" s="49"/>
      <c r="N134" s="49">
        <v>71.599999999999994</v>
      </c>
      <c r="O134" s="49">
        <v>42.69</v>
      </c>
      <c r="P134" s="49">
        <v>139.57</v>
      </c>
      <c r="Q134" s="49">
        <v>32.58</v>
      </c>
      <c r="R134" s="49"/>
      <c r="S134" s="49"/>
      <c r="T134" s="49">
        <v>45.85</v>
      </c>
      <c r="U134" s="49"/>
      <c r="V134" s="49">
        <v>40.799999999999997</v>
      </c>
      <c r="W134" s="49"/>
      <c r="X134" s="49">
        <v>124.96</v>
      </c>
      <c r="Y134" s="49"/>
    </row>
    <row r="135" spans="1:25" ht="14.25" customHeight="1">
      <c r="A135" s="12"/>
      <c r="B135" s="8"/>
      <c r="C135" s="9"/>
      <c r="D135" s="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spans="1:25" ht="14.25" customHeight="1">
      <c r="A136" s="12" t="s">
        <v>254</v>
      </c>
      <c r="B136" s="8" t="s">
        <v>600</v>
      </c>
      <c r="C136" s="9" t="s">
        <v>665</v>
      </c>
      <c r="D136" s="9" t="s">
        <v>606</v>
      </c>
      <c r="E136" s="49"/>
      <c r="F136" s="49"/>
      <c r="G136" s="49"/>
      <c r="H136" s="49"/>
      <c r="I136" s="49"/>
      <c r="J136" s="49"/>
      <c r="K136" s="49">
        <v>65</v>
      </c>
      <c r="L136" s="49"/>
      <c r="M136" s="49"/>
      <c r="N136" s="52">
        <v>670.84</v>
      </c>
      <c r="O136" s="49"/>
      <c r="P136" s="49">
        <v>449.68</v>
      </c>
      <c r="Q136" s="49">
        <v>222.41</v>
      </c>
      <c r="R136" s="49"/>
      <c r="S136" s="49"/>
      <c r="T136" s="49">
        <v>461.57</v>
      </c>
      <c r="U136" s="49"/>
      <c r="V136" s="49"/>
      <c r="W136" s="49"/>
      <c r="X136" s="49"/>
      <c r="Y136" s="49"/>
    </row>
    <row r="137" spans="1:25" ht="14.25" customHeight="1">
      <c r="A137" s="12" t="s">
        <v>255</v>
      </c>
      <c r="B137" s="8" t="s">
        <v>600</v>
      </c>
      <c r="C137" s="9" t="s">
        <v>666</v>
      </c>
      <c r="D137" s="9" t="s">
        <v>606</v>
      </c>
      <c r="E137" s="49"/>
      <c r="F137" s="49"/>
      <c r="G137" s="49"/>
      <c r="H137" s="49"/>
      <c r="I137" s="49"/>
      <c r="J137" s="49"/>
      <c r="K137" s="49">
        <v>60</v>
      </c>
      <c r="L137" s="49"/>
      <c r="M137" s="49"/>
      <c r="N137" s="52">
        <v>670.84</v>
      </c>
      <c r="O137" s="49"/>
      <c r="P137" s="49">
        <v>380.26</v>
      </c>
      <c r="Q137" s="49">
        <v>154.38999999999999</v>
      </c>
      <c r="R137" s="49"/>
      <c r="S137" s="49"/>
      <c r="T137" s="49">
        <v>401.37</v>
      </c>
      <c r="U137" s="49"/>
      <c r="V137" s="49"/>
      <c r="W137" s="49"/>
      <c r="X137" s="49"/>
      <c r="Y137" s="49"/>
    </row>
    <row r="138" spans="1:25" ht="14.25" customHeight="1">
      <c r="A138" s="12" t="s">
        <v>256</v>
      </c>
      <c r="B138" s="8" t="s">
        <v>600</v>
      </c>
      <c r="C138" s="9" t="s">
        <v>667</v>
      </c>
      <c r="D138" s="9" t="s">
        <v>606</v>
      </c>
      <c r="E138" s="49"/>
      <c r="F138" s="49"/>
      <c r="G138" s="49"/>
      <c r="H138" s="49"/>
      <c r="I138" s="49"/>
      <c r="J138" s="49"/>
      <c r="K138" s="49">
        <v>55</v>
      </c>
      <c r="L138" s="49"/>
      <c r="M138" s="49"/>
      <c r="N138" s="52">
        <v>670.84</v>
      </c>
      <c r="O138" s="49"/>
      <c r="P138" s="49">
        <v>366.38</v>
      </c>
      <c r="Q138" s="49">
        <v>139.56</v>
      </c>
      <c r="R138" s="49"/>
      <c r="S138" s="49"/>
      <c r="T138" s="49">
        <v>349.01</v>
      </c>
      <c r="U138" s="49"/>
      <c r="V138" s="49"/>
      <c r="W138" s="49"/>
      <c r="X138" s="49"/>
      <c r="Y138" s="49"/>
    </row>
    <row r="139" spans="1:25" ht="14.25" customHeight="1">
      <c r="A139" s="12" t="s">
        <v>257</v>
      </c>
      <c r="B139" s="8" t="s">
        <v>600</v>
      </c>
      <c r="C139" s="9" t="s">
        <v>668</v>
      </c>
      <c r="D139" s="9" t="s">
        <v>606</v>
      </c>
      <c r="E139" s="49"/>
      <c r="F139" s="49"/>
      <c r="G139" s="49"/>
      <c r="H139" s="49"/>
      <c r="I139" s="49"/>
      <c r="J139" s="49"/>
      <c r="K139" s="49">
        <v>49</v>
      </c>
      <c r="L139" s="49"/>
      <c r="M139" s="49"/>
      <c r="N139" s="49">
        <v>140.31</v>
      </c>
      <c r="O139" s="49"/>
      <c r="P139" s="49">
        <v>171.31</v>
      </c>
      <c r="Q139" s="49">
        <v>118.7</v>
      </c>
      <c r="R139" s="49"/>
      <c r="S139" s="49"/>
      <c r="T139" s="49">
        <v>80.47</v>
      </c>
      <c r="U139" s="49"/>
      <c r="V139" s="49"/>
      <c r="W139" s="49"/>
      <c r="X139" s="49"/>
      <c r="Y139" s="49"/>
    </row>
    <row r="140" spans="1:25" ht="14.25" customHeight="1">
      <c r="A140" s="12" t="s">
        <v>258</v>
      </c>
      <c r="B140" s="8" t="s">
        <v>600</v>
      </c>
      <c r="C140" s="9" t="s">
        <v>669</v>
      </c>
      <c r="D140" s="9" t="s">
        <v>606</v>
      </c>
      <c r="E140" s="49"/>
      <c r="F140" s="49"/>
      <c r="G140" s="49"/>
      <c r="H140" s="49"/>
      <c r="I140" s="49"/>
      <c r="J140" s="49"/>
      <c r="K140" s="49">
        <v>49</v>
      </c>
      <c r="L140" s="49"/>
      <c r="M140" s="49"/>
      <c r="N140" s="49">
        <v>85.34</v>
      </c>
      <c r="O140" s="49"/>
      <c r="P140" s="49">
        <v>144.86000000000001</v>
      </c>
      <c r="Q140" s="49">
        <v>50.67</v>
      </c>
      <c r="R140" s="49"/>
      <c r="S140" s="49"/>
      <c r="T140" s="49">
        <v>69.97</v>
      </c>
      <c r="U140" s="49"/>
      <c r="V140" s="49"/>
      <c r="W140" s="49"/>
      <c r="X140" s="49"/>
      <c r="Y140" s="49"/>
    </row>
    <row r="141" spans="1:25" ht="14.25" customHeight="1">
      <c r="A141" s="12" t="s">
        <v>259</v>
      </c>
      <c r="B141" s="8" t="s">
        <v>600</v>
      </c>
      <c r="C141" s="9" t="s">
        <v>670</v>
      </c>
      <c r="D141" s="9" t="s">
        <v>606</v>
      </c>
      <c r="E141" s="49"/>
      <c r="F141" s="49"/>
      <c r="G141" s="49"/>
      <c r="H141" s="49"/>
      <c r="I141" s="49"/>
      <c r="J141" s="49"/>
      <c r="K141" s="49">
        <v>49</v>
      </c>
      <c r="L141" s="49"/>
      <c r="M141" s="49"/>
      <c r="N141" s="49">
        <v>71.599999999999994</v>
      </c>
      <c r="O141" s="49"/>
      <c r="P141" s="49">
        <v>139.57</v>
      </c>
      <c r="Q141" s="49">
        <v>35.76</v>
      </c>
      <c r="R141" s="49"/>
      <c r="S141" s="49"/>
      <c r="T141" s="49">
        <v>60.85</v>
      </c>
      <c r="U141" s="49"/>
      <c r="V141" s="49"/>
      <c r="W141" s="49"/>
      <c r="X141" s="49"/>
      <c r="Y141" s="49"/>
    </row>
    <row r="142" spans="1:25" ht="14.25" customHeight="1">
      <c r="A142" s="12"/>
      <c r="B142" s="8"/>
      <c r="C142" s="9"/>
      <c r="D142" s="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spans="1:25" ht="14.25" customHeight="1">
      <c r="A143" s="12" t="s">
        <v>260</v>
      </c>
      <c r="B143" s="8" t="s">
        <v>601</v>
      </c>
      <c r="C143" s="9" t="s">
        <v>665</v>
      </c>
      <c r="D143" s="9" t="s">
        <v>606</v>
      </c>
      <c r="E143" s="49">
        <v>277.10000000000002</v>
      </c>
      <c r="F143" s="49"/>
      <c r="G143" s="49"/>
      <c r="H143" s="49"/>
      <c r="I143" s="49">
        <v>98.86</v>
      </c>
      <c r="J143" s="49">
        <v>326.31</v>
      </c>
      <c r="K143" s="49"/>
      <c r="L143" s="49">
        <v>370.94</v>
      </c>
      <c r="M143" s="49">
        <v>562.11</v>
      </c>
      <c r="N143" s="49">
        <v>609.85</v>
      </c>
      <c r="O143" s="49">
        <v>285</v>
      </c>
      <c r="P143" s="49"/>
      <c r="Q143" s="49">
        <v>148.13999999999999</v>
      </c>
      <c r="R143" s="49">
        <v>153.83000000000001</v>
      </c>
      <c r="S143" s="49">
        <v>170.53</v>
      </c>
      <c r="T143" s="49"/>
      <c r="U143" s="49"/>
      <c r="V143" s="49"/>
      <c r="W143" s="49"/>
      <c r="X143" s="49"/>
      <c r="Y143" s="49"/>
    </row>
    <row r="144" spans="1:25" ht="14.25" customHeight="1">
      <c r="A144" s="12" t="s">
        <v>261</v>
      </c>
      <c r="B144" s="8" t="s">
        <v>601</v>
      </c>
      <c r="C144" s="9" t="s">
        <v>666</v>
      </c>
      <c r="D144" s="9" t="s">
        <v>606</v>
      </c>
      <c r="E144" s="49">
        <v>190.08</v>
      </c>
      <c r="F144" s="49"/>
      <c r="G144" s="49"/>
      <c r="H144" s="49"/>
      <c r="I144" s="49">
        <v>98.86</v>
      </c>
      <c r="J144" s="49">
        <v>275.23</v>
      </c>
      <c r="K144" s="49"/>
      <c r="L144" s="49">
        <v>370.94</v>
      </c>
      <c r="M144" s="49">
        <v>332.66</v>
      </c>
      <c r="N144" s="49">
        <v>609.85</v>
      </c>
      <c r="O144" s="49">
        <v>285</v>
      </c>
      <c r="P144" s="49"/>
      <c r="Q144" s="49">
        <v>125.44</v>
      </c>
      <c r="R144" s="49">
        <v>151.71</v>
      </c>
      <c r="S144" s="49">
        <v>167.75</v>
      </c>
      <c r="T144" s="49"/>
      <c r="U144" s="49"/>
      <c r="V144" s="49"/>
      <c r="W144" s="49"/>
      <c r="X144" s="49"/>
      <c r="Y144" s="49"/>
    </row>
    <row r="145" spans="1:25" ht="14.25" customHeight="1">
      <c r="A145" s="12" t="s">
        <v>262</v>
      </c>
      <c r="B145" s="8" t="s">
        <v>601</v>
      </c>
      <c r="C145" s="9" t="s">
        <v>667</v>
      </c>
      <c r="D145" s="9" t="s">
        <v>606</v>
      </c>
      <c r="E145" s="49">
        <v>161.93</v>
      </c>
      <c r="F145" s="49"/>
      <c r="G145" s="49"/>
      <c r="H145" s="49"/>
      <c r="I145" s="49">
        <v>98.86</v>
      </c>
      <c r="J145" s="49">
        <v>269.99</v>
      </c>
      <c r="K145" s="49"/>
      <c r="L145" s="49">
        <v>370.94</v>
      </c>
      <c r="M145" s="49">
        <v>251.8</v>
      </c>
      <c r="N145" s="49">
        <v>609.85</v>
      </c>
      <c r="O145" s="49">
        <v>285</v>
      </c>
      <c r="P145" s="49"/>
      <c r="Q145" s="49">
        <v>117.02</v>
      </c>
      <c r="R145" s="49">
        <v>149.59</v>
      </c>
      <c r="S145" s="49">
        <v>161.25</v>
      </c>
      <c r="T145" s="49"/>
      <c r="U145" s="49"/>
      <c r="V145" s="49"/>
      <c r="W145" s="49"/>
      <c r="X145" s="49"/>
      <c r="Y145" s="49"/>
    </row>
    <row r="146" spans="1:25" ht="14.25" customHeight="1">
      <c r="A146" s="12" t="s">
        <v>263</v>
      </c>
      <c r="B146" s="8" t="s">
        <v>601</v>
      </c>
      <c r="C146" s="9" t="s">
        <v>668</v>
      </c>
      <c r="D146" s="9" t="s">
        <v>606</v>
      </c>
      <c r="E146" s="49">
        <v>124.75</v>
      </c>
      <c r="F146" s="49"/>
      <c r="G146" s="49"/>
      <c r="H146" s="49"/>
      <c r="I146" s="49">
        <v>61.79</v>
      </c>
      <c r="J146" s="49">
        <v>74.37</v>
      </c>
      <c r="K146" s="49"/>
      <c r="L146" s="49">
        <v>52.99</v>
      </c>
      <c r="M146" s="49">
        <v>80.37</v>
      </c>
      <c r="N146" s="49">
        <v>140.31</v>
      </c>
      <c r="O146" s="49">
        <v>42.75</v>
      </c>
      <c r="P146" s="49"/>
      <c r="Q146" s="49">
        <v>57.72</v>
      </c>
      <c r="R146" s="49">
        <v>26.52</v>
      </c>
      <c r="S146" s="49">
        <v>34.85</v>
      </c>
      <c r="T146" s="49"/>
      <c r="U146" s="49"/>
      <c r="V146" s="49"/>
      <c r="W146" s="49"/>
      <c r="X146" s="49"/>
      <c r="Y146" s="49"/>
    </row>
    <row r="147" spans="1:25" ht="14.25" customHeight="1">
      <c r="A147" s="12" t="s">
        <v>264</v>
      </c>
      <c r="B147" s="8" t="s">
        <v>601</v>
      </c>
      <c r="C147" s="9" t="s">
        <v>669</v>
      </c>
      <c r="D147" s="9" t="s">
        <v>606</v>
      </c>
      <c r="E147" s="49">
        <v>42.82</v>
      </c>
      <c r="F147" s="49"/>
      <c r="G147" s="49"/>
      <c r="H147" s="49"/>
      <c r="I147" s="49">
        <v>61.79</v>
      </c>
      <c r="J147" s="49">
        <v>33.729999999999997</v>
      </c>
      <c r="K147" s="49"/>
      <c r="L147" s="49">
        <v>45.93</v>
      </c>
      <c r="M147" s="49">
        <v>53.5</v>
      </c>
      <c r="N147" s="49">
        <v>85.34</v>
      </c>
      <c r="O147" s="49">
        <v>40.61</v>
      </c>
      <c r="P147" s="49"/>
      <c r="Q147" s="49">
        <v>35.03</v>
      </c>
      <c r="R147" s="49">
        <v>21.22</v>
      </c>
      <c r="S147" s="49">
        <v>28.69</v>
      </c>
      <c r="T147" s="49"/>
      <c r="U147" s="49"/>
      <c r="V147" s="49"/>
      <c r="W147" s="49"/>
      <c r="X147" s="49"/>
      <c r="Y147" s="49"/>
    </row>
    <row r="148" spans="1:25" ht="14.25" customHeight="1">
      <c r="A148" s="12" t="s">
        <v>265</v>
      </c>
      <c r="B148" s="8" t="s">
        <v>601</v>
      </c>
      <c r="C148" s="9" t="s">
        <v>670</v>
      </c>
      <c r="D148" s="9" t="s">
        <v>606</v>
      </c>
      <c r="E148" s="49">
        <v>17.54</v>
      </c>
      <c r="F148" s="49"/>
      <c r="G148" s="49"/>
      <c r="H148" s="49"/>
      <c r="I148" s="49">
        <v>61.79</v>
      </c>
      <c r="J148" s="49">
        <v>20.92</v>
      </c>
      <c r="K148" s="49"/>
      <c r="L148" s="49">
        <v>45.93</v>
      </c>
      <c r="M148" s="49">
        <v>35.619999999999997</v>
      </c>
      <c r="N148" s="49">
        <v>71.599999999999994</v>
      </c>
      <c r="O148" s="49">
        <v>38.58</v>
      </c>
      <c r="P148" s="49"/>
      <c r="Q148" s="49">
        <v>26.61</v>
      </c>
      <c r="R148" s="49">
        <v>15.91</v>
      </c>
      <c r="S148" s="49">
        <v>18.79</v>
      </c>
      <c r="T148" s="49"/>
      <c r="U148" s="49"/>
      <c r="V148" s="49"/>
      <c r="W148" s="49"/>
      <c r="X148" s="49"/>
      <c r="Y148" s="49"/>
    </row>
    <row r="149" spans="1:25" ht="14.25" customHeight="1">
      <c r="A149" s="12"/>
      <c r="B149" s="8"/>
      <c r="C149" s="9"/>
      <c r="D149" s="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spans="1:25" ht="14.25" customHeight="1">
      <c r="A150" s="12" t="s">
        <v>266</v>
      </c>
      <c r="B150" s="8" t="s">
        <v>598</v>
      </c>
      <c r="C150" s="9" t="s">
        <v>623</v>
      </c>
      <c r="D150" s="9" t="s">
        <v>607</v>
      </c>
      <c r="E150" s="49">
        <v>365.03</v>
      </c>
      <c r="F150" s="49"/>
      <c r="G150" s="49">
        <v>108.14</v>
      </c>
      <c r="H150" s="49">
        <v>202</v>
      </c>
      <c r="I150" s="49">
        <v>142.59</v>
      </c>
      <c r="J150" s="49">
        <v>184</v>
      </c>
      <c r="K150" s="49"/>
      <c r="L150" s="49"/>
      <c r="M150" s="49">
        <v>219</v>
      </c>
      <c r="N150" s="49">
        <v>152.12</v>
      </c>
      <c r="O150" s="49">
        <v>183.36</v>
      </c>
      <c r="P150" s="49">
        <v>186</v>
      </c>
      <c r="Q150" s="49">
        <v>241</v>
      </c>
      <c r="R150" s="49">
        <v>153.83000000000001</v>
      </c>
      <c r="S150" s="49">
        <v>170</v>
      </c>
      <c r="T150" s="49">
        <v>270.04000000000002</v>
      </c>
      <c r="U150" s="49">
        <v>191</v>
      </c>
      <c r="V150" s="49"/>
      <c r="W150" s="49">
        <v>137.97</v>
      </c>
      <c r="X150" s="49"/>
      <c r="Y150" s="49">
        <v>187.37</v>
      </c>
    </row>
    <row r="151" spans="1:25" ht="14.25" customHeight="1">
      <c r="A151" s="12" t="s">
        <v>267</v>
      </c>
      <c r="B151" s="8" t="s">
        <v>598</v>
      </c>
      <c r="C151" s="9" t="s">
        <v>624</v>
      </c>
      <c r="D151" s="9" t="s">
        <v>607</v>
      </c>
      <c r="E151" s="49">
        <v>216.62</v>
      </c>
      <c r="F151" s="49"/>
      <c r="G151" s="49">
        <v>69.66</v>
      </c>
      <c r="H151" s="49">
        <v>162</v>
      </c>
      <c r="I151" s="49">
        <v>89.12</v>
      </c>
      <c r="J151" s="49">
        <v>110</v>
      </c>
      <c r="K151" s="49"/>
      <c r="L151" s="49"/>
      <c r="M151" s="49">
        <v>184</v>
      </c>
      <c r="N151" s="49">
        <v>427.75</v>
      </c>
      <c r="O151" s="49">
        <v>127.11</v>
      </c>
      <c r="P151" s="49">
        <v>274.10000000000002</v>
      </c>
      <c r="Q151" s="49">
        <v>167</v>
      </c>
      <c r="R151" s="49">
        <v>153.83000000000001</v>
      </c>
      <c r="S151" s="49">
        <v>180</v>
      </c>
      <c r="T151" s="49">
        <v>228.59</v>
      </c>
      <c r="U151" s="49">
        <v>191</v>
      </c>
      <c r="V151" s="49"/>
      <c r="W151" s="49">
        <v>104.92</v>
      </c>
      <c r="X151" s="49"/>
      <c r="Y151" s="49">
        <v>178.46</v>
      </c>
    </row>
    <row r="152" spans="1:25" ht="14.25" customHeight="1">
      <c r="A152" s="12" t="s">
        <v>268</v>
      </c>
      <c r="B152" s="8" t="s">
        <v>598</v>
      </c>
      <c r="C152" s="9" t="s">
        <v>625</v>
      </c>
      <c r="D152" s="9" t="s">
        <v>607</v>
      </c>
      <c r="E152" s="49">
        <v>331.1</v>
      </c>
      <c r="F152" s="49"/>
      <c r="G152" s="49">
        <v>85.6</v>
      </c>
      <c r="H152" s="49">
        <v>191</v>
      </c>
      <c r="I152" s="49">
        <v>103.97</v>
      </c>
      <c r="J152" s="49">
        <v>124</v>
      </c>
      <c r="K152" s="49"/>
      <c r="L152" s="49"/>
      <c r="M152" s="49">
        <v>219</v>
      </c>
      <c r="N152" s="49">
        <v>360.2</v>
      </c>
      <c r="O152" s="49">
        <v>146.47</v>
      </c>
      <c r="P152" s="49">
        <v>328.92</v>
      </c>
      <c r="Q152" s="49">
        <v>197</v>
      </c>
      <c r="R152" s="49">
        <v>159.13999999999999</v>
      </c>
      <c r="S152" s="49">
        <v>214</v>
      </c>
      <c r="T152" s="49">
        <v>237.61</v>
      </c>
      <c r="U152" s="49">
        <v>281</v>
      </c>
      <c r="V152" s="49"/>
      <c r="W152" s="49">
        <v>137.97</v>
      </c>
      <c r="X152" s="49"/>
      <c r="Y152" s="49">
        <v>185.96</v>
      </c>
    </row>
    <row r="153" spans="1:25" ht="14.25" customHeight="1">
      <c r="A153" s="12" t="s">
        <v>269</v>
      </c>
      <c r="B153" s="8" t="s">
        <v>598</v>
      </c>
      <c r="C153" s="9" t="s">
        <v>626</v>
      </c>
      <c r="D153" s="9" t="s">
        <v>607</v>
      </c>
      <c r="E153" s="49">
        <v>380.69</v>
      </c>
      <c r="F153" s="49"/>
      <c r="G153" s="49">
        <v>114.13</v>
      </c>
      <c r="H153" s="49">
        <v>206</v>
      </c>
      <c r="I153" s="49">
        <v>124.76</v>
      </c>
      <c r="J153" s="49">
        <v>140</v>
      </c>
      <c r="K153" s="49"/>
      <c r="L153" s="49"/>
      <c r="M153" s="49">
        <v>273</v>
      </c>
      <c r="N153" s="49">
        <v>294.36</v>
      </c>
      <c r="O153" s="49">
        <v>186.45</v>
      </c>
      <c r="P153" s="49">
        <v>404.3</v>
      </c>
      <c r="Q153" s="49">
        <v>241</v>
      </c>
      <c r="R153" s="49">
        <v>169.75</v>
      </c>
      <c r="S153" s="49">
        <v>239</v>
      </c>
      <c r="T153" s="49">
        <v>321.45999999999998</v>
      </c>
      <c r="U153" s="49">
        <v>361</v>
      </c>
      <c r="V153" s="49"/>
      <c r="W153" s="49">
        <v>161.88</v>
      </c>
      <c r="X153" s="49"/>
      <c r="Y153" s="49">
        <v>207.79</v>
      </c>
    </row>
    <row r="154" spans="1:25" ht="14.25" customHeight="1">
      <c r="A154" s="12" t="s">
        <v>270</v>
      </c>
      <c r="B154" s="8" t="s">
        <v>598</v>
      </c>
      <c r="C154" s="9" t="s">
        <v>627</v>
      </c>
      <c r="D154" s="9" t="s">
        <v>607</v>
      </c>
      <c r="E154" s="49">
        <v>172.04</v>
      </c>
      <c r="F154" s="49"/>
      <c r="G154" s="49">
        <v>78.94</v>
      </c>
      <c r="H154" s="49">
        <v>160</v>
      </c>
      <c r="I154" s="49">
        <v>95.06</v>
      </c>
      <c r="J154" s="49">
        <v>111</v>
      </c>
      <c r="K154" s="49"/>
      <c r="L154" s="49"/>
      <c r="M154" s="49">
        <v>126</v>
      </c>
      <c r="N154" s="49">
        <v>84.11</v>
      </c>
      <c r="O154" s="49">
        <v>123.89</v>
      </c>
      <c r="P154" s="49">
        <v>133.12</v>
      </c>
      <c r="Q154" s="49">
        <v>144</v>
      </c>
      <c r="R154" s="49">
        <v>81</v>
      </c>
      <c r="S154" s="49">
        <v>81</v>
      </c>
      <c r="T154" s="49">
        <v>162.80000000000001</v>
      </c>
      <c r="U154" s="49">
        <v>103</v>
      </c>
      <c r="V154" s="49"/>
      <c r="W154" s="49">
        <v>137.97</v>
      </c>
      <c r="X154" s="49"/>
      <c r="Y154" s="49">
        <v>118.32</v>
      </c>
    </row>
    <row r="155" spans="1:25" ht="14.25" customHeight="1">
      <c r="A155" s="12" t="s">
        <v>271</v>
      </c>
      <c r="B155" s="8" t="s">
        <v>598</v>
      </c>
      <c r="C155" s="9" t="s">
        <v>628</v>
      </c>
      <c r="D155" s="9" t="s">
        <v>607</v>
      </c>
      <c r="E155" s="49">
        <v>285.97000000000003</v>
      </c>
      <c r="F155" s="49"/>
      <c r="G155" s="49">
        <v>101.27</v>
      </c>
      <c r="H155" s="49">
        <v>206</v>
      </c>
      <c r="I155" s="49">
        <v>124.76</v>
      </c>
      <c r="J155" s="49">
        <v>163</v>
      </c>
      <c r="K155" s="49"/>
      <c r="L155" s="49"/>
      <c r="M155" s="49">
        <v>219</v>
      </c>
      <c r="N155" s="49">
        <v>160.22999999999999</v>
      </c>
      <c r="O155" s="49">
        <v>221.79</v>
      </c>
      <c r="P155" s="49">
        <v>186</v>
      </c>
      <c r="Q155" s="49">
        <v>197</v>
      </c>
      <c r="R155" s="49">
        <v>148.53</v>
      </c>
      <c r="S155" s="49">
        <v>217</v>
      </c>
      <c r="T155" s="49">
        <v>182.17</v>
      </c>
      <c r="U155" s="49">
        <v>361</v>
      </c>
      <c r="V155" s="49"/>
      <c r="W155" s="49">
        <v>161.88</v>
      </c>
      <c r="X155" s="49"/>
      <c r="Y155" s="49">
        <v>207.79</v>
      </c>
    </row>
    <row r="156" spans="1:25" ht="14.25" customHeight="1">
      <c r="A156" s="12" t="s">
        <v>272</v>
      </c>
      <c r="B156" s="8" t="s">
        <v>598</v>
      </c>
      <c r="C156" s="9" t="s">
        <v>629</v>
      </c>
      <c r="D156" s="9" t="s">
        <v>607</v>
      </c>
      <c r="E156" s="49">
        <v>216.62</v>
      </c>
      <c r="F156" s="49"/>
      <c r="G156" s="49">
        <v>91.3</v>
      </c>
      <c r="H156" s="49">
        <v>181</v>
      </c>
      <c r="I156" s="49">
        <v>112.88</v>
      </c>
      <c r="J156" s="49">
        <v>97</v>
      </c>
      <c r="K156" s="49"/>
      <c r="L156" s="49"/>
      <c r="M156" s="49">
        <v>184</v>
      </c>
      <c r="N156" s="49">
        <v>96.53</v>
      </c>
      <c r="O156" s="49">
        <v>146.47</v>
      </c>
      <c r="P156" s="49">
        <v>164.46</v>
      </c>
      <c r="Q156" s="49">
        <v>167</v>
      </c>
      <c r="R156" s="49">
        <v>127.31</v>
      </c>
      <c r="S156" s="49">
        <v>173</v>
      </c>
      <c r="T156" s="49">
        <v>128.18</v>
      </c>
      <c r="U156" s="49">
        <v>187</v>
      </c>
      <c r="V156" s="49"/>
      <c r="W156" s="49">
        <v>161.88</v>
      </c>
      <c r="X156" s="49"/>
      <c r="Y156" s="49">
        <v>159.30000000000001</v>
      </c>
    </row>
    <row r="157" spans="1:25" ht="14.25" customHeight="1">
      <c r="A157" s="12" t="s">
        <v>273</v>
      </c>
      <c r="B157" s="8" t="s">
        <v>598</v>
      </c>
      <c r="C157" s="9" t="s">
        <v>630</v>
      </c>
      <c r="D157" s="9" t="s">
        <v>607</v>
      </c>
      <c r="E157" s="49">
        <v>114.68</v>
      </c>
      <c r="F157" s="49"/>
      <c r="G157" s="49">
        <v>79.61</v>
      </c>
      <c r="H157" s="49">
        <v>170</v>
      </c>
      <c r="I157" s="49">
        <v>95.06</v>
      </c>
      <c r="J157" s="49">
        <v>97</v>
      </c>
      <c r="K157" s="49"/>
      <c r="L157" s="49"/>
      <c r="M157" s="49">
        <v>110</v>
      </c>
      <c r="N157" s="49">
        <v>78.11</v>
      </c>
      <c r="O157" s="49">
        <v>146.47</v>
      </c>
      <c r="P157" s="49">
        <v>133.13</v>
      </c>
      <c r="Q157" s="49">
        <v>115</v>
      </c>
      <c r="R157" s="49">
        <v>101</v>
      </c>
      <c r="S157" s="49">
        <v>101</v>
      </c>
      <c r="T157" s="49">
        <v>138.46</v>
      </c>
      <c r="U157" s="49">
        <v>142</v>
      </c>
      <c r="V157" s="49"/>
      <c r="W157" s="49">
        <v>137.97</v>
      </c>
      <c r="X157" s="49"/>
      <c r="Y157" s="49">
        <v>94.32</v>
      </c>
    </row>
    <row r="158" spans="1:25" ht="14.25" customHeight="1">
      <c r="A158" s="12" t="s">
        <v>274</v>
      </c>
      <c r="B158" s="8" t="s">
        <v>598</v>
      </c>
      <c r="C158" s="9" t="s">
        <v>631</v>
      </c>
      <c r="D158" s="9" t="s">
        <v>607</v>
      </c>
      <c r="E158" s="49">
        <v>285.97000000000003</v>
      </c>
      <c r="F158" s="49"/>
      <c r="G158" s="49">
        <v>120.27</v>
      </c>
      <c r="H158" s="49">
        <v>118</v>
      </c>
      <c r="I158" s="49">
        <v>124.76</v>
      </c>
      <c r="J158" s="49">
        <v>139</v>
      </c>
      <c r="K158" s="49"/>
      <c r="L158" s="49"/>
      <c r="M158" s="49">
        <v>184</v>
      </c>
      <c r="N158" s="49">
        <v>125.63</v>
      </c>
      <c r="O158" s="49">
        <v>134.13999999999999</v>
      </c>
      <c r="P158" s="49">
        <v>201.66</v>
      </c>
      <c r="Q158" s="49">
        <v>144</v>
      </c>
      <c r="R158" s="49">
        <v>239</v>
      </c>
      <c r="S158" s="49">
        <v>239</v>
      </c>
      <c r="T158" s="49">
        <v>172.98</v>
      </c>
      <c r="U158" s="49">
        <v>142</v>
      </c>
      <c r="V158" s="49"/>
      <c r="W158" s="49">
        <v>137.97</v>
      </c>
      <c r="X158" s="49"/>
      <c r="Y158" s="49">
        <v>154.16</v>
      </c>
    </row>
    <row r="159" spans="1:25" ht="14.25" customHeight="1">
      <c r="A159" s="12" t="s">
        <v>275</v>
      </c>
      <c r="B159" s="8" t="s">
        <v>598</v>
      </c>
      <c r="C159" s="9" t="s">
        <v>632</v>
      </c>
      <c r="D159" s="9" t="s">
        <v>607</v>
      </c>
      <c r="E159" s="49">
        <v>224.05</v>
      </c>
      <c r="F159" s="49"/>
      <c r="G159" s="49">
        <v>77.27</v>
      </c>
      <c r="H159" s="49">
        <v>202</v>
      </c>
      <c r="I159" s="49">
        <v>124.76</v>
      </c>
      <c r="J159" s="49">
        <v>166</v>
      </c>
      <c r="K159" s="49"/>
      <c r="L159" s="49"/>
      <c r="M159" s="49">
        <v>144</v>
      </c>
      <c r="N159" s="49">
        <v>137.12</v>
      </c>
      <c r="O159" s="49">
        <v>134.13999999999999</v>
      </c>
      <c r="P159" s="49">
        <v>164.46</v>
      </c>
      <c r="Q159" s="49">
        <v>115</v>
      </c>
      <c r="R159" s="49">
        <v>149</v>
      </c>
      <c r="S159" s="49">
        <v>149</v>
      </c>
      <c r="T159" s="49">
        <v>171.18</v>
      </c>
      <c r="U159" s="49">
        <v>103</v>
      </c>
      <c r="V159" s="49"/>
      <c r="W159" s="49">
        <v>137.97</v>
      </c>
      <c r="X159" s="49"/>
      <c r="Y159" s="49">
        <v>207.79</v>
      </c>
    </row>
    <row r="160" spans="1:25" ht="14.25" customHeight="1">
      <c r="A160" s="12" t="s">
        <v>276</v>
      </c>
      <c r="B160" s="8" t="s">
        <v>598</v>
      </c>
      <c r="C160" s="9" t="s">
        <v>633</v>
      </c>
      <c r="D160" s="9" t="s">
        <v>607</v>
      </c>
      <c r="E160" s="49">
        <v>246.23</v>
      </c>
      <c r="F160" s="49"/>
      <c r="G160" s="49">
        <v>77.61</v>
      </c>
      <c r="H160" s="49">
        <v>191</v>
      </c>
      <c r="I160" s="49">
        <v>109.91</v>
      </c>
      <c r="J160" s="49">
        <v>116</v>
      </c>
      <c r="K160" s="49"/>
      <c r="L160" s="49"/>
      <c r="M160" s="49">
        <v>327</v>
      </c>
      <c r="N160" s="49">
        <v>132.47</v>
      </c>
      <c r="O160" s="49">
        <v>123.89</v>
      </c>
      <c r="P160" s="49">
        <v>201.66</v>
      </c>
      <c r="Q160" s="49">
        <v>197</v>
      </c>
      <c r="R160" s="49">
        <v>149.53</v>
      </c>
      <c r="S160" s="49">
        <v>128</v>
      </c>
      <c r="T160" s="49">
        <v>118.41</v>
      </c>
      <c r="U160" s="49">
        <v>142</v>
      </c>
      <c r="V160" s="49"/>
      <c r="W160" s="49">
        <v>137.97</v>
      </c>
      <c r="X160" s="49"/>
      <c r="Y160" s="49">
        <v>187.37</v>
      </c>
    </row>
    <row r="161" spans="1:25" ht="14.25" customHeight="1">
      <c r="A161" s="12"/>
      <c r="B161" s="8"/>
      <c r="C161" s="9"/>
      <c r="D161" s="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spans="1:25" ht="14.25" customHeight="1">
      <c r="A162" s="12" t="s">
        <v>277</v>
      </c>
      <c r="B162" s="8" t="s">
        <v>602</v>
      </c>
      <c r="C162" s="9" t="s">
        <v>623</v>
      </c>
      <c r="D162" s="9" t="s">
        <v>607</v>
      </c>
      <c r="E162" s="49"/>
      <c r="F162" s="49">
        <v>365.03</v>
      </c>
      <c r="G162" s="49">
        <v>108.41</v>
      </c>
      <c r="H162" s="49">
        <v>202</v>
      </c>
      <c r="I162" s="49"/>
      <c r="J162" s="49"/>
      <c r="K162" s="49">
        <v>187</v>
      </c>
      <c r="L162" s="49">
        <v>157.06</v>
      </c>
      <c r="M162" s="49"/>
      <c r="N162" s="49">
        <v>152.12</v>
      </c>
      <c r="O162" s="49">
        <v>183.36</v>
      </c>
      <c r="P162" s="49">
        <v>186</v>
      </c>
      <c r="Q162" s="49">
        <v>241</v>
      </c>
      <c r="R162" s="49"/>
      <c r="S162" s="49"/>
      <c r="T162" s="49">
        <v>270.04000000000002</v>
      </c>
      <c r="U162" s="49"/>
      <c r="V162" s="49">
        <v>191</v>
      </c>
      <c r="W162" s="49"/>
      <c r="X162" s="49">
        <v>187.37</v>
      </c>
      <c r="Y162" s="49"/>
    </row>
    <row r="163" spans="1:25" ht="14.25" customHeight="1">
      <c r="A163" s="12" t="s">
        <v>278</v>
      </c>
      <c r="B163" s="8" t="s">
        <v>602</v>
      </c>
      <c r="C163" s="9" t="s">
        <v>624</v>
      </c>
      <c r="D163" s="9" t="s">
        <v>607</v>
      </c>
      <c r="E163" s="49"/>
      <c r="F163" s="49">
        <v>216.62</v>
      </c>
      <c r="G163" s="49">
        <v>69.66</v>
      </c>
      <c r="H163" s="49">
        <v>162</v>
      </c>
      <c r="I163" s="49"/>
      <c r="J163" s="49"/>
      <c r="K163" s="49">
        <v>213</v>
      </c>
      <c r="L163" s="49">
        <v>123.08</v>
      </c>
      <c r="M163" s="49"/>
      <c r="N163" s="49">
        <v>427.75</v>
      </c>
      <c r="O163" s="49">
        <v>127.11</v>
      </c>
      <c r="P163" s="49">
        <v>274.10000000000002</v>
      </c>
      <c r="Q163" s="49">
        <v>167</v>
      </c>
      <c r="R163" s="49"/>
      <c r="S163" s="49"/>
      <c r="T163" s="49">
        <v>228.59</v>
      </c>
      <c r="U163" s="49"/>
      <c r="V163" s="49">
        <v>191</v>
      </c>
      <c r="W163" s="49"/>
      <c r="X163" s="49">
        <v>178.46</v>
      </c>
      <c r="Y163" s="49"/>
    </row>
    <row r="164" spans="1:25" ht="14.25" customHeight="1">
      <c r="A164" s="12" t="s">
        <v>279</v>
      </c>
      <c r="B164" s="8" t="s">
        <v>602</v>
      </c>
      <c r="C164" s="9" t="s">
        <v>625</v>
      </c>
      <c r="D164" s="9" t="s">
        <v>607</v>
      </c>
      <c r="E164" s="49"/>
      <c r="F164" s="49">
        <v>331.1</v>
      </c>
      <c r="G164" s="49">
        <v>85.6</v>
      </c>
      <c r="H164" s="49">
        <v>191</v>
      </c>
      <c r="I164" s="49"/>
      <c r="J164" s="49"/>
      <c r="K164" s="49">
        <v>266</v>
      </c>
      <c r="L164" s="49">
        <v>134.91</v>
      </c>
      <c r="M164" s="49"/>
      <c r="N164" s="49">
        <v>360.2</v>
      </c>
      <c r="O164" s="49">
        <v>146.47</v>
      </c>
      <c r="P164" s="49">
        <v>328.92</v>
      </c>
      <c r="Q164" s="49">
        <v>197</v>
      </c>
      <c r="R164" s="49"/>
      <c r="S164" s="49"/>
      <c r="T164" s="49">
        <v>237.61</v>
      </c>
      <c r="U164" s="49"/>
      <c r="V164" s="49">
        <v>381</v>
      </c>
      <c r="W164" s="49"/>
      <c r="X164" s="49">
        <v>185.96</v>
      </c>
      <c r="Y164" s="49"/>
    </row>
    <row r="165" spans="1:25" ht="14.25" customHeight="1">
      <c r="A165" s="12" t="s">
        <v>280</v>
      </c>
      <c r="B165" s="8" t="s">
        <v>602</v>
      </c>
      <c r="C165" s="9" t="s">
        <v>626</v>
      </c>
      <c r="D165" s="9" t="s">
        <v>607</v>
      </c>
      <c r="E165" s="49"/>
      <c r="F165" s="49">
        <v>380.69</v>
      </c>
      <c r="G165" s="49">
        <v>114.12</v>
      </c>
      <c r="H165" s="49">
        <v>206</v>
      </c>
      <c r="I165" s="49"/>
      <c r="J165" s="49"/>
      <c r="K165" s="49">
        <v>378</v>
      </c>
      <c r="L165" s="49">
        <v>175.9</v>
      </c>
      <c r="M165" s="49"/>
      <c r="N165" s="49">
        <v>294.36</v>
      </c>
      <c r="O165" s="49">
        <v>186.45</v>
      </c>
      <c r="P165" s="49">
        <v>404.3</v>
      </c>
      <c r="Q165" s="49">
        <v>241</v>
      </c>
      <c r="R165" s="49"/>
      <c r="S165" s="49"/>
      <c r="T165" s="49">
        <v>321.45999999999998</v>
      </c>
      <c r="U165" s="49"/>
      <c r="V165" s="49">
        <v>361</v>
      </c>
      <c r="W165" s="49"/>
      <c r="X165" s="49">
        <v>207.79</v>
      </c>
      <c r="Y165" s="49"/>
    </row>
    <row r="166" spans="1:25" ht="14.25" customHeight="1">
      <c r="A166" s="12" t="s">
        <v>281</v>
      </c>
      <c r="B166" s="8" t="s">
        <v>602</v>
      </c>
      <c r="C166" s="9" t="s">
        <v>627</v>
      </c>
      <c r="D166" s="9" t="s">
        <v>607</v>
      </c>
      <c r="E166" s="49"/>
      <c r="F166" s="49">
        <v>172.04</v>
      </c>
      <c r="G166" s="49">
        <v>78.94</v>
      </c>
      <c r="H166" s="49">
        <v>160</v>
      </c>
      <c r="I166" s="49"/>
      <c r="J166" s="49"/>
      <c r="K166" s="49">
        <v>113</v>
      </c>
      <c r="L166" s="49">
        <v>102.13</v>
      </c>
      <c r="M166" s="49"/>
      <c r="N166" s="49">
        <v>84.11</v>
      </c>
      <c r="O166" s="49">
        <v>123.89</v>
      </c>
      <c r="P166" s="49">
        <v>133.12</v>
      </c>
      <c r="Q166" s="49">
        <v>144</v>
      </c>
      <c r="R166" s="49"/>
      <c r="S166" s="49"/>
      <c r="T166" s="49">
        <v>162.80000000000001</v>
      </c>
      <c r="U166" s="49"/>
      <c r="V166" s="49">
        <v>103</v>
      </c>
      <c r="W166" s="49"/>
      <c r="X166" s="49">
        <v>118.32</v>
      </c>
      <c r="Y166" s="49"/>
    </row>
    <row r="167" spans="1:25" ht="14.25" customHeight="1">
      <c r="A167" s="12" t="s">
        <v>282</v>
      </c>
      <c r="B167" s="8" t="s">
        <v>602</v>
      </c>
      <c r="C167" s="9" t="s">
        <v>628</v>
      </c>
      <c r="D167" s="9" t="s">
        <v>607</v>
      </c>
      <c r="E167" s="49"/>
      <c r="F167" s="49">
        <v>285.97000000000003</v>
      </c>
      <c r="G167" s="49">
        <v>101.27</v>
      </c>
      <c r="H167" s="49">
        <v>206</v>
      </c>
      <c r="I167" s="49"/>
      <c r="J167" s="49"/>
      <c r="K167" s="49">
        <v>166</v>
      </c>
      <c r="L167" s="49">
        <v>134.91</v>
      </c>
      <c r="M167" s="49"/>
      <c r="N167" s="49">
        <v>160.22999999999999</v>
      </c>
      <c r="O167" s="49">
        <v>221.79</v>
      </c>
      <c r="P167" s="49">
        <v>186</v>
      </c>
      <c r="Q167" s="49">
        <v>197</v>
      </c>
      <c r="R167" s="49"/>
      <c r="S167" s="49"/>
      <c r="T167" s="49">
        <v>182.17</v>
      </c>
      <c r="U167" s="49"/>
      <c r="V167" s="49">
        <v>361</v>
      </c>
      <c r="W167" s="49"/>
      <c r="X167" s="49">
        <v>207.79</v>
      </c>
      <c r="Y167" s="49"/>
    </row>
    <row r="168" spans="1:25" ht="14.25" customHeight="1">
      <c r="A168" s="12" t="s">
        <v>283</v>
      </c>
      <c r="B168" s="8" t="s">
        <v>602</v>
      </c>
      <c r="C168" s="9" t="s">
        <v>629</v>
      </c>
      <c r="D168" s="9" t="s">
        <v>607</v>
      </c>
      <c r="E168" s="49"/>
      <c r="F168" s="49">
        <v>216.62</v>
      </c>
      <c r="G168" s="49">
        <v>91.3</v>
      </c>
      <c r="H168" s="49">
        <v>181</v>
      </c>
      <c r="I168" s="49"/>
      <c r="J168" s="49"/>
      <c r="K168" s="49">
        <v>266</v>
      </c>
      <c r="L168" s="49">
        <v>79.55</v>
      </c>
      <c r="M168" s="49"/>
      <c r="N168" s="49">
        <v>96.53</v>
      </c>
      <c r="O168" s="49">
        <v>146.47</v>
      </c>
      <c r="P168" s="49">
        <v>164.46</v>
      </c>
      <c r="Q168" s="49">
        <v>167</v>
      </c>
      <c r="R168" s="49"/>
      <c r="S168" s="49"/>
      <c r="T168" s="49">
        <v>128.18</v>
      </c>
      <c r="U168" s="49"/>
      <c r="V168" s="49">
        <v>187</v>
      </c>
      <c r="W168" s="49"/>
      <c r="X168" s="49">
        <v>159.30000000000001</v>
      </c>
      <c r="Y168" s="49"/>
    </row>
    <row r="169" spans="1:25" ht="14.25" customHeight="1">
      <c r="A169" s="12" t="s">
        <v>284</v>
      </c>
      <c r="B169" s="8" t="s">
        <v>602</v>
      </c>
      <c r="C169" s="9" t="s">
        <v>630</v>
      </c>
      <c r="D169" s="9" t="s">
        <v>607</v>
      </c>
      <c r="E169" s="49"/>
      <c r="F169" s="49">
        <v>114.68</v>
      </c>
      <c r="G169" s="49">
        <v>79.61</v>
      </c>
      <c r="H169" s="49">
        <v>170</v>
      </c>
      <c r="I169" s="49"/>
      <c r="J169" s="49"/>
      <c r="K169" s="49">
        <v>99</v>
      </c>
      <c r="L169" s="49">
        <v>79.55</v>
      </c>
      <c r="M169" s="49"/>
      <c r="N169" s="49">
        <v>78.11</v>
      </c>
      <c r="O169" s="49">
        <v>146.47</v>
      </c>
      <c r="P169" s="49">
        <v>133.13</v>
      </c>
      <c r="Q169" s="49">
        <v>115</v>
      </c>
      <c r="R169" s="49"/>
      <c r="S169" s="49"/>
      <c r="T169" s="49">
        <v>138.46</v>
      </c>
      <c r="U169" s="49"/>
      <c r="V169" s="49">
        <v>142</v>
      </c>
      <c r="W169" s="49"/>
      <c r="X169" s="49">
        <v>94.32</v>
      </c>
      <c r="Y169" s="49"/>
    </row>
    <row r="170" spans="1:25" ht="14.25" customHeight="1">
      <c r="A170" s="12" t="s">
        <v>285</v>
      </c>
      <c r="B170" s="8" t="s">
        <v>602</v>
      </c>
      <c r="C170" s="9" t="s">
        <v>631</v>
      </c>
      <c r="D170" s="9" t="s">
        <v>607</v>
      </c>
      <c r="E170" s="49"/>
      <c r="F170" s="49">
        <v>285.97000000000003</v>
      </c>
      <c r="G170" s="49">
        <v>120.27</v>
      </c>
      <c r="H170" s="49">
        <v>118</v>
      </c>
      <c r="I170" s="49"/>
      <c r="J170" s="49"/>
      <c r="K170" s="49">
        <v>142</v>
      </c>
      <c r="L170" s="49">
        <v>67.790000000000006</v>
      </c>
      <c r="M170" s="49"/>
      <c r="N170" s="49">
        <v>125.63</v>
      </c>
      <c r="O170" s="49">
        <v>134.13999999999999</v>
      </c>
      <c r="P170" s="49">
        <v>201.66</v>
      </c>
      <c r="Q170" s="49">
        <v>144</v>
      </c>
      <c r="R170" s="49"/>
      <c r="S170" s="49"/>
      <c r="T170" s="49">
        <v>172.98</v>
      </c>
      <c r="U170" s="49"/>
      <c r="V170" s="49">
        <v>142</v>
      </c>
      <c r="W170" s="49"/>
      <c r="X170" s="49">
        <v>154.16</v>
      </c>
      <c r="Y170" s="49"/>
    </row>
    <row r="171" spans="1:25" ht="14.25" customHeight="1">
      <c r="A171" s="12" t="s">
        <v>286</v>
      </c>
      <c r="B171" s="8" t="s">
        <v>602</v>
      </c>
      <c r="C171" s="9" t="s">
        <v>632</v>
      </c>
      <c r="D171" s="9" t="s">
        <v>607</v>
      </c>
      <c r="E171" s="49"/>
      <c r="F171" s="49">
        <v>224.05</v>
      </c>
      <c r="G171" s="49">
        <v>77.27</v>
      </c>
      <c r="H171" s="49">
        <v>202</v>
      </c>
      <c r="I171" s="49"/>
      <c r="J171" s="49"/>
      <c r="K171" s="49">
        <v>169</v>
      </c>
      <c r="L171" s="49">
        <v>51.21</v>
      </c>
      <c r="M171" s="49"/>
      <c r="N171" s="49">
        <v>137.12</v>
      </c>
      <c r="O171" s="49">
        <v>134.13999999999999</v>
      </c>
      <c r="P171" s="49">
        <v>164.46</v>
      </c>
      <c r="Q171" s="49">
        <v>115</v>
      </c>
      <c r="R171" s="49"/>
      <c r="S171" s="49"/>
      <c r="T171" s="49">
        <v>171.18</v>
      </c>
      <c r="U171" s="49"/>
      <c r="V171" s="49">
        <v>103</v>
      </c>
      <c r="W171" s="49"/>
      <c r="X171" s="49">
        <v>207.79</v>
      </c>
      <c r="Y171" s="49"/>
    </row>
    <row r="172" spans="1:25" ht="14.25" customHeight="1">
      <c r="A172" s="12" t="s">
        <v>287</v>
      </c>
      <c r="B172" s="8" t="s">
        <v>602</v>
      </c>
      <c r="C172" s="9" t="s">
        <v>633</v>
      </c>
      <c r="D172" s="9" t="s">
        <v>607</v>
      </c>
      <c r="E172" s="49"/>
      <c r="F172" s="49">
        <v>246.23</v>
      </c>
      <c r="G172" s="49">
        <v>77.61</v>
      </c>
      <c r="H172" s="49">
        <v>191</v>
      </c>
      <c r="I172" s="49"/>
      <c r="J172" s="49"/>
      <c r="K172" s="49">
        <v>118</v>
      </c>
      <c r="L172" s="49">
        <v>119.51</v>
      </c>
      <c r="M172" s="49"/>
      <c r="N172" s="49">
        <v>132.47</v>
      </c>
      <c r="O172" s="49">
        <v>123.89</v>
      </c>
      <c r="P172" s="49">
        <v>201.66</v>
      </c>
      <c r="Q172" s="49">
        <v>197</v>
      </c>
      <c r="R172" s="49"/>
      <c r="S172" s="49"/>
      <c r="T172" s="49">
        <v>118.41</v>
      </c>
      <c r="U172" s="49"/>
      <c r="V172" s="49">
        <v>142</v>
      </c>
      <c r="W172" s="49"/>
      <c r="X172" s="49">
        <v>187.37</v>
      </c>
      <c r="Y172" s="49"/>
    </row>
    <row r="173" spans="1:25" ht="14.25" customHeight="1">
      <c r="A173" s="12"/>
      <c r="B173" s="8"/>
      <c r="C173" s="9"/>
      <c r="D173" s="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spans="1:25" ht="14.25" customHeight="1">
      <c r="A174" s="12" t="s">
        <v>288</v>
      </c>
      <c r="B174" s="8" t="s">
        <v>600</v>
      </c>
      <c r="C174" s="9" t="s">
        <v>623</v>
      </c>
      <c r="D174" s="9" t="s">
        <v>607</v>
      </c>
      <c r="E174" s="49"/>
      <c r="F174" s="49"/>
      <c r="G174" s="49"/>
      <c r="H174" s="49"/>
      <c r="I174" s="49"/>
      <c r="J174" s="49"/>
      <c r="K174" s="49">
        <v>187</v>
      </c>
      <c r="L174" s="49"/>
      <c r="M174" s="49"/>
      <c r="N174" s="49">
        <v>152.12</v>
      </c>
      <c r="O174" s="49"/>
      <c r="P174" s="49">
        <v>186</v>
      </c>
      <c r="Q174" s="49">
        <v>241</v>
      </c>
      <c r="R174" s="49"/>
      <c r="S174" s="49"/>
      <c r="T174" s="49">
        <v>270.04000000000002</v>
      </c>
      <c r="U174" s="49"/>
      <c r="V174" s="49"/>
      <c r="W174" s="49"/>
      <c r="X174" s="49"/>
      <c r="Y174" s="49"/>
    </row>
    <row r="175" spans="1:25" ht="14.25" customHeight="1">
      <c r="A175" s="12" t="s">
        <v>289</v>
      </c>
      <c r="B175" s="8" t="s">
        <v>600</v>
      </c>
      <c r="C175" s="9" t="s">
        <v>624</v>
      </c>
      <c r="D175" s="9" t="s">
        <v>607</v>
      </c>
      <c r="E175" s="49"/>
      <c r="F175" s="49"/>
      <c r="G175" s="49"/>
      <c r="H175" s="49"/>
      <c r="I175" s="49"/>
      <c r="J175" s="49"/>
      <c r="K175" s="49">
        <v>213</v>
      </c>
      <c r="L175" s="49"/>
      <c r="M175" s="49"/>
      <c r="N175" s="49">
        <v>427.75</v>
      </c>
      <c r="O175" s="49"/>
      <c r="P175" s="49">
        <v>274.10000000000002</v>
      </c>
      <c r="Q175" s="49">
        <v>167</v>
      </c>
      <c r="R175" s="49"/>
      <c r="S175" s="49"/>
      <c r="T175" s="49">
        <v>228.59</v>
      </c>
      <c r="U175" s="49"/>
      <c r="V175" s="49"/>
      <c r="W175" s="49"/>
      <c r="X175" s="49"/>
      <c r="Y175" s="49"/>
    </row>
    <row r="176" spans="1:25" ht="14.25" customHeight="1">
      <c r="A176" s="12" t="s">
        <v>290</v>
      </c>
      <c r="B176" s="8" t="s">
        <v>600</v>
      </c>
      <c r="C176" s="9" t="s">
        <v>625</v>
      </c>
      <c r="D176" s="9" t="s">
        <v>607</v>
      </c>
      <c r="E176" s="49"/>
      <c r="F176" s="49"/>
      <c r="G176" s="49"/>
      <c r="H176" s="49"/>
      <c r="I176" s="49"/>
      <c r="J176" s="49"/>
      <c r="K176" s="49">
        <v>266</v>
      </c>
      <c r="L176" s="49"/>
      <c r="M176" s="49"/>
      <c r="N176" s="49">
        <v>360.2</v>
      </c>
      <c r="O176" s="49"/>
      <c r="P176" s="49">
        <v>328.92</v>
      </c>
      <c r="Q176" s="49">
        <v>197</v>
      </c>
      <c r="R176" s="49"/>
      <c r="S176" s="49"/>
      <c r="T176" s="49">
        <v>237.61</v>
      </c>
      <c r="U176" s="49"/>
      <c r="V176" s="49"/>
      <c r="W176" s="49"/>
      <c r="X176" s="49"/>
      <c r="Y176" s="49"/>
    </row>
    <row r="177" spans="1:25" ht="14.25" customHeight="1">
      <c r="A177" s="12" t="s">
        <v>291</v>
      </c>
      <c r="B177" s="8" t="s">
        <v>600</v>
      </c>
      <c r="C177" s="9" t="s">
        <v>626</v>
      </c>
      <c r="D177" s="9" t="s">
        <v>607</v>
      </c>
      <c r="E177" s="49"/>
      <c r="F177" s="49"/>
      <c r="G177" s="49"/>
      <c r="H177" s="49"/>
      <c r="I177" s="49"/>
      <c r="J177" s="49"/>
      <c r="K177" s="49">
        <v>378</v>
      </c>
      <c r="L177" s="49"/>
      <c r="M177" s="49"/>
      <c r="N177" s="49">
        <v>294.36</v>
      </c>
      <c r="O177" s="49"/>
      <c r="P177" s="49">
        <v>404.3</v>
      </c>
      <c r="Q177" s="49">
        <v>241</v>
      </c>
      <c r="R177" s="49"/>
      <c r="S177" s="49"/>
      <c r="T177" s="49">
        <v>321.45999999999998</v>
      </c>
      <c r="U177" s="49"/>
      <c r="V177" s="49"/>
      <c r="W177" s="49"/>
      <c r="X177" s="49"/>
      <c r="Y177" s="49"/>
    </row>
    <row r="178" spans="1:25" ht="14.25" customHeight="1">
      <c r="A178" s="12" t="s">
        <v>292</v>
      </c>
      <c r="B178" s="8" t="s">
        <v>600</v>
      </c>
      <c r="C178" s="9" t="s">
        <v>627</v>
      </c>
      <c r="D178" s="9" t="s">
        <v>607</v>
      </c>
      <c r="E178" s="49"/>
      <c r="F178" s="49"/>
      <c r="G178" s="49"/>
      <c r="H178" s="49"/>
      <c r="I178" s="49"/>
      <c r="J178" s="49"/>
      <c r="K178" s="49">
        <v>113</v>
      </c>
      <c r="L178" s="49"/>
      <c r="M178" s="49"/>
      <c r="N178" s="49">
        <v>84.11</v>
      </c>
      <c r="O178" s="49"/>
      <c r="P178" s="49">
        <v>133.12</v>
      </c>
      <c r="Q178" s="49">
        <v>144</v>
      </c>
      <c r="R178" s="49"/>
      <c r="S178" s="49"/>
      <c r="T178" s="49">
        <v>162.80000000000001</v>
      </c>
      <c r="U178" s="49"/>
      <c r="V178" s="49"/>
      <c r="W178" s="49"/>
      <c r="X178" s="49"/>
      <c r="Y178" s="49"/>
    </row>
    <row r="179" spans="1:25" ht="14.25" customHeight="1">
      <c r="A179" s="12" t="s">
        <v>293</v>
      </c>
      <c r="B179" s="8" t="s">
        <v>600</v>
      </c>
      <c r="C179" s="9" t="s">
        <v>628</v>
      </c>
      <c r="D179" s="9" t="s">
        <v>607</v>
      </c>
      <c r="E179" s="49"/>
      <c r="F179" s="49"/>
      <c r="G179" s="49"/>
      <c r="H179" s="49"/>
      <c r="I179" s="49"/>
      <c r="J179" s="49"/>
      <c r="K179" s="49">
        <v>166</v>
      </c>
      <c r="L179" s="49"/>
      <c r="M179" s="49"/>
      <c r="N179" s="49">
        <v>160.22999999999999</v>
      </c>
      <c r="O179" s="49"/>
      <c r="P179" s="49">
        <v>186</v>
      </c>
      <c r="Q179" s="49">
        <v>197</v>
      </c>
      <c r="R179" s="49"/>
      <c r="S179" s="49"/>
      <c r="T179" s="49">
        <v>182.17</v>
      </c>
      <c r="U179" s="49"/>
      <c r="V179" s="49"/>
      <c r="W179" s="49"/>
      <c r="X179" s="49"/>
      <c r="Y179" s="49"/>
    </row>
    <row r="180" spans="1:25" ht="14.25" customHeight="1">
      <c r="A180" s="12" t="s">
        <v>294</v>
      </c>
      <c r="B180" s="8" t="s">
        <v>600</v>
      </c>
      <c r="C180" s="9" t="s">
        <v>629</v>
      </c>
      <c r="D180" s="9" t="s">
        <v>607</v>
      </c>
      <c r="E180" s="49"/>
      <c r="F180" s="49"/>
      <c r="G180" s="49"/>
      <c r="H180" s="49"/>
      <c r="I180" s="49"/>
      <c r="J180" s="49"/>
      <c r="K180" s="49">
        <v>266</v>
      </c>
      <c r="L180" s="49"/>
      <c r="M180" s="49"/>
      <c r="N180" s="49">
        <v>96.53</v>
      </c>
      <c r="O180" s="49"/>
      <c r="P180" s="49">
        <v>164.46</v>
      </c>
      <c r="Q180" s="49">
        <v>167</v>
      </c>
      <c r="R180" s="49"/>
      <c r="S180" s="49"/>
      <c r="T180" s="49">
        <v>128.18</v>
      </c>
      <c r="U180" s="49"/>
      <c r="V180" s="49"/>
      <c r="W180" s="49"/>
      <c r="X180" s="49"/>
      <c r="Y180" s="49"/>
    </row>
    <row r="181" spans="1:25" ht="14.25" customHeight="1">
      <c r="A181" s="12" t="s">
        <v>295</v>
      </c>
      <c r="B181" s="8" t="s">
        <v>600</v>
      </c>
      <c r="C181" s="9" t="s">
        <v>630</v>
      </c>
      <c r="D181" s="9" t="s">
        <v>607</v>
      </c>
      <c r="E181" s="49"/>
      <c r="F181" s="49"/>
      <c r="G181" s="49"/>
      <c r="H181" s="49"/>
      <c r="I181" s="49"/>
      <c r="J181" s="49"/>
      <c r="K181" s="49">
        <v>99</v>
      </c>
      <c r="L181" s="49"/>
      <c r="M181" s="49"/>
      <c r="N181" s="49">
        <v>78.11</v>
      </c>
      <c r="O181" s="49"/>
      <c r="P181" s="49">
        <v>133.13</v>
      </c>
      <c r="Q181" s="49">
        <v>115</v>
      </c>
      <c r="R181" s="49"/>
      <c r="S181" s="49"/>
      <c r="T181" s="49">
        <v>138.46</v>
      </c>
      <c r="U181" s="49"/>
      <c r="V181" s="49"/>
      <c r="W181" s="49"/>
      <c r="X181" s="49"/>
      <c r="Y181" s="49"/>
    </row>
    <row r="182" spans="1:25" ht="14.25" customHeight="1">
      <c r="A182" s="12" t="s">
        <v>296</v>
      </c>
      <c r="B182" s="8" t="s">
        <v>600</v>
      </c>
      <c r="C182" s="9" t="s">
        <v>631</v>
      </c>
      <c r="D182" s="9" t="s">
        <v>607</v>
      </c>
      <c r="E182" s="49"/>
      <c r="F182" s="49"/>
      <c r="G182" s="49"/>
      <c r="H182" s="49"/>
      <c r="I182" s="49"/>
      <c r="J182" s="49"/>
      <c r="K182" s="49">
        <v>142</v>
      </c>
      <c r="L182" s="49"/>
      <c r="M182" s="49"/>
      <c r="N182" s="49">
        <v>125.63</v>
      </c>
      <c r="O182" s="49"/>
      <c r="P182" s="49">
        <v>201.66</v>
      </c>
      <c r="Q182" s="49">
        <v>144</v>
      </c>
      <c r="R182" s="49"/>
      <c r="S182" s="49"/>
      <c r="T182" s="49">
        <v>172.98</v>
      </c>
      <c r="U182" s="49"/>
      <c r="V182" s="49"/>
      <c r="W182" s="49"/>
      <c r="X182" s="49"/>
      <c r="Y182" s="49"/>
    </row>
    <row r="183" spans="1:25" ht="14.25" customHeight="1">
      <c r="A183" s="12" t="s">
        <v>297</v>
      </c>
      <c r="B183" s="8" t="s">
        <v>600</v>
      </c>
      <c r="C183" s="9" t="s">
        <v>632</v>
      </c>
      <c r="D183" s="9" t="s">
        <v>607</v>
      </c>
      <c r="E183" s="49"/>
      <c r="F183" s="49"/>
      <c r="G183" s="49"/>
      <c r="H183" s="49"/>
      <c r="I183" s="49"/>
      <c r="J183" s="49"/>
      <c r="K183" s="49">
        <v>169</v>
      </c>
      <c r="L183" s="49"/>
      <c r="M183" s="49"/>
      <c r="N183" s="49">
        <v>137.12</v>
      </c>
      <c r="O183" s="49"/>
      <c r="P183" s="49">
        <v>164.46</v>
      </c>
      <c r="Q183" s="49">
        <v>115</v>
      </c>
      <c r="R183" s="49"/>
      <c r="S183" s="49"/>
      <c r="T183" s="49">
        <v>171.18</v>
      </c>
      <c r="U183" s="49"/>
      <c r="V183" s="49"/>
      <c r="W183" s="49"/>
      <c r="X183" s="49"/>
      <c r="Y183" s="49"/>
    </row>
    <row r="184" spans="1:25" ht="14.25" customHeight="1">
      <c r="A184" s="12" t="s">
        <v>298</v>
      </c>
      <c r="B184" s="8" t="s">
        <v>600</v>
      </c>
      <c r="C184" s="9" t="s">
        <v>633</v>
      </c>
      <c r="D184" s="9" t="s">
        <v>607</v>
      </c>
      <c r="E184" s="49"/>
      <c r="F184" s="49"/>
      <c r="G184" s="49"/>
      <c r="H184" s="49"/>
      <c r="I184" s="49"/>
      <c r="J184" s="49"/>
      <c r="K184" s="49">
        <v>118</v>
      </c>
      <c r="L184" s="49"/>
      <c r="M184" s="49"/>
      <c r="N184" s="49">
        <v>132.47</v>
      </c>
      <c r="O184" s="49"/>
      <c r="P184" s="49">
        <v>201.66</v>
      </c>
      <c r="Q184" s="49">
        <v>197</v>
      </c>
      <c r="R184" s="49"/>
      <c r="S184" s="49"/>
      <c r="T184" s="49">
        <v>118.41</v>
      </c>
      <c r="U184" s="49"/>
      <c r="V184" s="49"/>
      <c r="W184" s="49"/>
      <c r="X184" s="49"/>
      <c r="Y184" s="49"/>
    </row>
    <row r="185" spans="1:25" ht="14.25" customHeight="1">
      <c r="A185" s="12"/>
      <c r="B185" s="8"/>
      <c r="C185" s="9"/>
      <c r="D185" s="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spans="1:25" ht="14.25" customHeight="1">
      <c r="A186" s="12" t="s">
        <v>299</v>
      </c>
      <c r="B186" s="8" t="s">
        <v>601</v>
      </c>
      <c r="C186" s="9" t="s">
        <v>623</v>
      </c>
      <c r="D186" s="9" t="s">
        <v>607</v>
      </c>
      <c r="E186" s="49">
        <v>365.03</v>
      </c>
      <c r="F186" s="49"/>
      <c r="G186" s="49"/>
      <c r="H186" s="49"/>
      <c r="I186" s="49">
        <v>142.59</v>
      </c>
      <c r="J186" s="49">
        <v>184</v>
      </c>
      <c r="K186" s="49"/>
      <c r="L186" s="49">
        <v>127.67</v>
      </c>
      <c r="M186" s="49">
        <v>219</v>
      </c>
      <c r="N186" s="49">
        <v>152.12</v>
      </c>
      <c r="O186" s="49">
        <v>183.36</v>
      </c>
      <c r="P186" s="49"/>
      <c r="Q186" s="49">
        <v>241</v>
      </c>
      <c r="R186" s="49">
        <v>153.83000000000001</v>
      </c>
      <c r="S186" s="49">
        <v>170</v>
      </c>
      <c r="T186" s="49"/>
      <c r="U186" s="49"/>
      <c r="V186" s="49"/>
      <c r="W186" s="49"/>
      <c r="X186" s="49"/>
      <c r="Y186" s="49"/>
    </row>
    <row r="187" spans="1:25" ht="14.25" customHeight="1">
      <c r="A187" s="12" t="s">
        <v>300</v>
      </c>
      <c r="B187" s="8" t="s">
        <v>601</v>
      </c>
      <c r="C187" s="9" t="s">
        <v>624</v>
      </c>
      <c r="D187" s="9" t="s">
        <v>607</v>
      </c>
      <c r="E187" s="49">
        <v>216.62</v>
      </c>
      <c r="F187" s="49"/>
      <c r="G187" s="49"/>
      <c r="H187" s="49"/>
      <c r="I187" s="49">
        <v>89.12</v>
      </c>
      <c r="J187" s="49">
        <v>110</v>
      </c>
      <c r="K187" s="49"/>
      <c r="L187" s="49">
        <v>139.12</v>
      </c>
      <c r="M187" s="49">
        <v>184</v>
      </c>
      <c r="N187" s="49">
        <v>427.75</v>
      </c>
      <c r="O187" s="49">
        <v>127.11</v>
      </c>
      <c r="P187" s="49"/>
      <c r="Q187" s="49">
        <v>167</v>
      </c>
      <c r="R187" s="49">
        <v>153.83000000000001</v>
      </c>
      <c r="S187" s="49">
        <v>180</v>
      </c>
      <c r="T187" s="49"/>
      <c r="U187" s="49"/>
      <c r="V187" s="49"/>
      <c r="W187" s="49"/>
      <c r="X187" s="49"/>
      <c r="Y187" s="49"/>
    </row>
    <row r="188" spans="1:25" ht="14.25" customHeight="1">
      <c r="A188" s="12" t="s">
        <v>301</v>
      </c>
      <c r="B188" s="8" t="s">
        <v>601</v>
      </c>
      <c r="C188" s="9" t="s">
        <v>625</v>
      </c>
      <c r="D188" s="9" t="s">
        <v>607</v>
      </c>
      <c r="E188" s="49">
        <v>331.1</v>
      </c>
      <c r="F188" s="49"/>
      <c r="G188" s="49"/>
      <c r="H188" s="49"/>
      <c r="I188" s="49">
        <v>103.97</v>
      </c>
      <c r="J188" s="49">
        <v>124</v>
      </c>
      <c r="K188" s="49"/>
      <c r="L188" s="49">
        <v>152.5</v>
      </c>
      <c r="M188" s="49">
        <v>219</v>
      </c>
      <c r="N188" s="49">
        <v>360.2</v>
      </c>
      <c r="O188" s="49">
        <v>146.47</v>
      </c>
      <c r="P188" s="49"/>
      <c r="Q188" s="49">
        <v>197</v>
      </c>
      <c r="R188" s="49">
        <v>159.13999999999999</v>
      </c>
      <c r="S188" s="49">
        <v>214</v>
      </c>
      <c r="T188" s="49"/>
      <c r="U188" s="49"/>
      <c r="V188" s="49"/>
      <c r="W188" s="49"/>
      <c r="X188" s="49"/>
      <c r="Y188" s="49"/>
    </row>
    <row r="189" spans="1:25" ht="14.25" customHeight="1">
      <c r="A189" s="12" t="s">
        <v>302</v>
      </c>
      <c r="B189" s="8" t="s">
        <v>601</v>
      </c>
      <c r="C189" s="9" t="s">
        <v>626</v>
      </c>
      <c r="D189" s="9" t="s">
        <v>607</v>
      </c>
      <c r="E189" s="49">
        <v>380.69</v>
      </c>
      <c r="F189" s="49"/>
      <c r="G189" s="49"/>
      <c r="H189" s="49"/>
      <c r="I189" s="49">
        <v>124.76</v>
      </c>
      <c r="J189" s="49">
        <v>140</v>
      </c>
      <c r="K189" s="49"/>
      <c r="L189" s="49">
        <v>198.84</v>
      </c>
      <c r="M189" s="49">
        <v>273</v>
      </c>
      <c r="N189" s="49">
        <v>294.36</v>
      </c>
      <c r="O189" s="49">
        <v>186.45</v>
      </c>
      <c r="P189" s="49"/>
      <c r="Q189" s="49">
        <v>241</v>
      </c>
      <c r="R189" s="49">
        <v>169.75</v>
      </c>
      <c r="S189" s="49">
        <v>239</v>
      </c>
      <c r="T189" s="49"/>
      <c r="U189" s="49"/>
      <c r="V189" s="49"/>
      <c r="W189" s="49"/>
      <c r="X189" s="49"/>
      <c r="Y189" s="49"/>
    </row>
    <row r="190" spans="1:25" ht="14.25" customHeight="1">
      <c r="A190" s="12" t="s">
        <v>303</v>
      </c>
      <c r="B190" s="8" t="s">
        <v>601</v>
      </c>
      <c r="C190" s="9" t="s">
        <v>627</v>
      </c>
      <c r="D190" s="9" t="s">
        <v>607</v>
      </c>
      <c r="E190" s="49">
        <v>172.04</v>
      </c>
      <c r="F190" s="49"/>
      <c r="G190" s="49"/>
      <c r="H190" s="49"/>
      <c r="I190" s="49">
        <v>95.06</v>
      </c>
      <c r="J190" s="49">
        <v>111</v>
      </c>
      <c r="K190" s="49"/>
      <c r="L190" s="49">
        <v>76.64</v>
      </c>
      <c r="M190" s="49">
        <v>126</v>
      </c>
      <c r="N190" s="49">
        <v>84.11</v>
      </c>
      <c r="O190" s="49">
        <v>123.89</v>
      </c>
      <c r="P190" s="49"/>
      <c r="Q190" s="49">
        <v>144</v>
      </c>
      <c r="R190" s="49">
        <v>81</v>
      </c>
      <c r="S190" s="49">
        <v>81</v>
      </c>
      <c r="T190" s="49"/>
      <c r="U190" s="49"/>
      <c r="V190" s="49"/>
      <c r="W190" s="49"/>
      <c r="X190" s="49"/>
      <c r="Y190" s="49"/>
    </row>
    <row r="191" spans="1:25" ht="14.25" customHeight="1">
      <c r="A191" s="12" t="s">
        <v>304</v>
      </c>
      <c r="B191" s="8" t="s">
        <v>601</v>
      </c>
      <c r="C191" s="9" t="s">
        <v>628</v>
      </c>
      <c r="D191" s="9" t="s">
        <v>607</v>
      </c>
      <c r="E191" s="49">
        <v>285.97000000000003</v>
      </c>
      <c r="F191" s="49"/>
      <c r="G191" s="49"/>
      <c r="H191" s="49"/>
      <c r="I191" s="49">
        <v>124.76</v>
      </c>
      <c r="J191" s="49">
        <v>163</v>
      </c>
      <c r="K191" s="49"/>
      <c r="L191" s="49">
        <v>198.84</v>
      </c>
      <c r="M191" s="49">
        <v>219</v>
      </c>
      <c r="N191" s="49">
        <v>160.22999999999999</v>
      </c>
      <c r="O191" s="49">
        <v>221.79</v>
      </c>
      <c r="P191" s="49"/>
      <c r="Q191" s="49">
        <v>197</v>
      </c>
      <c r="R191" s="49">
        <v>148.53</v>
      </c>
      <c r="S191" s="49">
        <v>217</v>
      </c>
      <c r="T191" s="49"/>
      <c r="U191" s="49"/>
      <c r="V191" s="49"/>
      <c r="W191" s="49"/>
      <c r="X191" s="49"/>
      <c r="Y191" s="49"/>
    </row>
    <row r="192" spans="1:25" ht="14.25" customHeight="1">
      <c r="A192" s="12" t="s">
        <v>305</v>
      </c>
      <c r="B192" s="8" t="s">
        <v>601</v>
      </c>
      <c r="C192" s="9" t="s">
        <v>629</v>
      </c>
      <c r="D192" s="9" t="s">
        <v>607</v>
      </c>
      <c r="E192" s="49">
        <v>216.62</v>
      </c>
      <c r="F192" s="49"/>
      <c r="G192" s="49"/>
      <c r="H192" s="49"/>
      <c r="I192" s="49">
        <v>112.88</v>
      </c>
      <c r="J192" s="49">
        <v>97</v>
      </c>
      <c r="K192" s="49"/>
      <c r="L192" s="49">
        <v>76.64</v>
      </c>
      <c r="M192" s="49">
        <v>184</v>
      </c>
      <c r="N192" s="49">
        <v>96.53</v>
      </c>
      <c r="O192" s="49">
        <v>146.47</v>
      </c>
      <c r="P192" s="49"/>
      <c r="Q192" s="49">
        <v>167</v>
      </c>
      <c r="R192" s="49">
        <v>127.31</v>
      </c>
      <c r="S192" s="49">
        <v>173</v>
      </c>
      <c r="T192" s="49"/>
      <c r="U192" s="49"/>
      <c r="V192" s="49"/>
      <c r="W192" s="49"/>
      <c r="X192" s="49"/>
      <c r="Y192" s="49"/>
    </row>
    <row r="193" spans="1:25" ht="14.25" customHeight="1">
      <c r="A193" s="12" t="s">
        <v>306</v>
      </c>
      <c r="B193" s="8" t="s">
        <v>601</v>
      </c>
      <c r="C193" s="9" t="s">
        <v>630</v>
      </c>
      <c r="D193" s="9" t="s">
        <v>607</v>
      </c>
      <c r="E193" s="49">
        <v>114.68</v>
      </c>
      <c r="F193" s="49"/>
      <c r="G193" s="49"/>
      <c r="H193" s="49"/>
      <c r="I193" s="49">
        <v>95.06</v>
      </c>
      <c r="J193" s="49">
        <v>97</v>
      </c>
      <c r="K193" s="49"/>
      <c r="L193" s="49">
        <v>59.95</v>
      </c>
      <c r="M193" s="49">
        <v>110</v>
      </c>
      <c r="N193" s="49">
        <v>78.11</v>
      </c>
      <c r="O193" s="49">
        <v>146.47</v>
      </c>
      <c r="P193" s="49"/>
      <c r="Q193" s="49">
        <v>115</v>
      </c>
      <c r="R193" s="49">
        <v>101</v>
      </c>
      <c r="S193" s="49">
        <v>101</v>
      </c>
      <c r="T193" s="49"/>
      <c r="U193" s="49"/>
      <c r="V193" s="49"/>
      <c r="W193" s="49"/>
      <c r="X193" s="49"/>
      <c r="Y193" s="49"/>
    </row>
    <row r="194" spans="1:25" ht="14.25" customHeight="1">
      <c r="A194" s="12" t="s">
        <v>307</v>
      </c>
      <c r="B194" s="8" t="s">
        <v>601</v>
      </c>
      <c r="C194" s="9" t="s">
        <v>631</v>
      </c>
      <c r="D194" s="9" t="s">
        <v>607</v>
      </c>
      <c r="E194" s="49">
        <v>285.97000000000003</v>
      </c>
      <c r="F194" s="49"/>
      <c r="G194" s="49"/>
      <c r="H194" s="49"/>
      <c r="I194" s="49">
        <v>124.76</v>
      </c>
      <c r="J194" s="49">
        <v>139</v>
      </c>
      <c r="K194" s="49"/>
      <c r="L194" s="49">
        <v>139.12</v>
      </c>
      <c r="M194" s="49">
        <v>184</v>
      </c>
      <c r="N194" s="49">
        <v>125.63</v>
      </c>
      <c r="O194" s="49">
        <v>134.13999999999999</v>
      </c>
      <c r="P194" s="49"/>
      <c r="Q194" s="49">
        <v>144</v>
      </c>
      <c r="R194" s="49">
        <v>239</v>
      </c>
      <c r="S194" s="49">
        <v>239</v>
      </c>
      <c r="T194" s="49"/>
      <c r="U194" s="49"/>
      <c r="V194" s="49"/>
      <c r="W194" s="49"/>
      <c r="X194" s="49"/>
      <c r="Y194" s="49"/>
    </row>
    <row r="195" spans="1:25" ht="14.25" customHeight="1">
      <c r="A195" s="12" t="s">
        <v>308</v>
      </c>
      <c r="B195" s="8" t="s">
        <v>601</v>
      </c>
      <c r="C195" s="9" t="s">
        <v>632</v>
      </c>
      <c r="D195" s="9" t="s">
        <v>607</v>
      </c>
      <c r="E195" s="49">
        <v>224.05</v>
      </c>
      <c r="F195" s="49"/>
      <c r="G195" s="49"/>
      <c r="H195" s="49"/>
      <c r="I195" s="49">
        <v>124.76</v>
      </c>
      <c r="J195" s="49">
        <v>166</v>
      </c>
      <c r="K195" s="49"/>
      <c r="L195" s="49">
        <v>89.92</v>
      </c>
      <c r="M195" s="49">
        <v>144</v>
      </c>
      <c r="N195" s="49">
        <v>137.12</v>
      </c>
      <c r="O195" s="49">
        <v>134.13999999999999</v>
      </c>
      <c r="P195" s="49"/>
      <c r="Q195" s="49">
        <v>115</v>
      </c>
      <c r="R195" s="49">
        <v>149</v>
      </c>
      <c r="S195" s="49">
        <v>149</v>
      </c>
      <c r="T195" s="49"/>
      <c r="U195" s="49"/>
      <c r="V195" s="49"/>
      <c r="W195" s="49"/>
      <c r="X195" s="49"/>
      <c r="Y195" s="49"/>
    </row>
    <row r="196" spans="1:25" ht="14.25" customHeight="1">
      <c r="A196" s="12" t="s">
        <v>309</v>
      </c>
      <c r="B196" s="8" t="s">
        <v>601</v>
      </c>
      <c r="C196" s="9" t="s">
        <v>633</v>
      </c>
      <c r="D196" s="9" t="s">
        <v>607</v>
      </c>
      <c r="E196" s="49">
        <v>246.23</v>
      </c>
      <c r="F196" s="49"/>
      <c r="G196" s="49"/>
      <c r="H196" s="49"/>
      <c r="I196" s="49">
        <v>109.91</v>
      </c>
      <c r="J196" s="49">
        <v>116</v>
      </c>
      <c r="K196" s="49"/>
      <c r="L196" s="49">
        <v>135.09</v>
      </c>
      <c r="M196" s="49">
        <v>327</v>
      </c>
      <c r="N196" s="49">
        <v>132.47</v>
      </c>
      <c r="O196" s="49">
        <v>123.89</v>
      </c>
      <c r="P196" s="49"/>
      <c r="Q196" s="49">
        <v>197</v>
      </c>
      <c r="R196" s="49">
        <v>149.53</v>
      </c>
      <c r="S196" s="49">
        <v>128</v>
      </c>
      <c r="T196" s="49"/>
      <c r="U196" s="49"/>
      <c r="V196" s="49"/>
      <c r="W196" s="49"/>
      <c r="X196" s="49"/>
      <c r="Y196" s="49"/>
    </row>
    <row r="199" spans="1:25">
      <c r="A199" s="13"/>
      <c r="C199" s="10"/>
      <c r="D199" s="10"/>
    </row>
  </sheetData>
  <autoFilter ref="A1:Y196">
    <filterColumn colId="0"/>
    <filterColumn colId="1"/>
  </autoFilter>
  <phoneticPr fontId="8" type="noConversion"/>
  <conditionalFormatting sqref="G83:X89">
    <cfRule type="cellIs" dxfId="25" priority="12" stopIfTrue="1" operator="notBetween">
      <formula>#REF!</formula>
      <formula>#REF!</formula>
    </cfRule>
    <cfRule type="cellIs" dxfId="24" priority="13" stopIfTrue="1" operator="notBetween">
      <formula>#REF!</formula>
      <formula>#REF!</formula>
    </cfRule>
  </conditionalFormatting>
  <conditionalFormatting sqref="E2:Y196">
    <cfRule type="cellIs" dxfId="23" priority="9" stopIfTrue="1" operator="notBetween">
      <formula>#REF!</formula>
      <formula>#REF!</formula>
    </cfRule>
    <cfRule type="cellIs" dxfId="22" priority="10" stopIfTrue="1" operator="notBetween">
      <formula>#REF!</formula>
      <formula>#REF!</formula>
    </cfRule>
    <cfRule type="cellIs" dxfId="21" priority="11" stopIfTrue="1" operator="greaterThan">
      <formula>#REF!</formula>
    </cfRule>
  </conditionalFormatting>
  <conditionalFormatting sqref="M67:M71">
    <cfRule type="cellIs" dxfId="20" priority="6" stopIfTrue="1" operator="notBetween">
      <formula>#REF!</formula>
      <formula>#REF!</formula>
    </cfRule>
    <cfRule type="cellIs" dxfId="19" priority="7" stopIfTrue="1" operator="notBetween">
      <formula>#REF!</formula>
      <formula>#REF!</formula>
    </cfRule>
    <cfRule type="cellIs" dxfId="18" priority="8" stopIfTrue="1" operator="greaterThan">
      <formula>#REF!</formula>
    </cfRule>
  </conditionalFormatting>
  <conditionalFormatting sqref="Y83:Y89">
    <cfRule type="cellIs" dxfId="17" priority="4" stopIfTrue="1" operator="notBetween">
      <formula>#REF!</formula>
      <formula>#REF!</formula>
    </cfRule>
    <cfRule type="cellIs" dxfId="16" priority="5" stopIfTrue="1" operator="notBetween">
      <formula>#REF!</formula>
      <formula>#REF!</formula>
    </cfRule>
  </conditionalFormatting>
  <conditionalFormatting sqref="Y91:Y94 Y96:Y98 Y3:Y5 Y7:Y10 Y12:Y21 Y23:Y26 Y28:Y31 Y34:Y37 Y39:Y47 Y50:Y53 Y55:Y57 Y59:Y65 Y67:Y73 Y75:Y81 Y101:Y196">
    <cfRule type="cellIs" dxfId="15" priority="1" stopIfTrue="1" operator="notBetween">
      <formula>#REF!</formula>
      <formula>#REF!</formula>
    </cfRule>
    <cfRule type="cellIs" dxfId="14" priority="2" stopIfTrue="1" operator="notBetween">
      <formula>#REF!</formula>
      <formula>#REF!</formula>
    </cfRule>
    <cfRule type="cellIs" dxfId="13" priority="3" stopIfTrue="1" operator="greaterThan">
      <formula>#REF!</formula>
    </cfRule>
  </conditionalFormatting>
  <pageMargins left="0.37" right="0.38" top="0.79" bottom="0.41" header="0.36" footer="0.16"/>
  <pageSetup scale="50" orientation="portrait" r:id="rId1"/>
  <headerFooter alignWithMargins="0">
    <oddHeader>&amp;C&amp;"Arial,Bold"GSA EaaS BPA Pricing
Revision 1&amp;R&amp;G</oddHeader>
    <oddFooter>&amp;RNov 2012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5" enableFormatConditionsCalculation="0">
    <tabColor theme="5" tint="0.59999389629810485"/>
  </sheetPr>
  <dimension ref="A1:Y199"/>
  <sheetViews>
    <sheetView zoomScaleNormal="100" zoomScalePageLayoutView="85" workbookViewId="0">
      <pane xSplit="3" ySplit="1" topLeftCell="H2" activePane="bottomRight" state="frozen"/>
      <selection activeCell="E2" sqref="E2:Y196"/>
      <selection pane="topRight" activeCell="E2" sqref="E2:Y196"/>
      <selection pane="bottomLeft" activeCell="E2" sqref="E2:Y196"/>
      <selection pane="bottomRight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852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310</v>
      </c>
      <c r="B2" s="8" t="s">
        <v>598</v>
      </c>
      <c r="C2" s="9" t="s">
        <v>610</v>
      </c>
      <c r="D2" s="9" t="s">
        <v>603</v>
      </c>
      <c r="E2" s="49">
        <v>4.25</v>
      </c>
      <c r="F2" s="49"/>
      <c r="G2" s="49">
        <v>20.48</v>
      </c>
      <c r="H2" s="49">
        <v>7.83</v>
      </c>
      <c r="I2" s="49">
        <v>11.61</v>
      </c>
      <c r="J2" s="49">
        <v>3.74</v>
      </c>
      <c r="K2" s="49"/>
      <c r="L2" s="49"/>
      <c r="M2" s="49">
        <v>4.16</v>
      </c>
      <c r="N2" s="49">
        <v>5.64</v>
      </c>
      <c r="O2" s="49">
        <v>10.79</v>
      </c>
      <c r="P2" s="49">
        <v>22.61</v>
      </c>
      <c r="Q2" s="49">
        <v>10.53</v>
      </c>
      <c r="R2" s="49">
        <v>3.85</v>
      </c>
      <c r="S2" s="49">
        <v>4.04</v>
      </c>
      <c r="T2" s="49">
        <v>33.74</v>
      </c>
      <c r="U2" s="49">
        <v>4.25</v>
      </c>
      <c r="V2" s="49"/>
      <c r="W2" s="49">
        <v>7.79</v>
      </c>
      <c r="X2" s="49"/>
      <c r="Y2" s="49">
        <v>4.75</v>
      </c>
    </row>
    <row r="3" spans="1:25" s="7" customFormat="1" ht="15" customHeight="1">
      <c r="A3" s="12" t="s">
        <v>311</v>
      </c>
      <c r="B3" s="8" t="s">
        <v>598</v>
      </c>
      <c r="C3" s="9" t="s">
        <v>611</v>
      </c>
      <c r="D3" s="9" t="s">
        <v>603</v>
      </c>
      <c r="E3" s="49">
        <v>4.25</v>
      </c>
      <c r="F3" s="49"/>
      <c r="G3" s="49">
        <v>18.43</v>
      </c>
      <c r="H3" s="49">
        <v>7.34</v>
      </c>
      <c r="I3" s="49">
        <v>10.97</v>
      </c>
      <c r="J3" s="49">
        <v>3.72</v>
      </c>
      <c r="K3" s="49"/>
      <c r="L3" s="49"/>
      <c r="M3" s="49">
        <v>4.16</v>
      </c>
      <c r="N3" s="49">
        <v>5.48</v>
      </c>
      <c r="O3" s="49">
        <v>9.4700000000000006</v>
      </c>
      <c r="P3" s="49">
        <v>14.39</v>
      </c>
      <c r="Q3" s="49">
        <v>6.67</v>
      </c>
      <c r="R3" s="49">
        <v>3.85</v>
      </c>
      <c r="S3" s="49">
        <v>4</v>
      </c>
      <c r="T3" s="49">
        <v>24.29</v>
      </c>
      <c r="U3" s="49">
        <v>4.25</v>
      </c>
      <c r="V3" s="49"/>
      <c r="W3" s="49">
        <v>7.79</v>
      </c>
      <c r="X3" s="49"/>
      <c r="Y3" s="49">
        <v>4.75</v>
      </c>
    </row>
    <row r="4" spans="1:25" s="7" customFormat="1" ht="15" customHeight="1">
      <c r="A4" s="12" t="s">
        <v>312</v>
      </c>
      <c r="B4" s="8" t="s">
        <v>598</v>
      </c>
      <c r="C4" s="9" t="s">
        <v>612</v>
      </c>
      <c r="D4" s="9" t="s">
        <v>603</v>
      </c>
      <c r="E4" s="49">
        <v>4.25</v>
      </c>
      <c r="F4" s="49"/>
      <c r="G4" s="49">
        <v>16.38</v>
      </c>
      <c r="H4" s="49">
        <v>6.48</v>
      </c>
      <c r="I4" s="49">
        <v>10.7</v>
      </c>
      <c r="J4" s="49">
        <v>3.68</v>
      </c>
      <c r="K4" s="49"/>
      <c r="L4" s="49"/>
      <c r="M4" s="49">
        <v>4.16</v>
      </c>
      <c r="N4" s="49">
        <v>4.97</v>
      </c>
      <c r="O4" s="49">
        <v>9.0299999999999994</v>
      </c>
      <c r="P4" s="49">
        <v>11.3</v>
      </c>
      <c r="Q4" s="49">
        <v>6.02</v>
      </c>
      <c r="R4" s="49">
        <v>3.85</v>
      </c>
      <c r="S4" s="49">
        <v>3.97</v>
      </c>
      <c r="T4" s="49">
        <v>17.579999999999998</v>
      </c>
      <c r="U4" s="49">
        <v>4.25</v>
      </c>
      <c r="V4" s="49"/>
      <c r="W4" s="49">
        <v>7.79</v>
      </c>
      <c r="X4" s="49"/>
      <c r="Y4" s="49">
        <v>4.75</v>
      </c>
    </row>
    <row r="5" spans="1:25" s="7" customFormat="1" ht="15" customHeight="1">
      <c r="A5" s="12" t="s">
        <v>313</v>
      </c>
      <c r="B5" s="8" t="s">
        <v>598</v>
      </c>
      <c r="C5" s="9" t="s">
        <v>677</v>
      </c>
      <c r="D5" s="9" t="s">
        <v>604</v>
      </c>
      <c r="E5" s="49">
        <v>0</v>
      </c>
      <c r="F5" s="49"/>
      <c r="G5" s="49">
        <v>3.6</v>
      </c>
      <c r="H5" s="49">
        <v>0.78</v>
      </c>
      <c r="I5" s="49">
        <v>1.6</v>
      </c>
      <c r="J5" s="49">
        <v>0</v>
      </c>
      <c r="K5" s="49"/>
      <c r="L5" s="49"/>
      <c r="M5" s="49"/>
      <c r="N5" s="49">
        <v>0.36</v>
      </c>
      <c r="O5" s="49">
        <v>0.63</v>
      </c>
      <c r="P5" s="49">
        <v>1.5</v>
      </c>
      <c r="Q5" s="49">
        <v>0.65</v>
      </c>
      <c r="R5" s="49"/>
      <c r="S5" s="49"/>
      <c r="T5" s="49">
        <v>0.52</v>
      </c>
      <c r="U5" s="49"/>
      <c r="V5" s="49"/>
      <c r="W5" s="49"/>
      <c r="X5" s="49"/>
      <c r="Y5" s="49">
        <v>0</v>
      </c>
    </row>
    <row r="6" spans="1:25" s="7" customFormat="1" ht="15" customHeight="1">
      <c r="A6" s="12" t="s">
        <v>314</v>
      </c>
      <c r="B6" s="8" t="s">
        <v>598</v>
      </c>
      <c r="C6" s="9" t="s">
        <v>678</v>
      </c>
      <c r="D6" s="9" t="s">
        <v>604</v>
      </c>
      <c r="E6" s="49">
        <v>0</v>
      </c>
      <c r="F6" s="49"/>
      <c r="G6" s="49">
        <v>3.24</v>
      </c>
      <c r="H6" s="49">
        <v>0.78</v>
      </c>
      <c r="I6" s="49">
        <v>1.4</v>
      </c>
      <c r="J6" s="49">
        <v>0</v>
      </c>
      <c r="K6" s="49"/>
      <c r="L6" s="49"/>
      <c r="M6" s="49"/>
      <c r="N6" s="49">
        <v>0.14000000000000001</v>
      </c>
      <c r="O6" s="49">
        <v>0.55000000000000004</v>
      </c>
      <c r="P6" s="49">
        <v>1.5</v>
      </c>
      <c r="Q6" s="49">
        <v>0.65</v>
      </c>
      <c r="R6" s="49"/>
      <c r="S6" s="49"/>
      <c r="T6" s="49">
        <v>0.32</v>
      </c>
      <c r="U6" s="49"/>
      <c r="V6" s="49"/>
      <c r="W6" s="49"/>
      <c r="X6" s="49"/>
      <c r="Y6" s="49">
        <v>0</v>
      </c>
    </row>
    <row r="7" spans="1:25" s="7" customFormat="1" ht="15" customHeight="1">
      <c r="A7" s="12" t="s">
        <v>315</v>
      </c>
      <c r="B7" s="8" t="s">
        <v>598</v>
      </c>
      <c r="C7" s="9" t="s">
        <v>679</v>
      </c>
      <c r="D7" s="9" t="s">
        <v>604</v>
      </c>
      <c r="E7" s="49">
        <v>0</v>
      </c>
      <c r="F7" s="49"/>
      <c r="G7" s="49">
        <v>2.88</v>
      </c>
      <c r="H7" s="49">
        <v>0.78</v>
      </c>
      <c r="I7" s="49">
        <v>1.33</v>
      </c>
      <c r="J7" s="49">
        <v>0</v>
      </c>
      <c r="K7" s="49"/>
      <c r="L7" s="49"/>
      <c r="M7" s="49"/>
      <c r="N7" s="49">
        <v>0.13</v>
      </c>
      <c r="O7" s="49">
        <v>0.43</v>
      </c>
      <c r="P7" s="49">
        <v>1.5</v>
      </c>
      <c r="Q7" s="49">
        <v>0.65</v>
      </c>
      <c r="R7" s="49"/>
      <c r="S7" s="49"/>
      <c r="T7" s="49">
        <v>0.27</v>
      </c>
      <c r="U7" s="49"/>
      <c r="V7" s="49"/>
      <c r="W7" s="49"/>
      <c r="X7" s="49"/>
      <c r="Y7" s="49">
        <v>0</v>
      </c>
    </row>
    <row r="8" spans="1:25" s="7" customFormat="1" ht="15" customHeight="1">
      <c r="A8" s="12" t="s">
        <v>316</v>
      </c>
      <c r="B8" s="8" t="s">
        <v>598</v>
      </c>
      <c r="C8" s="9" t="s">
        <v>613</v>
      </c>
      <c r="D8" s="9" t="s">
        <v>603</v>
      </c>
      <c r="E8" s="49">
        <v>1.6</v>
      </c>
      <c r="F8" s="49"/>
      <c r="G8" s="49">
        <v>18.899999999999999</v>
      </c>
      <c r="H8" s="49">
        <v>3.46</v>
      </c>
      <c r="I8" s="49">
        <v>7.74</v>
      </c>
      <c r="J8" s="49">
        <v>1.85</v>
      </c>
      <c r="K8" s="49"/>
      <c r="L8" s="49"/>
      <c r="M8" s="49">
        <v>1.56</v>
      </c>
      <c r="N8" s="49">
        <v>13.97</v>
      </c>
      <c r="O8" s="49">
        <v>2.78</v>
      </c>
      <c r="P8" s="49">
        <v>23.6</v>
      </c>
      <c r="Q8" s="49">
        <v>1.23</v>
      </c>
      <c r="R8" s="49">
        <v>1.91</v>
      </c>
      <c r="S8" s="49">
        <v>2.0099999999999998</v>
      </c>
      <c r="T8" s="49">
        <v>1.65</v>
      </c>
      <c r="U8" s="49">
        <v>1.6</v>
      </c>
      <c r="V8" s="49"/>
      <c r="W8" s="49">
        <v>0</v>
      </c>
      <c r="X8" s="49"/>
      <c r="Y8" s="49">
        <v>0.79</v>
      </c>
    </row>
    <row r="9" spans="1:25" s="7" customFormat="1" ht="15" customHeight="1">
      <c r="A9" s="12" t="s">
        <v>317</v>
      </c>
      <c r="B9" s="8" t="s">
        <v>598</v>
      </c>
      <c r="C9" s="9" t="s">
        <v>614</v>
      </c>
      <c r="D9" s="9" t="s">
        <v>603</v>
      </c>
      <c r="E9" s="49">
        <v>1.6</v>
      </c>
      <c r="F9" s="49"/>
      <c r="G9" s="49">
        <v>17.55</v>
      </c>
      <c r="H9" s="49">
        <v>3.25</v>
      </c>
      <c r="I9" s="49">
        <v>7.01</v>
      </c>
      <c r="J9" s="49">
        <v>1.84</v>
      </c>
      <c r="K9" s="49"/>
      <c r="L9" s="49"/>
      <c r="M9" s="49">
        <v>1.56</v>
      </c>
      <c r="N9" s="49">
        <v>6.11</v>
      </c>
      <c r="O9" s="49">
        <v>2.78</v>
      </c>
      <c r="P9" s="49">
        <v>15.3</v>
      </c>
      <c r="Q9" s="49">
        <v>1.1599999999999999</v>
      </c>
      <c r="R9" s="49">
        <v>1.91</v>
      </c>
      <c r="S9" s="49">
        <v>1.99</v>
      </c>
      <c r="T9" s="49">
        <v>1.1000000000000001</v>
      </c>
      <c r="U9" s="49">
        <v>1.6</v>
      </c>
      <c r="V9" s="49"/>
      <c r="W9" s="49">
        <v>0</v>
      </c>
      <c r="X9" s="49"/>
      <c r="Y9" s="49">
        <v>0.79</v>
      </c>
    </row>
    <row r="10" spans="1:25" s="7" customFormat="1" ht="15" customHeight="1">
      <c r="A10" s="12" t="s">
        <v>318</v>
      </c>
      <c r="B10" s="8" t="s">
        <v>598</v>
      </c>
      <c r="C10" s="9" t="s">
        <v>615</v>
      </c>
      <c r="D10" s="9" t="s">
        <v>603</v>
      </c>
      <c r="E10" s="49">
        <v>1.6</v>
      </c>
      <c r="F10" s="49"/>
      <c r="G10" s="49">
        <v>16.2</v>
      </c>
      <c r="H10" s="49">
        <v>2.7</v>
      </c>
      <c r="I10" s="49">
        <v>6.66</v>
      </c>
      <c r="J10" s="49">
        <v>1.82</v>
      </c>
      <c r="K10" s="49"/>
      <c r="L10" s="49"/>
      <c r="M10" s="49">
        <v>1.56</v>
      </c>
      <c r="N10" s="49">
        <v>5.04</v>
      </c>
      <c r="O10" s="49">
        <v>2.78</v>
      </c>
      <c r="P10" s="49">
        <v>12.09</v>
      </c>
      <c r="Q10" s="49">
        <v>1.1599999999999999</v>
      </c>
      <c r="R10" s="49">
        <v>1.91</v>
      </c>
      <c r="S10" s="49">
        <v>1.97</v>
      </c>
      <c r="T10" s="49">
        <v>0.83</v>
      </c>
      <c r="U10" s="49">
        <v>1.6</v>
      </c>
      <c r="V10" s="49"/>
      <c r="W10" s="49">
        <v>0</v>
      </c>
      <c r="X10" s="49"/>
      <c r="Y10" s="49">
        <v>0.79</v>
      </c>
    </row>
    <row r="11" spans="1:25" s="7" customFormat="1" ht="15" customHeight="1">
      <c r="A11" s="12" t="s">
        <v>319</v>
      </c>
      <c r="B11" s="8" t="s">
        <v>598</v>
      </c>
      <c r="C11" s="9" t="s">
        <v>616</v>
      </c>
      <c r="D11" s="9" t="s">
        <v>604</v>
      </c>
      <c r="E11" s="49">
        <v>0</v>
      </c>
      <c r="F11" s="49"/>
      <c r="G11" s="49">
        <v>3.6</v>
      </c>
      <c r="H11" s="49">
        <v>0.62</v>
      </c>
      <c r="I11" s="49">
        <v>0</v>
      </c>
      <c r="J11" s="49">
        <v>0</v>
      </c>
      <c r="K11" s="49"/>
      <c r="L11" s="49"/>
      <c r="M11" s="49">
        <v>0</v>
      </c>
      <c r="N11" s="49">
        <v>0.36</v>
      </c>
      <c r="O11" s="49">
        <v>0.71</v>
      </c>
      <c r="P11" s="49">
        <v>1.5</v>
      </c>
      <c r="Q11" s="49">
        <v>0.65</v>
      </c>
      <c r="R11" s="49">
        <v>0</v>
      </c>
      <c r="S11" s="49"/>
      <c r="T11" s="49">
        <v>0.24</v>
      </c>
      <c r="U11" s="49">
        <v>0</v>
      </c>
      <c r="V11" s="49"/>
      <c r="W11" s="49"/>
      <c r="X11" s="49"/>
      <c r="Y11" s="49">
        <v>0</v>
      </c>
    </row>
    <row r="12" spans="1:25" s="7" customFormat="1" ht="15" customHeight="1">
      <c r="A12" s="12" t="s">
        <v>320</v>
      </c>
      <c r="B12" s="8" t="s">
        <v>598</v>
      </c>
      <c r="C12" s="9" t="s">
        <v>617</v>
      </c>
      <c r="D12" s="9" t="s">
        <v>604</v>
      </c>
      <c r="E12" s="49">
        <v>0</v>
      </c>
      <c r="F12" s="49"/>
      <c r="G12" s="49">
        <v>3.24</v>
      </c>
      <c r="H12" s="49">
        <v>0.62</v>
      </c>
      <c r="I12" s="49">
        <v>0</v>
      </c>
      <c r="J12" s="49">
        <v>0</v>
      </c>
      <c r="K12" s="49"/>
      <c r="L12" s="49"/>
      <c r="M12" s="49">
        <v>0</v>
      </c>
      <c r="N12" s="49">
        <v>0.14000000000000001</v>
      </c>
      <c r="O12" s="49">
        <v>0.65</v>
      </c>
      <c r="P12" s="49">
        <v>1.5</v>
      </c>
      <c r="Q12" s="49">
        <v>0.65</v>
      </c>
      <c r="R12" s="49">
        <v>0</v>
      </c>
      <c r="S12" s="49"/>
      <c r="T12" s="49">
        <v>0.16</v>
      </c>
      <c r="U12" s="49">
        <v>0</v>
      </c>
      <c r="V12" s="49"/>
      <c r="W12" s="49"/>
      <c r="X12" s="49"/>
      <c r="Y12" s="49">
        <v>0</v>
      </c>
    </row>
    <row r="13" spans="1:25" s="7" customFormat="1" ht="15" customHeight="1">
      <c r="A13" s="12" t="s">
        <v>321</v>
      </c>
      <c r="B13" s="8" t="s">
        <v>598</v>
      </c>
      <c r="C13" s="9" t="s">
        <v>618</v>
      </c>
      <c r="D13" s="9" t="s">
        <v>604</v>
      </c>
      <c r="E13" s="49">
        <v>0</v>
      </c>
      <c r="F13" s="49"/>
      <c r="G13" s="49">
        <v>2.88</v>
      </c>
      <c r="H13" s="49">
        <v>0.62</v>
      </c>
      <c r="I13" s="49">
        <v>0</v>
      </c>
      <c r="J13" s="49">
        <v>0</v>
      </c>
      <c r="K13" s="49"/>
      <c r="L13" s="49"/>
      <c r="M13" s="49">
        <v>0</v>
      </c>
      <c r="N13" s="49">
        <v>0.13</v>
      </c>
      <c r="O13" s="49">
        <v>0.6</v>
      </c>
      <c r="P13" s="49">
        <v>1.5</v>
      </c>
      <c r="Q13" s="49">
        <v>0.65</v>
      </c>
      <c r="R13" s="49">
        <v>0</v>
      </c>
      <c r="S13" s="49"/>
      <c r="T13" s="49">
        <v>0.11</v>
      </c>
      <c r="U13" s="49">
        <v>0</v>
      </c>
      <c r="V13" s="49"/>
      <c r="W13" s="49"/>
      <c r="X13" s="49"/>
      <c r="Y13" s="49">
        <v>0</v>
      </c>
    </row>
    <row r="14" spans="1:25" s="7" customFormat="1" ht="15" customHeight="1">
      <c r="A14" s="12" t="s">
        <v>322</v>
      </c>
      <c r="B14" s="8" t="s">
        <v>598</v>
      </c>
      <c r="C14" s="9" t="s">
        <v>674</v>
      </c>
      <c r="D14" s="9" t="s">
        <v>603</v>
      </c>
      <c r="E14" s="49">
        <v>8.31</v>
      </c>
      <c r="F14" s="49"/>
      <c r="G14" s="49">
        <v>4</v>
      </c>
      <c r="H14" s="49">
        <v>13.1</v>
      </c>
      <c r="I14" s="49">
        <v>9.07</v>
      </c>
      <c r="J14" s="49">
        <v>14.63</v>
      </c>
      <c r="K14" s="49"/>
      <c r="L14" s="49"/>
      <c r="M14" s="49">
        <v>8.19</v>
      </c>
      <c r="N14" s="49">
        <v>5.25</v>
      </c>
      <c r="O14" s="49">
        <v>5.35</v>
      </c>
      <c r="P14" s="49">
        <v>14.39</v>
      </c>
      <c r="Q14" s="49">
        <v>8.7100000000000009</v>
      </c>
      <c r="R14" s="49">
        <v>7.28</v>
      </c>
      <c r="S14" s="49">
        <v>7.13</v>
      </c>
      <c r="T14" s="49">
        <v>11.01</v>
      </c>
      <c r="U14" s="49">
        <v>8.32</v>
      </c>
      <c r="V14" s="49"/>
      <c r="W14" s="49">
        <v>32.25</v>
      </c>
      <c r="X14" s="49"/>
      <c r="Y14" s="49">
        <v>13.3</v>
      </c>
    </row>
    <row r="15" spans="1:25" s="7" customFormat="1" ht="15" customHeight="1">
      <c r="A15" s="12" t="s">
        <v>323</v>
      </c>
      <c r="B15" s="8" t="s">
        <v>598</v>
      </c>
      <c r="C15" s="9" t="s">
        <v>675</v>
      </c>
      <c r="D15" s="9" t="s">
        <v>603</v>
      </c>
      <c r="E15" s="49">
        <v>7.67</v>
      </c>
      <c r="F15" s="49"/>
      <c r="G15" s="49">
        <v>2.1</v>
      </c>
      <c r="H15" s="49">
        <v>12.28</v>
      </c>
      <c r="I15" s="49">
        <v>7.99</v>
      </c>
      <c r="J15" s="49">
        <v>14.63</v>
      </c>
      <c r="K15" s="49"/>
      <c r="L15" s="49"/>
      <c r="M15" s="49">
        <v>7.56</v>
      </c>
      <c r="N15" s="49">
        <v>5.25</v>
      </c>
      <c r="O15" s="49">
        <v>5.1100000000000003</v>
      </c>
      <c r="P15" s="49">
        <v>12.33</v>
      </c>
      <c r="Q15" s="49">
        <v>3.69</v>
      </c>
      <c r="R15" s="49">
        <v>6.68</v>
      </c>
      <c r="S15" s="49">
        <v>6.58</v>
      </c>
      <c r="T15" s="49">
        <v>9.36</v>
      </c>
      <c r="U15" s="49">
        <v>7.68</v>
      </c>
      <c r="V15" s="49"/>
      <c r="W15" s="49">
        <v>25.68</v>
      </c>
      <c r="X15" s="49"/>
      <c r="Y15" s="49">
        <v>9.74</v>
      </c>
    </row>
    <row r="16" spans="1:25" s="7" customFormat="1" ht="15" customHeight="1">
      <c r="A16" s="12" t="s">
        <v>324</v>
      </c>
      <c r="B16" s="8" t="s">
        <v>598</v>
      </c>
      <c r="C16" s="9" t="s">
        <v>676</v>
      </c>
      <c r="D16" s="9" t="s">
        <v>603</v>
      </c>
      <c r="E16" s="49">
        <v>7.04</v>
      </c>
      <c r="F16" s="49"/>
      <c r="G16" s="49">
        <v>2.1</v>
      </c>
      <c r="H16" s="49">
        <v>11.25</v>
      </c>
      <c r="I16" s="49">
        <v>6.84</v>
      </c>
      <c r="J16" s="49">
        <v>14.63</v>
      </c>
      <c r="K16" s="49"/>
      <c r="L16" s="49"/>
      <c r="M16" s="49">
        <v>6.93</v>
      </c>
      <c r="N16" s="49">
        <v>5.25</v>
      </c>
      <c r="O16" s="49">
        <v>5.1100000000000003</v>
      </c>
      <c r="P16" s="49">
        <v>11.3</v>
      </c>
      <c r="Q16" s="49">
        <v>3.05</v>
      </c>
      <c r="R16" s="49">
        <v>6.07</v>
      </c>
      <c r="S16" s="49">
        <v>6.03</v>
      </c>
      <c r="T16" s="49">
        <v>7.71</v>
      </c>
      <c r="U16" s="49">
        <v>7.04</v>
      </c>
      <c r="V16" s="49"/>
      <c r="W16" s="49">
        <v>19.260000000000002</v>
      </c>
      <c r="X16" s="49"/>
      <c r="Y16" s="49">
        <v>7.73</v>
      </c>
    </row>
    <row r="17" spans="1:25" s="7" customFormat="1" ht="15" customHeight="1">
      <c r="A17" s="12"/>
      <c r="B17" s="8"/>
      <c r="C17" s="9"/>
      <c r="D17" s="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spans="1:25" s="7" customFormat="1" ht="15" customHeight="1">
      <c r="A18" s="12" t="s">
        <v>325</v>
      </c>
      <c r="B18" s="8" t="s">
        <v>599</v>
      </c>
      <c r="C18" s="9" t="s">
        <v>610</v>
      </c>
      <c r="D18" s="9" t="s">
        <v>603</v>
      </c>
      <c r="E18" s="49"/>
      <c r="F18" s="49">
        <v>20.45</v>
      </c>
      <c r="G18" s="49">
        <v>22.76</v>
      </c>
      <c r="H18" s="49">
        <v>11.4</v>
      </c>
      <c r="I18" s="49"/>
      <c r="J18" s="49"/>
      <c r="K18" s="49">
        <v>17</v>
      </c>
      <c r="L18" s="49">
        <v>21.56</v>
      </c>
      <c r="M18" s="49"/>
      <c r="N18" s="49">
        <v>24.61</v>
      </c>
      <c r="O18" s="49">
        <v>12</v>
      </c>
      <c r="P18" s="49">
        <v>40.07</v>
      </c>
      <c r="Q18" s="49">
        <v>11.44</v>
      </c>
      <c r="R18" s="49"/>
      <c r="S18" s="49"/>
      <c r="T18" s="49">
        <v>39.04</v>
      </c>
      <c r="U18" s="49"/>
      <c r="V18" s="49">
        <v>20.8</v>
      </c>
      <c r="W18" s="49"/>
      <c r="X18" s="49">
        <v>22.1</v>
      </c>
      <c r="Y18" s="49"/>
    </row>
    <row r="19" spans="1:25" s="7" customFormat="1" ht="15" customHeight="1">
      <c r="A19" s="12" t="s">
        <v>326</v>
      </c>
      <c r="B19" s="8" t="s">
        <v>599</v>
      </c>
      <c r="C19" s="9" t="s">
        <v>611</v>
      </c>
      <c r="D19" s="9" t="s">
        <v>603</v>
      </c>
      <c r="E19" s="49"/>
      <c r="F19" s="49">
        <v>20.45</v>
      </c>
      <c r="G19" s="49">
        <v>20.49</v>
      </c>
      <c r="H19" s="49">
        <v>10.69</v>
      </c>
      <c r="I19" s="49"/>
      <c r="J19" s="49"/>
      <c r="K19" s="49">
        <v>12</v>
      </c>
      <c r="L19" s="49">
        <v>21.56</v>
      </c>
      <c r="M19" s="49"/>
      <c r="N19" s="49">
        <v>13.46</v>
      </c>
      <c r="O19" s="49">
        <v>10.68</v>
      </c>
      <c r="P19" s="49">
        <v>26.72</v>
      </c>
      <c r="Q19" s="49">
        <v>7.7</v>
      </c>
      <c r="R19" s="49"/>
      <c r="S19" s="49"/>
      <c r="T19" s="49">
        <v>25.65</v>
      </c>
      <c r="U19" s="49"/>
      <c r="V19" s="49">
        <v>20.8</v>
      </c>
      <c r="W19" s="49"/>
      <c r="X19" s="49">
        <v>22.1</v>
      </c>
      <c r="Y19" s="49"/>
    </row>
    <row r="20" spans="1:25" s="7" customFormat="1" ht="15" customHeight="1">
      <c r="A20" s="12" t="s">
        <v>327</v>
      </c>
      <c r="B20" s="8" t="s">
        <v>599</v>
      </c>
      <c r="C20" s="9" t="s">
        <v>612</v>
      </c>
      <c r="D20" s="9" t="s">
        <v>603</v>
      </c>
      <c r="E20" s="49"/>
      <c r="F20" s="49">
        <v>15.34</v>
      </c>
      <c r="G20" s="49">
        <v>16.39</v>
      </c>
      <c r="H20" s="49">
        <v>9.4600000000000009</v>
      </c>
      <c r="I20" s="49"/>
      <c r="J20" s="49"/>
      <c r="K20" s="49">
        <v>8</v>
      </c>
      <c r="L20" s="49">
        <v>16.170000000000002</v>
      </c>
      <c r="M20" s="49"/>
      <c r="N20" s="49">
        <v>7.41</v>
      </c>
      <c r="O20" s="49">
        <v>10.199999999999999</v>
      </c>
      <c r="P20" s="49">
        <v>19.52</v>
      </c>
      <c r="Q20" s="49">
        <v>6.41</v>
      </c>
      <c r="R20" s="49"/>
      <c r="S20" s="49"/>
      <c r="T20" s="49">
        <v>17.86</v>
      </c>
      <c r="U20" s="49"/>
      <c r="V20" s="49">
        <v>20.8</v>
      </c>
      <c r="W20" s="49"/>
      <c r="X20" s="49">
        <v>22.1</v>
      </c>
      <c r="Y20" s="49"/>
    </row>
    <row r="21" spans="1:25" s="7" customFormat="1" ht="15" customHeight="1">
      <c r="A21" s="12" t="s">
        <v>328</v>
      </c>
      <c r="B21" s="8" t="s">
        <v>599</v>
      </c>
      <c r="C21" s="9" t="s">
        <v>677</v>
      </c>
      <c r="D21" s="9" t="s">
        <v>604</v>
      </c>
      <c r="E21" s="49"/>
      <c r="F21" s="49"/>
      <c r="G21" s="49">
        <v>3.6</v>
      </c>
      <c r="H21" s="49">
        <v>1.1299999999999999</v>
      </c>
      <c r="I21" s="49"/>
      <c r="J21" s="49"/>
      <c r="K21" s="49">
        <v>2.25</v>
      </c>
      <c r="L21" s="49"/>
      <c r="M21" s="49"/>
      <c r="N21" s="49">
        <v>0.36</v>
      </c>
      <c r="O21" s="49">
        <v>0.78</v>
      </c>
      <c r="P21" s="49">
        <v>1.5</v>
      </c>
      <c r="Q21" s="49">
        <v>0.87</v>
      </c>
      <c r="R21" s="49"/>
      <c r="S21" s="49"/>
      <c r="T21" s="49">
        <v>0.56999999999999995</v>
      </c>
      <c r="U21" s="49"/>
      <c r="V21" s="49"/>
      <c r="W21" s="49"/>
      <c r="X21" s="49"/>
      <c r="Y21" s="49"/>
    </row>
    <row r="22" spans="1:25" s="7" customFormat="1" ht="15" customHeight="1">
      <c r="A22" s="12" t="s">
        <v>329</v>
      </c>
      <c r="B22" s="8" t="s">
        <v>599</v>
      </c>
      <c r="C22" s="9" t="s">
        <v>678</v>
      </c>
      <c r="D22" s="9" t="s">
        <v>604</v>
      </c>
      <c r="E22" s="49"/>
      <c r="F22" s="49"/>
      <c r="G22" s="49">
        <v>3.24</v>
      </c>
      <c r="H22" s="49">
        <v>1.1299999999999999</v>
      </c>
      <c r="I22" s="49"/>
      <c r="J22" s="49"/>
      <c r="K22" s="49">
        <v>1.75</v>
      </c>
      <c r="L22" s="49"/>
      <c r="M22" s="49"/>
      <c r="N22" s="49">
        <v>0.14000000000000001</v>
      </c>
      <c r="O22" s="49">
        <v>0.69</v>
      </c>
      <c r="P22" s="49">
        <v>1.5</v>
      </c>
      <c r="Q22" s="49">
        <v>0.87</v>
      </c>
      <c r="R22" s="49"/>
      <c r="S22" s="49"/>
      <c r="T22" s="49">
        <v>0.35</v>
      </c>
      <c r="U22" s="49"/>
      <c r="V22" s="49"/>
      <c r="W22" s="49"/>
      <c r="X22" s="49"/>
      <c r="Y22" s="49"/>
    </row>
    <row r="23" spans="1:25" s="7" customFormat="1" ht="15" customHeight="1">
      <c r="A23" s="12" t="s">
        <v>330</v>
      </c>
      <c r="B23" s="8" t="s">
        <v>599</v>
      </c>
      <c r="C23" s="9" t="s">
        <v>679</v>
      </c>
      <c r="D23" s="9" t="s">
        <v>604</v>
      </c>
      <c r="E23" s="49"/>
      <c r="F23" s="49"/>
      <c r="G23" s="49">
        <v>2.88</v>
      </c>
      <c r="H23" s="49">
        <v>1.1299999999999999</v>
      </c>
      <c r="I23" s="49"/>
      <c r="J23" s="49"/>
      <c r="K23" s="49">
        <v>1.25</v>
      </c>
      <c r="L23" s="49"/>
      <c r="M23" s="49"/>
      <c r="N23" s="49">
        <v>0.13</v>
      </c>
      <c r="O23" s="49">
        <v>0.53</v>
      </c>
      <c r="P23" s="49">
        <v>1.5</v>
      </c>
      <c r="Q23" s="49">
        <v>0.87</v>
      </c>
      <c r="R23" s="49"/>
      <c r="S23" s="49"/>
      <c r="T23" s="49">
        <v>0.28999999999999998</v>
      </c>
      <c r="U23" s="49"/>
      <c r="V23" s="49"/>
      <c r="W23" s="49"/>
      <c r="X23" s="49"/>
      <c r="Y23" s="49"/>
    </row>
    <row r="24" spans="1:25" s="7" customFormat="1" ht="15" customHeight="1">
      <c r="A24" s="12" t="s">
        <v>331</v>
      </c>
      <c r="B24" s="8" t="s">
        <v>599</v>
      </c>
      <c r="C24" s="9" t="s">
        <v>613</v>
      </c>
      <c r="D24" s="9" t="s">
        <v>603</v>
      </c>
      <c r="E24" s="49"/>
      <c r="F24" s="49">
        <v>8.64</v>
      </c>
      <c r="G24" s="49">
        <v>18.899999999999999</v>
      </c>
      <c r="H24" s="49">
        <v>5.05</v>
      </c>
      <c r="I24" s="49"/>
      <c r="J24" s="49"/>
      <c r="K24" s="49">
        <v>8</v>
      </c>
      <c r="L24" s="49">
        <v>8.1199999999999992</v>
      </c>
      <c r="M24" s="49"/>
      <c r="N24" s="49">
        <v>13.97</v>
      </c>
      <c r="O24" s="49">
        <v>3.34</v>
      </c>
      <c r="P24" s="49">
        <v>24.9</v>
      </c>
      <c r="Q24" s="49">
        <v>1.32</v>
      </c>
      <c r="R24" s="49"/>
      <c r="S24" s="49"/>
      <c r="T24" s="49">
        <v>3.3</v>
      </c>
      <c r="U24" s="49"/>
      <c r="V24" s="49">
        <v>8.7899999999999991</v>
      </c>
      <c r="W24" s="49"/>
      <c r="X24" s="49">
        <v>9.35</v>
      </c>
      <c r="Y24" s="49"/>
    </row>
    <row r="25" spans="1:25" s="7" customFormat="1" ht="15" customHeight="1">
      <c r="A25" s="12" t="s">
        <v>332</v>
      </c>
      <c r="B25" s="8" t="s">
        <v>599</v>
      </c>
      <c r="C25" s="9" t="s">
        <v>614</v>
      </c>
      <c r="D25" s="9" t="s">
        <v>603</v>
      </c>
      <c r="E25" s="49"/>
      <c r="F25" s="49">
        <v>8.64</v>
      </c>
      <c r="G25" s="49">
        <v>17.55</v>
      </c>
      <c r="H25" s="49">
        <v>4.7300000000000004</v>
      </c>
      <c r="I25" s="49"/>
      <c r="J25" s="49"/>
      <c r="K25" s="49">
        <v>6</v>
      </c>
      <c r="L25" s="49">
        <v>8.1199999999999992</v>
      </c>
      <c r="M25" s="49"/>
      <c r="N25" s="49">
        <v>6.11</v>
      </c>
      <c r="O25" s="49">
        <v>3.34</v>
      </c>
      <c r="P25" s="49">
        <v>15.56</v>
      </c>
      <c r="Q25" s="49">
        <v>1.23</v>
      </c>
      <c r="R25" s="49"/>
      <c r="S25" s="49"/>
      <c r="T25" s="49">
        <v>3.03</v>
      </c>
      <c r="U25" s="49"/>
      <c r="V25" s="49">
        <v>8.7899999999999991</v>
      </c>
      <c r="W25" s="49"/>
      <c r="X25" s="49">
        <v>9.35</v>
      </c>
      <c r="Y25" s="49"/>
    </row>
    <row r="26" spans="1:25" s="7" customFormat="1" ht="15" customHeight="1">
      <c r="A26" s="12" t="s">
        <v>333</v>
      </c>
      <c r="B26" s="8" t="s">
        <v>599</v>
      </c>
      <c r="C26" s="9" t="s">
        <v>615</v>
      </c>
      <c r="D26" s="9" t="s">
        <v>603</v>
      </c>
      <c r="E26" s="49"/>
      <c r="F26" s="49">
        <v>6.45</v>
      </c>
      <c r="G26" s="49">
        <v>16.2</v>
      </c>
      <c r="H26" s="49">
        <v>3.94</v>
      </c>
      <c r="I26" s="49"/>
      <c r="J26" s="49"/>
      <c r="K26" s="49">
        <v>4.5</v>
      </c>
      <c r="L26" s="49">
        <v>6.09</v>
      </c>
      <c r="M26" s="49"/>
      <c r="N26" s="49">
        <v>5.04</v>
      </c>
      <c r="O26" s="49">
        <v>3.34</v>
      </c>
      <c r="P26" s="49">
        <v>12.45</v>
      </c>
      <c r="Q26" s="49">
        <v>1.25</v>
      </c>
      <c r="R26" s="49"/>
      <c r="S26" s="49"/>
      <c r="T26" s="49">
        <v>2.75</v>
      </c>
      <c r="U26" s="49"/>
      <c r="V26" s="49">
        <v>8.7899999999999991</v>
      </c>
      <c r="W26" s="49"/>
      <c r="X26" s="49">
        <v>9.35</v>
      </c>
      <c r="Y26" s="49"/>
    </row>
    <row r="27" spans="1:25" s="7" customFormat="1" ht="15" customHeight="1">
      <c r="A27" s="12" t="s">
        <v>334</v>
      </c>
      <c r="B27" s="8" t="s">
        <v>599</v>
      </c>
      <c r="C27" s="9" t="s">
        <v>616</v>
      </c>
      <c r="D27" s="9" t="s">
        <v>604</v>
      </c>
      <c r="E27" s="49"/>
      <c r="F27" s="49"/>
      <c r="G27" s="49">
        <v>3.6</v>
      </c>
      <c r="H27" s="49">
        <v>0.91</v>
      </c>
      <c r="I27" s="49"/>
      <c r="J27" s="49"/>
      <c r="K27" s="49">
        <v>2.25</v>
      </c>
      <c r="L27" s="49"/>
      <c r="M27" s="49"/>
      <c r="N27" s="49">
        <v>0.36</v>
      </c>
      <c r="O27" s="49">
        <v>0.89</v>
      </c>
      <c r="P27" s="49">
        <v>1.5</v>
      </c>
      <c r="Q27" s="49">
        <v>0.87</v>
      </c>
      <c r="R27" s="49"/>
      <c r="S27" s="49"/>
      <c r="T27" s="49">
        <v>0.26</v>
      </c>
      <c r="U27" s="49"/>
      <c r="V27" s="49"/>
      <c r="W27" s="49"/>
      <c r="X27" s="49"/>
      <c r="Y27" s="49"/>
    </row>
    <row r="28" spans="1:25" s="7" customFormat="1" ht="15" customHeight="1">
      <c r="A28" s="12" t="s">
        <v>335</v>
      </c>
      <c r="B28" s="8" t="s">
        <v>599</v>
      </c>
      <c r="C28" s="9" t="s">
        <v>617</v>
      </c>
      <c r="D28" s="9" t="s">
        <v>604</v>
      </c>
      <c r="E28" s="49"/>
      <c r="F28" s="49"/>
      <c r="G28" s="49">
        <v>3.24</v>
      </c>
      <c r="H28" s="49">
        <v>0.91</v>
      </c>
      <c r="I28" s="49"/>
      <c r="J28" s="49"/>
      <c r="K28" s="49">
        <v>1.75</v>
      </c>
      <c r="L28" s="49"/>
      <c r="M28" s="49"/>
      <c r="N28" s="49">
        <v>0.14000000000000001</v>
      </c>
      <c r="O28" s="49">
        <v>0.81</v>
      </c>
      <c r="P28" s="49">
        <v>1.5</v>
      </c>
      <c r="Q28" s="49">
        <v>0.87</v>
      </c>
      <c r="R28" s="49"/>
      <c r="S28" s="49"/>
      <c r="T28" s="49">
        <v>0.18</v>
      </c>
      <c r="U28" s="49"/>
      <c r="V28" s="49"/>
      <c r="W28" s="49"/>
      <c r="X28" s="49"/>
      <c r="Y28" s="49"/>
    </row>
    <row r="29" spans="1:25" s="7" customFormat="1" ht="15" customHeight="1">
      <c r="A29" s="12" t="s">
        <v>336</v>
      </c>
      <c r="B29" s="8" t="s">
        <v>599</v>
      </c>
      <c r="C29" s="9" t="s">
        <v>618</v>
      </c>
      <c r="D29" s="9" t="s">
        <v>604</v>
      </c>
      <c r="E29" s="49"/>
      <c r="F29" s="49"/>
      <c r="G29" s="49">
        <v>2.88</v>
      </c>
      <c r="H29" s="49">
        <v>0.91</v>
      </c>
      <c r="I29" s="49"/>
      <c r="J29" s="49"/>
      <c r="K29" s="49">
        <v>1.25</v>
      </c>
      <c r="L29" s="49"/>
      <c r="M29" s="49"/>
      <c r="N29" s="49">
        <v>0.13</v>
      </c>
      <c r="O29" s="49">
        <v>0.74</v>
      </c>
      <c r="P29" s="49">
        <v>1.5</v>
      </c>
      <c r="Q29" s="49">
        <v>0.87</v>
      </c>
      <c r="R29" s="49"/>
      <c r="S29" s="49"/>
      <c r="T29" s="49">
        <v>0.12</v>
      </c>
      <c r="U29" s="49"/>
      <c r="V29" s="49"/>
      <c r="W29" s="49"/>
      <c r="X29" s="49"/>
      <c r="Y29" s="49"/>
    </row>
    <row r="30" spans="1:25" s="7" customFormat="1" ht="15" customHeight="1">
      <c r="A30" s="12" t="s">
        <v>337</v>
      </c>
      <c r="B30" s="8" t="s">
        <v>599</v>
      </c>
      <c r="C30" s="9" t="s">
        <v>674</v>
      </c>
      <c r="D30" s="9" t="s">
        <v>603</v>
      </c>
      <c r="E30" s="49"/>
      <c r="F30" s="49">
        <v>15.01</v>
      </c>
      <c r="G30" s="49">
        <v>4</v>
      </c>
      <c r="H30" s="49">
        <v>19.239999999999998</v>
      </c>
      <c r="I30" s="49"/>
      <c r="J30" s="49"/>
      <c r="K30" s="49">
        <v>7</v>
      </c>
      <c r="L30" s="49">
        <v>10.24</v>
      </c>
      <c r="M30" s="49"/>
      <c r="N30" s="49">
        <v>5.25</v>
      </c>
      <c r="O30" s="49">
        <v>5.2</v>
      </c>
      <c r="P30" s="49">
        <v>17.98</v>
      </c>
      <c r="Q30" s="49">
        <v>9.3699999999999992</v>
      </c>
      <c r="R30" s="49"/>
      <c r="S30" s="49"/>
      <c r="T30" s="49">
        <v>11.01</v>
      </c>
      <c r="U30" s="49"/>
      <c r="V30" s="49">
        <v>13.94</v>
      </c>
      <c r="W30" s="49"/>
      <c r="X30" s="49">
        <v>10.220000000000001</v>
      </c>
      <c r="Y30" s="49"/>
    </row>
    <row r="31" spans="1:25" s="7" customFormat="1" ht="15" customHeight="1">
      <c r="A31" s="12" t="s">
        <v>338</v>
      </c>
      <c r="B31" s="8" t="s">
        <v>599</v>
      </c>
      <c r="C31" s="9" t="s">
        <v>675</v>
      </c>
      <c r="D31" s="9" t="s">
        <v>603</v>
      </c>
      <c r="E31" s="49"/>
      <c r="F31" s="49">
        <v>14.39</v>
      </c>
      <c r="G31" s="49">
        <v>2.1</v>
      </c>
      <c r="H31" s="49">
        <v>18.04</v>
      </c>
      <c r="I31" s="49"/>
      <c r="J31" s="49"/>
      <c r="K31" s="49">
        <v>6</v>
      </c>
      <c r="L31" s="49">
        <v>8.59</v>
      </c>
      <c r="M31" s="49"/>
      <c r="N31" s="49">
        <v>5.25</v>
      </c>
      <c r="O31" s="49">
        <v>5.17</v>
      </c>
      <c r="P31" s="49">
        <v>16.440000000000001</v>
      </c>
      <c r="Q31" s="49">
        <v>4.24</v>
      </c>
      <c r="R31" s="49"/>
      <c r="S31" s="49"/>
      <c r="T31" s="49">
        <v>9.36</v>
      </c>
      <c r="U31" s="49"/>
      <c r="V31" s="49">
        <v>13.94</v>
      </c>
      <c r="W31" s="49"/>
      <c r="X31" s="49">
        <v>10.220000000000001</v>
      </c>
      <c r="Y31" s="49"/>
    </row>
    <row r="32" spans="1:25" s="7" customFormat="1" ht="15" customHeight="1">
      <c r="A32" s="12" t="s">
        <v>339</v>
      </c>
      <c r="B32" s="8" t="s">
        <v>599</v>
      </c>
      <c r="C32" s="9" t="s">
        <v>676</v>
      </c>
      <c r="D32" s="9" t="s">
        <v>603</v>
      </c>
      <c r="E32" s="49"/>
      <c r="F32" s="49">
        <v>12.31</v>
      </c>
      <c r="G32" s="49">
        <v>2.1</v>
      </c>
      <c r="H32" s="49">
        <v>16.43</v>
      </c>
      <c r="I32" s="49"/>
      <c r="J32" s="49"/>
      <c r="K32" s="49">
        <v>4.5</v>
      </c>
      <c r="L32" s="49">
        <v>7.17</v>
      </c>
      <c r="M32" s="49"/>
      <c r="N32" s="49">
        <v>5.25</v>
      </c>
      <c r="O32" s="49">
        <v>5.17</v>
      </c>
      <c r="P32" s="49">
        <v>15.41</v>
      </c>
      <c r="Q32" s="49">
        <v>3.3</v>
      </c>
      <c r="R32" s="49"/>
      <c r="S32" s="49"/>
      <c r="T32" s="49">
        <v>7.71</v>
      </c>
      <c r="U32" s="49"/>
      <c r="V32" s="49">
        <v>13.94</v>
      </c>
      <c r="W32" s="49"/>
      <c r="X32" s="49">
        <v>10.220000000000001</v>
      </c>
      <c r="Y32" s="49"/>
    </row>
    <row r="33" spans="1:25" s="7" customFormat="1" ht="15" customHeight="1">
      <c r="A33" s="12"/>
      <c r="B33" s="6"/>
      <c r="C33" s="9"/>
      <c r="D33" s="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spans="1:25" s="7" customFormat="1" ht="15" customHeight="1">
      <c r="A34" s="12" t="s">
        <v>340</v>
      </c>
      <c r="B34" s="8" t="s">
        <v>600</v>
      </c>
      <c r="C34" s="9" t="s">
        <v>610</v>
      </c>
      <c r="D34" s="9" t="s">
        <v>603</v>
      </c>
      <c r="E34" s="49"/>
      <c r="F34" s="49"/>
      <c r="G34" s="49"/>
      <c r="H34" s="49"/>
      <c r="I34" s="49"/>
      <c r="J34" s="49"/>
      <c r="K34" s="49">
        <v>21</v>
      </c>
      <c r="L34" s="49"/>
      <c r="M34" s="49"/>
      <c r="N34" s="49">
        <v>38.44</v>
      </c>
      <c r="O34" s="49"/>
      <c r="P34" s="49">
        <v>59.18</v>
      </c>
      <c r="Q34" s="49">
        <v>16.399999999999999</v>
      </c>
      <c r="R34" s="49"/>
      <c r="S34" s="49"/>
      <c r="T34" s="49">
        <v>129.27000000000001</v>
      </c>
      <c r="U34" s="49"/>
      <c r="V34" s="49"/>
      <c r="W34" s="49"/>
      <c r="X34" s="49"/>
      <c r="Y34" s="49"/>
    </row>
    <row r="35" spans="1:25" s="7" customFormat="1" ht="15" customHeight="1">
      <c r="A35" s="12" t="s">
        <v>341</v>
      </c>
      <c r="B35" s="8" t="s">
        <v>600</v>
      </c>
      <c r="C35" s="9" t="s">
        <v>611</v>
      </c>
      <c r="D35" s="9" t="s">
        <v>603</v>
      </c>
      <c r="E35" s="49"/>
      <c r="F35" s="49"/>
      <c r="G35" s="49"/>
      <c r="H35" s="49"/>
      <c r="I35" s="49"/>
      <c r="J35" s="49"/>
      <c r="K35" s="49">
        <v>15</v>
      </c>
      <c r="L35" s="49"/>
      <c r="M35" s="49"/>
      <c r="N35" s="49">
        <v>16.88</v>
      </c>
      <c r="O35" s="49"/>
      <c r="P35" s="49">
        <v>43.87</v>
      </c>
      <c r="Q35" s="49">
        <v>8.2100000000000009</v>
      </c>
      <c r="R35" s="49"/>
      <c r="S35" s="49"/>
      <c r="T35" s="49">
        <v>45.36</v>
      </c>
      <c r="U35" s="49"/>
      <c r="V35" s="49"/>
      <c r="W35" s="49"/>
      <c r="X35" s="49"/>
      <c r="Y35" s="49"/>
    </row>
    <row r="36" spans="1:25" s="7" customFormat="1" ht="15" customHeight="1">
      <c r="A36" s="12" t="s">
        <v>342</v>
      </c>
      <c r="B36" s="8" t="s">
        <v>600</v>
      </c>
      <c r="C36" s="9" t="s">
        <v>612</v>
      </c>
      <c r="D36" s="9" t="s">
        <v>603</v>
      </c>
      <c r="E36" s="49"/>
      <c r="F36" s="49"/>
      <c r="G36" s="49"/>
      <c r="H36" s="49"/>
      <c r="I36" s="49"/>
      <c r="J36" s="49"/>
      <c r="K36" s="49">
        <v>9</v>
      </c>
      <c r="L36" s="49"/>
      <c r="M36" s="49"/>
      <c r="N36" s="49">
        <v>9.25</v>
      </c>
      <c r="O36" s="49"/>
      <c r="P36" s="49">
        <v>35.72</v>
      </c>
      <c r="Q36" s="49">
        <v>6.74</v>
      </c>
      <c r="R36" s="49"/>
      <c r="S36" s="49"/>
      <c r="T36" s="49">
        <v>22.68</v>
      </c>
      <c r="U36" s="49"/>
      <c r="V36" s="49"/>
      <c r="W36" s="49"/>
      <c r="X36" s="49"/>
      <c r="Y36" s="49"/>
    </row>
    <row r="37" spans="1:25" s="7" customFormat="1" ht="15" customHeight="1">
      <c r="A37" s="12" t="s">
        <v>343</v>
      </c>
      <c r="B37" s="8" t="s">
        <v>600</v>
      </c>
      <c r="C37" s="9" t="s">
        <v>677</v>
      </c>
      <c r="D37" s="9" t="s">
        <v>604</v>
      </c>
      <c r="E37" s="49"/>
      <c r="F37" s="49"/>
      <c r="G37" s="49"/>
      <c r="H37" s="49"/>
      <c r="I37" s="49"/>
      <c r="J37" s="49"/>
      <c r="K37" s="49">
        <v>2.25</v>
      </c>
      <c r="L37" s="49"/>
      <c r="M37" s="49"/>
      <c r="N37" s="49">
        <v>0.36</v>
      </c>
      <c r="O37" s="49"/>
      <c r="P37" s="49">
        <v>1.5</v>
      </c>
      <c r="Q37" s="49">
        <v>0.65</v>
      </c>
      <c r="R37" s="49"/>
      <c r="S37" s="49"/>
      <c r="T37" s="49">
        <v>1.58</v>
      </c>
      <c r="U37" s="49"/>
      <c r="V37" s="49"/>
      <c r="W37" s="49"/>
      <c r="X37" s="49"/>
      <c r="Y37" s="49"/>
    </row>
    <row r="38" spans="1:25" s="7" customFormat="1" ht="15" customHeight="1">
      <c r="A38" s="12" t="s">
        <v>344</v>
      </c>
      <c r="B38" s="8" t="s">
        <v>600</v>
      </c>
      <c r="C38" s="9" t="s">
        <v>678</v>
      </c>
      <c r="D38" s="9" t="s">
        <v>604</v>
      </c>
      <c r="E38" s="49"/>
      <c r="F38" s="49"/>
      <c r="G38" s="49"/>
      <c r="H38" s="49"/>
      <c r="I38" s="49"/>
      <c r="J38" s="49"/>
      <c r="K38" s="49">
        <v>1.75</v>
      </c>
      <c r="L38" s="49"/>
      <c r="M38" s="49"/>
      <c r="N38" s="49">
        <v>0.14000000000000001</v>
      </c>
      <c r="O38" s="49"/>
      <c r="P38" s="49">
        <v>1.5</v>
      </c>
      <c r="Q38" s="49">
        <v>0.65</v>
      </c>
      <c r="R38" s="49"/>
      <c r="S38" s="49"/>
      <c r="T38" s="49">
        <v>0.82</v>
      </c>
      <c r="U38" s="49"/>
      <c r="V38" s="49"/>
      <c r="W38" s="49"/>
      <c r="X38" s="49"/>
      <c r="Y38" s="49"/>
    </row>
    <row r="39" spans="1:25" s="7" customFormat="1" ht="15" customHeight="1">
      <c r="A39" s="12" t="s">
        <v>345</v>
      </c>
      <c r="B39" s="8" t="s">
        <v>600</v>
      </c>
      <c r="C39" s="9" t="s">
        <v>679</v>
      </c>
      <c r="D39" s="9" t="s">
        <v>604</v>
      </c>
      <c r="E39" s="49"/>
      <c r="F39" s="49"/>
      <c r="G39" s="49"/>
      <c r="H39" s="49"/>
      <c r="I39" s="49"/>
      <c r="J39" s="49"/>
      <c r="K39" s="49">
        <v>1.25</v>
      </c>
      <c r="L39" s="49"/>
      <c r="M39" s="49"/>
      <c r="N39" s="49">
        <v>0.13</v>
      </c>
      <c r="O39" s="49"/>
      <c r="P39" s="49">
        <v>1.5</v>
      </c>
      <c r="Q39" s="49">
        <v>0.65</v>
      </c>
      <c r="R39" s="49"/>
      <c r="S39" s="49"/>
      <c r="T39" s="49">
        <v>0.38</v>
      </c>
      <c r="U39" s="49"/>
      <c r="V39" s="49"/>
      <c r="W39" s="49"/>
      <c r="X39" s="49"/>
      <c r="Y39" s="49"/>
    </row>
    <row r="40" spans="1:25" s="7" customFormat="1" ht="15" customHeight="1">
      <c r="A40" s="12" t="s">
        <v>346</v>
      </c>
      <c r="B40" s="8" t="s">
        <v>600</v>
      </c>
      <c r="C40" s="9" t="s">
        <v>613</v>
      </c>
      <c r="D40" s="9" t="s">
        <v>603</v>
      </c>
      <c r="E40" s="49"/>
      <c r="F40" s="49"/>
      <c r="G40" s="49"/>
      <c r="H40" s="49"/>
      <c r="I40" s="49"/>
      <c r="J40" s="49"/>
      <c r="K40" s="49">
        <v>9</v>
      </c>
      <c r="L40" s="49"/>
      <c r="M40" s="49"/>
      <c r="N40" s="49">
        <v>13.97</v>
      </c>
      <c r="O40" s="49"/>
      <c r="P40" s="49">
        <v>26.64</v>
      </c>
      <c r="Q40" s="49">
        <v>1.31</v>
      </c>
      <c r="R40" s="49"/>
      <c r="S40" s="49"/>
      <c r="T40" s="49">
        <v>4.08</v>
      </c>
      <c r="U40" s="49"/>
      <c r="V40" s="49"/>
      <c r="W40" s="49"/>
      <c r="X40" s="49"/>
      <c r="Y40" s="49"/>
    </row>
    <row r="41" spans="1:25" s="7" customFormat="1" ht="15" customHeight="1">
      <c r="A41" s="12" t="s">
        <v>347</v>
      </c>
      <c r="B41" s="8" t="s">
        <v>600</v>
      </c>
      <c r="C41" s="9" t="s">
        <v>614</v>
      </c>
      <c r="D41" s="9" t="s">
        <v>603</v>
      </c>
      <c r="E41" s="49"/>
      <c r="F41" s="49"/>
      <c r="G41" s="49"/>
      <c r="H41" s="49"/>
      <c r="I41" s="49"/>
      <c r="J41" s="49"/>
      <c r="K41" s="49">
        <v>7</v>
      </c>
      <c r="L41" s="49"/>
      <c r="M41" s="49"/>
      <c r="N41" s="49">
        <v>6.11</v>
      </c>
      <c r="O41" s="49"/>
      <c r="P41" s="49">
        <v>17.64</v>
      </c>
      <c r="Q41" s="49">
        <v>1.27</v>
      </c>
      <c r="R41" s="49"/>
      <c r="S41" s="49"/>
      <c r="T41" s="49">
        <v>3.74</v>
      </c>
      <c r="U41" s="49"/>
      <c r="V41" s="49"/>
      <c r="W41" s="49"/>
      <c r="X41" s="49"/>
      <c r="Y41" s="49"/>
    </row>
    <row r="42" spans="1:25" s="7" customFormat="1" ht="15" customHeight="1">
      <c r="A42" s="12" t="s">
        <v>348</v>
      </c>
      <c r="B42" s="8" t="s">
        <v>600</v>
      </c>
      <c r="C42" s="9" t="s">
        <v>615</v>
      </c>
      <c r="D42" s="9" t="s">
        <v>603</v>
      </c>
      <c r="E42" s="49"/>
      <c r="F42" s="49"/>
      <c r="G42" s="49"/>
      <c r="H42" s="49"/>
      <c r="I42" s="49"/>
      <c r="J42" s="49"/>
      <c r="K42" s="49">
        <v>6</v>
      </c>
      <c r="L42" s="49"/>
      <c r="M42" s="49"/>
      <c r="N42" s="49">
        <v>5.04</v>
      </c>
      <c r="O42" s="49"/>
      <c r="P42" s="49">
        <v>14.57</v>
      </c>
      <c r="Q42" s="49">
        <v>1.27</v>
      </c>
      <c r="R42" s="49"/>
      <c r="S42" s="49"/>
      <c r="T42" s="49">
        <v>3.4</v>
      </c>
      <c r="U42" s="49"/>
      <c r="V42" s="49"/>
      <c r="W42" s="49"/>
      <c r="X42" s="49"/>
      <c r="Y42" s="49"/>
    </row>
    <row r="43" spans="1:25" s="7" customFormat="1" ht="15" customHeight="1">
      <c r="A43" s="12" t="s">
        <v>349</v>
      </c>
      <c r="B43" s="8" t="s">
        <v>600</v>
      </c>
      <c r="C43" s="9" t="s">
        <v>616</v>
      </c>
      <c r="D43" s="9" t="s">
        <v>604</v>
      </c>
      <c r="E43" s="49"/>
      <c r="F43" s="49"/>
      <c r="G43" s="49"/>
      <c r="H43" s="49"/>
      <c r="I43" s="49"/>
      <c r="J43" s="49"/>
      <c r="K43" s="49">
        <v>2.25</v>
      </c>
      <c r="L43" s="49"/>
      <c r="M43" s="49"/>
      <c r="N43" s="49">
        <v>0.36</v>
      </c>
      <c r="O43" s="49"/>
      <c r="P43" s="49">
        <v>1.5</v>
      </c>
      <c r="Q43" s="49">
        <v>0.65</v>
      </c>
      <c r="R43" s="49"/>
      <c r="S43" s="49"/>
      <c r="T43" s="49">
        <v>0.6</v>
      </c>
      <c r="U43" s="49"/>
      <c r="V43" s="49"/>
      <c r="W43" s="49"/>
      <c r="X43" s="49"/>
      <c r="Y43" s="49"/>
    </row>
    <row r="44" spans="1:25" s="7" customFormat="1" ht="15" customHeight="1">
      <c r="A44" s="12" t="s">
        <v>350</v>
      </c>
      <c r="B44" s="8" t="s">
        <v>600</v>
      </c>
      <c r="C44" s="9" t="s">
        <v>617</v>
      </c>
      <c r="D44" s="9" t="s">
        <v>604</v>
      </c>
      <c r="E44" s="49"/>
      <c r="F44" s="49"/>
      <c r="G44" s="49"/>
      <c r="H44" s="49"/>
      <c r="I44" s="49"/>
      <c r="J44" s="49"/>
      <c r="K44" s="49">
        <v>1.75</v>
      </c>
      <c r="L44" s="49"/>
      <c r="M44" s="49"/>
      <c r="N44" s="49">
        <v>0.14000000000000001</v>
      </c>
      <c r="O44" s="49"/>
      <c r="P44" s="49">
        <v>1.5</v>
      </c>
      <c r="Q44" s="49">
        <v>0.65</v>
      </c>
      <c r="R44" s="49"/>
      <c r="S44" s="49"/>
      <c r="T44" s="49">
        <v>0.31</v>
      </c>
      <c r="U44" s="49"/>
      <c r="V44" s="49"/>
      <c r="W44" s="49"/>
      <c r="X44" s="49"/>
      <c r="Y44" s="49"/>
    </row>
    <row r="45" spans="1:25" s="7" customFormat="1" ht="15" customHeight="1">
      <c r="A45" s="12" t="s">
        <v>38</v>
      </c>
      <c r="B45" s="8" t="s">
        <v>600</v>
      </c>
      <c r="C45" s="9" t="s">
        <v>618</v>
      </c>
      <c r="D45" s="9" t="s">
        <v>604</v>
      </c>
      <c r="E45" s="49"/>
      <c r="F45" s="49"/>
      <c r="G45" s="49"/>
      <c r="H45" s="49"/>
      <c r="I45" s="49"/>
      <c r="J45" s="49"/>
      <c r="K45" s="49">
        <v>1.25</v>
      </c>
      <c r="L45" s="49"/>
      <c r="M45" s="49"/>
      <c r="N45" s="49">
        <v>0.13</v>
      </c>
      <c r="O45" s="49"/>
      <c r="P45" s="49">
        <v>1.5</v>
      </c>
      <c r="Q45" s="49">
        <v>0.65</v>
      </c>
      <c r="R45" s="49"/>
      <c r="S45" s="49"/>
      <c r="T45" s="49">
        <v>0.14000000000000001</v>
      </c>
      <c r="U45" s="49"/>
      <c r="V45" s="49"/>
      <c r="W45" s="49"/>
      <c r="X45" s="49"/>
      <c r="Y45" s="49"/>
    </row>
    <row r="46" spans="1:25" s="7" customFormat="1" ht="15" customHeight="1">
      <c r="A46" s="12" t="s">
        <v>39</v>
      </c>
      <c r="B46" s="8" t="s">
        <v>600</v>
      </c>
      <c r="C46" s="9" t="s">
        <v>674</v>
      </c>
      <c r="D46" s="9" t="s">
        <v>603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spans="1:25" s="7" customFormat="1" ht="15" customHeight="1">
      <c r="A47" s="12" t="s">
        <v>40</v>
      </c>
      <c r="B47" s="8" t="s">
        <v>600</v>
      </c>
      <c r="C47" s="9" t="s">
        <v>675</v>
      </c>
      <c r="D47" s="9" t="s">
        <v>603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spans="1:25" s="7" customFormat="1" ht="15" customHeight="1">
      <c r="A48" s="12" t="s">
        <v>41</v>
      </c>
      <c r="B48" s="8" t="s">
        <v>600</v>
      </c>
      <c r="C48" s="9" t="s">
        <v>676</v>
      </c>
      <c r="D48" s="9" t="s">
        <v>603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spans="1:25" s="7" customFormat="1" ht="15" customHeight="1">
      <c r="A49" s="12"/>
      <c r="B49" s="6"/>
      <c r="C49" s="9"/>
      <c r="D49" s="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spans="1:25" s="7" customFormat="1" ht="15" customHeight="1">
      <c r="A50" s="12" t="s">
        <v>42</v>
      </c>
      <c r="B50" s="8" t="s">
        <v>601</v>
      </c>
      <c r="C50" s="9" t="s">
        <v>610</v>
      </c>
      <c r="D50" s="9" t="s">
        <v>603</v>
      </c>
      <c r="E50" s="49">
        <v>4.25</v>
      </c>
      <c r="F50" s="49"/>
      <c r="G50" s="49"/>
      <c r="H50" s="49"/>
      <c r="I50" s="49">
        <v>11.61</v>
      </c>
      <c r="J50" s="49">
        <v>3.74</v>
      </c>
      <c r="K50" s="49"/>
      <c r="L50" s="49">
        <v>7.18</v>
      </c>
      <c r="M50" s="49">
        <v>4.16</v>
      </c>
      <c r="N50" s="49">
        <v>5.64</v>
      </c>
      <c r="O50" s="49">
        <v>10.51</v>
      </c>
      <c r="P50" s="49"/>
      <c r="Q50" s="49">
        <v>10.42</v>
      </c>
      <c r="R50" s="49">
        <v>3.85</v>
      </c>
      <c r="S50" s="49">
        <v>4.04</v>
      </c>
      <c r="T50" s="49"/>
      <c r="U50" s="49"/>
      <c r="V50" s="49"/>
      <c r="W50" s="49"/>
      <c r="X50" s="49"/>
      <c r="Y50" s="49"/>
    </row>
    <row r="51" spans="1:25" s="7" customFormat="1" ht="15" customHeight="1">
      <c r="A51" s="12" t="s">
        <v>43</v>
      </c>
      <c r="B51" s="8" t="s">
        <v>601</v>
      </c>
      <c r="C51" s="9" t="s">
        <v>611</v>
      </c>
      <c r="D51" s="9" t="s">
        <v>603</v>
      </c>
      <c r="E51" s="49">
        <v>4.25</v>
      </c>
      <c r="F51" s="49"/>
      <c r="G51" s="49"/>
      <c r="H51" s="49"/>
      <c r="I51" s="49">
        <v>10.97</v>
      </c>
      <c r="J51" s="49">
        <v>3.72</v>
      </c>
      <c r="K51" s="49"/>
      <c r="L51" s="49">
        <v>7.18</v>
      </c>
      <c r="M51" s="49">
        <v>4.16</v>
      </c>
      <c r="N51" s="49">
        <v>5.48</v>
      </c>
      <c r="O51" s="49">
        <v>9.44</v>
      </c>
      <c r="P51" s="49"/>
      <c r="Q51" s="49">
        <v>6.6</v>
      </c>
      <c r="R51" s="49">
        <v>3.85</v>
      </c>
      <c r="S51" s="49">
        <v>4</v>
      </c>
      <c r="T51" s="49"/>
      <c r="U51" s="49"/>
      <c r="V51" s="49"/>
      <c r="W51" s="49"/>
      <c r="X51" s="49"/>
      <c r="Y51" s="49"/>
    </row>
    <row r="52" spans="1:25" s="7" customFormat="1" ht="15" customHeight="1">
      <c r="A52" s="12" t="s">
        <v>44</v>
      </c>
      <c r="B52" s="8" t="s">
        <v>601</v>
      </c>
      <c r="C52" s="9" t="s">
        <v>612</v>
      </c>
      <c r="D52" s="9" t="s">
        <v>603</v>
      </c>
      <c r="E52" s="49">
        <v>4.25</v>
      </c>
      <c r="F52" s="49"/>
      <c r="G52" s="49"/>
      <c r="H52" s="49"/>
      <c r="I52" s="49">
        <v>10.7</v>
      </c>
      <c r="J52" s="49">
        <v>3.68</v>
      </c>
      <c r="K52" s="49"/>
      <c r="L52" s="49">
        <v>7.18</v>
      </c>
      <c r="M52" s="49">
        <v>4.16</v>
      </c>
      <c r="N52" s="49">
        <v>4.97</v>
      </c>
      <c r="O52" s="49">
        <v>8.99</v>
      </c>
      <c r="P52" s="49"/>
      <c r="Q52" s="49">
        <v>5.95</v>
      </c>
      <c r="R52" s="49">
        <v>3.85</v>
      </c>
      <c r="S52" s="49">
        <v>3.97</v>
      </c>
      <c r="T52" s="49"/>
      <c r="U52" s="49"/>
      <c r="V52" s="49"/>
      <c r="W52" s="49"/>
      <c r="X52" s="49"/>
      <c r="Y52" s="49"/>
    </row>
    <row r="53" spans="1:25" s="7" customFormat="1" ht="15" customHeight="1">
      <c r="A53" s="12" t="s">
        <v>45</v>
      </c>
      <c r="B53" s="8" t="s">
        <v>601</v>
      </c>
      <c r="C53" s="9" t="s">
        <v>677</v>
      </c>
      <c r="D53" s="9" t="s">
        <v>604</v>
      </c>
      <c r="E53" s="49">
        <v>0</v>
      </c>
      <c r="F53" s="49"/>
      <c r="G53" s="49"/>
      <c r="H53" s="49"/>
      <c r="I53" s="49">
        <v>1.6</v>
      </c>
      <c r="J53" s="49">
        <v>0</v>
      </c>
      <c r="K53" s="49"/>
      <c r="L53" s="49"/>
      <c r="M53" s="49"/>
      <c r="N53" s="49">
        <v>0.36</v>
      </c>
      <c r="O53" s="49">
        <v>0.62</v>
      </c>
      <c r="P53" s="49"/>
      <c r="Q53" s="49">
        <v>0.65</v>
      </c>
      <c r="R53" s="49"/>
      <c r="S53" s="49"/>
      <c r="T53" s="49"/>
      <c r="U53" s="49"/>
      <c r="V53" s="49"/>
      <c r="W53" s="49"/>
      <c r="X53" s="49"/>
      <c r="Y53" s="49"/>
    </row>
    <row r="54" spans="1:25" s="7" customFormat="1" ht="15" customHeight="1">
      <c r="A54" s="12" t="s">
        <v>46</v>
      </c>
      <c r="B54" s="8" t="s">
        <v>601</v>
      </c>
      <c r="C54" s="9" t="s">
        <v>678</v>
      </c>
      <c r="D54" s="9" t="s">
        <v>604</v>
      </c>
      <c r="E54" s="49">
        <v>0</v>
      </c>
      <c r="F54" s="49"/>
      <c r="G54" s="49"/>
      <c r="H54" s="49"/>
      <c r="I54" s="49">
        <v>1.4</v>
      </c>
      <c r="J54" s="49">
        <v>0</v>
      </c>
      <c r="K54" s="49"/>
      <c r="L54" s="49"/>
      <c r="M54" s="49"/>
      <c r="N54" s="49">
        <v>0.14000000000000001</v>
      </c>
      <c r="O54" s="49">
        <v>0.54</v>
      </c>
      <c r="P54" s="49"/>
      <c r="Q54" s="49">
        <v>0.65</v>
      </c>
      <c r="R54" s="49"/>
      <c r="S54" s="49"/>
      <c r="T54" s="49"/>
      <c r="U54" s="49"/>
      <c r="V54" s="49"/>
      <c r="W54" s="49"/>
      <c r="X54" s="49"/>
      <c r="Y54" s="49"/>
    </row>
    <row r="55" spans="1:25" s="7" customFormat="1" ht="15" customHeight="1">
      <c r="A55" s="12" t="s">
        <v>47</v>
      </c>
      <c r="B55" s="8" t="s">
        <v>601</v>
      </c>
      <c r="C55" s="9" t="s">
        <v>679</v>
      </c>
      <c r="D55" s="9" t="s">
        <v>604</v>
      </c>
      <c r="E55" s="49">
        <v>0</v>
      </c>
      <c r="F55" s="49"/>
      <c r="G55" s="49"/>
      <c r="H55" s="49"/>
      <c r="I55" s="49">
        <v>1.33</v>
      </c>
      <c r="J55" s="49">
        <v>0</v>
      </c>
      <c r="K55" s="49"/>
      <c r="L55" s="49"/>
      <c r="M55" s="49"/>
      <c r="N55" s="49">
        <v>0.13</v>
      </c>
      <c r="O55" s="49">
        <v>0.42</v>
      </c>
      <c r="P55" s="49"/>
      <c r="Q55" s="49">
        <v>0.65</v>
      </c>
      <c r="R55" s="49"/>
      <c r="S55" s="49"/>
      <c r="T55" s="49"/>
      <c r="U55" s="49"/>
      <c r="V55" s="49"/>
      <c r="W55" s="49"/>
      <c r="X55" s="49"/>
      <c r="Y55" s="49"/>
    </row>
    <row r="56" spans="1:25" s="7" customFormat="1" ht="15" customHeight="1">
      <c r="A56" s="12" t="s">
        <v>48</v>
      </c>
      <c r="B56" s="8" t="s">
        <v>601</v>
      </c>
      <c r="C56" s="9" t="s">
        <v>613</v>
      </c>
      <c r="D56" s="9" t="s">
        <v>603</v>
      </c>
      <c r="E56" s="49">
        <v>1.6</v>
      </c>
      <c r="F56" s="49"/>
      <c r="G56" s="49"/>
      <c r="H56" s="49"/>
      <c r="I56" s="49">
        <v>7.74</v>
      </c>
      <c r="J56" s="49">
        <v>1.85</v>
      </c>
      <c r="K56" s="49"/>
      <c r="L56" s="49">
        <v>1.79</v>
      </c>
      <c r="M56" s="49">
        <v>1.56</v>
      </c>
      <c r="N56" s="49">
        <v>13.97</v>
      </c>
      <c r="O56" s="49">
        <v>2.66</v>
      </c>
      <c r="P56" s="49"/>
      <c r="Q56" s="49">
        <v>1.21</v>
      </c>
      <c r="R56" s="49">
        <v>1.91</v>
      </c>
      <c r="S56" s="49">
        <v>2.0099999999999998</v>
      </c>
      <c r="T56" s="49"/>
      <c r="U56" s="49"/>
      <c r="V56" s="49"/>
      <c r="W56" s="49"/>
      <c r="X56" s="49"/>
      <c r="Y56" s="49"/>
    </row>
    <row r="57" spans="1:25" s="7" customFormat="1" ht="15" customHeight="1">
      <c r="A57" s="12" t="s">
        <v>49</v>
      </c>
      <c r="B57" s="8" t="s">
        <v>601</v>
      </c>
      <c r="C57" s="9" t="s">
        <v>614</v>
      </c>
      <c r="D57" s="9" t="s">
        <v>603</v>
      </c>
      <c r="E57" s="49">
        <v>1.6</v>
      </c>
      <c r="F57" s="49"/>
      <c r="G57" s="49"/>
      <c r="H57" s="49"/>
      <c r="I57" s="49">
        <v>7.01</v>
      </c>
      <c r="J57" s="49">
        <v>1.84</v>
      </c>
      <c r="K57" s="49"/>
      <c r="L57" s="49">
        <v>1.79</v>
      </c>
      <c r="M57" s="49">
        <v>1.56</v>
      </c>
      <c r="N57" s="49">
        <v>6.11</v>
      </c>
      <c r="O57" s="49">
        <v>2.66</v>
      </c>
      <c r="P57" s="49"/>
      <c r="Q57" s="49">
        <v>1.1399999999999999</v>
      </c>
      <c r="R57" s="49">
        <v>1.91</v>
      </c>
      <c r="S57" s="49">
        <v>1.99</v>
      </c>
      <c r="T57" s="49"/>
      <c r="U57" s="49"/>
      <c r="V57" s="49"/>
      <c r="W57" s="49"/>
      <c r="X57" s="49"/>
      <c r="Y57" s="49"/>
    </row>
    <row r="58" spans="1:25" s="7" customFormat="1" ht="15" customHeight="1">
      <c r="A58" s="12" t="s">
        <v>50</v>
      </c>
      <c r="B58" s="8" t="s">
        <v>601</v>
      </c>
      <c r="C58" s="9" t="s">
        <v>615</v>
      </c>
      <c r="D58" s="9" t="s">
        <v>603</v>
      </c>
      <c r="E58" s="49">
        <v>1.6</v>
      </c>
      <c r="F58" s="49"/>
      <c r="G58" s="49"/>
      <c r="H58" s="49"/>
      <c r="I58" s="49">
        <v>6.66</v>
      </c>
      <c r="J58" s="49">
        <v>1.82</v>
      </c>
      <c r="K58" s="49"/>
      <c r="L58" s="49">
        <v>1.79</v>
      </c>
      <c r="M58" s="49">
        <v>1.56</v>
      </c>
      <c r="N58" s="49">
        <v>5.04</v>
      </c>
      <c r="O58" s="49">
        <v>2.66</v>
      </c>
      <c r="P58" s="49"/>
      <c r="Q58" s="49">
        <v>1.1399999999999999</v>
      </c>
      <c r="R58" s="49">
        <v>1.91</v>
      </c>
      <c r="S58" s="49">
        <v>1.97</v>
      </c>
      <c r="T58" s="49"/>
      <c r="U58" s="49"/>
      <c r="V58" s="49"/>
      <c r="W58" s="49"/>
      <c r="X58" s="49"/>
      <c r="Y58" s="49"/>
    </row>
    <row r="59" spans="1:25" s="7" customFormat="1" ht="15" customHeight="1">
      <c r="A59" s="12" t="s">
        <v>51</v>
      </c>
      <c r="B59" s="8" t="s">
        <v>601</v>
      </c>
      <c r="C59" s="9" t="s">
        <v>616</v>
      </c>
      <c r="D59" s="9" t="s">
        <v>604</v>
      </c>
      <c r="E59" s="49">
        <v>0</v>
      </c>
      <c r="F59" s="49"/>
      <c r="G59" s="49"/>
      <c r="H59" s="49"/>
      <c r="I59" s="49">
        <v>0</v>
      </c>
      <c r="J59" s="49">
        <v>0</v>
      </c>
      <c r="K59" s="49"/>
      <c r="L59" s="49"/>
      <c r="M59" s="49">
        <v>0</v>
      </c>
      <c r="N59" s="49">
        <v>0.36</v>
      </c>
      <c r="O59" s="49">
        <v>0.71</v>
      </c>
      <c r="P59" s="49"/>
      <c r="Q59" s="49">
        <v>0.65</v>
      </c>
      <c r="R59" s="49">
        <v>0</v>
      </c>
      <c r="S59" s="49"/>
      <c r="T59" s="49"/>
      <c r="U59" s="49"/>
      <c r="V59" s="49"/>
      <c r="W59" s="49"/>
      <c r="X59" s="49"/>
      <c r="Y59" s="49"/>
    </row>
    <row r="60" spans="1:25" s="7" customFormat="1" ht="15" customHeight="1">
      <c r="A60" s="12" t="s">
        <v>52</v>
      </c>
      <c r="B60" s="8" t="s">
        <v>601</v>
      </c>
      <c r="C60" s="9" t="s">
        <v>617</v>
      </c>
      <c r="D60" s="9" t="s">
        <v>604</v>
      </c>
      <c r="E60" s="49">
        <v>0</v>
      </c>
      <c r="F60" s="49"/>
      <c r="G60" s="49"/>
      <c r="H60" s="49"/>
      <c r="I60" s="49">
        <v>0</v>
      </c>
      <c r="J60" s="49">
        <v>0</v>
      </c>
      <c r="K60" s="49"/>
      <c r="L60" s="49"/>
      <c r="M60" s="49">
        <v>0</v>
      </c>
      <c r="N60" s="49">
        <v>0.14000000000000001</v>
      </c>
      <c r="O60" s="49">
        <v>0.65</v>
      </c>
      <c r="P60" s="49"/>
      <c r="Q60" s="49">
        <v>0.65</v>
      </c>
      <c r="R60" s="49">
        <v>0</v>
      </c>
      <c r="S60" s="49"/>
      <c r="T60" s="49"/>
      <c r="U60" s="49"/>
      <c r="V60" s="49"/>
      <c r="W60" s="49"/>
      <c r="X60" s="49"/>
      <c r="Y60" s="49"/>
    </row>
    <row r="61" spans="1:25" s="7" customFormat="1" ht="15" customHeight="1">
      <c r="A61" s="12" t="s">
        <v>53</v>
      </c>
      <c r="B61" s="8" t="s">
        <v>601</v>
      </c>
      <c r="C61" s="9" t="s">
        <v>618</v>
      </c>
      <c r="D61" s="9" t="s">
        <v>604</v>
      </c>
      <c r="E61" s="49">
        <v>0</v>
      </c>
      <c r="F61" s="49"/>
      <c r="G61" s="49"/>
      <c r="H61" s="49"/>
      <c r="I61" s="49">
        <v>0</v>
      </c>
      <c r="J61" s="49">
        <v>0</v>
      </c>
      <c r="K61" s="49"/>
      <c r="L61" s="49"/>
      <c r="M61" s="49">
        <v>0</v>
      </c>
      <c r="N61" s="49">
        <v>0.13</v>
      </c>
      <c r="O61" s="49">
        <v>0.6</v>
      </c>
      <c r="P61" s="49"/>
      <c r="Q61" s="49">
        <v>0.65</v>
      </c>
      <c r="R61" s="49">
        <v>0</v>
      </c>
      <c r="S61" s="49"/>
      <c r="T61" s="49"/>
      <c r="U61" s="49"/>
      <c r="V61" s="49"/>
      <c r="W61" s="49"/>
      <c r="X61" s="49"/>
      <c r="Y61" s="49"/>
    </row>
    <row r="62" spans="1:25" s="7" customFormat="1" ht="15" customHeight="1">
      <c r="A62" s="12" t="s">
        <v>54</v>
      </c>
      <c r="B62" s="8" t="s">
        <v>601</v>
      </c>
      <c r="C62" s="9" t="s">
        <v>674</v>
      </c>
      <c r="D62" s="9" t="s">
        <v>603</v>
      </c>
      <c r="E62" s="49">
        <v>8.31</v>
      </c>
      <c r="F62" s="49"/>
      <c r="G62" s="49"/>
      <c r="H62" s="49"/>
      <c r="I62" s="49">
        <v>9.07</v>
      </c>
      <c r="J62" s="49">
        <v>14.63</v>
      </c>
      <c r="K62" s="49"/>
      <c r="L62" s="49">
        <v>10.24</v>
      </c>
      <c r="M62" s="49">
        <v>8.19</v>
      </c>
      <c r="N62" s="49">
        <v>5.25</v>
      </c>
      <c r="O62" s="49">
        <v>5.16</v>
      </c>
      <c r="P62" s="49"/>
      <c r="Q62" s="49">
        <v>8.59</v>
      </c>
      <c r="R62" s="49">
        <v>7.28</v>
      </c>
      <c r="S62" s="49">
        <v>7.13</v>
      </c>
      <c r="T62" s="49"/>
      <c r="U62" s="49"/>
      <c r="V62" s="49"/>
      <c r="W62" s="49"/>
      <c r="X62" s="49"/>
      <c r="Y62" s="49"/>
    </row>
    <row r="63" spans="1:25" s="7" customFormat="1" ht="15" customHeight="1">
      <c r="A63" s="12" t="s">
        <v>55</v>
      </c>
      <c r="B63" s="8" t="s">
        <v>601</v>
      </c>
      <c r="C63" s="9" t="s">
        <v>675</v>
      </c>
      <c r="D63" s="9" t="s">
        <v>603</v>
      </c>
      <c r="E63" s="49">
        <v>7.67</v>
      </c>
      <c r="F63" s="49"/>
      <c r="G63" s="49"/>
      <c r="H63" s="49"/>
      <c r="I63" s="49">
        <v>7.99</v>
      </c>
      <c r="J63" s="49">
        <v>14.63</v>
      </c>
      <c r="K63" s="49"/>
      <c r="L63" s="49">
        <v>8.59</v>
      </c>
      <c r="M63" s="49">
        <v>7.56</v>
      </c>
      <c r="N63" s="49">
        <v>5.25</v>
      </c>
      <c r="O63" s="49">
        <v>5.1100000000000003</v>
      </c>
      <c r="P63" s="49"/>
      <c r="Q63" s="49">
        <v>3.63</v>
      </c>
      <c r="R63" s="49">
        <v>6.68</v>
      </c>
      <c r="S63" s="49">
        <v>6.58</v>
      </c>
      <c r="T63" s="49"/>
      <c r="U63" s="49"/>
      <c r="V63" s="49"/>
      <c r="W63" s="49"/>
      <c r="X63" s="49"/>
      <c r="Y63" s="49"/>
    </row>
    <row r="64" spans="1:25" s="7" customFormat="1" ht="15" customHeight="1">
      <c r="A64" s="12" t="s">
        <v>56</v>
      </c>
      <c r="B64" s="8" t="s">
        <v>601</v>
      </c>
      <c r="C64" s="9" t="s">
        <v>676</v>
      </c>
      <c r="D64" s="9" t="s">
        <v>603</v>
      </c>
      <c r="E64" s="49">
        <v>7.04</v>
      </c>
      <c r="F64" s="49"/>
      <c r="G64" s="49"/>
      <c r="H64" s="49"/>
      <c r="I64" s="49">
        <v>6.84</v>
      </c>
      <c r="J64" s="49">
        <v>14.63</v>
      </c>
      <c r="K64" s="49"/>
      <c r="L64" s="49">
        <v>7.17</v>
      </c>
      <c r="M64" s="49">
        <v>6.93</v>
      </c>
      <c r="N64" s="49">
        <v>5.25</v>
      </c>
      <c r="O64" s="49">
        <v>5.1100000000000003</v>
      </c>
      <c r="P64" s="49"/>
      <c r="Q64" s="49">
        <v>3</v>
      </c>
      <c r="R64" s="49">
        <v>6.07</v>
      </c>
      <c r="S64" s="49">
        <v>6.03</v>
      </c>
      <c r="T64" s="49"/>
      <c r="U64" s="49"/>
      <c r="V64" s="49"/>
      <c r="W64" s="49"/>
      <c r="X64" s="49"/>
      <c r="Y64" s="49"/>
    </row>
    <row r="65" spans="1:25" s="7" customFormat="1" ht="15" customHeight="1">
      <c r="A65" s="12"/>
      <c r="B65" s="8"/>
      <c r="C65" s="9"/>
      <c r="D65" s="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s="7" customFormat="1" ht="15" customHeight="1">
      <c r="A66" s="12" t="s">
        <v>57</v>
      </c>
      <c r="B66" s="8" t="s">
        <v>598</v>
      </c>
      <c r="C66" s="9" t="s">
        <v>609</v>
      </c>
      <c r="D66" s="9" t="s">
        <v>605</v>
      </c>
      <c r="E66" s="49">
        <v>4.25</v>
      </c>
      <c r="F66" s="49"/>
      <c r="G66" s="49"/>
      <c r="H66" s="49">
        <v>14.58</v>
      </c>
      <c r="I66" s="49"/>
      <c r="J66" s="49">
        <v>0</v>
      </c>
      <c r="K66" s="49"/>
      <c r="L66" s="49"/>
      <c r="M66" s="49">
        <v>4.16</v>
      </c>
      <c r="N66" s="49">
        <v>6.07</v>
      </c>
      <c r="O66" s="49">
        <v>5.53</v>
      </c>
      <c r="P66" s="49">
        <v>20.55</v>
      </c>
      <c r="Q66" s="49">
        <v>22.11</v>
      </c>
      <c r="R66" s="49">
        <v>3.85</v>
      </c>
      <c r="S66" s="49">
        <v>4.04</v>
      </c>
      <c r="T66" s="49">
        <v>33.979999999999997</v>
      </c>
      <c r="U66" s="49">
        <v>0</v>
      </c>
      <c r="V66" s="49"/>
      <c r="W66" s="49"/>
      <c r="X66" s="49"/>
      <c r="Y66" s="49">
        <v>0</v>
      </c>
    </row>
    <row r="67" spans="1:25" s="7" customFormat="1" ht="15" customHeight="1">
      <c r="A67" s="12" t="s">
        <v>58</v>
      </c>
      <c r="B67" s="8" t="s">
        <v>598</v>
      </c>
      <c r="C67" s="9" t="s">
        <v>619</v>
      </c>
      <c r="D67" s="9" t="s">
        <v>605</v>
      </c>
      <c r="E67" s="49">
        <v>4.25</v>
      </c>
      <c r="F67" s="49"/>
      <c r="G67" s="49"/>
      <c r="H67" s="49">
        <v>13.67</v>
      </c>
      <c r="I67" s="49"/>
      <c r="J67" s="49">
        <v>0</v>
      </c>
      <c r="K67" s="49"/>
      <c r="L67" s="49"/>
      <c r="M67" s="49">
        <v>4.16</v>
      </c>
      <c r="N67" s="49">
        <v>3.49</v>
      </c>
      <c r="O67" s="49">
        <v>4.0599999999999996</v>
      </c>
      <c r="P67" s="49">
        <v>12.33</v>
      </c>
      <c r="Q67" s="49">
        <v>20.45</v>
      </c>
      <c r="R67" s="49">
        <v>3.85</v>
      </c>
      <c r="S67" s="49">
        <v>4</v>
      </c>
      <c r="T67" s="49">
        <v>27.36</v>
      </c>
      <c r="U67" s="49">
        <v>0</v>
      </c>
      <c r="V67" s="49"/>
      <c r="W67" s="49"/>
      <c r="X67" s="49"/>
      <c r="Y67" s="49">
        <v>0</v>
      </c>
    </row>
    <row r="68" spans="1:25" s="7" customFormat="1" ht="15" customHeight="1">
      <c r="A68" s="12" t="s">
        <v>59</v>
      </c>
      <c r="B68" s="8" t="s">
        <v>598</v>
      </c>
      <c r="C68" s="9" t="s">
        <v>620</v>
      </c>
      <c r="D68" s="9" t="s">
        <v>605</v>
      </c>
      <c r="E68" s="49">
        <v>4.25</v>
      </c>
      <c r="F68" s="49"/>
      <c r="G68" s="49"/>
      <c r="H68" s="49">
        <v>12.12</v>
      </c>
      <c r="I68" s="49"/>
      <c r="J68" s="49">
        <v>0</v>
      </c>
      <c r="K68" s="49"/>
      <c r="L68" s="49"/>
      <c r="M68" s="49">
        <v>4.16</v>
      </c>
      <c r="N68" s="49">
        <v>3.49</v>
      </c>
      <c r="O68" s="49">
        <v>3.28</v>
      </c>
      <c r="P68" s="49">
        <v>9.76</v>
      </c>
      <c r="Q68" s="49">
        <v>19.54</v>
      </c>
      <c r="R68" s="49">
        <v>3.85</v>
      </c>
      <c r="S68" s="49">
        <v>3.97</v>
      </c>
      <c r="T68" s="49">
        <v>26.09</v>
      </c>
      <c r="U68" s="49">
        <v>0</v>
      </c>
      <c r="V68" s="49"/>
      <c r="W68" s="49"/>
      <c r="X68" s="49"/>
      <c r="Y68" s="49">
        <v>0</v>
      </c>
    </row>
    <row r="69" spans="1:25" s="7" customFormat="1" ht="15" customHeight="1">
      <c r="A69" s="12" t="s">
        <v>60</v>
      </c>
      <c r="B69" s="8" t="s">
        <v>598</v>
      </c>
      <c r="C69" s="9" t="s">
        <v>656</v>
      </c>
      <c r="D69" s="9" t="s">
        <v>604</v>
      </c>
      <c r="E69" s="49"/>
      <c r="F69" s="49"/>
      <c r="G69" s="49"/>
      <c r="H69" s="49">
        <v>0.78</v>
      </c>
      <c r="I69" s="49"/>
      <c r="J69" s="49">
        <v>0</v>
      </c>
      <c r="K69" s="49"/>
      <c r="L69" s="49"/>
      <c r="M69" s="49"/>
      <c r="N69" s="49">
        <v>0.36</v>
      </c>
      <c r="O69" s="49">
        <v>0.64</v>
      </c>
      <c r="P69" s="49">
        <v>1.5</v>
      </c>
      <c r="Q69" s="49">
        <v>0.65</v>
      </c>
      <c r="R69" s="49"/>
      <c r="S69" s="49"/>
      <c r="T69" s="49">
        <v>0.24</v>
      </c>
      <c r="U69" s="49"/>
      <c r="V69" s="49"/>
      <c r="W69" s="49"/>
      <c r="X69" s="49"/>
      <c r="Y69" s="49">
        <v>0</v>
      </c>
    </row>
    <row r="70" spans="1:25" s="7" customFormat="1" ht="15" customHeight="1">
      <c r="A70" s="12" t="s">
        <v>61</v>
      </c>
      <c r="B70" s="8" t="s">
        <v>598</v>
      </c>
      <c r="C70" s="9" t="s">
        <v>657</v>
      </c>
      <c r="D70" s="9" t="s">
        <v>604</v>
      </c>
      <c r="E70" s="49"/>
      <c r="F70" s="49"/>
      <c r="G70" s="49"/>
      <c r="H70" s="49">
        <v>0.78</v>
      </c>
      <c r="I70" s="49"/>
      <c r="J70" s="49">
        <v>0</v>
      </c>
      <c r="K70" s="49"/>
      <c r="L70" s="49"/>
      <c r="M70" s="49"/>
      <c r="N70" s="49">
        <v>0.14000000000000001</v>
      </c>
      <c r="O70" s="49">
        <v>0.51</v>
      </c>
      <c r="P70" s="49">
        <v>1.5</v>
      </c>
      <c r="Q70" s="49">
        <v>0.65</v>
      </c>
      <c r="R70" s="49"/>
      <c r="S70" s="49"/>
      <c r="T70" s="49">
        <v>0.16</v>
      </c>
      <c r="U70" s="49"/>
      <c r="V70" s="49"/>
      <c r="W70" s="49"/>
      <c r="X70" s="49"/>
      <c r="Y70" s="49">
        <v>0</v>
      </c>
    </row>
    <row r="71" spans="1:25" s="7" customFormat="1" ht="15" customHeight="1">
      <c r="A71" s="12" t="s">
        <v>62</v>
      </c>
      <c r="B71" s="8" t="s">
        <v>598</v>
      </c>
      <c r="C71" s="9" t="s">
        <v>658</v>
      </c>
      <c r="D71" s="9" t="s">
        <v>604</v>
      </c>
      <c r="E71" s="49"/>
      <c r="F71" s="49"/>
      <c r="G71" s="49"/>
      <c r="H71" s="49">
        <v>0.78</v>
      </c>
      <c r="I71" s="49"/>
      <c r="J71" s="49">
        <v>0</v>
      </c>
      <c r="K71" s="49"/>
      <c r="L71" s="49"/>
      <c r="M71" s="49"/>
      <c r="N71" s="49">
        <v>0.13</v>
      </c>
      <c r="O71" s="49">
        <v>0.38</v>
      </c>
      <c r="P71" s="49">
        <v>1.5</v>
      </c>
      <c r="Q71" s="49">
        <v>0.65</v>
      </c>
      <c r="R71" s="49"/>
      <c r="S71" s="49"/>
      <c r="T71" s="49">
        <v>0.11</v>
      </c>
      <c r="U71" s="49"/>
      <c r="V71" s="49"/>
      <c r="W71" s="49"/>
      <c r="X71" s="49"/>
      <c r="Y71" s="49">
        <v>0</v>
      </c>
    </row>
    <row r="72" spans="1:25" s="7" customFormat="1" ht="15" customHeight="1">
      <c r="A72" s="12"/>
      <c r="B72" s="8"/>
      <c r="C72" s="9"/>
      <c r="D72" s="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s="7" customFormat="1" ht="15" customHeight="1">
      <c r="A73" s="12" t="s">
        <v>63</v>
      </c>
      <c r="B73" s="8" t="s">
        <v>602</v>
      </c>
      <c r="C73" s="9" t="s">
        <v>609</v>
      </c>
      <c r="D73" s="9" t="s">
        <v>605</v>
      </c>
      <c r="E73" s="49"/>
      <c r="F73" s="49">
        <v>0</v>
      </c>
      <c r="G73" s="49"/>
      <c r="H73" s="49">
        <v>20.54</v>
      </c>
      <c r="I73" s="49"/>
      <c r="J73" s="49"/>
      <c r="K73" s="49">
        <v>17</v>
      </c>
      <c r="L73" s="49">
        <v>0</v>
      </c>
      <c r="M73" s="49"/>
      <c r="N73" s="49">
        <v>6.07</v>
      </c>
      <c r="O73" s="49">
        <v>5.98</v>
      </c>
      <c r="P73" s="49">
        <v>35.96</v>
      </c>
      <c r="Q73" s="49">
        <v>24.23</v>
      </c>
      <c r="R73" s="49"/>
      <c r="S73" s="49"/>
      <c r="T73" s="49">
        <v>33.979999999999997</v>
      </c>
      <c r="U73" s="49"/>
      <c r="V73" s="49">
        <v>0</v>
      </c>
      <c r="W73" s="49"/>
      <c r="X73" s="49">
        <v>0</v>
      </c>
      <c r="Y73" s="49"/>
    </row>
    <row r="74" spans="1:25" s="7" customFormat="1" ht="15" customHeight="1">
      <c r="A74" s="12" t="s">
        <v>64</v>
      </c>
      <c r="B74" s="8" t="s">
        <v>602</v>
      </c>
      <c r="C74" s="9" t="s">
        <v>619</v>
      </c>
      <c r="D74" s="9" t="s">
        <v>605</v>
      </c>
      <c r="E74" s="49"/>
      <c r="F74" s="49">
        <v>0</v>
      </c>
      <c r="G74" s="49"/>
      <c r="H74" s="49">
        <v>19.25</v>
      </c>
      <c r="I74" s="49"/>
      <c r="J74" s="49"/>
      <c r="K74" s="49">
        <v>14</v>
      </c>
      <c r="L74" s="49">
        <v>0</v>
      </c>
      <c r="M74" s="49"/>
      <c r="N74" s="49">
        <v>3.49</v>
      </c>
      <c r="O74" s="49">
        <v>4.28</v>
      </c>
      <c r="P74" s="49">
        <v>18.5</v>
      </c>
      <c r="Q74" s="49">
        <v>22.6</v>
      </c>
      <c r="R74" s="49"/>
      <c r="S74" s="49"/>
      <c r="T74" s="49">
        <v>27.36</v>
      </c>
      <c r="U74" s="49"/>
      <c r="V74" s="49">
        <v>0</v>
      </c>
      <c r="W74" s="49"/>
      <c r="X74" s="49">
        <v>0</v>
      </c>
      <c r="Y74" s="49"/>
    </row>
    <row r="75" spans="1:25" s="7" customFormat="1" ht="15" customHeight="1">
      <c r="A75" s="12" t="s">
        <v>65</v>
      </c>
      <c r="B75" s="8" t="s">
        <v>602</v>
      </c>
      <c r="C75" s="9" t="s">
        <v>620</v>
      </c>
      <c r="D75" s="9" t="s">
        <v>605</v>
      </c>
      <c r="E75" s="49"/>
      <c r="F75" s="49">
        <v>0</v>
      </c>
      <c r="G75" s="49"/>
      <c r="H75" s="49">
        <v>17.690000000000001</v>
      </c>
      <c r="I75" s="49"/>
      <c r="J75" s="49"/>
      <c r="K75" s="49">
        <v>11</v>
      </c>
      <c r="L75" s="49">
        <v>0</v>
      </c>
      <c r="M75" s="49"/>
      <c r="N75" s="49">
        <v>3.49</v>
      </c>
      <c r="O75" s="49">
        <v>3.39</v>
      </c>
      <c r="P75" s="49">
        <v>14.39</v>
      </c>
      <c r="Q75" s="49">
        <v>21.5</v>
      </c>
      <c r="R75" s="49"/>
      <c r="S75" s="49"/>
      <c r="T75" s="49">
        <v>26.09</v>
      </c>
      <c r="U75" s="49"/>
      <c r="V75" s="49">
        <v>0</v>
      </c>
      <c r="W75" s="49"/>
      <c r="X75" s="49">
        <v>0</v>
      </c>
      <c r="Y75" s="49"/>
    </row>
    <row r="76" spans="1:25" s="7" customFormat="1" ht="15" customHeight="1">
      <c r="A76" s="12" t="s">
        <v>66</v>
      </c>
      <c r="B76" s="8" t="s">
        <v>602</v>
      </c>
      <c r="C76" s="9" t="s">
        <v>656</v>
      </c>
      <c r="D76" s="9" t="s">
        <v>604</v>
      </c>
      <c r="E76" s="49"/>
      <c r="F76" s="49">
        <v>2.34</v>
      </c>
      <c r="G76" s="49"/>
      <c r="H76" s="49">
        <v>1.1299999999999999</v>
      </c>
      <c r="I76" s="49"/>
      <c r="J76" s="49"/>
      <c r="K76" s="49">
        <v>2.25</v>
      </c>
      <c r="L76" s="49">
        <v>2.4700000000000002</v>
      </c>
      <c r="M76" s="49"/>
      <c r="N76" s="49">
        <v>0.36</v>
      </c>
      <c r="O76" s="49">
        <v>0.78</v>
      </c>
      <c r="P76" s="49">
        <v>1.5</v>
      </c>
      <c r="Q76" s="49">
        <v>0.87</v>
      </c>
      <c r="R76" s="49"/>
      <c r="S76" s="49"/>
      <c r="T76" s="49">
        <v>0.26</v>
      </c>
      <c r="U76" s="49"/>
      <c r="V76" s="49">
        <v>2.38</v>
      </c>
      <c r="W76" s="49"/>
      <c r="X76" s="49">
        <v>2.52</v>
      </c>
      <c r="Y76" s="49"/>
    </row>
    <row r="77" spans="1:25" s="7" customFormat="1" ht="15" customHeight="1">
      <c r="A77" s="12" t="s">
        <v>67</v>
      </c>
      <c r="B77" s="8" t="s">
        <v>602</v>
      </c>
      <c r="C77" s="9" t="s">
        <v>657</v>
      </c>
      <c r="D77" s="9" t="s">
        <v>604</v>
      </c>
      <c r="E77" s="49"/>
      <c r="F77" s="49">
        <v>2.34</v>
      </c>
      <c r="G77" s="49"/>
      <c r="H77" s="49">
        <v>1.1299999999999999</v>
      </c>
      <c r="I77" s="49"/>
      <c r="J77" s="49"/>
      <c r="K77" s="49">
        <v>1.75</v>
      </c>
      <c r="L77" s="49">
        <v>2.4700000000000002</v>
      </c>
      <c r="M77" s="49"/>
      <c r="N77" s="49">
        <v>0.14000000000000001</v>
      </c>
      <c r="O77" s="49">
        <v>0.62</v>
      </c>
      <c r="P77" s="49">
        <v>1.5</v>
      </c>
      <c r="Q77" s="49">
        <v>0.87</v>
      </c>
      <c r="R77" s="49"/>
      <c r="S77" s="49"/>
      <c r="T77" s="49">
        <v>0.18</v>
      </c>
      <c r="U77" s="49"/>
      <c r="V77" s="49">
        <v>2.38</v>
      </c>
      <c r="W77" s="49"/>
      <c r="X77" s="49">
        <v>2.52</v>
      </c>
      <c r="Y77" s="49"/>
    </row>
    <row r="78" spans="1:25" s="7" customFormat="1" ht="15" customHeight="1">
      <c r="A78" s="12" t="s">
        <v>68</v>
      </c>
      <c r="B78" s="8" t="s">
        <v>602</v>
      </c>
      <c r="C78" s="9" t="s">
        <v>658</v>
      </c>
      <c r="D78" s="9" t="s">
        <v>604</v>
      </c>
      <c r="E78" s="49"/>
      <c r="F78" s="49">
        <v>2.34</v>
      </c>
      <c r="G78" s="49"/>
      <c r="H78" s="49">
        <v>1.1299999999999999</v>
      </c>
      <c r="I78" s="49"/>
      <c r="J78" s="49"/>
      <c r="K78" s="49">
        <v>1.25</v>
      </c>
      <c r="L78" s="49">
        <v>2.4700000000000002</v>
      </c>
      <c r="M78" s="49"/>
      <c r="N78" s="49">
        <v>0.13</v>
      </c>
      <c r="O78" s="49">
        <v>0.47</v>
      </c>
      <c r="P78" s="49">
        <v>1.5</v>
      </c>
      <c r="Q78" s="49">
        <v>0.87</v>
      </c>
      <c r="R78" s="49"/>
      <c r="S78" s="49"/>
      <c r="T78" s="49">
        <v>0.12</v>
      </c>
      <c r="U78" s="49"/>
      <c r="V78" s="49">
        <v>2.38</v>
      </c>
      <c r="W78" s="49"/>
      <c r="X78" s="49">
        <v>2.52</v>
      </c>
      <c r="Y78" s="49"/>
    </row>
    <row r="79" spans="1:25" s="7" customFormat="1" ht="15" customHeight="1">
      <c r="A79" s="12"/>
      <c r="B79" s="8"/>
      <c r="C79" s="9"/>
      <c r="D79" s="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spans="1:25" s="7" customFormat="1" ht="15" customHeight="1">
      <c r="A80" s="12" t="s">
        <v>69</v>
      </c>
      <c r="B80" s="8" t="s">
        <v>600</v>
      </c>
      <c r="C80" s="9" t="s">
        <v>609</v>
      </c>
      <c r="D80" s="9" t="s">
        <v>605</v>
      </c>
      <c r="E80" s="49"/>
      <c r="F80" s="49"/>
      <c r="G80" s="49"/>
      <c r="H80" s="49"/>
      <c r="I80" s="49"/>
      <c r="J80" s="49"/>
      <c r="K80" s="49">
        <v>19</v>
      </c>
      <c r="L80" s="49"/>
      <c r="M80" s="49"/>
      <c r="N80" s="49">
        <v>6.07</v>
      </c>
      <c r="O80" s="49"/>
      <c r="P80" s="49">
        <v>59.19</v>
      </c>
      <c r="Q80" s="49">
        <v>23.95</v>
      </c>
      <c r="R80" s="49"/>
      <c r="S80" s="49"/>
      <c r="T80" s="49"/>
      <c r="U80" s="49"/>
      <c r="V80" s="49"/>
      <c r="W80" s="49"/>
      <c r="X80" s="49"/>
      <c r="Y80" s="49"/>
    </row>
    <row r="81" spans="1:25" s="7" customFormat="1" ht="15" customHeight="1">
      <c r="A81" s="12" t="s">
        <v>70</v>
      </c>
      <c r="B81" s="8" t="s">
        <v>600</v>
      </c>
      <c r="C81" s="9" t="s">
        <v>619</v>
      </c>
      <c r="D81" s="9" t="s">
        <v>605</v>
      </c>
      <c r="E81" s="49"/>
      <c r="F81" s="49"/>
      <c r="G81" s="49"/>
      <c r="H81" s="49"/>
      <c r="I81" s="49"/>
      <c r="J81" s="49"/>
      <c r="K81" s="49">
        <v>16</v>
      </c>
      <c r="L81" s="49"/>
      <c r="M81" s="49"/>
      <c r="N81" s="49">
        <v>3.49</v>
      </c>
      <c r="O81" s="49"/>
      <c r="P81" s="49">
        <v>37.76</v>
      </c>
      <c r="Q81" s="49">
        <v>22.94</v>
      </c>
      <c r="R81" s="49"/>
      <c r="S81" s="49"/>
      <c r="T81" s="49"/>
      <c r="U81" s="49"/>
      <c r="V81" s="49"/>
      <c r="W81" s="49"/>
      <c r="X81" s="49"/>
      <c r="Y81" s="49"/>
    </row>
    <row r="82" spans="1:25" s="7" customFormat="1" ht="15" customHeight="1">
      <c r="A82" s="12" t="s">
        <v>71</v>
      </c>
      <c r="B82" s="8" t="s">
        <v>600</v>
      </c>
      <c r="C82" s="9" t="s">
        <v>620</v>
      </c>
      <c r="D82" s="9" t="s">
        <v>605</v>
      </c>
      <c r="E82" s="49"/>
      <c r="F82" s="49"/>
      <c r="G82" s="49"/>
      <c r="H82" s="49"/>
      <c r="I82" s="49"/>
      <c r="J82" s="49"/>
      <c r="K82" s="49">
        <v>12</v>
      </c>
      <c r="L82" s="49"/>
      <c r="M82" s="49"/>
      <c r="N82" s="49">
        <v>3.49</v>
      </c>
      <c r="O82" s="49"/>
      <c r="P82" s="49">
        <v>32.65</v>
      </c>
      <c r="Q82" s="49">
        <v>21.95</v>
      </c>
      <c r="R82" s="49"/>
      <c r="S82" s="49"/>
      <c r="T82" s="49"/>
      <c r="U82" s="49"/>
      <c r="V82" s="49"/>
      <c r="W82" s="49"/>
      <c r="X82" s="49"/>
      <c r="Y82" s="49"/>
    </row>
    <row r="83" spans="1:25" s="7" customFormat="1" ht="15" customHeight="1">
      <c r="A83" s="12" t="s">
        <v>72</v>
      </c>
      <c r="B83" s="8" t="s">
        <v>600</v>
      </c>
      <c r="C83" s="9" t="s">
        <v>656</v>
      </c>
      <c r="D83" s="9" t="s">
        <v>604</v>
      </c>
      <c r="E83" s="49"/>
      <c r="F83" s="49"/>
      <c r="G83" s="49"/>
      <c r="H83" s="49"/>
      <c r="I83" s="49"/>
      <c r="J83" s="49"/>
      <c r="K83" s="49">
        <v>2.25</v>
      </c>
      <c r="L83" s="49"/>
      <c r="M83" s="49"/>
      <c r="N83" s="49">
        <v>0.36</v>
      </c>
      <c r="O83" s="49"/>
      <c r="P83" s="49">
        <v>1.5</v>
      </c>
      <c r="Q83" s="49">
        <v>0.65</v>
      </c>
      <c r="R83" s="49"/>
      <c r="S83" s="49"/>
      <c r="T83" s="49"/>
      <c r="U83" s="49"/>
      <c r="V83" s="49"/>
      <c r="W83" s="49"/>
      <c r="X83" s="49"/>
      <c r="Y83" s="49"/>
    </row>
    <row r="84" spans="1:25" s="7" customFormat="1" ht="15" customHeight="1">
      <c r="A84" s="12" t="s">
        <v>73</v>
      </c>
      <c r="B84" s="8" t="s">
        <v>600</v>
      </c>
      <c r="C84" s="9" t="s">
        <v>657</v>
      </c>
      <c r="D84" s="9" t="s">
        <v>604</v>
      </c>
      <c r="E84" s="49"/>
      <c r="F84" s="49"/>
      <c r="G84" s="49"/>
      <c r="H84" s="49"/>
      <c r="I84" s="49"/>
      <c r="J84" s="49"/>
      <c r="K84" s="49">
        <v>1.75</v>
      </c>
      <c r="L84" s="49"/>
      <c r="M84" s="49"/>
      <c r="N84" s="49">
        <v>0.14000000000000001</v>
      </c>
      <c r="O84" s="49"/>
      <c r="P84" s="49">
        <v>1.5</v>
      </c>
      <c r="Q84" s="49">
        <v>0.65</v>
      </c>
      <c r="R84" s="49"/>
      <c r="S84" s="49"/>
      <c r="T84" s="49"/>
      <c r="U84" s="49"/>
      <c r="V84" s="49"/>
      <c r="W84" s="49"/>
      <c r="X84" s="49"/>
      <c r="Y84" s="49"/>
    </row>
    <row r="85" spans="1:25" s="7" customFormat="1" ht="15" customHeight="1">
      <c r="A85" s="12" t="s">
        <v>74</v>
      </c>
      <c r="B85" s="8" t="s">
        <v>600</v>
      </c>
      <c r="C85" s="9" t="s">
        <v>658</v>
      </c>
      <c r="D85" s="9" t="s">
        <v>604</v>
      </c>
      <c r="E85" s="49"/>
      <c r="F85" s="49"/>
      <c r="G85" s="49"/>
      <c r="H85" s="49"/>
      <c r="I85" s="49"/>
      <c r="J85" s="49"/>
      <c r="K85" s="49">
        <v>1.25</v>
      </c>
      <c r="L85" s="49"/>
      <c r="M85" s="49"/>
      <c r="N85" s="49">
        <v>0.13</v>
      </c>
      <c r="O85" s="49"/>
      <c r="P85" s="49">
        <v>1.5</v>
      </c>
      <c r="Q85" s="49">
        <v>0.65</v>
      </c>
      <c r="R85" s="49"/>
      <c r="S85" s="49"/>
      <c r="T85" s="49"/>
      <c r="U85" s="49"/>
      <c r="V85" s="49"/>
      <c r="W85" s="49"/>
      <c r="X85" s="49"/>
      <c r="Y85" s="49"/>
    </row>
    <row r="86" spans="1:25" s="7" customFormat="1" ht="15" customHeight="1">
      <c r="A86" s="12"/>
      <c r="B86" s="8"/>
      <c r="C86" s="9"/>
      <c r="D86" s="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spans="1:25" s="7" customFormat="1" ht="15" customHeight="1">
      <c r="A87" s="12" t="s">
        <v>75</v>
      </c>
      <c r="B87" s="8" t="s">
        <v>601</v>
      </c>
      <c r="C87" s="9" t="s">
        <v>609</v>
      </c>
      <c r="D87" s="9" t="s">
        <v>605</v>
      </c>
      <c r="E87" s="49">
        <v>4.25</v>
      </c>
      <c r="F87" s="49"/>
      <c r="G87" s="49"/>
      <c r="H87" s="49"/>
      <c r="I87" s="49"/>
      <c r="J87" s="49">
        <v>0</v>
      </c>
      <c r="K87" s="49"/>
      <c r="L87" s="49">
        <v>0</v>
      </c>
      <c r="M87" s="49">
        <v>4.16</v>
      </c>
      <c r="N87" s="49">
        <v>6.07</v>
      </c>
      <c r="O87" s="49">
        <v>5.32</v>
      </c>
      <c r="P87" s="49"/>
      <c r="Q87" s="49">
        <v>21.72</v>
      </c>
      <c r="R87" s="49">
        <v>3.85</v>
      </c>
      <c r="S87" s="49">
        <v>4.04</v>
      </c>
      <c r="T87" s="49">
        <v>45.1</v>
      </c>
      <c r="U87" s="49"/>
      <c r="V87" s="49"/>
      <c r="W87" s="49"/>
      <c r="X87" s="49"/>
      <c r="Y87" s="49"/>
    </row>
    <row r="88" spans="1:25" s="7" customFormat="1" ht="15" customHeight="1">
      <c r="A88" s="12" t="s">
        <v>76</v>
      </c>
      <c r="B88" s="8" t="s">
        <v>601</v>
      </c>
      <c r="C88" s="9" t="s">
        <v>619</v>
      </c>
      <c r="D88" s="9" t="s">
        <v>605</v>
      </c>
      <c r="E88" s="49">
        <v>4.25</v>
      </c>
      <c r="F88" s="49"/>
      <c r="G88" s="49"/>
      <c r="H88" s="49"/>
      <c r="I88" s="49"/>
      <c r="J88" s="49">
        <v>0</v>
      </c>
      <c r="K88" s="49"/>
      <c r="L88" s="49">
        <v>0</v>
      </c>
      <c r="M88" s="49">
        <v>4.16</v>
      </c>
      <c r="N88" s="49">
        <v>3.49</v>
      </c>
      <c r="O88" s="49">
        <v>3.9</v>
      </c>
      <c r="P88" s="49"/>
      <c r="Q88" s="49">
        <v>20.079999999999998</v>
      </c>
      <c r="R88" s="49">
        <v>3.85</v>
      </c>
      <c r="S88" s="49">
        <v>4</v>
      </c>
      <c r="T88" s="49">
        <v>36.31</v>
      </c>
      <c r="U88" s="49"/>
      <c r="V88" s="49"/>
      <c r="W88" s="49"/>
      <c r="X88" s="49"/>
      <c r="Y88" s="49"/>
    </row>
    <row r="89" spans="1:25" s="7" customFormat="1" ht="15" customHeight="1">
      <c r="A89" s="12" t="s">
        <v>77</v>
      </c>
      <c r="B89" s="8" t="s">
        <v>601</v>
      </c>
      <c r="C89" s="9" t="s">
        <v>620</v>
      </c>
      <c r="D89" s="9" t="s">
        <v>605</v>
      </c>
      <c r="E89" s="49">
        <v>4.25</v>
      </c>
      <c r="F89" s="49"/>
      <c r="G89" s="49"/>
      <c r="H89" s="49"/>
      <c r="I89" s="49"/>
      <c r="J89" s="49">
        <v>0</v>
      </c>
      <c r="K89" s="49"/>
      <c r="L89" s="49">
        <v>0</v>
      </c>
      <c r="M89" s="49">
        <v>4.16</v>
      </c>
      <c r="N89" s="49">
        <v>3.49</v>
      </c>
      <c r="O89" s="49">
        <v>3.15</v>
      </c>
      <c r="P89" s="49"/>
      <c r="Q89" s="49">
        <v>19.2</v>
      </c>
      <c r="R89" s="49">
        <v>3.85</v>
      </c>
      <c r="S89" s="49">
        <v>3.97</v>
      </c>
      <c r="T89" s="49">
        <v>34.619999999999997</v>
      </c>
      <c r="U89" s="49"/>
      <c r="V89" s="49"/>
      <c r="W89" s="49"/>
      <c r="X89" s="49"/>
      <c r="Y89" s="49"/>
    </row>
    <row r="90" spans="1:25" s="7" customFormat="1" ht="15" customHeight="1">
      <c r="A90" s="12" t="s">
        <v>78</v>
      </c>
      <c r="B90" s="8" t="s">
        <v>601</v>
      </c>
      <c r="C90" s="9" t="s">
        <v>656</v>
      </c>
      <c r="D90" s="9" t="s">
        <v>604</v>
      </c>
      <c r="E90" s="49"/>
      <c r="F90" s="49"/>
      <c r="G90" s="49"/>
      <c r="H90" s="49"/>
      <c r="I90" s="49"/>
      <c r="J90" s="49">
        <v>0</v>
      </c>
      <c r="K90" s="49"/>
      <c r="L90" s="49">
        <v>1.77</v>
      </c>
      <c r="M90" s="49"/>
      <c r="N90" s="49">
        <v>0.36</v>
      </c>
      <c r="O90" s="49">
        <v>0.62</v>
      </c>
      <c r="P90" s="49"/>
      <c r="Q90" s="49">
        <v>0.65</v>
      </c>
      <c r="R90" s="49"/>
      <c r="S90" s="49"/>
      <c r="T90" s="49">
        <v>0.6</v>
      </c>
      <c r="U90" s="49"/>
      <c r="V90" s="49"/>
      <c r="W90" s="49"/>
      <c r="X90" s="49"/>
      <c r="Y90" s="49"/>
    </row>
    <row r="91" spans="1:25" s="7" customFormat="1" ht="15" customHeight="1">
      <c r="A91" s="12" t="s">
        <v>79</v>
      </c>
      <c r="B91" s="8" t="s">
        <v>601</v>
      </c>
      <c r="C91" s="9" t="s">
        <v>657</v>
      </c>
      <c r="D91" s="9" t="s">
        <v>604</v>
      </c>
      <c r="E91" s="49"/>
      <c r="F91" s="49"/>
      <c r="G91" s="49"/>
      <c r="H91" s="49"/>
      <c r="I91" s="49"/>
      <c r="J91" s="49">
        <v>0</v>
      </c>
      <c r="K91" s="49"/>
      <c r="L91" s="49">
        <v>1.77</v>
      </c>
      <c r="M91" s="49"/>
      <c r="N91" s="49">
        <v>0.14000000000000001</v>
      </c>
      <c r="O91" s="49">
        <v>0.49</v>
      </c>
      <c r="P91" s="49"/>
      <c r="Q91" s="49">
        <v>0.65</v>
      </c>
      <c r="R91" s="49"/>
      <c r="S91" s="49"/>
      <c r="T91" s="49">
        <v>0.31</v>
      </c>
      <c r="U91" s="49"/>
      <c r="V91" s="49"/>
      <c r="W91" s="49"/>
      <c r="X91" s="49"/>
      <c r="Y91" s="49"/>
    </row>
    <row r="92" spans="1:25" s="7" customFormat="1" ht="15" customHeight="1">
      <c r="A92" s="12" t="s">
        <v>80</v>
      </c>
      <c r="B92" s="8" t="s">
        <v>601</v>
      </c>
      <c r="C92" s="9" t="s">
        <v>658</v>
      </c>
      <c r="D92" s="9" t="s">
        <v>604</v>
      </c>
      <c r="E92" s="49"/>
      <c r="F92" s="49"/>
      <c r="G92" s="49"/>
      <c r="H92" s="49"/>
      <c r="I92" s="49"/>
      <c r="J92" s="49">
        <v>0</v>
      </c>
      <c r="K92" s="49"/>
      <c r="L92" s="49">
        <v>1.77</v>
      </c>
      <c r="M92" s="49"/>
      <c r="N92" s="49">
        <v>0.13</v>
      </c>
      <c r="O92" s="49">
        <v>0.37</v>
      </c>
      <c r="P92" s="49"/>
      <c r="Q92" s="49">
        <v>0.65</v>
      </c>
      <c r="R92" s="49"/>
      <c r="S92" s="49"/>
      <c r="T92" s="49">
        <v>0.14000000000000001</v>
      </c>
      <c r="U92" s="49"/>
      <c r="V92" s="49"/>
      <c r="W92" s="49"/>
      <c r="X92" s="49"/>
      <c r="Y92" s="49"/>
    </row>
    <row r="93" spans="1:25" s="7" customFormat="1" ht="15" customHeight="1">
      <c r="A93" s="12"/>
      <c r="B93" s="8"/>
      <c r="C93" s="9"/>
      <c r="D93" s="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spans="1:25" s="7" customFormat="1" ht="15" customHeight="1">
      <c r="A94" s="12" t="s">
        <v>81</v>
      </c>
      <c r="B94" s="8" t="s">
        <v>598</v>
      </c>
      <c r="C94" s="9" t="s">
        <v>608</v>
      </c>
      <c r="D94" s="9" t="s">
        <v>605</v>
      </c>
      <c r="E94" s="49"/>
      <c r="F94" s="49"/>
      <c r="G94" s="49">
        <v>11.9</v>
      </c>
      <c r="H94" s="49">
        <v>50.2</v>
      </c>
      <c r="I94" s="49"/>
      <c r="J94" s="49"/>
      <c r="K94" s="49"/>
      <c r="L94" s="49"/>
      <c r="M94" s="49"/>
      <c r="N94" s="49">
        <v>12.99</v>
      </c>
      <c r="O94" s="49">
        <v>12.95</v>
      </c>
      <c r="P94" s="49">
        <v>26.87</v>
      </c>
      <c r="Q94" s="49">
        <v>2.15</v>
      </c>
      <c r="R94" s="49"/>
      <c r="S94" s="49"/>
      <c r="T94" s="49"/>
      <c r="U94" s="49"/>
      <c r="V94" s="49"/>
      <c r="W94" s="49"/>
      <c r="X94" s="49"/>
      <c r="Y94" s="49"/>
    </row>
    <row r="95" spans="1:25" s="7" customFormat="1" ht="15" customHeight="1">
      <c r="A95" s="12" t="s">
        <v>82</v>
      </c>
      <c r="B95" s="8" t="s">
        <v>598</v>
      </c>
      <c r="C95" s="9" t="s">
        <v>621</v>
      </c>
      <c r="D95" s="9" t="s">
        <v>605</v>
      </c>
      <c r="E95" s="49"/>
      <c r="F95" s="49"/>
      <c r="G95" s="49">
        <v>8.4</v>
      </c>
      <c r="H95" s="49">
        <v>42.84</v>
      </c>
      <c r="I95" s="49"/>
      <c r="J95" s="49"/>
      <c r="K95" s="49"/>
      <c r="L95" s="49"/>
      <c r="M95" s="49"/>
      <c r="N95" s="49">
        <v>12.99</v>
      </c>
      <c r="O95" s="49">
        <v>10.96</v>
      </c>
      <c r="P95" s="49">
        <v>20.75</v>
      </c>
      <c r="Q95" s="49">
        <v>1.01</v>
      </c>
      <c r="R95" s="49"/>
      <c r="S95" s="49"/>
      <c r="T95" s="49"/>
      <c r="U95" s="49"/>
      <c r="V95" s="49"/>
      <c r="W95" s="49"/>
      <c r="X95" s="49"/>
      <c r="Y95" s="49"/>
    </row>
    <row r="96" spans="1:25" s="7" customFormat="1" ht="15" customHeight="1">
      <c r="A96" s="12" t="s">
        <v>83</v>
      </c>
      <c r="B96" s="8" t="s">
        <v>598</v>
      </c>
      <c r="C96" s="9" t="s">
        <v>622</v>
      </c>
      <c r="D96" s="9" t="s">
        <v>605</v>
      </c>
      <c r="E96" s="49"/>
      <c r="F96" s="49"/>
      <c r="G96" s="49">
        <v>7.6</v>
      </c>
      <c r="H96" s="49">
        <v>37.229999999999997</v>
      </c>
      <c r="I96" s="49"/>
      <c r="J96" s="49"/>
      <c r="K96" s="49"/>
      <c r="L96" s="49"/>
      <c r="M96" s="49"/>
      <c r="N96" s="49">
        <v>12.99</v>
      </c>
      <c r="O96" s="49">
        <v>9.11</v>
      </c>
      <c r="P96" s="49">
        <v>16.87</v>
      </c>
      <c r="Q96" s="49">
        <v>0.99</v>
      </c>
      <c r="R96" s="49"/>
      <c r="S96" s="49"/>
      <c r="T96" s="49"/>
      <c r="U96" s="49"/>
      <c r="V96" s="49"/>
      <c r="W96" s="49"/>
      <c r="X96" s="49"/>
      <c r="Y96" s="49"/>
    </row>
    <row r="97" spans="1:25" s="7" customFormat="1" ht="15" customHeight="1">
      <c r="A97" s="12" t="s">
        <v>84</v>
      </c>
      <c r="B97" s="8" t="s">
        <v>598</v>
      </c>
      <c r="C97" s="9" t="s">
        <v>659</v>
      </c>
      <c r="D97" s="9" t="s">
        <v>604</v>
      </c>
      <c r="E97" s="49"/>
      <c r="F97" s="49"/>
      <c r="G97" s="49">
        <v>3.6</v>
      </c>
      <c r="H97" s="49">
        <v>0.84</v>
      </c>
      <c r="I97" s="49"/>
      <c r="J97" s="49"/>
      <c r="K97" s="49"/>
      <c r="L97" s="49"/>
      <c r="M97" s="49"/>
      <c r="N97" s="49">
        <v>0.36</v>
      </c>
      <c r="O97" s="49">
        <v>0.64</v>
      </c>
      <c r="P97" s="49">
        <v>1.5</v>
      </c>
      <c r="Q97" s="49">
        <v>0.65</v>
      </c>
      <c r="R97" s="49"/>
      <c r="S97" s="49"/>
      <c r="T97" s="49"/>
      <c r="U97" s="49"/>
      <c r="V97" s="49"/>
      <c r="W97" s="49"/>
      <c r="X97" s="49"/>
      <c r="Y97" s="49"/>
    </row>
    <row r="98" spans="1:25" s="7" customFormat="1" ht="15" customHeight="1">
      <c r="A98" s="12" t="s">
        <v>85</v>
      </c>
      <c r="B98" s="8" t="s">
        <v>598</v>
      </c>
      <c r="C98" s="9" t="s">
        <v>660</v>
      </c>
      <c r="D98" s="9" t="s">
        <v>604</v>
      </c>
      <c r="E98" s="49"/>
      <c r="F98" s="49"/>
      <c r="G98" s="49">
        <v>3.24</v>
      </c>
      <c r="H98" s="49">
        <v>0.84</v>
      </c>
      <c r="I98" s="49"/>
      <c r="J98" s="49"/>
      <c r="K98" s="49"/>
      <c r="L98" s="49"/>
      <c r="M98" s="49"/>
      <c r="N98" s="49">
        <v>0.14000000000000001</v>
      </c>
      <c r="O98" s="49">
        <v>0.51</v>
      </c>
      <c r="P98" s="49">
        <v>1.5</v>
      </c>
      <c r="Q98" s="49">
        <v>0.65</v>
      </c>
      <c r="R98" s="49"/>
      <c r="S98" s="49"/>
      <c r="T98" s="49"/>
      <c r="U98" s="49"/>
      <c r="V98" s="49"/>
      <c r="W98" s="49"/>
      <c r="X98" s="49"/>
      <c r="Y98" s="49"/>
    </row>
    <row r="99" spans="1:25" s="7" customFormat="1" ht="15" customHeight="1">
      <c r="A99" s="12" t="s">
        <v>86</v>
      </c>
      <c r="B99" s="8" t="s">
        <v>598</v>
      </c>
      <c r="C99" s="9" t="s">
        <v>661</v>
      </c>
      <c r="D99" s="9" t="s">
        <v>604</v>
      </c>
      <c r="E99" s="49"/>
      <c r="F99" s="49"/>
      <c r="G99" s="49">
        <v>2.88</v>
      </c>
      <c r="H99" s="49">
        <v>0.84</v>
      </c>
      <c r="I99" s="49"/>
      <c r="J99" s="49"/>
      <c r="K99" s="49"/>
      <c r="L99" s="49"/>
      <c r="M99" s="49"/>
      <c r="N99" s="49">
        <v>0.13</v>
      </c>
      <c r="O99" s="49">
        <v>0.38</v>
      </c>
      <c r="P99" s="49">
        <v>1.5</v>
      </c>
      <c r="Q99" s="49">
        <v>0.65</v>
      </c>
      <c r="R99" s="49"/>
      <c r="S99" s="49"/>
      <c r="T99" s="49"/>
      <c r="U99" s="49"/>
      <c r="V99" s="49"/>
      <c r="W99" s="49"/>
      <c r="X99" s="49"/>
      <c r="Y99" s="49"/>
    </row>
    <row r="100" spans="1:25" s="7" customFormat="1" ht="15" customHeight="1">
      <c r="A100" s="12"/>
      <c r="B100" s="6"/>
      <c r="C100" s="9"/>
      <c r="D100" s="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spans="1:25" s="7" customFormat="1" ht="15" customHeight="1">
      <c r="A101" s="12" t="s">
        <v>87</v>
      </c>
      <c r="B101" s="8" t="s">
        <v>602</v>
      </c>
      <c r="C101" s="9" t="s">
        <v>608</v>
      </c>
      <c r="D101" s="9" t="s">
        <v>605</v>
      </c>
      <c r="E101" s="49"/>
      <c r="F101" s="49"/>
      <c r="G101" s="49">
        <v>11.9</v>
      </c>
      <c r="H101" s="49">
        <v>73.290000000000006</v>
      </c>
      <c r="I101" s="49"/>
      <c r="J101" s="49"/>
      <c r="K101" s="49">
        <v>39</v>
      </c>
      <c r="L101" s="49"/>
      <c r="M101" s="49"/>
      <c r="N101" s="49">
        <v>12.99</v>
      </c>
      <c r="O101" s="49">
        <v>13.85</v>
      </c>
      <c r="P101" s="49">
        <v>33.51</v>
      </c>
      <c r="Q101" s="49">
        <v>2.33</v>
      </c>
      <c r="R101" s="49"/>
      <c r="S101" s="49"/>
      <c r="T101" s="49"/>
      <c r="U101" s="49"/>
      <c r="V101" s="49"/>
      <c r="W101" s="49"/>
      <c r="X101" s="49"/>
      <c r="Y101" s="49"/>
    </row>
    <row r="102" spans="1:25" s="7" customFormat="1" ht="15" customHeight="1">
      <c r="A102" s="12" t="s">
        <v>88</v>
      </c>
      <c r="B102" s="8" t="s">
        <v>602</v>
      </c>
      <c r="C102" s="9" t="s">
        <v>621</v>
      </c>
      <c r="D102" s="9" t="s">
        <v>605</v>
      </c>
      <c r="E102" s="49"/>
      <c r="F102" s="49"/>
      <c r="G102" s="49">
        <v>8.4</v>
      </c>
      <c r="H102" s="49">
        <v>62.54</v>
      </c>
      <c r="I102" s="49"/>
      <c r="J102" s="49"/>
      <c r="K102" s="49">
        <v>29</v>
      </c>
      <c r="L102" s="49"/>
      <c r="M102" s="49"/>
      <c r="N102" s="49">
        <v>12.99</v>
      </c>
      <c r="O102" s="49">
        <v>11.69</v>
      </c>
      <c r="P102" s="49">
        <v>22.83</v>
      </c>
      <c r="Q102" s="49">
        <v>1.07</v>
      </c>
      <c r="R102" s="49"/>
      <c r="S102" s="49"/>
      <c r="T102" s="49"/>
      <c r="U102" s="49"/>
      <c r="V102" s="49"/>
      <c r="W102" s="49"/>
      <c r="X102" s="49"/>
      <c r="Y102" s="49"/>
    </row>
    <row r="103" spans="1:25" s="7" customFormat="1" ht="15" customHeight="1">
      <c r="A103" s="12" t="s">
        <v>89</v>
      </c>
      <c r="B103" s="8" t="s">
        <v>602</v>
      </c>
      <c r="C103" s="9" t="s">
        <v>622</v>
      </c>
      <c r="D103" s="9" t="s">
        <v>605</v>
      </c>
      <c r="E103" s="49"/>
      <c r="F103" s="49"/>
      <c r="G103" s="49">
        <v>7.6</v>
      </c>
      <c r="H103" s="49">
        <v>54.35</v>
      </c>
      <c r="I103" s="49"/>
      <c r="J103" s="49"/>
      <c r="K103" s="49">
        <v>22</v>
      </c>
      <c r="L103" s="49"/>
      <c r="M103" s="49"/>
      <c r="N103" s="49">
        <v>12.99</v>
      </c>
      <c r="O103" s="49">
        <v>9.52</v>
      </c>
      <c r="P103" s="49">
        <v>19.170000000000002</v>
      </c>
      <c r="Q103" s="49">
        <v>1.06</v>
      </c>
      <c r="R103" s="49"/>
      <c r="S103" s="49"/>
      <c r="T103" s="49"/>
      <c r="U103" s="49"/>
      <c r="V103" s="49"/>
      <c r="W103" s="49"/>
      <c r="X103" s="49"/>
      <c r="Y103" s="49"/>
    </row>
    <row r="104" spans="1:25" s="7" customFormat="1" ht="15" customHeight="1">
      <c r="A104" s="12" t="s">
        <v>90</v>
      </c>
      <c r="B104" s="8" t="s">
        <v>602</v>
      </c>
      <c r="C104" s="9" t="s">
        <v>659</v>
      </c>
      <c r="D104" s="9" t="s">
        <v>604</v>
      </c>
      <c r="E104" s="49"/>
      <c r="F104" s="49"/>
      <c r="G104" s="49">
        <v>3.6</v>
      </c>
      <c r="H104" s="49">
        <v>1.22</v>
      </c>
      <c r="I104" s="49"/>
      <c r="J104" s="49"/>
      <c r="K104" s="49">
        <v>2.25</v>
      </c>
      <c r="L104" s="49"/>
      <c r="M104" s="49"/>
      <c r="N104" s="49">
        <v>0.36</v>
      </c>
      <c r="O104" s="49">
        <v>0.78</v>
      </c>
      <c r="P104" s="49">
        <v>1.5</v>
      </c>
      <c r="Q104" s="49">
        <v>0.87</v>
      </c>
      <c r="R104" s="49"/>
      <c r="S104" s="49"/>
      <c r="T104" s="49"/>
      <c r="U104" s="49"/>
      <c r="V104" s="49"/>
      <c r="W104" s="49"/>
      <c r="X104" s="49"/>
      <c r="Y104" s="49"/>
    </row>
    <row r="105" spans="1:25" s="7" customFormat="1" ht="15" customHeight="1">
      <c r="A105" s="12" t="s">
        <v>91</v>
      </c>
      <c r="B105" s="8" t="s">
        <v>602</v>
      </c>
      <c r="C105" s="9" t="s">
        <v>660</v>
      </c>
      <c r="D105" s="9" t="s">
        <v>604</v>
      </c>
      <c r="E105" s="49"/>
      <c r="F105" s="49"/>
      <c r="G105" s="49">
        <v>3.24</v>
      </c>
      <c r="H105" s="49">
        <v>1.22</v>
      </c>
      <c r="I105" s="49"/>
      <c r="J105" s="49"/>
      <c r="K105" s="49">
        <v>1.75</v>
      </c>
      <c r="L105" s="49"/>
      <c r="M105" s="49"/>
      <c r="N105" s="49">
        <v>0.14000000000000001</v>
      </c>
      <c r="O105" s="49">
        <v>0.62</v>
      </c>
      <c r="P105" s="49">
        <v>1.5</v>
      </c>
      <c r="Q105" s="49">
        <v>0.87</v>
      </c>
      <c r="R105" s="49"/>
      <c r="S105" s="49"/>
      <c r="T105" s="49"/>
      <c r="U105" s="49"/>
      <c r="V105" s="49"/>
      <c r="W105" s="49"/>
      <c r="X105" s="49"/>
      <c r="Y105" s="49"/>
    </row>
    <row r="106" spans="1:25" s="7" customFormat="1" ht="15" customHeight="1">
      <c r="A106" s="12" t="s">
        <v>92</v>
      </c>
      <c r="B106" s="8" t="s">
        <v>602</v>
      </c>
      <c r="C106" s="9" t="s">
        <v>661</v>
      </c>
      <c r="D106" s="9" t="s">
        <v>604</v>
      </c>
      <c r="E106" s="49"/>
      <c r="F106" s="49"/>
      <c r="G106" s="49">
        <v>2.88</v>
      </c>
      <c r="H106" s="49">
        <v>1.22</v>
      </c>
      <c r="I106" s="49"/>
      <c r="J106" s="49"/>
      <c r="K106" s="49">
        <v>1.25</v>
      </c>
      <c r="L106" s="49"/>
      <c r="M106" s="49"/>
      <c r="N106" s="49">
        <v>0.13</v>
      </c>
      <c r="O106" s="49">
        <v>0.47</v>
      </c>
      <c r="P106" s="49">
        <v>1.5</v>
      </c>
      <c r="Q106" s="49">
        <v>0.87</v>
      </c>
      <c r="R106" s="49"/>
      <c r="S106" s="49"/>
      <c r="T106" s="49"/>
      <c r="U106" s="49"/>
      <c r="V106" s="49"/>
      <c r="W106" s="49"/>
      <c r="X106" s="49"/>
      <c r="Y106" s="49"/>
    </row>
    <row r="107" spans="1:25" s="7" customFormat="1" ht="15" customHeight="1">
      <c r="A107" s="12"/>
      <c r="B107" s="8"/>
      <c r="C107" s="9"/>
      <c r="D107" s="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spans="1:25" ht="14.25" customHeight="1">
      <c r="A108" s="12" t="s">
        <v>93</v>
      </c>
      <c r="B108" s="8" t="s">
        <v>600</v>
      </c>
      <c r="C108" s="9" t="s">
        <v>608</v>
      </c>
      <c r="D108" s="9" t="s">
        <v>605</v>
      </c>
      <c r="E108" s="49"/>
      <c r="F108" s="49"/>
      <c r="G108" s="49"/>
      <c r="H108" s="49"/>
      <c r="I108" s="49"/>
      <c r="J108" s="49"/>
      <c r="K108" s="49">
        <v>40</v>
      </c>
      <c r="L108" s="49"/>
      <c r="M108" s="49"/>
      <c r="N108" s="49">
        <v>12.99</v>
      </c>
      <c r="O108" s="49"/>
      <c r="P108" s="49">
        <v>35.380000000000003</v>
      </c>
      <c r="Q108" s="49">
        <v>2.3199999999999998</v>
      </c>
      <c r="R108" s="49"/>
      <c r="S108" s="49"/>
      <c r="T108" s="49"/>
      <c r="U108" s="49"/>
      <c r="V108" s="49"/>
      <c r="W108" s="49"/>
      <c r="X108" s="49"/>
      <c r="Y108" s="49"/>
    </row>
    <row r="109" spans="1:25" ht="14.25" customHeight="1">
      <c r="A109" s="12" t="s">
        <v>94</v>
      </c>
      <c r="B109" s="8" t="s">
        <v>600</v>
      </c>
      <c r="C109" s="9" t="s">
        <v>621</v>
      </c>
      <c r="D109" s="9" t="s">
        <v>605</v>
      </c>
      <c r="E109" s="49"/>
      <c r="F109" s="49"/>
      <c r="G109" s="49"/>
      <c r="H109" s="49"/>
      <c r="I109" s="49"/>
      <c r="J109" s="49"/>
      <c r="K109" s="49">
        <v>30</v>
      </c>
      <c r="L109" s="49"/>
      <c r="M109" s="49"/>
      <c r="N109" s="49">
        <v>12.99</v>
      </c>
      <c r="O109" s="49"/>
      <c r="P109" s="49">
        <v>24.9</v>
      </c>
      <c r="Q109" s="49">
        <v>1.1200000000000001</v>
      </c>
      <c r="R109" s="49"/>
      <c r="S109" s="49"/>
      <c r="T109" s="49"/>
      <c r="U109" s="49"/>
      <c r="V109" s="49"/>
      <c r="W109" s="49"/>
      <c r="X109" s="49"/>
      <c r="Y109" s="49"/>
    </row>
    <row r="110" spans="1:25" ht="14.25" customHeight="1">
      <c r="A110" s="12" t="s">
        <v>95</v>
      </c>
      <c r="B110" s="8" t="s">
        <v>600</v>
      </c>
      <c r="C110" s="9" t="s">
        <v>622</v>
      </c>
      <c r="D110" s="9" t="s">
        <v>605</v>
      </c>
      <c r="E110" s="49"/>
      <c r="F110" s="49"/>
      <c r="G110" s="49"/>
      <c r="H110" s="49"/>
      <c r="I110" s="49"/>
      <c r="J110" s="49"/>
      <c r="K110" s="49">
        <v>23</v>
      </c>
      <c r="L110" s="49"/>
      <c r="M110" s="49"/>
      <c r="N110" s="49">
        <v>12.99</v>
      </c>
      <c r="O110" s="49"/>
      <c r="P110" s="49">
        <v>20.71</v>
      </c>
      <c r="Q110" s="49">
        <v>1.08</v>
      </c>
      <c r="R110" s="49"/>
      <c r="S110" s="49"/>
      <c r="T110" s="49"/>
      <c r="U110" s="49"/>
      <c r="V110" s="49"/>
      <c r="W110" s="49"/>
      <c r="X110" s="49"/>
      <c r="Y110" s="49"/>
    </row>
    <row r="111" spans="1:25" ht="14.25" customHeight="1">
      <c r="A111" s="12" t="s">
        <v>96</v>
      </c>
      <c r="B111" s="8" t="s">
        <v>600</v>
      </c>
      <c r="C111" s="9" t="s">
        <v>662</v>
      </c>
      <c r="D111" s="9" t="s">
        <v>604</v>
      </c>
      <c r="E111" s="49"/>
      <c r="F111" s="49"/>
      <c r="G111" s="49"/>
      <c r="H111" s="49"/>
      <c r="I111" s="49"/>
      <c r="J111" s="49"/>
      <c r="K111" s="49">
        <v>2.25</v>
      </c>
      <c r="L111" s="49"/>
      <c r="M111" s="49"/>
      <c r="N111" s="49">
        <v>0.36</v>
      </c>
      <c r="O111" s="49"/>
      <c r="P111" s="49">
        <v>1.5</v>
      </c>
      <c r="Q111" s="49">
        <v>0.65</v>
      </c>
      <c r="R111" s="49"/>
      <c r="S111" s="49"/>
      <c r="T111" s="49"/>
      <c r="U111" s="49"/>
      <c r="V111" s="49"/>
      <c r="W111" s="49"/>
      <c r="X111" s="49"/>
      <c r="Y111" s="49"/>
    </row>
    <row r="112" spans="1:25" ht="14.25" customHeight="1">
      <c r="A112" s="12" t="s">
        <v>97</v>
      </c>
      <c r="B112" s="8" t="s">
        <v>600</v>
      </c>
      <c r="C112" s="9" t="s">
        <v>663</v>
      </c>
      <c r="D112" s="9" t="s">
        <v>604</v>
      </c>
      <c r="E112" s="49"/>
      <c r="F112" s="49"/>
      <c r="G112" s="49"/>
      <c r="H112" s="49"/>
      <c r="I112" s="49"/>
      <c r="J112" s="49"/>
      <c r="K112" s="49">
        <v>1.75</v>
      </c>
      <c r="L112" s="49"/>
      <c r="M112" s="49"/>
      <c r="N112" s="49">
        <v>0.14000000000000001</v>
      </c>
      <c r="O112" s="49"/>
      <c r="P112" s="49">
        <v>1.5</v>
      </c>
      <c r="Q112" s="49">
        <v>0.65</v>
      </c>
      <c r="R112" s="49"/>
      <c r="S112" s="49"/>
      <c r="T112" s="49"/>
      <c r="U112" s="49"/>
      <c r="V112" s="49"/>
      <c r="W112" s="49"/>
      <c r="X112" s="49"/>
      <c r="Y112" s="49"/>
    </row>
    <row r="113" spans="1:25" ht="14.25" customHeight="1">
      <c r="A113" s="12" t="s">
        <v>98</v>
      </c>
      <c r="B113" s="8" t="s">
        <v>600</v>
      </c>
      <c r="C113" s="9" t="s">
        <v>664</v>
      </c>
      <c r="D113" s="9" t="s">
        <v>604</v>
      </c>
      <c r="E113" s="49"/>
      <c r="F113" s="49"/>
      <c r="G113" s="49"/>
      <c r="H113" s="49"/>
      <c r="I113" s="49"/>
      <c r="J113" s="49"/>
      <c r="K113" s="49">
        <v>1.25</v>
      </c>
      <c r="L113" s="49"/>
      <c r="M113" s="49"/>
      <c r="N113" s="49">
        <v>0.13</v>
      </c>
      <c r="O113" s="49"/>
      <c r="P113" s="49">
        <v>1.5</v>
      </c>
      <c r="Q113" s="49">
        <v>0.65</v>
      </c>
      <c r="R113" s="49"/>
      <c r="S113" s="49"/>
      <c r="T113" s="49"/>
      <c r="U113" s="49"/>
      <c r="V113" s="49"/>
      <c r="W113" s="49"/>
      <c r="X113" s="49"/>
      <c r="Y113" s="49"/>
    </row>
    <row r="114" spans="1:25" ht="14.25" customHeight="1">
      <c r="A114" s="12"/>
      <c r="B114" s="8"/>
      <c r="C114" s="9"/>
      <c r="D114" s="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spans="1:25" ht="14.25" customHeight="1">
      <c r="A115" s="12" t="s">
        <v>99</v>
      </c>
      <c r="B115" s="8" t="s">
        <v>601</v>
      </c>
      <c r="C115" s="9" t="s">
        <v>608</v>
      </c>
      <c r="D115" s="9" t="s">
        <v>605</v>
      </c>
      <c r="E115" s="49"/>
      <c r="F115" s="49"/>
      <c r="G115" s="49"/>
      <c r="H115" s="49"/>
      <c r="I115" s="49"/>
      <c r="J115" s="49"/>
      <c r="K115" s="49"/>
      <c r="L115" s="49"/>
      <c r="M115" s="49"/>
      <c r="N115" s="49">
        <v>12.99</v>
      </c>
      <c r="O115" s="49">
        <v>12.45</v>
      </c>
      <c r="P115" s="49"/>
      <c r="Q115" s="49">
        <v>2.12</v>
      </c>
      <c r="R115" s="49"/>
      <c r="S115" s="49"/>
      <c r="T115" s="49"/>
      <c r="U115" s="49"/>
      <c r="V115" s="49"/>
      <c r="W115" s="49"/>
      <c r="X115" s="49"/>
      <c r="Y115" s="49"/>
    </row>
    <row r="116" spans="1:25" ht="14.25" customHeight="1">
      <c r="A116" s="12" t="s">
        <v>100</v>
      </c>
      <c r="B116" s="8" t="s">
        <v>601</v>
      </c>
      <c r="C116" s="9" t="s">
        <v>621</v>
      </c>
      <c r="D116" s="9" t="s">
        <v>605</v>
      </c>
      <c r="E116" s="49"/>
      <c r="F116" s="49"/>
      <c r="G116" s="49"/>
      <c r="H116" s="49"/>
      <c r="I116" s="49"/>
      <c r="J116" s="49"/>
      <c r="K116" s="49"/>
      <c r="L116" s="49"/>
      <c r="M116" s="49"/>
      <c r="N116" s="49">
        <v>12.99</v>
      </c>
      <c r="O116" s="49">
        <v>10.54</v>
      </c>
      <c r="P116" s="49"/>
      <c r="Q116" s="49">
        <v>1</v>
      </c>
      <c r="R116" s="49"/>
      <c r="S116" s="49"/>
      <c r="T116" s="49"/>
      <c r="U116" s="49"/>
      <c r="V116" s="49"/>
      <c r="W116" s="49"/>
      <c r="X116" s="49"/>
      <c r="Y116" s="49"/>
    </row>
    <row r="117" spans="1:25" ht="14.25" customHeight="1">
      <c r="A117" s="12" t="s">
        <v>101</v>
      </c>
      <c r="B117" s="8" t="s">
        <v>601</v>
      </c>
      <c r="C117" s="9" t="s">
        <v>622</v>
      </c>
      <c r="D117" s="9" t="s">
        <v>605</v>
      </c>
      <c r="E117" s="49"/>
      <c r="F117" s="49"/>
      <c r="G117" s="49"/>
      <c r="H117" s="49"/>
      <c r="I117" s="49"/>
      <c r="J117" s="49"/>
      <c r="K117" s="49"/>
      <c r="L117" s="49"/>
      <c r="M117" s="49"/>
      <c r="N117" s="49">
        <v>12.99</v>
      </c>
      <c r="O117" s="49">
        <v>8.76</v>
      </c>
      <c r="P117" s="49"/>
      <c r="Q117" s="49">
        <v>0.98</v>
      </c>
      <c r="R117" s="49"/>
      <c r="S117" s="49"/>
      <c r="T117" s="49"/>
      <c r="U117" s="49"/>
      <c r="V117" s="49"/>
      <c r="W117" s="49"/>
      <c r="X117" s="49"/>
      <c r="Y117" s="49"/>
    </row>
    <row r="118" spans="1:25" ht="14.25" customHeight="1">
      <c r="A118" s="12" t="s">
        <v>102</v>
      </c>
      <c r="B118" s="8" t="s">
        <v>601</v>
      </c>
      <c r="C118" s="9" t="s">
        <v>662</v>
      </c>
      <c r="D118" s="9" t="s">
        <v>604</v>
      </c>
      <c r="E118" s="49"/>
      <c r="F118" s="49"/>
      <c r="G118" s="49"/>
      <c r="H118" s="49"/>
      <c r="I118" s="49"/>
      <c r="J118" s="49"/>
      <c r="K118" s="49"/>
      <c r="L118" s="49"/>
      <c r="M118" s="49"/>
      <c r="N118" s="49">
        <v>0.36</v>
      </c>
      <c r="O118" s="49">
        <v>0.62</v>
      </c>
      <c r="P118" s="49"/>
      <c r="Q118" s="49">
        <v>0.65</v>
      </c>
      <c r="R118" s="49"/>
      <c r="S118" s="49"/>
      <c r="T118" s="49"/>
      <c r="U118" s="49"/>
      <c r="V118" s="49"/>
      <c r="W118" s="49"/>
      <c r="X118" s="49"/>
      <c r="Y118" s="49"/>
    </row>
    <row r="119" spans="1:25" ht="14.25" customHeight="1">
      <c r="A119" s="12" t="s">
        <v>103</v>
      </c>
      <c r="B119" s="8" t="s">
        <v>601</v>
      </c>
      <c r="C119" s="9" t="s">
        <v>663</v>
      </c>
      <c r="D119" s="9" t="s">
        <v>604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49">
        <v>0.14000000000000001</v>
      </c>
      <c r="O119" s="49">
        <v>0.49</v>
      </c>
      <c r="P119" s="49"/>
      <c r="Q119" s="49">
        <v>0.65</v>
      </c>
      <c r="R119" s="49"/>
      <c r="S119" s="49"/>
      <c r="T119" s="49"/>
      <c r="U119" s="49"/>
      <c r="V119" s="49"/>
      <c r="W119" s="49"/>
      <c r="X119" s="49"/>
      <c r="Y119" s="49"/>
    </row>
    <row r="120" spans="1:25" ht="14.25" customHeight="1">
      <c r="A120" s="12" t="s">
        <v>104</v>
      </c>
      <c r="B120" s="8" t="s">
        <v>601</v>
      </c>
      <c r="C120" s="9" t="s">
        <v>664</v>
      </c>
      <c r="D120" s="9" t="s">
        <v>604</v>
      </c>
      <c r="E120" s="49"/>
      <c r="F120" s="49"/>
      <c r="G120" s="49"/>
      <c r="H120" s="49"/>
      <c r="I120" s="49"/>
      <c r="J120" s="49"/>
      <c r="K120" s="49"/>
      <c r="L120" s="49"/>
      <c r="M120" s="49"/>
      <c r="N120" s="49">
        <v>0.13</v>
      </c>
      <c r="O120" s="49">
        <v>0.37</v>
      </c>
      <c r="P120" s="49"/>
      <c r="Q120" s="49">
        <v>0.65</v>
      </c>
      <c r="R120" s="49"/>
      <c r="S120" s="49"/>
      <c r="T120" s="49"/>
      <c r="U120" s="49"/>
      <c r="V120" s="49"/>
      <c r="W120" s="49"/>
      <c r="X120" s="49"/>
      <c r="Y120" s="49"/>
    </row>
    <row r="121" spans="1:25" ht="14.25" customHeight="1">
      <c r="A121" s="12"/>
      <c r="B121" s="8"/>
      <c r="C121" s="9"/>
      <c r="D121" s="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spans="1:25" ht="14.25" customHeight="1">
      <c r="A122" s="12" t="s">
        <v>105</v>
      </c>
      <c r="B122" s="8" t="s">
        <v>598</v>
      </c>
      <c r="C122" s="9" t="s">
        <v>665</v>
      </c>
      <c r="D122" s="9" t="s">
        <v>606</v>
      </c>
      <c r="E122" s="49">
        <v>285.39999999999998</v>
      </c>
      <c r="F122" s="49"/>
      <c r="G122" s="49">
        <v>150</v>
      </c>
      <c r="H122" s="49">
        <v>272</v>
      </c>
      <c r="I122" s="49">
        <v>96.37</v>
      </c>
      <c r="J122" s="49">
        <v>335.44</v>
      </c>
      <c r="K122" s="49"/>
      <c r="L122" s="49"/>
      <c r="M122" s="49">
        <v>590.22</v>
      </c>
      <c r="N122" s="49">
        <v>631.19000000000005</v>
      </c>
      <c r="O122" s="49">
        <v>285</v>
      </c>
      <c r="P122" s="49">
        <v>463.17</v>
      </c>
      <c r="Q122" s="49">
        <v>151.04</v>
      </c>
      <c r="R122" s="49">
        <v>158.44</v>
      </c>
      <c r="S122" s="49">
        <v>170.53</v>
      </c>
      <c r="T122" s="49">
        <v>358.27</v>
      </c>
      <c r="U122" s="49">
        <v>629.55999999999995</v>
      </c>
      <c r="V122" s="49"/>
      <c r="W122" s="49">
        <v>297.45999999999998</v>
      </c>
      <c r="X122" s="49"/>
      <c r="Y122" s="49">
        <v>440.41</v>
      </c>
    </row>
    <row r="123" spans="1:25" ht="14.25" customHeight="1">
      <c r="A123" s="12" t="s">
        <v>106</v>
      </c>
      <c r="B123" s="8" t="s">
        <v>598</v>
      </c>
      <c r="C123" s="9" t="s">
        <v>666</v>
      </c>
      <c r="D123" s="9" t="s">
        <v>606</v>
      </c>
      <c r="E123" s="49">
        <v>195.78</v>
      </c>
      <c r="F123" s="49"/>
      <c r="G123" s="49">
        <v>50</v>
      </c>
      <c r="H123" s="49">
        <v>170</v>
      </c>
      <c r="I123" s="49">
        <v>96.37</v>
      </c>
      <c r="J123" s="49">
        <v>282.93</v>
      </c>
      <c r="K123" s="49"/>
      <c r="L123" s="49"/>
      <c r="M123" s="49">
        <v>349.29</v>
      </c>
      <c r="N123" s="49">
        <v>631.19000000000005</v>
      </c>
      <c r="O123" s="49">
        <v>285</v>
      </c>
      <c r="P123" s="49">
        <v>391.67</v>
      </c>
      <c r="Q123" s="49">
        <v>127.9</v>
      </c>
      <c r="R123" s="49">
        <v>156.26</v>
      </c>
      <c r="S123" s="49">
        <v>167.75</v>
      </c>
      <c r="T123" s="49">
        <v>311.54000000000002</v>
      </c>
      <c r="U123" s="49">
        <v>372.58</v>
      </c>
      <c r="V123" s="49"/>
      <c r="W123" s="49">
        <v>247.88</v>
      </c>
      <c r="X123" s="49"/>
      <c r="Y123" s="49">
        <v>440.41</v>
      </c>
    </row>
    <row r="124" spans="1:25" ht="14.25" customHeight="1">
      <c r="A124" s="12" t="s">
        <v>107</v>
      </c>
      <c r="B124" s="8" t="s">
        <v>598</v>
      </c>
      <c r="C124" s="9" t="s">
        <v>667</v>
      </c>
      <c r="D124" s="9" t="s">
        <v>606</v>
      </c>
      <c r="E124" s="49">
        <v>166.78</v>
      </c>
      <c r="F124" s="49"/>
      <c r="G124" s="49">
        <v>30</v>
      </c>
      <c r="H124" s="49">
        <v>136</v>
      </c>
      <c r="I124" s="49">
        <v>96.37</v>
      </c>
      <c r="J124" s="49">
        <v>277.56</v>
      </c>
      <c r="K124" s="49"/>
      <c r="L124" s="49"/>
      <c r="M124" s="49">
        <v>264.39</v>
      </c>
      <c r="N124" s="49">
        <v>631.19000000000005</v>
      </c>
      <c r="O124" s="49">
        <v>285</v>
      </c>
      <c r="P124" s="49">
        <v>377.37</v>
      </c>
      <c r="Q124" s="49">
        <v>119.32</v>
      </c>
      <c r="R124" s="49">
        <v>154.08000000000001</v>
      </c>
      <c r="S124" s="49">
        <v>161.25</v>
      </c>
      <c r="T124" s="49">
        <v>270.89999999999998</v>
      </c>
      <c r="U124" s="49">
        <v>282.01</v>
      </c>
      <c r="V124" s="49"/>
      <c r="W124" s="49">
        <v>198.31</v>
      </c>
      <c r="X124" s="49"/>
      <c r="Y124" s="49">
        <v>440.41</v>
      </c>
    </row>
    <row r="125" spans="1:25" ht="14.25" customHeight="1">
      <c r="A125" s="12" t="s">
        <v>108</v>
      </c>
      <c r="B125" s="8" t="s">
        <v>598</v>
      </c>
      <c r="C125" s="9" t="s">
        <v>668</v>
      </c>
      <c r="D125" s="9" t="s">
        <v>606</v>
      </c>
      <c r="E125" s="49">
        <v>128.49</v>
      </c>
      <c r="F125" s="49"/>
      <c r="G125" s="49">
        <v>75</v>
      </c>
      <c r="H125" s="49">
        <v>102</v>
      </c>
      <c r="I125" s="49">
        <v>60.23</v>
      </c>
      <c r="J125" s="49">
        <v>76.41</v>
      </c>
      <c r="K125" s="49"/>
      <c r="L125" s="49"/>
      <c r="M125" s="49">
        <v>84.4</v>
      </c>
      <c r="N125" s="49">
        <v>145.22</v>
      </c>
      <c r="O125" s="49">
        <v>42.75</v>
      </c>
      <c r="P125" s="49">
        <v>176.45</v>
      </c>
      <c r="Q125" s="49">
        <v>58.85</v>
      </c>
      <c r="R125" s="49">
        <v>27.32</v>
      </c>
      <c r="S125" s="49">
        <v>34.85</v>
      </c>
      <c r="T125" s="49">
        <v>62.46</v>
      </c>
      <c r="U125" s="49">
        <v>89.34</v>
      </c>
      <c r="V125" s="49"/>
      <c r="W125" s="49">
        <v>55.02</v>
      </c>
      <c r="X125" s="49"/>
      <c r="Y125" s="49">
        <v>395.71</v>
      </c>
    </row>
    <row r="126" spans="1:25" ht="14.25" customHeight="1">
      <c r="A126" s="12" t="s">
        <v>109</v>
      </c>
      <c r="B126" s="8" t="s">
        <v>598</v>
      </c>
      <c r="C126" s="9" t="s">
        <v>669</v>
      </c>
      <c r="D126" s="9" t="s">
        <v>606</v>
      </c>
      <c r="E126" s="49">
        <v>44.1</v>
      </c>
      <c r="F126" s="49"/>
      <c r="G126" s="49">
        <v>35</v>
      </c>
      <c r="H126" s="49">
        <v>68</v>
      </c>
      <c r="I126" s="49">
        <v>60.23</v>
      </c>
      <c r="J126" s="49">
        <v>34.65</v>
      </c>
      <c r="K126" s="49"/>
      <c r="L126" s="49"/>
      <c r="M126" s="49">
        <v>56.18</v>
      </c>
      <c r="N126" s="49">
        <v>88.33</v>
      </c>
      <c r="O126" s="49">
        <v>40.61</v>
      </c>
      <c r="P126" s="49">
        <v>149.21</v>
      </c>
      <c r="Q126" s="49">
        <v>35.71</v>
      </c>
      <c r="R126" s="49">
        <v>21.86</v>
      </c>
      <c r="S126" s="49">
        <v>28.69</v>
      </c>
      <c r="T126" s="49">
        <v>54.31</v>
      </c>
      <c r="U126" s="49">
        <v>59.47</v>
      </c>
      <c r="V126" s="49"/>
      <c r="W126" s="49">
        <v>43.67</v>
      </c>
      <c r="X126" s="49"/>
      <c r="Y126" s="49">
        <v>155.41999999999999</v>
      </c>
    </row>
    <row r="127" spans="1:25" ht="14.25" customHeight="1">
      <c r="A127" s="12" t="s">
        <v>110</v>
      </c>
      <c r="B127" s="8" t="s">
        <v>598</v>
      </c>
      <c r="C127" s="9" t="s">
        <v>670</v>
      </c>
      <c r="D127" s="9" t="s">
        <v>606</v>
      </c>
      <c r="E127" s="49">
        <v>18.059999999999999</v>
      </c>
      <c r="F127" s="49"/>
      <c r="G127" s="49">
        <v>20</v>
      </c>
      <c r="H127" s="49">
        <v>54</v>
      </c>
      <c r="I127" s="49">
        <v>60.23</v>
      </c>
      <c r="J127" s="49">
        <v>21.48</v>
      </c>
      <c r="K127" s="49"/>
      <c r="L127" s="49"/>
      <c r="M127" s="49">
        <v>37.39</v>
      </c>
      <c r="N127" s="49">
        <v>74.11</v>
      </c>
      <c r="O127" s="49">
        <v>38.58</v>
      </c>
      <c r="P127" s="49">
        <v>143.76</v>
      </c>
      <c r="Q127" s="49">
        <v>27.13</v>
      </c>
      <c r="R127" s="49">
        <v>16.39</v>
      </c>
      <c r="S127" s="49">
        <v>18.79</v>
      </c>
      <c r="T127" s="49">
        <v>47.23</v>
      </c>
      <c r="U127" s="49">
        <v>39.6</v>
      </c>
      <c r="V127" s="49"/>
      <c r="W127" s="49">
        <v>34.47</v>
      </c>
      <c r="X127" s="49"/>
      <c r="Y127" s="49">
        <v>120</v>
      </c>
    </row>
    <row r="128" spans="1:25" ht="14.25" customHeight="1">
      <c r="A128" s="12"/>
      <c r="B128" s="8"/>
      <c r="C128" s="9"/>
      <c r="D128" s="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spans="1:25" ht="14.25" customHeight="1">
      <c r="A129" s="12" t="s">
        <v>111</v>
      </c>
      <c r="B129" s="8" t="s">
        <v>602</v>
      </c>
      <c r="C129" s="9" t="s">
        <v>665</v>
      </c>
      <c r="D129" s="9" t="s">
        <v>606</v>
      </c>
      <c r="E129" s="49"/>
      <c r="F129" s="49">
        <v>369.44</v>
      </c>
      <c r="G129" s="49">
        <v>150</v>
      </c>
      <c r="H129" s="49">
        <v>272</v>
      </c>
      <c r="I129" s="49"/>
      <c r="J129" s="49"/>
      <c r="K129" s="49">
        <v>65</v>
      </c>
      <c r="L129" s="49">
        <v>389.49</v>
      </c>
      <c r="M129" s="49"/>
      <c r="N129" s="49">
        <v>631.19000000000005</v>
      </c>
      <c r="O129" s="49">
        <v>285</v>
      </c>
      <c r="P129" s="49">
        <v>463.17</v>
      </c>
      <c r="Q129" s="49">
        <v>175.12</v>
      </c>
      <c r="R129" s="49"/>
      <c r="S129" s="49"/>
      <c r="T129" s="49">
        <v>358.27</v>
      </c>
      <c r="U129" s="49"/>
      <c r="V129" s="49">
        <v>367.07</v>
      </c>
      <c r="W129" s="49"/>
      <c r="X129" s="49">
        <v>440.41</v>
      </c>
      <c r="Y129" s="49"/>
    </row>
    <row r="130" spans="1:25" ht="14.25" customHeight="1">
      <c r="A130" s="12" t="s">
        <v>112</v>
      </c>
      <c r="B130" s="8" t="s">
        <v>602</v>
      </c>
      <c r="C130" s="9" t="s">
        <v>666</v>
      </c>
      <c r="D130" s="9" t="s">
        <v>606</v>
      </c>
      <c r="E130" s="49"/>
      <c r="F130" s="49">
        <v>369.44</v>
      </c>
      <c r="G130" s="49">
        <v>50</v>
      </c>
      <c r="H130" s="49">
        <v>170</v>
      </c>
      <c r="I130" s="49"/>
      <c r="J130" s="49"/>
      <c r="K130" s="49">
        <v>60</v>
      </c>
      <c r="L130" s="49">
        <v>389.49</v>
      </c>
      <c r="M130" s="49"/>
      <c r="N130" s="49">
        <v>631.19000000000005</v>
      </c>
      <c r="O130" s="49">
        <v>285</v>
      </c>
      <c r="P130" s="49">
        <v>391.67</v>
      </c>
      <c r="Q130" s="49">
        <v>149.99</v>
      </c>
      <c r="R130" s="49"/>
      <c r="S130" s="49"/>
      <c r="T130" s="49">
        <v>311.54000000000002</v>
      </c>
      <c r="U130" s="49"/>
      <c r="V130" s="49">
        <v>367.07</v>
      </c>
      <c r="W130" s="49"/>
      <c r="X130" s="49">
        <v>440.41</v>
      </c>
      <c r="Y130" s="49"/>
    </row>
    <row r="131" spans="1:25" ht="14.25" customHeight="1">
      <c r="A131" s="12" t="s">
        <v>113</v>
      </c>
      <c r="B131" s="8" t="s">
        <v>602</v>
      </c>
      <c r="C131" s="9" t="s">
        <v>667</v>
      </c>
      <c r="D131" s="9" t="s">
        <v>606</v>
      </c>
      <c r="E131" s="49"/>
      <c r="F131" s="49">
        <v>369.44</v>
      </c>
      <c r="G131" s="49">
        <v>30</v>
      </c>
      <c r="H131" s="49">
        <v>136</v>
      </c>
      <c r="I131" s="49"/>
      <c r="J131" s="49"/>
      <c r="K131" s="49">
        <v>55</v>
      </c>
      <c r="L131" s="49">
        <v>389.49</v>
      </c>
      <c r="M131" s="49"/>
      <c r="N131" s="49">
        <v>631.19000000000005</v>
      </c>
      <c r="O131" s="49">
        <v>285</v>
      </c>
      <c r="P131" s="49">
        <v>377.37</v>
      </c>
      <c r="Q131" s="49">
        <v>134.16</v>
      </c>
      <c r="R131" s="49"/>
      <c r="S131" s="49"/>
      <c r="T131" s="49">
        <v>270.89999999999998</v>
      </c>
      <c r="U131" s="49"/>
      <c r="V131" s="49">
        <v>367.07</v>
      </c>
      <c r="W131" s="49"/>
      <c r="X131" s="49">
        <v>440.41</v>
      </c>
      <c r="Y131" s="49"/>
    </row>
    <row r="132" spans="1:25" ht="14.25" customHeight="1">
      <c r="A132" s="12" t="s">
        <v>114</v>
      </c>
      <c r="B132" s="8" t="s">
        <v>602</v>
      </c>
      <c r="C132" s="9" t="s">
        <v>668</v>
      </c>
      <c r="D132" s="9" t="s">
        <v>606</v>
      </c>
      <c r="E132" s="49"/>
      <c r="F132" s="49">
        <v>60.57</v>
      </c>
      <c r="G132" s="49">
        <v>75</v>
      </c>
      <c r="H132" s="49">
        <v>102</v>
      </c>
      <c r="I132" s="49"/>
      <c r="J132" s="49"/>
      <c r="K132" s="49">
        <v>49</v>
      </c>
      <c r="L132" s="49">
        <v>55.64</v>
      </c>
      <c r="M132" s="49"/>
      <c r="N132" s="49">
        <v>145.22</v>
      </c>
      <c r="O132" s="49">
        <v>47.31</v>
      </c>
      <c r="P132" s="49">
        <v>176.45</v>
      </c>
      <c r="Q132" s="49">
        <v>73.53</v>
      </c>
      <c r="R132" s="49"/>
      <c r="S132" s="49"/>
      <c r="T132" s="49">
        <v>62.46</v>
      </c>
      <c r="U132" s="49"/>
      <c r="V132" s="49">
        <v>85</v>
      </c>
      <c r="W132" s="49"/>
      <c r="X132" s="49">
        <v>362.61</v>
      </c>
      <c r="Y132" s="49"/>
    </row>
    <row r="133" spans="1:25" ht="14.25" customHeight="1">
      <c r="A133" s="12" t="s">
        <v>115</v>
      </c>
      <c r="B133" s="8" t="s">
        <v>602</v>
      </c>
      <c r="C133" s="9" t="s">
        <v>669</v>
      </c>
      <c r="D133" s="9" t="s">
        <v>606</v>
      </c>
      <c r="E133" s="49"/>
      <c r="F133" s="49">
        <v>58.77</v>
      </c>
      <c r="G133" s="49">
        <v>35</v>
      </c>
      <c r="H133" s="49">
        <v>68</v>
      </c>
      <c r="I133" s="49"/>
      <c r="J133" s="49"/>
      <c r="K133" s="49">
        <v>49</v>
      </c>
      <c r="L133" s="49">
        <v>55.64</v>
      </c>
      <c r="M133" s="49"/>
      <c r="N133" s="49">
        <v>88.33</v>
      </c>
      <c r="O133" s="49">
        <v>44.94</v>
      </c>
      <c r="P133" s="49">
        <v>149.21</v>
      </c>
      <c r="Q133" s="49">
        <v>47.84</v>
      </c>
      <c r="R133" s="49"/>
      <c r="S133" s="49"/>
      <c r="T133" s="49">
        <v>54.31</v>
      </c>
      <c r="U133" s="49"/>
      <c r="V133" s="49">
        <v>51</v>
      </c>
      <c r="W133" s="49"/>
      <c r="X133" s="49">
        <v>196.39</v>
      </c>
      <c r="Y133" s="49"/>
    </row>
    <row r="134" spans="1:25" ht="14.25" customHeight="1">
      <c r="A134" s="12" t="s">
        <v>116</v>
      </c>
      <c r="B134" s="8" t="s">
        <v>602</v>
      </c>
      <c r="C134" s="9" t="s">
        <v>670</v>
      </c>
      <c r="D134" s="9" t="s">
        <v>606</v>
      </c>
      <c r="E134" s="49"/>
      <c r="F134" s="49">
        <v>39.93</v>
      </c>
      <c r="G134" s="49">
        <v>20</v>
      </c>
      <c r="H134" s="49">
        <v>54</v>
      </c>
      <c r="I134" s="49"/>
      <c r="J134" s="49"/>
      <c r="K134" s="49">
        <v>49</v>
      </c>
      <c r="L134" s="49">
        <v>37.1</v>
      </c>
      <c r="M134" s="49"/>
      <c r="N134" s="49">
        <v>74.11</v>
      </c>
      <c r="O134" s="49">
        <v>42.69</v>
      </c>
      <c r="P134" s="49">
        <v>143.76</v>
      </c>
      <c r="Q134" s="49">
        <v>32.58</v>
      </c>
      <c r="R134" s="49"/>
      <c r="S134" s="49"/>
      <c r="T134" s="49">
        <v>47.23</v>
      </c>
      <c r="U134" s="49"/>
      <c r="V134" s="49">
        <v>42.84</v>
      </c>
      <c r="W134" s="49"/>
      <c r="X134" s="49">
        <v>128.4</v>
      </c>
      <c r="Y134" s="49"/>
    </row>
    <row r="135" spans="1:25" ht="14.25" customHeight="1">
      <c r="A135" s="12"/>
      <c r="B135" s="8"/>
      <c r="C135" s="9"/>
      <c r="D135" s="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spans="1:25" ht="14.25" customHeight="1">
      <c r="A136" s="12" t="s">
        <v>117</v>
      </c>
      <c r="B136" s="8" t="s">
        <v>600</v>
      </c>
      <c r="C136" s="9" t="s">
        <v>665</v>
      </c>
      <c r="D136" s="9" t="s">
        <v>606</v>
      </c>
      <c r="E136" s="49"/>
      <c r="F136" s="49"/>
      <c r="G136" s="49"/>
      <c r="H136" s="49"/>
      <c r="I136" s="49"/>
      <c r="J136" s="49"/>
      <c r="K136" s="49">
        <v>65</v>
      </c>
      <c r="L136" s="49"/>
      <c r="M136" s="49"/>
      <c r="N136" s="52">
        <v>694.32</v>
      </c>
      <c r="O136" s="49"/>
      <c r="P136" s="49">
        <v>463.17</v>
      </c>
      <c r="Q136" s="49">
        <v>222.41</v>
      </c>
      <c r="R136" s="49"/>
      <c r="S136" s="49"/>
      <c r="T136" s="49">
        <v>475.42</v>
      </c>
      <c r="U136" s="49"/>
      <c r="V136" s="49"/>
      <c r="W136" s="49"/>
      <c r="X136" s="49"/>
      <c r="Y136" s="49"/>
    </row>
    <row r="137" spans="1:25" ht="14.25" customHeight="1">
      <c r="A137" s="12" t="s">
        <v>118</v>
      </c>
      <c r="B137" s="8" t="s">
        <v>600</v>
      </c>
      <c r="C137" s="9" t="s">
        <v>666</v>
      </c>
      <c r="D137" s="9" t="s">
        <v>606</v>
      </c>
      <c r="E137" s="49"/>
      <c r="F137" s="49"/>
      <c r="G137" s="49"/>
      <c r="H137" s="49"/>
      <c r="I137" s="49"/>
      <c r="J137" s="49"/>
      <c r="K137" s="49">
        <v>60</v>
      </c>
      <c r="L137" s="49"/>
      <c r="M137" s="49"/>
      <c r="N137" s="52">
        <v>694.32</v>
      </c>
      <c r="O137" s="49"/>
      <c r="P137" s="49">
        <v>391.67</v>
      </c>
      <c r="Q137" s="49">
        <v>154.38999999999999</v>
      </c>
      <c r="R137" s="49"/>
      <c r="S137" s="49"/>
      <c r="T137" s="49">
        <v>413.41</v>
      </c>
      <c r="U137" s="49"/>
      <c r="V137" s="49"/>
      <c r="W137" s="49"/>
      <c r="X137" s="49"/>
      <c r="Y137" s="49"/>
    </row>
    <row r="138" spans="1:25" ht="14.25" customHeight="1">
      <c r="A138" s="12" t="s">
        <v>119</v>
      </c>
      <c r="B138" s="8" t="s">
        <v>600</v>
      </c>
      <c r="C138" s="9" t="s">
        <v>667</v>
      </c>
      <c r="D138" s="9" t="s">
        <v>606</v>
      </c>
      <c r="E138" s="49"/>
      <c r="F138" s="49"/>
      <c r="G138" s="49"/>
      <c r="H138" s="49"/>
      <c r="I138" s="49"/>
      <c r="J138" s="49"/>
      <c r="K138" s="49">
        <v>55</v>
      </c>
      <c r="L138" s="49"/>
      <c r="M138" s="49"/>
      <c r="N138" s="52">
        <v>694.32</v>
      </c>
      <c r="O138" s="49"/>
      <c r="P138" s="49">
        <v>377.37</v>
      </c>
      <c r="Q138" s="49">
        <v>139.56</v>
      </c>
      <c r="R138" s="49"/>
      <c r="S138" s="49"/>
      <c r="T138" s="49">
        <v>359.49</v>
      </c>
      <c r="U138" s="49"/>
      <c r="V138" s="49"/>
      <c r="W138" s="49"/>
      <c r="X138" s="49"/>
      <c r="Y138" s="49"/>
    </row>
    <row r="139" spans="1:25" ht="14.25" customHeight="1">
      <c r="A139" s="12" t="s">
        <v>120</v>
      </c>
      <c r="B139" s="8" t="s">
        <v>600</v>
      </c>
      <c r="C139" s="9" t="s">
        <v>668</v>
      </c>
      <c r="D139" s="9" t="s">
        <v>606</v>
      </c>
      <c r="E139" s="49"/>
      <c r="F139" s="49"/>
      <c r="G139" s="49"/>
      <c r="H139" s="49"/>
      <c r="I139" s="49"/>
      <c r="J139" s="49"/>
      <c r="K139" s="49">
        <v>49</v>
      </c>
      <c r="L139" s="49"/>
      <c r="M139" s="49"/>
      <c r="N139" s="49">
        <v>145.22</v>
      </c>
      <c r="O139" s="49"/>
      <c r="P139" s="49">
        <v>176.45</v>
      </c>
      <c r="Q139" s="49">
        <v>118.7</v>
      </c>
      <c r="R139" s="49"/>
      <c r="S139" s="49"/>
      <c r="T139" s="49">
        <v>82.88</v>
      </c>
      <c r="U139" s="49"/>
      <c r="V139" s="49"/>
      <c r="W139" s="49"/>
      <c r="X139" s="49"/>
      <c r="Y139" s="49"/>
    </row>
    <row r="140" spans="1:25" ht="14.25" customHeight="1">
      <c r="A140" s="12" t="s">
        <v>121</v>
      </c>
      <c r="B140" s="8" t="s">
        <v>600</v>
      </c>
      <c r="C140" s="9" t="s">
        <v>669</v>
      </c>
      <c r="D140" s="9" t="s">
        <v>606</v>
      </c>
      <c r="E140" s="49"/>
      <c r="F140" s="49"/>
      <c r="G140" s="49"/>
      <c r="H140" s="49"/>
      <c r="I140" s="49"/>
      <c r="J140" s="49"/>
      <c r="K140" s="49">
        <v>49</v>
      </c>
      <c r="L140" s="49"/>
      <c r="M140" s="49"/>
      <c r="N140" s="49">
        <v>88.33</v>
      </c>
      <c r="O140" s="49"/>
      <c r="P140" s="49">
        <v>149.21</v>
      </c>
      <c r="Q140" s="49">
        <v>50.67</v>
      </c>
      <c r="R140" s="49"/>
      <c r="S140" s="49"/>
      <c r="T140" s="49">
        <v>72.069999999999993</v>
      </c>
      <c r="U140" s="49"/>
      <c r="V140" s="49"/>
      <c r="W140" s="49"/>
      <c r="X140" s="49"/>
      <c r="Y140" s="49"/>
    </row>
    <row r="141" spans="1:25" ht="14.25" customHeight="1">
      <c r="A141" s="12" t="s">
        <v>122</v>
      </c>
      <c r="B141" s="8" t="s">
        <v>600</v>
      </c>
      <c r="C141" s="9" t="s">
        <v>670</v>
      </c>
      <c r="D141" s="9" t="s">
        <v>606</v>
      </c>
      <c r="E141" s="49"/>
      <c r="F141" s="49"/>
      <c r="G141" s="49"/>
      <c r="H141" s="49"/>
      <c r="I141" s="49"/>
      <c r="J141" s="49"/>
      <c r="K141" s="49">
        <v>49</v>
      </c>
      <c r="L141" s="49"/>
      <c r="M141" s="49"/>
      <c r="N141" s="49">
        <v>74.11</v>
      </c>
      <c r="O141" s="49"/>
      <c r="P141" s="49">
        <v>143.76</v>
      </c>
      <c r="Q141" s="49">
        <v>35.76</v>
      </c>
      <c r="R141" s="49"/>
      <c r="S141" s="49"/>
      <c r="T141" s="49">
        <v>62.67</v>
      </c>
      <c r="U141" s="49"/>
      <c r="V141" s="49"/>
      <c r="W141" s="49"/>
      <c r="X141" s="49"/>
      <c r="Y141" s="49"/>
    </row>
    <row r="142" spans="1:25" ht="14.25" customHeight="1">
      <c r="A142" s="12"/>
      <c r="B142" s="8"/>
      <c r="C142" s="9"/>
      <c r="D142" s="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spans="1:25" ht="14.25" customHeight="1">
      <c r="A143" s="12" t="s">
        <v>123</v>
      </c>
      <c r="B143" s="8" t="s">
        <v>601</v>
      </c>
      <c r="C143" s="9" t="s">
        <v>665</v>
      </c>
      <c r="D143" s="9" t="s">
        <v>606</v>
      </c>
      <c r="E143" s="49">
        <v>285.39999999999998</v>
      </c>
      <c r="F143" s="49"/>
      <c r="G143" s="49"/>
      <c r="H143" s="49"/>
      <c r="I143" s="49">
        <v>96.37</v>
      </c>
      <c r="J143" s="49">
        <v>335.44</v>
      </c>
      <c r="K143" s="49"/>
      <c r="L143" s="49">
        <v>389.49</v>
      </c>
      <c r="M143" s="49">
        <v>590.22</v>
      </c>
      <c r="N143" s="49">
        <v>631.19000000000005</v>
      </c>
      <c r="O143" s="49">
        <v>285</v>
      </c>
      <c r="P143" s="49"/>
      <c r="Q143" s="49">
        <v>148.13999999999999</v>
      </c>
      <c r="R143" s="49">
        <v>158.44</v>
      </c>
      <c r="S143" s="49">
        <v>170.53</v>
      </c>
      <c r="T143" s="49"/>
      <c r="U143" s="49"/>
      <c r="V143" s="49"/>
      <c r="W143" s="49"/>
      <c r="X143" s="49"/>
      <c r="Y143" s="49"/>
    </row>
    <row r="144" spans="1:25" ht="14.25" customHeight="1">
      <c r="A144" s="12" t="s">
        <v>124</v>
      </c>
      <c r="B144" s="8" t="s">
        <v>601</v>
      </c>
      <c r="C144" s="9" t="s">
        <v>666</v>
      </c>
      <c r="D144" s="9" t="s">
        <v>606</v>
      </c>
      <c r="E144" s="49">
        <v>195.78</v>
      </c>
      <c r="F144" s="49"/>
      <c r="G144" s="49"/>
      <c r="H144" s="49"/>
      <c r="I144" s="49">
        <v>96.37</v>
      </c>
      <c r="J144" s="49">
        <v>282.93</v>
      </c>
      <c r="K144" s="49"/>
      <c r="L144" s="49">
        <v>389.49</v>
      </c>
      <c r="M144" s="49">
        <v>349.29</v>
      </c>
      <c r="N144" s="49">
        <v>631.19000000000005</v>
      </c>
      <c r="O144" s="49">
        <v>285</v>
      </c>
      <c r="P144" s="49"/>
      <c r="Q144" s="49">
        <v>125.44</v>
      </c>
      <c r="R144" s="49">
        <v>156.26</v>
      </c>
      <c r="S144" s="49">
        <v>167.75</v>
      </c>
      <c r="T144" s="49"/>
      <c r="U144" s="49"/>
      <c r="V144" s="49"/>
      <c r="W144" s="49"/>
      <c r="X144" s="49"/>
      <c r="Y144" s="49"/>
    </row>
    <row r="145" spans="1:25" ht="14.25" customHeight="1">
      <c r="A145" s="12" t="s">
        <v>125</v>
      </c>
      <c r="B145" s="8" t="s">
        <v>601</v>
      </c>
      <c r="C145" s="9" t="s">
        <v>667</v>
      </c>
      <c r="D145" s="9" t="s">
        <v>606</v>
      </c>
      <c r="E145" s="49">
        <v>166.78</v>
      </c>
      <c r="F145" s="49"/>
      <c r="G145" s="49"/>
      <c r="H145" s="49"/>
      <c r="I145" s="49">
        <v>96.37</v>
      </c>
      <c r="J145" s="49">
        <v>277.56</v>
      </c>
      <c r="K145" s="49"/>
      <c r="L145" s="49">
        <v>389.49</v>
      </c>
      <c r="M145" s="49">
        <v>264.39</v>
      </c>
      <c r="N145" s="49">
        <v>631.19000000000005</v>
      </c>
      <c r="O145" s="49">
        <v>285</v>
      </c>
      <c r="P145" s="49"/>
      <c r="Q145" s="49">
        <v>117.02</v>
      </c>
      <c r="R145" s="49">
        <v>154.08000000000001</v>
      </c>
      <c r="S145" s="49">
        <v>161.25</v>
      </c>
      <c r="T145" s="49"/>
      <c r="U145" s="49"/>
      <c r="V145" s="49"/>
      <c r="W145" s="49"/>
      <c r="X145" s="49"/>
      <c r="Y145" s="49"/>
    </row>
    <row r="146" spans="1:25" ht="14.25" customHeight="1">
      <c r="A146" s="12" t="s">
        <v>126</v>
      </c>
      <c r="B146" s="8" t="s">
        <v>601</v>
      </c>
      <c r="C146" s="9" t="s">
        <v>668</v>
      </c>
      <c r="D146" s="9" t="s">
        <v>606</v>
      </c>
      <c r="E146" s="49">
        <v>128.49</v>
      </c>
      <c r="F146" s="49"/>
      <c r="G146" s="49"/>
      <c r="H146" s="49"/>
      <c r="I146" s="49">
        <v>60.23</v>
      </c>
      <c r="J146" s="49">
        <v>76.41</v>
      </c>
      <c r="K146" s="49"/>
      <c r="L146" s="49">
        <v>55.64</v>
      </c>
      <c r="M146" s="49">
        <v>84.4</v>
      </c>
      <c r="N146" s="49">
        <v>145.22</v>
      </c>
      <c r="O146" s="49">
        <v>42.75</v>
      </c>
      <c r="P146" s="49"/>
      <c r="Q146" s="49">
        <v>57.72</v>
      </c>
      <c r="R146" s="49">
        <v>27.32</v>
      </c>
      <c r="S146" s="49">
        <v>34.85</v>
      </c>
      <c r="T146" s="49"/>
      <c r="U146" s="49"/>
      <c r="V146" s="49"/>
      <c r="W146" s="49"/>
      <c r="X146" s="49"/>
      <c r="Y146" s="49"/>
    </row>
    <row r="147" spans="1:25" ht="14.25" customHeight="1">
      <c r="A147" s="12" t="s">
        <v>127</v>
      </c>
      <c r="B147" s="8" t="s">
        <v>601</v>
      </c>
      <c r="C147" s="9" t="s">
        <v>669</v>
      </c>
      <c r="D147" s="9" t="s">
        <v>606</v>
      </c>
      <c r="E147" s="49">
        <v>44.1</v>
      </c>
      <c r="F147" s="49"/>
      <c r="G147" s="49"/>
      <c r="H147" s="49"/>
      <c r="I147" s="49">
        <v>60.23</v>
      </c>
      <c r="J147" s="49">
        <v>34.65</v>
      </c>
      <c r="K147" s="49"/>
      <c r="L147" s="49">
        <v>48.23</v>
      </c>
      <c r="M147" s="49">
        <v>56.18</v>
      </c>
      <c r="N147" s="49">
        <v>88.33</v>
      </c>
      <c r="O147" s="49">
        <v>40.61</v>
      </c>
      <c r="P147" s="49"/>
      <c r="Q147" s="49">
        <v>35.03</v>
      </c>
      <c r="R147" s="49">
        <v>21.86</v>
      </c>
      <c r="S147" s="49">
        <v>28.69</v>
      </c>
      <c r="T147" s="49"/>
      <c r="U147" s="49"/>
      <c r="V147" s="49"/>
      <c r="W147" s="49"/>
      <c r="X147" s="49"/>
      <c r="Y147" s="49"/>
    </row>
    <row r="148" spans="1:25" ht="14.25" customHeight="1">
      <c r="A148" s="12" t="s">
        <v>128</v>
      </c>
      <c r="B148" s="8" t="s">
        <v>601</v>
      </c>
      <c r="C148" s="9" t="s">
        <v>670</v>
      </c>
      <c r="D148" s="9" t="s">
        <v>606</v>
      </c>
      <c r="E148" s="49">
        <v>18.059999999999999</v>
      </c>
      <c r="F148" s="49"/>
      <c r="G148" s="49"/>
      <c r="H148" s="49"/>
      <c r="I148" s="49">
        <v>60.23</v>
      </c>
      <c r="J148" s="49">
        <v>21.48</v>
      </c>
      <c r="K148" s="49"/>
      <c r="L148" s="49">
        <v>48.23</v>
      </c>
      <c r="M148" s="49">
        <v>37.39</v>
      </c>
      <c r="N148" s="49">
        <v>74.11</v>
      </c>
      <c r="O148" s="49">
        <v>38.58</v>
      </c>
      <c r="P148" s="49"/>
      <c r="Q148" s="49">
        <v>26.61</v>
      </c>
      <c r="R148" s="49">
        <v>16.39</v>
      </c>
      <c r="S148" s="49">
        <v>18.79</v>
      </c>
      <c r="T148" s="49"/>
      <c r="U148" s="49"/>
      <c r="V148" s="49"/>
      <c r="W148" s="49"/>
      <c r="X148" s="49"/>
      <c r="Y148" s="49"/>
    </row>
    <row r="149" spans="1:25" ht="14.25" customHeight="1">
      <c r="A149" s="12"/>
      <c r="B149" s="8"/>
      <c r="C149" s="9"/>
      <c r="D149" s="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spans="1:25" ht="14.25" customHeight="1">
      <c r="A150" s="12" t="s">
        <v>129</v>
      </c>
      <c r="B150" s="8" t="s">
        <v>598</v>
      </c>
      <c r="C150" s="9" t="s">
        <v>623</v>
      </c>
      <c r="D150" s="9" t="s">
        <v>607</v>
      </c>
      <c r="E150" s="49">
        <v>375.75</v>
      </c>
      <c r="F150" s="49"/>
      <c r="G150" s="49">
        <v>108.14</v>
      </c>
      <c r="H150" s="49">
        <v>207</v>
      </c>
      <c r="I150" s="49">
        <v>139</v>
      </c>
      <c r="J150" s="49">
        <v>189</v>
      </c>
      <c r="K150" s="49"/>
      <c r="L150" s="49"/>
      <c r="M150" s="49">
        <v>230</v>
      </c>
      <c r="N150" s="49">
        <v>157.44999999999999</v>
      </c>
      <c r="O150" s="49">
        <v>187.76</v>
      </c>
      <c r="P150" s="49">
        <v>191.35</v>
      </c>
      <c r="Q150" s="49">
        <v>243</v>
      </c>
      <c r="R150" s="49">
        <v>163.6</v>
      </c>
      <c r="S150" s="49">
        <v>175</v>
      </c>
      <c r="T150" s="49">
        <v>278.14</v>
      </c>
      <c r="U150" s="49">
        <v>195</v>
      </c>
      <c r="V150" s="49"/>
      <c r="W150" s="49">
        <v>137.97</v>
      </c>
      <c r="X150" s="49"/>
      <c r="Y150" s="49">
        <v>187.37</v>
      </c>
    </row>
    <row r="151" spans="1:25" ht="14.25" customHeight="1">
      <c r="A151" s="12" t="s">
        <v>130</v>
      </c>
      <c r="B151" s="8" t="s">
        <v>598</v>
      </c>
      <c r="C151" s="9" t="s">
        <v>624</v>
      </c>
      <c r="D151" s="9" t="s">
        <v>607</v>
      </c>
      <c r="E151" s="49">
        <v>222.88</v>
      </c>
      <c r="F151" s="49"/>
      <c r="G151" s="49">
        <v>69.66</v>
      </c>
      <c r="H151" s="49">
        <v>166</v>
      </c>
      <c r="I151" s="49">
        <v>86.67</v>
      </c>
      <c r="J151" s="49">
        <v>113</v>
      </c>
      <c r="K151" s="49"/>
      <c r="L151" s="49"/>
      <c r="M151" s="49">
        <v>193</v>
      </c>
      <c r="N151" s="49">
        <v>442.72</v>
      </c>
      <c r="O151" s="49">
        <v>130.16</v>
      </c>
      <c r="P151" s="49">
        <v>281.98</v>
      </c>
      <c r="Q151" s="49">
        <v>168</v>
      </c>
      <c r="R151" s="49">
        <v>163.6</v>
      </c>
      <c r="S151" s="49">
        <v>186</v>
      </c>
      <c r="T151" s="49">
        <v>235.45</v>
      </c>
      <c r="U151" s="49">
        <v>195</v>
      </c>
      <c r="V151" s="49"/>
      <c r="W151" s="49">
        <v>104.92</v>
      </c>
      <c r="X151" s="49"/>
      <c r="Y151" s="49">
        <v>178.46</v>
      </c>
    </row>
    <row r="152" spans="1:25" ht="14.25" customHeight="1">
      <c r="A152" s="12" t="s">
        <v>131</v>
      </c>
      <c r="B152" s="8" t="s">
        <v>598</v>
      </c>
      <c r="C152" s="9" t="s">
        <v>625</v>
      </c>
      <c r="D152" s="9" t="s">
        <v>607</v>
      </c>
      <c r="E152" s="49">
        <v>340.8</v>
      </c>
      <c r="F152" s="49"/>
      <c r="G152" s="49">
        <v>85.6</v>
      </c>
      <c r="H152" s="49">
        <v>196</v>
      </c>
      <c r="I152" s="49">
        <v>101.35</v>
      </c>
      <c r="J152" s="49">
        <v>128</v>
      </c>
      <c r="K152" s="49"/>
      <c r="L152" s="49"/>
      <c r="M152" s="49">
        <v>230</v>
      </c>
      <c r="N152" s="49">
        <v>372.81</v>
      </c>
      <c r="O152" s="49">
        <v>149.97999999999999</v>
      </c>
      <c r="P152" s="49">
        <v>338.38</v>
      </c>
      <c r="Q152" s="49">
        <v>199</v>
      </c>
      <c r="R152" s="49">
        <v>163.91</v>
      </c>
      <c r="S152" s="49">
        <v>221</v>
      </c>
      <c r="T152" s="49">
        <v>244.74</v>
      </c>
      <c r="U152" s="49">
        <v>287</v>
      </c>
      <c r="V152" s="49"/>
      <c r="W152" s="49">
        <v>137.97</v>
      </c>
      <c r="X152" s="49"/>
      <c r="Y152" s="49">
        <v>185.96</v>
      </c>
    </row>
    <row r="153" spans="1:25" ht="14.25" customHeight="1">
      <c r="A153" s="12" t="s">
        <v>132</v>
      </c>
      <c r="B153" s="8" t="s">
        <v>598</v>
      </c>
      <c r="C153" s="9" t="s">
        <v>626</v>
      </c>
      <c r="D153" s="9" t="s">
        <v>607</v>
      </c>
      <c r="E153" s="49">
        <v>391.88</v>
      </c>
      <c r="F153" s="49"/>
      <c r="G153" s="49">
        <v>114.12</v>
      </c>
      <c r="H153" s="49">
        <v>211</v>
      </c>
      <c r="I153" s="49">
        <v>121.62</v>
      </c>
      <c r="J153" s="49">
        <v>144</v>
      </c>
      <c r="K153" s="49"/>
      <c r="L153" s="49"/>
      <c r="M153" s="49">
        <v>287</v>
      </c>
      <c r="N153" s="49">
        <v>304.66000000000003</v>
      </c>
      <c r="O153" s="49">
        <v>190.93</v>
      </c>
      <c r="P153" s="49">
        <v>415.92</v>
      </c>
      <c r="Q153" s="49">
        <v>243</v>
      </c>
      <c r="R153" s="49">
        <v>174.84</v>
      </c>
      <c r="S153" s="49">
        <v>246</v>
      </c>
      <c r="T153" s="49">
        <v>331.11</v>
      </c>
      <c r="U153" s="49">
        <v>368</v>
      </c>
      <c r="V153" s="49"/>
      <c r="W153" s="49">
        <v>161.88</v>
      </c>
      <c r="X153" s="49"/>
      <c r="Y153" s="49">
        <v>207.79</v>
      </c>
    </row>
    <row r="154" spans="1:25" ht="14.25" customHeight="1">
      <c r="A154" s="12" t="s">
        <v>133</v>
      </c>
      <c r="B154" s="8" t="s">
        <v>598</v>
      </c>
      <c r="C154" s="9" t="s">
        <v>627</v>
      </c>
      <c r="D154" s="9" t="s">
        <v>607</v>
      </c>
      <c r="E154" s="49">
        <v>176.96</v>
      </c>
      <c r="F154" s="49"/>
      <c r="G154" s="49">
        <v>78.94</v>
      </c>
      <c r="H154" s="49">
        <v>164</v>
      </c>
      <c r="I154" s="49">
        <v>92.66</v>
      </c>
      <c r="J154" s="49">
        <v>114</v>
      </c>
      <c r="K154" s="49"/>
      <c r="L154" s="49"/>
      <c r="M154" s="49">
        <v>132</v>
      </c>
      <c r="N154" s="49">
        <v>87.06</v>
      </c>
      <c r="O154" s="49">
        <v>126.87</v>
      </c>
      <c r="P154" s="49">
        <v>136.96</v>
      </c>
      <c r="Q154" s="49">
        <v>146</v>
      </c>
      <c r="R154" s="49">
        <v>84</v>
      </c>
      <c r="S154" s="49">
        <v>84</v>
      </c>
      <c r="T154" s="49">
        <v>167.68</v>
      </c>
      <c r="U154" s="49">
        <v>105</v>
      </c>
      <c r="V154" s="49"/>
      <c r="W154" s="49">
        <v>137.97</v>
      </c>
      <c r="X154" s="49"/>
      <c r="Y154" s="49">
        <v>118.32</v>
      </c>
    </row>
    <row r="155" spans="1:25" ht="14.25" customHeight="1">
      <c r="A155" s="12" t="s">
        <v>134</v>
      </c>
      <c r="B155" s="8" t="s">
        <v>598</v>
      </c>
      <c r="C155" s="9" t="s">
        <v>628</v>
      </c>
      <c r="D155" s="9" t="s">
        <v>607</v>
      </c>
      <c r="E155" s="49">
        <v>294.32</v>
      </c>
      <c r="F155" s="49"/>
      <c r="G155" s="49">
        <v>101.27</v>
      </c>
      <c r="H155" s="49">
        <v>211</v>
      </c>
      <c r="I155" s="49">
        <v>121.62</v>
      </c>
      <c r="J155" s="49">
        <v>167</v>
      </c>
      <c r="K155" s="49"/>
      <c r="L155" s="49"/>
      <c r="M155" s="49">
        <v>230</v>
      </c>
      <c r="N155" s="49">
        <v>165.84</v>
      </c>
      <c r="O155" s="49">
        <v>227.11</v>
      </c>
      <c r="P155" s="49">
        <v>191.35</v>
      </c>
      <c r="Q155" s="49">
        <v>199</v>
      </c>
      <c r="R155" s="49">
        <v>152.99</v>
      </c>
      <c r="S155" s="49">
        <v>223</v>
      </c>
      <c r="T155" s="49">
        <v>187.63</v>
      </c>
      <c r="U155" s="49">
        <v>368</v>
      </c>
      <c r="V155" s="49"/>
      <c r="W155" s="49">
        <v>161.88</v>
      </c>
      <c r="X155" s="49"/>
      <c r="Y155" s="49">
        <v>207.79</v>
      </c>
    </row>
    <row r="156" spans="1:25" ht="14.25" customHeight="1">
      <c r="A156" s="12" t="s">
        <v>135</v>
      </c>
      <c r="B156" s="8" t="s">
        <v>598</v>
      </c>
      <c r="C156" s="9" t="s">
        <v>629</v>
      </c>
      <c r="D156" s="9" t="s">
        <v>607</v>
      </c>
      <c r="E156" s="49">
        <v>222.88</v>
      </c>
      <c r="F156" s="49"/>
      <c r="G156" s="49">
        <v>91.3</v>
      </c>
      <c r="H156" s="49">
        <v>186</v>
      </c>
      <c r="I156" s="49">
        <v>110.04</v>
      </c>
      <c r="J156" s="49">
        <v>100</v>
      </c>
      <c r="K156" s="49"/>
      <c r="L156" s="49"/>
      <c r="M156" s="49">
        <v>193</v>
      </c>
      <c r="N156" s="49">
        <v>99.91</v>
      </c>
      <c r="O156" s="49">
        <v>149.97999999999999</v>
      </c>
      <c r="P156" s="49">
        <v>169.19</v>
      </c>
      <c r="Q156" s="49">
        <v>168</v>
      </c>
      <c r="R156" s="49">
        <v>131.13</v>
      </c>
      <c r="S156" s="49">
        <v>179</v>
      </c>
      <c r="T156" s="49">
        <v>132.02000000000001</v>
      </c>
      <c r="U156" s="49">
        <v>190</v>
      </c>
      <c r="V156" s="49"/>
      <c r="W156" s="49">
        <v>161.88</v>
      </c>
      <c r="X156" s="49"/>
      <c r="Y156" s="49">
        <v>159.30000000000001</v>
      </c>
    </row>
    <row r="157" spans="1:25" ht="14.25" customHeight="1">
      <c r="A157" s="12" t="s">
        <v>136</v>
      </c>
      <c r="B157" s="8" t="s">
        <v>598</v>
      </c>
      <c r="C157" s="9" t="s">
        <v>630</v>
      </c>
      <c r="D157" s="9" t="s">
        <v>607</v>
      </c>
      <c r="E157" s="49">
        <v>117.89</v>
      </c>
      <c r="F157" s="49"/>
      <c r="G157" s="49">
        <v>79.61</v>
      </c>
      <c r="H157" s="49">
        <v>174</v>
      </c>
      <c r="I157" s="49">
        <v>92.66</v>
      </c>
      <c r="J157" s="49">
        <v>99</v>
      </c>
      <c r="K157" s="49"/>
      <c r="L157" s="49"/>
      <c r="M157" s="49">
        <v>116</v>
      </c>
      <c r="N157" s="49">
        <v>80.849999999999994</v>
      </c>
      <c r="O157" s="49">
        <v>149.97999999999999</v>
      </c>
      <c r="P157" s="49">
        <v>136.96</v>
      </c>
      <c r="Q157" s="49">
        <v>117</v>
      </c>
      <c r="R157" s="49">
        <v>104</v>
      </c>
      <c r="S157" s="49">
        <v>104</v>
      </c>
      <c r="T157" s="49">
        <v>142.61000000000001</v>
      </c>
      <c r="U157" s="49">
        <v>145</v>
      </c>
      <c r="V157" s="49"/>
      <c r="W157" s="49">
        <v>137.97</v>
      </c>
      <c r="X157" s="49"/>
      <c r="Y157" s="49">
        <v>94.32</v>
      </c>
    </row>
    <row r="158" spans="1:25" ht="14.25" customHeight="1">
      <c r="A158" s="12" t="s">
        <v>137</v>
      </c>
      <c r="B158" s="8" t="s">
        <v>598</v>
      </c>
      <c r="C158" s="9" t="s">
        <v>631</v>
      </c>
      <c r="D158" s="9" t="s">
        <v>607</v>
      </c>
      <c r="E158" s="49">
        <v>294.32</v>
      </c>
      <c r="F158" s="49"/>
      <c r="G158" s="49">
        <v>120.27</v>
      </c>
      <c r="H158" s="49">
        <v>121</v>
      </c>
      <c r="I158" s="49">
        <v>121.62</v>
      </c>
      <c r="J158" s="49">
        <v>143</v>
      </c>
      <c r="K158" s="49"/>
      <c r="L158" s="49"/>
      <c r="M158" s="49">
        <v>193</v>
      </c>
      <c r="N158" s="49">
        <v>130.03</v>
      </c>
      <c r="O158" s="49">
        <v>137.36000000000001</v>
      </c>
      <c r="P158" s="49">
        <v>207.46</v>
      </c>
      <c r="Q158" s="49">
        <v>146</v>
      </c>
      <c r="R158" s="49">
        <v>246</v>
      </c>
      <c r="S158" s="49">
        <v>246</v>
      </c>
      <c r="T158" s="49">
        <v>178.17</v>
      </c>
      <c r="U158" s="49">
        <v>145</v>
      </c>
      <c r="V158" s="49"/>
      <c r="W158" s="49">
        <v>137.97</v>
      </c>
      <c r="X158" s="49"/>
      <c r="Y158" s="49">
        <v>154.16</v>
      </c>
    </row>
    <row r="159" spans="1:25" ht="14.25" customHeight="1">
      <c r="A159" s="12" t="s">
        <v>138</v>
      </c>
      <c r="B159" s="8" t="s">
        <v>598</v>
      </c>
      <c r="C159" s="9" t="s">
        <v>632</v>
      </c>
      <c r="D159" s="9" t="s">
        <v>607</v>
      </c>
      <c r="E159" s="49">
        <v>230.54</v>
      </c>
      <c r="F159" s="49"/>
      <c r="G159" s="49">
        <v>77.27</v>
      </c>
      <c r="H159" s="49">
        <v>207</v>
      </c>
      <c r="I159" s="49">
        <v>121.62</v>
      </c>
      <c r="J159" s="49">
        <v>171</v>
      </c>
      <c r="K159" s="49"/>
      <c r="L159" s="49"/>
      <c r="M159" s="49">
        <v>151</v>
      </c>
      <c r="N159" s="49">
        <v>141.91999999999999</v>
      </c>
      <c r="O159" s="49">
        <v>137.36000000000001</v>
      </c>
      <c r="P159" s="49">
        <v>169.19</v>
      </c>
      <c r="Q159" s="49">
        <v>117</v>
      </c>
      <c r="R159" s="49">
        <v>153</v>
      </c>
      <c r="S159" s="49">
        <v>153</v>
      </c>
      <c r="T159" s="49">
        <v>176.31</v>
      </c>
      <c r="U159" s="49">
        <v>105</v>
      </c>
      <c r="V159" s="49"/>
      <c r="W159" s="49">
        <v>137.97</v>
      </c>
      <c r="X159" s="49"/>
      <c r="Y159" s="49">
        <v>207.79</v>
      </c>
    </row>
    <row r="160" spans="1:25" ht="14.25" customHeight="1">
      <c r="A160" s="12" t="s">
        <v>139</v>
      </c>
      <c r="B160" s="8" t="s">
        <v>598</v>
      </c>
      <c r="C160" s="9" t="s">
        <v>633</v>
      </c>
      <c r="D160" s="9" t="s">
        <v>607</v>
      </c>
      <c r="E160" s="49">
        <v>253.38</v>
      </c>
      <c r="F160" s="49"/>
      <c r="G160" s="49">
        <v>77.61</v>
      </c>
      <c r="H160" s="49">
        <v>196</v>
      </c>
      <c r="I160" s="49">
        <v>107.14</v>
      </c>
      <c r="J160" s="49">
        <v>119</v>
      </c>
      <c r="K160" s="49"/>
      <c r="L160" s="49"/>
      <c r="M160" s="49">
        <v>343</v>
      </c>
      <c r="N160" s="49">
        <v>137.11000000000001</v>
      </c>
      <c r="O160" s="49">
        <v>126.87</v>
      </c>
      <c r="P160" s="49">
        <v>207.46</v>
      </c>
      <c r="Q160" s="49">
        <v>199</v>
      </c>
      <c r="R160" s="49">
        <v>152.99</v>
      </c>
      <c r="S160" s="49">
        <v>132</v>
      </c>
      <c r="T160" s="49">
        <v>121.96</v>
      </c>
      <c r="U160" s="49">
        <v>145</v>
      </c>
      <c r="V160" s="49"/>
      <c r="W160" s="49">
        <v>137.97</v>
      </c>
      <c r="X160" s="49"/>
      <c r="Y160" s="49">
        <v>187.37</v>
      </c>
    </row>
    <row r="161" spans="1:25" ht="14.25" customHeight="1">
      <c r="A161" s="12"/>
      <c r="B161" s="8"/>
      <c r="C161" s="9"/>
      <c r="D161" s="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spans="1:25" ht="14.25" customHeight="1">
      <c r="A162" s="12" t="s">
        <v>140</v>
      </c>
      <c r="B162" s="8" t="s">
        <v>602</v>
      </c>
      <c r="C162" s="9" t="s">
        <v>623</v>
      </c>
      <c r="D162" s="9" t="s">
        <v>607</v>
      </c>
      <c r="E162" s="49"/>
      <c r="F162" s="49">
        <v>375.75</v>
      </c>
      <c r="G162" s="49">
        <v>108.14</v>
      </c>
      <c r="H162" s="49">
        <v>207</v>
      </c>
      <c r="I162" s="49"/>
      <c r="J162" s="49"/>
      <c r="K162" s="49">
        <v>194</v>
      </c>
      <c r="L162" s="49">
        <v>152.72</v>
      </c>
      <c r="M162" s="49"/>
      <c r="N162" s="49">
        <v>157.44999999999999</v>
      </c>
      <c r="O162" s="49">
        <v>187.76</v>
      </c>
      <c r="P162" s="49">
        <v>191.35</v>
      </c>
      <c r="Q162" s="49">
        <v>243</v>
      </c>
      <c r="R162" s="49"/>
      <c r="S162" s="49"/>
      <c r="T162" s="49">
        <v>278.14</v>
      </c>
      <c r="U162" s="49"/>
      <c r="V162" s="49">
        <v>195</v>
      </c>
      <c r="W162" s="49"/>
      <c r="X162" s="49">
        <v>187.37</v>
      </c>
      <c r="Y162" s="49"/>
    </row>
    <row r="163" spans="1:25" ht="14.25" customHeight="1">
      <c r="A163" s="12" t="s">
        <v>141</v>
      </c>
      <c r="B163" s="8" t="s">
        <v>602</v>
      </c>
      <c r="C163" s="9" t="s">
        <v>624</v>
      </c>
      <c r="D163" s="9" t="s">
        <v>607</v>
      </c>
      <c r="E163" s="49"/>
      <c r="F163" s="49">
        <v>222.88</v>
      </c>
      <c r="G163" s="49">
        <v>69.66</v>
      </c>
      <c r="H163" s="49">
        <v>166</v>
      </c>
      <c r="I163" s="49"/>
      <c r="J163" s="49"/>
      <c r="K163" s="49">
        <v>220</v>
      </c>
      <c r="L163" s="49">
        <v>119.66</v>
      </c>
      <c r="M163" s="49"/>
      <c r="N163" s="49">
        <v>442.72</v>
      </c>
      <c r="O163" s="49">
        <v>130.16</v>
      </c>
      <c r="P163" s="49">
        <v>281.98</v>
      </c>
      <c r="Q163" s="49">
        <v>168</v>
      </c>
      <c r="R163" s="49"/>
      <c r="S163" s="49"/>
      <c r="T163" s="49">
        <v>235.45</v>
      </c>
      <c r="U163" s="49"/>
      <c r="V163" s="49">
        <v>195</v>
      </c>
      <c r="W163" s="49"/>
      <c r="X163" s="49">
        <v>178.46</v>
      </c>
      <c r="Y163" s="49"/>
    </row>
    <row r="164" spans="1:25" ht="14.25" customHeight="1">
      <c r="A164" s="12" t="s">
        <v>142</v>
      </c>
      <c r="B164" s="8" t="s">
        <v>602</v>
      </c>
      <c r="C164" s="9" t="s">
        <v>625</v>
      </c>
      <c r="D164" s="9" t="s">
        <v>607</v>
      </c>
      <c r="E164" s="49"/>
      <c r="F164" s="49">
        <v>340.8</v>
      </c>
      <c r="G164" s="49">
        <v>85.6</v>
      </c>
      <c r="H164" s="49">
        <v>196</v>
      </c>
      <c r="I164" s="49"/>
      <c r="J164" s="49"/>
      <c r="K164" s="49">
        <v>276</v>
      </c>
      <c r="L164" s="49">
        <v>131.19</v>
      </c>
      <c r="M164" s="49"/>
      <c r="N164" s="49">
        <v>372.81</v>
      </c>
      <c r="O164" s="49">
        <v>149.97999999999999</v>
      </c>
      <c r="P164" s="49">
        <v>338.38</v>
      </c>
      <c r="Q164" s="49">
        <v>199</v>
      </c>
      <c r="R164" s="49"/>
      <c r="S164" s="49"/>
      <c r="T164" s="49">
        <v>244.74</v>
      </c>
      <c r="U164" s="49"/>
      <c r="V164" s="49">
        <v>287</v>
      </c>
      <c r="W164" s="49"/>
      <c r="X164" s="49">
        <v>185.56</v>
      </c>
      <c r="Y164" s="49"/>
    </row>
    <row r="165" spans="1:25" ht="14.25" customHeight="1">
      <c r="A165" s="12" t="s">
        <v>143</v>
      </c>
      <c r="B165" s="8" t="s">
        <v>602</v>
      </c>
      <c r="C165" s="9" t="s">
        <v>626</v>
      </c>
      <c r="D165" s="9" t="s">
        <v>607</v>
      </c>
      <c r="E165" s="49"/>
      <c r="F165" s="49">
        <v>391.88</v>
      </c>
      <c r="G165" s="49">
        <v>114.12</v>
      </c>
      <c r="H165" s="49">
        <v>211</v>
      </c>
      <c r="I165" s="49"/>
      <c r="J165" s="49"/>
      <c r="K165" s="49">
        <v>391</v>
      </c>
      <c r="L165" s="49">
        <v>171.01</v>
      </c>
      <c r="M165" s="49"/>
      <c r="N165" s="49">
        <v>304.66000000000003</v>
      </c>
      <c r="O165" s="49">
        <v>190.93</v>
      </c>
      <c r="P165" s="49">
        <v>415.92</v>
      </c>
      <c r="Q165" s="49">
        <v>243</v>
      </c>
      <c r="R165" s="49"/>
      <c r="S165" s="49"/>
      <c r="T165" s="49">
        <v>331.11</v>
      </c>
      <c r="U165" s="49"/>
      <c r="V165" s="49">
        <v>368</v>
      </c>
      <c r="W165" s="49"/>
      <c r="X165" s="49">
        <v>207.79</v>
      </c>
      <c r="Y165" s="49"/>
    </row>
    <row r="166" spans="1:25" ht="14.25" customHeight="1">
      <c r="A166" s="12" t="s">
        <v>144</v>
      </c>
      <c r="B166" s="8" t="s">
        <v>602</v>
      </c>
      <c r="C166" s="9" t="s">
        <v>627</v>
      </c>
      <c r="D166" s="9" t="s">
        <v>607</v>
      </c>
      <c r="E166" s="49"/>
      <c r="F166" s="49">
        <v>176.96</v>
      </c>
      <c r="G166" s="49">
        <v>78.94</v>
      </c>
      <c r="H166" s="49">
        <v>164</v>
      </c>
      <c r="I166" s="49"/>
      <c r="J166" s="49"/>
      <c r="K166" s="49">
        <v>117</v>
      </c>
      <c r="L166" s="49">
        <v>99.29</v>
      </c>
      <c r="M166" s="49"/>
      <c r="N166" s="49">
        <v>87.06</v>
      </c>
      <c r="O166" s="49">
        <v>126.87</v>
      </c>
      <c r="P166" s="49">
        <v>136.96</v>
      </c>
      <c r="Q166" s="49">
        <v>146</v>
      </c>
      <c r="R166" s="49"/>
      <c r="S166" s="49"/>
      <c r="T166" s="49">
        <v>167.68</v>
      </c>
      <c r="U166" s="49"/>
      <c r="V166" s="49">
        <v>105</v>
      </c>
      <c r="W166" s="49"/>
      <c r="X166" s="49">
        <v>118.32</v>
      </c>
      <c r="Y166" s="49"/>
    </row>
    <row r="167" spans="1:25" ht="14.25" customHeight="1">
      <c r="A167" s="12" t="s">
        <v>145</v>
      </c>
      <c r="B167" s="8" t="s">
        <v>602</v>
      </c>
      <c r="C167" s="9" t="s">
        <v>628</v>
      </c>
      <c r="D167" s="9" t="s">
        <v>607</v>
      </c>
      <c r="E167" s="49"/>
      <c r="F167" s="49">
        <v>294.32</v>
      </c>
      <c r="G167" s="49">
        <v>101.27</v>
      </c>
      <c r="H167" s="49">
        <v>211</v>
      </c>
      <c r="I167" s="49"/>
      <c r="J167" s="49"/>
      <c r="K167" s="49">
        <v>172</v>
      </c>
      <c r="L167" s="49">
        <v>131.19</v>
      </c>
      <c r="M167" s="49"/>
      <c r="N167" s="49">
        <v>165.84</v>
      </c>
      <c r="O167" s="49">
        <v>227.11</v>
      </c>
      <c r="P167" s="49">
        <v>191.35</v>
      </c>
      <c r="Q167" s="49">
        <v>199</v>
      </c>
      <c r="R167" s="49"/>
      <c r="S167" s="49"/>
      <c r="T167" s="49">
        <v>187.63</v>
      </c>
      <c r="U167" s="49"/>
      <c r="V167" s="49">
        <v>368</v>
      </c>
      <c r="W167" s="49"/>
      <c r="X167" s="49">
        <v>207.79</v>
      </c>
      <c r="Y167" s="49"/>
    </row>
    <row r="168" spans="1:25" ht="14.25" customHeight="1">
      <c r="A168" s="12" t="s">
        <v>146</v>
      </c>
      <c r="B168" s="8" t="s">
        <v>602</v>
      </c>
      <c r="C168" s="9" t="s">
        <v>629</v>
      </c>
      <c r="D168" s="9" t="s">
        <v>607</v>
      </c>
      <c r="E168" s="49"/>
      <c r="F168" s="49">
        <v>222.88</v>
      </c>
      <c r="G168" s="49">
        <v>91.3</v>
      </c>
      <c r="H168" s="49">
        <v>186</v>
      </c>
      <c r="I168" s="49"/>
      <c r="J168" s="49"/>
      <c r="K168" s="49">
        <v>276</v>
      </c>
      <c r="L168" s="49">
        <v>77.349999999999994</v>
      </c>
      <c r="M168" s="49"/>
      <c r="N168" s="49">
        <v>99.91</v>
      </c>
      <c r="O168" s="49">
        <v>149.97999999999999</v>
      </c>
      <c r="P168" s="49">
        <v>169.19</v>
      </c>
      <c r="Q168" s="49">
        <v>168</v>
      </c>
      <c r="R168" s="49"/>
      <c r="S168" s="49"/>
      <c r="T168" s="49">
        <v>132.02000000000001</v>
      </c>
      <c r="U168" s="49"/>
      <c r="V168" s="49">
        <v>190</v>
      </c>
      <c r="W168" s="49"/>
      <c r="X168" s="49">
        <v>159.30000000000001</v>
      </c>
      <c r="Y168" s="49"/>
    </row>
    <row r="169" spans="1:25" ht="14.25" customHeight="1">
      <c r="A169" s="12" t="s">
        <v>147</v>
      </c>
      <c r="B169" s="8" t="s">
        <v>602</v>
      </c>
      <c r="C169" s="9" t="s">
        <v>630</v>
      </c>
      <c r="D169" s="9" t="s">
        <v>607</v>
      </c>
      <c r="E169" s="49"/>
      <c r="F169" s="49">
        <v>117.89</v>
      </c>
      <c r="G169" s="49">
        <v>79.61</v>
      </c>
      <c r="H169" s="49">
        <v>174</v>
      </c>
      <c r="I169" s="49"/>
      <c r="J169" s="49"/>
      <c r="K169" s="49">
        <v>102</v>
      </c>
      <c r="L169" s="49">
        <v>77.349999999999994</v>
      </c>
      <c r="M169" s="49"/>
      <c r="N169" s="49">
        <v>80.849999999999994</v>
      </c>
      <c r="O169" s="49">
        <v>149.97999999999999</v>
      </c>
      <c r="P169" s="49">
        <v>136.96</v>
      </c>
      <c r="Q169" s="49">
        <v>117</v>
      </c>
      <c r="R169" s="49"/>
      <c r="S169" s="49"/>
      <c r="T169" s="49">
        <v>142.61000000000001</v>
      </c>
      <c r="U169" s="49"/>
      <c r="V169" s="49">
        <v>145</v>
      </c>
      <c r="W169" s="49"/>
      <c r="X169" s="49">
        <v>94.32</v>
      </c>
      <c r="Y169" s="49"/>
    </row>
    <row r="170" spans="1:25" ht="14.25" customHeight="1">
      <c r="A170" s="12" t="s">
        <v>148</v>
      </c>
      <c r="B170" s="8" t="s">
        <v>602</v>
      </c>
      <c r="C170" s="9" t="s">
        <v>631</v>
      </c>
      <c r="D170" s="9" t="s">
        <v>607</v>
      </c>
      <c r="E170" s="49"/>
      <c r="F170" s="49">
        <v>294.32</v>
      </c>
      <c r="G170" s="49">
        <v>120.27</v>
      </c>
      <c r="H170" s="49">
        <v>121</v>
      </c>
      <c r="I170" s="49"/>
      <c r="J170" s="49"/>
      <c r="K170" s="49">
        <v>147</v>
      </c>
      <c r="L170" s="49">
        <v>65.92</v>
      </c>
      <c r="M170" s="49"/>
      <c r="N170" s="49">
        <v>130.03</v>
      </c>
      <c r="O170" s="49">
        <v>137.36000000000001</v>
      </c>
      <c r="P170" s="49">
        <v>207.46</v>
      </c>
      <c r="Q170" s="49">
        <v>146</v>
      </c>
      <c r="R170" s="49"/>
      <c r="S170" s="49"/>
      <c r="T170" s="49">
        <v>178.17</v>
      </c>
      <c r="U170" s="49"/>
      <c r="V170" s="49">
        <v>145</v>
      </c>
      <c r="W170" s="49"/>
      <c r="X170" s="49">
        <v>154.16</v>
      </c>
      <c r="Y170" s="49"/>
    </row>
    <row r="171" spans="1:25" ht="14.25" customHeight="1">
      <c r="A171" s="12" t="s">
        <v>149</v>
      </c>
      <c r="B171" s="8" t="s">
        <v>602</v>
      </c>
      <c r="C171" s="9" t="s">
        <v>632</v>
      </c>
      <c r="D171" s="9" t="s">
        <v>607</v>
      </c>
      <c r="E171" s="49"/>
      <c r="F171" s="49">
        <v>230.54</v>
      </c>
      <c r="G171" s="49">
        <v>77.27</v>
      </c>
      <c r="H171" s="49">
        <v>207</v>
      </c>
      <c r="I171" s="49"/>
      <c r="J171" s="49"/>
      <c r="K171" s="49">
        <v>175</v>
      </c>
      <c r="L171" s="49">
        <v>49.81</v>
      </c>
      <c r="M171" s="49"/>
      <c r="N171" s="49">
        <v>141.91999999999999</v>
      </c>
      <c r="O171" s="49">
        <v>137.36000000000001</v>
      </c>
      <c r="P171" s="49">
        <v>169.19</v>
      </c>
      <c r="Q171" s="49">
        <v>117</v>
      </c>
      <c r="R171" s="49"/>
      <c r="S171" s="49"/>
      <c r="T171" s="49">
        <v>176.31</v>
      </c>
      <c r="U171" s="49"/>
      <c r="V171" s="49">
        <v>105</v>
      </c>
      <c r="W171" s="49"/>
      <c r="X171" s="49">
        <v>207.79</v>
      </c>
      <c r="Y171" s="49"/>
    </row>
    <row r="172" spans="1:25" ht="14.25" customHeight="1">
      <c r="A172" s="12" t="s">
        <v>150</v>
      </c>
      <c r="B172" s="8" t="s">
        <v>602</v>
      </c>
      <c r="C172" s="9" t="s">
        <v>633</v>
      </c>
      <c r="D172" s="9" t="s">
        <v>607</v>
      </c>
      <c r="E172" s="49"/>
      <c r="F172" s="49">
        <v>253.38</v>
      </c>
      <c r="G172" s="49">
        <v>77.61</v>
      </c>
      <c r="H172" s="49">
        <v>196</v>
      </c>
      <c r="I172" s="49"/>
      <c r="J172" s="49"/>
      <c r="K172" s="49">
        <v>123</v>
      </c>
      <c r="L172" s="49">
        <v>116.19</v>
      </c>
      <c r="M172" s="49"/>
      <c r="N172" s="49">
        <v>137.11000000000001</v>
      </c>
      <c r="O172" s="49">
        <v>126.87</v>
      </c>
      <c r="P172" s="49">
        <v>207.46</v>
      </c>
      <c r="Q172" s="49">
        <v>199</v>
      </c>
      <c r="R172" s="49"/>
      <c r="S172" s="49"/>
      <c r="T172" s="49">
        <v>121.96</v>
      </c>
      <c r="U172" s="49"/>
      <c r="V172" s="49">
        <v>145</v>
      </c>
      <c r="W172" s="49"/>
      <c r="X172" s="49">
        <v>187.37</v>
      </c>
      <c r="Y172" s="49"/>
    </row>
    <row r="173" spans="1:25" ht="14.25" customHeight="1">
      <c r="A173" s="12"/>
      <c r="B173" s="8"/>
      <c r="C173" s="9"/>
      <c r="D173" s="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spans="1:25" ht="14.25" customHeight="1">
      <c r="A174" s="12" t="s">
        <v>151</v>
      </c>
      <c r="B174" s="8" t="s">
        <v>600</v>
      </c>
      <c r="C174" s="9" t="s">
        <v>623</v>
      </c>
      <c r="D174" s="9" t="s">
        <v>607</v>
      </c>
      <c r="E174" s="49"/>
      <c r="F174" s="49"/>
      <c r="G174" s="49"/>
      <c r="H174" s="49"/>
      <c r="I174" s="49"/>
      <c r="J174" s="49"/>
      <c r="K174" s="49">
        <v>194</v>
      </c>
      <c r="L174" s="49"/>
      <c r="M174" s="49"/>
      <c r="N174" s="49">
        <v>157.44999999999999</v>
      </c>
      <c r="O174" s="49"/>
      <c r="P174" s="49">
        <v>191.35</v>
      </c>
      <c r="Q174" s="49">
        <v>243</v>
      </c>
      <c r="R174" s="49"/>
      <c r="S174" s="49"/>
      <c r="T174" s="49">
        <v>278.14</v>
      </c>
      <c r="U174" s="49"/>
      <c r="V174" s="49"/>
      <c r="W174" s="49"/>
      <c r="X174" s="49"/>
      <c r="Y174" s="49"/>
    </row>
    <row r="175" spans="1:25" ht="14.25" customHeight="1">
      <c r="A175" s="12" t="s">
        <v>152</v>
      </c>
      <c r="B175" s="8" t="s">
        <v>600</v>
      </c>
      <c r="C175" s="9" t="s">
        <v>624</v>
      </c>
      <c r="D175" s="9" t="s">
        <v>607</v>
      </c>
      <c r="E175" s="49"/>
      <c r="F175" s="49"/>
      <c r="G175" s="49"/>
      <c r="H175" s="49"/>
      <c r="I175" s="49"/>
      <c r="J175" s="49"/>
      <c r="K175" s="49">
        <v>220</v>
      </c>
      <c r="L175" s="49"/>
      <c r="M175" s="49"/>
      <c r="N175" s="49">
        <v>442.72</v>
      </c>
      <c r="O175" s="49"/>
      <c r="P175" s="49">
        <v>281.98</v>
      </c>
      <c r="Q175" s="49">
        <v>168</v>
      </c>
      <c r="R175" s="49"/>
      <c r="S175" s="49"/>
      <c r="T175" s="49">
        <v>235.45</v>
      </c>
      <c r="U175" s="49"/>
      <c r="V175" s="49"/>
      <c r="W175" s="49"/>
      <c r="X175" s="49"/>
      <c r="Y175" s="49"/>
    </row>
    <row r="176" spans="1:25" ht="14.25" customHeight="1">
      <c r="A176" s="12" t="s">
        <v>153</v>
      </c>
      <c r="B176" s="8" t="s">
        <v>600</v>
      </c>
      <c r="C176" s="9" t="s">
        <v>625</v>
      </c>
      <c r="D176" s="9" t="s">
        <v>607</v>
      </c>
      <c r="E176" s="49"/>
      <c r="F176" s="49"/>
      <c r="G176" s="49"/>
      <c r="H176" s="49"/>
      <c r="I176" s="49"/>
      <c r="J176" s="49"/>
      <c r="K176" s="49">
        <v>276</v>
      </c>
      <c r="L176" s="49"/>
      <c r="M176" s="49"/>
      <c r="N176" s="49">
        <v>372.81</v>
      </c>
      <c r="O176" s="49"/>
      <c r="P176" s="49">
        <v>338.38</v>
      </c>
      <c r="Q176" s="49">
        <v>199</v>
      </c>
      <c r="R176" s="49"/>
      <c r="S176" s="49"/>
      <c r="T176" s="49">
        <v>244.74</v>
      </c>
      <c r="U176" s="49"/>
      <c r="V176" s="49"/>
      <c r="W176" s="49"/>
      <c r="X176" s="49"/>
      <c r="Y176" s="49"/>
    </row>
    <row r="177" spans="1:25" ht="14.25" customHeight="1">
      <c r="A177" s="12" t="s">
        <v>154</v>
      </c>
      <c r="B177" s="8" t="s">
        <v>600</v>
      </c>
      <c r="C177" s="9" t="s">
        <v>626</v>
      </c>
      <c r="D177" s="9" t="s">
        <v>607</v>
      </c>
      <c r="E177" s="49"/>
      <c r="F177" s="49"/>
      <c r="G177" s="49"/>
      <c r="H177" s="49"/>
      <c r="I177" s="49"/>
      <c r="J177" s="49"/>
      <c r="K177" s="49">
        <v>391</v>
      </c>
      <c r="L177" s="49"/>
      <c r="M177" s="49"/>
      <c r="N177" s="49">
        <v>304.66000000000003</v>
      </c>
      <c r="O177" s="49"/>
      <c r="P177" s="49">
        <v>415.92</v>
      </c>
      <c r="Q177" s="49">
        <v>243</v>
      </c>
      <c r="R177" s="49"/>
      <c r="S177" s="49"/>
      <c r="T177" s="49">
        <v>331.11</v>
      </c>
      <c r="U177" s="49"/>
      <c r="V177" s="49"/>
      <c r="W177" s="49"/>
      <c r="X177" s="49"/>
      <c r="Y177" s="49"/>
    </row>
    <row r="178" spans="1:25" ht="14.25" customHeight="1">
      <c r="A178" s="12" t="s">
        <v>155</v>
      </c>
      <c r="B178" s="8" t="s">
        <v>600</v>
      </c>
      <c r="C178" s="9" t="s">
        <v>627</v>
      </c>
      <c r="D178" s="9" t="s">
        <v>607</v>
      </c>
      <c r="E178" s="49"/>
      <c r="F178" s="49"/>
      <c r="G178" s="49"/>
      <c r="H178" s="49"/>
      <c r="I178" s="49"/>
      <c r="J178" s="49"/>
      <c r="K178" s="49">
        <v>117</v>
      </c>
      <c r="L178" s="49"/>
      <c r="M178" s="49"/>
      <c r="N178" s="49">
        <v>87.06</v>
      </c>
      <c r="O178" s="49"/>
      <c r="P178" s="49">
        <v>136.96</v>
      </c>
      <c r="Q178" s="49">
        <v>146</v>
      </c>
      <c r="R178" s="49"/>
      <c r="S178" s="49"/>
      <c r="T178" s="49">
        <v>167.68</v>
      </c>
      <c r="U178" s="49"/>
      <c r="V178" s="49"/>
      <c r="W178" s="49"/>
      <c r="X178" s="49"/>
      <c r="Y178" s="49"/>
    </row>
    <row r="179" spans="1:25" ht="14.25" customHeight="1">
      <c r="A179" s="12" t="s">
        <v>156</v>
      </c>
      <c r="B179" s="8" t="s">
        <v>600</v>
      </c>
      <c r="C179" s="9" t="s">
        <v>628</v>
      </c>
      <c r="D179" s="9" t="s">
        <v>607</v>
      </c>
      <c r="E179" s="49"/>
      <c r="F179" s="49"/>
      <c r="G179" s="49"/>
      <c r="H179" s="49"/>
      <c r="I179" s="49"/>
      <c r="J179" s="49"/>
      <c r="K179" s="49">
        <v>172</v>
      </c>
      <c r="L179" s="49"/>
      <c r="M179" s="49"/>
      <c r="N179" s="49">
        <v>165.84</v>
      </c>
      <c r="O179" s="49"/>
      <c r="P179" s="49">
        <v>191.35</v>
      </c>
      <c r="Q179" s="49">
        <v>199</v>
      </c>
      <c r="R179" s="49"/>
      <c r="S179" s="49"/>
      <c r="T179" s="49">
        <v>187.63</v>
      </c>
      <c r="U179" s="49"/>
      <c r="V179" s="49"/>
      <c r="W179" s="49"/>
      <c r="X179" s="49"/>
      <c r="Y179" s="49"/>
    </row>
    <row r="180" spans="1:25" ht="14.25" customHeight="1">
      <c r="A180" s="12" t="s">
        <v>157</v>
      </c>
      <c r="B180" s="8" t="s">
        <v>600</v>
      </c>
      <c r="C180" s="9" t="s">
        <v>629</v>
      </c>
      <c r="D180" s="9" t="s">
        <v>607</v>
      </c>
      <c r="E180" s="49"/>
      <c r="F180" s="49"/>
      <c r="G180" s="49"/>
      <c r="H180" s="49"/>
      <c r="I180" s="49"/>
      <c r="J180" s="49"/>
      <c r="K180" s="49">
        <v>276</v>
      </c>
      <c r="L180" s="49"/>
      <c r="M180" s="49"/>
      <c r="N180" s="49">
        <v>99.91</v>
      </c>
      <c r="O180" s="49"/>
      <c r="P180" s="49">
        <v>169.19</v>
      </c>
      <c r="Q180" s="49">
        <v>168</v>
      </c>
      <c r="R180" s="49"/>
      <c r="S180" s="49"/>
      <c r="T180" s="49">
        <v>132.02000000000001</v>
      </c>
      <c r="U180" s="49"/>
      <c r="V180" s="49"/>
      <c r="W180" s="49"/>
      <c r="X180" s="49"/>
      <c r="Y180" s="49"/>
    </row>
    <row r="181" spans="1:25" ht="14.25" customHeight="1">
      <c r="A181" s="12" t="s">
        <v>158</v>
      </c>
      <c r="B181" s="8" t="s">
        <v>600</v>
      </c>
      <c r="C181" s="9" t="s">
        <v>630</v>
      </c>
      <c r="D181" s="9" t="s">
        <v>607</v>
      </c>
      <c r="E181" s="49"/>
      <c r="F181" s="49"/>
      <c r="G181" s="49"/>
      <c r="H181" s="49"/>
      <c r="I181" s="49"/>
      <c r="J181" s="49"/>
      <c r="K181" s="49">
        <v>102</v>
      </c>
      <c r="L181" s="49"/>
      <c r="M181" s="49"/>
      <c r="N181" s="49">
        <v>80.849999999999994</v>
      </c>
      <c r="O181" s="49"/>
      <c r="P181" s="49">
        <v>136.96</v>
      </c>
      <c r="Q181" s="49">
        <v>117</v>
      </c>
      <c r="R181" s="49"/>
      <c r="S181" s="49"/>
      <c r="T181" s="49">
        <v>142.61000000000001</v>
      </c>
      <c r="U181" s="49"/>
      <c r="V181" s="49"/>
      <c r="W181" s="49"/>
      <c r="X181" s="49"/>
      <c r="Y181" s="49"/>
    </row>
    <row r="182" spans="1:25" ht="14.25" customHeight="1">
      <c r="A182" s="12" t="s">
        <v>159</v>
      </c>
      <c r="B182" s="8" t="s">
        <v>600</v>
      </c>
      <c r="C182" s="9" t="s">
        <v>631</v>
      </c>
      <c r="D182" s="9" t="s">
        <v>607</v>
      </c>
      <c r="E182" s="49"/>
      <c r="F182" s="49"/>
      <c r="G182" s="49"/>
      <c r="H182" s="49"/>
      <c r="I182" s="49"/>
      <c r="J182" s="49"/>
      <c r="K182" s="49">
        <v>147</v>
      </c>
      <c r="L182" s="49"/>
      <c r="M182" s="49"/>
      <c r="N182" s="49">
        <v>130.03</v>
      </c>
      <c r="O182" s="49"/>
      <c r="P182" s="49">
        <v>207.46</v>
      </c>
      <c r="Q182" s="49">
        <v>146</v>
      </c>
      <c r="R182" s="49"/>
      <c r="S182" s="49"/>
      <c r="T182" s="49">
        <v>178.17</v>
      </c>
      <c r="U182" s="49"/>
      <c r="V182" s="49"/>
      <c r="W182" s="49"/>
      <c r="X182" s="49"/>
      <c r="Y182" s="49"/>
    </row>
    <row r="183" spans="1:25" ht="14.25" customHeight="1">
      <c r="A183" s="12" t="s">
        <v>160</v>
      </c>
      <c r="B183" s="8" t="s">
        <v>600</v>
      </c>
      <c r="C183" s="9" t="s">
        <v>632</v>
      </c>
      <c r="D183" s="9" t="s">
        <v>607</v>
      </c>
      <c r="E183" s="49"/>
      <c r="F183" s="49"/>
      <c r="G183" s="49"/>
      <c r="H183" s="49"/>
      <c r="I183" s="49"/>
      <c r="J183" s="49"/>
      <c r="K183" s="49">
        <v>175</v>
      </c>
      <c r="L183" s="49"/>
      <c r="M183" s="49"/>
      <c r="N183" s="49">
        <v>141.91999999999999</v>
      </c>
      <c r="O183" s="49"/>
      <c r="P183" s="49">
        <v>169.19</v>
      </c>
      <c r="Q183" s="49">
        <v>117</v>
      </c>
      <c r="R183" s="49"/>
      <c r="S183" s="49"/>
      <c r="T183" s="49">
        <v>176.31</v>
      </c>
      <c r="U183" s="49"/>
      <c r="V183" s="49"/>
      <c r="W183" s="49"/>
      <c r="X183" s="49"/>
      <c r="Y183" s="49"/>
    </row>
    <row r="184" spans="1:25" ht="14.25" customHeight="1">
      <c r="A184" s="12" t="s">
        <v>161</v>
      </c>
      <c r="B184" s="8" t="s">
        <v>600</v>
      </c>
      <c r="C184" s="9" t="s">
        <v>633</v>
      </c>
      <c r="D184" s="9" t="s">
        <v>607</v>
      </c>
      <c r="E184" s="49"/>
      <c r="F184" s="49"/>
      <c r="G184" s="49"/>
      <c r="H184" s="49"/>
      <c r="I184" s="49"/>
      <c r="J184" s="49"/>
      <c r="K184" s="49">
        <v>123</v>
      </c>
      <c r="L184" s="49"/>
      <c r="M184" s="49"/>
      <c r="N184" s="49">
        <v>137.11000000000001</v>
      </c>
      <c r="O184" s="49"/>
      <c r="P184" s="49">
        <v>207.46</v>
      </c>
      <c r="Q184" s="49">
        <v>199</v>
      </c>
      <c r="R184" s="49"/>
      <c r="S184" s="49"/>
      <c r="T184" s="49">
        <v>121.96</v>
      </c>
      <c r="U184" s="49"/>
      <c r="V184" s="49"/>
      <c r="W184" s="49"/>
      <c r="X184" s="49"/>
      <c r="Y184" s="49"/>
    </row>
    <row r="185" spans="1:25" ht="14.25" customHeight="1">
      <c r="A185" s="12"/>
      <c r="B185" s="8"/>
      <c r="C185" s="9"/>
      <c r="D185" s="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spans="1:25" ht="14.25" customHeight="1">
      <c r="A186" s="12" t="s">
        <v>162</v>
      </c>
      <c r="B186" s="8" t="s">
        <v>601</v>
      </c>
      <c r="C186" s="9" t="s">
        <v>623</v>
      </c>
      <c r="D186" s="9" t="s">
        <v>607</v>
      </c>
      <c r="E186" s="49">
        <v>375.75</v>
      </c>
      <c r="F186" s="49"/>
      <c r="G186" s="49"/>
      <c r="H186" s="49"/>
      <c r="I186" s="49">
        <v>139</v>
      </c>
      <c r="J186" s="49">
        <v>189</v>
      </c>
      <c r="K186" s="49"/>
      <c r="L186" s="49">
        <v>124.68</v>
      </c>
      <c r="M186" s="49">
        <v>230</v>
      </c>
      <c r="N186" s="49">
        <v>157.44999999999999</v>
      </c>
      <c r="O186" s="49">
        <v>187.76</v>
      </c>
      <c r="P186" s="49"/>
      <c r="Q186" s="49">
        <v>243</v>
      </c>
      <c r="R186" s="49">
        <v>163.6</v>
      </c>
      <c r="S186" s="49">
        <v>175</v>
      </c>
      <c r="T186" s="49"/>
      <c r="U186" s="49"/>
      <c r="V186" s="49"/>
      <c r="W186" s="49"/>
      <c r="X186" s="49"/>
      <c r="Y186" s="49"/>
    </row>
    <row r="187" spans="1:25" ht="14.25" customHeight="1">
      <c r="A187" s="12" t="s">
        <v>163</v>
      </c>
      <c r="B187" s="8" t="s">
        <v>601</v>
      </c>
      <c r="C187" s="9" t="s">
        <v>624</v>
      </c>
      <c r="D187" s="9" t="s">
        <v>607</v>
      </c>
      <c r="E187" s="49">
        <v>222.88</v>
      </c>
      <c r="F187" s="49"/>
      <c r="G187" s="49"/>
      <c r="H187" s="49"/>
      <c r="I187" s="49">
        <v>86.87</v>
      </c>
      <c r="J187" s="49">
        <v>113</v>
      </c>
      <c r="K187" s="49"/>
      <c r="L187" s="49">
        <v>135.87</v>
      </c>
      <c r="M187" s="49">
        <v>193</v>
      </c>
      <c r="N187" s="49">
        <v>442.72</v>
      </c>
      <c r="O187" s="49">
        <v>130.16</v>
      </c>
      <c r="P187" s="49"/>
      <c r="Q187" s="49">
        <v>168</v>
      </c>
      <c r="R187" s="49">
        <v>163.6</v>
      </c>
      <c r="S187" s="49">
        <v>186</v>
      </c>
      <c r="T187" s="49"/>
      <c r="U187" s="49"/>
      <c r="V187" s="49"/>
      <c r="W187" s="49"/>
      <c r="X187" s="49"/>
      <c r="Y187" s="49"/>
    </row>
    <row r="188" spans="1:25" ht="14.25" customHeight="1">
      <c r="A188" s="12" t="s">
        <v>164</v>
      </c>
      <c r="B188" s="8" t="s">
        <v>601</v>
      </c>
      <c r="C188" s="9" t="s">
        <v>625</v>
      </c>
      <c r="D188" s="9" t="s">
        <v>607</v>
      </c>
      <c r="E188" s="49">
        <v>340.8</v>
      </c>
      <c r="F188" s="49"/>
      <c r="G188" s="49"/>
      <c r="H188" s="49"/>
      <c r="I188" s="49">
        <v>101.35</v>
      </c>
      <c r="J188" s="49">
        <v>128</v>
      </c>
      <c r="K188" s="49"/>
      <c r="L188" s="49">
        <v>148.96</v>
      </c>
      <c r="M188" s="49">
        <v>230</v>
      </c>
      <c r="N188" s="49">
        <v>372.81</v>
      </c>
      <c r="O188" s="49">
        <v>149.97999999999999</v>
      </c>
      <c r="P188" s="49"/>
      <c r="Q188" s="49">
        <v>199</v>
      </c>
      <c r="R188" s="49">
        <v>163.91</v>
      </c>
      <c r="S188" s="49">
        <v>221</v>
      </c>
      <c r="T188" s="49"/>
      <c r="U188" s="49"/>
      <c r="V188" s="49"/>
      <c r="W188" s="49"/>
      <c r="X188" s="49"/>
      <c r="Y188" s="49"/>
    </row>
    <row r="189" spans="1:25" ht="14.25" customHeight="1">
      <c r="A189" s="12" t="s">
        <v>165</v>
      </c>
      <c r="B189" s="8" t="s">
        <v>601</v>
      </c>
      <c r="C189" s="9" t="s">
        <v>626</v>
      </c>
      <c r="D189" s="9" t="s">
        <v>607</v>
      </c>
      <c r="E189" s="49">
        <v>391.88</v>
      </c>
      <c r="F189" s="49"/>
      <c r="G189" s="49"/>
      <c r="H189" s="49"/>
      <c r="I189" s="49">
        <v>121.62</v>
      </c>
      <c r="J189" s="49">
        <v>144</v>
      </c>
      <c r="K189" s="49"/>
      <c r="L189" s="49">
        <v>194.2</v>
      </c>
      <c r="M189" s="49">
        <v>287</v>
      </c>
      <c r="N189" s="49">
        <v>304.66000000000003</v>
      </c>
      <c r="O189" s="49">
        <v>190.93</v>
      </c>
      <c r="P189" s="49"/>
      <c r="Q189" s="49">
        <v>243</v>
      </c>
      <c r="R189" s="49">
        <v>174.84</v>
      </c>
      <c r="S189" s="49">
        <v>246</v>
      </c>
      <c r="T189" s="49"/>
      <c r="U189" s="49"/>
      <c r="V189" s="49"/>
      <c r="W189" s="49"/>
      <c r="X189" s="49"/>
      <c r="Y189" s="49"/>
    </row>
    <row r="190" spans="1:25" ht="14.25" customHeight="1">
      <c r="A190" s="12" t="s">
        <v>166</v>
      </c>
      <c r="B190" s="8" t="s">
        <v>601</v>
      </c>
      <c r="C190" s="9" t="s">
        <v>627</v>
      </c>
      <c r="D190" s="9" t="s">
        <v>607</v>
      </c>
      <c r="E190" s="49">
        <v>176.96</v>
      </c>
      <c r="F190" s="49"/>
      <c r="G190" s="49"/>
      <c r="H190" s="49"/>
      <c r="I190" s="49">
        <v>92.66</v>
      </c>
      <c r="J190" s="49">
        <v>114</v>
      </c>
      <c r="K190" s="49"/>
      <c r="L190" s="49">
        <v>74.849999999999994</v>
      </c>
      <c r="M190" s="49">
        <v>132</v>
      </c>
      <c r="N190" s="49">
        <v>87.06</v>
      </c>
      <c r="O190" s="49">
        <v>126.87</v>
      </c>
      <c r="P190" s="49"/>
      <c r="Q190" s="49">
        <v>146</v>
      </c>
      <c r="R190" s="49">
        <v>84</v>
      </c>
      <c r="S190" s="49">
        <v>84</v>
      </c>
      <c r="T190" s="49"/>
      <c r="U190" s="49"/>
      <c r="V190" s="49"/>
      <c r="W190" s="49"/>
      <c r="X190" s="49"/>
      <c r="Y190" s="49"/>
    </row>
    <row r="191" spans="1:25" ht="14.25" customHeight="1">
      <c r="A191" s="12" t="s">
        <v>167</v>
      </c>
      <c r="B191" s="8" t="s">
        <v>601</v>
      </c>
      <c r="C191" s="9" t="s">
        <v>628</v>
      </c>
      <c r="D191" s="9" t="s">
        <v>607</v>
      </c>
      <c r="E191" s="49">
        <v>294.32</v>
      </c>
      <c r="F191" s="49"/>
      <c r="G191" s="49"/>
      <c r="H191" s="49"/>
      <c r="I191" s="49">
        <v>121.62</v>
      </c>
      <c r="J191" s="49">
        <v>167</v>
      </c>
      <c r="K191" s="49"/>
      <c r="L191" s="49">
        <v>194.2</v>
      </c>
      <c r="M191" s="49">
        <v>230</v>
      </c>
      <c r="N191" s="49">
        <v>165.84</v>
      </c>
      <c r="O191" s="49">
        <v>227.11</v>
      </c>
      <c r="P191" s="49"/>
      <c r="Q191" s="49">
        <v>199</v>
      </c>
      <c r="R191" s="49">
        <v>152.99</v>
      </c>
      <c r="S191" s="49">
        <v>223</v>
      </c>
      <c r="T191" s="49"/>
      <c r="U191" s="49"/>
      <c r="V191" s="49"/>
      <c r="W191" s="49"/>
      <c r="X191" s="49"/>
      <c r="Y191" s="49"/>
    </row>
    <row r="192" spans="1:25" ht="14.25" customHeight="1">
      <c r="A192" s="12" t="s">
        <v>168</v>
      </c>
      <c r="B192" s="8" t="s">
        <v>601</v>
      </c>
      <c r="C192" s="9" t="s">
        <v>629</v>
      </c>
      <c r="D192" s="9" t="s">
        <v>607</v>
      </c>
      <c r="E192" s="49">
        <v>222.88</v>
      </c>
      <c r="F192" s="49"/>
      <c r="G192" s="49"/>
      <c r="H192" s="49"/>
      <c r="I192" s="49">
        <v>110.04</v>
      </c>
      <c r="J192" s="49">
        <v>100</v>
      </c>
      <c r="K192" s="49"/>
      <c r="L192" s="49">
        <v>74.849999999999994</v>
      </c>
      <c r="M192" s="49">
        <v>193</v>
      </c>
      <c r="N192" s="49">
        <v>99.91</v>
      </c>
      <c r="O192" s="49">
        <v>149.97999999999999</v>
      </c>
      <c r="P192" s="49"/>
      <c r="Q192" s="49">
        <v>168</v>
      </c>
      <c r="R192" s="49">
        <v>131.13</v>
      </c>
      <c r="S192" s="49">
        <v>179</v>
      </c>
      <c r="T192" s="49"/>
      <c r="U192" s="49"/>
      <c r="V192" s="49"/>
      <c r="W192" s="49"/>
      <c r="X192" s="49"/>
      <c r="Y192" s="49"/>
    </row>
    <row r="193" spans="1:25" ht="14.25" customHeight="1">
      <c r="A193" s="12" t="s">
        <v>169</v>
      </c>
      <c r="B193" s="8" t="s">
        <v>601</v>
      </c>
      <c r="C193" s="9" t="s">
        <v>630</v>
      </c>
      <c r="D193" s="9" t="s">
        <v>607</v>
      </c>
      <c r="E193" s="49">
        <v>117.89</v>
      </c>
      <c r="F193" s="49"/>
      <c r="G193" s="49"/>
      <c r="H193" s="49"/>
      <c r="I193" s="49">
        <v>92.66</v>
      </c>
      <c r="J193" s="49">
        <v>99</v>
      </c>
      <c r="K193" s="49"/>
      <c r="L193" s="49">
        <v>58.55</v>
      </c>
      <c r="M193" s="49">
        <v>116</v>
      </c>
      <c r="N193" s="49">
        <v>80.849999999999994</v>
      </c>
      <c r="O193" s="49">
        <v>149.97999999999999</v>
      </c>
      <c r="P193" s="49"/>
      <c r="Q193" s="49">
        <v>117</v>
      </c>
      <c r="R193" s="49">
        <v>104</v>
      </c>
      <c r="S193" s="49">
        <v>104</v>
      </c>
      <c r="T193" s="49"/>
      <c r="U193" s="49"/>
      <c r="V193" s="49"/>
      <c r="W193" s="49"/>
      <c r="X193" s="49"/>
      <c r="Y193" s="49"/>
    </row>
    <row r="194" spans="1:25" ht="14.25" customHeight="1">
      <c r="A194" s="12" t="s">
        <v>170</v>
      </c>
      <c r="B194" s="8" t="s">
        <v>601</v>
      </c>
      <c r="C194" s="9" t="s">
        <v>631</v>
      </c>
      <c r="D194" s="9" t="s">
        <v>607</v>
      </c>
      <c r="E194" s="49">
        <v>294.32</v>
      </c>
      <c r="F194" s="49"/>
      <c r="G194" s="49"/>
      <c r="H194" s="49"/>
      <c r="I194" s="49">
        <v>121.62</v>
      </c>
      <c r="J194" s="49">
        <v>143</v>
      </c>
      <c r="K194" s="49"/>
      <c r="L194" s="49">
        <v>135.87</v>
      </c>
      <c r="M194" s="49">
        <v>193</v>
      </c>
      <c r="N194" s="49">
        <v>130.03</v>
      </c>
      <c r="O194" s="49">
        <v>137.36000000000001</v>
      </c>
      <c r="P194" s="49"/>
      <c r="Q194" s="49">
        <v>146</v>
      </c>
      <c r="R194" s="49">
        <v>246</v>
      </c>
      <c r="S194" s="49">
        <v>246</v>
      </c>
      <c r="T194" s="49"/>
      <c r="U194" s="49"/>
      <c r="V194" s="49"/>
      <c r="W194" s="49"/>
      <c r="X194" s="49"/>
      <c r="Y194" s="49"/>
    </row>
    <row r="195" spans="1:25" ht="14.25" customHeight="1">
      <c r="A195" s="12" t="s">
        <v>171</v>
      </c>
      <c r="B195" s="8" t="s">
        <v>601</v>
      </c>
      <c r="C195" s="9" t="s">
        <v>632</v>
      </c>
      <c r="D195" s="9" t="s">
        <v>607</v>
      </c>
      <c r="E195" s="49">
        <v>230.54</v>
      </c>
      <c r="F195" s="49"/>
      <c r="G195" s="49"/>
      <c r="H195" s="49"/>
      <c r="I195" s="49">
        <v>121.62</v>
      </c>
      <c r="J195" s="49">
        <v>171</v>
      </c>
      <c r="K195" s="49"/>
      <c r="L195" s="49">
        <v>87.84</v>
      </c>
      <c r="M195" s="49">
        <v>151</v>
      </c>
      <c r="N195" s="49">
        <v>141.91999999999999</v>
      </c>
      <c r="O195" s="49">
        <v>137.36000000000001</v>
      </c>
      <c r="P195" s="49"/>
      <c r="Q195" s="49">
        <v>117</v>
      </c>
      <c r="R195" s="49">
        <v>153</v>
      </c>
      <c r="S195" s="49">
        <v>153</v>
      </c>
      <c r="T195" s="49"/>
      <c r="U195" s="49"/>
      <c r="V195" s="49"/>
      <c r="W195" s="49"/>
      <c r="X195" s="49"/>
      <c r="Y195" s="49"/>
    </row>
    <row r="196" spans="1:25" ht="14.25" customHeight="1">
      <c r="A196" s="12" t="s">
        <v>172</v>
      </c>
      <c r="B196" s="8" t="s">
        <v>601</v>
      </c>
      <c r="C196" s="9" t="s">
        <v>633</v>
      </c>
      <c r="D196" s="9" t="s">
        <v>607</v>
      </c>
      <c r="E196" s="49">
        <v>253.38</v>
      </c>
      <c r="F196" s="49"/>
      <c r="G196" s="49"/>
      <c r="H196" s="49"/>
      <c r="I196" s="49">
        <v>107.14</v>
      </c>
      <c r="J196" s="49">
        <v>119</v>
      </c>
      <c r="K196" s="49"/>
      <c r="L196" s="49">
        <v>131.94</v>
      </c>
      <c r="M196" s="49">
        <v>343</v>
      </c>
      <c r="N196" s="49">
        <v>137.11000000000001</v>
      </c>
      <c r="O196" s="49">
        <v>126.87</v>
      </c>
      <c r="P196" s="49"/>
      <c r="Q196" s="49">
        <v>199</v>
      </c>
      <c r="R196" s="49">
        <v>152.99</v>
      </c>
      <c r="S196" s="49">
        <v>132</v>
      </c>
      <c r="T196" s="49"/>
      <c r="U196" s="49"/>
      <c r="V196" s="49"/>
      <c r="W196" s="49"/>
      <c r="X196" s="49"/>
      <c r="Y196" s="49"/>
    </row>
    <row r="199" spans="1:25">
      <c r="A199" s="13"/>
      <c r="C199" s="10"/>
      <c r="D199" s="10"/>
    </row>
  </sheetData>
  <autoFilter ref="A1:Y196">
    <filterColumn colId="0"/>
    <filterColumn colId="1"/>
  </autoFilter>
  <phoneticPr fontId="8" type="noConversion"/>
  <conditionalFormatting sqref="G83:X89">
    <cfRule type="cellIs" dxfId="12" priority="12" stopIfTrue="1" operator="notBetween">
      <formula>#REF!</formula>
      <formula>#REF!</formula>
    </cfRule>
    <cfRule type="cellIs" dxfId="11" priority="13" stopIfTrue="1" operator="notBetween">
      <formula>#REF!</formula>
      <formula>#REF!</formula>
    </cfRule>
  </conditionalFormatting>
  <conditionalFormatting sqref="E2:Y196">
    <cfRule type="cellIs" dxfId="10" priority="9" stopIfTrue="1" operator="notBetween">
      <formula>#REF!</formula>
      <formula>#REF!</formula>
    </cfRule>
    <cfRule type="cellIs" dxfId="9" priority="10" stopIfTrue="1" operator="notBetween">
      <formula>#REF!</formula>
      <formula>#REF!</formula>
    </cfRule>
    <cfRule type="cellIs" dxfId="8" priority="11" stopIfTrue="1" operator="greaterThan">
      <formula>#REF!</formula>
    </cfRule>
  </conditionalFormatting>
  <conditionalFormatting sqref="M67:M71">
    <cfRule type="cellIs" dxfId="7" priority="6" stopIfTrue="1" operator="notBetween">
      <formula>#REF!</formula>
      <formula>#REF!</formula>
    </cfRule>
    <cfRule type="cellIs" dxfId="6" priority="7" stopIfTrue="1" operator="notBetween">
      <formula>#REF!</formula>
      <formula>#REF!</formula>
    </cfRule>
    <cfRule type="cellIs" dxfId="5" priority="8" stopIfTrue="1" operator="greaterThan">
      <formula>#REF!</formula>
    </cfRule>
  </conditionalFormatting>
  <conditionalFormatting sqref="Y83:Y89">
    <cfRule type="cellIs" dxfId="4" priority="4" stopIfTrue="1" operator="notBetween">
      <formula>#REF!</formula>
      <formula>#REF!</formula>
    </cfRule>
    <cfRule type="cellIs" dxfId="3" priority="5" stopIfTrue="1" operator="notBetween">
      <formula>#REF!</formula>
      <formula>#REF!</formula>
    </cfRule>
  </conditionalFormatting>
  <conditionalFormatting sqref="Y91:Y94 Y96:Y98 Y3:Y5 Y7:Y10 Y12:Y21 Y23:Y26 Y28:Y31 Y34:Y37 Y39:Y47 Y50:Y53 Y55:Y57 Y59:Y65 Y67:Y73 Y75:Y81 Y101:Y196">
    <cfRule type="cellIs" dxfId="2" priority="1" stopIfTrue="1" operator="notBetween">
      <formula>#REF!</formula>
      <formula>#REF!</formula>
    </cfRule>
    <cfRule type="cellIs" dxfId="1" priority="2" stopIfTrue="1" operator="notBetween">
      <formula>#REF!</formula>
      <formula>#REF!</formula>
    </cfRule>
    <cfRule type="cellIs" dxfId="0" priority="3" stopIfTrue="1" operator="greaterThan">
      <formula>#REF!</formula>
    </cfRule>
  </conditionalFormatting>
  <pageMargins left="0.37" right="0.38" top="0.79" bottom="0.41" header="0.36" footer="0.16"/>
  <pageSetup scale="50" orientation="portrait" r:id="rId1"/>
  <headerFooter alignWithMargins="0">
    <oddHeader>&amp;C&amp;"Arial,Bold"GSA EaaS BPA Pricing
Revision 1&amp;R&amp;G</oddHeader>
    <oddFooter>&amp;RNov 2012</oddFooter>
  </headerFooter>
  <legacyDrawingHF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 enableFormatConditionsCalculation="0">
    <tabColor theme="4"/>
  </sheetPr>
  <dimension ref="A1:I10"/>
  <sheetViews>
    <sheetView workbookViewId="0">
      <selection activeCell="E19" sqref="E19"/>
    </sheetView>
  </sheetViews>
  <sheetFormatPr defaultColWidth="8.85546875" defaultRowHeight="12.75"/>
  <sheetData>
    <row r="1" spans="1:9" ht="63.75" customHeight="1">
      <c r="A1" s="66" t="s">
        <v>847</v>
      </c>
      <c r="B1" s="67"/>
      <c r="C1" s="67"/>
      <c r="D1" s="67"/>
      <c r="E1" s="67"/>
      <c r="F1" s="67"/>
      <c r="G1" s="67"/>
      <c r="H1" s="67"/>
      <c r="I1" s="67"/>
    </row>
    <row r="2" spans="1:9">
      <c r="A2" s="67"/>
      <c r="B2" s="67"/>
      <c r="C2" s="67"/>
      <c r="D2" s="67"/>
      <c r="E2" s="67"/>
      <c r="F2" s="67"/>
      <c r="G2" s="67"/>
      <c r="H2" s="67"/>
      <c r="I2" s="67"/>
    </row>
    <row r="3" spans="1:9">
      <c r="A3" s="67"/>
      <c r="B3" s="67"/>
      <c r="C3" s="67"/>
      <c r="D3" s="67"/>
      <c r="E3" s="67"/>
      <c r="F3" s="67"/>
      <c r="G3" s="67"/>
      <c r="H3" s="67"/>
      <c r="I3" s="67"/>
    </row>
    <row r="4" spans="1:9">
      <c r="A4" s="67"/>
      <c r="B4" s="67"/>
      <c r="C4" s="67"/>
      <c r="D4" s="67"/>
      <c r="E4" s="67"/>
      <c r="F4" s="67"/>
      <c r="G4" s="67"/>
      <c r="H4" s="67"/>
      <c r="I4" s="67"/>
    </row>
    <row r="5" spans="1:9">
      <c r="A5" s="67"/>
      <c r="B5" s="67"/>
      <c r="C5" s="67"/>
      <c r="D5" s="67"/>
      <c r="E5" s="67"/>
      <c r="F5" s="67"/>
      <c r="G5" s="67"/>
      <c r="H5" s="67"/>
      <c r="I5" s="67"/>
    </row>
    <row r="6" spans="1:9">
      <c r="A6" s="67"/>
      <c r="B6" s="67"/>
      <c r="C6" s="67"/>
      <c r="D6" s="67"/>
      <c r="E6" s="67"/>
      <c r="F6" s="67"/>
      <c r="G6" s="67"/>
      <c r="H6" s="67"/>
      <c r="I6" s="67"/>
    </row>
    <row r="7" spans="1:9">
      <c r="A7" s="67"/>
      <c r="B7" s="67"/>
      <c r="C7" s="67"/>
      <c r="D7" s="67"/>
      <c r="E7" s="67"/>
      <c r="F7" s="67"/>
      <c r="G7" s="67"/>
      <c r="H7" s="67"/>
      <c r="I7" s="67"/>
    </row>
    <row r="8" spans="1:9">
      <c r="A8" s="67"/>
      <c r="B8" s="67"/>
      <c r="C8" s="67"/>
      <c r="D8" s="67"/>
      <c r="E8" s="67"/>
      <c r="F8" s="67"/>
      <c r="G8" s="67"/>
      <c r="H8" s="67"/>
      <c r="I8" s="67"/>
    </row>
    <row r="9" spans="1:9">
      <c r="A9" s="67"/>
      <c r="B9" s="67"/>
      <c r="C9" s="67"/>
      <c r="D9" s="67"/>
      <c r="E9" s="67"/>
      <c r="F9" s="67"/>
      <c r="G9" s="67"/>
      <c r="H9" s="67"/>
      <c r="I9" s="67"/>
    </row>
    <row r="10" spans="1:9">
      <c r="A10" s="67"/>
      <c r="B10" s="67"/>
      <c r="C10" s="67"/>
      <c r="D10" s="67"/>
      <c r="E10" s="67"/>
      <c r="F10" s="67"/>
      <c r="G10" s="67"/>
      <c r="H10" s="67"/>
      <c r="I10" s="67"/>
    </row>
  </sheetData>
  <mergeCells count="1">
    <mergeCell ref="A1:I10"/>
  </mergeCells>
  <pageMargins left="0.7" right="0.7" top="0.75" bottom="0.75" header="0.3" footer="0.3"/>
  <pageSetup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6" enableFormatConditionsCalculation="0">
    <tabColor indexed="31"/>
  </sheetPr>
  <dimension ref="A1:Y199"/>
  <sheetViews>
    <sheetView zoomScale="70" zoomScaleNormal="70" zoomScalePageLayoutView="85" workbookViewId="0">
      <pane xSplit="3" ySplit="1" topLeftCell="D2" activePane="bottomRight" state="frozen"/>
      <selection activeCell="E5" sqref="E5"/>
      <selection pane="topRight" activeCell="E5" sqref="E5"/>
      <selection pane="bottomLeft" activeCell="E5" sqref="E5"/>
      <selection pane="bottomRight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853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691</v>
      </c>
      <c r="B2" s="8" t="s">
        <v>598</v>
      </c>
      <c r="C2" s="9" t="s">
        <v>610</v>
      </c>
      <c r="D2" s="9" t="s">
        <v>603</v>
      </c>
      <c r="E2" s="49">
        <v>3.68</v>
      </c>
      <c r="F2" s="49">
        <v>7.23</v>
      </c>
      <c r="G2" s="49"/>
      <c r="H2" s="49"/>
      <c r="I2" s="49"/>
      <c r="J2" s="49">
        <v>3.74</v>
      </c>
      <c r="K2" s="49"/>
      <c r="L2" s="49"/>
      <c r="M2" s="49">
        <v>3.59</v>
      </c>
      <c r="N2" s="49"/>
      <c r="O2" s="49"/>
      <c r="P2" s="49"/>
      <c r="Q2" s="49">
        <v>13.397499999999999</v>
      </c>
      <c r="R2" s="49">
        <v>3.7</v>
      </c>
      <c r="S2" s="49">
        <v>3.89</v>
      </c>
      <c r="T2" s="49"/>
      <c r="U2" s="49"/>
      <c r="V2" s="49">
        <v>7.35</v>
      </c>
      <c r="W2" s="49"/>
      <c r="X2" s="49"/>
      <c r="Y2" s="49"/>
    </row>
    <row r="3" spans="1:25" s="7" customFormat="1" ht="15" customHeight="1">
      <c r="A3" s="12" t="s">
        <v>692</v>
      </c>
      <c r="B3" s="8" t="s">
        <v>598</v>
      </c>
      <c r="C3" s="9" t="s">
        <v>611</v>
      </c>
      <c r="D3" s="9" t="s">
        <v>603</v>
      </c>
      <c r="E3" s="49">
        <v>3.68</v>
      </c>
      <c r="F3" s="49">
        <v>7.23</v>
      </c>
      <c r="G3" s="49"/>
      <c r="H3" s="49"/>
      <c r="I3" s="49"/>
      <c r="J3" s="49">
        <v>3.72</v>
      </c>
      <c r="K3" s="49"/>
      <c r="L3" s="49"/>
      <c r="M3" s="49">
        <v>3.59</v>
      </c>
      <c r="N3" s="49"/>
      <c r="O3" s="49"/>
      <c r="P3" s="49"/>
      <c r="Q3" s="49">
        <v>8.3259999999999987</v>
      </c>
      <c r="R3" s="49">
        <v>3.7</v>
      </c>
      <c r="S3" s="49">
        <v>3.85</v>
      </c>
      <c r="T3" s="49"/>
      <c r="U3" s="49"/>
      <c r="V3" s="49">
        <v>7.35</v>
      </c>
      <c r="W3" s="49"/>
      <c r="X3" s="49"/>
      <c r="Y3" s="49"/>
    </row>
    <row r="4" spans="1:25" s="7" customFormat="1" ht="15" customHeight="1">
      <c r="A4" s="12" t="s">
        <v>693</v>
      </c>
      <c r="B4" s="8" t="s">
        <v>598</v>
      </c>
      <c r="C4" s="9" t="s">
        <v>612</v>
      </c>
      <c r="D4" s="9" t="s">
        <v>603</v>
      </c>
      <c r="E4" s="49">
        <v>3.68</v>
      </c>
      <c r="F4" s="49">
        <v>7.23</v>
      </c>
      <c r="G4" s="49"/>
      <c r="H4" s="49"/>
      <c r="I4" s="49"/>
      <c r="J4" s="49">
        <v>3.68</v>
      </c>
      <c r="K4" s="49"/>
      <c r="L4" s="49"/>
      <c r="M4" s="49">
        <v>3.59</v>
      </c>
      <c r="N4" s="49"/>
      <c r="O4" s="49"/>
      <c r="P4" s="49"/>
      <c r="Q4" s="49">
        <v>7.4979999999999993</v>
      </c>
      <c r="R4" s="49">
        <v>3.7</v>
      </c>
      <c r="S4" s="49">
        <v>3.81</v>
      </c>
      <c r="T4" s="49"/>
      <c r="U4" s="49"/>
      <c r="V4" s="49">
        <v>7.35</v>
      </c>
      <c r="W4" s="49"/>
      <c r="X4" s="49"/>
      <c r="Y4" s="49"/>
    </row>
    <row r="5" spans="1:25" s="7" customFormat="1" ht="15" customHeight="1">
      <c r="A5" s="12" t="s">
        <v>694</v>
      </c>
      <c r="B5" s="8" t="s">
        <v>598</v>
      </c>
      <c r="C5" s="9" t="s">
        <v>677</v>
      </c>
      <c r="D5" s="9" t="s">
        <v>604</v>
      </c>
      <c r="E5" s="49">
        <v>0</v>
      </c>
      <c r="F5" s="49"/>
      <c r="G5" s="49"/>
      <c r="H5" s="49"/>
      <c r="I5" s="49"/>
      <c r="J5" s="49">
        <v>0</v>
      </c>
      <c r="K5" s="49"/>
      <c r="L5" s="49"/>
      <c r="M5" s="49"/>
      <c r="N5" s="49"/>
      <c r="O5" s="49"/>
      <c r="P5" s="49"/>
      <c r="Q5" s="49">
        <v>0.79349999999999987</v>
      </c>
      <c r="R5" s="49"/>
      <c r="S5" s="49"/>
      <c r="T5" s="49"/>
      <c r="U5" s="49"/>
      <c r="V5" s="49"/>
      <c r="W5" s="49"/>
      <c r="X5" s="49"/>
      <c r="Y5" s="49"/>
    </row>
    <row r="6" spans="1:25" s="7" customFormat="1" ht="15" customHeight="1">
      <c r="A6" s="12" t="s">
        <v>695</v>
      </c>
      <c r="B6" s="8" t="s">
        <v>598</v>
      </c>
      <c r="C6" s="9" t="s">
        <v>678</v>
      </c>
      <c r="D6" s="9" t="s">
        <v>604</v>
      </c>
      <c r="E6" s="49">
        <v>0</v>
      </c>
      <c r="F6" s="49"/>
      <c r="G6" s="49"/>
      <c r="H6" s="49"/>
      <c r="I6" s="49"/>
      <c r="J6" s="49">
        <v>0</v>
      </c>
      <c r="K6" s="49"/>
      <c r="L6" s="49"/>
      <c r="M6" s="49"/>
      <c r="N6" s="49"/>
      <c r="O6" s="49"/>
      <c r="P6" s="49"/>
      <c r="Q6" s="49">
        <v>0.79349999999999987</v>
      </c>
      <c r="R6" s="49"/>
      <c r="S6" s="49"/>
      <c r="T6" s="49"/>
      <c r="U6" s="49"/>
      <c r="V6" s="49"/>
      <c r="W6" s="49"/>
      <c r="X6" s="49"/>
      <c r="Y6" s="49"/>
    </row>
    <row r="7" spans="1:25" s="7" customFormat="1" ht="15" customHeight="1">
      <c r="A7" s="12" t="s">
        <v>696</v>
      </c>
      <c r="B7" s="8" t="s">
        <v>598</v>
      </c>
      <c r="C7" s="9" t="s">
        <v>679</v>
      </c>
      <c r="D7" s="9" t="s">
        <v>604</v>
      </c>
      <c r="E7" s="49">
        <v>0</v>
      </c>
      <c r="F7" s="49"/>
      <c r="G7" s="49"/>
      <c r="H7" s="49"/>
      <c r="I7" s="49"/>
      <c r="J7" s="49">
        <v>0</v>
      </c>
      <c r="K7" s="49"/>
      <c r="L7" s="49"/>
      <c r="M7" s="49"/>
      <c r="N7" s="49"/>
      <c r="O7" s="49"/>
      <c r="P7" s="49"/>
      <c r="Q7" s="49">
        <v>0.79349999999999987</v>
      </c>
      <c r="R7" s="49"/>
      <c r="S7" s="49"/>
      <c r="T7" s="49"/>
      <c r="U7" s="49"/>
      <c r="V7" s="49"/>
      <c r="W7" s="49"/>
      <c r="X7" s="49"/>
      <c r="Y7" s="49"/>
    </row>
    <row r="8" spans="1:25" s="7" customFormat="1" ht="15" customHeight="1">
      <c r="A8" s="12" t="s">
        <v>697</v>
      </c>
      <c r="B8" s="8" t="s">
        <v>598</v>
      </c>
      <c r="C8" s="9" t="s">
        <v>613</v>
      </c>
      <c r="D8" s="9" t="s">
        <v>603</v>
      </c>
      <c r="E8" s="49">
        <v>1.38</v>
      </c>
      <c r="F8" s="49">
        <v>0</v>
      </c>
      <c r="G8" s="49"/>
      <c r="H8" s="49"/>
      <c r="I8" s="49"/>
      <c r="J8" s="49">
        <v>1.85</v>
      </c>
      <c r="K8" s="49"/>
      <c r="L8" s="49"/>
      <c r="M8" s="49">
        <v>1.35</v>
      </c>
      <c r="N8" s="49"/>
      <c r="O8" s="49"/>
      <c r="P8" s="49"/>
      <c r="Q8" s="49">
        <v>1.472</v>
      </c>
      <c r="R8" s="49">
        <v>1.83</v>
      </c>
      <c r="S8" s="49">
        <v>1.92</v>
      </c>
      <c r="T8" s="49"/>
      <c r="U8" s="49"/>
      <c r="V8" s="49">
        <v>0</v>
      </c>
      <c r="W8" s="49"/>
      <c r="X8" s="49"/>
      <c r="Y8" s="49"/>
    </row>
    <row r="9" spans="1:25" s="7" customFormat="1" ht="15" customHeight="1">
      <c r="A9" s="12" t="s">
        <v>698</v>
      </c>
      <c r="B9" s="8" t="s">
        <v>598</v>
      </c>
      <c r="C9" s="9" t="s">
        <v>614</v>
      </c>
      <c r="D9" s="9" t="s">
        <v>603</v>
      </c>
      <c r="E9" s="49">
        <v>1.38</v>
      </c>
      <c r="F9" s="49">
        <v>0</v>
      </c>
      <c r="G9" s="49"/>
      <c r="H9" s="49"/>
      <c r="I9" s="49"/>
      <c r="J9" s="49">
        <v>1.84</v>
      </c>
      <c r="K9" s="49"/>
      <c r="L9" s="49"/>
      <c r="M9" s="49">
        <v>1.35</v>
      </c>
      <c r="N9" s="49"/>
      <c r="O9" s="49"/>
      <c r="P9" s="49"/>
      <c r="Q9" s="49">
        <v>1.38</v>
      </c>
      <c r="R9" s="49">
        <v>1.83</v>
      </c>
      <c r="S9" s="49">
        <v>1.9</v>
      </c>
      <c r="T9" s="49"/>
      <c r="U9" s="49"/>
      <c r="V9" s="49">
        <v>0</v>
      </c>
      <c r="W9" s="49"/>
      <c r="X9" s="49"/>
      <c r="Y9" s="49"/>
    </row>
    <row r="10" spans="1:25" s="7" customFormat="1" ht="15" customHeight="1">
      <c r="A10" s="12" t="s">
        <v>699</v>
      </c>
      <c r="B10" s="8" t="s">
        <v>598</v>
      </c>
      <c r="C10" s="9" t="s">
        <v>615</v>
      </c>
      <c r="D10" s="9" t="s">
        <v>603</v>
      </c>
      <c r="E10" s="49">
        <v>1.38</v>
      </c>
      <c r="F10" s="49">
        <v>0</v>
      </c>
      <c r="G10" s="49"/>
      <c r="H10" s="49"/>
      <c r="I10" s="49"/>
      <c r="J10" s="49">
        <v>1.82</v>
      </c>
      <c r="K10" s="49"/>
      <c r="L10" s="49"/>
      <c r="M10" s="49">
        <v>1.35</v>
      </c>
      <c r="N10" s="49"/>
      <c r="O10" s="49"/>
      <c r="P10" s="49"/>
      <c r="Q10" s="49">
        <v>1.38</v>
      </c>
      <c r="R10" s="49">
        <v>1.83</v>
      </c>
      <c r="S10" s="49">
        <v>1.88</v>
      </c>
      <c r="T10" s="49"/>
      <c r="U10" s="49"/>
      <c r="V10" s="49">
        <v>0</v>
      </c>
      <c r="W10" s="49"/>
      <c r="X10" s="49"/>
      <c r="Y10" s="49"/>
    </row>
    <row r="11" spans="1:25" s="7" customFormat="1" ht="15" customHeight="1">
      <c r="A11" s="12" t="s">
        <v>700</v>
      </c>
      <c r="B11" s="8" t="s">
        <v>598</v>
      </c>
      <c r="C11" s="9" t="s">
        <v>616</v>
      </c>
      <c r="D11" s="9" t="s">
        <v>604</v>
      </c>
      <c r="E11" s="49">
        <v>0</v>
      </c>
      <c r="F11" s="49"/>
      <c r="G11" s="49"/>
      <c r="H11" s="49"/>
      <c r="I11" s="49"/>
      <c r="J11" s="49">
        <v>0</v>
      </c>
      <c r="K11" s="49"/>
      <c r="L11" s="49"/>
      <c r="M11" s="49">
        <v>0</v>
      </c>
      <c r="N11" s="49"/>
      <c r="O11" s="49"/>
      <c r="P11" s="49"/>
      <c r="Q11" s="49">
        <v>0.79349999999999987</v>
      </c>
      <c r="R11" s="49">
        <v>0</v>
      </c>
      <c r="S11" s="49"/>
      <c r="T11" s="49"/>
      <c r="U11" s="49"/>
      <c r="V11" s="49"/>
      <c r="W11" s="49"/>
      <c r="X11" s="49"/>
      <c r="Y11" s="49"/>
    </row>
    <row r="12" spans="1:25" s="7" customFormat="1" ht="15" customHeight="1">
      <c r="A12" s="12" t="s">
        <v>701</v>
      </c>
      <c r="B12" s="8" t="s">
        <v>598</v>
      </c>
      <c r="C12" s="9" t="s">
        <v>617</v>
      </c>
      <c r="D12" s="9" t="s">
        <v>604</v>
      </c>
      <c r="E12" s="49">
        <v>0</v>
      </c>
      <c r="F12" s="49"/>
      <c r="G12" s="49"/>
      <c r="H12" s="49"/>
      <c r="I12" s="49"/>
      <c r="J12" s="49">
        <v>0</v>
      </c>
      <c r="K12" s="49"/>
      <c r="L12" s="49"/>
      <c r="M12" s="49">
        <v>0</v>
      </c>
      <c r="N12" s="49"/>
      <c r="O12" s="49"/>
      <c r="P12" s="49"/>
      <c r="Q12" s="49">
        <v>0.79349999999999987</v>
      </c>
      <c r="R12" s="49">
        <v>0</v>
      </c>
      <c r="S12" s="49"/>
      <c r="T12" s="49"/>
      <c r="U12" s="49"/>
      <c r="V12" s="49"/>
      <c r="W12" s="49"/>
      <c r="X12" s="49"/>
      <c r="Y12" s="49"/>
    </row>
    <row r="13" spans="1:25" s="7" customFormat="1" ht="15" customHeight="1">
      <c r="A13" s="12" t="s">
        <v>702</v>
      </c>
      <c r="B13" s="8" t="s">
        <v>598</v>
      </c>
      <c r="C13" s="9" t="s">
        <v>618</v>
      </c>
      <c r="D13" s="9" t="s">
        <v>604</v>
      </c>
      <c r="E13" s="49">
        <v>0</v>
      </c>
      <c r="F13" s="49"/>
      <c r="G13" s="49"/>
      <c r="H13" s="49"/>
      <c r="I13" s="49"/>
      <c r="J13" s="49">
        <v>0</v>
      </c>
      <c r="K13" s="49"/>
      <c r="L13" s="49"/>
      <c r="M13" s="49">
        <v>0</v>
      </c>
      <c r="N13" s="49"/>
      <c r="O13" s="49"/>
      <c r="P13" s="49"/>
      <c r="Q13" s="49">
        <v>0.79349999999999987</v>
      </c>
      <c r="R13" s="49">
        <v>0</v>
      </c>
      <c r="S13" s="49"/>
      <c r="T13" s="49"/>
      <c r="U13" s="49"/>
      <c r="V13" s="49"/>
      <c r="W13" s="49"/>
      <c r="X13" s="49"/>
      <c r="Y13" s="49"/>
    </row>
    <row r="14" spans="1:25" s="7" customFormat="1" ht="15" customHeight="1">
      <c r="A14" s="12" t="s">
        <v>703</v>
      </c>
      <c r="B14" s="8" t="s">
        <v>598</v>
      </c>
      <c r="C14" s="9" t="s">
        <v>674</v>
      </c>
      <c r="D14" s="9" t="s">
        <v>603</v>
      </c>
      <c r="E14" s="49">
        <v>7.18</v>
      </c>
      <c r="F14" s="49">
        <v>0</v>
      </c>
      <c r="G14" s="49"/>
      <c r="H14" s="49"/>
      <c r="I14" s="49"/>
      <c r="J14" s="49">
        <v>14.63</v>
      </c>
      <c r="K14" s="49"/>
      <c r="L14" s="49"/>
      <c r="M14" s="49">
        <v>7.07</v>
      </c>
      <c r="N14" s="49"/>
      <c r="O14" s="49"/>
      <c r="P14" s="49"/>
      <c r="Q14" s="49">
        <v>10.395999999999999</v>
      </c>
      <c r="R14" s="49">
        <v>6.66</v>
      </c>
      <c r="S14" s="49">
        <v>7.13</v>
      </c>
      <c r="T14" s="49"/>
      <c r="U14" s="49"/>
      <c r="V14" s="49">
        <v>0</v>
      </c>
      <c r="W14" s="49"/>
      <c r="X14" s="49"/>
      <c r="Y14" s="49"/>
    </row>
    <row r="15" spans="1:25" s="7" customFormat="1" ht="15" customHeight="1">
      <c r="A15" s="12" t="s">
        <v>704</v>
      </c>
      <c r="B15" s="8" t="s">
        <v>598</v>
      </c>
      <c r="C15" s="9" t="s">
        <v>675</v>
      </c>
      <c r="D15" s="9" t="s">
        <v>603</v>
      </c>
      <c r="E15" s="49">
        <v>6.63</v>
      </c>
      <c r="F15" s="49">
        <v>0</v>
      </c>
      <c r="G15" s="49"/>
      <c r="H15" s="49"/>
      <c r="I15" s="49"/>
      <c r="J15" s="49">
        <v>14.63</v>
      </c>
      <c r="K15" s="49"/>
      <c r="L15" s="49"/>
      <c r="M15" s="49">
        <v>6.53</v>
      </c>
      <c r="N15" s="49"/>
      <c r="O15" s="49"/>
      <c r="P15" s="49"/>
      <c r="Q15" s="49">
        <v>4.3699999999999992</v>
      </c>
      <c r="R15" s="49">
        <v>6.11</v>
      </c>
      <c r="S15" s="49">
        <v>6.58</v>
      </c>
      <c r="T15" s="49"/>
      <c r="U15" s="49"/>
      <c r="V15" s="49">
        <v>0</v>
      </c>
      <c r="W15" s="49"/>
      <c r="X15" s="49"/>
      <c r="Y15" s="49"/>
    </row>
    <row r="16" spans="1:25" s="7" customFormat="1" ht="15" customHeight="1">
      <c r="A16" s="12" t="s">
        <v>705</v>
      </c>
      <c r="B16" s="8" t="s">
        <v>598</v>
      </c>
      <c r="C16" s="9" t="s">
        <v>676</v>
      </c>
      <c r="D16" s="9" t="s">
        <v>603</v>
      </c>
      <c r="E16" s="49">
        <v>6.08</v>
      </c>
      <c r="F16" s="49">
        <v>0</v>
      </c>
      <c r="G16" s="49"/>
      <c r="H16" s="49"/>
      <c r="I16" s="49"/>
      <c r="J16" s="49">
        <v>14.63</v>
      </c>
      <c r="K16" s="49"/>
      <c r="L16" s="49"/>
      <c r="M16" s="49">
        <v>5.98</v>
      </c>
      <c r="N16" s="49"/>
      <c r="O16" s="49"/>
      <c r="P16" s="49"/>
      <c r="Q16" s="49">
        <v>3.6109999999999998</v>
      </c>
      <c r="R16" s="49">
        <v>5.55</v>
      </c>
      <c r="S16" s="49">
        <v>6.03</v>
      </c>
      <c r="T16" s="49"/>
      <c r="U16" s="49"/>
      <c r="V16" s="49">
        <v>0</v>
      </c>
      <c r="W16" s="49"/>
      <c r="X16" s="49"/>
      <c r="Y16" s="49"/>
    </row>
    <row r="17" spans="1:25" s="7" customFormat="1" ht="15" customHeight="1">
      <c r="A17" s="12"/>
      <c r="B17" s="8"/>
      <c r="C17" s="9"/>
      <c r="D17" s="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spans="1:25" s="7" customFormat="1" ht="15" customHeight="1">
      <c r="A18" s="12" t="s">
        <v>706</v>
      </c>
      <c r="B18" s="8" t="s">
        <v>599</v>
      </c>
      <c r="C18" s="9" t="s">
        <v>610</v>
      </c>
      <c r="D18" s="9" t="s">
        <v>603</v>
      </c>
      <c r="E18" s="49"/>
      <c r="F18" s="49"/>
      <c r="G18" s="49"/>
      <c r="H18" s="49"/>
      <c r="I18" s="49"/>
      <c r="J18" s="49"/>
      <c r="K18" s="49"/>
      <c r="L18" s="49">
        <v>21.56</v>
      </c>
      <c r="M18" s="49"/>
      <c r="N18" s="49"/>
      <c r="O18" s="49"/>
      <c r="P18" s="49"/>
      <c r="Q18" s="49">
        <v>14.570499999999999</v>
      </c>
      <c r="R18" s="49"/>
      <c r="S18" s="49"/>
      <c r="T18" s="49"/>
      <c r="U18" s="49"/>
      <c r="V18" s="49"/>
      <c r="W18" s="49"/>
      <c r="X18" s="49"/>
      <c r="Y18" s="49"/>
    </row>
    <row r="19" spans="1:25" s="7" customFormat="1" ht="15" customHeight="1">
      <c r="A19" s="12" t="s">
        <v>707</v>
      </c>
      <c r="B19" s="8" t="s">
        <v>599</v>
      </c>
      <c r="C19" s="9" t="s">
        <v>611</v>
      </c>
      <c r="D19" s="9" t="s">
        <v>603</v>
      </c>
      <c r="E19" s="49"/>
      <c r="F19" s="49"/>
      <c r="G19" s="49"/>
      <c r="H19" s="49"/>
      <c r="I19" s="49"/>
      <c r="J19" s="49"/>
      <c r="K19" s="49"/>
      <c r="L19" s="49">
        <v>21.56</v>
      </c>
      <c r="M19" s="49"/>
      <c r="N19" s="49"/>
      <c r="O19" s="49"/>
      <c r="P19" s="49"/>
      <c r="Q19" s="49">
        <v>9.7864999999999984</v>
      </c>
      <c r="R19" s="49"/>
      <c r="S19" s="49"/>
      <c r="T19" s="49"/>
      <c r="U19" s="49"/>
      <c r="V19" s="49"/>
      <c r="W19" s="49"/>
      <c r="X19" s="49"/>
      <c r="Y19" s="49"/>
    </row>
    <row r="20" spans="1:25" s="7" customFormat="1" ht="15" customHeight="1">
      <c r="A20" s="12" t="s">
        <v>708</v>
      </c>
      <c r="B20" s="8" t="s">
        <v>599</v>
      </c>
      <c r="C20" s="9" t="s">
        <v>612</v>
      </c>
      <c r="D20" s="9" t="s">
        <v>603</v>
      </c>
      <c r="E20" s="49"/>
      <c r="F20" s="49"/>
      <c r="G20" s="49"/>
      <c r="H20" s="49"/>
      <c r="I20" s="49"/>
      <c r="J20" s="49"/>
      <c r="K20" s="49"/>
      <c r="L20" s="49">
        <v>16.170000000000002</v>
      </c>
      <c r="M20" s="49"/>
      <c r="N20" s="49"/>
      <c r="O20" s="49"/>
      <c r="P20" s="49"/>
      <c r="Q20" s="49">
        <v>8.0039999999999996</v>
      </c>
      <c r="R20" s="49"/>
      <c r="S20" s="49"/>
      <c r="T20" s="49"/>
      <c r="U20" s="49"/>
      <c r="V20" s="49"/>
      <c r="W20" s="49"/>
      <c r="X20" s="49"/>
      <c r="Y20" s="49"/>
    </row>
    <row r="21" spans="1:25" s="7" customFormat="1" ht="15" customHeight="1">
      <c r="A21" s="12" t="s">
        <v>709</v>
      </c>
      <c r="B21" s="8" t="s">
        <v>599</v>
      </c>
      <c r="C21" s="9" t="s">
        <v>677</v>
      </c>
      <c r="D21" s="9" t="s">
        <v>604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>
        <v>0.97428552377276401</v>
      </c>
      <c r="R21" s="49"/>
      <c r="S21" s="49"/>
      <c r="T21" s="49"/>
      <c r="U21" s="49"/>
      <c r="V21" s="49"/>
      <c r="W21" s="49"/>
      <c r="X21" s="49"/>
      <c r="Y21" s="49"/>
    </row>
    <row r="22" spans="1:25" s="7" customFormat="1" ht="15" customHeight="1">
      <c r="A22" s="12" t="s">
        <v>710</v>
      </c>
      <c r="B22" s="8" t="s">
        <v>599</v>
      </c>
      <c r="C22" s="9" t="s">
        <v>678</v>
      </c>
      <c r="D22" s="9" t="s">
        <v>604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>
        <v>0.97428552377276401</v>
      </c>
      <c r="R22" s="49"/>
      <c r="S22" s="49"/>
      <c r="T22" s="49"/>
      <c r="U22" s="49"/>
      <c r="V22" s="49"/>
      <c r="W22" s="49"/>
      <c r="X22" s="49"/>
      <c r="Y22" s="49"/>
    </row>
    <row r="23" spans="1:25" s="7" customFormat="1" ht="15" customHeight="1">
      <c r="A23" s="12" t="s">
        <v>711</v>
      </c>
      <c r="B23" s="8" t="s">
        <v>599</v>
      </c>
      <c r="C23" s="9" t="s">
        <v>679</v>
      </c>
      <c r="D23" s="9" t="s">
        <v>604</v>
      </c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>
        <v>0.97428552377276401</v>
      </c>
      <c r="R23" s="49"/>
      <c r="S23" s="49"/>
      <c r="T23" s="49"/>
      <c r="U23" s="49"/>
      <c r="V23" s="49"/>
      <c r="W23" s="49"/>
      <c r="X23" s="49"/>
      <c r="Y23" s="49"/>
    </row>
    <row r="24" spans="1:25" s="7" customFormat="1" ht="15" customHeight="1">
      <c r="A24" s="12" t="s">
        <v>712</v>
      </c>
      <c r="B24" s="8" t="s">
        <v>599</v>
      </c>
      <c r="C24" s="9" t="s">
        <v>613</v>
      </c>
      <c r="D24" s="9" t="s">
        <v>603</v>
      </c>
      <c r="E24" s="49"/>
      <c r="F24" s="49"/>
      <c r="G24" s="49"/>
      <c r="H24" s="49"/>
      <c r="I24" s="49"/>
      <c r="J24" s="49"/>
      <c r="K24" s="49"/>
      <c r="L24" s="49">
        <v>8.1199999999999992</v>
      </c>
      <c r="M24" s="49"/>
      <c r="N24" s="49"/>
      <c r="O24" s="49"/>
      <c r="P24" s="49"/>
      <c r="Q24" s="49">
        <v>1.5754999999999999</v>
      </c>
      <c r="R24" s="49"/>
      <c r="S24" s="49"/>
      <c r="T24" s="49"/>
      <c r="U24" s="49"/>
      <c r="V24" s="49"/>
      <c r="W24" s="49"/>
      <c r="X24" s="49"/>
      <c r="Y24" s="49"/>
    </row>
    <row r="25" spans="1:25" s="7" customFormat="1" ht="15" customHeight="1">
      <c r="A25" s="12" t="s">
        <v>713</v>
      </c>
      <c r="B25" s="8" t="s">
        <v>599</v>
      </c>
      <c r="C25" s="9" t="s">
        <v>614</v>
      </c>
      <c r="D25" s="9" t="s">
        <v>603</v>
      </c>
      <c r="E25" s="49"/>
      <c r="F25" s="49"/>
      <c r="G25" s="49"/>
      <c r="H25" s="49"/>
      <c r="I25" s="49"/>
      <c r="J25" s="49"/>
      <c r="K25" s="49"/>
      <c r="L25" s="49">
        <v>8.1199999999999992</v>
      </c>
      <c r="M25" s="49"/>
      <c r="N25" s="49"/>
      <c r="O25" s="49"/>
      <c r="P25" s="49"/>
      <c r="Q25" s="49">
        <v>1.4604999999999999</v>
      </c>
      <c r="R25" s="49"/>
      <c r="S25" s="49"/>
      <c r="T25" s="49"/>
      <c r="U25" s="49"/>
      <c r="V25" s="49"/>
      <c r="W25" s="49"/>
      <c r="X25" s="49"/>
      <c r="Y25" s="49"/>
    </row>
    <row r="26" spans="1:25" s="7" customFormat="1" ht="15" customHeight="1">
      <c r="A26" s="12" t="s">
        <v>714</v>
      </c>
      <c r="B26" s="8" t="s">
        <v>599</v>
      </c>
      <c r="C26" s="9" t="s">
        <v>615</v>
      </c>
      <c r="D26" s="9" t="s">
        <v>603</v>
      </c>
      <c r="E26" s="49"/>
      <c r="F26" s="49"/>
      <c r="G26" s="49"/>
      <c r="H26" s="49"/>
      <c r="I26" s="49"/>
      <c r="J26" s="49"/>
      <c r="K26" s="49"/>
      <c r="L26" s="49">
        <v>6.09</v>
      </c>
      <c r="M26" s="49"/>
      <c r="N26" s="49"/>
      <c r="O26" s="49"/>
      <c r="P26" s="49"/>
      <c r="Q26" s="49">
        <v>1.4834999999999998</v>
      </c>
      <c r="R26" s="49"/>
      <c r="S26" s="49"/>
      <c r="T26" s="49"/>
      <c r="U26" s="49"/>
      <c r="V26" s="49"/>
      <c r="W26" s="49"/>
      <c r="X26" s="49"/>
      <c r="Y26" s="49"/>
    </row>
    <row r="27" spans="1:25" s="7" customFormat="1" ht="15" customHeight="1">
      <c r="A27" s="12" t="s">
        <v>715</v>
      </c>
      <c r="B27" s="8" t="s">
        <v>599</v>
      </c>
      <c r="C27" s="9" t="s">
        <v>616</v>
      </c>
      <c r="D27" s="9" t="s">
        <v>604</v>
      </c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>
        <v>0.97428552377276401</v>
      </c>
      <c r="R27" s="49"/>
      <c r="S27" s="49"/>
      <c r="T27" s="49"/>
      <c r="U27" s="49"/>
      <c r="V27" s="49"/>
      <c r="W27" s="49"/>
      <c r="X27" s="49"/>
      <c r="Y27" s="49"/>
    </row>
    <row r="28" spans="1:25" s="7" customFormat="1" ht="15" customHeight="1">
      <c r="A28" s="12" t="s">
        <v>716</v>
      </c>
      <c r="B28" s="8" t="s">
        <v>599</v>
      </c>
      <c r="C28" s="9" t="s">
        <v>617</v>
      </c>
      <c r="D28" s="9" t="s">
        <v>604</v>
      </c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>
        <v>0.97428552377276401</v>
      </c>
      <c r="R28" s="49"/>
      <c r="S28" s="49"/>
      <c r="T28" s="49"/>
      <c r="U28" s="49"/>
      <c r="V28" s="49"/>
      <c r="W28" s="49"/>
      <c r="X28" s="49"/>
      <c r="Y28" s="49"/>
    </row>
    <row r="29" spans="1:25" s="7" customFormat="1" ht="15" customHeight="1">
      <c r="A29" s="12" t="s">
        <v>717</v>
      </c>
      <c r="B29" s="8" t="s">
        <v>599</v>
      </c>
      <c r="C29" s="9" t="s">
        <v>618</v>
      </c>
      <c r="D29" s="9" t="s">
        <v>604</v>
      </c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>
        <v>0.97428552377276401</v>
      </c>
      <c r="R29" s="49"/>
      <c r="S29" s="49"/>
      <c r="T29" s="49"/>
      <c r="U29" s="49"/>
      <c r="V29" s="49"/>
      <c r="W29" s="49"/>
      <c r="X29" s="49"/>
      <c r="Y29" s="49"/>
    </row>
    <row r="30" spans="1:25" s="7" customFormat="1" ht="15" customHeight="1">
      <c r="A30" s="12" t="s">
        <v>718</v>
      </c>
      <c r="B30" s="8" t="s">
        <v>599</v>
      </c>
      <c r="C30" s="9" t="s">
        <v>674</v>
      </c>
      <c r="D30" s="9" t="s">
        <v>603</v>
      </c>
      <c r="E30" s="49"/>
      <c r="F30" s="49"/>
      <c r="G30" s="49"/>
      <c r="H30" s="49"/>
      <c r="I30" s="49"/>
      <c r="J30" s="49"/>
      <c r="K30" s="49"/>
      <c r="L30" s="49">
        <v>10.28</v>
      </c>
      <c r="M30" s="49"/>
      <c r="N30" s="49"/>
      <c r="O30" s="49"/>
      <c r="P30" s="49"/>
      <c r="Q30" s="49">
        <v>11.189499999999999</v>
      </c>
      <c r="R30" s="49"/>
      <c r="S30" s="49"/>
      <c r="T30" s="49"/>
      <c r="U30" s="49"/>
      <c r="V30" s="49"/>
      <c r="W30" s="49"/>
      <c r="X30" s="49"/>
      <c r="Y30" s="49"/>
    </row>
    <row r="31" spans="1:25" s="7" customFormat="1" ht="15" customHeight="1">
      <c r="A31" s="12" t="s">
        <v>719</v>
      </c>
      <c r="B31" s="8" t="s">
        <v>599</v>
      </c>
      <c r="C31" s="9" t="s">
        <v>675</v>
      </c>
      <c r="D31" s="9" t="s">
        <v>603</v>
      </c>
      <c r="E31" s="49"/>
      <c r="F31" s="49"/>
      <c r="G31" s="49"/>
      <c r="H31" s="49"/>
      <c r="I31" s="49"/>
      <c r="J31" s="49"/>
      <c r="K31" s="49"/>
      <c r="L31" s="49">
        <v>8.6300000000000008</v>
      </c>
      <c r="M31" s="49"/>
      <c r="N31" s="49"/>
      <c r="O31" s="49"/>
      <c r="P31" s="49"/>
      <c r="Q31" s="49">
        <v>5.0369999999999999</v>
      </c>
      <c r="R31" s="49"/>
      <c r="S31" s="49"/>
      <c r="T31" s="49"/>
      <c r="U31" s="49"/>
      <c r="V31" s="49"/>
      <c r="W31" s="49"/>
      <c r="X31" s="49"/>
      <c r="Y31" s="49"/>
    </row>
    <row r="32" spans="1:25" s="7" customFormat="1" ht="15" customHeight="1">
      <c r="A32" s="12" t="s">
        <v>720</v>
      </c>
      <c r="B32" s="8" t="s">
        <v>599</v>
      </c>
      <c r="C32" s="9" t="s">
        <v>676</v>
      </c>
      <c r="D32" s="9" t="s">
        <v>603</v>
      </c>
      <c r="E32" s="49"/>
      <c r="F32" s="49"/>
      <c r="G32" s="49"/>
      <c r="H32" s="49"/>
      <c r="I32" s="49"/>
      <c r="J32" s="49"/>
      <c r="K32" s="49"/>
      <c r="L32" s="49">
        <v>7.2</v>
      </c>
      <c r="M32" s="49"/>
      <c r="N32" s="49"/>
      <c r="O32" s="49"/>
      <c r="P32" s="49"/>
      <c r="Q32" s="49">
        <v>3.8984999999999999</v>
      </c>
      <c r="R32" s="49"/>
      <c r="S32" s="49"/>
      <c r="T32" s="49"/>
      <c r="U32" s="49"/>
      <c r="V32" s="49"/>
      <c r="W32" s="49"/>
      <c r="X32" s="49"/>
      <c r="Y32" s="49"/>
    </row>
    <row r="33" spans="1:25" s="7" customFormat="1" ht="15" customHeight="1">
      <c r="A33" s="12"/>
      <c r="B33" s="6"/>
      <c r="C33" s="9"/>
      <c r="D33" s="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spans="1:25" s="7" customFormat="1" ht="15" customHeight="1">
      <c r="A34" s="12" t="s">
        <v>721</v>
      </c>
      <c r="B34" s="8" t="s">
        <v>600</v>
      </c>
      <c r="C34" s="9" t="s">
        <v>610</v>
      </c>
      <c r="D34" s="9" t="s">
        <v>603</v>
      </c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spans="1:25" s="7" customFormat="1" ht="15" customHeight="1">
      <c r="A35" s="12" t="s">
        <v>722</v>
      </c>
      <c r="B35" s="8" t="s">
        <v>600</v>
      </c>
      <c r="C35" s="9" t="s">
        <v>611</v>
      </c>
      <c r="D35" s="9" t="s">
        <v>603</v>
      </c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spans="1:25" s="7" customFormat="1" ht="15" customHeight="1">
      <c r="A36" s="12" t="s">
        <v>723</v>
      </c>
      <c r="B36" s="8" t="s">
        <v>600</v>
      </c>
      <c r="C36" s="9" t="s">
        <v>612</v>
      </c>
      <c r="D36" s="9" t="s">
        <v>603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spans="1:25" s="7" customFormat="1" ht="15" customHeight="1">
      <c r="A37" s="12" t="s">
        <v>724</v>
      </c>
      <c r="B37" s="8" t="s">
        <v>600</v>
      </c>
      <c r="C37" s="9" t="s">
        <v>677</v>
      </c>
      <c r="D37" s="9" t="s">
        <v>604</v>
      </c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spans="1:25" s="7" customFormat="1" ht="15" customHeight="1">
      <c r="A38" s="12" t="s">
        <v>725</v>
      </c>
      <c r="B38" s="8" t="s">
        <v>600</v>
      </c>
      <c r="C38" s="9" t="s">
        <v>678</v>
      </c>
      <c r="D38" s="9" t="s">
        <v>604</v>
      </c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spans="1:25" s="7" customFormat="1" ht="15" customHeight="1">
      <c r="A39" s="12" t="s">
        <v>726</v>
      </c>
      <c r="B39" s="8" t="s">
        <v>600</v>
      </c>
      <c r="C39" s="9" t="s">
        <v>679</v>
      </c>
      <c r="D39" s="9" t="s">
        <v>604</v>
      </c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spans="1:25" s="7" customFormat="1" ht="15" customHeight="1">
      <c r="A40" s="12" t="s">
        <v>727</v>
      </c>
      <c r="B40" s="8" t="s">
        <v>600</v>
      </c>
      <c r="C40" s="9" t="s">
        <v>613</v>
      </c>
      <c r="D40" s="9" t="s">
        <v>603</v>
      </c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spans="1:25" s="7" customFormat="1" ht="15" customHeight="1">
      <c r="A41" s="12" t="s">
        <v>728</v>
      </c>
      <c r="B41" s="8" t="s">
        <v>600</v>
      </c>
      <c r="C41" s="9" t="s">
        <v>614</v>
      </c>
      <c r="D41" s="9" t="s">
        <v>603</v>
      </c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spans="1:25" s="7" customFormat="1" ht="15" customHeight="1">
      <c r="A42" s="12" t="s">
        <v>729</v>
      </c>
      <c r="B42" s="8" t="s">
        <v>600</v>
      </c>
      <c r="C42" s="9" t="s">
        <v>615</v>
      </c>
      <c r="D42" s="9" t="s">
        <v>603</v>
      </c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spans="1:25" s="7" customFormat="1" ht="15" customHeight="1">
      <c r="A43" s="12" t="s">
        <v>730</v>
      </c>
      <c r="B43" s="8" t="s">
        <v>600</v>
      </c>
      <c r="C43" s="9" t="s">
        <v>616</v>
      </c>
      <c r="D43" s="9" t="s">
        <v>604</v>
      </c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spans="1:25" s="7" customFormat="1" ht="15" customHeight="1">
      <c r="A44" s="12" t="s">
        <v>731</v>
      </c>
      <c r="B44" s="8" t="s">
        <v>600</v>
      </c>
      <c r="C44" s="9" t="s">
        <v>617</v>
      </c>
      <c r="D44" s="9" t="s">
        <v>604</v>
      </c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spans="1:25" s="7" customFormat="1" ht="15" customHeight="1">
      <c r="A45" s="12" t="s">
        <v>732</v>
      </c>
      <c r="B45" s="8" t="s">
        <v>600</v>
      </c>
      <c r="C45" s="9" t="s">
        <v>618</v>
      </c>
      <c r="D45" s="9" t="s">
        <v>604</v>
      </c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spans="1:25" s="7" customFormat="1" ht="15" customHeight="1">
      <c r="A46" s="12" t="s">
        <v>733</v>
      </c>
      <c r="B46" s="8" t="s">
        <v>600</v>
      </c>
      <c r="C46" s="9" t="s">
        <v>674</v>
      </c>
      <c r="D46" s="9" t="s">
        <v>603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spans="1:25" s="7" customFormat="1" ht="15" customHeight="1">
      <c r="A47" s="12" t="s">
        <v>734</v>
      </c>
      <c r="B47" s="8" t="s">
        <v>600</v>
      </c>
      <c r="C47" s="9" t="s">
        <v>675</v>
      </c>
      <c r="D47" s="9" t="s">
        <v>603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spans="1:25" s="7" customFormat="1" ht="15" customHeight="1">
      <c r="A48" s="12" t="s">
        <v>735</v>
      </c>
      <c r="B48" s="8" t="s">
        <v>600</v>
      </c>
      <c r="C48" s="9" t="s">
        <v>676</v>
      </c>
      <c r="D48" s="9" t="s">
        <v>603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spans="1:25" s="7" customFormat="1" ht="15" customHeight="1">
      <c r="A49" s="12"/>
      <c r="B49" s="6"/>
      <c r="C49" s="9"/>
      <c r="D49" s="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spans="1:25" s="7" customFormat="1" ht="15" customHeight="1">
      <c r="A50" s="12" t="s">
        <v>736</v>
      </c>
      <c r="B50" s="8" t="s">
        <v>601</v>
      </c>
      <c r="C50" s="9" t="s">
        <v>610</v>
      </c>
      <c r="D50" s="9" t="s">
        <v>603</v>
      </c>
      <c r="E50" s="49">
        <v>3.68</v>
      </c>
      <c r="F50" s="49">
        <v>6.81</v>
      </c>
      <c r="G50" s="49"/>
      <c r="H50" s="49"/>
      <c r="I50" s="49"/>
      <c r="J50" s="49">
        <v>3.74</v>
      </c>
      <c r="K50" s="49"/>
      <c r="L50" s="49">
        <v>7.18</v>
      </c>
      <c r="M50" s="49">
        <v>3.59</v>
      </c>
      <c r="N50" s="49"/>
      <c r="O50" s="49"/>
      <c r="P50" s="49"/>
      <c r="Q50" s="49">
        <v>13.247999999999999</v>
      </c>
      <c r="R50" s="49">
        <v>3.7</v>
      </c>
      <c r="S50" s="49">
        <v>3.89</v>
      </c>
      <c r="T50" s="49"/>
      <c r="U50" s="49"/>
      <c r="V50" s="49">
        <v>6.93</v>
      </c>
      <c r="W50" s="49"/>
      <c r="X50" s="49">
        <v>7.36</v>
      </c>
      <c r="Y50" s="49">
        <v>4.75</v>
      </c>
    </row>
    <row r="51" spans="1:25" s="7" customFormat="1" ht="15" customHeight="1">
      <c r="A51" s="12" t="s">
        <v>737</v>
      </c>
      <c r="B51" s="8" t="s">
        <v>601</v>
      </c>
      <c r="C51" s="9" t="s">
        <v>611</v>
      </c>
      <c r="D51" s="9" t="s">
        <v>603</v>
      </c>
      <c r="E51" s="49">
        <v>3.68</v>
      </c>
      <c r="F51" s="49">
        <v>6.81</v>
      </c>
      <c r="G51" s="49"/>
      <c r="H51" s="49"/>
      <c r="I51" s="49"/>
      <c r="J51" s="49">
        <v>3.72</v>
      </c>
      <c r="K51" s="49"/>
      <c r="L51" s="49">
        <v>7.18</v>
      </c>
      <c r="M51" s="49">
        <v>3.59</v>
      </c>
      <c r="N51" s="49"/>
      <c r="O51" s="49"/>
      <c r="P51" s="49"/>
      <c r="Q51" s="49">
        <v>8.234</v>
      </c>
      <c r="R51" s="49">
        <v>3.7</v>
      </c>
      <c r="S51" s="49">
        <v>3.85</v>
      </c>
      <c r="T51" s="49"/>
      <c r="U51" s="49"/>
      <c r="V51" s="49">
        <v>6.93</v>
      </c>
      <c r="W51" s="49"/>
      <c r="X51" s="49">
        <v>7.36</v>
      </c>
      <c r="Y51" s="49">
        <v>4.75</v>
      </c>
    </row>
    <row r="52" spans="1:25" s="7" customFormat="1" ht="15" customHeight="1">
      <c r="A52" s="12" t="s">
        <v>738</v>
      </c>
      <c r="B52" s="8" t="s">
        <v>601</v>
      </c>
      <c r="C52" s="9" t="s">
        <v>612</v>
      </c>
      <c r="D52" s="9" t="s">
        <v>603</v>
      </c>
      <c r="E52" s="49">
        <v>3.68</v>
      </c>
      <c r="F52" s="49">
        <v>6.81</v>
      </c>
      <c r="G52" s="49"/>
      <c r="H52" s="49"/>
      <c r="I52" s="49"/>
      <c r="J52" s="49">
        <v>3.68</v>
      </c>
      <c r="K52" s="49"/>
      <c r="L52" s="49">
        <v>7.18</v>
      </c>
      <c r="M52" s="49">
        <v>3.59</v>
      </c>
      <c r="N52" s="49"/>
      <c r="O52" s="49"/>
      <c r="P52" s="49"/>
      <c r="Q52" s="49">
        <v>7.4174999999999995</v>
      </c>
      <c r="R52" s="49">
        <v>3.7</v>
      </c>
      <c r="S52" s="49">
        <v>3.81</v>
      </c>
      <c r="T52" s="49"/>
      <c r="U52" s="49"/>
      <c r="V52" s="49">
        <v>6.93</v>
      </c>
      <c r="W52" s="49"/>
      <c r="X52" s="49">
        <v>7.36</v>
      </c>
      <c r="Y52" s="49">
        <v>4.75</v>
      </c>
    </row>
    <row r="53" spans="1:25" s="7" customFormat="1" ht="15" customHeight="1">
      <c r="A53" s="12" t="s">
        <v>739</v>
      </c>
      <c r="B53" s="8" t="s">
        <v>601</v>
      </c>
      <c r="C53" s="9" t="s">
        <v>677</v>
      </c>
      <c r="D53" s="9" t="s">
        <v>604</v>
      </c>
      <c r="E53" s="49">
        <v>0</v>
      </c>
      <c r="F53" s="49"/>
      <c r="G53" s="49"/>
      <c r="H53" s="49"/>
      <c r="I53" s="49"/>
      <c r="J53" s="49">
        <v>0</v>
      </c>
      <c r="K53" s="49"/>
      <c r="L53" s="49"/>
      <c r="M53" s="49"/>
      <c r="N53" s="49"/>
      <c r="O53" s="49"/>
      <c r="P53" s="49"/>
      <c r="Q53" s="49">
        <v>0.79349999999999987</v>
      </c>
      <c r="R53" s="49"/>
      <c r="S53" s="49"/>
      <c r="T53" s="49"/>
      <c r="U53" s="49"/>
      <c r="V53" s="49"/>
      <c r="W53" s="49"/>
      <c r="X53" s="49"/>
      <c r="Y53" s="49">
        <v>0</v>
      </c>
    </row>
    <row r="54" spans="1:25" s="7" customFormat="1" ht="15" customHeight="1">
      <c r="A54" s="12" t="s">
        <v>740</v>
      </c>
      <c r="B54" s="8" t="s">
        <v>601</v>
      </c>
      <c r="C54" s="9" t="s">
        <v>678</v>
      </c>
      <c r="D54" s="9" t="s">
        <v>604</v>
      </c>
      <c r="E54" s="49">
        <v>0</v>
      </c>
      <c r="F54" s="49"/>
      <c r="G54" s="49"/>
      <c r="H54" s="49"/>
      <c r="I54" s="49"/>
      <c r="J54" s="49">
        <v>0</v>
      </c>
      <c r="K54" s="49"/>
      <c r="L54" s="49"/>
      <c r="M54" s="49"/>
      <c r="N54" s="49"/>
      <c r="O54" s="49"/>
      <c r="P54" s="49"/>
      <c r="Q54" s="49">
        <v>0.79349999999999987</v>
      </c>
      <c r="R54" s="49"/>
      <c r="S54" s="49"/>
      <c r="T54" s="49"/>
      <c r="U54" s="49"/>
      <c r="V54" s="49"/>
      <c r="W54" s="49"/>
      <c r="X54" s="49"/>
      <c r="Y54" s="49">
        <v>0</v>
      </c>
    </row>
    <row r="55" spans="1:25" s="7" customFormat="1" ht="15" customHeight="1">
      <c r="A55" s="12" t="s">
        <v>741</v>
      </c>
      <c r="B55" s="8" t="s">
        <v>601</v>
      </c>
      <c r="C55" s="9" t="s">
        <v>679</v>
      </c>
      <c r="D55" s="9" t="s">
        <v>604</v>
      </c>
      <c r="E55" s="49">
        <v>0</v>
      </c>
      <c r="F55" s="49"/>
      <c r="G55" s="49"/>
      <c r="H55" s="49"/>
      <c r="I55" s="49"/>
      <c r="J55" s="49">
        <v>0</v>
      </c>
      <c r="K55" s="49"/>
      <c r="L55" s="49"/>
      <c r="M55" s="49"/>
      <c r="N55" s="49"/>
      <c r="O55" s="49"/>
      <c r="P55" s="49"/>
      <c r="Q55" s="49">
        <v>0.79349999999999987</v>
      </c>
      <c r="R55" s="49"/>
      <c r="S55" s="49"/>
      <c r="T55" s="49"/>
      <c r="U55" s="49"/>
      <c r="V55" s="49"/>
      <c r="W55" s="49"/>
      <c r="X55" s="49"/>
      <c r="Y55" s="49">
        <v>0</v>
      </c>
    </row>
    <row r="56" spans="1:25" s="7" customFormat="1" ht="15" customHeight="1">
      <c r="A56" s="12" t="s">
        <v>742</v>
      </c>
      <c r="B56" s="8" t="s">
        <v>601</v>
      </c>
      <c r="C56" s="9" t="s">
        <v>613</v>
      </c>
      <c r="D56" s="9" t="s">
        <v>603</v>
      </c>
      <c r="E56" s="49">
        <v>1.38</v>
      </c>
      <c r="F56" s="49">
        <v>1.7</v>
      </c>
      <c r="G56" s="49"/>
      <c r="H56" s="49"/>
      <c r="I56" s="49"/>
      <c r="J56" s="49">
        <v>1.85</v>
      </c>
      <c r="K56" s="49"/>
      <c r="L56" s="49">
        <v>1.79</v>
      </c>
      <c r="M56" s="49">
        <v>1.35</v>
      </c>
      <c r="N56" s="49"/>
      <c r="O56" s="49"/>
      <c r="P56" s="49"/>
      <c r="Q56" s="49">
        <v>1.4489999999999998</v>
      </c>
      <c r="R56" s="49">
        <v>1.83</v>
      </c>
      <c r="S56" s="49">
        <v>1.92</v>
      </c>
      <c r="T56" s="49"/>
      <c r="U56" s="49"/>
      <c r="V56" s="49">
        <v>1.73</v>
      </c>
      <c r="W56" s="49"/>
      <c r="X56" s="49">
        <v>1.85</v>
      </c>
      <c r="Y56" s="49">
        <v>0.78</v>
      </c>
    </row>
    <row r="57" spans="1:25" s="7" customFormat="1" ht="15" customHeight="1">
      <c r="A57" s="12" t="s">
        <v>743</v>
      </c>
      <c r="B57" s="8" t="s">
        <v>601</v>
      </c>
      <c r="C57" s="9" t="s">
        <v>614</v>
      </c>
      <c r="D57" s="9" t="s">
        <v>603</v>
      </c>
      <c r="E57" s="49">
        <v>1.38</v>
      </c>
      <c r="F57" s="49">
        <v>1.7</v>
      </c>
      <c r="G57" s="49"/>
      <c r="H57" s="49"/>
      <c r="I57" s="49"/>
      <c r="J57" s="49">
        <v>1.84</v>
      </c>
      <c r="K57" s="49"/>
      <c r="L57" s="49">
        <v>1.79</v>
      </c>
      <c r="M57" s="49">
        <v>1.35</v>
      </c>
      <c r="N57" s="49"/>
      <c r="O57" s="49"/>
      <c r="P57" s="49"/>
      <c r="Q57" s="49">
        <v>1.3569999999999998</v>
      </c>
      <c r="R57" s="49">
        <v>1.83</v>
      </c>
      <c r="S57" s="49">
        <v>1.9</v>
      </c>
      <c r="T57" s="49"/>
      <c r="U57" s="49"/>
      <c r="V57" s="49">
        <v>1.73</v>
      </c>
      <c r="W57" s="49"/>
      <c r="X57" s="49">
        <v>1.85</v>
      </c>
      <c r="Y57" s="49">
        <v>0.78</v>
      </c>
    </row>
    <row r="58" spans="1:25" s="7" customFormat="1" ht="15" customHeight="1">
      <c r="A58" s="12" t="s">
        <v>744</v>
      </c>
      <c r="B58" s="8" t="s">
        <v>601</v>
      </c>
      <c r="C58" s="9" t="s">
        <v>615</v>
      </c>
      <c r="D58" s="9" t="s">
        <v>603</v>
      </c>
      <c r="E58" s="49">
        <v>1.38</v>
      </c>
      <c r="F58" s="49">
        <v>1.7</v>
      </c>
      <c r="G58" s="49"/>
      <c r="H58" s="49"/>
      <c r="I58" s="49"/>
      <c r="J58" s="49">
        <v>1.82</v>
      </c>
      <c r="K58" s="49"/>
      <c r="L58" s="49">
        <v>1.79</v>
      </c>
      <c r="M58" s="49">
        <v>1.35</v>
      </c>
      <c r="N58" s="49"/>
      <c r="O58" s="49"/>
      <c r="P58" s="49"/>
      <c r="Q58" s="49">
        <v>1.3569999999999998</v>
      </c>
      <c r="R58" s="49">
        <v>1.83</v>
      </c>
      <c r="S58" s="49">
        <v>1.88</v>
      </c>
      <c r="T58" s="49"/>
      <c r="U58" s="49"/>
      <c r="V58" s="49">
        <v>1.73</v>
      </c>
      <c r="W58" s="49"/>
      <c r="X58" s="49">
        <v>1.85</v>
      </c>
      <c r="Y58" s="49">
        <v>0.78</v>
      </c>
    </row>
    <row r="59" spans="1:25" s="7" customFormat="1" ht="15" customHeight="1">
      <c r="A59" s="12" t="s">
        <v>745</v>
      </c>
      <c r="B59" s="8" t="s">
        <v>601</v>
      </c>
      <c r="C59" s="9" t="s">
        <v>616</v>
      </c>
      <c r="D59" s="9" t="s">
        <v>604</v>
      </c>
      <c r="E59" s="49">
        <v>0</v>
      </c>
      <c r="F59" s="49"/>
      <c r="G59" s="49"/>
      <c r="H59" s="49"/>
      <c r="I59" s="49"/>
      <c r="J59" s="49">
        <v>0</v>
      </c>
      <c r="K59" s="49"/>
      <c r="L59" s="49"/>
      <c r="M59" s="49">
        <v>0</v>
      </c>
      <c r="N59" s="49"/>
      <c r="O59" s="49"/>
      <c r="P59" s="49"/>
      <c r="Q59" s="49">
        <v>0.79349999999999987</v>
      </c>
      <c r="R59" s="49">
        <v>0</v>
      </c>
      <c r="S59" s="49"/>
      <c r="T59" s="49"/>
      <c r="U59" s="49"/>
      <c r="V59" s="49"/>
      <c r="W59" s="49"/>
      <c r="X59" s="49"/>
      <c r="Y59" s="49">
        <v>0</v>
      </c>
    </row>
    <row r="60" spans="1:25" s="7" customFormat="1" ht="15" customHeight="1">
      <c r="A60" s="12" t="s">
        <v>746</v>
      </c>
      <c r="B60" s="8" t="s">
        <v>601</v>
      </c>
      <c r="C60" s="9" t="s">
        <v>617</v>
      </c>
      <c r="D60" s="9" t="s">
        <v>604</v>
      </c>
      <c r="E60" s="49">
        <v>0</v>
      </c>
      <c r="F60" s="49"/>
      <c r="G60" s="49"/>
      <c r="H60" s="49"/>
      <c r="I60" s="49"/>
      <c r="J60" s="49">
        <v>0</v>
      </c>
      <c r="K60" s="49"/>
      <c r="L60" s="49"/>
      <c r="M60" s="49">
        <v>0</v>
      </c>
      <c r="N60" s="49"/>
      <c r="O60" s="49"/>
      <c r="P60" s="49"/>
      <c r="Q60" s="49">
        <v>0.79349999999999987</v>
      </c>
      <c r="R60" s="49">
        <v>0</v>
      </c>
      <c r="S60" s="49"/>
      <c r="T60" s="49"/>
      <c r="U60" s="49"/>
      <c r="V60" s="49"/>
      <c r="W60" s="49"/>
      <c r="X60" s="49"/>
      <c r="Y60" s="49">
        <v>0</v>
      </c>
    </row>
    <row r="61" spans="1:25" s="7" customFormat="1" ht="15" customHeight="1">
      <c r="A61" s="12" t="s">
        <v>747</v>
      </c>
      <c r="B61" s="8" t="s">
        <v>601</v>
      </c>
      <c r="C61" s="9" t="s">
        <v>618</v>
      </c>
      <c r="D61" s="9" t="s">
        <v>604</v>
      </c>
      <c r="E61" s="49">
        <v>0</v>
      </c>
      <c r="F61" s="49"/>
      <c r="G61" s="49"/>
      <c r="H61" s="49"/>
      <c r="I61" s="49"/>
      <c r="J61" s="49">
        <v>0</v>
      </c>
      <c r="K61" s="49"/>
      <c r="L61" s="49"/>
      <c r="M61" s="49">
        <v>0</v>
      </c>
      <c r="N61" s="49"/>
      <c r="O61" s="49"/>
      <c r="P61" s="49"/>
      <c r="Q61" s="49">
        <v>0.79349999999999987</v>
      </c>
      <c r="R61" s="49">
        <v>0</v>
      </c>
      <c r="S61" s="49"/>
      <c r="T61" s="49"/>
      <c r="U61" s="49"/>
      <c r="V61" s="49"/>
      <c r="W61" s="49"/>
      <c r="X61" s="49"/>
      <c r="Y61" s="49">
        <v>0</v>
      </c>
    </row>
    <row r="62" spans="1:25" s="7" customFormat="1" ht="15" customHeight="1">
      <c r="A62" s="12" t="s">
        <v>748</v>
      </c>
      <c r="B62" s="8" t="s">
        <v>601</v>
      </c>
      <c r="C62" s="9" t="s">
        <v>674</v>
      </c>
      <c r="D62" s="9" t="s">
        <v>603</v>
      </c>
      <c r="E62" s="49">
        <v>7.18</v>
      </c>
      <c r="F62" s="49">
        <v>0</v>
      </c>
      <c r="G62" s="49"/>
      <c r="H62" s="49"/>
      <c r="I62" s="49"/>
      <c r="J62" s="49">
        <v>14.63</v>
      </c>
      <c r="K62" s="49"/>
      <c r="L62" s="49">
        <v>5</v>
      </c>
      <c r="M62" s="49">
        <v>7.07</v>
      </c>
      <c r="N62" s="49"/>
      <c r="O62" s="49"/>
      <c r="P62" s="49"/>
      <c r="Q62" s="49">
        <v>10.246499999999999</v>
      </c>
      <c r="R62" s="49">
        <v>6.66</v>
      </c>
      <c r="S62" s="49">
        <v>7.13</v>
      </c>
      <c r="T62" s="49"/>
      <c r="U62" s="49"/>
      <c r="V62" s="49">
        <v>0</v>
      </c>
      <c r="W62" s="49"/>
      <c r="X62" s="49">
        <v>0</v>
      </c>
      <c r="Y62" s="49">
        <v>13.26</v>
      </c>
    </row>
    <row r="63" spans="1:25" s="7" customFormat="1" ht="15" customHeight="1">
      <c r="A63" s="12" t="s">
        <v>749</v>
      </c>
      <c r="B63" s="8" t="s">
        <v>601</v>
      </c>
      <c r="C63" s="9" t="s">
        <v>675</v>
      </c>
      <c r="D63" s="9" t="s">
        <v>603</v>
      </c>
      <c r="E63" s="49">
        <v>6.63</v>
      </c>
      <c r="F63" s="49">
        <v>0</v>
      </c>
      <c r="G63" s="49"/>
      <c r="H63" s="49"/>
      <c r="I63" s="49"/>
      <c r="J63" s="49">
        <v>14.63</v>
      </c>
      <c r="K63" s="49"/>
      <c r="L63" s="49">
        <v>5</v>
      </c>
      <c r="M63" s="49">
        <v>6.53</v>
      </c>
      <c r="N63" s="49"/>
      <c r="O63" s="49"/>
      <c r="P63" s="49"/>
      <c r="Q63" s="49">
        <v>4.3010000000000002</v>
      </c>
      <c r="R63" s="49">
        <v>6.11</v>
      </c>
      <c r="S63" s="49">
        <v>6.58</v>
      </c>
      <c r="T63" s="49"/>
      <c r="U63" s="49"/>
      <c r="V63" s="49">
        <v>0</v>
      </c>
      <c r="W63" s="49"/>
      <c r="X63" s="49">
        <v>0</v>
      </c>
      <c r="Y63" s="49">
        <v>9.73</v>
      </c>
    </row>
    <row r="64" spans="1:25" s="7" customFormat="1" ht="15" customHeight="1">
      <c r="A64" s="12" t="s">
        <v>750</v>
      </c>
      <c r="B64" s="8" t="s">
        <v>601</v>
      </c>
      <c r="C64" s="9" t="s">
        <v>676</v>
      </c>
      <c r="D64" s="9" t="s">
        <v>603</v>
      </c>
      <c r="E64" s="49">
        <v>6.08</v>
      </c>
      <c r="F64" s="49">
        <v>0</v>
      </c>
      <c r="G64" s="49"/>
      <c r="H64" s="49"/>
      <c r="I64" s="49"/>
      <c r="J64" s="49">
        <v>14.63</v>
      </c>
      <c r="K64" s="49"/>
      <c r="L64" s="49">
        <v>4</v>
      </c>
      <c r="M64" s="49">
        <v>5.98</v>
      </c>
      <c r="N64" s="49"/>
      <c r="O64" s="49"/>
      <c r="P64" s="49"/>
      <c r="Q64" s="49">
        <v>3.5534999999999997</v>
      </c>
      <c r="R64" s="49">
        <v>5.55</v>
      </c>
      <c r="S64" s="49">
        <v>6.03</v>
      </c>
      <c r="T64" s="49"/>
      <c r="U64" s="49"/>
      <c r="V64" s="49">
        <v>0</v>
      </c>
      <c r="W64" s="49"/>
      <c r="X64" s="49">
        <v>0</v>
      </c>
      <c r="Y64" s="49">
        <v>7.73</v>
      </c>
    </row>
    <row r="65" spans="1:25" s="7" customFormat="1" ht="15" customHeight="1">
      <c r="A65" s="12"/>
      <c r="B65" s="8"/>
      <c r="C65" s="9"/>
      <c r="D65" s="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s="7" customFormat="1" ht="15" customHeight="1">
      <c r="A66" s="12" t="s">
        <v>751</v>
      </c>
      <c r="B66" s="8" t="s">
        <v>598</v>
      </c>
      <c r="C66" s="9" t="s">
        <v>609</v>
      </c>
      <c r="D66" s="9" t="s">
        <v>605</v>
      </c>
      <c r="E66" s="49">
        <v>3.68</v>
      </c>
      <c r="F66" s="49"/>
      <c r="G66" s="49"/>
      <c r="H66" s="49"/>
      <c r="I66" s="49"/>
      <c r="J66" s="49">
        <v>0</v>
      </c>
      <c r="K66" s="49"/>
      <c r="L66" s="49"/>
      <c r="M66" s="49">
        <v>3.59</v>
      </c>
      <c r="N66" s="49"/>
      <c r="O66" s="49"/>
      <c r="P66" s="49"/>
      <c r="Q66" s="49">
        <v>25.840499999999995</v>
      </c>
      <c r="R66" s="49">
        <v>3.7</v>
      </c>
      <c r="S66" s="49">
        <v>3.89</v>
      </c>
      <c r="T66" s="49"/>
      <c r="U66" s="49"/>
      <c r="V66" s="49"/>
      <c r="W66" s="49"/>
      <c r="X66" s="49"/>
      <c r="Y66" s="49"/>
    </row>
    <row r="67" spans="1:25" s="7" customFormat="1" ht="15" customHeight="1">
      <c r="A67" s="12" t="s">
        <v>752</v>
      </c>
      <c r="B67" s="8" t="s">
        <v>598</v>
      </c>
      <c r="C67" s="9" t="s">
        <v>619</v>
      </c>
      <c r="D67" s="9" t="s">
        <v>605</v>
      </c>
      <c r="E67" s="49">
        <v>3.68</v>
      </c>
      <c r="F67" s="49"/>
      <c r="G67" s="49"/>
      <c r="H67" s="49"/>
      <c r="I67" s="49"/>
      <c r="J67" s="49">
        <v>0</v>
      </c>
      <c r="K67" s="49"/>
      <c r="L67" s="49"/>
      <c r="M67" s="49">
        <v>3.59</v>
      </c>
      <c r="N67" s="49"/>
      <c r="O67" s="49"/>
      <c r="P67" s="49"/>
      <c r="Q67" s="49">
        <v>23.724499999999995</v>
      </c>
      <c r="R67" s="49">
        <v>3.7</v>
      </c>
      <c r="S67" s="49">
        <v>3.85</v>
      </c>
      <c r="T67" s="49"/>
      <c r="U67" s="49"/>
      <c r="V67" s="49"/>
      <c r="W67" s="49"/>
      <c r="X67" s="49"/>
      <c r="Y67" s="49"/>
    </row>
    <row r="68" spans="1:25" s="7" customFormat="1" ht="15" customHeight="1">
      <c r="A68" s="12" t="s">
        <v>753</v>
      </c>
      <c r="B68" s="8" t="s">
        <v>598</v>
      </c>
      <c r="C68" s="9" t="s">
        <v>620</v>
      </c>
      <c r="D68" s="9" t="s">
        <v>605</v>
      </c>
      <c r="E68" s="49">
        <v>3.68</v>
      </c>
      <c r="F68" s="49"/>
      <c r="G68" s="49"/>
      <c r="H68" s="49"/>
      <c r="I68" s="49"/>
      <c r="J68" s="49">
        <v>0</v>
      </c>
      <c r="K68" s="49"/>
      <c r="L68" s="49"/>
      <c r="M68" s="49">
        <v>3.59</v>
      </c>
      <c r="N68" s="49"/>
      <c r="O68" s="49"/>
      <c r="P68" s="49"/>
      <c r="Q68" s="49">
        <v>22.585999999999999</v>
      </c>
      <c r="R68" s="49">
        <v>3.7</v>
      </c>
      <c r="S68" s="49">
        <v>3.81</v>
      </c>
      <c r="T68" s="49"/>
      <c r="U68" s="49"/>
      <c r="V68" s="49"/>
      <c r="W68" s="49"/>
      <c r="X68" s="49"/>
      <c r="Y68" s="49"/>
    </row>
    <row r="69" spans="1:25" s="7" customFormat="1" ht="15" customHeight="1">
      <c r="A69" s="12" t="s">
        <v>754</v>
      </c>
      <c r="B69" s="8" t="s">
        <v>598</v>
      </c>
      <c r="C69" s="9" t="s">
        <v>656</v>
      </c>
      <c r="D69" s="9" t="s">
        <v>604</v>
      </c>
      <c r="E69" s="49"/>
      <c r="F69" s="49"/>
      <c r="G69" s="49"/>
      <c r="H69" s="49"/>
      <c r="I69" s="49"/>
      <c r="J69" s="49">
        <v>0</v>
      </c>
      <c r="K69" s="49"/>
      <c r="L69" s="49"/>
      <c r="M69" s="49"/>
      <c r="N69" s="49"/>
      <c r="O69" s="49"/>
      <c r="P69" s="49"/>
      <c r="Q69" s="49">
        <v>0.79349999999999987</v>
      </c>
      <c r="R69" s="49"/>
      <c r="S69" s="49"/>
      <c r="T69" s="49"/>
      <c r="U69" s="49"/>
      <c r="V69" s="49"/>
      <c r="W69" s="49"/>
      <c r="X69" s="49"/>
      <c r="Y69" s="49"/>
    </row>
    <row r="70" spans="1:25" s="7" customFormat="1" ht="15" customHeight="1">
      <c r="A70" s="12" t="s">
        <v>755</v>
      </c>
      <c r="B70" s="8" t="s">
        <v>598</v>
      </c>
      <c r="C70" s="9" t="s">
        <v>657</v>
      </c>
      <c r="D70" s="9" t="s">
        <v>604</v>
      </c>
      <c r="E70" s="49"/>
      <c r="F70" s="49"/>
      <c r="G70" s="49"/>
      <c r="H70" s="49"/>
      <c r="I70" s="49"/>
      <c r="J70" s="49">
        <v>0</v>
      </c>
      <c r="K70" s="49"/>
      <c r="L70" s="49"/>
      <c r="M70" s="49"/>
      <c r="N70" s="49"/>
      <c r="O70" s="49"/>
      <c r="P70" s="49"/>
      <c r="Q70" s="49">
        <v>0.79349999999999987</v>
      </c>
      <c r="R70" s="49"/>
      <c r="S70" s="49"/>
      <c r="T70" s="49"/>
      <c r="U70" s="49"/>
      <c r="V70" s="49"/>
      <c r="W70" s="49"/>
      <c r="X70" s="49"/>
      <c r="Y70" s="49"/>
    </row>
    <row r="71" spans="1:25" s="7" customFormat="1" ht="15" customHeight="1">
      <c r="A71" s="12" t="s">
        <v>756</v>
      </c>
      <c r="B71" s="8" t="s">
        <v>598</v>
      </c>
      <c r="C71" s="9" t="s">
        <v>658</v>
      </c>
      <c r="D71" s="9" t="s">
        <v>604</v>
      </c>
      <c r="E71" s="49"/>
      <c r="F71" s="49"/>
      <c r="G71" s="49"/>
      <c r="H71" s="49"/>
      <c r="I71" s="49"/>
      <c r="J71" s="49">
        <v>0</v>
      </c>
      <c r="K71" s="49"/>
      <c r="L71" s="49"/>
      <c r="M71" s="49"/>
      <c r="N71" s="49"/>
      <c r="O71" s="49"/>
      <c r="P71" s="49"/>
      <c r="Q71" s="49">
        <v>0.79349999999999987</v>
      </c>
      <c r="R71" s="49"/>
      <c r="S71" s="49"/>
      <c r="T71" s="49"/>
      <c r="U71" s="49"/>
      <c r="V71" s="49"/>
      <c r="W71" s="49"/>
      <c r="X71" s="49"/>
      <c r="Y71" s="49"/>
    </row>
    <row r="72" spans="1:25" s="7" customFormat="1" ht="15" customHeight="1">
      <c r="A72" s="12"/>
      <c r="B72" s="8"/>
      <c r="C72" s="9"/>
      <c r="D72" s="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s="7" customFormat="1" ht="15" customHeight="1">
      <c r="A73" s="12" t="s">
        <v>757</v>
      </c>
      <c r="B73" s="8" t="s">
        <v>602</v>
      </c>
      <c r="C73" s="9" t="s">
        <v>609</v>
      </c>
      <c r="D73" s="9" t="s">
        <v>605</v>
      </c>
      <c r="E73" s="49"/>
      <c r="F73" s="49"/>
      <c r="G73" s="49"/>
      <c r="H73" s="49"/>
      <c r="I73" s="49"/>
      <c r="J73" s="49"/>
      <c r="K73" s="49"/>
      <c r="L73" s="49">
        <v>0</v>
      </c>
      <c r="M73" s="49"/>
      <c r="N73" s="49"/>
      <c r="O73" s="49"/>
      <c r="P73" s="49"/>
      <c r="Q73" s="49">
        <v>28.335999999999999</v>
      </c>
      <c r="R73" s="49"/>
      <c r="S73" s="49"/>
      <c r="T73" s="49"/>
      <c r="U73" s="49"/>
      <c r="V73" s="49"/>
      <c r="W73" s="49"/>
      <c r="X73" s="49"/>
      <c r="Y73" s="49"/>
    </row>
    <row r="74" spans="1:25" s="7" customFormat="1" ht="15" customHeight="1">
      <c r="A74" s="12" t="s">
        <v>758</v>
      </c>
      <c r="B74" s="8" t="s">
        <v>602</v>
      </c>
      <c r="C74" s="9" t="s">
        <v>619</v>
      </c>
      <c r="D74" s="9" t="s">
        <v>605</v>
      </c>
      <c r="E74" s="49"/>
      <c r="F74" s="49"/>
      <c r="G74" s="49"/>
      <c r="H74" s="49"/>
      <c r="I74" s="49"/>
      <c r="J74" s="49"/>
      <c r="K74" s="49"/>
      <c r="L74" s="49">
        <v>0</v>
      </c>
      <c r="M74" s="49"/>
      <c r="N74" s="49"/>
      <c r="O74" s="49"/>
      <c r="P74" s="49"/>
      <c r="Q74" s="49">
        <v>26.242999999999999</v>
      </c>
      <c r="R74" s="49"/>
      <c r="S74" s="49"/>
      <c r="T74" s="49"/>
      <c r="U74" s="49"/>
      <c r="V74" s="49"/>
      <c r="W74" s="49"/>
      <c r="X74" s="49"/>
      <c r="Y74" s="49"/>
    </row>
    <row r="75" spans="1:25" s="7" customFormat="1" ht="15" customHeight="1">
      <c r="A75" s="12" t="s">
        <v>759</v>
      </c>
      <c r="B75" s="8" t="s">
        <v>602</v>
      </c>
      <c r="C75" s="9" t="s">
        <v>620</v>
      </c>
      <c r="D75" s="9" t="s">
        <v>605</v>
      </c>
      <c r="E75" s="49"/>
      <c r="F75" s="49"/>
      <c r="G75" s="49"/>
      <c r="H75" s="49"/>
      <c r="I75" s="49"/>
      <c r="J75" s="49"/>
      <c r="K75" s="49"/>
      <c r="L75" s="49">
        <v>0</v>
      </c>
      <c r="M75" s="49"/>
      <c r="N75" s="49"/>
      <c r="O75" s="49"/>
      <c r="P75" s="49"/>
      <c r="Q75" s="49">
        <v>24.851499999999998</v>
      </c>
      <c r="R75" s="49"/>
      <c r="S75" s="49"/>
      <c r="T75" s="49"/>
      <c r="U75" s="49"/>
      <c r="V75" s="49"/>
      <c r="W75" s="49"/>
      <c r="X75" s="49"/>
      <c r="Y75" s="49"/>
    </row>
    <row r="76" spans="1:25" s="7" customFormat="1" ht="15" customHeight="1">
      <c r="A76" s="12" t="s">
        <v>760</v>
      </c>
      <c r="B76" s="8" t="s">
        <v>602</v>
      </c>
      <c r="C76" s="9" t="s">
        <v>656</v>
      </c>
      <c r="D76" s="9" t="s">
        <v>604</v>
      </c>
      <c r="E76" s="49"/>
      <c r="F76" s="49"/>
      <c r="G76" s="49"/>
      <c r="H76" s="49"/>
      <c r="I76" s="49"/>
      <c r="J76" s="49"/>
      <c r="K76" s="49"/>
      <c r="L76" s="49">
        <v>2.4700000000000002</v>
      </c>
      <c r="M76" s="49"/>
      <c r="N76" s="49"/>
      <c r="O76" s="49"/>
      <c r="P76" s="49"/>
      <c r="Q76" s="49">
        <v>0.97409888945079404</v>
      </c>
      <c r="R76" s="49"/>
      <c r="S76" s="49"/>
      <c r="T76" s="49"/>
      <c r="U76" s="49"/>
      <c r="V76" s="49"/>
      <c r="W76" s="49"/>
      <c r="X76" s="49"/>
      <c r="Y76" s="49"/>
    </row>
    <row r="77" spans="1:25" s="7" customFormat="1" ht="15" customHeight="1">
      <c r="A77" s="12" t="s">
        <v>761</v>
      </c>
      <c r="B77" s="8" t="s">
        <v>602</v>
      </c>
      <c r="C77" s="9" t="s">
        <v>657</v>
      </c>
      <c r="D77" s="9" t="s">
        <v>604</v>
      </c>
      <c r="E77" s="49"/>
      <c r="F77" s="49"/>
      <c r="G77" s="49"/>
      <c r="H77" s="49"/>
      <c r="I77" s="49"/>
      <c r="J77" s="49"/>
      <c r="K77" s="49"/>
      <c r="L77" s="49">
        <v>2.4700000000000002</v>
      </c>
      <c r="M77" s="49"/>
      <c r="N77" s="49"/>
      <c r="O77" s="49"/>
      <c r="P77" s="49"/>
      <c r="Q77" s="49">
        <v>0.97409888945079404</v>
      </c>
      <c r="R77" s="49"/>
      <c r="S77" s="49"/>
      <c r="T77" s="49"/>
      <c r="U77" s="49"/>
      <c r="V77" s="49"/>
      <c r="W77" s="49"/>
      <c r="X77" s="49"/>
      <c r="Y77" s="49"/>
    </row>
    <row r="78" spans="1:25" s="7" customFormat="1" ht="15" customHeight="1">
      <c r="A78" s="12" t="s">
        <v>762</v>
      </c>
      <c r="B78" s="8" t="s">
        <v>602</v>
      </c>
      <c r="C78" s="9" t="s">
        <v>658</v>
      </c>
      <c r="D78" s="9" t="s">
        <v>604</v>
      </c>
      <c r="E78" s="49"/>
      <c r="F78" s="49"/>
      <c r="G78" s="49"/>
      <c r="H78" s="49"/>
      <c r="I78" s="49"/>
      <c r="J78" s="49"/>
      <c r="K78" s="49"/>
      <c r="L78" s="49">
        <v>2.4700000000000002</v>
      </c>
      <c r="M78" s="49"/>
      <c r="N78" s="49"/>
      <c r="O78" s="49"/>
      <c r="P78" s="49"/>
      <c r="Q78" s="49">
        <v>0.97409888945079404</v>
      </c>
      <c r="R78" s="49"/>
      <c r="S78" s="49"/>
      <c r="T78" s="49"/>
      <c r="U78" s="49"/>
      <c r="V78" s="49"/>
      <c r="W78" s="49"/>
      <c r="X78" s="49"/>
      <c r="Y78" s="49"/>
    </row>
    <row r="79" spans="1:25" s="7" customFormat="1" ht="15" customHeight="1">
      <c r="A79" s="12"/>
      <c r="B79" s="8"/>
      <c r="C79" s="9"/>
      <c r="D79" s="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spans="1:25" s="7" customFormat="1" ht="15" customHeight="1">
      <c r="A80" s="12" t="s">
        <v>763</v>
      </c>
      <c r="B80" s="8" t="s">
        <v>600</v>
      </c>
      <c r="C80" s="9" t="s">
        <v>609</v>
      </c>
      <c r="D80" s="9" t="s">
        <v>605</v>
      </c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s="7" customFormat="1" ht="15" customHeight="1">
      <c r="A81" s="12" t="s">
        <v>764</v>
      </c>
      <c r="B81" s="8" t="s">
        <v>600</v>
      </c>
      <c r="C81" s="9" t="s">
        <v>619</v>
      </c>
      <c r="D81" s="9" t="s">
        <v>605</v>
      </c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s="7" customFormat="1" ht="15" customHeight="1">
      <c r="A82" s="12" t="s">
        <v>765</v>
      </c>
      <c r="B82" s="8" t="s">
        <v>600</v>
      </c>
      <c r="C82" s="9" t="s">
        <v>620</v>
      </c>
      <c r="D82" s="9" t="s">
        <v>605</v>
      </c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s="7" customFormat="1" ht="15" customHeight="1">
      <c r="A83" s="12" t="s">
        <v>766</v>
      </c>
      <c r="B83" s="8" t="s">
        <v>600</v>
      </c>
      <c r="C83" s="9" t="s">
        <v>656</v>
      </c>
      <c r="D83" s="9" t="s">
        <v>604</v>
      </c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s="7" customFormat="1" ht="15" customHeight="1">
      <c r="A84" s="12" t="s">
        <v>767</v>
      </c>
      <c r="B84" s="8" t="s">
        <v>600</v>
      </c>
      <c r="C84" s="9" t="s">
        <v>657</v>
      </c>
      <c r="D84" s="9" t="s">
        <v>604</v>
      </c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</row>
    <row r="85" spans="1:25" s="7" customFormat="1" ht="15" customHeight="1">
      <c r="A85" s="12" t="s">
        <v>768</v>
      </c>
      <c r="B85" s="8" t="s">
        <v>600</v>
      </c>
      <c r="C85" s="9" t="s">
        <v>658</v>
      </c>
      <c r="D85" s="9" t="s">
        <v>604</v>
      </c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s="7" customFormat="1" ht="15" customHeight="1">
      <c r="A86" s="12"/>
      <c r="B86" s="8"/>
      <c r="C86" s="9"/>
      <c r="D86" s="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spans="1:25" s="7" customFormat="1" ht="15" customHeight="1">
      <c r="A87" s="12" t="s">
        <v>769</v>
      </c>
      <c r="B87" s="8" t="s">
        <v>601</v>
      </c>
      <c r="C87" s="9" t="s">
        <v>609</v>
      </c>
      <c r="D87" s="9" t="s">
        <v>605</v>
      </c>
      <c r="E87" s="49">
        <v>3.68</v>
      </c>
      <c r="F87" s="49">
        <v>0</v>
      </c>
      <c r="G87" s="49"/>
      <c r="H87" s="49"/>
      <c r="I87" s="49"/>
      <c r="J87" s="49">
        <v>0</v>
      </c>
      <c r="K87" s="49"/>
      <c r="L87" s="49">
        <v>0</v>
      </c>
      <c r="M87" s="49">
        <v>3.59</v>
      </c>
      <c r="N87" s="49"/>
      <c r="O87" s="49"/>
      <c r="P87" s="49"/>
      <c r="Q87" s="49">
        <v>25.391999999999996</v>
      </c>
      <c r="R87" s="49">
        <v>3.7</v>
      </c>
      <c r="S87" s="49">
        <v>3.89</v>
      </c>
      <c r="T87" s="49"/>
      <c r="U87" s="49"/>
      <c r="V87" s="49">
        <v>0</v>
      </c>
      <c r="W87" s="49"/>
      <c r="X87" s="49">
        <v>0</v>
      </c>
      <c r="Y87" s="49">
        <v>0</v>
      </c>
    </row>
    <row r="88" spans="1:25" s="7" customFormat="1" ht="15" customHeight="1">
      <c r="A88" s="12" t="s">
        <v>770</v>
      </c>
      <c r="B88" s="8" t="s">
        <v>601</v>
      </c>
      <c r="C88" s="9" t="s">
        <v>619</v>
      </c>
      <c r="D88" s="9" t="s">
        <v>605</v>
      </c>
      <c r="E88" s="49">
        <v>3.68</v>
      </c>
      <c r="F88" s="49">
        <v>0</v>
      </c>
      <c r="G88" s="49"/>
      <c r="H88" s="49"/>
      <c r="I88" s="49"/>
      <c r="J88" s="49">
        <v>0</v>
      </c>
      <c r="K88" s="49"/>
      <c r="L88" s="49">
        <v>0</v>
      </c>
      <c r="M88" s="49">
        <v>3.59</v>
      </c>
      <c r="N88" s="49"/>
      <c r="O88" s="49"/>
      <c r="P88" s="49"/>
      <c r="Q88" s="49">
        <v>23.298999999999999</v>
      </c>
      <c r="R88" s="49">
        <v>3.7</v>
      </c>
      <c r="S88" s="49">
        <v>3.85</v>
      </c>
      <c r="T88" s="49"/>
      <c r="U88" s="49"/>
      <c r="V88" s="49">
        <v>0</v>
      </c>
      <c r="W88" s="49"/>
      <c r="X88" s="49">
        <v>0</v>
      </c>
      <c r="Y88" s="49">
        <v>0</v>
      </c>
    </row>
    <row r="89" spans="1:25" s="7" customFormat="1" ht="15" customHeight="1">
      <c r="A89" s="12" t="s">
        <v>771</v>
      </c>
      <c r="B89" s="8" t="s">
        <v>601</v>
      </c>
      <c r="C89" s="9" t="s">
        <v>620</v>
      </c>
      <c r="D89" s="9" t="s">
        <v>605</v>
      </c>
      <c r="E89" s="49">
        <v>3.68</v>
      </c>
      <c r="F89" s="49">
        <v>0</v>
      </c>
      <c r="G89" s="49"/>
      <c r="H89" s="49"/>
      <c r="I89" s="49"/>
      <c r="J89" s="49">
        <v>0</v>
      </c>
      <c r="K89" s="49"/>
      <c r="L89" s="49">
        <v>0</v>
      </c>
      <c r="M89" s="49">
        <v>3.59</v>
      </c>
      <c r="N89" s="49"/>
      <c r="O89" s="49"/>
      <c r="P89" s="49"/>
      <c r="Q89" s="49">
        <v>22.183499999999999</v>
      </c>
      <c r="R89" s="49">
        <v>3.7</v>
      </c>
      <c r="S89" s="49">
        <v>3.81</v>
      </c>
      <c r="T89" s="49"/>
      <c r="U89" s="49"/>
      <c r="V89" s="49">
        <v>0</v>
      </c>
      <c r="W89" s="49"/>
      <c r="X89" s="49">
        <v>0</v>
      </c>
      <c r="Y89" s="49">
        <v>0</v>
      </c>
    </row>
    <row r="90" spans="1:25" s="7" customFormat="1" ht="15" customHeight="1">
      <c r="A90" s="12" t="s">
        <v>772</v>
      </c>
      <c r="B90" s="8" t="s">
        <v>601</v>
      </c>
      <c r="C90" s="9" t="s">
        <v>656</v>
      </c>
      <c r="D90" s="9" t="s">
        <v>604</v>
      </c>
      <c r="E90" s="49"/>
      <c r="F90" s="49">
        <v>1.87</v>
      </c>
      <c r="G90" s="49"/>
      <c r="H90" s="49"/>
      <c r="I90" s="49"/>
      <c r="J90" s="49">
        <v>0</v>
      </c>
      <c r="K90" s="49"/>
      <c r="L90" s="49">
        <v>1.77</v>
      </c>
      <c r="M90" s="49"/>
      <c r="N90" s="49"/>
      <c r="O90" s="49"/>
      <c r="P90" s="49"/>
      <c r="Q90" s="49">
        <v>0.79349999999999987</v>
      </c>
      <c r="R90" s="49"/>
      <c r="S90" s="49"/>
      <c r="T90" s="49"/>
      <c r="U90" s="49"/>
      <c r="V90" s="49">
        <v>1.91</v>
      </c>
      <c r="W90" s="49"/>
      <c r="X90" s="49">
        <v>2.0299999999999998</v>
      </c>
      <c r="Y90" s="49">
        <v>0</v>
      </c>
    </row>
    <row r="91" spans="1:25" s="7" customFormat="1" ht="15" customHeight="1">
      <c r="A91" s="12" t="s">
        <v>773</v>
      </c>
      <c r="B91" s="8" t="s">
        <v>601</v>
      </c>
      <c r="C91" s="9" t="s">
        <v>657</v>
      </c>
      <c r="D91" s="9" t="s">
        <v>604</v>
      </c>
      <c r="E91" s="49"/>
      <c r="F91" s="49">
        <v>1.87</v>
      </c>
      <c r="G91" s="49"/>
      <c r="H91" s="49"/>
      <c r="I91" s="49"/>
      <c r="J91" s="49">
        <v>0</v>
      </c>
      <c r="K91" s="49"/>
      <c r="L91" s="49">
        <v>1.77</v>
      </c>
      <c r="M91" s="49"/>
      <c r="N91" s="49"/>
      <c r="O91" s="49"/>
      <c r="P91" s="49"/>
      <c r="Q91" s="49">
        <v>0.79349999999999987</v>
      </c>
      <c r="R91" s="49"/>
      <c r="S91" s="49"/>
      <c r="T91" s="49"/>
      <c r="U91" s="49"/>
      <c r="V91" s="49">
        <v>1.91</v>
      </c>
      <c r="W91" s="49"/>
      <c r="X91" s="49">
        <v>2.0299999999999998</v>
      </c>
      <c r="Y91" s="49">
        <v>0</v>
      </c>
    </row>
    <row r="92" spans="1:25" s="7" customFormat="1" ht="15" customHeight="1">
      <c r="A92" s="12" t="s">
        <v>774</v>
      </c>
      <c r="B92" s="8" t="s">
        <v>601</v>
      </c>
      <c r="C92" s="9" t="s">
        <v>658</v>
      </c>
      <c r="D92" s="9" t="s">
        <v>604</v>
      </c>
      <c r="E92" s="49"/>
      <c r="F92" s="49">
        <v>1.87</v>
      </c>
      <c r="G92" s="49"/>
      <c r="H92" s="49"/>
      <c r="I92" s="49"/>
      <c r="J92" s="49">
        <v>0</v>
      </c>
      <c r="K92" s="49"/>
      <c r="L92" s="49">
        <v>1.77</v>
      </c>
      <c r="M92" s="49"/>
      <c r="N92" s="49"/>
      <c r="O92" s="49"/>
      <c r="P92" s="49"/>
      <c r="Q92" s="49">
        <v>0.79349999999999987</v>
      </c>
      <c r="R92" s="49"/>
      <c r="S92" s="49"/>
      <c r="T92" s="49"/>
      <c r="U92" s="49"/>
      <c r="V92" s="49">
        <v>1.91</v>
      </c>
      <c r="W92" s="49"/>
      <c r="X92" s="49">
        <v>2.0299999999999998</v>
      </c>
      <c r="Y92" s="49">
        <v>0</v>
      </c>
    </row>
    <row r="93" spans="1:25" s="7" customFormat="1" ht="15" customHeight="1">
      <c r="A93" s="12"/>
      <c r="B93" s="8"/>
      <c r="C93" s="9"/>
      <c r="D93" s="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spans="1:25" s="7" customFormat="1" ht="15" customHeight="1">
      <c r="A94" s="12" t="s">
        <v>775</v>
      </c>
      <c r="B94" s="8" t="s">
        <v>598</v>
      </c>
      <c r="C94" s="9" t="s">
        <v>608</v>
      </c>
      <c r="D94" s="9" t="s">
        <v>605</v>
      </c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>
        <v>2.5185</v>
      </c>
      <c r="R94" s="49"/>
      <c r="S94" s="49"/>
      <c r="T94" s="49"/>
      <c r="U94" s="49"/>
      <c r="V94" s="49"/>
      <c r="W94" s="49"/>
      <c r="X94" s="49"/>
      <c r="Y94" s="49"/>
    </row>
    <row r="95" spans="1:25" s="7" customFormat="1" ht="15" customHeight="1">
      <c r="A95" s="12" t="s">
        <v>776</v>
      </c>
      <c r="B95" s="8" t="s">
        <v>598</v>
      </c>
      <c r="C95" s="9" t="s">
        <v>621</v>
      </c>
      <c r="D95" s="9" t="s">
        <v>605</v>
      </c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>
        <v>1.196</v>
      </c>
      <c r="R95" s="49"/>
      <c r="S95" s="49"/>
      <c r="T95" s="49"/>
      <c r="U95" s="49"/>
      <c r="V95" s="49"/>
      <c r="W95" s="49"/>
      <c r="X95" s="49"/>
      <c r="Y95" s="49"/>
    </row>
    <row r="96" spans="1:25" s="7" customFormat="1" ht="15" customHeight="1">
      <c r="A96" s="12" t="s">
        <v>777</v>
      </c>
      <c r="B96" s="8" t="s">
        <v>598</v>
      </c>
      <c r="C96" s="9" t="s">
        <v>622</v>
      </c>
      <c r="D96" s="9" t="s">
        <v>605</v>
      </c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>
        <v>1.1729999999999998</v>
      </c>
      <c r="R96" s="49"/>
      <c r="S96" s="49"/>
      <c r="T96" s="49"/>
      <c r="U96" s="49"/>
      <c r="V96" s="49"/>
      <c r="W96" s="49"/>
      <c r="X96" s="49"/>
      <c r="Y96" s="49"/>
    </row>
    <row r="97" spans="1:25" s="7" customFormat="1" ht="15" customHeight="1">
      <c r="A97" s="12" t="s">
        <v>778</v>
      </c>
      <c r="B97" s="8" t="s">
        <v>598</v>
      </c>
      <c r="C97" s="9" t="s">
        <v>659</v>
      </c>
      <c r="D97" s="9" t="s">
        <v>604</v>
      </c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>
        <v>0.79349999999999987</v>
      </c>
      <c r="R97" s="49"/>
      <c r="S97" s="49"/>
      <c r="T97" s="49"/>
      <c r="U97" s="49"/>
      <c r="V97" s="49"/>
      <c r="W97" s="49"/>
      <c r="X97" s="49"/>
      <c r="Y97" s="49"/>
    </row>
    <row r="98" spans="1:25" s="7" customFormat="1" ht="15" customHeight="1">
      <c r="A98" s="12" t="s">
        <v>779</v>
      </c>
      <c r="B98" s="8" t="s">
        <v>598</v>
      </c>
      <c r="C98" s="9" t="s">
        <v>660</v>
      </c>
      <c r="D98" s="9" t="s">
        <v>604</v>
      </c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>
        <v>0.79349999999999987</v>
      </c>
      <c r="R98" s="49"/>
      <c r="S98" s="49"/>
      <c r="T98" s="49"/>
      <c r="U98" s="49"/>
      <c r="V98" s="49"/>
      <c r="W98" s="49"/>
      <c r="X98" s="49"/>
      <c r="Y98" s="49"/>
    </row>
    <row r="99" spans="1:25" s="7" customFormat="1" ht="15" customHeight="1">
      <c r="A99" s="12" t="s">
        <v>780</v>
      </c>
      <c r="B99" s="8" t="s">
        <v>598</v>
      </c>
      <c r="C99" s="9" t="s">
        <v>661</v>
      </c>
      <c r="D99" s="9" t="s">
        <v>604</v>
      </c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>
        <v>0.79349999999999987</v>
      </c>
      <c r="R99" s="49"/>
      <c r="S99" s="49"/>
      <c r="T99" s="49"/>
      <c r="U99" s="49"/>
      <c r="V99" s="49"/>
      <c r="W99" s="49"/>
      <c r="X99" s="49"/>
      <c r="Y99" s="49"/>
    </row>
    <row r="100" spans="1:25" s="7" customFormat="1" ht="15" customHeight="1">
      <c r="A100" s="12"/>
      <c r="B100" s="6"/>
      <c r="C100" s="9"/>
      <c r="D100" s="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spans="1:25" s="7" customFormat="1" ht="15" customHeight="1">
      <c r="A101" s="12" t="s">
        <v>781</v>
      </c>
      <c r="B101" s="8" t="s">
        <v>602</v>
      </c>
      <c r="C101" s="9" t="s">
        <v>608</v>
      </c>
      <c r="D101" s="9" t="s">
        <v>605</v>
      </c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>
        <v>2.7484999999999999</v>
      </c>
      <c r="R101" s="49"/>
      <c r="S101" s="49"/>
      <c r="T101" s="49"/>
      <c r="U101" s="49"/>
      <c r="V101" s="49"/>
      <c r="W101" s="49"/>
      <c r="X101" s="49"/>
      <c r="Y101" s="49"/>
    </row>
    <row r="102" spans="1:25" s="7" customFormat="1" ht="15" customHeight="1">
      <c r="A102" s="12" t="s">
        <v>782</v>
      </c>
      <c r="B102" s="8" t="s">
        <v>602</v>
      </c>
      <c r="C102" s="9" t="s">
        <v>621</v>
      </c>
      <c r="D102" s="9" t="s">
        <v>605</v>
      </c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>
        <v>1.2765</v>
      </c>
      <c r="R102" s="49"/>
      <c r="S102" s="49"/>
      <c r="T102" s="49"/>
      <c r="U102" s="49"/>
      <c r="V102" s="49"/>
      <c r="W102" s="49"/>
      <c r="X102" s="49"/>
      <c r="Y102" s="49"/>
    </row>
    <row r="103" spans="1:25" s="7" customFormat="1" ht="15" customHeight="1">
      <c r="A103" s="12" t="s">
        <v>783</v>
      </c>
      <c r="B103" s="8" t="s">
        <v>602</v>
      </c>
      <c r="C103" s="9" t="s">
        <v>622</v>
      </c>
      <c r="D103" s="9" t="s">
        <v>605</v>
      </c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>
        <v>1.2535000000000001</v>
      </c>
      <c r="R103" s="49"/>
      <c r="S103" s="49"/>
      <c r="T103" s="49"/>
      <c r="U103" s="49"/>
      <c r="V103" s="49"/>
      <c r="W103" s="49"/>
      <c r="X103" s="49"/>
      <c r="Y103" s="49"/>
    </row>
    <row r="104" spans="1:25" s="7" customFormat="1" ht="15" customHeight="1">
      <c r="A104" s="12" t="s">
        <v>784</v>
      </c>
      <c r="B104" s="8" t="s">
        <v>602</v>
      </c>
      <c r="C104" s="9" t="s">
        <v>659</v>
      </c>
      <c r="D104" s="9" t="s">
        <v>604</v>
      </c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>
        <v>0.97409888945079404</v>
      </c>
      <c r="R104" s="49"/>
      <c r="S104" s="49"/>
      <c r="T104" s="49"/>
      <c r="U104" s="49"/>
      <c r="V104" s="49"/>
      <c r="W104" s="49"/>
      <c r="X104" s="49"/>
      <c r="Y104" s="49"/>
    </row>
    <row r="105" spans="1:25" s="7" customFormat="1" ht="15" customHeight="1">
      <c r="A105" s="12" t="s">
        <v>785</v>
      </c>
      <c r="B105" s="8" t="s">
        <v>602</v>
      </c>
      <c r="C105" s="9" t="s">
        <v>660</v>
      </c>
      <c r="D105" s="9" t="s">
        <v>604</v>
      </c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>
        <v>0.97409888945079404</v>
      </c>
      <c r="R105" s="49"/>
      <c r="S105" s="49"/>
      <c r="T105" s="49"/>
      <c r="U105" s="49"/>
      <c r="V105" s="49"/>
      <c r="W105" s="49"/>
      <c r="X105" s="49"/>
      <c r="Y105" s="49"/>
    </row>
    <row r="106" spans="1:25" s="7" customFormat="1" ht="15" customHeight="1">
      <c r="A106" s="12" t="s">
        <v>786</v>
      </c>
      <c r="B106" s="8" t="s">
        <v>602</v>
      </c>
      <c r="C106" s="9" t="s">
        <v>661</v>
      </c>
      <c r="D106" s="9" t="s">
        <v>604</v>
      </c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>
        <v>0.97409888945079404</v>
      </c>
      <c r="R106" s="49"/>
      <c r="S106" s="49"/>
      <c r="T106" s="49"/>
      <c r="U106" s="49"/>
      <c r="V106" s="49"/>
      <c r="W106" s="49"/>
      <c r="X106" s="49"/>
      <c r="Y106" s="49"/>
    </row>
    <row r="107" spans="1:25" s="7" customFormat="1" ht="15" customHeight="1">
      <c r="A107" s="12"/>
      <c r="B107" s="8"/>
      <c r="C107" s="9"/>
      <c r="D107" s="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spans="1:25" ht="14.25" customHeight="1">
      <c r="A108" s="12" t="s">
        <v>787</v>
      </c>
      <c r="B108" s="8" t="s">
        <v>600</v>
      </c>
      <c r="C108" s="9" t="s">
        <v>608</v>
      </c>
      <c r="D108" s="9" t="s">
        <v>605</v>
      </c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</row>
    <row r="109" spans="1:25" ht="14.25" customHeight="1">
      <c r="A109" s="12" t="s">
        <v>788</v>
      </c>
      <c r="B109" s="8" t="s">
        <v>600</v>
      </c>
      <c r="C109" s="9" t="s">
        <v>621</v>
      </c>
      <c r="D109" s="9" t="s">
        <v>605</v>
      </c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</row>
    <row r="110" spans="1:25" ht="14.25" customHeight="1">
      <c r="A110" s="12" t="s">
        <v>789</v>
      </c>
      <c r="B110" s="8" t="s">
        <v>600</v>
      </c>
      <c r="C110" s="9" t="s">
        <v>622</v>
      </c>
      <c r="D110" s="9" t="s">
        <v>605</v>
      </c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</row>
    <row r="111" spans="1:25" ht="14.25" customHeight="1">
      <c r="A111" s="12" t="s">
        <v>790</v>
      </c>
      <c r="B111" s="8" t="s">
        <v>600</v>
      </c>
      <c r="C111" s="9" t="s">
        <v>662</v>
      </c>
      <c r="D111" s="9" t="s">
        <v>604</v>
      </c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</row>
    <row r="112" spans="1:25" ht="14.25" customHeight="1">
      <c r="A112" s="12" t="s">
        <v>791</v>
      </c>
      <c r="B112" s="8" t="s">
        <v>600</v>
      </c>
      <c r="C112" s="9" t="s">
        <v>663</v>
      </c>
      <c r="D112" s="9" t="s">
        <v>604</v>
      </c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</row>
    <row r="113" spans="1:25" ht="14.25" customHeight="1">
      <c r="A113" s="12" t="s">
        <v>792</v>
      </c>
      <c r="B113" s="8" t="s">
        <v>600</v>
      </c>
      <c r="C113" s="9" t="s">
        <v>664</v>
      </c>
      <c r="D113" s="9" t="s">
        <v>604</v>
      </c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</row>
    <row r="114" spans="1:25" ht="14.25" customHeight="1">
      <c r="A114" s="12"/>
      <c r="B114" s="8"/>
      <c r="C114" s="9"/>
      <c r="D114" s="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spans="1:25" ht="14.25" customHeight="1">
      <c r="A115" s="12" t="s">
        <v>793</v>
      </c>
      <c r="B115" s="8" t="s">
        <v>601</v>
      </c>
      <c r="C115" s="9" t="s">
        <v>608</v>
      </c>
      <c r="D115" s="9" t="s">
        <v>605</v>
      </c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>
        <v>2.484</v>
      </c>
      <c r="R115" s="49"/>
      <c r="S115" s="49"/>
      <c r="T115" s="49"/>
      <c r="U115" s="49"/>
      <c r="V115" s="49"/>
      <c r="W115" s="49"/>
      <c r="X115" s="49"/>
      <c r="Y115" s="49"/>
    </row>
    <row r="116" spans="1:25" ht="14.25" customHeight="1">
      <c r="A116" s="12" t="s">
        <v>794</v>
      </c>
      <c r="B116" s="8" t="s">
        <v>601</v>
      </c>
      <c r="C116" s="9" t="s">
        <v>621</v>
      </c>
      <c r="D116" s="9" t="s">
        <v>605</v>
      </c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>
        <v>1.1844999999999999</v>
      </c>
      <c r="R116" s="49"/>
      <c r="S116" s="49"/>
      <c r="T116" s="49"/>
      <c r="U116" s="49"/>
      <c r="V116" s="49"/>
      <c r="W116" s="49"/>
      <c r="X116" s="49"/>
      <c r="Y116" s="49"/>
    </row>
    <row r="117" spans="1:25" ht="14.25" customHeight="1">
      <c r="A117" s="12" t="s">
        <v>795</v>
      </c>
      <c r="B117" s="8" t="s">
        <v>601</v>
      </c>
      <c r="C117" s="9" t="s">
        <v>622</v>
      </c>
      <c r="D117" s="9" t="s">
        <v>605</v>
      </c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>
        <v>1.1615</v>
      </c>
      <c r="R117" s="49"/>
      <c r="S117" s="49"/>
      <c r="T117" s="49"/>
      <c r="U117" s="49"/>
      <c r="V117" s="49"/>
      <c r="W117" s="49"/>
      <c r="X117" s="49"/>
      <c r="Y117" s="49"/>
    </row>
    <row r="118" spans="1:25" ht="14.25" customHeight="1">
      <c r="A118" s="12" t="s">
        <v>796</v>
      </c>
      <c r="B118" s="8" t="s">
        <v>601</v>
      </c>
      <c r="C118" s="9" t="s">
        <v>662</v>
      </c>
      <c r="D118" s="9" t="s">
        <v>604</v>
      </c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>
        <v>0.79349999999999987</v>
      </c>
      <c r="R118" s="49"/>
      <c r="S118" s="49"/>
      <c r="T118" s="49"/>
      <c r="U118" s="49"/>
      <c r="V118" s="49"/>
      <c r="W118" s="49"/>
      <c r="X118" s="49"/>
      <c r="Y118" s="49"/>
    </row>
    <row r="119" spans="1:25" ht="14.25" customHeight="1">
      <c r="A119" s="12" t="s">
        <v>797</v>
      </c>
      <c r="B119" s="8" t="s">
        <v>601</v>
      </c>
      <c r="C119" s="9" t="s">
        <v>663</v>
      </c>
      <c r="D119" s="9" t="s">
        <v>604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>
        <v>0.79349999999999987</v>
      </c>
      <c r="R119" s="49"/>
      <c r="S119" s="49"/>
      <c r="T119" s="49"/>
      <c r="U119" s="49"/>
      <c r="V119" s="49"/>
      <c r="W119" s="49"/>
      <c r="X119" s="49"/>
      <c r="Y119" s="49"/>
    </row>
    <row r="120" spans="1:25" ht="14.25" customHeight="1">
      <c r="A120" s="12" t="s">
        <v>798</v>
      </c>
      <c r="B120" s="8" t="s">
        <v>601</v>
      </c>
      <c r="C120" s="9" t="s">
        <v>664</v>
      </c>
      <c r="D120" s="9" t="s">
        <v>604</v>
      </c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>
        <v>0.79349999999999987</v>
      </c>
      <c r="R120" s="49"/>
      <c r="S120" s="49"/>
      <c r="T120" s="49"/>
      <c r="U120" s="49"/>
      <c r="V120" s="49"/>
      <c r="W120" s="49"/>
      <c r="X120" s="49"/>
      <c r="Y120" s="49"/>
    </row>
    <row r="121" spans="1:25" ht="14.25" customHeight="1">
      <c r="A121" s="12"/>
      <c r="B121" s="8"/>
      <c r="C121" s="9"/>
      <c r="D121" s="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spans="1:25" ht="14.25" customHeight="1">
      <c r="A122" s="12" t="s">
        <v>799</v>
      </c>
      <c r="B122" s="8" t="s">
        <v>598</v>
      </c>
      <c r="C122" s="9" t="s">
        <v>665</v>
      </c>
      <c r="D122" s="9" t="s">
        <v>606</v>
      </c>
      <c r="E122" s="49">
        <v>257.32</v>
      </c>
      <c r="F122" s="49">
        <v>154.13</v>
      </c>
      <c r="G122" s="49"/>
      <c r="H122" s="49"/>
      <c r="I122" s="49"/>
      <c r="J122" s="49">
        <v>300.58999999999997</v>
      </c>
      <c r="K122" s="49"/>
      <c r="L122" s="49"/>
      <c r="M122" s="49">
        <v>509.85</v>
      </c>
      <c r="N122" s="49"/>
      <c r="O122" s="49"/>
      <c r="P122" s="49"/>
      <c r="Q122" s="49">
        <v>151.04</v>
      </c>
      <c r="R122" s="49">
        <v>145</v>
      </c>
      <c r="S122" s="49">
        <v>170.5271421591367</v>
      </c>
      <c r="T122" s="49"/>
      <c r="U122" s="49"/>
      <c r="V122" s="49">
        <v>127.25</v>
      </c>
      <c r="W122" s="49"/>
      <c r="X122" s="49"/>
      <c r="Y122" s="49"/>
    </row>
    <row r="123" spans="1:25" ht="14.25" customHeight="1">
      <c r="A123" s="12" t="s">
        <v>800</v>
      </c>
      <c r="B123" s="8" t="s">
        <v>598</v>
      </c>
      <c r="C123" s="9" t="s">
        <v>666</v>
      </c>
      <c r="D123" s="9" t="s">
        <v>606</v>
      </c>
      <c r="E123" s="49">
        <v>176.55</v>
      </c>
      <c r="F123" s="49">
        <v>139.99</v>
      </c>
      <c r="G123" s="49"/>
      <c r="H123" s="49"/>
      <c r="I123" s="49"/>
      <c r="J123" s="49">
        <v>254.68</v>
      </c>
      <c r="K123" s="49"/>
      <c r="L123" s="49"/>
      <c r="M123" s="49">
        <v>301.73</v>
      </c>
      <c r="N123" s="49"/>
      <c r="O123" s="49"/>
      <c r="P123" s="49"/>
      <c r="Q123" s="49">
        <v>127.9</v>
      </c>
      <c r="R123" s="49">
        <v>143</v>
      </c>
      <c r="S123" s="49">
        <v>167.7546382675223</v>
      </c>
      <c r="T123" s="49"/>
      <c r="U123" s="49"/>
      <c r="V123" s="49">
        <v>127.25</v>
      </c>
      <c r="W123" s="49"/>
      <c r="X123" s="49"/>
      <c r="Y123" s="49"/>
    </row>
    <row r="124" spans="1:25" ht="14.25" customHeight="1">
      <c r="A124" s="12" t="s">
        <v>801</v>
      </c>
      <c r="B124" s="8" t="s">
        <v>598</v>
      </c>
      <c r="C124" s="9" t="s">
        <v>667</v>
      </c>
      <c r="D124" s="9" t="s">
        <v>606</v>
      </c>
      <c r="E124" s="49">
        <v>150.41</v>
      </c>
      <c r="F124" s="49">
        <v>137.36000000000001</v>
      </c>
      <c r="G124" s="49"/>
      <c r="H124" s="49"/>
      <c r="I124" s="49"/>
      <c r="J124" s="49">
        <v>252.29</v>
      </c>
      <c r="K124" s="49"/>
      <c r="L124" s="49"/>
      <c r="M124" s="49">
        <v>228.39</v>
      </c>
      <c r="N124" s="49"/>
      <c r="O124" s="49"/>
      <c r="P124" s="49"/>
      <c r="Q124" s="49">
        <v>119.32</v>
      </c>
      <c r="R124" s="49">
        <v>141</v>
      </c>
      <c r="S124" s="49">
        <v>161.2522324369003</v>
      </c>
      <c r="T124" s="49"/>
      <c r="U124" s="49"/>
      <c r="V124" s="49">
        <v>127.25</v>
      </c>
      <c r="W124" s="49"/>
      <c r="X124" s="49"/>
      <c r="Y124" s="49"/>
    </row>
    <row r="125" spans="1:25" ht="14.25" customHeight="1">
      <c r="A125" s="12" t="s">
        <v>802</v>
      </c>
      <c r="B125" s="8" t="s">
        <v>598</v>
      </c>
      <c r="C125" s="9" t="s">
        <v>668</v>
      </c>
      <c r="D125" s="9" t="s">
        <v>606</v>
      </c>
      <c r="E125" s="49">
        <v>115.81</v>
      </c>
      <c r="F125" s="49">
        <v>35.67</v>
      </c>
      <c r="G125" s="49"/>
      <c r="H125" s="49"/>
      <c r="I125" s="49"/>
      <c r="J125" s="49">
        <v>68.819999999999993</v>
      </c>
      <c r="K125" s="49"/>
      <c r="L125" s="49"/>
      <c r="M125" s="49">
        <v>72.900000000000006</v>
      </c>
      <c r="N125" s="49"/>
      <c r="O125" s="49"/>
      <c r="P125" s="49"/>
      <c r="Q125" s="49">
        <v>58.85</v>
      </c>
      <c r="R125" s="49">
        <v>25</v>
      </c>
      <c r="S125" s="49">
        <v>34.852054120032705</v>
      </c>
      <c r="T125" s="49"/>
      <c r="U125" s="49"/>
      <c r="V125" s="49">
        <v>66.3</v>
      </c>
      <c r="W125" s="49"/>
      <c r="X125" s="49"/>
      <c r="Y125" s="49"/>
    </row>
    <row r="126" spans="1:25" ht="14.25" customHeight="1">
      <c r="A126" s="12" t="s">
        <v>803</v>
      </c>
      <c r="B126" s="8" t="s">
        <v>598</v>
      </c>
      <c r="C126" s="9" t="s">
        <v>669</v>
      </c>
      <c r="D126" s="9" t="s">
        <v>606</v>
      </c>
      <c r="E126" s="49">
        <v>39.76</v>
      </c>
      <c r="F126" s="49">
        <v>20.56</v>
      </c>
      <c r="G126" s="49"/>
      <c r="H126" s="49"/>
      <c r="I126" s="49"/>
      <c r="J126" s="49">
        <v>31.41</v>
      </c>
      <c r="K126" s="49"/>
      <c r="L126" s="49"/>
      <c r="M126" s="49">
        <v>48.52</v>
      </c>
      <c r="N126" s="49"/>
      <c r="O126" s="49"/>
      <c r="P126" s="49"/>
      <c r="Q126" s="49">
        <v>35.71</v>
      </c>
      <c r="R126" s="49">
        <v>20</v>
      </c>
      <c r="S126" s="49">
        <v>28.68839692144072</v>
      </c>
      <c r="T126" s="49"/>
      <c r="U126" s="49"/>
      <c r="V126" s="49">
        <v>53.04</v>
      </c>
      <c r="W126" s="49"/>
      <c r="X126" s="49"/>
      <c r="Y126" s="49"/>
    </row>
    <row r="127" spans="1:25" ht="14.25" customHeight="1">
      <c r="A127" s="12" t="s">
        <v>804</v>
      </c>
      <c r="B127" s="8" t="s">
        <v>598</v>
      </c>
      <c r="C127" s="9" t="s">
        <v>670</v>
      </c>
      <c r="D127" s="9" t="s">
        <v>606</v>
      </c>
      <c r="E127" s="49">
        <v>16.29</v>
      </c>
      <c r="F127" s="49">
        <v>16.39</v>
      </c>
      <c r="G127" s="49"/>
      <c r="H127" s="49"/>
      <c r="I127" s="49"/>
      <c r="J127" s="49">
        <v>19.670000000000002</v>
      </c>
      <c r="K127" s="49"/>
      <c r="L127" s="49"/>
      <c r="M127" s="49">
        <v>32.299999999999997</v>
      </c>
      <c r="N127" s="49"/>
      <c r="O127" s="49"/>
      <c r="P127" s="49"/>
      <c r="Q127" s="49">
        <v>27.13</v>
      </c>
      <c r="R127" s="49">
        <v>15</v>
      </c>
      <c r="S127" s="49">
        <v>18.793207823841122</v>
      </c>
      <c r="T127" s="49"/>
      <c r="U127" s="49"/>
      <c r="V127" s="49">
        <v>51</v>
      </c>
      <c r="W127" s="49"/>
      <c r="X127" s="49"/>
      <c r="Y127" s="49"/>
    </row>
    <row r="128" spans="1:25" ht="14.25" customHeight="1">
      <c r="A128" s="12"/>
      <c r="B128" s="8"/>
      <c r="C128" s="9"/>
      <c r="D128" s="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spans="1:25" ht="14.25" customHeight="1">
      <c r="A129" s="12" t="s">
        <v>805</v>
      </c>
      <c r="B129" s="8" t="s">
        <v>602</v>
      </c>
      <c r="C129" s="9" t="s">
        <v>665</v>
      </c>
      <c r="D129" s="9" t="s">
        <v>606</v>
      </c>
      <c r="E129" s="49"/>
      <c r="F129" s="49"/>
      <c r="G129" s="49"/>
      <c r="H129" s="49"/>
      <c r="I129" s="49"/>
      <c r="J129" s="49"/>
      <c r="K129" s="49"/>
      <c r="L129" s="49">
        <v>336.46</v>
      </c>
      <c r="M129" s="49"/>
      <c r="N129" s="49"/>
      <c r="O129" s="49"/>
      <c r="P129" s="49"/>
      <c r="Q129" s="49">
        <v>175.12</v>
      </c>
      <c r="R129" s="49"/>
      <c r="S129" s="49"/>
      <c r="T129" s="49"/>
      <c r="U129" s="49"/>
      <c r="V129" s="49"/>
      <c r="W129" s="49"/>
      <c r="X129" s="49"/>
      <c r="Y129" s="49"/>
    </row>
    <row r="130" spans="1:25" ht="14.25" customHeight="1">
      <c r="A130" s="12" t="s">
        <v>806</v>
      </c>
      <c r="B130" s="8" t="s">
        <v>602</v>
      </c>
      <c r="C130" s="9" t="s">
        <v>666</v>
      </c>
      <c r="D130" s="9" t="s">
        <v>606</v>
      </c>
      <c r="E130" s="49"/>
      <c r="F130" s="49"/>
      <c r="G130" s="49"/>
      <c r="H130" s="49"/>
      <c r="I130" s="49"/>
      <c r="J130" s="49"/>
      <c r="K130" s="49"/>
      <c r="L130" s="49">
        <v>336.46</v>
      </c>
      <c r="M130" s="49"/>
      <c r="N130" s="49"/>
      <c r="O130" s="49"/>
      <c r="P130" s="49"/>
      <c r="Q130" s="49">
        <v>149.99</v>
      </c>
      <c r="R130" s="49"/>
      <c r="S130" s="49"/>
      <c r="T130" s="49"/>
      <c r="U130" s="49"/>
      <c r="V130" s="49"/>
      <c r="W130" s="49"/>
      <c r="X130" s="49"/>
      <c r="Y130" s="49"/>
    </row>
    <row r="131" spans="1:25" ht="14.25" customHeight="1">
      <c r="A131" s="12" t="s">
        <v>807</v>
      </c>
      <c r="B131" s="8" t="s">
        <v>602</v>
      </c>
      <c r="C131" s="9" t="s">
        <v>667</v>
      </c>
      <c r="D131" s="9" t="s">
        <v>606</v>
      </c>
      <c r="E131" s="49"/>
      <c r="F131" s="49"/>
      <c r="G131" s="49"/>
      <c r="H131" s="49"/>
      <c r="I131" s="49"/>
      <c r="J131" s="49"/>
      <c r="K131" s="49"/>
      <c r="L131" s="49">
        <v>336.46</v>
      </c>
      <c r="M131" s="49"/>
      <c r="N131" s="49"/>
      <c r="O131" s="49"/>
      <c r="P131" s="49"/>
      <c r="Q131" s="49">
        <v>134.16</v>
      </c>
      <c r="R131" s="49"/>
      <c r="S131" s="49"/>
      <c r="T131" s="49"/>
      <c r="U131" s="49"/>
      <c r="V131" s="49"/>
      <c r="W131" s="49"/>
      <c r="X131" s="49"/>
      <c r="Y131" s="49"/>
    </row>
    <row r="132" spans="1:25" ht="14.25" customHeight="1">
      <c r="A132" s="12" t="s">
        <v>808</v>
      </c>
      <c r="B132" s="8" t="s">
        <v>602</v>
      </c>
      <c r="C132" s="9" t="s">
        <v>668</v>
      </c>
      <c r="D132" s="9" t="s">
        <v>606</v>
      </c>
      <c r="E132" s="49"/>
      <c r="F132" s="49"/>
      <c r="G132" s="49"/>
      <c r="H132" s="49"/>
      <c r="I132" s="49"/>
      <c r="J132" s="49"/>
      <c r="K132" s="49"/>
      <c r="L132" s="49">
        <v>50.47</v>
      </c>
      <c r="M132" s="49"/>
      <c r="N132" s="49"/>
      <c r="O132" s="49"/>
      <c r="P132" s="49"/>
      <c r="Q132" s="49">
        <v>73.53</v>
      </c>
      <c r="R132" s="49"/>
      <c r="S132" s="49"/>
      <c r="T132" s="49"/>
      <c r="U132" s="49"/>
      <c r="V132" s="49"/>
      <c r="W132" s="49"/>
      <c r="X132" s="49"/>
      <c r="Y132" s="49"/>
    </row>
    <row r="133" spans="1:25" ht="14.25" customHeight="1">
      <c r="A133" s="12" t="s">
        <v>809</v>
      </c>
      <c r="B133" s="8" t="s">
        <v>602</v>
      </c>
      <c r="C133" s="9" t="s">
        <v>669</v>
      </c>
      <c r="D133" s="9" t="s">
        <v>606</v>
      </c>
      <c r="E133" s="49"/>
      <c r="F133" s="49"/>
      <c r="G133" s="49"/>
      <c r="H133" s="49"/>
      <c r="I133" s="49"/>
      <c r="J133" s="49"/>
      <c r="K133" s="49"/>
      <c r="L133" s="49">
        <v>50.47</v>
      </c>
      <c r="M133" s="49"/>
      <c r="N133" s="49"/>
      <c r="O133" s="49"/>
      <c r="P133" s="49"/>
      <c r="Q133" s="49">
        <v>47.84</v>
      </c>
      <c r="R133" s="49"/>
      <c r="S133" s="49"/>
      <c r="T133" s="49"/>
      <c r="U133" s="49"/>
      <c r="V133" s="49"/>
      <c r="W133" s="49"/>
      <c r="X133" s="49"/>
      <c r="Y133" s="49"/>
    </row>
    <row r="134" spans="1:25" ht="14.25" customHeight="1">
      <c r="A134" s="12" t="s">
        <v>810</v>
      </c>
      <c r="B134" s="8" t="s">
        <v>602</v>
      </c>
      <c r="C134" s="9" t="s">
        <v>670</v>
      </c>
      <c r="D134" s="9" t="s">
        <v>606</v>
      </c>
      <c r="E134" s="49"/>
      <c r="F134" s="49"/>
      <c r="G134" s="49"/>
      <c r="H134" s="49"/>
      <c r="I134" s="49"/>
      <c r="J134" s="49"/>
      <c r="K134" s="49"/>
      <c r="L134" s="49">
        <v>33.65</v>
      </c>
      <c r="M134" s="49"/>
      <c r="N134" s="49"/>
      <c r="O134" s="49"/>
      <c r="P134" s="49"/>
      <c r="Q134" s="49">
        <v>32.58</v>
      </c>
      <c r="R134" s="49"/>
      <c r="S134" s="49"/>
      <c r="T134" s="49"/>
      <c r="U134" s="49"/>
      <c r="V134" s="49"/>
      <c r="W134" s="49"/>
      <c r="X134" s="49"/>
      <c r="Y134" s="49"/>
    </row>
    <row r="135" spans="1:25" ht="14.25" customHeight="1">
      <c r="A135" s="12"/>
      <c r="B135" s="8"/>
      <c r="C135" s="9"/>
      <c r="D135" s="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spans="1:25" ht="14.25" customHeight="1">
      <c r="A136" s="12" t="s">
        <v>811</v>
      </c>
      <c r="B136" s="8" t="s">
        <v>600</v>
      </c>
      <c r="C136" s="9" t="s">
        <v>665</v>
      </c>
      <c r="D136" s="9" t="s">
        <v>606</v>
      </c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</row>
    <row r="137" spans="1:25" ht="14.25" customHeight="1">
      <c r="A137" s="12" t="s">
        <v>812</v>
      </c>
      <c r="B137" s="8" t="s">
        <v>600</v>
      </c>
      <c r="C137" s="9" t="s">
        <v>666</v>
      </c>
      <c r="D137" s="9" t="s">
        <v>606</v>
      </c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</row>
    <row r="138" spans="1:25" ht="14.25" customHeight="1">
      <c r="A138" s="12" t="s">
        <v>813</v>
      </c>
      <c r="B138" s="8" t="s">
        <v>600</v>
      </c>
      <c r="C138" s="9" t="s">
        <v>667</v>
      </c>
      <c r="D138" s="9" t="s">
        <v>606</v>
      </c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</row>
    <row r="139" spans="1:25" ht="14.25" customHeight="1">
      <c r="A139" s="12" t="s">
        <v>814</v>
      </c>
      <c r="B139" s="8" t="s">
        <v>600</v>
      </c>
      <c r="C139" s="9" t="s">
        <v>668</v>
      </c>
      <c r="D139" s="9" t="s">
        <v>606</v>
      </c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</row>
    <row r="140" spans="1:25" ht="14.25" customHeight="1">
      <c r="A140" s="12" t="s">
        <v>815</v>
      </c>
      <c r="B140" s="8" t="s">
        <v>600</v>
      </c>
      <c r="C140" s="9" t="s">
        <v>669</v>
      </c>
      <c r="D140" s="9" t="s">
        <v>606</v>
      </c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</row>
    <row r="141" spans="1:25" ht="14.25" customHeight="1">
      <c r="A141" s="12" t="s">
        <v>816</v>
      </c>
      <c r="B141" s="8" t="s">
        <v>600</v>
      </c>
      <c r="C141" s="9" t="s">
        <v>670</v>
      </c>
      <c r="D141" s="9" t="s">
        <v>606</v>
      </c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</row>
    <row r="142" spans="1:25" ht="14.25" customHeight="1">
      <c r="A142" s="12"/>
      <c r="B142" s="8"/>
      <c r="C142" s="9"/>
      <c r="D142" s="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spans="1:25" ht="14.25" customHeight="1">
      <c r="A143" s="12" t="s">
        <v>817</v>
      </c>
      <c r="B143" s="8" t="s">
        <v>601</v>
      </c>
      <c r="C143" s="9" t="s">
        <v>665</v>
      </c>
      <c r="D143" s="9" t="s">
        <v>606</v>
      </c>
      <c r="E143" s="49">
        <v>257.32</v>
      </c>
      <c r="F143" s="49">
        <v>154.13</v>
      </c>
      <c r="G143" s="49"/>
      <c r="H143" s="49"/>
      <c r="I143" s="49"/>
      <c r="J143" s="49">
        <v>300.58999999999997</v>
      </c>
      <c r="K143" s="49"/>
      <c r="L143" s="49">
        <v>336.46</v>
      </c>
      <c r="M143" s="49">
        <v>509.85</v>
      </c>
      <c r="N143" s="49"/>
      <c r="O143" s="49"/>
      <c r="P143" s="49"/>
      <c r="Q143" s="49">
        <v>148.13999999999999</v>
      </c>
      <c r="R143" s="49">
        <v>145</v>
      </c>
      <c r="S143" s="49">
        <v>170.5271421591367</v>
      </c>
      <c r="T143" s="49"/>
      <c r="U143" s="49"/>
      <c r="V143" s="49">
        <v>127.25</v>
      </c>
      <c r="W143" s="49"/>
      <c r="X143" s="49">
        <v>432.51</v>
      </c>
      <c r="Y143" s="49">
        <v>432.51</v>
      </c>
    </row>
    <row r="144" spans="1:25" ht="14.25" customHeight="1">
      <c r="A144" s="12" t="s">
        <v>818</v>
      </c>
      <c r="B144" s="8" t="s">
        <v>601</v>
      </c>
      <c r="C144" s="9" t="s">
        <v>666</v>
      </c>
      <c r="D144" s="9" t="s">
        <v>606</v>
      </c>
      <c r="E144" s="49">
        <v>176.55</v>
      </c>
      <c r="F144" s="49">
        <v>139.99</v>
      </c>
      <c r="G144" s="49"/>
      <c r="H144" s="49"/>
      <c r="I144" s="49"/>
      <c r="J144" s="49">
        <v>254.68</v>
      </c>
      <c r="K144" s="49"/>
      <c r="L144" s="49">
        <v>336.46</v>
      </c>
      <c r="M144" s="49">
        <v>301.73</v>
      </c>
      <c r="N144" s="49"/>
      <c r="O144" s="49"/>
      <c r="P144" s="49"/>
      <c r="Q144" s="49">
        <v>125.44</v>
      </c>
      <c r="R144" s="49">
        <v>143</v>
      </c>
      <c r="S144" s="49">
        <v>167.7546382675223</v>
      </c>
      <c r="T144" s="49"/>
      <c r="U144" s="49"/>
      <c r="V144" s="49">
        <v>127.25</v>
      </c>
      <c r="W144" s="49"/>
      <c r="X144" s="49">
        <v>432.51</v>
      </c>
      <c r="Y144" s="49">
        <v>432.51</v>
      </c>
    </row>
    <row r="145" spans="1:25" ht="14.25" customHeight="1">
      <c r="A145" s="12" t="s">
        <v>819</v>
      </c>
      <c r="B145" s="8" t="s">
        <v>601</v>
      </c>
      <c r="C145" s="9" t="s">
        <v>667</v>
      </c>
      <c r="D145" s="9" t="s">
        <v>606</v>
      </c>
      <c r="E145" s="49">
        <v>150.41</v>
      </c>
      <c r="F145" s="49">
        <v>137.36000000000001</v>
      </c>
      <c r="G145" s="49"/>
      <c r="H145" s="49"/>
      <c r="I145" s="49"/>
      <c r="J145" s="49">
        <v>252.29</v>
      </c>
      <c r="K145" s="49"/>
      <c r="L145" s="49">
        <v>336.46</v>
      </c>
      <c r="M145" s="49">
        <v>228.39</v>
      </c>
      <c r="N145" s="49"/>
      <c r="O145" s="49"/>
      <c r="P145" s="49"/>
      <c r="Q145" s="49">
        <v>117.02</v>
      </c>
      <c r="R145" s="49">
        <v>141</v>
      </c>
      <c r="S145" s="49">
        <v>161.2522324369003</v>
      </c>
      <c r="T145" s="49"/>
      <c r="U145" s="49"/>
      <c r="V145" s="49">
        <v>127.25</v>
      </c>
      <c r="W145" s="49"/>
      <c r="X145" s="49">
        <v>432.51</v>
      </c>
      <c r="Y145" s="49">
        <v>432.51</v>
      </c>
    </row>
    <row r="146" spans="1:25" ht="14.25" customHeight="1">
      <c r="A146" s="12" t="s">
        <v>820</v>
      </c>
      <c r="B146" s="8" t="s">
        <v>601</v>
      </c>
      <c r="C146" s="9" t="s">
        <v>668</v>
      </c>
      <c r="D146" s="9" t="s">
        <v>606</v>
      </c>
      <c r="E146" s="49">
        <v>115.81</v>
      </c>
      <c r="F146" s="49">
        <v>35.67</v>
      </c>
      <c r="G146" s="49"/>
      <c r="H146" s="49"/>
      <c r="I146" s="49"/>
      <c r="J146" s="49">
        <v>68.819999999999993</v>
      </c>
      <c r="K146" s="49"/>
      <c r="L146" s="49">
        <v>50.47</v>
      </c>
      <c r="M146" s="49">
        <v>72.900000000000006</v>
      </c>
      <c r="N146" s="49"/>
      <c r="O146" s="49"/>
      <c r="P146" s="49"/>
      <c r="Q146" s="49">
        <v>57.72</v>
      </c>
      <c r="R146" s="49">
        <v>25</v>
      </c>
      <c r="S146" s="49">
        <v>34.852054120032705</v>
      </c>
      <c r="T146" s="49"/>
      <c r="U146" s="49"/>
      <c r="V146" s="49">
        <v>66.3</v>
      </c>
      <c r="W146" s="49"/>
      <c r="X146" s="49">
        <v>391.24</v>
      </c>
      <c r="Y146" s="49">
        <v>388.71</v>
      </c>
    </row>
    <row r="147" spans="1:25" ht="14.25" customHeight="1">
      <c r="A147" s="12" t="s">
        <v>821</v>
      </c>
      <c r="B147" s="8" t="s">
        <v>601</v>
      </c>
      <c r="C147" s="9" t="s">
        <v>669</v>
      </c>
      <c r="D147" s="9" t="s">
        <v>606</v>
      </c>
      <c r="E147" s="49">
        <v>39.76</v>
      </c>
      <c r="F147" s="49">
        <v>20.56</v>
      </c>
      <c r="G147" s="49"/>
      <c r="H147" s="49"/>
      <c r="I147" s="49"/>
      <c r="J147" s="49">
        <v>31.41</v>
      </c>
      <c r="K147" s="49"/>
      <c r="L147" s="49">
        <v>43.74</v>
      </c>
      <c r="M147" s="49">
        <v>48.52</v>
      </c>
      <c r="N147" s="49"/>
      <c r="O147" s="49"/>
      <c r="P147" s="49"/>
      <c r="Q147" s="49">
        <v>35.03</v>
      </c>
      <c r="R147" s="49">
        <v>20</v>
      </c>
      <c r="S147" s="49">
        <v>28.68839692144072</v>
      </c>
      <c r="T147" s="49"/>
      <c r="U147" s="49"/>
      <c r="V147" s="49">
        <v>53.04</v>
      </c>
      <c r="W147" s="49"/>
      <c r="X147" s="49">
        <v>188.38</v>
      </c>
      <c r="Y147" s="49">
        <v>152.74</v>
      </c>
    </row>
    <row r="148" spans="1:25" ht="14.25" customHeight="1">
      <c r="A148" s="12" t="s">
        <v>822</v>
      </c>
      <c r="B148" s="8" t="s">
        <v>601</v>
      </c>
      <c r="C148" s="9" t="s">
        <v>670</v>
      </c>
      <c r="D148" s="9" t="s">
        <v>606</v>
      </c>
      <c r="E148" s="49">
        <v>16.29</v>
      </c>
      <c r="F148" s="49">
        <v>16.39</v>
      </c>
      <c r="G148" s="49"/>
      <c r="H148" s="49"/>
      <c r="I148" s="49"/>
      <c r="J148" s="49">
        <v>19.670000000000002</v>
      </c>
      <c r="K148" s="49"/>
      <c r="L148" s="49">
        <v>43.74</v>
      </c>
      <c r="M148" s="49">
        <v>32.299999999999997</v>
      </c>
      <c r="N148" s="49"/>
      <c r="O148" s="49"/>
      <c r="P148" s="49"/>
      <c r="Q148" s="49">
        <v>26.61</v>
      </c>
      <c r="R148" s="49">
        <v>15</v>
      </c>
      <c r="S148" s="49">
        <v>18.793207823841122</v>
      </c>
      <c r="T148" s="49"/>
      <c r="U148" s="49"/>
      <c r="V148" s="49">
        <v>51</v>
      </c>
      <c r="W148" s="49"/>
      <c r="X148" s="49">
        <v>145.84</v>
      </c>
      <c r="Y148" s="49">
        <v>117.94</v>
      </c>
    </row>
    <row r="149" spans="1:25" ht="14.25" customHeight="1">
      <c r="A149" s="12"/>
      <c r="B149" s="8"/>
      <c r="C149" s="9"/>
      <c r="D149" s="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spans="1:25" ht="14.25" customHeight="1">
      <c r="A150" s="12" t="s">
        <v>823</v>
      </c>
      <c r="B150" s="8" t="s">
        <v>598</v>
      </c>
      <c r="C150" s="9" t="s">
        <v>623</v>
      </c>
      <c r="D150" s="9" t="s">
        <v>607</v>
      </c>
      <c r="E150" s="49">
        <v>339.61</v>
      </c>
      <c r="F150" s="49">
        <v>339.61</v>
      </c>
      <c r="G150" s="49"/>
      <c r="H150" s="49"/>
      <c r="I150" s="49"/>
      <c r="J150" s="49">
        <v>169</v>
      </c>
      <c r="K150" s="49"/>
      <c r="L150" s="49"/>
      <c r="M150" s="49">
        <v>199</v>
      </c>
      <c r="N150" s="49"/>
      <c r="O150" s="49"/>
      <c r="P150" s="49"/>
      <c r="Q150" s="49">
        <v>234</v>
      </c>
      <c r="R150" s="49">
        <v>145</v>
      </c>
      <c r="S150" s="49">
        <v>158</v>
      </c>
      <c r="T150" s="49"/>
      <c r="U150" s="49"/>
      <c r="V150" s="49">
        <v>181</v>
      </c>
      <c r="W150" s="49"/>
      <c r="X150" s="49"/>
      <c r="Y150" s="49"/>
    </row>
    <row r="151" spans="1:25" ht="14.25" customHeight="1">
      <c r="A151" s="12" t="s">
        <v>824</v>
      </c>
      <c r="B151" s="8" t="s">
        <v>598</v>
      </c>
      <c r="C151" s="9" t="s">
        <v>624</v>
      </c>
      <c r="D151" s="9" t="s">
        <v>607</v>
      </c>
      <c r="E151" s="49">
        <v>201.75</v>
      </c>
      <c r="F151" s="49">
        <v>201.75</v>
      </c>
      <c r="G151" s="49"/>
      <c r="H151" s="49"/>
      <c r="I151" s="49"/>
      <c r="J151" s="49">
        <v>101</v>
      </c>
      <c r="K151" s="49"/>
      <c r="L151" s="49"/>
      <c r="M151" s="49">
        <v>167</v>
      </c>
      <c r="N151" s="49"/>
      <c r="O151" s="49"/>
      <c r="P151" s="49"/>
      <c r="Q151" s="49">
        <v>162</v>
      </c>
      <c r="R151" s="49">
        <v>145</v>
      </c>
      <c r="S151" s="49">
        <v>167</v>
      </c>
      <c r="T151" s="49"/>
      <c r="U151" s="49"/>
      <c r="V151" s="49">
        <v>181</v>
      </c>
      <c r="W151" s="49"/>
      <c r="X151" s="49"/>
      <c r="Y151" s="49"/>
    </row>
    <row r="152" spans="1:25" ht="14.25" customHeight="1">
      <c r="A152" s="12" t="s">
        <v>825</v>
      </c>
      <c r="B152" s="8" t="s">
        <v>598</v>
      </c>
      <c r="C152" s="9" t="s">
        <v>625</v>
      </c>
      <c r="D152" s="9" t="s">
        <v>607</v>
      </c>
      <c r="E152" s="49">
        <v>308.10000000000002</v>
      </c>
      <c r="F152" s="49">
        <v>308.10000000000002</v>
      </c>
      <c r="G152" s="49"/>
      <c r="H152" s="49"/>
      <c r="I152" s="49"/>
      <c r="J152" s="49">
        <v>114</v>
      </c>
      <c r="K152" s="49"/>
      <c r="L152" s="49"/>
      <c r="M152" s="49">
        <v>199</v>
      </c>
      <c r="N152" s="49"/>
      <c r="O152" s="49"/>
      <c r="P152" s="49"/>
      <c r="Q152" s="49">
        <v>191</v>
      </c>
      <c r="R152" s="49">
        <v>150</v>
      </c>
      <c r="S152" s="49">
        <v>199</v>
      </c>
      <c r="T152" s="49"/>
      <c r="U152" s="49"/>
      <c r="V152" s="49">
        <v>266</v>
      </c>
      <c r="W152" s="49"/>
      <c r="X152" s="49"/>
      <c r="Y152" s="49"/>
    </row>
    <row r="153" spans="1:25" ht="14.25" customHeight="1">
      <c r="A153" s="12" t="s">
        <v>826</v>
      </c>
      <c r="B153" s="8" t="s">
        <v>598</v>
      </c>
      <c r="C153" s="9" t="s">
        <v>626</v>
      </c>
      <c r="D153" s="9" t="s">
        <v>607</v>
      </c>
      <c r="E153" s="49">
        <v>354.15</v>
      </c>
      <c r="F153" s="49">
        <v>354.15</v>
      </c>
      <c r="G153" s="49"/>
      <c r="H153" s="49"/>
      <c r="I153" s="49"/>
      <c r="J153" s="49">
        <v>129</v>
      </c>
      <c r="K153" s="49"/>
      <c r="L153" s="49"/>
      <c r="M153" s="49">
        <v>248</v>
      </c>
      <c r="N153" s="49"/>
      <c r="O153" s="49"/>
      <c r="P153" s="49"/>
      <c r="Q153" s="49">
        <v>234</v>
      </c>
      <c r="R153" s="49">
        <v>160</v>
      </c>
      <c r="S153" s="49">
        <v>222</v>
      </c>
      <c r="T153" s="49"/>
      <c r="U153" s="49"/>
      <c r="V153" s="49">
        <v>340</v>
      </c>
      <c r="W153" s="49"/>
      <c r="X153" s="49"/>
      <c r="Y153" s="49"/>
    </row>
    <row r="154" spans="1:25" ht="14.25" customHeight="1">
      <c r="A154" s="12" t="s">
        <v>827</v>
      </c>
      <c r="B154" s="8" t="s">
        <v>598</v>
      </c>
      <c r="C154" s="9" t="s">
        <v>627</v>
      </c>
      <c r="D154" s="9" t="s">
        <v>607</v>
      </c>
      <c r="E154" s="49">
        <v>160.35</v>
      </c>
      <c r="F154" s="49">
        <v>160.35</v>
      </c>
      <c r="G154" s="49"/>
      <c r="H154" s="49"/>
      <c r="I154" s="49"/>
      <c r="J154" s="49">
        <v>102</v>
      </c>
      <c r="K154" s="49"/>
      <c r="L154" s="49"/>
      <c r="M154" s="49">
        <v>114</v>
      </c>
      <c r="N154" s="49"/>
      <c r="O154" s="49"/>
      <c r="P154" s="49"/>
      <c r="Q154" s="49">
        <v>140</v>
      </c>
      <c r="R154" s="49">
        <v>75</v>
      </c>
      <c r="S154" s="49">
        <v>75</v>
      </c>
      <c r="T154" s="49"/>
      <c r="U154" s="49"/>
      <c r="V154" s="49">
        <v>97</v>
      </c>
      <c r="W154" s="49"/>
      <c r="X154" s="49"/>
      <c r="Y154" s="49"/>
    </row>
    <row r="155" spans="1:25" ht="14.25" customHeight="1">
      <c r="A155" s="12" t="s">
        <v>828</v>
      </c>
      <c r="B155" s="8" t="s">
        <v>598</v>
      </c>
      <c r="C155" s="9" t="s">
        <v>628</v>
      </c>
      <c r="D155" s="9" t="s">
        <v>607</v>
      </c>
      <c r="E155" s="49">
        <v>266.18</v>
      </c>
      <c r="F155" s="49">
        <v>266.18</v>
      </c>
      <c r="G155" s="49"/>
      <c r="H155" s="49"/>
      <c r="I155" s="49"/>
      <c r="J155" s="49">
        <v>150</v>
      </c>
      <c r="K155" s="49"/>
      <c r="L155" s="49"/>
      <c r="M155" s="49">
        <v>199</v>
      </c>
      <c r="N155" s="49"/>
      <c r="O155" s="49"/>
      <c r="P155" s="49"/>
      <c r="Q155" s="49">
        <v>191</v>
      </c>
      <c r="R155" s="49">
        <v>140</v>
      </c>
      <c r="S155" s="49">
        <v>201</v>
      </c>
      <c r="T155" s="49"/>
      <c r="U155" s="49"/>
      <c r="V155" s="49">
        <v>340</v>
      </c>
      <c r="W155" s="49"/>
      <c r="X155" s="49"/>
      <c r="Y155" s="49"/>
    </row>
    <row r="156" spans="1:25" ht="14.25" customHeight="1">
      <c r="A156" s="12" t="s">
        <v>829</v>
      </c>
      <c r="B156" s="8" t="s">
        <v>598</v>
      </c>
      <c r="C156" s="9" t="s">
        <v>629</v>
      </c>
      <c r="D156" s="9" t="s">
        <v>607</v>
      </c>
      <c r="E156" s="49">
        <v>201.75</v>
      </c>
      <c r="F156" s="49">
        <v>201.75</v>
      </c>
      <c r="G156" s="49"/>
      <c r="H156" s="49"/>
      <c r="I156" s="49"/>
      <c r="J156" s="49">
        <v>90</v>
      </c>
      <c r="K156" s="49"/>
      <c r="L156" s="49"/>
      <c r="M156" s="49">
        <v>167</v>
      </c>
      <c r="N156" s="49"/>
      <c r="O156" s="49"/>
      <c r="P156" s="49"/>
      <c r="Q156" s="49">
        <v>162</v>
      </c>
      <c r="R156" s="49">
        <v>120</v>
      </c>
      <c r="S156" s="49">
        <v>161</v>
      </c>
      <c r="T156" s="49"/>
      <c r="U156" s="49"/>
      <c r="V156" s="49">
        <v>176</v>
      </c>
      <c r="W156" s="49"/>
      <c r="X156" s="49"/>
      <c r="Y156" s="49"/>
    </row>
    <row r="157" spans="1:25" ht="14.25" customHeight="1">
      <c r="A157" s="12" t="s">
        <v>830</v>
      </c>
      <c r="B157" s="8" t="s">
        <v>598</v>
      </c>
      <c r="C157" s="9" t="s">
        <v>630</v>
      </c>
      <c r="D157" s="9" t="s">
        <v>607</v>
      </c>
      <c r="E157" s="49">
        <v>107.07</v>
      </c>
      <c r="F157" s="49">
        <v>107.07</v>
      </c>
      <c r="G157" s="49"/>
      <c r="H157" s="49"/>
      <c r="I157" s="49"/>
      <c r="J157" s="49">
        <v>89</v>
      </c>
      <c r="K157" s="49"/>
      <c r="L157" s="49"/>
      <c r="M157" s="49">
        <v>100</v>
      </c>
      <c r="N157" s="49"/>
      <c r="O157" s="49"/>
      <c r="P157" s="49"/>
      <c r="Q157" s="49">
        <v>112</v>
      </c>
      <c r="R157" s="49">
        <v>93</v>
      </c>
      <c r="S157" s="49">
        <v>93</v>
      </c>
      <c r="T157" s="49"/>
      <c r="U157" s="49"/>
      <c r="V157" s="49">
        <v>135</v>
      </c>
      <c r="W157" s="49"/>
      <c r="X157" s="49"/>
      <c r="Y157" s="49"/>
    </row>
    <row r="158" spans="1:25" ht="14.25" customHeight="1">
      <c r="A158" s="12" t="s">
        <v>831</v>
      </c>
      <c r="B158" s="8" t="s">
        <v>598</v>
      </c>
      <c r="C158" s="9" t="s">
        <v>631</v>
      </c>
      <c r="D158" s="9" t="s">
        <v>607</v>
      </c>
      <c r="E158" s="49">
        <v>266.18</v>
      </c>
      <c r="F158" s="49">
        <v>266.18</v>
      </c>
      <c r="G158" s="49"/>
      <c r="H158" s="49"/>
      <c r="I158" s="49"/>
      <c r="J158" s="49">
        <v>128</v>
      </c>
      <c r="K158" s="49"/>
      <c r="L158" s="49"/>
      <c r="M158" s="49">
        <v>167</v>
      </c>
      <c r="N158" s="49"/>
      <c r="O158" s="49"/>
      <c r="P158" s="49"/>
      <c r="Q158" s="49">
        <v>140</v>
      </c>
      <c r="R158" s="49">
        <v>222</v>
      </c>
      <c r="S158" s="49">
        <v>222</v>
      </c>
      <c r="T158" s="49"/>
      <c r="U158" s="49"/>
      <c r="V158" s="49">
        <v>135</v>
      </c>
      <c r="W158" s="49"/>
      <c r="X158" s="49"/>
      <c r="Y158" s="49"/>
    </row>
    <row r="159" spans="1:25" ht="14.25" customHeight="1">
      <c r="A159" s="12" t="s">
        <v>832</v>
      </c>
      <c r="B159" s="8" t="s">
        <v>598</v>
      </c>
      <c r="C159" s="9" t="s">
        <v>632</v>
      </c>
      <c r="D159" s="9" t="s">
        <v>607</v>
      </c>
      <c r="E159" s="49">
        <v>208.66</v>
      </c>
      <c r="F159" s="49">
        <v>208.66</v>
      </c>
      <c r="G159" s="49"/>
      <c r="H159" s="49"/>
      <c r="I159" s="49"/>
      <c r="J159" s="49">
        <v>153</v>
      </c>
      <c r="K159" s="49"/>
      <c r="L159" s="49"/>
      <c r="M159" s="49">
        <v>130</v>
      </c>
      <c r="N159" s="49"/>
      <c r="O159" s="49"/>
      <c r="P159" s="49"/>
      <c r="Q159" s="49">
        <v>112</v>
      </c>
      <c r="R159" s="49">
        <v>138</v>
      </c>
      <c r="S159" s="49">
        <v>138</v>
      </c>
      <c r="T159" s="49"/>
      <c r="U159" s="49"/>
      <c r="V159" s="49">
        <v>97</v>
      </c>
      <c r="W159" s="49"/>
      <c r="X159" s="49"/>
      <c r="Y159" s="49"/>
    </row>
    <row r="160" spans="1:25" ht="14.25" customHeight="1">
      <c r="A160" s="12" t="s">
        <v>833</v>
      </c>
      <c r="B160" s="8" t="s">
        <v>598</v>
      </c>
      <c r="C160" s="9" t="s">
        <v>633</v>
      </c>
      <c r="D160" s="9" t="s">
        <v>607</v>
      </c>
      <c r="E160" s="49">
        <v>229.26</v>
      </c>
      <c r="F160" s="49">
        <v>229.26</v>
      </c>
      <c r="G160" s="49"/>
      <c r="H160" s="49"/>
      <c r="I160" s="49"/>
      <c r="J160" s="49">
        <v>107</v>
      </c>
      <c r="K160" s="49"/>
      <c r="L160" s="49"/>
      <c r="M160" s="49">
        <v>296</v>
      </c>
      <c r="N160" s="49"/>
      <c r="O160" s="49"/>
      <c r="P160" s="49"/>
      <c r="Q160" s="49">
        <v>191</v>
      </c>
      <c r="R160" s="49">
        <v>140</v>
      </c>
      <c r="S160" s="49">
        <v>119</v>
      </c>
      <c r="T160" s="49"/>
      <c r="U160" s="49"/>
      <c r="V160" s="49">
        <v>135</v>
      </c>
      <c r="W160" s="49"/>
      <c r="X160" s="49"/>
      <c r="Y160" s="49"/>
    </row>
    <row r="161" spans="1:25" ht="14.25" customHeight="1">
      <c r="A161" s="12"/>
      <c r="B161" s="8"/>
      <c r="C161" s="9"/>
      <c r="D161" s="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spans="1:25" ht="14.25" customHeight="1">
      <c r="A162" s="12" t="s">
        <v>834</v>
      </c>
      <c r="B162" s="8" t="s">
        <v>602</v>
      </c>
      <c r="C162" s="9" t="s">
        <v>623</v>
      </c>
      <c r="D162" s="9" t="s">
        <v>607</v>
      </c>
      <c r="E162" s="49"/>
      <c r="F162" s="49"/>
      <c r="G162" s="49"/>
      <c r="H162" s="49"/>
      <c r="I162" s="49"/>
      <c r="J162" s="49"/>
      <c r="K162" s="49"/>
      <c r="L162" s="49">
        <v>152.72</v>
      </c>
      <c r="M162" s="49"/>
      <c r="N162" s="49"/>
      <c r="O162" s="49"/>
      <c r="P162" s="49"/>
      <c r="Q162" s="49">
        <v>234</v>
      </c>
      <c r="R162" s="49"/>
      <c r="S162" s="49"/>
      <c r="T162" s="49"/>
      <c r="U162" s="49"/>
      <c r="V162" s="49"/>
      <c r="W162" s="49"/>
      <c r="X162" s="49"/>
      <c r="Y162" s="49"/>
    </row>
    <row r="163" spans="1:25" ht="14.25" customHeight="1">
      <c r="A163" s="12" t="s">
        <v>835</v>
      </c>
      <c r="B163" s="8" t="s">
        <v>602</v>
      </c>
      <c r="C163" s="9" t="s">
        <v>624</v>
      </c>
      <c r="D163" s="9" t="s">
        <v>607</v>
      </c>
      <c r="E163" s="49"/>
      <c r="F163" s="49"/>
      <c r="G163" s="49"/>
      <c r="H163" s="49"/>
      <c r="I163" s="49"/>
      <c r="J163" s="49"/>
      <c r="K163" s="49"/>
      <c r="L163" s="49">
        <v>119.66</v>
      </c>
      <c r="M163" s="49"/>
      <c r="N163" s="49"/>
      <c r="O163" s="49"/>
      <c r="P163" s="49"/>
      <c r="Q163" s="49">
        <v>162</v>
      </c>
      <c r="R163" s="49"/>
      <c r="S163" s="49"/>
      <c r="T163" s="49"/>
      <c r="U163" s="49"/>
      <c r="V163" s="49"/>
      <c r="W163" s="49"/>
      <c r="X163" s="49"/>
      <c r="Y163" s="49"/>
    </row>
    <row r="164" spans="1:25" ht="14.25" customHeight="1">
      <c r="A164" s="12" t="s">
        <v>836</v>
      </c>
      <c r="B164" s="8" t="s">
        <v>602</v>
      </c>
      <c r="C164" s="9" t="s">
        <v>625</v>
      </c>
      <c r="D164" s="9" t="s">
        <v>607</v>
      </c>
      <c r="E164" s="49"/>
      <c r="F164" s="49"/>
      <c r="G164" s="49"/>
      <c r="H164" s="49"/>
      <c r="I164" s="49"/>
      <c r="J164" s="49"/>
      <c r="K164" s="49"/>
      <c r="L164" s="49">
        <v>131.19</v>
      </c>
      <c r="M164" s="49"/>
      <c r="N164" s="49"/>
      <c r="O164" s="49"/>
      <c r="P164" s="49"/>
      <c r="Q164" s="49">
        <v>191</v>
      </c>
      <c r="R164" s="49"/>
      <c r="S164" s="49"/>
      <c r="T164" s="49"/>
      <c r="U164" s="49"/>
      <c r="V164" s="49"/>
      <c r="W164" s="49"/>
      <c r="X164" s="49"/>
      <c r="Y164" s="49"/>
    </row>
    <row r="165" spans="1:25" ht="14.25" customHeight="1">
      <c r="A165" s="12" t="s">
        <v>837</v>
      </c>
      <c r="B165" s="8" t="s">
        <v>602</v>
      </c>
      <c r="C165" s="9" t="s">
        <v>626</v>
      </c>
      <c r="D165" s="9" t="s">
        <v>607</v>
      </c>
      <c r="E165" s="49"/>
      <c r="F165" s="49"/>
      <c r="G165" s="49"/>
      <c r="H165" s="49"/>
      <c r="I165" s="49"/>
      <c r="J165" s="49"/>
      <c r="K165" s="49"/>
      <c r="L165" s="49">
        <v>171.01</v>
      </c>
      <c r="M165" s="49"/>
      <c r="N165" s="49"/>
      <c r="O165" s="49"/>
      <c r="P165" s="49"/>
      <c r="Q165" s="49">
        <v>234</v>
      </c>
      <c r="R165" s="49"/>
      <c r="S165" s="49"/>
      <c r="T165" s="49"/>
      <c r="U165" s="49"/>
      <c r="V165" s="49"/>
      <c r="W165" s="49"/>
      <c r="X165" s="49"/>
      <c r="Y165" s="49"/>
    </row>
    <row r="166" spans="1:25" ht="14.25" customHeight="1">
      <c r="A166" s="12" t="s">
        <v>838</v>
      </c>
      <c r="B166" s="8" t="s">
        <v>602</v>
      </c>
      <c r="C166" s="9" t="s">
        <v>627</v>
      </c>
      <c r="D166" s="9" t="s">
        <v>607</v>
      </c>
      <c r="E166" s="49"/>
      <c r="F166" s="49"/>
      <c r="G166" s="49"/>
      <c r="H166" s="49"/>
      <c r="I166" s="49"/>
      <c r="J166" s="49"/>
      <c r="K166" s="49"/>
      <c r="L166" s="49">
        <v>99.29</v>
      </c>
      <c r="M166" s="49"/>
      <c r="N166" s="49"/>
      <c r="O166" s="49"/>
      <c r="P166" s="49"/>
      <c r="Q166" s="49">
        <v>140</v>
      </c>
      <c r="R166" s="49"/>
      <c r="S166" s="49"/>
      <c r="T166" s="49"/>
      <c r="U166" s="49"/>
      <c r="V166" s="49"/>
      <c r="W166" s="49"/>
      <c r="X166" s="49"/>
      <c r="Y166" s="49"/>
    </row>
    <row r="167" spans="1:25" ht="14.25" customHeight="1">
      <c r="A167" s="12" t="s">
        <v>839</v>
      </c>
      <c r="B167" s="8" t="s">
        <v>602</v>
      </c>
      <c r="C167" s="9" t="s">
        <v>628</v>
      </c>
      <c r="D167" s="9" t="s">
        <v>607</v>
      </c>
      <c r="E167" s="49"/>
      <c r="F167" s="49"/>
      <c r="G167" s="49"/>
      <c r="H167" s="49"/>
      <c r="I167" s="49"/>
      <c r="J167" s="49"/>
      <c r="K167" s="49"/>
      <c r="L167" s="49">
        <v>131.19</v>
      </c>
      <c r="M167" s="49"/>
      <c r="N167" s="49"/>
      <c r="O167" s="49"/>
      <c r="P167" s="49"/>
      <c r="Q167" s="49">
        <v>191</v>
      </c>
      <c r="R167" s="49"/>
      <c r="S167" s="49"/>
      <c r="T167" s="49"/>
      <c r="U167" s="49"/>
      <c r="V167" s="49"/>
      <c r="W167" s="49"/>
      <c r="X167" s="49"/>
      <c r="Y167" s="49"/>
    </row>
    <row r="168" spans="1:25" ht="14.25" customHeight="1">
      <c r="A168" s="12" t="s">
        <v>840</v>
      </c>
      <c r="B168" s="8" t="s">
        <v>602</v>
      </c>
      <c r="C168" s="9" t="s">
        <v>629</v>
      </c>
      <c r="D168" s="9" t="s">
        <v>607</v>
      </c>
      <c r="E168" s="49"/>
      <c r="F168" s="49"/>
      <c r="G168" s="49"/>
      <c r="H168" s="49"/>
      <c r="I168" s="49"/>
      <c r="J168" s="49"/>
      <c r="K168" s="49"/>
      <c r="L168" s="49">
        <v>77.349999999999994</v>
      </c>
      <c r="M168" s="49"/>
      <c r="N168" s="49"/>
      <c r="O168" s="49"/>
      <c r="P168" s="49"/>
      <c r="Q168" s="49">
        <v>162</v>
      </c>
      <c r="R168" s="49"/>
      <c r="S168" s="49"/>
      <c r="T168" s="49"/>
      <c r="U168" s="49"/>
      <c r="V168" s="49"/>
      <c r="W168" s="49"/>
      <c r="X168" s="49"/>
      <c r="Y168" s="49"/>
    </row>
    <row r="169" spans="1:25" ht="14.25" customHeight="1">
      <c r="A169" s="12" t="s">
        <v>841</v>
      </c>
      <c r="B169" s="8" t="s">
        <v>602</v>
      </c>
      <c r="C169" s="9" t="s">
        <v>630</v>
      </c>
      <c r="D169" s="9" t="s">
        <v>607</v>
      </c>
      <c r="E169" s="49"/>
      <c r="F169" s="49"/>
      <c r="G169" s="49"/>
      <c r="H169" s="49"/>
      <c r="I169" s="49"/>
      <c r="J169" s="49"/>
      <c r="K169" s="49"/>
      <c r="L169" s="49">
        <v>77.349999999999994</v>
      </c>
      <c r="M169" s="49"/>
      <c r="N169" s="49"/>
      <c r="O169" s="49"/>
      <c r="P169" s="49"/>
      <c r="Q169" s="49">
        <v>112</v>
      </c>
      <c r="R169" s="49"/>
      <c r="S169" s="49"/>
      <c r="T169" s="49"/>
      <c r="U169" s="49"/>
      <c r="V169" s="49"/>
      <c r="W169" s="49"/>
      <c r="X169" s="49"/>
      <c r="Y169" s="49"/>
    </row>
    <row r="170" spans="1:25" ht="14.25" customHeight="1">
      <c r="A170" s="12" t="s">
        <v>842</v>
      </c>
      <c r="B170" s="8" t="s">
        <v>602</v>
      </c>
      <c r="C170" s="9" t="s">
        <v>631</v>
      </c>
      <c r="D170" s="9" t="s">
        <v>607</v>
      </c>
      <c r="E170" s="49"/>
      <c r="F170" s="49"/>
      <c r="G170" s="49"/>
      <c r="H170" s="49"/>
      <c r="I170" s="49"/>
      <c r="J170" s="49"/>
      <c r="K170" s="49"/>
      <c r="L170" s="49">
        <v>65.92</v>
      </c>
      <c r="M170" s="49"/>
      <c r="N170" s="49"/>
      <c r="O170" s="49"/>
      <c r="P170" s="49"/>
      <c r="Q170" s="49">
        <v>140</v>
      </c>
      <c r="R170" s="49"/>
      <c r="S170" s="49"/>
      <c r="T170" s="49"/>
      <c r="U170" s="49"/>
      <c r="V170" s="49"/>
      <c r="W170" s="49"/>
      <c r="X170" s="49"/>
      <c r="Y170" s="49"/>
    </row>
    <row r="171" spans="1:25" ht="14.25" customHeight="1">
      <c r="A171" s="12" t="s">
        <v>843</v>
      </c>
      <c r="B171" s="8" t="s">
        <v>602</v>
      </c>
      <c r="C171" s="9" t="s">
        <v>632</v>
      </c>
      <c r="D171" s="9" t="s">
        <v>607</v>
      </c>
      <c r="E171" s="49"/>
      <c r="F171" s="49"/>
      <c r="G171" s="49"/>
      <c r="H171" s="49"/>
      <c r="I171" s="49"/>
      <c r="J171" s="49"/>
      <c r="K171" s="49"/>
      <c r="L171" s="49">
        <v>49.81</v>
      </c>
      <c r="M171" s="49"/>
      <c r="N171" s="49"/>
      <c r="O171" s="49"/>
      <c r="P171" s="49"/>
      <c r="Q171" s="49">
        <v>112</v>
      </c>
      <c r="R171" s="49"/>
      <c r="S171" s="49"/>
      <c r="T171" s="49"/>
      <c r="U171" s="49"/>
      <c r="V171" s="49"/>
      <c r="W171" s="49"/>
      <c r="X171" s="49"/>
      <c r="Y171" s="49"/>
    </row>
    <row r="172" spans="1:25" ht="14.25" customHeight="1">
      <c r="A172" s="12" t="s">
        <v>844</v>
      </c>
      <c r="B172" s="8" t="s">
        <v>602</v>
      </c>
      <c r="C172" s="9" t="s">
        <v>633</v>
      </c>
      <c r="D172" s="9" t="s">
        <v>607</v>
      </c>
      <c r="E172" s="49"/>
      <c r="F172" s="49"/>
      <c r="G172" s="49"/>
      <c r="H172" s="49"/>
      <c r="I172" s="49"/>
      <c r="J172" s="49"/>
      <c r="K172" s="49"/>
      <c r="L172" s="49">
        <v>116.19</v>
      </c>
      <c r="M172" s="49"/>
      <c r="N172" s="49"/>
      <c r="O172" s="49"/>
      <c r="P172" s="49"/>
      <c r="Q172" s="49">
        <v>191</v>
      </c>
      <c r="R172" s="49"/>
      <c r="S172" s="49"/>
      <c r="T172" s="49"/>
      <c r="U172" s="49"/>
      <c r="V172" s="49"/>
      <c r="W172" s="49"/>
      <c r="X172" s="49"/>
      <c r="Y172" s="49"/>
    </row>
    <row r="173" spans="1:25" ht="14.25" customHeight="1">
      <c r="A173" s="12"/>
      <c r="B173" s="8"/>
      <c r="C173" s="9"/>
      <c r="D173" s="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spans="1:25" ht="14.25" customHeight="1">
      <c r="A174" s="12" t="s">
        <v>634</v>
      </c>
      <c r="B174" s="8" t="s">
        <v>600</v>
      </c>
      <c r="C174" s="9" t="s">
        <v>623</v>
      </c>
      <c r="D174" s="9" t="s">
        <v>607</v>
      </c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 spans="1:25" ht="14.25" customHeight="1">
      <c r="A175" s="12" t="s">
        <v>635</v>
      </c>
      <c r="B175" s="8" t="s">
        <v>600</v>
      </c>
      <c r="C175" s="9" t="s">
        <v>624</v>
      </c>
      <c r="D175" s="9" t="s">
        <v>607</v>
      </c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 spans="1:25" ht="14.25" customHeight="1">
      <c r="A176" s="12" t="s">
        <v>636</v>
      </c>
      <c r="B176" s="8" t="s">
        <v>600</v>
      </c>
      <c r="C176" s="9" t="s">
        <v>625</v>
      </c>
      <c r="D176" s="9" t="s">
        <v>607</v>
      </c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 spans="1:25" ht="14.25" customHeight="1">
      <c r="A177" s="12" t="s">
        <v>637</v>
      </c>
      <c r="B177" s="8" t="s">
        <v>600</v>
      </c>
      <c r="C177" s="9" t="s">
        <v>626</v>
      </c>
      <c r="D177" s="9" t="s">
        <v>607</v>
      </c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 spans="1:25" ht="14.25" customHeight="1">
      <c r="A178" s="12" t="s">
        <v>638</v>
      </c>
      <c r="B178" s="8" t="s">
        <v>600</v>
      </c>
      <c r="C178" s="9" t="s">
        <v>627</v>
      </c>
      <c r="D178" s="9" t="s">
        <v>607</v>
      </c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 spans="1:25" ht="14.25" customHeight="1">
      <c r="A179" s="12" t="s">
        <v>639</v>
      </c>
      <c r="B179" s="8" t="s">
        <v>600</v>
      </c>
      <c r="C179" s="9" t="s">
        <v>628</v>
      </c>
      <c r="D179" s="9" t="s">
        <v>607</v>
      </c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 spans="1:25" ht="14.25" customHeight="1">
      <c r="A180" s="12" t="s">
        <v>640</v>
      </c>
      <c r="B180" s="8" t="s">
        <v>600</v>
      </c>
      <c r="C180" s="9" t="s">
        <v>629</v>
      </c>
      <c r="D180" s="9" t="s">
        <v>607</v>
      </c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 spans="1:25" ht="14.25" customHeight="1">
      <c r="A181" s="12" t="s">
        <v>641</v>
      </c>
      <c r="B181" s="8" t="s">
        <v>600</v>
      </c>
      <c r="C181" s="9" t="s">
        <v>630</v>
      </c>
      <c r="D181" s="9" t="s">
        <v>607</v>
      </c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 spans="1:25" ht="14.25" customHeight="1">
      <c r="A182" s="12" t="s">
        <v>642</v>
      </c>
      <c r="B182" s="8" t="s">
        <v>600</v>
      </c>
      <c r="C182" s="9" t="s">
        <v>631</v>
      </c>
      <c r="D182" s="9" t="s">
        <v>607</v>
      </c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 spans="1:25" ht="14.25" customHeight="1">
      <c r="A183" s="12" t="s">
        <v>643</v>
      </c>
      <c r="B183" s="8" t="s">
        <v>600</v>
      </c>
      <c r="C183" s="9" t="s">
        <v>632</v>
      </c>
      <c r="D183" s="9" t="s">
        <v>607</v>
      </c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 spans="1:25" ht="14.25" customHeight="1">
      <c r="A184" s="12" t="s">
        <v>644</v>
      </c>
      <c r="B184" s="8" t="s">
        <v>600</v>
      </c>
      <c r="C184" s="9" t="s">
        <v>633</v>
      </c>
      <c r="D184" s="9" t="s">
        <v>607</v>
      </c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 spans="1:25" ht="14.25" customHeight="1">
      <c r="A185" s="12"/>
      <c r="B185" s="8"/>
      <c r="C185" s="9"/>
      <c r="D185" s="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spans="1:25" ht="14.25" customHeight="1">
      <c r="A186" s="12" t="s">
        <v>645</v>
      </c>
      <c r="B186" s="8" t="s">
        <v>601</v>
      </c>
      <c r="C186" s="9" t="s">
        <v>623</v>
      </c>
      <c r="D186" s="9" t="s">
        <v>607</v>
      </c>
      <c r="E186" s="49">
        <v>339.61</v>
      </c>
      <c r="F186" s="49">
        <v>339.61</v>
      </c>
      <c r="G186" s="49"/>
      <c r="H186" s="49"/>
      <c r="I186" s="49"/>
      <c r="J186" s="49">
        <v>169</v>
      </c>
      <c r="K186" s="49"/>
      <c r="L186" s="49">
        <v>124.68</v>
      </c>
      <c r="M186" s="49">
        <v>199</v>
      </c>
      <c r="N186" s="49"/>
      <c r="O186" s="49"/>
      <c r="P186" s="49"/>
      <c r="Q186" s="49">
        <v>234</v>
      </c>
      <c r="R186" s="49">
        <v>145</v>
      </c>
      <c r="S186" s="49">
        <v>158</v>
      </c>
      <c r="T186" s="49"/>
      <c r="U186" s="49"/>
      <c r="V186" s="49">
        <v>181</v>
      </c>
      <c r="W186" s="49"/>
      <c r="X186" s="49">
        <v>184.03</v>
      </c>
      <c r="Y186" s="49">
        <v>184.03</v>
      </c>
    </row>
    <row r="187" spans="1:25" ht="14.25" customHeight="1">
      <c r="A187" s="12" t="s">
        <v>646</v>
      </c>
      <c r="B187" s="8" t="s">
        <v>601</v>
      </c>
      <c r="C187" s="9" t="s">
        <v>624</v>
      </c>
      <c r="D187" s="9" t="s">
        <v>607</v>
      </c>
      <c r="E187" s="49">
        <v>201.75</v>
      </c>
      <c r="F187" s="49">
        <v>201.75</v>
      </c>
      <c r="G187" s="49"/>
      <c r="H187" s="49"/>
      <c r="I187" s="49"/>
      <c r="J187" s="49">
        <v>101</v>
      </c>
      <c r="K187" s="49"/>
      <c r="L187" s="49">
        <v>135.87</v>
      </c>
      <c r="M187" s="49">
        <v>167</v>
      </c>
      <c r="N187" s="49"/>
      <c r="O187" s="49"/>
      <c r="P187" s="49"/>
      <c r="Q187" s="49">
        <v>162</v>
      </c>
      <c r="R187" s="49">
        <v>145</v>
      </c>
      <c r="S187" s="49">
        <v>167</v>
      </c>
      <c r="T187" s="49"/>
      <c r="U187" s="49"/>
      <c r="V187" s="49">
        <v>181</v>
      </c>
      <c r="W187" s="49"/>
      <c r="X187" s="49">
        <v>175.28</v>
      </c>
      <c r="Y187" s="49">
        <v>175.28</v>
      </c>
    </row>
    <row r="188" spans="1:25" ht="14.25" customHeight="1">
      <c r="A188" s="12" t="s">
        <v>647</v>
      </c>
      <c r="B188" s="8" t="s">
        <v>601</v>
      </c>
      <c r="C188" s="9" t="s">
        <v>625</v>
      </c>
      <c r="D188" s="9" t="s">
        <v>607</v>
      </c>
      <c r="E188" s="49">
        <v>308.10000000000002</v>
      </c>
      <c r="F188" s="49">
        <v>308.10000000000002</v>
      </c>
      <c r="G188" s="49"/>
      <c r="H188" s="49"/>
      <c r="I188" s="49"/>
      <c r="J188" s="49">
        <v>114</v>
      </c>
      <c r="K188" s="49"/>
      <c r="L188" s="49">
        <v>148.96</v>
      </c>
      <c r="M188" s="49">
        <v>199</v>
      </c>
      <c r="N188" s="49"/>
      <c r="O188" s="49"/>
      <c r="P188" s="49"/>
      <c r="Q188" s="49">
        <v>191</v>
      </c>
      <c r="R188" s="49">
        <v>150</v>
      </c>
      <c r="S188" s="49">
        <v>199</v>
      </c>
      <c r="T188" s="49"/>
      <c r="U188" s="49"/>
      <c r="V188" s="49">
        <v>266</v>
      </c>
      <c r="W188" s="49"/>
      <c r="X188" s="49">
        <v>182.62</v>
      </c>
      <c r="Y188" s="49">
        <v>182.62</v>
      </c>
    </row>
    <row r="189" spans="1:25" ht="14.25" customHeight="1">
      <c r="A189" s="12" t="s">
        <v>648</v>
      </c>
      <c r="B189" s="8" t="s">
        <v>601</v>
      </c>
      <c r="C189" s="9" t="s">
        <v>626</v>
      </c>
      <c r="D189" s="9" t="s">
        <v>607</v>
      </c>
      <c r="E189" s="49">
        <v>354.15</v>
      </c>
      <c r="F189" s="49">
        <v>354.15</v>
      </c>
      <c r="G189" s="49"/>
      <c r="H189" s="49"/>
      <c r="I189" s="49"/>
      <c r="J189" s="49">
        <v>129</v>
      </c>
      <c r="K189" s="49"/>
      <c r="L189" s="49">
        <v>194.2</v>
      </c>
      <c r="M189" s="49">
        <v>248</v>
      </c>
      <c r="N189" s="49"/>
      <c r="O189" s="49"/>
      <c r="P189" s="49"/>
      <c r="Q189" s="49">
        <v>234</v>
      </c>
      <c r="R189" s="49">
        <v>160</v>
      </c>
      <c r="S189" s="49">
        <v>222</v>
      </c>
      <c r="T189" s="49"/>
      <c r="U189" s="49"/>
      <c r="V189" s="49">
        <v>340</v>
      </c>
      <c r="W189" s="49"/>
      <c r="X189" s="49">
        <v>204.06</v>
      </c>
      <c r="Y189" s="49">
        <v>204.06</v>
      </c>
    </row>
    <row r="190" spans="1:25" ht="14.25" customHeight="1">
      <c r="A190" s="12" t="s">
        <v>649</v>
      </c>
      <c r="B190" s="8" t="s">
        <v>601</v>
      </c>
      <c r="C190" s="9" t="s">
        <v>627</v>
      </c>
      <c r="D190" s="9" t="s">
        <v>607</v>
      </c>
      <c r="E190" s="49">
        <v>160.35</v>
      </c>
      <c r="F190" s="49">
        <v>160.35</v>
      </c>
      <c r="G190" s="49"/>
      <c r="H190" s="49"/>
      <c r="I190" s="49"/>
      <c r="J190" s="49">
        <v>102</v>
      </c>
      <c r="K190" s="49"/>
      <c r="L190" s="49">
        <v>74.849999999999994</v>
      </c>
      <c r="M190" s="49">
        <v>114</v>
      </c>
      <c r="N190" s="49"/>
      <c r="O190" s="49"/>
      <c r="P190" s="49"/>
      <c r="Q190" s="49">
        <v>140</v>
      </c>
      <c r="R190" s="49">
        <v>75</v>
      </c>
      <c r="S190" s="49">
        <v>75</v>
      </c>
      <c r="T190" s="49"/>
      <c r="U190" s="49"/>
      <c r="V190" s="49">
        <v>97</v>
      </c>
      <c r="W190" s="49"/>
      <c r="X190" s="49">
        <v>116.2</v>
      </c>
      <c r="Y190" s="49">
        <v>116.2</v>
      </c>
    </row>
    <row r="191" spans="1:25" ht="14.25" customHeight="1">
      <c r="A191" s="12" t="s">
        <v>650</v>
      </c>
      <c r="B191" s="8" t="s">
        <v>601</v>
      </c>
      <c r="C191" s="9" t="s">
        <v>628</v>
      </c>
      <c r="D191" s="9" t="s">
        <v>607</v>
      </c>
      <c r="E191" s="49">
        <v>266.18</v>
      </c>
      <c r="F191" s="49">
        <v>266.18</v>
      </c>
      <c r="G191" s="49"/>
      <c r="H191" s="49"/>
      <c r="I191" s="49"/>
      <c r="J191" s="49">
        <v>150</v>
      </c>
      <c r="K191" s="49"/>
      <c r="L191" s="49">
        <v>194.2</v>
      </c>
      <c r="M191" s="49">
        <v>199</v>
      </c>
      <c r="N191" s="49"/>
      <c r="O191" s="49"/>
      <c r="P191" s="49"/>
      <c r="Q191" s="49">
        <v>191</v>
      </c>
      <c r="R191" s="49">
        <v>140</v>
      </c>
      <c r="S191" s="49">
        <v>201</v>
      </c>
      <c r="T191" s="49"/>
      <c r="U191" s="49"/>
      <c r="V191" s="49">
        <v>340</v>
      </c>
      <c r="W191" s="49"/>
      <c r="X191" s="49">
        <v>204.06</v>
      </c>
      <c r="Y191" s="49">
        <v>204.06</v>
      </c>
    </row>
    <row r="192" spans="1:25" ht="14.25" customHeight="1">
      <c r="A192" s="12" t="s">
        <v>651</v>
      </c>
      <c r="B192" s="8" t="s">
        <v>601</v>
      </c>
      <c r="C192" s="9" t="s">
        <v>629</v>
      </c>
      <c r="D192" s="9" t="s">
        <v>607</v>
      </c>
      <c r="E192" s="49">
        <v>201.75</v>
      </c>
      <c r="F192" s="49">
        <v>201.75</v>
      </c>
      <c r="G192" s="49"/>
      <c r="H192" s="49"/>
      <c r="I192" s="49"/>
      <c r="J192" s="49">
        <v>90</v>
      </c>
      <c r="K192" s="49"/>
      <c r="L192" s="49">
        <v>74.849999999999994</v>
      </c>
      <c r="M192" s="49">
        <v>167</v>
      </c>
      <c r="N192" s="49"/>
      <c r="O192" s="49"/>
      <c r="P192" s="49"/>
      <c r="Q192" s="49">
        <v>162</v>
      </c>
      <c r="R192" s="49">
        <v>120</v>
      </c>
      <c r="S192" s="49">
        <v>161</v>
      </c>
      <c r="T192" s="49"/>
      <c r="U192" s="49"/>
      <c r="V192" s="49">
        <v>176</v>
      </c>
      <c r="W192" s="49"/>
      <c r="X192" s="49">
        <v>156.41999999999999</v>
      </c>
      <c r="Y192" s="49">
        <v>156.41999999999999</v>
      </c>
    </row>
    <row r="193" spans="1:25" ht="14.25" customHeight="1">
      <c r="A193" s="12" t="s">
        <v>652</v>
      </c>
      <c r="B193" s="8" t="s">
        <v>601</v>
      </c>
      <c r="C193" s="9" t="s">
        <v>630</v>
      </c>
      <c r="D193" s="9" t="s">
        <v>607</v>
      </c>
      <c r="E193" s="49">
        <v>107.07</v>
      </c>
      <c r="F193" s="49">
        <v>107.07</v>
      </c>
      <c r="G193" s="49"/>
      <c r="H193" s="49"/>
      <c r="I193" s="49"/>
      <c r="J193" s="49">
        <v>89</v>
      </c>
      <c r="K193" s="49"/>
      <c r="L193" s="49">
        <v>58.55</v>
      </c>
      <c r="M193" s="49">
        <v>100</v>
      </c>
      <c r="N193" s="49"/>
      <c r="O193" s="49"/>
      <c r="P193" s="49"/>
      <c r="Q193" s="49">
        <v>112</v>
      </c>
      <c r="R193" s="49">
        <v>93</v>
      </c>
      <c r="S193" s="49">
        <v>93</v>
      </c>
      <c r="T193" s="49"/>
      <c r="U193" s="49"/>
      <c r="V193" s="49">
        <v>135</v>
      </c>
      <c r="W193" s="49"/>
      <c r="X193" s="49">
        <v>92.61</v>
      </c>
      <c r="Y193" s="49">
        <v>92.61</v>
      </c>
    </row>
    <row r="194" spans="1:25" ht="14.25" customHeight="1">
      <c r="A194" s="12" t="s">
        <v>653</v>
      </c>
      <c r="B194" s="8" t="s">
        <v>601</v>
      </c>
      <c r="C194" s="9" t="s">
        <v>631</v>
      </c>
      <c r="D194" s="9" t="s">
        <v>607</v>
      </c>
      <c r="E194" s="49">
        <v>266.18</v>
      </c>
      <c r="F194" s="49">
        <v>266.18</v>
      </c>
      <c r="G194" s="49"/>
      <c r="H194" s="49"/>
      <c r="I194" s="49"/>
      <c r="J194" s="49">
        <v>128</v>
      </c>
      <c r="K194" s="49"/>
      <c r="L194" s="49">
        <v>135.87</v>
      </c>
      <c r="M194" s="49">
        <v>167</v>
      </c>
      <c r="N194" s="49"/>
      <c r="O194" s="49"/>
      <c r="P194" s="49"/>
      <c r="Q194" s="49">
        <v>140</v>
      </c>
      <c r="R194" s="49">
        <v>222</v>
      </c>
      <c r="S194" s="49">
        <v>222</v>
      </c>
      <c r="T194" s="49"/>
      <c r="U194" s="49"/>
      <c r="V194" s="49">
        <v>135</v>
      </c>
      <c r="W194" s="49"/>
      <c r="X194" s="49">
        <v>151.38</v>
      </c>
      <c r="Y194" s="49">
        <v>151.38</v>
      </c>
    </row>
    <row r="195" spans="1:25" ht="14.25" customHeight="1">
      <c r="A195" s="12" t="s">
        <v>654</v>
      </c>
      <c r="B195" s="8" t="s">
        <v>601</v>
      </c>
      <c r="C195" s="9" t="s">
        <v>632</v>
      </c>
      <c r="D195" s="9" t="s">
        <v>607</v>
      </c>
      <c r="E195" s="49">
        <v>208.66</v>
      </c>
      <c r="F195" s="49">
        <v>208.66</v>
      </c>
      <c r="G195" s="49"/>
      <c r="H195" s="49"/>
      <c r="I195" s="49"/>
      <c r="J195" s="49">
        <v>153</v>
      </c>
      <c r="K195" s="49"/>
      <c r="L195" s="49">
        <v>87.84</v>
      </c>
      <c r="M195" s="49">
        <v>130</v>
      </c>
      <c r="N195" s="49"/>
      <c r="O195" s="49"/>
      <c r="P195" s="49"/>
      <c r="Q195" s="49">
        <v>112</v>
      </c>
      <c r="R195" s="49">
        <v>138</v>
      </c>
      <c r="S195" s="49">
        <v>138</v>
      </c>
      <c r="T195" s="49"/>
      <c r="U195" s="49"/>
      <c r="V195" s="49">
        <v>97</v>
      </c>
      <c r="W195" s="49"/>
      <c r="X195" s="49">
        <v>204.06</v>
      </c>
      <c r="Y195" s="49">
        <v>204.06</v>
      </c>
    </row>
    <row r="196" spans="1:25" ht="14.25" customHeight="1">
      <c r="A196" s="12" t="s">
        <v>655</v>
      </c>
      <c r="B196" s="8" t="s">
        <v>601</v>
      </c>
      <c r="C196" s="9" t="s">
        <v>633</v>
      </c>
      <c r="D196" s="9" t="s">
        <v>607</v>
      </c>
      <c r="E196" s="49">
        <v>229.26</v>
      </c>
      <c r="F196" s="49">
        <v>229.26</v>
      </c>
      <c r="G196" s="49"/>
      <c r="H196" s="49"/>
      <c r="I196" s="49"/>
      <c r="J196" s="49">
        <v>107</v>
      </c>
      <c r="K196" s="49"/>
      <c r="L196" s="49">
        <v>131.94</v>
      </c>
      <c r="M196" s="49">
        <v>296</v>
      </c>
      <c r="N196" s="49"/>
      <c r="O196" s="49"/>
      <c r="P196" s="49"/>
      <c r="Q196" s="49">
        <v>191</v>
      </c>
      <c r="R196" s="49">
        <v>140</v>
      </c>
      <c r="S196" s="49">
        <v>119</v>
      </c>
      <c r="T196" s="49"/>
      <c r="U196" s="49"/>
      <c r="V196" s="49">
        <v>135</v>
      </c>
      <c r="W196" s="49"/>
      <c r="X196" s="49">
        <v>184.03</v>
      </c>
      <c r="Y196" s="49">
        <v>184.03</v>
      </c>
    </row>
    <row r="199" spans="1:25">
      <c r="A199" s="13"/>
      <c r="C199" s="10"/>
      <c r="D199" s="10"/>
    </row>
  </sheetData>
  <autoFilter ref="A1:Y16"/>
  <phoneticPr fontId="8" type="noConversion"/>
  <pageMargins left="0.37" right="0.38" top="0.79" bottom="0.41" header="0.36" footer="0.16"/>
  <pageSetup scale="50" orientation="portrait" r:id="rId1"/>
  <headerFooter alignWithMargins="0">
    <oddHeader>&amp;C&amp;"Arial,Bold"GSA EaaS BPA Pricing
Revision 1&amp;R&amp;G</oddHeader>
    <oddFooter>&amp;RNov 2012</oddFooter>
  </headerFooter>
  <legacyDrawingHF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7" enableFormatConditionsCalculation="0">
    <tabColor indexed="31"/>
  </sheetPr>
  <dimension ref="A1:Y199"/>
  <sheetViews>
    <sheetView zoomScale="70" zoomScaleNormal="70" zoomScalePageLayoutView="85" workbookViewId="0">
      <pane xSplit="3" ySplit="1" topLeftCell="D2" activePane="bottomRight" state="frozen"/>
      <selection activeCell="E5" sqref="E5"/>
      <selection pane="topRight" activeCell="E5" sqref="E5"/>
      <selection pane="bottomLeft" activeCell="E5" sqref="E5"/>
      <selection pane="bottomRight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854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507</v>
      </c>
      <c r="B2" s="8" t="s">
        <v>598</v>
      </c>
      <c r="C2" s="48" t="s">
        <v>610</v>
      </c>
      <c r="D2" s="9" t="s">
        <v>603</v>
      </c>
      <c r="E2" s="49">
        <v>3.86</v>
      </c>
      <c r="F2" s="49">
        <v>7.23</v>
      </c>
      <c r="G2" s="49"/>
      <c r="H2" s="49"/>
      <c r="I2" s="49"/>
      <c r="J2" s="49">
        <v>3.74</v>
      </c>
      <c r="K2" s="49"/>
      <c r="L2" s="49"/>
      <c r="M2" s="49">
        <v>3.77</v>
      </c>
      <c r="N2" s="49"/>
      <c r="O2" s="49"/>
      <c r="P2" s="49"/>
      <c r="Q2" s="49">
        <v>13.397499999999999</v>
      </c>
      <c r="R2" s="49">
        <v>3.7</v>
      </c>
      <c r="S2" s="49">
        <v>3.89</v>
      </c>
      <c r="T2" s="49"/>
      <c r="U2" s="49"/>
      <c r="V2" s="49">
        <v>7.35</v>
      </c>
      <c r="W2" s="49"/>
      <c r="X2" s="49"/>
      <c r="Y2" s="49"/>
    </row>
    <row r="3" spans="1:25" s="7" customFormat="1" ht="15" customHeight="1">
      <c r="A3" s="12" t="s">
        <v>508</v>
      </c>
      <c r="B3" s="8" t="s">
        <v>598</v>
      </c>
      <c r="C3" s="9" t="s">
        <v>611</v>
      </c>
      <c r="D3" s="9" t="s">
        <v>603</v>
      </c>
      <c r="E3" s="49">
        <v>3.86</v>
      </c>
      <c r="F3" s="49">
        <v>7.23</v>
      </c>
      <c r="G3" s="49"/>
      <c r="H3" s="49"/>
      <c r="I3" s="49"/>
      <c r="J3" s="49">
        <v>3.72</v>
      </c>
      <c r="K3" s="49"/>
      <c r="L3" s="49"/>
      <c r="M3" s="49">
        <v>3.77</v>
      </c>
      <c r="N3" s="49"/>
      <c r="O3" s="49"/>
      <c r="P3" s="49"/>
      <c r="Q3" s="49">
        <v>8.3259999999999987</v>
      </c>
      <c r="R3" s="49">
        <v>3.7</v>
      </c>
      <c r="S3" s="49">
        <v>3.85</v>
      </c>
      <c r="T3" s="49"/>
      <c r="U3" s="49"/>
      <c r="V3" s="49">
        <v>7.35</v>
      </c>
      <c r="W3" s="49"/>
      <c r="X3" s="49"/>
      <c r="Y3" s="49"/>
    </row>
    <row r="4" spans="1:25" s="7" customFormat="1" ht="15" customHeight="1">
      <c r="A4" s="12" t="s">
        <v>509</v>
      </c>
      <c r="B4" s="8" t="s">
        <v>598</v>
      </c>
      <c r="C4" s="9" t="s">
        <v>612</v>
      </c>
      <c r="D4" s="9" t="s">
        <v>603</v>
      </c>
      <c r="E4" s="49">
        <v>3.86</v>
      </c>
      <c r="F4" s="49">
        <v>7.23</v>
      </c>
      <c r="G4" s="49"/>
      <c r="H4" s="49"/>
      <c r="I4" s="49"/>
      <c r="J4" s="49">
        <v>3.68</v>
      </c>
      <c r="K4" s="49"/>
      <c r="L4" s="49"/>
      <c r="M4" s="49">
        <v>3.77</v>
      </c>
      <c r="N4" s="49"/>
      <c r="O4" s="49"/>
      <c r="P4" s="49"/>
      <c r="Q4" s="49">
        <v>7.4979999999999993</v>
      </c>
      <c r="R4" s="49">
        <v>3.7</v>
      </c>
      <c r="S4" s="49">
        <v>3.81</v>
      </c>
      <c r="T4" s="49"/>
      <c r="U4" s="49"/>
      <c r="V4" s="49">
        <v>7.35</v>
      </c>
      <c r="W4" s="49"/>
      <c r="X4" s="49"/>
      <c r="Y4" s="49"/>
    </row>
    <row r="5" spans="1:25" s="7" customFormat="1" ht="15" customHeight="1">
      <c r="A5" s="12" t="s">
        <v>510</v>
      </c>
      <c r="B5" s="8" t="s">
        <v>598</v>
      </c>
      <c r="C5" s="9" t="s">
        <v>677</v>
      </c>
      <c r="D5" s="9" t="s">
        <v>604</v>
      </c>
      <c r="E5" s="49">
        <v>0</v>
      </c>
      <c r="F5" s="49"/>
      <c r="G5" s="49"/>
      <c r="H5" s="49"/>
      <c r="I5" s="49"/>
      <c r="J5" s="49">
        <v>0</v>
      </c>
      <c r="K5" s="49"/>
      <c r="L5" s="49"/>
      <c r="M5" s="49"/>
      <c r="N5" s="49"/>
      <c r="O5" s="49"/>
      <c r="P5" s="49"/>
      <c r="Q5" s="49">
        <v>0.79349999999999987</v>
      </c>
      <c r="R5" s="49"/>
      <c r="S5" s="49"/>
      <c r="T5" s="49"/>
      <c r="U5" s="49"/>
      <c r="V5" s="49"/>
      <c r="W5" s="49"/>
      <c r="X5" s="49"/>
      <c r="Y5" s="49"/>
    </row>
    <row r="6" spans="1:25" s="7" customFormat="1" ht="15" customHeight="1">
      <c r="A6" s="12" t="s">
        <v>511</v>
      </c>
      <c r="B6" s="8" t="s">
        <v>598</v>
      </c>
      <c r="C6" s="9" t="s">
        <v>678</v>
      </c>
      <c r="D6" s="9" t="s">
        <v>604</v>
      </c>
      <c r="E6" s="49">
        <v>0</v>
      </c>
      <c r="F6" s="49"/>
      <c r="G6" s="49"/>
      <c r="H6" s="49"/>
      <c r="I6" s="49"/>
      <c r="J6" s="49">
        <v>0</v>
      </c>
      <c r="K6" s="49"/>
      <c r="L6" s="49"/>
      <c r="M6" s="49"/>
      <c r="N6" s="49"/>
      <c r="O6" s="49"/>
      <c r="P6" s="49"/>
      <c r="Q6" s="49">
        <v>0.79349999999999987</v>
      </c>
      <c r="R6" s="49"/>
      <c r="S6" s="49"/>
      <c r="T6" s="49"/>
      <c r="U6" s="49"/>
      <c r="V6" s="49"/>
      <c r="W6" s="49"/>
      <c r="X6" s="49"/>
      <c r="Y6" s="49"/>
    </row>
    <row r="7" spans="1:25" s="7" customFormat="1" ht="15" customHeight="1">
      <c r="A7" s="12" t="s">
        <v>512</v>
      </c>
      <c r="B7" s="8" t="s">
        <v>598</v>
      </c>
      <c r="C7" s="9" t="s">
        <v>679</v>
      </c>
      <c r="D7" s="9" t="s">
        <v>604</v>
      </c>
      <c r="E7" s="49">
        <v>0</v>
      </c>
      <c r="F7" s="49"/>
      <c r="G7" s="49"/>
      <c r="H7" s="49"/>
      <c r="I7" s="49"/>
      <c r="J7" s="49">
        <v>0</v>
      </c>
      <c r="K7" s="49"/>
      <c r="L7" s="49"/>
      <c r="M7" s="49"/>
      <c r="N7" s="49"/>
      <c r="O7" s="49"/>
      <c r="P7" s="49"/>
      <c r="Q7" s="49">
        <v>0.79349999999999987</v>
      </c>
      <c r="R7" s="49"/>
      <c r="S7" s="49"/>
      <c r="T7" s="49"/>
      <c r="U7" s="49"/>
      <c r="V7" s="49"/>
      <c r="W7" s="49"/>
      <c r="X7" s="49"/>
      <c r="Y7" s="49"/>
    </row>
    <row r="8" spans="1:25" s="7" customFormat="1" ht="15" customHeight="1">
      <c r="A8" s="12" t="s">
        <v>513</v>
      </c>
      <c r="B8" s="8" t="s">
        <v>598</v>
      </c>
      <c r="C8" s="9" t="s">
        <v>613</v>
      </c>
      <c r="D8" s="9" t="s">
        <v>603</v>
      </c>
      <c r="E8" s="49">
        <v>1.45</v>
      </c>
      <c r="F8" s="49">
        <v>0</v>
      </c>
      <c r="G8" s="49"/>
      <c r="H8" s="49"/>
      <c r="I8" s="49"/>
      <c r="J8" s="49">
        <v>1.85</v>
      </c>
      <c r="K8" s="49"/>
      <c r="L8" s="49"/>
      <c r="M8" s="49">
        <v>1.42</v>
      </c>
      <c r="N8" s="49"/>
      <c r="O8" s="49"/>
      <c r="P8" s="49"/>
      <c r="Q8" s="49">
        <v>1.472</v>
      </c>
      <c r="R8" s="49">
        <v>1.83</v>
      </c>
      <c r="S8" s="49">
        <v>1.92</v>
      </c>
      <c r="T8" s="49"/>
      <c r="U8" s="49"/>
      <c r="V8" s="49">
        <v>0</v>
      </c>
      <c r="W8" s="49"/>
      <c r="X8" s="49"/>
      <c r="Y8" s="49"/>
    </row>
    <row r="9" spans="1:25" s="7" customFormat="1" ht="15" customHeight="1">
      <c r="A9" s="12" t="s">
        <v>514</v>
      </c>
      <c r="B9" s="8" t="s">
        <v>598</v>
      </c>
      <c r="C9" s="9" t="s">
        <v>614</v>
      </c>
      <c r="D9" s="9" t="s">
        <v>603</v>
      </c>
      <c r="E9" s="49">
        <v>1.45</v>
      </c>
      <c r="F9" s="49">
        <v>0</v>
      </c>
      <c r="G9" s="49"/>
      <c r="H9" s="49"/>
      <c r="I9" s="49"/>
      <c r="J9" s="49">
        <v>1.84</v>
      </c>
      <c r="K9" s="49"/>
      <c r="L9" s="49"/>
      <c r="M9" s="49">
        <v>1.42</v>
      </c>
      <c r="N9" s="49"/>
      <c r="O9" s="49"/>
      <c r="P9" s="49"/>
      <c r="Q9" s="49">
        <v>1.38</v>
      </c>
      <c r="R9" s="49">
        <v>1.83</v>
      </c>
      <c r="S9" s="49">
        <v>1.9</v>
      </c>
      <c r="T9" s="49"/>
      <c r="U9" s="49"/>
      <c r="V9" s="49">
        <v>0</v>
      </c>
      <c r="W9" s="49"/>
      <c r="X9" s="49"/>
      <c r="Y9" s="49"/>
    </row>
    <row r="10" spans="1:25" s="7" customFormat="1" ht="15" customHeight="1">
      <c r="A10" s="12" t="s">
        <v>515</v>
      </c>
      <c r="B10" s="8" t="s">
        <v>598</v>
      </c>
      <c r="C10" s="9" t="s">
        <v>615</v>
      </c>
      <c r="D10" s="9" t="s">
        <v>603</v>
      </c>
      <c r="E10" s="49">
        <v>1.45</v>
      </c>
      <c r="F10" s="49">
        <v>0</v>
      </c>
      <c r="G10" s="49"/>
      <c r="H10" s="49"/>
      <c r="I10" s="49"/>
      <c r="J10" s="49">
        <v>1.82</v>
      </c>
      <c r="K10" s="49"/>
      <c r="L10" s="49"/>
      <c r="M10" s="49">
        <v>1.42</v>
      </c>
      <c r="N10" s="49"/>
      <c r="O10" s="49"/>
      <c r="P10" s="49"/>
      <c r="Q10" s="49">
        <v>1.38</v>
      </c>
      <c r="R10" s="49">
        <v>1.83</v>
      </c>
      <c r="S10" s="49">
        <v>1.88</v>
      </c>
      <c r="T10" s="49"/>
      <c r="U10" s="49"/>
      <c r="V10" s="49">
        <v>0</v>
      </c>
      <c r="W10" s="49"/>
      <c r="X10" s="49"/>
      <c r="Y10" s="49"/>
    </row>
    <row r="11" spans="1:25" s="7" customFormat="1" ht="15" customHeight="1">
      <c r="A11" s="12" t="s">
        <v>516</v>
      </c>
      <c r="B11" s="8" t="s">
        <v>598</v>
      </c>
      <c r="C11" s="9" t="s">
        <v>616</v>
      </c>
      <c r="D11" s="9" t="s">
        <v>604</v>
      </c>
      <c r="E11" s="49">
        <v>0</v>
      </c>
      <c r="F11" s="49"/>
      <c r="G11" s="49"/>
      <c r="H11" s="49"/>
      <c r="I11" s="49"/>
      <c r="J11" s="49">
        <v>0</v>
      </c>
      <c r="K11" s="49"/>
      <c r="L11" s="49"/>
      <c r="M11" s="49">
        <v>0</v>
      </c>
      <c r="N11" s="49"/>
      <c r="O11" s="49"/>
      <c r="P11" s="49"/>
      <c r="Q11" s="49">
        <v>0.79349999999999987</v>
      </c>
      <c r="R11" s="49">
        <v>0</v>
      </c>
      <c r="S11" s="49"/>
      <c r="T11" s="49"/>
      <c r="U11" s="49"/>
      <c r="V11" s="49"/>
      <c r="W11" s="49"/>
      <c r="X11" s="49"/>
      <c r="Y11" s="49"/>
    </row>
    <row r="12" spans="1:25" s="7" customFormat="1" ht="15" customHeight="1">
      <c r="A12" s="12" t="s">
        <v>517</v>
      </c>
      <c r="B12" s="8" t="s">
        <v>598</v>
      </c>
      <c r="C12" s="9" t="s">
        <v>617</v>
      </c>
      <c r="D12" s="9" t="s">
        <v>604</v>
      </c>
      <c r="E12" s="49">
        <v>0</v>
      </c>
      <c r="F12" s="49"/>
      <c r="G12" s="49"/>
      <c r="H12" s="49"/>
      <c r="I12" s="49"/>
      <c r="J12" s="49">
        <v>0</v>
      </c>
      <c r="K12" s="49"/>
      <c r="L12" s="49"/>
      <c r="M12" s="49">
        <v>0</v>
      </c>
      <c r="N12" s="49"/>
      <c r="O12" s="49"/>
      <c r="P12" s="49"/>
      <c r="Q12" s="49">
        <v>0.79349999999999987</v>
      </c>
      <c r="R12" s="49">
        <v>0</v>
      </c>
      <c r="S12" s="49"/>
      <c r="T12" s="49"/>
      <c r="U12" s="49"/>
      <c r="V12" s="49"/>
      <c r="W12" s="49"/>
      <c r="X12" s="49"/>
      <c r="Y12" s="49"/>
    </row>
    <row r="13" spans="1:25" s="7" customFormat="1" ht="15" customHeight="1">
      <c r="A13" s="12" t="s">
        <v>518</v>
      </c>
      <c r="B13" s="8" t="s">
        <v>598</v>
      </c>
      <c r="C13" s="9" t="s">
        <v>618</v>
      </c>
      <c r="D13" s="9" t="s">
        <v>604</v>
      </c>
      <c r="E13" s="49">
        <v>0</v>
      </c>
      <c r="F13" s="49"/>
      <c r="G13" s="49"/>
      <c r="H13" s="49"/>
      <c r="I13" s="49"/>
      <c r="J13" s="49">
        <v>0</v>
      </c>
      <c r="K13" s="49"/>
      <c r="L13" s="49"/>
      <c r="M13" s="49">
        <v>0</v>
      </c>
      <c r="N13" s="49"/>
      <c r="O13" s="49"/>
      <c r="P13" s="49"/>
      <c r="Q13" s="49">
        <v>0.79349999999999987</v>
      </c>
      <c r="R13" s="49">
        <v>0</v>
      </c>
      <c r="S13" s="49"/>
      <c r="T13" s="49"/>
      <c r="U13" s="49"/>
      <c r="V13" s="49"/>
      <c r="W13" s="49"/>
      <c r="X13" s="49"/>
      <c r="Y13" s="49"/>
    </row>
    <row r="14" spans="1:25" s="7" customFormat="1" ht="15" customHeight="1">
      <c r="A14" s="12" t="s">
        <v>519</v>
      </c>
      <c r="B14" s="8" t="s">
        <v>598</v>
      </c>
      <c r="C14" s="9" t="s">
        <v>674</v>
      </c>
      <c r="D14" s="9" t="s">
        <v>603</v>
      </c>
      <c r="E14" s="49">
        <v>7.54</v>
      </c>
      <c r="F14" s="49">
        <v>0</v>
      </c>
      <c r="G14" s="49"/>
      <c r="H14" s="49"/>
      <c r="I14" s="49"/>
      <c r="J14" s="49">
        <v>14.63</v>
      </c>
      <c r="K14" s="49"/>
      <c r="L14" s="49"/>
      <c r="M14" s="49">
        <v>7.43</v>
      </c>
      <c r="N14" s="49"/>
      <c r="O14" s="49"/>
      <c r="P14" s="49"/>
      <c r="Q14" s="49">
        <v>10.395999999999999</v>
      </c>
      <c r="R14" s="49">
        <v>6.86</v>
      </c>
      <c r="S14" s="49">
        <v>7.13</v>
      </c>
      <c r="T14" s="49"/>
      <c r="U14" s="49"/>
      <c r="V14" s="49">
        <v>0</v>
      </c>
      <c r="W14" s="49"/>
      <c r="X14" s="49"/>
      <c r="Y14" s="49"/>
    </row>
    <row r="15" spans="1:25" s="7" customFormat="1" ht="15" customHeight="1">
      <c r="A15" s="12" t="s">
        <v>520</v>
      </c>
      <c r="B15" s="8" t="s">
        <v>598</v>
      </c>
      <c r="C15" s="9" t="s">
        <v>675</v>
      </c>
      <c r="D15" s="9" t="s">
        <v>603</v>
      </c>
      <c r="E15" s="49">
        <v>6.96</v>
      </c>
      <c r="F15" s="49">
        <v>0</v>
      </c>
      <c r="G15" s="49"/>
      <c r="H15" s="49"/>
      <c r="I15" s="49"/>
      <c r="J15" s="49">
        <v>14.63</v>
      </c>
      <c r="K15" s="49"/>
      <c r="L15" s="49"/>
      <c r="M15" s="49">
        <v>6.85</v>
      </c>
      <c r="N15" s="49"/>
      <c r="O15" s="49"/>
      <c r="P15" s="49"/>
      <c r="Q15" s="49">
        <v>4.3699999999999992</v>
      </c>
      <c r="R15" s="49">
        <v>6.29</v>
      </c>
      <c r="S15" s="49">
        <v>6.58</v>
      </c>
      <c r="T15" s="49"/>
      <c r="U15" s="49"/>
      <c r="V15" s="49">
        <v>0</v>
      </c>
      <c r="W15" s="49"/>
      <c r="X15" s="49"/>
      <c r="Y15" s="49"/>
    </row>
    <row r="16" spans="1:25" s="7" customFormat="1" ht="15" customHeight="1">
      <c r="A16" s="12" t="s">
        <v>521</v>
      </c>
      <c r="B16" s="8" t="s">
        <v>598</v>
      </c>
      <c r="C16" s="9" t="s">
        <v>676</v>
      </c>
      <c r="D16" s="9" t="s">
        <v>603</v>
      </c>
      <c r="E16" s="49">
        <v>6.38</v>
      </c>
      <c r="F16" s="49">
        <v>0</v>
      </c>
      <c r="G16" s="49"/>
      <c r="H16" s="49"/>
      <c r="I16" s="49"/>
      <c r="J16" s="49">
        <v>14.63</v>
      </c>
      <c r="K16" s="49"/>
      <c r="L16" s="49"/>
      <c r="M16" s="49">
        <v>6.28</v>
      </c>
      <c r="N16" s="49"/>
      <c r="O16" s="49"/>
      <c r="P16" s="49"/>
      <c r="Q16" s="49">
        <v>3.6109999999999998</v>
      </c>
      <c r="R16" s="49">
        <v>5.72</v>
      </c>
      <c r="S16" s="49">
        <v>6.03</v>
      </c>
      <c r="T16" s="49"/>
      <c r="U16" s="49"/>
      <c r="V16" s="49">
        <v>0</v>
      </c>
      <c r="W16" s="49"/>
      <c r="X16" s="49"/>
      <c r="Y16" s="49"/>
    </row>
    <row r="17" spans="1:25" s="7" customFormat="1" ht="15" customHeight="1">
      <c r="A17" s="12"/>
      <c r="B17" s="8"/>
      <c r="C17" s="9"/>
      <c r="D17" s="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spans="1:25" s="7" customFormat="1" ht="15" customHeight="1">
      <c r="A18" s="12" t="s">
        <v>522</v>
      </c>
      <c r="B18" s="8" t="s">
        <v>599</v>
      </c>
      <c r="C18" s="9" t="s">
        <v>610</v>
      </c>
      <c r="D18" s="9" t="s">
        <v>603</v>
      </c>
      <c r="E18" s="49"/>
      <c r="F18" s="49"/>
      <c r="G18" s="49"/>
      <c r="H18" s="49"/>
      <c r="I18" s="49"/>
      <c r="J18" s="49"/>
      <c r="K18" s="49"/>
      <c r="L18" s="49">
        <v>21.56</v>
      </c>
      <c r="M18" s="49"/>
      <c r="N18" s="49"/>
      <c r="O18" s="49"/>
      <c r="P18" s="49"/>
      <c r="Q18" s="49">
        <v>14.570499999999999</v>
      </c>
      <c r="R18" s="49"/>
      <c r="S18" s="49"/>
      <c r="T18" s="49"/>
      <c r="U18" s="49"/>
      <c r="V18" s="49"/>
      <c r="W18" s="49"/>
      <c r="X18" s="49"/>
      <c r="Y18" s="49"/>
    </row>
    <row r="19" spans="1:25" s="7" customFormat="1" ht="15" customHeight="1">
      <c r="A19" s="12" t="s">
        <v>523</v>
      </c>
      <c r="B19" s="8" t="s">
        <v>599</v>
      </c>
      <c r="C19" s="9" t="s">
        <v>611</v>
      </c>
      <c r="D19" s="9" t="s">
        <v>603</v>
      </c>
      <c r="E19" s="49"/>
      <c r="F19" s="49"/>
      <c r="G19" s="49"/>
      <c r="H19" s="49"/>
      <c r="I19" s="49"/>
      <c r="J19" s="49"/>
      <c r="K19" s="49"/>
      <c r="L19" s="49">
        <v>21.56</v>
      </c>
      <c r="M19" s="49"/>
      <c r="N19" s="49"/>
      <c r="O19" s="49"/>
      <c r="P19" s="49"/>
      <c r="Q19" s="49">
        <v>9.7864999999999984</v>
      </c>
      <c r="R19" s="49"/>
      <c r="S19" s="49"/>
      <c r="T19" s="49"/>
      <c r="U19" s="49"/>
      <c r="V19" s="49"/>
      <c r="W19" s="49"/>
      <c r="X19" s="49"/>
      <c r="Y19" s="49"/>
    </row>
    <row r="20" spans="1:25" s="7" customFormat="1" ht="15" customHeight="1">
      <c r="A20" s="12" t="s">
        <v>524</v>
      </c>
      <c r="B20" s="8" t="s">
        <v>599</v>
      </c>
      <c r="C20" s="9" t="s">
        <v>612</v>
      </c>
      <c r="D20" s="9" t="s">
        <v>603</v>
      </c>
      <c r="E20" s="49"/>
      <c r="F20" s="49"/>
      <c r="G20" s="49"/>
      <c r="H20" s="49"/>
      <c r="I20" s="49"/>
      <c r="J20" s="49"/>
      <c r="K20" s="49"/>
      <c r="L20" s="49">
        <v>16.170000000000002</v>
      </c>
      <c r="M20" s="49"/>
      <c r="N20" s="49"/>
      <c r="O20" s="49"/>
      <c r="P20" s="49"/>
      <c r="Q20" s="49">
        <v>8.0039999999999996</v>
      </c>
      <c r="R20" s="49"/>
      <c r="S20" s="49"/>
      <c r="T20" s="49"/>
      <c r="U20" s="49"/>
      <c r="V20" s="49"/>
      <c r="W20" s="49"/>
      <c r="X20" s="49"/>
      <c r="Y20" s="49"/>
    </row>
    <row r="21" spans="1:25" s="7" customFormat="1" ht="15" customHeight="1">
      <c r="A21" s="12" t="s">
        <v>525</v>
      </c>
      <c r="B21" s="8" t="s">
        <v>599</v>
      </c>
      <c r="C21" s="9" t="s">
        <v>677</v>
      </c>
      <c r="D21" s="9" t="s">
        <v>604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>
        <v>0.97428552377276401</v>
      </c>
      <c r="R21" s="49"/>
      <c r="S21" s="49"/>
      <c r="T21" s="49"/>
      <c r="U21" s="49"/>
      <c r="V21" s="49"/>
      <c r="W21" s="49"/>
      <c r="X21" s="49"/>
      <c r="Y21" s="49"/>
    </row>
    <row r="22" spans="1:25" s="7" customFormat="1" ht="15" customHeight="1">
      <c r="A22" s="12" t="s">
        <v>526</v>
      </c>
      <c r="B22" s="8" t="s">
        <v>599</v>
      </c>
      <c r="C22" s="9" t="s">
        <v>678</v>
      </c>
      <c r="D22" s="9" t="s">
        <v>604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>
        <v>0.97428552377276401</v>
      </c>
      <c r="R22" s="49"/>
      <c r="S22" s="49"/>
      <c r="T22" s="49"/>
      <c r="U22" s="49"/>
      <c r="V22" s="49"/>
      <c r="W22" s="49"/>
      <c r="X22" s="49"/>
      <c r="Y22" s="49"/>
    </row>
    <row r="23" spans="1:25" s="7" customFormat="1" ht="15" customHeight="1">
      <c r="A23" s="12" t="s">
        <v>527</v>
      </c>
      <c r="B23" s="8" t="s">
        <v>599</v>
      </c>
      <c r="C23" s="9" t="s">
        <v>679</v>
      </c>
      <c r="D23" s="9" t="s">
        <v>604</v>
      </c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>
        <v>0.97428552377276401</v>
      </c>
      <c r="R23" s="49"/>
      <c r="S23" s="49"/>
      <c r="T23" s="49"/>
      <c r="U23" s="49"/>
      <c r="V23" s="49"/>
      <c r="W23" s="49"/>
      <c r="X23" s="49"/>
      <c r="Y23" s="49"/>
    </row>
    <row r="24" spans="1:25" s="7" customFormat="1" ht="15" customHeight="1">
      <c r="A24" s="12" t="s">
        <v>528</v>
      </c>
      <c r="B24" s="8" t="s">
        <v>599</v>
      </c>
      <c r="C24" s="9" t="s">
        <v>613</v>
      </c>
      <c r="D24" s="9" t="s">
        <v>603</v>
      </c>
      <c r="E24" s="49"/>
      <c r="F24" s="49"/>
      <c r="G24" s="49"/>
      <c r="H24" s="49"/>
      <c r="I24" s="49"/>
      <c r="J24" s="49"/>
      <c r="K24" s="49"/>
      <c r="L24" s="49">
        <v>8.1199999999999992</v>
      </c>
      <c r="M24" s="49"/>
      <c r="N24" s="49"/>
      <c r="O24" s="49"/>
      <c r="P24" s="49"/>
      <c r="Q24" s="49">
        <v>1.5754999999999999</v>
      </c>
      <c r="R24" s="49"/>
      <c r="S24" s="49"/>
      <c r="T24" s="49"/>
      <c r="U24" s="49"/>
      <c r="V24" s="49"/>
      <c r="W24" s="49"/>
      <c r="X24" s="49"/>
      <c r="Y24" s="49"/>
    </row>
    <row r="25" spans="1:25" s="7" customFormat="1" ht="15" customHeight="1">
      <c r="A25" s="12" t="s">
        <v>529</v>
      </c>
      <c r="B25" s="8" t="s">
        <v>599</v>
      </c>
      <c r="C25" s="9" t="s">
        <v>614</v>
      </c>
      <c r="D25" s="9" t="s">
        <v>603</v>
      </c>
      <c r="E25" s="49"/>
      <c r="F25" s="49"/>
      <c r="G25" s="49"/>
      <c r="H25" s="49"/>
      <c r="I25" s="49"/>
      <c r="J25" s="49"/>
      <c r="K25" s="49"/>
      <c r="L25" s="49">
        <v>8.1199999999999992</v>
      </c>
      <c r="M25" s="49"/>
      <c r="N25" s="49"/>
      <c r="O25" s="49"/>
      <c r="P25" s="49"/>
      <c r="Q25" s="49">
        <v>1.4604999999999999</v>
      </c>
      <c r="R25" s="49"/>
      <c r="S25" s="49"/>
      <c r="T25" s="49"/>
      <c r="U25" s="49"/>
      <c r="V25" s="49"/>
      <c r="W25" s="49"/>
      <c r="X25" s="49"/>
      <c r="Y25" s="49"/>
    </row>
    <row r="26" spans="1:25" s="7" customFormat="1" ht="15" customHeight="1">
      <c r="A26" s="12" t="s">
        <v>530</v>
      </c>
      <c r="B26" s="8" t="s">
        <v>599</v>
      </c>
      <c r="C26" s="9" t="s">
        <v>615</v>
      </c>
      <c r="D26" s="9" t="s">
        <v>603</v>
      </c>
      <c r="E26" s="49"/>
      <c r="F26" s="49"/>
      <c r="G26" s="49"/>
      <c r="H26" s="49"/>
      <c r="I26" s="49"/>
      <c r="J26" s="49"/>
      <c r="K26" s="49"/>
      <c r="L26" s="49">
        <v>6.09</v>
      </c>
      <c r="M26" s="49"/>
      <c r="N26" s="49"/>
      <c r="O26" s="49"/>
      <c r="P26" s="49"/>
      <c r="Q26" s="49">
        <v>1.4834999999999998</v>
      </c>
      <c r="R26" s="49"/>
      <c r="S26" s="49"/>
      <c r="T26" s="49"/>
      <c r="U26" s="49"/>
      <c r="V26" s="49"/>
      <c r="W26" s="49"/>
      <c r="X26" s="49"/>
      <c r="Y26" s="49"/>
    </row>
    <row r="27" spans="1:25" s="7" customFormat="1" ht="15" customHeight="1">
      <c r="A27" s="12" t="s">
        <v>531</v>
      </c>
      <c r="B27" s="8" t="s">
        <v>599</v>
      </c>
      <c r="C27" s="9" t="s">
        <v>616</v>
      </c>
      <c r="D27" s="9" t="s">
        <v>604</v>
      </c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>
        <v>0.97428552377276401</v>
      </c>
      <c r="R27" s="49"/>
      <c r="S27" s="49"/>
      <c r="T27" s="49"/>
      <c r="U27" s="49"/>
      <c r="V27" s="49"/>
      <c r="W27" s="49"/>
      <c r="X27" s="49"/>
      <c r="Y27" s="49"/>
    </row>
    <row r="28" spans="1:25" s="7" customFormat="1" ht="15" customHeight="1">
      <c r="A28" s="12" t="s">
        <v>532</v>
      </c>
      <c r="B28" s="8" t="s">
        <v>599</v>
      </c>
      <c r="C28" s="9" t="s">
        <v>617</v>
      </c>
      <c r="D28" s="9" t="s">
        <v>604</v>
      </c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>
        <v>0.97428552377276401</v>
      </c>
      <c r="R28" s="49"/>
      <c r="S28" s="49"/>
      <c r="T28" s="49"/>
      <c r="U28" s="49"/>
      <c r="V28" s="49"/>
      <c r="W28" s="49"/>
      <c r="X28" s="49"/>
      <c r="Y28" s="49"/>
    </row>
    <row r="29" spans="1:25" s="7" customFormat="1" ht="15" customHeight="1">
      <c r="A29" s="12" t="s">
        <v>533</v>
      </c>
      <c r="B29" s="8" t="s">
        <v>599</v>
      </c>
      <c r="C29" s="9" t="s">
        <v>618</v>
      </c>
      <c r="D29" s="9" t="s">
        <v>604</v>
      </c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>
        <v>0.97428552377276401</v>
      </c>
      <c r="R29" s="49"/>
      <c r="S29" s="49"/>
      <c r="T29" s="49"/>
      <c r="U29" s="49"/>
      <c r="V29" s="49"/>
      <c r="W29" s="49"/>
      <c r="X29" s="49"/>
      <c r="Y29" s="49"/>
    </row>
    <row r="30" spans="1:25" s="7" customFormat="1" ht="15" customHeight="1">
      <c r="A30" s="12" t="s">
        <v>534</v>
      </c>
      <c r="B30" s="8" t="s">
        <v>599</v>
      </c>
      <c r="C30" s="9" t="s">
        <v>674</v>
      </c>
      <c r="D30" s="9" t="s">
        <v>603</v>
      </c>
      <c r="E30" s="49"/>
      <c r="F30" s="49"/>
      <c r="G30" s="49"/>
      <c r="H30" s="49"/>
      <c r="I30" s="49"/>
      <c r="J30" s="49"/>
      <c r="K30" s="49"/>
      <c r="L30" s="49">
        <v>10.28</v>
      </c>
      <c r="M30" s="49"/>
      <c r="N30" s="49"/>
      <c r="O30" s="49"/>
      <c r="P30" s="49"/>
      <c r="Q30" s="49">
        <v>11.189499999999999</v>
      </c>
      <c r="R30" s="49"/>
      <c r="S30" s="49"/>
      <c r="T30" s="49"/>
      <c r="U30" s="49"/>
      <c r="V30" s="49"/>
      <c r="W30" s="49"/>
      <c r="X30" s="49"/>
      <c r="Y30" s="49"/>
    </row>
    <row r="31" spans="1:25" s="7" customFormat="1" ht="15" customHeight="1">
      <c r="A31" s="12" t="s">
        <v>535</v>
      </c>
      <c r="B31" s="8" t="s">
        <v>599</v>
      </c>
      <c r="C31" s="9" t="s">
        <v>675</v>
      </c>
      <c r="D31" s="9" t="s">
        <v>603</v>
      </c>
      <c r="E31" s="49"/>
      <c r="F31" s="49"/>
      <c r="G31" s="49"/>
      <c r="H31" s="49"/>
      <c r="I31" s="49"/>
      <c r="J31" s="49"/>
      <c r="K31" s="49"/>
      <c r="L31" s="49">
        <v>8.6300000000000008</v>
      </c>
      <c r="M31" s="49"/>
      <c r="N31" s="49"/>
      <c r="O31" s="49"/>
      <c r="P31" s="49"/>
      <c r="Q31" s="49">
        <v>5.0369999999999999</v>
      </c>
      <c r="R31" s="49"/>
      <c r="S31" s="49"/>
      <c r="T31" s="49"/>
      <c r="U31" s="49"/>
      <c r="V31" s="49"/>
      <c r="W31" s="49"/>
      <c r="X31" s="49"/>
      <c r="Y31" s="49"/>
    </row>
    <row r="32" spans="1:25" s="7" customFormat="1" ht="15" customHeight="1">
      <c r="A32" s="12" t="s">
        <v>536</v>
      </c>
      <c r="B32" s="8" t="s">
        <v>599</v>
      </c>
      <c r="C32" s="9" t="s">
        <v>676</v>
      </c>
      <c r="D32" s="9" t="s">
        <v>603</v>
      </c>
      <c r="E32" s="49"/>
      <c r="F32" s="49"/>
      <c r="G32" s="49"/>
      <c r="H32" s="49"/>
      <c r="I32" s="49"/>
      <c r="J32" s="49"/>
      <c r="K32" s="49"/>
      <c r="L32" s="49">
        <v>7.2</v>
      </c>
      <c r="M32" s="49"/>
      <c r="N32" s="49"/>
      <c r="O32" s="49"/>
      <c r="P32" s="49"/>
      <c r="Q32" s="49">
        <v>3.8984999999999999</v>
      </c>
      <c r="R32" s="49"/>
      <c r="S32" s="49"/>
      <c r="T32" s="49"/>
      <c r="U32" s="49"/>
      <c r="V32" s="49"/>
      <c r="W32" s="49"/>
      <c r="X32" s="49"/>
      <c r="Y32" s="49"/>
    </row>
    <row r="33" spans="1:25" s="7" customFormat="1" ht="15" customHeight="1">
      <c r="A33" s="12"/>
      <c r="B33" s="6"/>
      <c r="C33" s="9"/>
      <c r="D33" s="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spans="1:25" s="7" customFormat="1" ht="15" customHeight="1">
      <c r="A34" s="12" t="s">
        <v>537</v>
      </c>
      <c r="B34" s="8" t="s">
        <v>600</v>
      </c>
      <c r="C34" s="9" t="s">
        <v>610</v>
      </c>
      <c r="D34" s="9" t="s">
        <v>603</v>
      </c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spans="1:25" s="7" customFormat="1" ht="15" customHeight="1">
      <c r="A35" s="12" t="s">
        <v>538</v>
      </c>
      <c r="B35" s="8" t="s">
        <v>600</v>
      </c>
      <c r="C35" s="9" t="s">
        <v>611</v>
      </c>
      <c r="D35" s="9" t="s">
        <v>603</v>
      </c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spans="1:25" s="7" customFormat="1" ht="15" customHeight="1">
      <c r="A36" s="12" t="s">
        <v>539</v>
      </c>
      <c r="B36" s="8" t="s">
        <v>600</v>
      </c>
      <c r="C36" s="9" t="s">
        <v>612</v>
      </c>
      <c r="D36" s="9" t="s">
        <v>603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spans="1:25" s="7" customFormat="1" ht="15" customHeight="1">
      <c r="A37" s="12" t="s">
        <v>540</v>
      </c>
      <c r="B37" s="8" t="s">
        <v>600</v>
      </c>
      <c r="C37" s="9" t="s">
        <v>677</v>
      </c>
      <c r="D37" s="9" t="s">
        <v>604</v>
      </c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spans="1:25" s="7" customFormat="1" ht="15" customHeight="1">
      <c r="A38" s="12" t="s">
        <v>541</v>
      </c>
      <c r="B38" s="8" t="s">
        <v>600</v>
      </c>
      <c r="C38" s="9" t="s">
        <v>678</v>
      </c>
      <c r="D38" s="9" t="s">
        <v>604</v>
      </c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spans="1:25" s="7" customFormat="1" ht="15" customHeight="1">
      <c r="A39" s="12" t="s">
        <v>542</v>
      </c>
      <c r="B39" s="8" t="s">
        <v>600</v>
      </c>
      <c r="C39" s="9" t="s">
        <v>679</v>
      </c>
      <c r="D39" s="9" t="s">
        <v>604</v>
      </c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spans="1:25" s="7" customFormat="1" ht="15" customHeight="1">
      <c r="A40" s="12" t="s">
        <v>543</v>
      </c>
      <c r="B40" s="8" t="s">
        <v>600</v>
      </c>
      <c r="C40" s="9" t="s">
        <v>613</v>
      </c>
      <c r="D40" s="9" t="s">
        <v>603</v>
      </c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spans="1:25" s="7" customFormat="1" ht="15" customHeight="1">
      <c r="A41" s="12" t="s">
        <v>544</v>
      </c>
      <c r="B41" s="8" t="s">
        <v>600</v>
      </c>
      <c r="C41" s="9" t="s">
        <v>614</v>
      </c>
      <c r="D41" s="9" t="s">
        <v>603</v>
      </c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spans="1:25" s="7" customFormat="1" ht="15" customHeight="1">
      <c r="A42" s="12" t="s">
        <v>545</v>
      </c>
      <c r="B42" s="8" t="s">
        <v>600</v>
      </c>
      <c r="C42" s="9" t="s">
        <v>615</v>
      </c>
      <c r="D42" s="9" t="s">
        <v>603</v>
      </c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spans="1:25" s="7" customFormat="1" ht="15" customHeight="1">
      <c r="A43" s="12" t="s">
        <v>546</v>
      </c>
      <c r="B43" s="8" t="s">
        <v>600</v>
      </c>
      <c r="C43" s="9" t="s">
        <v>616</v>
      </c>
      <c r="D43" s="9" t="s">
        <v>604</v>
      </c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spans="1:25" s="7" customFormat="1" ht="15" customHeight="1">
      <c r="A44" s="12" t="s">
        <v>547</v>
      </c>
      <c r="B44" s="8" t="s">
        <v>600</v>
      </c>
      <c r="C44" s="9" t="s">
        <v>617</v>
      </c>
      <c r="D44" s="9" t="s">
        <v>604</v>
      </c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spans="1:25" s="7" customFormat="1" ht="15" customHeight="1">
      <c r="A45" s="12" t="s">
        <v>548</v>
      </c>
      <c r="B45" s="8" t="s">
        <v>600</v>
      </c>
      <c r="C45" s="9" t="s">
        <v>618</v>
      </c>
      <c r="D45" s="9" t="s">
        <v>604</v>
      </c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spans="1:25" s="7" customFormat="1" ht="15" customHeight="1">
      <c r="A46" s="12" t="s">
        <v>549</v>
      </c>
      <c r="B46" s="8" t="s">
        <v>600</v>
      </c>
      <c r="C46" s="9" t="s">
        <v>674</v>
      </c>
      <c r="D46" s="9" t="s">
        <v>603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spans="1:25" s="7" customFormat="1" ht="15" customHeight="1">
      <c r="A47" s="12" t="s">
        <v>550</v>
      </c>
      <c r="B47" s="8" t="s">
        <v>600</v>
      </c>
      <c r="C47" s="9" t="s">
        <v>675</v>
      </c>
      <c r="D47" s="9" t="s">
        <v>603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spans="1:25" s="7" customFormat="1" ht="15" customHeight="1">
      <c r="A48" s="12" t="s">
        <v>551</v>
      </c>
      <c r="B48" s="8" t="s">
        <v>600</v>
      </c>
      <c r="C48" s="9" t="s">
        <v>676</v>
      </c>
      <c r="D48" s="9" t="s">
        <v>603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spans="1:25" s="7" customFormat="1" ht="15" customHeight="1">
      <c r="A49" s="12"/>
      <c r="B49" s="6"/>
      <c r="C49" s="9"/>
      <c r="D49" s="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spans="1:25" s="7" customFormat="1" ht="15" customHeight="1">
      <c r="A50" s="12" t="s">
        <v>552</v>
      </c>
      <c r="B50" s="8" t="s">
        <v>601</v>
      </c>
      <c r="C50" s="9" t="s">
        <v>610</v>
      </c>
      <c r="D50" s="9" t="s">
        <v>603</v>
      </c>
      <c r="E50" s="49">
        <v>3.86</v>
      </c>
      <c r="F50" s="49">
        <v>6.81</v>
      </c>
      <c r="G50" s="49"/>
      <c r="H50" s="49"/>
      <c r="I50" s="49"/>
      <c r="J50" s="49">
        <v>3.74</v>
      </c>
      <c r="K50" s="49"/>
      <c r="L50" s="49">
        <v>7.18</v>
      </c>
      <c r="M50" s="49">
        <v>3.77</v>
      </c>
      <c r="N50" s="49"/>
      <c r="O50" s="49"/>
      <c r="P50" s="49"/>
      <c r="Q50" s="49">
        <v>13.247999999999999</v>
      </c>
      <c r="R50" s="49">
        <v>3.7</v>
      </c>
      <c r="S50" s="49">
        <v>3.89</v>
      </c>
      <c r="T50" s="49"/>
      <c r="U50" s="49"/>
      <c r="V50" s="49">
        <v>6.93</v>
      </c>
      <c r="W50" s="49"/>
      <c r="X50" s="49">
        <v>7.37</v>
      </c>
      <c r="Y50" s="49">
        <v>4.75</v>
      </c>
    </row>
    <row r="51" spans="1:25" s="7" customFormat="1" ht="15" customHeight="1">
      <c r="A51" s="12" t="s">
        <v>553</v>
      </c>
      <c r="B51" s="8" t="s">
        <v>601</v>
      </c>
      <c r="C51" s="9" t="s">
        <v>611</v>
      </c>
      <c r="D51" s="9" t="s">
        <v>603</v>
      </c>
      <c r="E51" s="49">
        <v>3.86</v>
      </c>
      <c r="F51" s="49">
        <v>6.81</v>
      </c>
      <c r="G51" s="49"/>
      <c r="H51" s="49"/>
      <c r="I51" s="49"/>
      <c r="J51" s="49">
        <v>3.72</v>
      </c>
      <c r="K51" s="49"/>
      <c r="L51" s="49">
        <v>7.18</v>
      </c>
      <c r="M51" s="49">
        <v>3.77</v>
      </c>
      <c r="N51" s="49"/>
      <c r="O51" s="49"/>
      <c r="P51" s="49"/>
      <c r="Q51" s="49">
        <v>8.234</v>
      </c>
      <c r="R51" s="49">
        <v>3.7</v>
      </c>
      <c r="S51" s="49">
        <v>3.85</v>
      </c>
      <c r="T51" s="49"/>
      <c r="U51" s="49"/>
      <c r="V51" s="49">
        <v>6.93</v>
      </c>
      <c r="W51" s="49"/>
      <c r="X51" s="49">
        <v>7.37</v>
      </c>
      <c r="Y51" s="49">
        <v>4.75</v>
      </c>
    </row>
    <row r="52" spans="1:25" s="7" customFormat="1" ht="15" customHeight="1">
      <c r="A52" s="12" t="s">
        <v>554</v>
      </c>
      <c r="B52" s="8" t="s">
        <v>601</v>
      </c>
      <c r="C52" s="9" t="s">
        <v>612</v>
      </c>
      <c r="D52" s="9" t="s">
        <v>603</v>
      </c>
      <c r="E52" s="49">
        <v>3.86</v>
      </c>
      <c r="F52" s="49">
        <v>6.81</v>
      </c>
      <c r="G52" s="49"/>
      <c r="H52" s="49"/>
      <c r="I52" s="49"/>
      <c r="J52" s="49">
        <v>3.68</v>
      </c>
      <c r="K52" s="49"/>
      <c r="L52" s="49">
        <v>7.18</v>
      </c>
      <c r="M52" s="49">
        <v>3.77</v>
      </c>
      <c r="N52" s="49"/>
      <c r="O52" s="49"/>
      <c r="P52" s="49"/>
      <c r="Q52" s="49">
        <v>7.4174999999999995</v>
      </c>
      <c r="R52" s="49">
        <v>3.7</v>
      </c>
      <c r="S52" s="49">
        <v>3.81</v>
      </c>
      <c r="T52" s="49"/>
      <c r="U52" s="49"/>
      <c r="V52" s="49">
        <v>6.93</v>
      </c>
      <c r="W52" s="49"/>
      <c r="X52" s="49">
        <v>7.37</v>
      </c>
      <c r="Y52" s="49">
        <v>4.75</v>
      </c>
    </row>
    <row r="53" spans="1:25" s="7" customFormat="1" ht="15" customHeight="1">
      <c r="A53" s="12" t="s">
        <v>555</v>
      </c>
      <c r="B53" s="8" t="s">
        <v>601</v>
      </c>
      <c r="C53" s="9" t="s">
        <v>677</v>
      </c>
      <c r="D53" s="9" t="s">
        <v>604</v>
      </c>
      <c r="E53" s="49">
        <v>0</v>
      </c>
      <c r="F53" s="49"/>
      <c r="G53" s="49"/>
      <c r="H53" s="49"/>
      <c r="I53" s="49"/>
      <c r="J53" s="49">
        <v>0</v>
      </c>
      <c r="K53" s="49"/>
      <c r="L53" s="49"/>
      <c r="M53" s="49"/>
      <c r="N53" s="49"/>
      <c r="O53" s="49"/>
      <c r="P53" s="49"/>
      <c r="Q53" s="49">
        <v>0.79349999999999987</v>
      </c>
      <c r="R53" s="49"/>
      <c r="S53" s="49"/>
      <c r="T53" s="49"/>
      <c r="U53" s="49"/>
      <c r="V53" s="49"/>
      <c r="W53" s="49"/>
      <c r="X53" s="49"/>
      <c r="Y53" s="49">
        <v>0</v>
      </c>
    </row>
    <row r="54" spans="1:25" s="7" customFormat="1" ht="15" customHeight="1">
      <c r="A54" s="12" t="s">
        <v>556</v>
      </c>
      <c r="B54" s="8" t="s">
        <v>601</v>
      </c>
      <c r="C54" s="9" t="s">
        <v>678</v>
      </c>
      <c r="D54" s="9" t="s">
        <v>604</v>
      </c>
      <c r="E54" s="49">
        <v>0</v>
      </c>
      <c r="F54" s="49"/>
      <c r="G54" s="49"/>
      <c r="H54" s="49"/>
      <c r="I54" s="49"/>
      <c r="J54" s="49">
        <v>0</v>
      </c>
      <c r="K54" s="49"/>
      <c r="L54" s="49"/>
      <c r="M54" s="49"/>
      <c r="N54" s="49"/>
      <c r="O54" s="49"/>
      <c r="P54" s="49"/>
      <c r="Q54" s="49">
        <v>0.79349999999999987</v>
      </c>
      <c r="R54" s="49"/>
      <c r="S54" s="49"/>
      <c r="T54" s="49"/>
      <c r="U54" s="49"/>
      <c r="V54" s="49"/>
      <c r="W54" s="49"/>
      <c r="X54" s="49"/>
      <c r="Y54" s="49">
        <v>0</v>
      </c>
    </row>
    <row r="55" spans="1:25" s="7" customFormat="1" ht="15" customHeight="1">
      <c r="A55" s="12" t="s">
        <v>557</v>
      </c>
      <c r="B55" s="8" t="s">
        <v>601</v>
      </c>
      <c r="C55" s="9" t="s">
        <v>679</v>
      </c>
      <c r="D55" s="9" t="s">
        <v>604</v>
      </c>
      <c r="E55" s="49">
        <v>0</v>
      </c>
      <c r="F55" s="49"/>
      <c r="G55" s="49"/>
      <c r="H55" s="49"/>
      <c r="I55" s="49"/>
      <c r="J55" s="49">
        <v>0</v>
      </c>
      <c r="K55" s="49"/>
      <c r="L55" s="49"/>
      <c r="M55" s="49"/>
      <c r="N55" s="49"/>
      <c r="O55" s="49"/>
      <c r="P55" s="49"/>
      <c r="Q55" s="49">
        <v>0.79349999999999987</v>
      </c>
      <c r="R55" s="49"/>
      <c r="S55" s="49"/>
      <c r="T55" s="49"/>
      <c r="U55" s="49"/>
      <c r="V55" s="49"/>
      <c r="W55" s="49"/>
      <c r="X55" s="49"/>
      <c r="Y55" s="49">
        <v>0</v>
      </c>
    </row>
    <row r="56" spans="1:25" s="7" customFormat="1" ht="15" customHeight="1">
      <c r="A56" s="12" t="s">
        <v>558</v>
      </c>
      <c r="B56" s="8" t="s">
        <v>601</v>
      </c>
      <c r="C56" s="9" t="s">
        <v>613</v>
      </c>
      <c r="D56" s="9" t="s">
        <v>603</v>
      </c>
      <c r="E56" s="49">
        <v>1.45</v>
      </c>
      <c r="F56" s="49">
        <v>1.7</v>
      </c>
      <c r="G56" s="49"/>
      <c r="H56" s="49"/>
      <c r="I56" s="49"/>
      <c r="J56" s="49">
        <v>1.85</v>
      </c>
      <c r="K56" s="49"/>
      <c r="L56" s="49">
        <v>1.79</v>
      </c>
      <c r="M56" s="49">
        <v>1.42</v>
      </c>
      <c r="N56" s="49"/>
      <c r="O56" s="49"/>
      <c r="P56" s="49"/>
      <c r="Q56" s="49">
        <v>1.4489999999999998</v>
      </c>
      <c r="R56" s="49">
        <v>1.83</v>
      </c>
      <c r="S56" s="49">
        <v>1.92</v>
      </c>
      <c r="T56" s="49"/>
      <c r="U56" s="49"/>
      <c r="V56" s="49">
        <v>1.73</v>
      </c>
      <c r="W56" s="49"/>
      <c r="X56" s="49">
        <v>1.85</v>
      </c>
      <c r="Y56" s="49">
        <v>0.79</v>
      </c>
    </row>
    <row r="57" spans="1:25" s="7" customFormat="1" ht="15" customHeight="1">
      <c r="A57" s="12" t="s">
        <v>559</v>
      </c>
      <c r="B57" s="8" t="s">
        <v>601</v>
      </c>
      <c r="C57" s="9" t="s">
        <v>614</v>
      </c>
      <c r="D57" s="9" t="s">
        <v>603</v>
      </c>
      <c r="E57" s="49">
        <v>1.45</v>
      </c>
      <c r="F57" s="49">
        <v>1.7</v>
      </c>
      <c r="G57" s="49"/>
      <c r="H57" s="49"/>
      <c r="I57" s="49"/>
      <c r="J57" s="49">
        <v>1.84</v>
      </c>
      <c r="K57" s="49"/>
      <c r="L57" s="49">
        <v>1.79</v>
      </c>
      <c r="M57" s="49">
        <v>1.42</v>
      </c>
      <c r="N57" s="49"/>
      <c r="O57" s="49"/>
      <c r="P57" s="49"/>
      <c r="Q57" s="49">
        <v>1.3569999999999998</v>
      </c>
      <c r="R57" s="49">
        <v>1.83</v>
      </c>
      <c r="S57" s="49">
        <v>1.9</v>
      </c>
      <c r="T57" s="49"/>
      <c r="U57" s="49"/>
      <c r="V57" s="49">
        <v>1.73</v>
      </c>
      <c r="W57" s="49"/>
      <c r="X57" s="49">
        <v>1.85</v>
      </c>
      <c r="Y57" s="49">
        <v>0.79</v>
      </c>
    </row>
    <row r="58" spans="1:25" s="7" customFormat="1" ht="15" customHeight="1">
      <c r="A58" s="12" t="s">
        <v>560</v>
      </c>
      <c r="B58" s="8" t="s">
        <v>601</v>
      </c>
      <c r="C58" s="9" t="s">
        <v>615</v>
      </c>
      <c r="D58" s="9" t="s">
        <v>603</v>
      </c>
      <c r="E58" s="49">
        <v>1.45</v>
      </c>
      <c r="F58" s="49">
        <v>1.7</v>
      </c>
      <c r="G58" s="49"/>
      <c r="H58" s="49"/>
      <c r="I58" s="49"/>
      <c r="J58" s="49">
        <v>1.82</v>
      </c>
      <c r="K58" s="49"/>
      <c r="L58" s="49">
        <v>1.79</v>
      </c>
      <c r="M58" s="49">
        <v>1.42</v>
      </c>
      <c r="N58" s="49"/>
      <c r="O58" s="49"/>
      <c r="P58" s="49"/>
      <c r="Q58" s="49">
        <v>1.3569999999999998</v>
      </c>
      <c r="R58" s="49">
        <v>1.83</v>
      </c>
      <c r="S58" s="49">
        <v>1.88</v>
      </c>
      <c r="T58" s="49"/>
      <c r="U58" s="49"/>
      <c r="V58" s="49">
        <v>1.73</v>
      </c>
      <c r="W58" s="49"/>
      <c r="X58" s="49">
        <v>1.85</v>
      </c>
      <c r="Y58" s="49">
        <v>0.79</v>
      </c>
    </row>
    <row r="59" spans="1:25" s="7" customFormat="1" ht="15" customHeight="1">
      <c r="A59" s="12" t="s">
        <v>561</v>
      </c>
      <c r="B59" s="8" t="s">
        <v>601</v>
      </c>
      <c r="C59" s="9" t="s">
        <v>616</v>
      </c>
      <c r="D59" s="9" t="s">
        <v>604</v>
      </c>
      <c r="E59" s="49">
        <v>0</v>
      </c>
      <c r="F59" s="49"/>
      <c r="G59" s="49"/>
      <c r="H59" s="49"/>
      <c r="I59" s="49"/>
      <c r="J59" s="49">
        <v>0</v>
      </c>
      <c r="K59" s="49"/>
      <c r="L59" s="49"/>
      <c r="M59" s="49">
        <v>0</v>
      </c>
      <c r="N59" s="49"/>
      <c r="O59" s="49"/>
      <c r="P59" s="49"/>
      <c r="Q59" s="49">
        <v>0.79349999999999987</v>
      </c>
      <c r="R59" s="49">
        <v>0</v>
      </c>
      <c r="S59" s="49"/>
      <c r="T59" s="49"/>
      <c r="U59" s="49"/>
      <c r="V59" s="49"/>
      <c r="W59" s="49"/>
      <c r="X59" s="49"/>
      <c r="Y59" s="49">
        <v>0</v>
      </c>
    </row>
    <row r="60" spans="1:25" s="7" customFormat="1" ht="15" customHeight="1">
      <c r="A60" s="12" t="s">
        <v>562</v>
      </c>
      <c r="B60" s="8" t="s">
        <v>601</v>
      </c>
      <c r="C60" s="9" t="s">
        <v>617</v>
      </c>
      <c r="D60" s="9" t="s">
        <v>604</v>
      </c>
      <c r="E60" s="49">
        <v>0</v>
      </c>
      <c r="F60" s="49"/>
      <c r="G60" s="49"/>
      <c r="H60" s="49"/>
      <c r="I60" s="49"/>
      <c r="J60" s="49">
        <v>0</v>
      </c>
      <c r="K60" s="49"/>
      <c r="L60" s="49"/>
      <c r="M60" s="49">
        <v>0</v>
      </c>
      <c r="N60" s="49"/>
      <c r="O60" s="49"/>
      <c r="P60" s="49"/>
      <c r="Q60" s="49">
        <v>0.79349999999999987</v>
      </c>
      <c r="R60" s="49">
        <v>0</v>
      </c>
      <c r="S60" s="49"/>
      <c r="T60" s="49"/>
      <c r="U60" s="49"/>
      <c r="V60" s="49"/>
      <c r="W60" s="49"/>
      <c r="X60" s="49"/>
      <c r="Y60" s="49">
        <v>0</v>
      </c>
    </row>
    <row r="61" spans="1:25" s="7" customFormat="1" ht="15" customHeight="1">
      <c r="A61" s="12" t="s">
        <v>563</v>
      </c>
      <c r="B61" s="8" t="s">
        <v>601</v>
      </c>
      <c r="C61" s="9" t="s">
        <v>618</v>
      </c>
      <c r="D61" s="9" t="s">
        <v>604</v>
      </c>
      <c r="E61" s="49">
        <v>0</v>
      </c>
      <c r="F61" s="49"/>
      <c r="G61" s="49"/>
      <c r="H61" s="49"/>
      <c r="I61" s="49"/>
      <c r="J61" s="49">
        <v>0</v>
      </c>
      <c r="K61" s="49"/>
      <c r="L61" s="49"/>
      <c r="M61" s="49">
        <v>0</v>
      </c>
      <c r="N61" s="49"/>
      <c r="O61" s="49"/>
      <c r="P61" s="49"/>
      <c r="Q61" s="49">
        <v>0.79349999999999987</v>
      </c>
      <c r="R61" s="49">
        <v>0</v>
      </c>
      <c r="S61" s="49"/>
      <c r="T61" s="49"/>
      <c r="U61" s="49"/>
      <c r="V61" s="49"/>
      <c r="W61" s="49"/>
      <c r="X61" s="49"/>
      <c r="Y61" s="49">
        <v>0</v>
      </c>
    </row>
    <row r="62" spans="1:25" s="7" customFormat="1" ht="15" customHeight="1">
      <c r="A62" s="12" t="s">
        <v>564</v>
      </c>
      <c r="B62" s="8" t="s">
        <v>601</v>
      </c>
      <c r="C62" s="9" t="s">
        <v>674</v>
      </c>
      <c r="D62" s="9" t="s">
        <v>603</v>
      </c>
      <c r="E62" s="49">
        <v>7.54</v>
      </c>
      <c r="F62" s="49">
        <v>0</v>
      </c>
      <c r="G62" s="49"/>
      <c r="H62" s="49"/>
      <c r="I62" s="49"/>
      <c r="J62" s="49">
        <v>14.63</v>
      </c>
      <c r="K62" s="49"/>
      <c r="L62" s="49">
        <v>5</v>
      </c>
      <c r="M62" s="49">
        <v>7.43</v>
      </c>
      <c r="N62" s="49"/>
      <c r="O62" s="49"/>
      <c r="P62" s="49"/>
      <c r="Q62" s="49">
        <v>10.246499999999999</v>
      </c>
      <c r="R62" s="49">
        <v>6.86</v>
      </c>
      <c r="S62" s="49">
        <v>7.13</v>
      </c>
      <c r="T62" s="49"/>
      <c r="U62" s="49"/>
      <c r="V62" s="49">
        <v>0</v>
      </c>
      <c r="W62" s="49"/>
      <c r="X62" s="49">
        <v>0</v>
      </c>
      <c r="Y62" s="49">
        <v>13.32</v>
      </c>
    </row>
    <row r="63" spans="1:25" s="7" customFormat="1" ht="15" customHeight="1">
      <c r="A63" s="12" t="s">
        <v>565</v>
      </c>
      <c r="B63" s="8" t="s">
        <v>601</v>
      </c>
      <c r="C63" s="9" t="s">
        <v>675</v>
      </c>
      <c r="D63" s="9" t="s">
        <v>603</v>
      </c>
      <c r="E63" s="49">
        <v>6.96</v>
      </c>
      <c r="F63" s="49">
        <v>0</v>
      </c>
      <c r="G63" s="49"/>
      <c r="H63" s="49"/>
      <c r="I63" s="49"/>
      <c r="J63" s="49">
        <v>14.63</v>
      </c>
      <c r="K63" s="49"/>
      <c r="L63" s="49">
        <v>5</v>
      </c>
      <c r="M63" s="49">
        <v>6.85</v>
      </c>
      <c r="N63" s="49"/>
      <c r="O63" s="49"/>
      <c r="P63" s="49"/>
      <c r="Q63" s="49">
        <v>4.3010000000000002</v>
      </c>
      <c r="R63" s="49">
        <v>6.29</v>
      </c>
      <c r="S63" s="49">
        <v>6.58</v>
      </c>
      <c r="T63" s="49"/>
      <c r="U63" s="49"/>
      <c r="V63" s="49">
        <v>0</v>
      </c>
      <c r="W63" s="49"/>
      <c r="X63" s="49">
        <v>0</v>
      </c>
      <c r="Y63" s="49">
        <v>9.75</v>
      </c>
    </row>
    <row r="64" spans="1:25" s="7" customFormat="1" ht="15" customHeight="1">
      <c r="A64" s="12" t="s">
        <v>566</v>
      </c>
      <c r="B64" s="8" t="s">
        <v>601</v>
      </c>
      <c r="C64" s="9" t="s">
        <v>676</v>
      </c>
      <c r="D64" s="9" t="s">
        <v>603</v>
      </c>
      <c r="E64" s="49">
        <v>6.38</v>
      </c>
      <c r="F64" s="49">
        <v>0</v>
      </c>
      <c r="G64" s="49"/>
      <c r="H64" s="49"/>
      <c r="I64" s="49"/>
      <c r="J64" s="49">
        <v>14.63</v>
      </c>
      <c r="K64" s="49"/>
      <c r="L64" s="49">
        <v>4</v>
      </c>
      <c r="M64" s="49">
        <v>6.28</v>
      </c>
      <c r="N64" s="49"/>
      <c r="O64" s="49"/>
      <c r="P64" s="49"/>
      <c r="Q64" s="49">
        <v>3.5534999999999997</v>
      </c>
      <c r="R64" s="49">
        <v>5.72</v>
      </c>
      <c r="S64" s="49">
        <v>6.03</v>
      </c>
      <c r="T64" s="49"/>
      <c r="U64" s="49"/>
      <c r="V64" s="49">
        <v>0</v>
      </c>
      <c r="W64" s="49"/>
      <c r="X64" s="49">
        <v>0</v>
      </c>
      <c r="Y64" s="49">
        <v>7.73</v>
      </c>
    </row>
    <row r="65" spans="1:25" s="7" customFormat="1" ht="15" customHeight="1">
      <c r="A65" s="12"/>
      <c r="B65" s="8"/>
      <c r="C65" s="9"/>
      <c r="D65" s="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s="7" customFormat="1" ht="15" customHeight="1">
      <c r="A66" s="12" t="s">
        <v>567</v>
      </c>
      <c r="B66" s="8" t="s">
        <v>598</v>
      </c>
      <c r="C66" s="9" t="s">
        <v>609</v>
      </c>
      <c r="D66" s="9" t="s">
        <v>605</v>
      </c>
      <c r="E66" s="49">
        <v>3.86</v>
      </c>
      <c r="F66" s="49"/>
      <c r="G66" s="49"/>
      <c r="H66" s="49"/>
      <c r="I66" s="49"/>
      <c r="J66" s="49">
        <v>0</v>
      </c>
      <c r="K66" s="49"/>
      <c r="L66" s="49"/>
      <c r="M66" s="49">
        <v>3.77</v>
      </c>
      <c r="N66" s="49"/>
      <c r="O66" s="49"/>
      <c r="P66" s="49"/>
      <c r="Q66" s="49">
        <v>25.840499999999995</v>
      </c>
      <c r="R66" s="49">
        <v>3.7</v>
      </c>
      <c r="S66" s="49">
        <v>3.89</v>
      </c>
      <c r="T66" s="49"/>
      <c r="U66" s="49"/>
      <c r="V66" s="49"/>
      <c r="W66" s="49"/>
      <c r="X66" s="49"/>
      <c r="Y66" s="49"/>
    </row>
    <row r="67" spans="1:25" s="7" customFormat="1" ht="15" customHeight="1">
      <c r="A67" s="12" t="s">
        <v>568</v>
      </c>
      <c r="B67" s="8" t="s">
        <v>598</v>
      </c>
      <c r="C67" s="9" t="s">
        <v>619</v>
      </c>
      <c r="D67" s="9" t="s">
        <v>605</v>
      </c>
      <c r="E67" s="49">
        <v>3.86</v>
      </c>
      <c r="F67" s="49"/>
      <c r="G67" s="49"/>
      <c r="H67" s="49"/>
      <c r="I67" s="49"/>
      <c r="J67" s="49">
        <v>0</v>
      </c>
      <c r="K67" s="49"/>
      <c r="L67" s="49"/>
      <c r="M67" s="49">
        <v>3.77</v>
      </c>
      <c r="N67" s="49"/>
      <c r="O67" s="49"/>
      <c r="P67" s="49"/>
      <c r="Q67" s="49">
        <v>23.724499999999995</v>
      </c>
      <c r="R67" s="49">
        <v>3.7</v>
      </c>
      <c r="S67" s="49">
        <v>3.85</v>
      </c>
      <c r="T67" s="49"/>
      <c r="U67" s="49"/>
      <c r="V67" s="49"/>
      <c r="W67" s="49"/>
      <c r="X67" s="49"/>
      <c r="Y67" s="49"/>
    </row>
    <row r="68" spans="1:25" s="7" customFormat="1" ht="15" customHeight="1">
      <c r="A68" s="12" t="s">
        <v>569</v>
      </c>
      <c r="B68" s="8" t="s">
        <v>598</v>
      </c>
      <c r="C68" s="9" t="s">
        <v>620</v>
      </c>
      <c r="D68" s="9" t="s">
        <v>605</v>
      </c>
      <c r="E68" s="49">
        <v>3.86</v>
      </c>
      <c r="F68" s="49"/>
      <c r="G68" s="49"/>
      <c r="H68" s="49"/>
      <c r="I68" s="49"/>
      <c r="J68" s="49">
        <v>0</v>
      </c>
      <c r="K68" s="49"/>
      <c r="L68" s="49"/>
      <c r="M68" s="49">
        <v>3.77</v>
      </c>
      <c r="N68" s="49"/>
      <c r="O68" s="49"/>
      <c r="P68" s="49"/>
      <c r="Q68" s="49">
        <v>22.585999999999999</v>
      </c>
      <c r="R68" s="49">
        <v>3.7</v>
      </c>
      <c r="S68" s="49">
        <v>3.81</v>
      </c>
      <c r="T68" s="49"/>
      <c r="U68" s="49"/>
      <c r="V68" s="49"/>
      <c r="W68" s="49"/>
      <c r="X68" s="49"/>
      <c r="Y68" s="49"/>
    </row>
    <row r="69" spans="1:25" s="7" customFormat="1" ht="15" customHeight="1">
      <c r="A69" s="12" t="s">
        <v>570</v>
      </c>
      <c r="B69" s="8" t="s">
        <v>598</v>
      </c>
      <c r="C69" s="9" t="s">
        <v>656</v>
      </c>
      <c r="D69" s="9" t="s">
        <v>604</v>
      </c>
      <c r="E69" s="49"/>
      <c r="F69" s="49"/>
      <c r="G69" s="49"/>
      <c r="H69" s="49"/>
      <c r="I69" s="49"/>
      <c r="J69" s="49">
        <v>0</v>
      </c>
      <c r="K69" s="49"/>
      <c r="L69" s="49"/>
      <c r="M69" s="49"/>
      <c r="N69" s="49"/>
      <c r="O69" s="49"/>
      <c r="P69" s="49"/>
      <c r="Q69" s="49">
        <v>0.79349999999999987</v>
      </c>
      <c r="R69" s="49"/>
      <c r="S69" s="49"/>
      <c r="T69" s="49"/>
      <c r="U69" s="49"/>
      <c r="V69" s="49"/>
      <c r="W69" s="49"/>
      <c r="X69" s="49"/>
      <c r="Y69" s="49"/>
    </row>
    <row r="70" spans="1:25" s="7" customFormat="1" ht="15" customHeight="1">
      <c r="A70" s="12" t="s">
        <v>571</v>
      </c>
      <c r="B70" s="8" t="s">
        <v>598</v>
      </c>
      <c r="C70" s="9" t="s">
        <v>657</v>
      </c>
      <c r="D70" s="9" t="s">
        <v>604</v>
      </c>
      <c r="E70" s="49"/>
      <c r="F70" s="49"/>
      <c r="G70" s="49"/>
      <c r="H70" s="49"/>
      <c r="I70" s="49"/>
      <c r="J70" s="49">
        <v>0</v>
      </c>
      <c r="K70" s="49"/>
      <c r="L70" s="49"/>
      <c r="M70" s="49"/>
      <c r="N70" s="49"/>
      <c r="O70" s="49"/>
      <c r="P70" s="49"/>
      <c r="Q70" s="49">
        <v>0.79349999999999987</v>
      </c>
      <c r="R70" s="49"/>
      <c r="S70" s="49"/>
      <c r="T70" s="49"/>
      <c r="U70" s="49"/>
      <c r="V70" s="49"/>
      <c r="W70" s="49"/>
      <c r="X70" s="49"/>
      <c r="Y70" s="49"/>
    </row>
    <row r="71" spans="1:25" s="7" customFormat="1" ht="15" customHeight="1">
      <c r="A71" s="12" t="s">
        <v>572</v>
      </c>
      <c r="B71" s="8" t="s">
        <v>598</v>
      </c>
      <c r="C71" s="9" t="s">
        <v>658</v>
      </c>
      <c r="D71" s="9" t="s">
        <v>604</v>
      </c>
      <c r="E71" s="49"/>
      <c r="F71" s="49"/>
      <c r="G71" s="49"/>
      <c r="H71" s="49"/>
      <c r="I71" s="49"/>
      <c r="J71" s="49">
        <v>0</v>
      </c>
      <c r="K71" s="49"/>
      <c r="L71" s="49"/>
      <c r="M71" s="49"/>
      <c r="N71" s="49"/>
      <c r="O71" s="49"/>
      <c r="P71" s="49"/>
      <c r="Q71" s="49">
        <v>0.79349999999999987</v>
      </c>
      <c r="R71" s="49"/>
      <c r="S71" s="49"/>
      <c r="T71" s="49"/>
      <c r="U71" s="49"/>
      <c r="V71" s="49"/>
      <c r="W71" s="49"/>
      <c r="X71" s="49"/>
      <c r="Y71" s="49"/>
    </row>
    <row r="72" spans="1:25" s="7" customFormat="1" ht="15" customHeight="1">
      <c r="A72" s="12"/>
      <c r="B72" s="8"/>
      <c r="C72" s="9"/>
      <c r="D72" s="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s="7" customFormat="1" ht="15" customHeight="1">
      <c r="A73" s="12" t="s">
        <v>573</v>
      </c>
      <c r="B73" s="8" t="s">
        <v>602</v>
      </c>
      <c r="C73" s="9" t="s">
        <v>609</v>
      </c>
      <c r="D73" s="9" t="s">
        <v>605</v>
      </c>
      <c r="E73" s="49"/>
      <c r="F73" s="49"/>
      <c r="G73" s="49"/>
      <c r="H73" s="49"/>
      <c r="I73" s="49"/>
      <c r="J73" s="49"/>
      <c r="K73" s="49"/>
      <c r="L73" s="49">
        <v>0</v>
      </c>
      <c r="M73" s="49"/>
      <c r="N73" s="49"/>
      <c r="O73" s="49"/>
      <c r="P73" s="49"/>
      <c r="Q73" s="49">
        <v>28.335999999999999</v>
      </c>
      <c r="R73" s="49"/>
      <c r="S73" s="49"/>
      <c r="T73" s="49"/>
      <c r="U73" s="49"/>
      <c r="V73" s="49"/>
      <c r="W73" s="49"/>
      <c r="X73" s="49"/>
      <c r="Y73" s="49"/>
    </row>
    <row r="74" spans="1:25" s="7" customFormat="1" ht="15" customHeight="1">
      <c r="A74" s="12" t="s">
        <v>574</v>
      </c>
      <c r="B74" s="8" t="s">
        <v>602</v>
      </c>
      <c r="C74" s="9" t="s">
        <v>619</v>
      </c>
      <c r="D74" s="9" t="s">
        <v>605</v>
      </c>
      <c r="E74" s="49"/>
      <c r="F74" s="49"/>
      <c r="G74" s="49"/>
      <c r="H74" s="49"/>
      <c r="I74" s="49"/>
      <c r="J74" s="49"/>
      <c r="K74" s="49"/>
      <c r="L74" s="49">
        <v>0</v>
      </c>
      <c r="M74" s="49"/>
      <c r="N74" s="49"/>
      <c r="O74" s="49"/>
      <c r="P74" s="49"/>
      <c r="Q74" s="49">
        <v>26.242999999999999</v>
      </c>
      <c r="R74" s="49"/>
      <c r="S74" s="49"/>
      <c r="T74" s="49"/>
      <c r="U74" s="49"/>
      <c r="V74" s="49"/>
      <c r="W74" s="49"/>
      <c r="X74" s="49"/>
      <c r="Y74" s="49"/>
    </row>
    <row r="75" spans="1:25" s="7" customFormat="1" ht="15" customHeight="1">
      <c r="A75" s="12" t="s">
        <v>575</v>
      </c>
      <c r="B75" s="8" t="s">
        <v>602</v>
      </c>
      <c r="C75" s="9" t="s">
        <v>620</v>
      </c>
      <c r="D75" s="9" t="s">
        <v>605</v>
      </c>
      <c r="E75" s="49"/>
      <c r="F75" s="49"/>
      <c r="G75" s="49"/>
      <c r="H75" s="49"/>
      <c r="I75" s="49"/>
      <c r="J75" s="49"/>
      <c r="K75" s="49"/>
      <c r="L75" s="49">
        <v>0</v>
      </c>
      <c r="M75" s="49"/>
      <c r="N75" s="49"/>
      <c r="O75" s="49"/>
      <c r="P75" s="49"/>
      <c r="Q75" s="49">
        <v>24.851499999999998</v>
      </c>
      <c r="R75" s="49"/>
      <c r="S75" s="49"/>
      <c r="T75" s="49"/>
      <c r="U75" s="49"/>
      <c r="V75" s="49"/>
      <c r="W75" s="49"/>
      <c r="X75" s="49"/>
      <c r="Y75" s="49"/>
    </row>
    <row r="76" spans="1:25" s="7" customFormat="1" ht="15" customHeight="1">
      <c r="A76" s="12" t="s">
        <v>576</v>
      </c>
      <c r="B76" s="8" t="s">
        <v>602</v>
      </c>
      <c r="C76" s="9" t="s">
        <v>656</v>
      </c>
      <c r="D76" s="9" t="s">
        <v>604</v>
      </c>
      <c r="E76" s="49"/>
      <c r="F76" s="49"/>
      <c r="G76" s="49"/>
      <c r="H76" s="49"/>
      <c r="I76" s="49"/>
      <c r="J76" s="49"/>
      <c r="K76" s="49"/>
      <c r="L76" s="49">
        <v>2.4700000000000002</v>
      </c>
      <c r="M76" s="49"/>
      <c r="N76" s="49"/>
      <c r="O76" s="49"/>
      <c r="P76" s="49"/>
      <c r="Q76" s="49">
        <v>0.97409888945079404</v>
      </c>
      <c r="R76" s="49"/>
      <c r="S76" s="49"/>
      <c r="T76" s="49"/>
      <c r="U76" s="49"/>
      <c r="V76" s="49"/>
      <c r="W76" s="49"/>
      <c r="X76" s="49"/>
      <c r="Y76" s="49"/>
    </row>
    <row r="77" spans="1:25" s="7" customFormat="1" ht="15" customHeight="1">
      <c r="A77" s="12" t="s">
        <v>577</v>
      </c>
      <c r="B77" s="8" t="s">
        <v>602</v>
      </c>
      <c r="C77" s="9" t="s">
        <v>657</v>
      </c>
      <c r="D77" s="9" t="s">
        <v>604</v>
      </c>
      <c r="E77" s="49"/>
      <c r="F77" s="49"/>
      <c r="G77" s="49"/>
      <c r="H77" s="49"/>
      <c r="I77" s="49"/>
      <c r="J77" s="49"/>
      <c r="K77" s="49"/>
      <c r="L77" s="49">
        <v>2.4700000000000002</v>
      </c>
      <c r="M77" s="49"/>
      <c r="N77" s="49"/>
      <c r="O77" s="49"/>
      <c r="P77" s="49"/>
      <c r="Q77" s="49">
        <v>0.97409888945079404</v>
      </c>
      <c r="R77" s="49"/>
      <c r="S77" s="49"/>
      <c r="T77" s="49"/>
      <c r="U77" s="49"/>
      <c r="V77" s="49"/>
      <c r="W77" s="49"/>
      <c r="X77" s="49"/>
      <c r="Y77" s="49"/>
    </row>
    <row r="78" spans="1:25" s="7" customFormat="1" ht="15" customHeight="1">
      <c r="A78" s="12" t="s">
        <v>578</v>
      </c>
      <c r="B78" s="8" t="s">
        <v>602</v>
      </c>
      <c r="C78" s="9" t="s">
        <v>658</v>
      </c>
      <c r="D78" s="9" t="s">
        <v>604</v>
      </c>
      <c r="E78" s="49"/>
      <c r="F78" s="49"/>
      <c r="G78" s="49"/>
      <c r="H78" s="49"/>
      <c r="I78" s="49"/>
      <c r="J78" s="49"/>
      <c r="K78" s="49"/>
      <c r="L78" s="49">
        <v>2.4700000000000002</v>
      </c>
      <c r="M78" s="49"/>
      <c r="N78" s="49"/>
      <c r="O78" s="49"/>
      <c r="P78" s="49"/>
      <c r="Q78" s="49">
        <v>0.97409888945079404</v>
      </c>
      <c r="R78" s="49"/>
      <c r="S78" s="49"/>
      <c r="T78" s="49"/>
      <c r="U78" s="49"/>
      <c r="V78" s="49"/>
      <c r="W78" s="49"/>
      <c r="X78" s="49"/>
      <c r="Y78" s="49"/>
    </row>
    <row r="79" spans="1:25" s="7" customFormat="1" ht="15" customHeight="1">
      <c r="A79" s="12"/>
      <c r="B79" s="8"/>
      <c r="C79" s="9"/>
      <c r="D79" s="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spans="1:25" s="7" customFormat="1" ht="15" customHeight="1">
      <c r="A80" s="12" t="s">
        <v>579</v>
      </c>
      <c r="B80" s="8" t="s">
        <v>600</v>
      </c>
      <c r="C80" s="9" t="s">
        <v>609</v>
      </c>
      <c r="D80" s="9" t="s">
        <v>605</v>
      </c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s="7" customFormat="1" ht="15" customHeight="1">
      <c r="A81" s="12" t="s">
        <v>580</v>
      </c>
      <c r="B81" s="8" t="s">
        <v>600</v>
      </c>
      <c r="C81" s="9" t="s">
        <v>619</v>
      </c>
      <c r="D81" s="9" t="s">
        <v>605</v>
      </c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s="7" customFormat="1" ht="15" customHeight="1">
      <c r="A82" s="12" t="s">
        <v>581</v>
      </c>
      <c r="B82" s="8" t="s">
        <v>600</v>
      </c>
      <c r="C82" s="9" t="s">
        <v>620</v>
      </c>
      <c r="D82" s="9" t="s">
        <v>605</v>
      </c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s="7" customFormat="1" ht="15" customHeight="1">
      <c r="A83" s="12" t="s">
        <v>582</v>
      </c>
      <c r="B83" s="8" t="s">
        <v>600</v>
      </c>
      <c r="C83" s="9" t="s">
        <v>656</v>
      </c>
      <c r="D83" s="9" t="s">
        <v>604</v>
      </c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s="7" customFormat="1" ht="15" customHeight="1">
      <c r="A84" s="12" t="s">
        <v>583</v>
      </c>
      <c r="B84" s="8" t="s">
        <v>600</v>
      </c>
      <c r="C84" s="9" t="s">
        <v>657</v>
      </c>
      <c r="D84" s="9" t="s">
        <v>604</v>
      </c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</row>
    <row r="85" spans="1:25" s="7" customFormat="1" ht="15" customHeight="1">
      <c r="A85" s="12" t="s">
        <v>584</v>
      </c>
      <c r="B85" s="8" t="s">
        <v>600</v>
      </c>
      <c r="C85" s="9" t="s">
        <v>658</v>
      </c>
      <c r="D85" s="9" t="s">
        <v>604</v>
      </c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s="7" customFormat="1" ht="15" customHeight="1">
      <c r="A86" s="12"/>
      <c r="B86" s="8"/>
      <c r="C86" s="9"/>
      <c r="D86" s="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spans="1:25" s="7" customFormat="1" ht="15" customHeight="1">
      <c r="A87" s="12" t="s">
        <v>585</v>
      </c>
      <c r="B87" s="8" t="s">
        <v>601</v>
      </c>
      <c r="C87" s="9" t="s">
        <v>609</v>
      </c>
      <c r="D87" s="9" t="s">
        <v>605</v>
      </c>
      <c r="E87" s="49">
        <v>3.86</v>
      </c>
      <c r="F87" s="49">
        <v>0</v>
      </c>
      <c r="G87" s="49"/>
      <c r="H87" s="49"/>
      <c r="I87" s="49"/>
      <c r="J87" s="49">
        <v>0</v>
      </c>
      <c r="K87" s="49"/>
      <c r="L87" s="49">
        <v>0</v>
      </c>
      <c r="M87" s="49">
        <v>3.77</v>
      </c>
      <c r="N87" s="49"/>
      <c r="O87" s="49"/>
      <c r="P87" s="49"/>
      <c r="Q87" s="49">
        <v>25.391999999999996</v>
      </c>
      <c r="R87" s="49">
        <v>3.7</v>
      </c>
      <c r="S87" s="49">
        <v>3.89</v>
      </c>
      <c r="T87" s="49"/>
      <c r="U87" s="49"/>
      <c r="V87" s="49">
        <v>0</v>
      </c>
      <c r="W87" s="49"/>
      <c r="X87" s="49">
        <v>0</v>
      </c>
      <c r="Y87" s="49">
        <v>0</v>
      </c>
    </row>
    <row r="88" spans="1:25" s="7" customFormat="1" ht="15" customHeight="1">
      <c r="A88" s="12" t="s">
        <v>586</v>
      </c>
      <c r="B88" s="8" t="s">
        <v>601</v>
      </c>
      <c r="C88" s="9" t="s">
        <v>619</v>
      </c>
      <c r="D88" s="9" t="s">
        <v>605</v>
      </c>
      <c r="E88" s="49">
        <v>3.86</v>
      </c>
      <c r="F88" s="49">
        <v>0</v>
      </c>
      <c r="G88" s="49"/>
      <c r="H88" s="49"/>
      <c r="I88" s="49"/>
      <c r="J88" s="49">
        <v>0</v>
      </c>
      <c r="K88" s="49"/>
      <c r="L88" s="49">
        <v>0</v>
      </c>
      <c r="M88" s="49">
        <v>3.77</v>
      </c>
      <c r="N88" s="49"/>
      <c r="O88" s="49"/>
      <c r="P88" s="49"/>
      <c r="Q88" s="49">
        <v>23.298999999999999</v>
      </c>
      <c r="R88" s="49">
        <v>3.7</v>
      </c>
      <c r="S88" s="49">
        <v>3.85</v>
      </c>
      <c r="T88" s="49"/>
      <c r="U88" s="49"/>
      <c r="V88" s="49">
        <v>0</v>
      </c>
      <c r="W88" s="49"/>
      <c r="X88" s="49">
        <v>0</v>
      </c>
      <c r="Y88" s="49">
        <v>0</v>
      </c>
    </row>
    <row r="89" spans="1:25" s="7" customFormat="1" ht="15" customHeight="1">
      <c r="A89" s="12" t="s">
        <v>587</v>
      </c>
      <c r="B89" s="8" t="s">
        <v>601</v>
      </c>
      <c r="C89" s="9" t="s">
        <v>620</v>
      </c>
      <c r="D89" s="9" t="s">
        <v>605</v>
      </c>
      <c r="E89" s="49">
        <v>3.86</v>
      </c>
      <c r="F89" s="49">
        <v>0</v>
      </c>
      <c r="G89" s="49"/>
      <c r="H89" s="49"/>
      <c r="I89" s="49"/>
      <c r="J89" s="49">
        <v>0</v>
      </c>
      <c r="K89" s="49"/>
      <c r="L89" s="49">
        <v>0</v>
      </c>
      <c r="M89" s="49">
        <v>3.77</v>
      </c>
      <c r="N89" s="49"/>
      <c r="O89" s="49"/>
      <c r="P89" s="49"/>
      <c r="Q89" s="49">
        <v>22.183499999999999</v>
      </c>
      <c r="R89" s="49">
        <v>3.7</v>
      </c>
      <c r="S89" s="49">
        <v>3.81</v>
      </c>
      <c r="T89" s="49"/>
      <c r="U89" s="49"/>
      <c r="V89" s="49">
        <v>0</v>
      </c>
      <c r="W89" s="49"/>
      <c r="X89" s="49">
        <v>0</v>
      </c>
      <c r="Y89" s="49">
        <v>0</v>
      </c>
    </row>
    <row r="90" spans="1:25" s="7" customFormat="1" ht="15" customHeight="1">
      <c r="A90" s="12" t="s">
        <v>351</v>
      </c>
      <c r="B90" s="8" t="s">
        <v>601</v>
      </c>
      <c r="C90" s="9" t="s">
        <v>656</v>
      </c>
      <c r="D90" s="9" t="s">
        <v>604</v>
      </c>
      <c r="E90" s="49"/>
      <c r="F90" s="49">
        <v>1.87</v>
      </c>
      <c r="G90" s="49"/>
      <c r="H90" s="49"/>
      <c r="I90" s="49"/>
      <c r="J90" s="49">
        <v>0</v>
      </c>
      <c r="K90" s="49"/>
      <c r="L90" s="49">
        <v>1.77</v>
      </c>
      <c r="M90" s="49"/>
      <c r="N90" s="49"/>
      <c r="O90" s="49"/>
      <c r="P90" s="49"/>
      <c r="Q90" s="49">
        <v>0.79349999999999987</v>
      </c>
      <c r="R90" s="49"/>
      <c r="S90" s="49"/>
      <c r="T90" s="49"/>
      <c r="U90" s="49"/>
      <c r="V90" s="49">
        <v>1.91</v>
      </c>
      <c r="W90" s="49"/>
      <c r="X90" s="49">
        <v>2.04</v>
      </c>
      <c r="Y90" s="49">
        <v>0</v>
      </c>
    </row>
    <row r="91" spans="1:25" s="7" customFormat="1" ht="15" customHeight="1">
      <c r="A91" s="12" t="s">
        <v>352</v>
      </c>
      <c r="B91" s="8" t="s">
        <v>601</v>
      </c>
      <c r="C91" s="9" t="s">
        <v>657</v>
      </c>
      <c r="D91" s="9" t="s">
        <v>604</v>
      </c>
      <c r="E91" s="49"/>
      <c r="F91" s="49">
        <v>1.87</v>
      </c>
      <c r="G91" s="49"/>
      <c r="H91" s="49"/>
      <c r="I91" s="49"/>
      <c r="J91" s="49">
        <v>0</v>
      </c>
      <c r="K91" s="49"/>
      <c r="L91" s="49">
        <v>1.77</v>
      </c>
      <c r="M91" s="49"/>
      <c r="N91" s="49"/>
      <c r="O91" s="49"/>
      <c r="P91" s="49"/>
      <c r="Q91" s="49">
        <v>0.79349999999999987</v>
      </c>
      <c r="R91" s="49"/>
      <c r="S91" s="49"/>
      <c r="T91" s="49"/>
      <c r="U91" s="49"/>
      <c r="V91" s="49">
        <v>1.91</v>
      </c>
      <c r="W91" s="49"/>
      <c r="X91" s="49">
        <v>2.04</v>
      </c>
      <c r="Y91" s="49">
        <v>0</v>
      </c>
    </row>
    <row r="92" spans="1:25" s="7" customFormat="1" ht="15" customHeight="1">
      <c r="A92" s="12" t="s">
        <v>353</v>
      </c>
      <c r="B92" s="8" t="s">
        <v>601</v>
      </c>
      <c r="C92" s="9" t="s">
        <v>658</v>
      </c>
      <c r="D92" s="9" t="s">
        <v>604</v>
      </c>
      <c r="E92" s="49"/>
      <c r="F92" s="49">
        <v>1.87</v>
      </c>
      <c r="G92" s="49"/>
      <c r="H92" s="49"/>
      <c r="I92" s="49"/>
      <c r="J92" s="49">
        <v>0</v>
      </c>
      <c r="K92" s="49"/>
      <c r="L92" s="49">
        <v>1.77</v>
      </c>
      <c r="M92" s="49"/>
      <c r="N92" s="49"/>
      <c r="O92" s="49"/>
      <c r="P92" s="49"/>
      <c r="Q92" s="49">
        <v>0.79349999999999987</v>
      </c>
      <c r="R92" s="49"/>
      <c r="S92" s="49"/>
      <c r="T92" s="49"/>
      <c r="U92" s="49"/>
      <c r="V92" s="49">
        <v>1.91</v>
      </c>
      <c r="W92" s="49"/>
      <c r="X92" s="49">
        <v>2.04</v>
      </c>
      <c r="Y92" s="49">
        <v>0</v>
      </c>
    </row>
    <row r="93" spans="1:25" s="7" customFormat="1" ht="15" customHeight="1">
      <c r="A93" s="12"/>
      <c r="B93" s="8"/>
      <c r="C93" s="9"/>
      <c r="D93" s="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spans="1:25" s="7" customFormat="1" ht="15" customHeight="1">
      <c r="A94" s="12" t="s">
        <v>354</v>
      </c>
      <c r="B94" s="8" t="s">
        <v>598</v>
      </c>
      <c r="C94" s="9" t="s">
        <v>608</v>
      </c>
      <c r="D94" s="9" t="s">
        <v>605</v>
      </c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>
        <v>2.5185</v>
      </c>
      <c r="R94" s="49"/>
      <c r="S94" s="49"/>
      <c r="T94" s="49"/>
      <c r="U94" s="49"/>
      <c r="V94" s="49"/>
      <c r="W94" s="49"/>
      <c r="X94" s="49"/>
      <c r="Y94" s="49"/>
    </row>
    <row r="95" spans="1:25" s="7" customFormat="1" ht="15" customHeight="1">
      <c r="A95" s="12" t="s">
        <v>355</v>
      </c>
      <c r="B95" s="8" t="s">
        <v>598</v>
      </c>
      <c r="C95" s="9" t="s">
        <v>621</v>
      </c>
      <c r="D95" s="9" t="s">
        <v>605</v>
      </c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>
        <v>1.196</v>
      </c>
      <c r="R95" s="49"/>
      <c r="S95" s="49"/>
      <c r="T95" s="49"/>
      <c r="U95" s="49"/>
      <c r="V95" s="49"/>
      <c r="W95" s="49"/>
      <c r="X95" s="49"/>
      <c r="Y95" s="49"/>
    </row>
    <row r="96" spans="1:25" s="7" customFormat="1" ht="15" customHeight="1">
      <c r="A96" s="12" t="s">
        <v>356</v>
      </c>
      <c r="B96" s="8" t="s">
        <v>598</v>
      </c>
      <c r="C96" s="9" t="s">
        <v>622</v>
      </c>
      <c r="D96" s="9" t="s">
        <v>605</v>
      </c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>
        <v>1.1729999999999998</v>
      </c>
      <c r="R96" s="49"/>
      <c r="S96" s="49"/>
      <c r="T96" s="49"/>
      <c r="U96" s="49"/>
      <c r="V96" s="49"/>
      <c r="W96" s="49"/>
      <c r="X96" s="49"/>
      <c r="Y96" s="49"/>
    </row>
    <row r="97" spans="1:25" s="7" customFormat="1" ht="15" customHeight="1">
      <c r="A97" s="12" t="s">
        <v>357</v>
      </c>
      <c r="B97" s="8" t="s">
        <v>598</v>
      </c>
      <c r="C97" s="9" t="s">
        <v>659</v>
      </c>
      <c r="D97" s="9" t="s">
        <v>604</v>
      </c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>
        <v>0.79349999999999987</v>
      </c>
      <c r="R97" s="49"/>
      <c r="S97" s="49"/>
      <c r="T97" s="49"/>
      <c r="U97" s="49"/>
      <c r="V97" s="49"/>
      <c r="W97" s="49"/>
      <c r="X97" s="49"/>
      <c r="Y97" s="49"/>
    </row>
    <row r="98" spans="1:25" s="7" customFormat="1" ht="15" customHeight="1">
      <c r="A98" s="12" t="s">
        <v>358</v>
      </c>
      <c r="B98" s="8" t="s">
        <v>598</v>
      </c>
      <c r="C98" s="9" t="s">
        <v>660</v>
      </c>
      <c r="D98" s="9" t="s">
        <v>604</v>
      </c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>
        <v>0.79349999999999987</v>
      </c>
      <c r="R98" s="49"/>
      <c r="S98" s="49"/>
      <c r="T98" s="49"/>
      <c r="U98" s="49"/>
      <c r="V98" s="49"/>
      <c r="W98" s="49"/>
      <c r="X98" s="49"/>
      <c r="Y98" s="49"/>
    </row>
    <row r="99" spans="1:25" s="7" customFormat="1" ht="15" customHeight="1">
      <c r="A99" s="12" t="s">
        <v>359</v>
      </c>
      <c r="B99" s="8" t="s">
        <v>598</v>
      </c>
      <c r="C99" s="9" t="s">
        <v>661</v>
      </c>
      <c r="D99" s="9" t="s">
        <v>604</v>
      </c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>
        <v>0.79349999999999987</v>
      </c>
      <c r="R99" s="49"/>
      <c r="S99" s="49"/>
      <c r="T99" s="49"/>
      <c r="U99" s="49"/>
      <c r="V99" s="49"/>
      <c r="W99" s="49"/>
      <c r="X99" s="49"/>
      <c r="Y99" s="49"/>
    </row>
    <row r="100" spans="1:25" s="7" customFormat="1" ht="15" customHeight="1">
      <c r="A100" s="12"/>
      <c r="B100" s="6"/>
      <c r="C100" s="9"/>
      <c r="D100" s="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spans="1:25" s="7" customFormat="1" ht="15" customHeight="1">
      <c r="A101" s="12" t="s">
        <v>360</v>
      </c>
      <c r="B101" s="8" t="s">
        <v>602</v>
      </c>
      <c r="C101" s="9" t="s">
        <v>608</v>
      </c>
      <c r="D101" s="9" t="s">
        <v>605</v>
      </c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>
        <v>2.7484999999999999</v>
      </c>
      <c r="R101" s="49"/>
      <c r="S101" s="49"/>
      <c r="T101" s="49"/>
      <c r="U101" s="49"/>
      <c r="V101" s="49"/>
      <c r="W101" s="49"/>
      <c r="X101" s="49"/>
      <c r="Y101" s="49"/>
    </row>
    <row r="102" spans="1:25" s="7" customFormat="1" ht="15" customHeight="1">
      <c r="A102" s="12" t="s">
        <v>361</v>
      </c>
      <c r="B102" s="8" t="s">
        <v>602</v>
      </c>
      <c r="C102" s="9" t="s">
        <v>621</v>
      </c>
      <c r="D102" s="9" t="s">
        <v>605</v>
      </c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>
        <v>1.2765</v>
      </c>
      <c r="R102" s="49"/>
      <c r="S102" s="49"/>
      <c r="T102" s="49"/>
      <c r="U102" s="49"/>
      <c r="V102" s="49"/>
      <c r="W102" s="49"/>
      <c r="X102" s="49"/>
      <c r="Y102" s="49"/>
    </row>
    <row r="103" spans="1:25" s="7" customFormat="1" ht="15" customHeight="1">
      <c r="A103" s="12" t="s">
        <v>362</v>
      </c>
      <c r="B103" s="8" t="s">
        <v>602</v>
      </c>
      <c r="C103" s="9" t="s">
        <v>622</v>
      </c>
      <c r="D103" s="9" t="s">
        <v>605</v>
      </c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>
        <v>1.2535000000000001</v>
      </c>
      <c r="R103" s="49"/>
      <c r="S103" s="49"/>
      <c r="T103" s="49"/>
      <c r="U103" s="49"/>
      <c r="V103" s="49"/>
      <c r="W103" s="49"/>
      <c r="X103" s="49"/>
      <c r="Y103" s="49"/>
    </row>
    <row r="104" spans="1:25" s="7" customFormat="1" ht="15" customHeight="1">
      <c r="A104" s="12" t="s">
        <v>363</v>
      </c>
      <c r="B104" s="8" t="s">
        <v>602</v>
      </c>
      <c r="C104" s="9" t="s">
        <v>659</v>
      </c>
      <c r="D104" s="9" t="s">
        <v>604</v>
      </c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>
        <v>0.97409888945079404</v>
      </c>
      <c r="R104" s="49"/>
      <c r="S104" s="49"/>
      <c r="T104" s="49"/>
      <c r="U104" s="49"/>
      <c r="V104" s="49"/>
      <c r="W104" s="49"/>
      <c r="X104" s="49"/>
      <c r="Y104" s="49"/>
    </row>
    <row r="105" spans="1:25" s="7" customFormat="1" ht="15" customHeight="1">
      <c r="A105" s="12" t="s">
        <v>364</v>
      </c>
      <c r="B105" s="8" t="s">
        <v>602</v>
      </c>
      <c r="C105" s="9" t="s">
        <v>660</v>
      </c>
      <c r="D105" s="9" t="s">
        <v>604</v>
      </c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>
        <v>0.97409888945079404</v>
      </c>
      <c r="R105" s="49"/>
      <c r="S105" s="49"/>
      <c r="T105" s="49"/>
      <c r="U105" s="49"/>
      <c r="V105" s="49"/>
      <c r="W105" s="49"/>
      <c r="X105" s="49"/>
      <c r="Y105" s="49"/>
    </row>
    <row r="106" spans="1:25" s="7" customFormat="1" ht="15" customHeight="1">
      <c r="A106" s="12" t="s">
        <v>365</v>
      </c>
      <c r="B106" s="8" t="s">
        <v>602</v>
      </c>
      <c r="C106" s="9" t="s">
        <v>661</v>
      </c>
      <c r="D106" s="9" t="s">
        <v>604</v>
      </c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>
        <v>0.97409888945079404</v>
      </c>
      <c r="R106" s="49"/>
      <c r="S106" s="49"/>
      <c r="T106" s="49"/>
      <c r="U106" s="49"/>
      <c r="V106" s="49"/>
      <c r="W106" s="49"/>
      <c r="X106" s="49"/>
      <c r="Y106" s="49"/>
    </row>
    <row r="107" spans="1:25" s="7" customFormat="1" ht="15" customHeight="1">
      <c r="A107" s="12"/>
      <c r="B107" s="8"/>
      <c r="C107" s="9"/>
      <c r="D107" s="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spans="1:25" ht="14.25" customHeight="1">
      <c r="A108" s="12" t="s">
        <v>366</v>
      </c>
      <c r="B108" s="8" t="s">
        <v>600</v>
      </c>
      <c r="C108" s="9" t="s">
        <v>608</v>
      </c>
      <c r="D108" s="9" t="s">
        <v>605</v>
      </c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</row>
    <row r="109" spans="1:25" ht="14.25" customHeight="1">
      <c r="A109" s="12" t="s">
        <v>367</v>
      </c>
      <c r="B109" s="8" t="s">
        <v>600</v>
      </c>
      <c r="C109" s="9" t="s">
        <v>621</v>
      </c>
      <c r="D109" s="9" t="s">
        <v>605</v>
      </c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</row>
    <row r="110" spans="1:25" ht="14.25" customHeight="1">
      <c r="A110" s="12" t="s">
        <v>368</v>
      </c>
      <c r="B110" s="8" t="s">
        <v>600</v>
      </c>
      <c r="C110" s="9" t="s">
        <v>622</v>
      </c>
      <c r="D110" s="9" t="s">
        <v>605</v>
      </c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</row>
    <row r="111" spans="1:25" ht="14.25" customHeight="1">
      <c r="A111" s="12" t="s">
        <v>369</v>
      </c>
      <c r="B111" s="8" t="s">
        <v>600</v>
      </c>
      <c r="C111" s="9" t="s">
        <v>662</v>
      </c>
      <c r="D111" s="9" t="s">
        <v>604</v>
      </c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</row>
    <row r="112" spans="1:25" ht="14.25" customHeight="1">
      <c r="A112" s="12" t="s">
        <v>370</v>
      </c>
      <c r="B112" s="8" t="s">
        <v>600</v>
      </c>
      <c r="C112" s="9" t="s">
        <v>663</v>
      </c>
      <c r="D112" s="9" t="s">
        <v>604</v>
      </c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</row>
    <row r="113" spans="1:25" ht="14.25" customHeight="1">
      <c r="A113" s="12" t="s">
        <v>371</v>
      </c>
      <c r="B113" s="8" t="s">
        <v>600</v>
      </c>
      <c r="C113" s="9" t="s">
        <v>664</v>
      </c>
      <c r="D113" s="9" t="s">
        <v>604</v>
      </c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</row>
    <row r="114" spans="1:25" ht="14.25" customHeight="1">
      <c r="A114" s="12"/>
      <c r="B114" s="8"/>
      <c r="C114" s="9"/>
      <c r="D114" s="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spans="1:25" ht="14.25" customHeight="1">
      <c r="A115" s="12" t="s">
        <v>372</v>
      </c>
      <c r="B115" s="8" t="s">
        <v>601</v>
      </c>
      <c r="C115" s="9" t="s">
        <v>608</v>
      </c>
      <c r="D115" s="9" t="s">
        <v>605</v>
      </c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>
        <v>2.484</v>
      </c>
      <c r="R115" s="49"/>
      <c r="S115" s="49"/>
      <c r="T115" s="49"/>
      <c r="U115" s="49"/>
      <c r="V115" s="49"/>
      <c r="W115" s="49"/>
      <c r="X115" s="49"/>
      <c r="Y115" s="49"/>
    </row>
    <row r="116" spans="1:25" ht="14.25" customHeight="1">
      <c r="A116" s="12" t="s">
        <v>373</v>
      </c>
      <c r="B116" s="8" t="s">
        <v>601</v>
      </c>
      <c r="C116" s="9" t="s">
        <v>621</v>
      </c>
      <c r="D116" s="9" t="s">
        <v>605</v>
      </c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>
        <v>1.1844999999999999</v>
      </c>
      <c r="R116" s="49"/>
      <c r="S116" s="49"/>
      <c r="T116" s="49"/>
      <c r="U116" s="49"/>
      <c r="V116" s="49"/>
      <c r="W116" s="49"/>
      <c r="X116" s="49"/>
      <c r="Y116" s="49"/>
    </row>
    <row r="117" spans="1:25" ht="14.25" customHeight="1">
      <c r="A117" s="12" t="s">
        <v>374</v>
      </c>
      <c r="B117" s="8" t="s">
        <v>601</v>
      </c>
      <c r="C117" s="9" t="s">
        <v>622</v>
      </c>
      <c r="D117" s="9" t="s">
        <v>605</v>
      </c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>
        <v>1.1615</v>
      </c>
      <c r="R117" s="49"/>
      <c r="S117" s="49"/>
      <c r="T117" s="49"/>
      <c r="U117" s="49"/>
      <c r="V117" s="49"/>
      <c r="W117" s="49"/>
      <c r="X117" s="49"/>
      <c r="Y117" s="49"/>
    </row>
    <row r="118" spans="1:25" ht="14.25" customHeight="1">
      <c r="A118" s="12" t="s">
        <v>375</v>
      </c>
      <c r="B118" s="8" t="s">
        <v>601</v>
      </c>
      <c r="C118" s="9" t="s">
        <v>662</v>
      </c>
      <c r="D118" s="9" t="s">
        <v>604</v>
      </c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>
        <v>0.79349999999999987</v>
      </c>
      <c r="R118" s="49"/>
      <c r="S118" s="49"/>
      <c r="T118" s="49"/>
      <c r="U118" s="49"/>
      <c r="V118" s="49"/>
      <c r="W118" s="49"/>
      <c r="X118" s="49"/>
      <c r="Y118" s="49"/>
    </row>
    <row r="119" spans="1:25" ht="14.25" customHeight="1">
      <c r="A119" s="12" t="s">
        <v>376</v>
      </c>
      <c r="B119" s="8" t="s">
        <v>601</v>
      </c>
      <c r="C119" s="9" t="s">
        <v>663</v>
      </c>
      <c r="D119" s="9" t="s">
        <v>604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>
        <v>0.79349999999999987</v>
      </c>
      <c r="R119" s="49"/>
      <c r="S119" s="49"/>
      <c r="T119" s="49"/>
      <c r="U119" s="49"/>
      <c r="V119" s="49"/>
      <c r="W119" s="49"/>
      <c r="X119" s="49"/>
      <c r="Y119" s="49"/>
    </row>
    <row r="120" spans="1:25" ht="14.25" customHeight="1">
      <c r="A120" s="12" t="s">
        <v>377</v>
      </c>
      <c r="B120" s="8" t="s">
        <v>601</v>
      </c>
      <c r="C120" s="9" t="s">
        <v>664</v>
      </c>
      <c r="D120" s="9" t="s">
        <v>604</v>
      </c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>
        <v>0.79349999999999987</v>
      </c>
      <c r="R120" s="49"/>
      <c r="S120" s="49"/>
      <c r="T120" s="49"/>
      <c r="U120" s="49"/>
      <c r="V120" s="49"/>
      <c r="W120" s="49"/>
      <c r="X120" s="49"/>
      <c r="Y120" s="49"/>
    </row>
    <row r="121" spans="1:25" ht="14.25" customHeight="1">
      <c r="A121" s="12"/>
      <c r="B121" s="8"/>
      <c r="C121" s="9"/>
      <c r="D121" s="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spans="1:25" ht="14.25" customHeight="1">
      <c r="A122" s="12" t="s">
        <v>378</v>
      </c>
      <c r="B122" s="8" t="s">
        <v>598</v>
      </c>
      <c r="C122" s="9" t="s">
        <v>665</v>
      </c>
      <c r="D122" s="9" t="s">
        <v>606</v>
      </c>
      <c r="E122" s="49">
        <v>269.02</v>
      </c>
      <c r="F122" s="49">
        <v>161.03</v>
      </c>
      <c r="G122" s="49"/>
      <c r="H122" s="49"/>
      <c r="I122" s="49"/>
      <c r="J122" s="49">
        <v>317.38</v>
      </c>
      <c r="K122" s="49"/>
      <c r="L122" s="49"/>
      <c r="M122" s="49">
        <v>535.34</v>
      </c>
      <c r="N122" s="49"/>
      <c r="O122" s="49"/>
      <c r="P122" s="49"/>
      <c r="Q122" s="49">
        <v>151.04</v>
      </c>
      <c r="R122" s="49">
        <v>149.35</v>
      </c>
      <c r="S122" s="49">
        <v>170.53</v>
      </c>
      <c r="T122" s="49"/>
      <c r="U122" s="49"/>
      <c r="V122" s="49">
        <v>140.38999999999999</v>
      </c>
      <c r="W122" s="49"/>
      <c r="X122" s="49"/>
      <c r="Y122" s="49"/>
    </row>
    <row r="123" spans="1:25" ht="14.25" customHeight="1">
      <c r="A123" s="12" t="s">
        <v>379</v>
      </c>
      <c r="B123" s="8" t="s">
        <v>598</v>
      </c>
      <c r="C123" s="9" t="s">
        <v>666</v>
      </c>
      <c r="D123" s="9" t="s">
        <v>606</v>
      </c>
      <c r="E123" s="49">
        <v>184.54</v>
      </c>
      <c r="F123" s="49">
        <v>146.33000000000001</v>
      </c>
      <c r="G123" s="49"/>
      <c r="H123" s="49"/>
      <c r="I123" s="49"/>
      <c r="J123" s="49">
        <v>267.68</v>
      </c>
      <c r="K123" s="49"/>
      <c r="L123" s="49"/>
      <c r="M123" s="49">
        <v>316.82</v>
      </c>
      <c r="N123" s="49"/>
      <c r="O123" s="49"/>
      <c r="P123" s="49"/>
      <c r="Q123" s="49">
        <v>127.9</v>
      </c>
      <c r="R123" s="49">
        <v>147.29</v>
      </c>
      <c r="S123" s="49">
        <v>167.75</v>
      </c>
      <c r="T123" s="49"/>
      <c r="U123" s="49"/>
      <c r="V123" s="49">
        <v>140.38999999999999</v>
      </c>
      <c r="W123" s="49"/>
      <c r="X123" s="49"/>
      <c r="Y123" s="49"/>
    </row>
    <row r="124" spans="1:25" ht="14.25" customHeight="1">
      <c r="A124" s="12" t="s">
        <v>380</v>
      </c>
      <c r="B124" s="8" t="s">
        <v>598</v>
      </c>
      <c r="C124" s="9" t="s">
        <v>667</v>
      </c>
      <c r="D124" s="9" t="s">
        <v>606</v>
      </c>
      <c r="E124" s="49">
        <v>157.21</v>
      </c>
      <c r="F124" s="49">
        <v>143.61000000000001</v>
      </c>
      <c r="G124" s="49"/>
      <c r="H124" s="49"/>
      <c r="I124" s="49"/>
      <c r="J124" s="49">
        <v>262.58</v>
      </c>
      <c r="K124" s="49"/>
      <c r="L124" s="49"/>
      <c r="M124" s="49">
        <v>239.81</v>
      </c>
      <c r="N124" s="49"/>
      <c r="O124" s="49"/>
      <c r="P124" s="49"/>
      <c r="Q124" s="49">
        <v>119.32</v>
      </c>
      <c r="R124" s="49">
        <v>145.22999999999999</v>
      </c>
      <c r="S124" s="49">
        <v>161.25</v>
      </c>
      <c r="T124" s="49"/>
      <c r="U124" s="49"/>
      <c r="V124" s="49">
        <v>140.38999999999999</v>
      </c>
      <c r="W124" s="49"/>
      <c r="X124" s="49"/>
      <c r="Y124" s="49"/>
    </row>
    <row r="125" spans="1:25" ht="14.25" customHeight="1">
      <c r="A125" s="12" t="s">
        <v>381</v>
      </c>
      <c r="B125" s="8" t="s">
        <v>598</v>
      </c>
      <c r="C125" s="9" t="s">
        <v>668</v>
      </c>
      <c r="D125" s="9" t="s">
        <v>606</v>
      </c>
      <c r="E125" s="49">
        <v>121.21</v>
      </c>
      <c r="F125" s="49">
        <v>37.28</v>
      </c>
      <c r="G125" s="49"/>
      <c r="H125" s="49"/>
      <c r="I125" s="49"/>
      <c r="J125" s="49">
        <v>72.38</v>
      </c>
      <c r="K125" s="49"/>
      <c r="L125" s="49"/>
      <c r="M125" s="49">
        <v>76.55</v>
      </c>
      <c r="N125" s="49"/>
      <c r="O125" s="49"/>
      <c r="P125" s="49"/>
      <c r="Q125" s="49">
        <v>58.85</v>
      </c>
      <c r="R125" s="49">
        <v>25.75</v>
      </c>
      <c r="S125" s="49">
        <v>34.85</v>
      </c>
      <c r="T125" s="49"/>
      <c r="U125" s="49"/>
      <c r="V125" s="49">
        <v>68.34</v>
      </c>
      <c r="W125" s="49"/>
      <c r="X125" s="49"/>
      <c r="Y125" s="49"/>
    </row>
    <row r="126" spans="1:25" ht="14.25" customHeight="1">
      <c r="A126" s="12" t="s">
        <v>382</v>
      </c>
      <c r="B126" s="8" t="s">
        <v>598</v>
      </c>
      <c r="C126" s="9" t="s">
        <v>669</v>
      </c>
      <c r="D126" s="9" t="s">
        <v>606</v>
      </c>
      <c r="E126" s="49">
        <v>41.57</v>
      </c>
      <c r="F126" s="49">
        <v>21.52</v>
      </c>
      <c r="G126" s="49"/>
      <c r="H126" s="49"/>
      <c r="I126" s="49"/>
      <c r="J126" s="49">
        <v>32.840000000000003</v>
      </c>
      <c r="K126" s="49"/>
      <c r="L126" s="49"/>
      <c r="M126" s="49">
        <v>50.95</v>
      </c>
      <c r="N126" s="49"/>
      <c r="O126" s="49"/>
      <c r="P126" s="49"/>
      <c r="Q126" s="49">
        <v>35.71</v>
      </c>
      <c r="R126" s="49">
        <v>20.6</v>
      </c>
      <c r="S126" s="49">
        <v>28.69</v>
      </c>
      <c r="T126" s="49"/>
      <c r="U126" s="49"/>
      <c r="V126" s="49">
        <v>55.08</v>
      </c>
      <c r="W126" s="49"/>
      <c r="X126" s="49"/>
      <c r="Y126" s="49"/>
    </row>
    <row r="127" spans="1:25" ht="14.25" customHeight="1">
      <c r="A127" s="12" t="s">
        <v>383</v>
      </c>
      <c r="B127" s="8" t="s">
        <v>598</v>
      </c>
      <c r="C127" s="9" t="s">
        <v>670</v>
      </c>
      <c r="D127" s="9" t="s">
        <v>606</v>
      </c>
      <c r="E127" s="49">
        <v>17.03</v>
      </c>
      <c r="F127" s="49">
        <v>17.12</v>
      </c>
      <c r="G127" s="49"/>
      <c r="H127" s="49"/>
      <c r="I127" s="49"/>
      <c r="J127" s="49">
        <v>20.37</v>
      </c>
      <c r="K127" s="49"/>
      <c r="L127" s="49"/>
      <c r="M127" s="49">
        <v>33.92</v>
      </c>
      <c r="N127" s="49"/>
      <c r="O127" s="49"/>
      <c r="P127" s="49"/>
      <c r="Q127" s="49">
        <v>27.13</v>
      </c>
      <c r="R127" s="49">
        <v>15.45</v>
      </c>
      <c r="S127" s="49">
        <v>18.79</v>
      </c>
      <c r="T127" s="49"/>
      <c r="U127" s="49"/>
      <c r="V127" s="49">
        <v>53.04</v>
      </c>
      <c r="W127" s="49"/>
      <c r="X127" s="49"/>
      <c r="Y127" s="49"/>
    </row>
    <row r="128" spans="1:25" ht="14.25" customHeight="1">
      <c r="A128" s="12"/>
      <c r="B128" s="8"/>
      <c r="C128" s="9"/>
      <c r="D128" s="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spans="1:25" ht="14.25" customHeight="1">
      <c r="A129" s="12" t="s">
        <v>384</v>
      </c>
      <c r="B129" s="8" t="s">
        <v>602</v>
      </c>
      <c r="C129" s="9" t="s">
        <v>665</v>
      </c>
      <c r="D129" s="9" t="s">
        <v>606</v>
      </c>
      <c r="E129" s="49"/>
      <c r="F129" s="49"/>
      <c r="G129" s="49"/>
      <c r="H129" s="49"/>
      <c r="I129" s="49"/>
      <c r="J129" s="49"/>
      <c r="K129" s="49"/>
      <c r="L129" s="49">
        <v>353.28</v>
      </c>
      <c r="M129" s="49"/>
      <c r="N129" s="49"/>
      <c r="O129" s="49"/>
      <c r="P129" s="49"/>
      <c r="Q129" s="49">
        <v>175.12</v>
      </c>
      <c r="R129" s="49"/>
      <c r="S129" s="49"/>
      <c r="T129" s="49"/>
      <c r="U129" s="49"/>
      <c r="V129" s="49"/>
      <c r="W129" s="49"/>
      <c r="X129" s="49"/>
      <c r="Y129" s="49"/>
    </row>
    <row r="130" spans="1:25" ht="14.25" customHeight="1">
      <c r="A130" s="12" t="s">
        <v>385</v>
      </c>
      <c r="B130" s="8" t="s">
        <v>602</v>
      </c>
      <c r="C130" s="9" t="s">
        <v>666</v>
      </c>
      <c r="D130" s="9" t="s">
        <v>606</v>
      </c>
      <c r="E130" s="49"/>
      <c r="F130" s="49"/>
      <c r="G130" s="49"/>
      <c r="H130" s="49"/>
      <c r="I130" s="49"/>
      <c r="J130" s="49"/>
      <c r="K130" s="49"/>
      <c r="L130" s="49">
        <v>353.28</v>
      </c>
      <c r="M130" s="49"/>
      <c r="N130" s="49"/>
      <c r="O130" s="49"/>
      <c r="P130" s="49"/>
      <c r="Q130" s="49">
        <v>149.99</v>
      </c>
      <c r="R130" s="49"/>
      <c r="S130" s="49"/>
      <c r="T130" s="49"/>
      <c r="U130" s="49"/>
      <c r="V130" s="49"/>
      <c r="W130" s="49"/>
      <c r="X130" s="49"/>
      <c r="Y130" s="49"/>
    </row>
    <row r="131" spans="1:25" ht="14.25" customHeight="1">
      <c r="A131" s="12" t="s">
        <v>386</v>
      </c>
      <c r="B131" s="8" t="s">
        <v>602</v>
      </c>
      <c r="C131" s="9" t="s">
        <v>667</v>
      </c>
      <c r="D131" s="9" t="s">
        <v>606</v>
      </c>
      <c r="E131" s="49"/>
      <c r="F131" s="49"/>
      <c r="G131" s="49"/>
      <c r="H131" s="49"/>
      <c r="I131" s="49"/>
      <c r="J131" s="49"/>
      <c r="K131" s="49"/>
      <c r="L131" s="49">
        <v>353.28</v>
      </c>
      <c r="M131" s="49"/>
      <c r="N131" s="49"/>
      <c r="O131" s="49"/>
      <c r="P131" s="49"/>
      <c r="Q131" s="49">
        <v>134.16</v>
      </c>
      <c r="R131" s="49"/>
      <c r="S131" s="49"/>
      <c r="T131" s="49"/>
      <c r="U131" s="49"/>
      <c r="V131" s="49"/>
      <c r="W131" s="49"/>
      <c r="X131" s="49"/>
      <c r="Y131" s="49"/>
    </row>
    <row r="132" spans="1:25" ht="14.25" customHeight="1">
      <c r="A132" s="12" t="s">
        <v>387</v>
      </c>
      <c r="B132" s="8" t="s">
        <v>602</v>
      </c>
      <c r="C132" s="9" t="s">
        <v>668</v>
      </c>
      <c r="D132" s="9" t="s">
        <v>606</v>
      </c>
      <c r="E132" s="49"/>
      <c r="F132" s="49"/>
      <c r="G132" s="49"/>
      <c r="H132" s="49"/>
      <c r="I132" s="49"/>
      <c r="J132" s="49"/>
      <c r="K132" s="49"/>
      <c r="L132" s="49">
        <v>52.99</v>
      </c>
      <c r="M132" s="49"/>
      <c r="N132" s="49"/>
      <c r="O132" s="49"/>
      <c r="P132" s="49"/>
      <c r="Q132" s="49">
        <v>73.53</v>
      </c>
      <c r="R132" s="49"/>
      <c r="S132" s="49"/>
      <c r="T132" s="49"/>
      <c r="U132" s="49"/>
      <c r="V132" s="49"/>
      <c r="W132" s="49"/>
      <c r="X132" s="49"/>
      <c r="Y132" s="49"/>
    </row>
    <row r="133" spans="1:25" ht="14.25" customHeight="1">
      <c r="A133" s="12" t="s">
        <v>388</v>
      </c>
      <c r="B133" s="8" t="s">
        <v>602</v>
      </c>
      <c r="C133" s="9" t="s">
        <v>669</v>
      </c>
      <c r="D133" s="9" t="s">
        <v>606</v>
      </c>
      <c r="E133" s="49"/>
      <c r="F133" s="49"/>
      <c r="G133" s="49"/>
      <c r="H133" s="49"/>
      <c r="I133" s="49"/>
      <c r="J133" s="49"/>
      <c r="K133" s="49"/>
      <c r="L133" s="49">
        <v>52.99</v>
      </c>
      <c r="M133" s="49"/>
      <c r="N133" s="49"/>
      <c r="O133" s="49"/>
      <c r="P133" s="49"/>
      <c r="Q133" s="49">
        <v>47.84</v>
      </c>
      <c r="R133" s="49"/>
      <c r="S133" s="49"/>
      <c r="T133" s="49"/>
      <c r="U133" s="49"/>
      <c r="V133" s="49"/>
      <c r="W133" s="49"/>
      <c r="X133" s="49"/>
      <c r="Y133" s="49"/>
    </row>
    <row r="134" spans="1:25" ht="14.25" customHeight="1">
      <c r="A134" s="12" t="s">
        <v>389</v>
      </c>
      <c r="B134" s="8" t="s">
        <v>602</v>
      </c>
      <c r="C134" s="9" t="s">
        <v>670</v>
      </c>
      <c r="D134" s="9" t="s">
        <v>606</v>
      </c>
      <c r="E134" s="49"/>
      <c r="F134" s="49"/>
      <c r="G134" s="49"/>
      <c r="H134" s="49"/>
      <c r="I134" s="49"/>
      <c r="J134" s="49"/>
      <c r="K134" s="49"/>
      <c r="L134" s="49">
        <v>35.33</v>
      </c>
      <c r="M134" s="49"/>
      <c r="N134" s="49"/>
      <c r="O134" s="49"/>
      <c r="P134" s="49"/>
      <c r="Q134" s="49">
        <v>32.58</v>
      </c>
      <c r="R134" s="49"/>
      <c r="S134" s="49"/>
      <c r="T134" s="49"/>
      <c r="U134" s="49"/>
      <c r="V134" s="49"/>
      <c r="W134" s="49"/>
      <c r="X134" s="49"/>
      <c r="Y134" s="49"/>
    </row>
    <row r="135" spans="1:25" ht="14.25" customHeight="1">
      <c r="A135" s="12"/>
      <c r="B135" s="8"/>
      <c r="C135" s="9"/>
      <c r="D135" s="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spans="1:25" ht="14.25" customHeight="1">
      <c r="A136" s="12" t="s">
        <v>390</v>
      </c>
      <c r="B136" s="8" t="s">
        <v>600</v>
      </c>
      <c r="C136" s="9" t="s">
        <v>665</v>
      </c>
      <c r="D136" s="9" t="s">
        <v>606</v>
      </c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</row>
    <row r="137" spans="1:25" ht="14.25" customHeight="1">
      <c r="A137" s="12" t="s">
        <v>391</v>
      </c>
      <c r="B137" s="8" t="s">
        <v>600</v>
      </c>
      <c r="C137" s="9" t="s">
        <v>666</v>
      </c>
      <c r="D137" s="9" t="s">
        <v>606</v>
      </c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</row>
    <row r="138" spans="1:25" ht="14.25" customHeight="1">
      <c r="A138" s="12" t="s">
        <v>392</v>
      </c>
      <c r="B138" s="8" t="s">
        <v>600</v>
      </c>
      <c r="C138" s="9" t="s">
        <v>667</v>
      </c>
      <c r="D138" s="9" t="s">
        <v>606</v>
      </c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</row>
    <row r="139" spans="1:25" ht="14.25" customHeight="1">
      <c r="A139" s="12" t="s">
        <v>393</v>
      </c>
      <c r="B139" s="8" t="s">
        <v>600</v>
      </c>
      <c r="C139" s="9" t="s">
        <v>668</v>
      </c>
      <c r="D139" s="9" t="s">
        <v>606</v>
      </c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</row>
    <row r="140" spans="1:25" ht="14.25" customHeight="1">
      <c r="A140" s="12" t="s">
        <v>394</v>
      </c>
      <c r="B140" s="8" t="s">
        <v>600</v>
      </c>
      <c r="C140" s="9" t="s">
        <v>669</v>
      </c>
      <c r="D140" s="9" t="s">
        <v>606</v>
      </c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</row>
    <row r="141" spans="1:25" ht="14.25" customHeight="1">
      <c r="A141" s="12" t="s">
        <v>395</v>
      </c>
      <c r="B141" s="8" t="s">
        <v>600</v>
      </c>
      <c r="C141" s="9" t="s">
        <v>670</v>
      </c>
      <c r="D141" s="9" t="s">
        <v>606</v>
      </c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</row>
    <row r="142" spans="1:25" ht="14.25" customHeight="1">
      <c r="A142" s="12"/>
      <c r="B142" s="8"/>
      <c r="C142" s="9"/>
      <c r="D142" s="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spans="1:25" ht="14.25" customHeight="1">
      <c r="A143" s="12" t="s">
        <v>396</v>
      </c>
      <c r="B143" s="8" t="s">
        <v>601</v>
      </c>
      <c r="C143" s="9" t="s">
        <v>665</v>
      </c>
      <c r="D143" s="9" t="s">
        <v>606</v>
      </c>
      <c r="E143" s="49">
        <v>269.02</v>
      </c>
      <c r="F143" s="49">
        <v>161.03</v>
      </c>
      <c r="G143" s="49"/>
      <c r="H143" s="49"/>
      <c r="I143" s="49"/>
      <c r="J143" s="49">
        <v>317.38</v>
      </c>
      <c r="K143" s="49"/>
      <c r="L143" s="49">
        <v>353.28</v>
      </c>
      <c r="M143" s="49">
        <v>535.34</v>
      </c>
      <c r="N143" s="49"/>
      <c r="O143" s="49"/>
      <c r="P143" s="49"/>
      <c r="Q143" s="49">
        <v>148.13999999999999</v>
      </c>
      <c r="R143" s="49">
        <v>149.35</v>
      </c>
      <c r="S143" s="49">
        <v>170.53</v>
      </c>
      <c r="T143" s="49"/>
      <c r="U143" s="49"/>
      <c r="V143" s="49">
        <v>140.38999999999999</v>
      </c>
      <c r="W143" s="49"/>
      <c r="X143" s="49">
        <v>440.41</v>
      </c>
      <c r="Y143" s="49">
        <v>440.41</v>
      </c>
    </row>
    <row r="144" spans="1:25" ht="14.25" customHeight="1">
      <c r="A144" s="12" t="s">
        <v>397</v>
      </c>
      <c r="B144" s="8" t="s">
        <v>601</v>
      </c>
      <c r="C144" s="9" t="s">
        <v>666</v>
      </c>
      <c r="D144" s="9" t="s">
        <v>606</v>
      </c>
      <c r="E144" s="49">
        <v>184.54</v>
      </c>
      <c r="F144" s="49">
        <v>146.33000000000001</v>
      </c>
      <c r="G144" s="49"/>
      <c r="H144" s="49"/>
      <c r="I144" s="49"/>
      <c r="J144" s="49">
        <v>267.68</v>
      </c>
      <c r="K144" s="49"/>
      <c r="L144" s="49">
        <v>353.28</v>
      </c>
      <c r="M144" s="49">
        <v>316.82</v>
      </c>
      <c r="N144" s="49"/>
      <c r="O144" s="49"/>
      <c r="P144" s="49"/>
      <c r="Q144" s="49">
        <v>125.44</v>
      </c>
      <c r="R144" s="49">
        <v>147.29</v>
      </c>
      <c r="S144" s="49">
        <v>167.75</v>
      </c>
      <c r="T144" s="49"/>
      <c r="U144" s="49"/>
      <c r="V144" s="49">
        <v>140.38999999999999</v>
      </c>
      <c r="W144" s="49"/>
      <c r="X144" s="49">
        <v>440.41</v>
      </c>
      <c r="Y144" s="49">
        <v>440.41</v>
      </c>
    </row>
    <row r="145" spans="1:25" ht="14.25" customHeight="1">
      <c r="A145" s="12" t="s">
        <v>398</v>
      </c>
      <c r="B145" s="8" t="s">
        <v>601</v>
      </c>
      <c r="C145" s="9" t="s">
        <v>667</v>
      </c>
      <c r="D145" s="9" t="s">
        <v>606</v>
      </c>
      <c r="E145" s="49">
        <v>157.21</v>
      </c>
      <c r="F145" s="49">
        <v>143.61000000000001</v>
      </c>
      <c r="G145" s="49"/>
      <c r="H145" s="49"/>
      <c r="I145" s="49"/>
      <c r="J145" s="49">
        <v>262.58</v>
      </c>
      <c r="K145" s="49"/>
      <c r="L145" s="49">
        <v>353.28</v>
      </c>
      <c r="M145" s="49">
        <v>239.81</v>
      </c>
      <c r="N145" s="49"/>
      <c r="O145" s="49"/>
      <c r="P145" s="49"/>
      <c r="Q145" s="49">
        <v>117.02</v>
      </c>
      <c r="R145" s="49">
        <v>145.22999999999999</v>
      </c>
      <c r="S145" s="49">
        <v>161.25</v>
      </c>
      <c r="T145" s="49"/>
      <c r="U145" s="49"/>
      <c r="V145" s="49">
        <v>140.38999999999999</v>
      </c>
      <c r="W145" s="49"/>
      <c r="X145" s="49">
        <v>440.41</v>
      </c>
      <c r="Y145" s="49">
        <v>440.41</v>
      </c>
    </row>
    <row r="146" spans="1:25" ht="14.25" customHeight="1">
      <c r="A146" s="12" t="s">
        <v>399</v>
      </c>
      <c r="B146" s="8" t="s">
        <v>601</v>
      </c>
      <c r="C146" s="9" t="s">
        <v>668</v>
      </c>
      <c r="D146" s="9" t="s">
        <v>606</v>
      </c>
      <c r="E146" s="49">
        <v>121.21</v>
      </c>
      <c r="F146" s="49">
        <v>37.28</v>
      </c>
      <c r="G146" s="49"/>
      <c r="H146" s="49"/>
      <c r="I146" s="49"/>
      <c r="J146" s="49">
        <v>72.38</v>
      </c>
      <c r="K146" s="49"/>
      <c r="L146" s="49">
        <v>52.99</v>
      </c>
      <c r="M146" s="49">
        <v>76.55</v>
      </c>
      <c r="N146" s="49"/>
      <c r="O146" s="49"/>
      <c r="P146" s="49"/>
      <c r="Q146" s="49">
        <v>57.72</v>
      </c>
      <c r="R146" s="49">
        <v>25.75</v>
      </c>
      <c r="S146" s="49">
        <v>34.85</v>
      </c>
      <c r="T146" s="49"/>
      <c r="U146" s="49"/>
      <c r="V146" s="49">
        <v>68.34</v>
      </c>
      <c r="W146" s="49"/>
      <c r="X146" s="49">
        <v>401.39</v>
      </c>
      <c r="Y146" s="49">
        <v>395.71</v>
      </c>
    </row>
    <row r="147" spans="1:25" ht="14.25" customHeight="1">
      <c r="A147" s="12" t="s">
        <v>400</v>
      </c>
      <c r="B147" s="8" t="s">
        <v>601</v>
      </c>
      <c r="C147" s="9" t="s">
        <v>669</v>
      </c>
      <c r="D147" s="9" t="s">
        <v>606</v>
      </c>
      <c r="E147" s="49">
        <v>41.57</v>
      </c>
      <c r="F147" s="49">
        <v>21.52</v>
      </c>
      <c r="G147" s="49"/>
      <c r="H147" s="49"/>
      <c r="I147" s="49"/>
      <c r="J147" s="49">
        <v>32.840000000000003</v>
      </c>
      <c r="K147" s="49"/>
      <c r="L147" s="49">
        <v>45.93</v>
      </c>
      <c r="M147" s="49">
        <v>50.95</v>
      </c>
      <c r="N147" s="49"/>
      <c r="O147" s="49"/>
      <c r="P147" s="49"/>
      <c r="Q147" s="49">
        <v>35.03</v>
      </c>
      <c r="R147" s="49">
        <v>20.6</v>
      </c>
      <c r="S147" s="49">
        <v>28.69</v>
      </c>
      <c r="T147" s="49"/>
      <c r="U147" s="49"/>
      <c r="V147" s="49">
        <v>55.08</v>
      </c>
      <c r="W147" s="49"/>
      <c r="X147" s="49">
        <v>194.41</v>
      </c>
      <c r="Y147" s="49">
        <v>155.43</v>
      </c>
    </row>
    <row r="148" spans="1:25" ht="14.25" customHeight="1">
      <c r="A148" s="12" t="s">
        <v>401</v>
      </c>
      <c r="B148" s="8" t="s">
        <v>601</v>
      </c>
      <c r="C148" s="9" t="s">
        <v>670</v>
      </c>
      <c r="D148" s="9" t="s">
        <v>606</v>
      </c>
      <c r="E148" s="49">
        <v>17.03</v>
      </c>
      <c r="F148" s="49">
        <v>17.12</v>
      </c>
      <c r="G148" s="49"/>
      <c r="H148" s="49"/>
      <c r="I148" s="49"/>
      <c r="J148" s="49">
        <v>20.37</v>
      </c>
      <c r="K148" s="49"/>
      <c r="L148" s="49">
        <v>45.93</v>
      </c>
      <c r="M148" s="49">
        <v>33.92</v>
      </c>
      <c r="N148" s="49"/>
      <c r="O148" s="49"/>
      <c r="P148" s="49"/>
      <c r="Q148" s="49">
        <v>26.61</v>
      </c>
      <c r="R148" s="49">
        <v>15.45</v>
      </c>
      <c r="S148" s="49">
        <v>18.79</v>
      </c>
      <c r="T148" s="49"/>
      <c r="U148" s="49"/>
      <c r="V148" s="49">
        <v>53.04</v>
      </c>
      <c r="W148" s="49"/>
      <c r="X148" s="49">
        <v>151.1</v>
      </c>
      <c r="Y148" s="49">
        <v>120</v>
      </c>
    </row>
    <row r="149" spans="1:25" ht="14.25" customHeight="1">
      <c r="A149" s="12"/>
      <c r="B149" s="8"/>
      <c r="C149" s="9"/>
      <c r="D149" s="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spans="1:25" ht="14.25" customHeight="1">
      <c r="A150" s="12" t="s">
        <v>402</v>
      </c>
      <c r="B150" s="8" t="s">
        <v>598</v>
      </c>
      <c r="C150" s="9" t="s">
        <v>623</v>
      </c>
      <c r="D150" s="9" t="s">
        <v>607</v>
      </c>
      <c r="E150" s="49">
        <v>354.63</v>
      </c>
      <c r="F150" s="49">
        <v>354.63</v>
      </c>
      <c r="G150" s="49"/>
      <c r="H150" s="49"/>
      <c r="I150" s="49"/>
      <c r="J150" s="49">
        <v>179</v>
      </c>
      <c r="K150" s="49"/>
      <c r="L150" s="49"/>
      <c r="M150" s="49">
        <v>209</v>
      </c>
      <c r="N150" s="49"/>
      <c r="O150" s="49"/>
      <c r="P150" s="49"/>
      <c r="Q150" s="49">
        <v>238</v>
      </c>
      <c r="R150" s="49">
        <v>149.35</v>
      </c>
      <c r="S150" s="49">
        <v>165</v>
      </c>
      <c r="T150" s="49"/>
      <c r="U150" s="49"/>
      <c r="V150" s="49">
        <v>187</v>
      </c>
      <c r="W150" s="49"/>
      <c r="X150" s="49"/>
      <c r="Y150" s="49"/>
    </row>
    <row r="151" spans="1:25" ht="14.25" customHeight="1">
      <c r="A151" s="12" t="s">
        <v>403</v>
      </c>
      <c r="B151" s="8" t="s">
        <v>598</v>
      </c>
      <c r="C151" s="9" t="s">
        <v>624</v>
      </c>
      <c r="D151" s="9" t="s">
        <v>607</v>
      </c>
      <c r="E151" s="49">
        <v>210.53</v>
      </c>
      <c r="F151" s="49">
        <v>210.53</v>
      </c>
      <c r="G151" s="49"/>
      <c r="H151" s="49"/>
      <c r="I151" s="49"/>
      <c r="J151" s="49">
        <v>107</v>
      </c>
      <c r="K151" s="49"/>
      <c r="L151" s="49"/>
      <c r="M151" s="49">
        <v>175</v>
      </c>
      <c r="N151" s="49"/>
      <c r="O151" s="49"/>
      <c r="P151" s="49"/>
      <c r="Q151" s="49">
        <v>165</v>
      </c>
      <c r="R151" s="49">
        <v>149.35</v>
      </c>
      <c r="S151" s="49">
        <v>175</v>
      </c>
      <c r="T151" s="49"/>
      <c r="U151" s="49"/>
      <c r="V151" s="49">
        <v>187</v>
      </c>
      <c r="W151" s="49"/>
      <c r="X151" s="49"/>
      <c r="Y151" s="49"/>
    </row>
    <row r="152" spans="1:25" ht="14.25" customHeight="1">
      <c r="A152" s="12" t="s">
        <v>404</v>
      </c>
      <c r="B152" s="8" t="s">
        <v>598</v>
      </c>
      <c r="C152" s="9" t="s">
        <v>625</v>
      </c>
      <c r="D152" s="9" t="s">
        <v>607</v>
      </c>
      <c r="E152" s="49">
        <v>321.68</v>
      </c>
      <c r="F152" s="49">
        <v>321.68</v>
      </c>
      <c r="G152" s="49"/>
      <c r="H152" s="49"/>
      <c r="I152" s="49"/>
      <c r="J152" s="49">
        <v>121</v>
      </c>
      <c r="K152" s="49"/>
      <c r="L152" s="49"/>
      <c r="M152" s="49">
        <v>209</v>
      </c>
      <c r="N152" s="49"/>
      <c r="O152" s="49"/>
      <c r="P152" s="49"/>
      <c r="Q152" s="49">
        <v>194</v>
      </c>
      <c r="R152" s="49">
        <v>154.5</v>
      </c>
      <c r="S152" s="49">
        <v>208</v>
      </c>
      <c r="T152" s="49"/>
      <c r="U152" s="49"/>
      <c r="V152" s="49">
        <v>276</v>
      </c>
      <c r="W152" s="49"/>
      <c r="X152" s="49"/>
      <c r="Y152" s="49"/>
    </row>
    <row r="153" spans="1:25" ht="14.25" customHeight="1">
      <c r="A153" s="12" t="s">
        <v>405</v>
      </c>
      <c r="B153" s="8" t="s">
        <v>598</v>
      </c>
      <c r="C153" s="9" t="s">
        <v>626</v>
      </c>
      <c r="D153" s="9" t="s">
        <v>607</v>
      </c>
      <c r="E153" s="49">
        <v>369.82</v>
      </c>
      <c r="F153" s="49">
        <v>369.82</v>
      </c>
      <c r="G153" s="49"/>
      <c r="H153" s="49"/>
      <c r="I153" s="49"/>
      <c r="J153" s="49">
        <v>136</v>
      </c>
      <c r="K153" s="49"/>
      <c r="L153" s="49"/>
      <c r="M153" s="49">
        <v>260</v>
      </c>
      <c r="N153" s="49"/>
      <c r="O153" s="49"/>
      <c r="P153" s="49"/>
      <c r="Q153" s="49">
        <v>238</v>
      </c>
      <c r="R153" s="49">
        <v>164.8</v>
      </c>
      <c r="S153" s="49">
        <v>232</v>
      </c>
      <c r="T153" s="49"/>
      <c r="U153" s="49"/>
      <c r="V153" s="49">
        <v>354</v>
      </c>
      <c r="W153" s="49"/>
      <c r="X153" s="49"/>
      <c r="Y153" s="49"/>
    </row>
    <row r="154" spans="1:25" ht="14.25" customHeight="1">
      <c r="A154" s="12" t="s">
        <v>406</v>
      </c>
      <c r="B154" s="8" t="s">
        <v>598</v>
      </c>
      <c r="C154" s="9" t="s">
        <v>627</v>
      </c>
      <c r="D154" s="9" t="s">
        <v>607</v>
      </c>
      <c r="E154" s="49">
        <v>167.25</v>
      </c>
      <c r="F154" s="49">
        <v>167.25</v>
      </c>
      <c r="G154" s="49"/>
      <c r="H154" s="49"/>
      <c r="I154" s="49"/>
      <c r="J154" s="49">
        <v>108</v>
      </c>
      <c r="K154" s="49"/>
      <c r="L154" s="49"/>
      <c r="M154" s="49">
        <v>120</v>
      </c>
      <c r="N154" s="49"/>
      <c r="O154" s="49"/>
      <c r="P154" s="49"/>
      <c r="Q154" s="49">
        <v>142</v>
      </c>
      <c r="R154" s="49">
        <v>79</v>
      </c>
      <c r="S154" s="49">
        <v>79</v>
      </c>
      <c r="T154" s="49"/>
      <c r="U154" s="49"/>
      <c r="V154" s="49">
        <v>101</v>
      </c>
      <c r="W154" s="49"/>
      <c r="X154" s="49"/>
      <c r="Y154" s="49"/>
    </row>
    <row r="155" spans="1:25" ht="14.25" customHeight="1">
      <c r="A155" s="12" t="s">
        <v>407</v>
      </c>
      <c r="B155" s="8" t="s">
        <v>598</v>
      </c>
      <c r="C155" s="9" t="s">
        <v>628</v>
      </c>
      <c r="D155" s="9" t="s">
        <v>607</v>
      </c>
      <c r="E155" s="49">
        <v>277.87</v>
      </c>
      <c r="F155" s="49">
        <v>277.87</v>
      </c>
      <c r="G155" s="49"/>
      <c r="H155" s="49"/>
      <c r="I155" s="49"/>
      <c r="J155" s="49">
        <v>158</v>
      </c>
      <c r="K155" s="49"/>
      <c r="L155" s="49"/>
      <c r="M155" s="49">
        <v>209</v>
      </c>
      <c r="N155" s="49"/>
      <c r="O155" s="49"/>
      <c r="P155" s="49"/>
      <c r="Q155" s="49">
        <v>194</v>
      </c>
      <c r="R155" s="49">
        <v>144.19999999999999</v>
      </c>
      <c r="S155" s="49">
        <v>211</v>
      </c>
      <c r="T155" s="49"/>
      <c r="U155" s="49"/>
      <c r="V155" s="49">
        <v>354</v>
      </c>
      <c r="W155" s="49"/>
      <c r="X155" s="49"/>
      <c r="Y155" s="49"/>
    </row>
    <row r="156" spans="1:25" ht="14.25" customHeight="1">
      <c r="A156" s="12" t="s">
        <v>408</v>
      </c>
      <c r="B156" s="8" t="s">
        <v>598</v>
      </c>
      <c r="C156" s="9" t="s">
        <v>629</v>
      </c>
      <c r="D156" s="9" t="s">
        <v>607</v>
      </c>
      <c r="E156" s="49">
        <v>210.53</v>
      </c>
      <c r="F156" s="49">
        <v>210.53</v>
      </c>
      <c r="G156" s="49"/>
      <c r="H156" s="49"/>
      <c r="I156" s="49"/>
      <c r="J156" s="49">
        <v>95</v>
      </c>
      <c r="K156" s="49"/>
      <c r="L156" s="49"/>
      <c r="M156" s="49">
        <v>175</v>
      </c>
      <c r="N156" s="49"/>
      <c r="O156" s="49"/>
      <c r="P156" s="49"/>
      <c r="Q156" s="49">
        <v>165</v>
      </c>
      <c r="R156" s="49">
        <v>123.6</v>
      </c>
      <c r="S156" s="49">
        <v>168</v>
      </c>
      <c r="T156" s="49"/>
      <c r="U156" s="49"/>
      <c r="V156" s="49">
        <v>183</v>
      </c>
      <c r="W156" s="49"/>
      <c r="X156" s="49"/>
      <c r="Y156" s="49"/>
    </row>
    <row r="157" spans="1:25" ht="14.25" customHeight="1">
      <c r="A157" s="12" t="s">
        <v>409</v>
      </c>
      <c r="B157" s="8" t="s">
        <v>598</v>
      </c>
      <c r="C157" s="9" t="s">
        <v>630</v>
      </c>
      <c r="D157" s="9" t="s">
        <v>607</v>
      </c>
      <c r="E157" s="49">
        <v>111.57</v>
      </c>
      <c r="F157" s="49">
        <v>111.57</v>
      </c>
      <c r="G157" s="49"/>
      <c r="H157" s="49"/>
      <c r="I157" s="49"/>
      <c r="J157" s="49">
        <v>94</v>
      </c>
      <c r="K157" s="49"/>
      <c r="L157" s="49"/>
      <c r="M157" s="49">
        <v>105</v>
      </c>
      <c r="N157" s="49"/>
      <c r="O157" s="49"/>
      <c r="P157" s="49"/>
      <c r="Q157" s="49">
        <v>114</v>
      </c>
      <c r="R157" s="49">
        <v>98</v>
      </c>
      <c r="S157" s="49">
        <v>98</v>
      </c>
      <c r="T157" s="49"/>
      <c r="U157" s="49"/>
      <c r="V157" s="49">
        <v>140</v>
      </c>
      <c r="W157" s="49"/>
      <c r="X157" s="49"/>
      <c r="Y157" s="49"/>
    </row>
    <row r="158" spans="1:25" ht="14.25" customHeight="1">
      <c r="A158" s="12" t="s">
        <v>410</v>
      </c>
      <c r="B158" s="8" t="s">
        <v>598</v>
      </c>
      <c r="C158" s="9" t="s">
        <v>631</v>
      </c>
      <c r="D158" s="9" t="s">
        <v>607</v>
      </c>
      <c r="E158" s="49">
        <v>277.87</v>
      </c>
      <c r="F158" s="49">
        <v>277.87</v>
      </c>
      <c r="G158" s="49"/>
      <c r="H158" s="49"/>
      <c r="I158" s="49"/>
      <c r="J158" s="49">
        <v>136</v>
      </c>
      <c r="K158" s="49"/>
      <c r="L158" s="49"/>
      <c r="M158" s="49">
        <v>175</v>
      </c>
      <c r="N158" s="49"/>
      <c r="O158" s="49"/>
      <c r="P158" s="49"/>
      <c r="Q158" s="49">
        <v>142</v>
      </c>
      <c r="R158" s="49">
        <v>232</v>
      </c>
      <c r="S158" s="49">
        <v>232</v>
      </c>
      <c r="T158" s="49"/>
      <c r="U158" s="49"/>
      <c r="V158" s="49">
        <v>140</v>
      </c>
      <c r="W158" s="49"/>
      <c r="X158" s="49"/>
      <c r="Y158" s="49"/>
    </row>
    <row r="159" spans="1:25" ht="14.25" customHeight="1">
      <c r="A159" s="12" t="s">
        <v>411</v>
      </c>
      <c r="B159" s="8" t="s">
        <v>598</v>
      </c>
      <c r="C159" s="9" t="s">
        <v>632</v>
      </c>
      <c r="D159" s="9" t="s">
        <v>607</v>
      </c>
      <c r="E159" s="49">
        <v>217.75</v>
      </c>
      <c r="F159" s="49">
        <v>217.75</v>
      </c>
      <c r="G159" s="49"/>
      <c r="H159" s="49"/>
      <c r="I159" s="49"/>
      <c r="J159" s="49">
        <v>162</v>
      </c>
      <c r="K159" s="49"/>
      <c r="L159" s="49"/>
      <c r="M159" s="49">
        <v>137</v>
      </c>
      <c r="N159" s="49"/>
      <c r="O159" s="49"/>
      <c r="P159" s="49"/>
      <c r="Q159" s="49">
        <v>114</v>
      </c>
      <c r="R159" s="49">
        <v>144</v>
      </c>
      <c r="S159" s="49">
        <v>144</v>
      </c>
      <c r="T159" s="49"/>
      <c r="U159" s="49"/>
      <c r="V159" s="49">
        <v>101</v>
      </c>
      <c r="W159" s="49"/>
      <c r="X159" s="49"/>
      <c r="Y159" s="49"/>
    </row>
    <row r="160" spans="1:25" ht="14.25" customHeight="1">
      <c r="A160" s="12" t="s">
        <v>412</v>
      </c>
      <c r="B160" s="8" t="s">
        <v>598</v>
      </c>
      <c r="C160" s="9" t="s">
        <v>633</v>
      </c>
      <c r="D160" s="9" t="s">
        <v>607</v>
      </c>
      <c r="E160" s="49">
        <v>239.28</v>
      </c>
      <c r="F160" s="49">
        <v>239.28</v>
      </c>
      <c r="G160" s="49"/>
      <c r="H160" s="49"/>
      <c r="I160" s="49"/>
      <c r="J160" s="49">
        <v>113</v>
      </c>
      <c r="K160" s="49"/>
      <c r="L160" s="49"/>
      <c r="M160" s="49">
        <v>311</v>
      </c>
      <c r="N160" s="49"/>
      <c r="O160" s="49"/>
      <c r="P160" s="49"/>
      <c r="Q160" s="49">
        <v>194</v>
      </c>
      <c r="R160" s="49">
        <v>144.19999999999999</v>
      </c>
      <c r="S160" s="49">
        <v>124</v>
      </c>
      <c r="T160" s="49"/>
      <c r="U160" s="49"/>
      <c r="V160" s="49">
        <v>140</v>
      </c>
      <c r="W160" s="49"/>
      <c r="X160" s="49"/>
      <c r="Y160" s="49"/>
    </row>
    <row r="161" spans="1:25" ht="14.25" customHeight="1">
      <c r="A161" s="12"/>
      <c r="B161" s="8"/>
      <c r="C161" s="9"/>
      <c r="D161" s="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spans="1:25" ht="14.25" customHeight="1">
      <c r="A162" s="12" t="s">
        <v>413</v>
      </c>
      <c r="B162" s="8" t="s">
        <v>602</v>
      </c>
      <c r="C162" s="9" t="s">
        <v>623</v>
      </c>
      <c r="D162" s="9" t="s">
        <v>607</v>
      </c>
      <c r="E162" s="49"/>
      <c r="F162" s="49"/>
      <c r="G162" s="49"/>
      <c r="H162" s="49"/>
      <c r="I162" s="49"/>
      <c r="J162" s="49"/>
      <c r="K162" s="49"/>
      <c r="L162" s="49">
        <v>157.06</v>
      </c>
      <c r="M162" s="49"/>
      <c r="N162" s="49"/>
      <c r="O162" s="49"/>
      <c r="P162" s="49"/>
      <c r="Q162" s="49">
        <v>238</v>
      </c>
      <c r="R162" s="49"/>
      <c r="S162" s="49"/>
      <c r="T162" s="49"/>
      <c r="U162" s="49"/>
      <c r="V162" s="49"/>
      <c r="W162" s="49"/>
      <c r="X162" s="49"/>
      <c r="Y162" s="49"/>
    </row>
    <row r="163" spans="1:25" ht="14.25" customHeight="1">
      <c r="A163" s="12" t="s">
        <v>414</v>
      </c>
      <c r="B163" s="8" t="s">
        <v>602</v>
      </c>
      <c r="C163" s="9" t="s">
        <v>624</v>
      </c>
      <c r="D163" s="9" t="s">
        <v>607</v>
      </c>
      <c r="E163" s="49"/>
      <c r="F163" s="49"/>
      <c r="G163" s="49"/>
      <c r="H163" s="49"/>
      <c r="I163" s="49"/>
      <c r="J163" s="49"/>
      <c r="K163" s="49"/>
      <c r="L163" s="49">
        <v>123.08</v>
      </c>
      <c r="M163" s="49"/>
      <c r="N163" s="49"/>
      <c r="O163" s="49"/>
      <c r="P163" s="49"/>
      <c r="Q163" s="49">
        <v>165</v>
      </c>
      <c r="R163" s="49"/>
      <c r="S163" s="49"/>
      <c r="T163" s="49"/>
      <c r="U163" s="49"/>
      <c r="V163" s="49"/>
      <c r="W163" s="49"/>
      <c r="X163" s="49"/>
      <c r="Y163" s="49"/>
    </row>
    <row r="164" spans="1:25" ht="14.25" customHeight="1">
      <c r="A164" s="12" t="s">
        <v>415</v>
      </c>
      <c r="B164" s="8" t="s">
        <v>602</v>
      </c>
      <c r="C164" s="9" t="s">
        <v>625</v>
      </c>
      <c r="D164" s="9" t="s">
        <v>607</v>
      </c>
      <c r="E164" s="49"/>
      <c r="F164" s="49"/>
      <c r="G164" s="49"/>
      <c r="H164" s="49"/>
      <c r="I164" s="49"/>
      <c r="J164" s="49"/>
      <c r="K164" s="49"/>
      <c r="L164" s="49">
        <v>134.91</v>
      </c>
      <c r="M164" s="49"/>
      <c r="N164" s="49"/>
      <c r="O164" s="49"/>
      <c r="P164" s="49"/>
      <c r="Q164" s="49">
        <v>194</v>
      </c>
      <c r="R164" s="49"/>
      <c r="S164" s="49"/>
      <c r="T164" s="49"/>
      <c r="U164" s="49"/>
      <c r="V164" s="49"/>
      <c r="W164" s="49"/>
      <c r="X164" s="49"/>
      <c r="Y164" s="49"/>
    </row>
    <row r="165" spans="1:25" ht="14.25" customHeight="1">
      <c r="A165" s="12" t="s">
        <v>416</v>
      </c>
      <c r="B165" s="8" t="s">
        <v>602</v>
      </c>
      <c r="C165" s="9" t="s">
        <v>626</v>
      </c>
      <c r="D165" s="9" t="s">
        <v>607</v>
      </c>
      <c r="E165" s="49"/>
      <c r="F165" s="49"/>
      <c r="G165" s="49"/>
      <c r="H165" s="49"/>
      <c r="I165" s="49"/>
      <c r="J165" s="49"/>
      <c r="K165" s="49"/>
      <c r="L165" s="49">
        <v>175.9</v>
      </c>
      <c r="M165" s="49"/>
      <c r="N165" s="49"/>
      <c r="O165" s="49"/>
      <c r="P165" s="49"/>
      <c r="Q165" s="49">
        <v>238</v>
      </c>
      <c r="R165" s="49"/>
      <c r="S165" s="49"/>
      <c r="T165" s="49"/>
      <c r="U165" s="49"/>
      <c r="V165" s="49"/>
      <c r="W165" s="49"/>
      <c r="X165" s="49"/>
      <c r="Y165" s="49"/>
    </row>
    <row r="166" spans="1:25" ht="14.25" customHeight="1">
      <c r="A166" s="12" t="s">
        <v>417</v>
      </c>
      <c r="B166" s="8" t="s">
        <v>602</v>
      </c>
      <c r="C166" s="9" t="s">
        <v>627</v>
      </c>
      <c r="D166" s="9" t="s">
        <v>607</v>
      </c>
      <c r="E166" s="49"/>
      <c r="F166" s="49"/>
      <c r="G166" s="49"/>
      <c r="H166" s="49"/>
      <c r="I166" s="49"/>
      <c r="J166" s="49"/>
      <c r="K166" s="49"/>
      <c r="L166" s="49">
        <v>102.13</v>
      </c>
      <c r="M166" s="49"/>
      <c r="N166" s="49"/>
      <c r="O166" s="49"/>
      <c r="P166" s="49"/>
      <c r="Q166" s="49">
        <v>142</v>
      </c>
      <c r="R166" s="49"/>
      <c r="S166" s="49"/>
      <c r="T166" s="49"/>
      <c r="U166" s="49"/>
      <c r="V166" s="49"/>
      <c r="W166" s="49"/>
      <c r="X166" s="49"/>
      <c r="Y166" s="49"/>
    </row>
    <row r="167" spans="1:25" ht="14.25" customHeight="1">
      <c r="A167" s="12" t="s">
        <v>418</v>
      </c>
      <c r="B167" s="8" t="s">
        <v>602</v>
      </c>
      <c r="C167" s="9" t="s">
        <v>628</v>
      </c>
      <c r="D167" s="9" t="s">
        <v>607</v>
      </c>
      <c r="E167" s="49"/>
      <c r="F167" s="49"/>
      <c r="G167" s="49"/>
      <c r="H167" s="49"/>
      <c r="I167" s="49"/>
      <c r="J167" s="49"/>
      <c r="K167" s="49"/>
      <c r="L167" s="49">
        <v>134.91</v>
      </c>
      <c r="M167" s="49"/>
      <c r="N167" s="49"/>
      <c r="O167" s="49"/>
      <c r="P167" s="49"/>
      <c r="Q167" s="49">
        <v>194</v>
      </c>
      <c r="R167" s="49"/>
      <c r="S167" s="49"/>
      <c r="T167" s="49"/>
      <c r="U167" s="49"/>
      <c r="V167" s="49"/>
      <c r="W167" s="49"/>
      <c r="X167" s="49"/>
      <c r="Y167" s="49"/>
    </row>
    <row r="168" spans="1:25" ht="14.25" customHeight="1">
      <c r="A168" s="12" t="s">
        <v>419</v>
      </c>
      <c r="B168" s="8" t="s">
        <v>602</v>
      </c>
      <c r="C168" s="9" t="s">
        <v>629</v>
      </c>
      <c r="D168" s="9" t="s">
        <v>607</v>
      </c>
      <c r="E168" s="49"/>
      <c r="F168" s="49"/>
      <c r="G168" s="49"/>
      <c r="H168" s="49"/>
      <c r="I168" s="49"/>
      <c r="J168" s="49"/>
      <c r="K168" s="49"/>
      <c r="L168" s="49">
        <v>79.55</v>
      </c>
      <c r="M168" s="49"/>
      <c r="N168" s="49"/>
      <c r="O168" s="49"/>
      <c r="P168" s="49"/>
      <c r="Q168" s="49">
        <v>165</v>
      </c>
      <c r="R168" s="49"/>
      <c r="S168" s="49"/>
      <c r="T168" s="49"/>
      <c r="U168" s="49"/>
      <c r="V168" s="49"/>
      <c r="W168" s="49"/>
      <c r="X168" s="49"/>
      <c r="Y168" s="49"/>
    </row>
    <row r="169" spans="1:25" ht="14.25" customHeight="1">
      <c r="A169" s="12" t="s">
        <v>420</v>
      </c>
      <c r="B169" s="8" t="s">
        <v>602</v>
      </c>
      <c r="C169" s="9" t="s">
        <v>630</v>
      </c>
      <c r="D169" s="9" t="s">
        <v>607</v>
      </c>
      <c r="E169" s="49"/>
      <c r="F169" s="49"/>
      <c r="G169" s="49"/>
      <c r="H169" s="49"/>
      <c r="I169" s="49"/>
      <c r="J169" s="49"/>
      <c r="K169" s="49"/>
      <c r="L169" s="49">
        <v>79.55</v>
      </c>
      <c r="M169" s="49"/>
      <c r="N169" s="49"/>
      <c r="O169" s="49"/>
      <c r="P169" s="49"/>
      <c r="Q169" s="49">
        <v>114</v>
      </c>
      <c r="R169" s="49"/>
      <c r="S169" s="49"/>
      <c r="T169" s="49"/>
      <c r="U169" s="49"/>
      <c r="V169" s="49"/>
      <c r="W169" s="49"/>
      <c r="X169" s="49"/>
      <c r="Y169" s="49"/>
    </row>
    <row r="170" spans="1:25" ht="14.25" customHeight="1">
      <c r="A170" s="12" t="s">
        <v>421</v>
      </c>
      <c r="B170" s="8" t="s">
        <v>602</v>
      </c>
      <c r="C170" s="9" t="s">
        <v>631</v>
      </c>
      <c r="D170" s="9" t="s">
        <v>607</v>
      </c>
      <c r="E170" s="49"/>
      <c r="F170" s="49"/>
      <c r="G170" s="49"/>
      <c r="H170" s="49"/>
      <c r="I170" s="49"/>
      <c r="J170" s="49"/>
      <c r="K170" s="49"/>
      <c r="L170" s="49">
        <v>67.790000000000006</v>
      </c>
      <c r="M170" s="49"/>
      <c r="N170" s="49"/>
      <c r="O170" s="49"/>
      <c r="P170" s="49"/>
      <c r="Q170" s="49">
        <v>142</v>
      </c>
      <c r="R170" s="49"/>
      <c r="S170" s="49"/>
      <c r="T170" s="49"/>
      <c r="U170" s="49"/>
      <c r="V170" s="49"/>
      <c r="W170" s="49"/>
      <c r="X170" s="49"/>
      <c r="Y170" s="49"/>
    </row>
    <row r="171" spans="1:25" ht="14.25" customHeight="1">
      <c r="A171" s="12" t="s">
        <v>422</v>
      </c>
      <c r="B171" s="8" t="s">
        <v>602</v>
      </c>
      <c r="C171" s="9" t="s">
        <v>632</v>
      </c>
      <c r="D171" s="9" t="s">
        <v>607</v>
      </c>
      <c r="E171" s="49"/>
      <c r="F171" s="49"/>
      <c r="G171" s="49"/>
      <c r="H171" s="49"/>
      <c r="I171" s="49"/>
      <c r="J171" s="49"/>
      <c r="K171" s="49"/>
      <c r="L171" s="49">
        <v>51.21</v>
      </c>
      <c r="M171" s="49"/>
      <c r="N171" s="49"/>
      <c r="O171" s="49"/>
      <c r="P171" s="49"/>
      <c r="Q171" s="49">
        <v>114</v>
      </c>
      <c r="R171" s="49"/>
      <c r="S171" s="49"/>
      <c r="T171" s="49"/>
      <c r="U171" s="49"/>
      <c r="V171" s="49"/>
      <c r="W171" s="49"/>
      <c r="X171" s="49"/>
      <c r="Y171" s="49"/>
    </row>
    <row r="172" spans="1:25" ht="14.25" customHeight="1">
      <c r="A172" s="12" t="s">
        <v>423</v>
      </c>
      <c r="B172" s="8" t="s">
        <v>602</v>
      </c>
      <c r="C172" s="9" t="s">
        <v>633</v>
      </c>
      <c r="D172" s="9" t="s">
        <v>607</v>
      </c>
      <c r="E172" s="49"/>
      <c r="F172" s="49"/>
      <c r="G172" s="49"/>
      <c r="H172" s="49"/>
      <c r="I172" s="49"/>
      <c r="J172" s="49"/>
      <c r="K172" s="49"/>
      <c r="L172" s="49">
        <v>119.51</v>
      </c>
      <c r="M172" s="49"/>
      <c r="N172" s="49"/>
      <c r="O172" s="49"/>
      <c r="P172" s="49"/>
      <c r="Q172" s="49">
        <v>194</v>
      </c>
      <c r="R172" s="49"/>
      <c r="S172" s="49"/>
      <c r="T172" s="49"/>
      <c r="U172" s="49"/>
      <c r="V172" s="49"/>
      <c r="W172" s="49"/>
      <c r="X172" s="49"/>
      <c r="Y172" s="49"/>
    </row>
    <row r="173" spans="1:25" ht="14.25" customHeight="1">
      <c r="A173" s="12"/>
      <c r="B173" s="8"/>
      <c r="C173" s="9"/>
      <c r="D173" s="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spans="1:25" ht="14.25" customHeight="1">
      <c r="A174" s="12" t="s">
        <v>424</v>
      </c>
      <c r="B174" s="8" t="s">
        <v>600</v>
      </c>
      <c r="C174" s="9" t="s">
        <v>623</v>
      </c>
      <c r="D174" s="9" t="s">
        <v>607</v>
      </c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 spans="1:25" ht="14.25" customHeight="1">
      <c r="A175" s="12" t="s">
        <v>425</v>
      </c>
      <c r="B175" s="8" t="s">
        <v>600</v>
      </c>
      <c r="C175" s="9" t="s">
        <v>624</v>
      </c>
      <c r="D175" s="9" t="s">
        <v>607</v>
      </c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 spans="1:25" ht="14.25" customHeight="1">
      <c r="A176" s="12" t="s">
        <v>426</v>
      </c>
      <c r="B176" s="8" t="s">
        <v>600</v>
      </c>
      <c r="C176" s="9" t="s">
        <v>625</v>
      </c>
      <c r="D176" s="9" t="s">
        <v>607</v>
      </c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 spans="1:25" ht="14.25" customHeight="1">
      <c r="A177" s="12" t="s">
        <v>427</v>
      </c>
      <c r="B177" s="8" t="s">
        <v>600</v>
      </c>
      <c r="C177" s="9" t="s">
        <v>626</v>
      </c>
      <c r="D177" s="9" t="s">
        <v>607</v>
      </c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 spans="1:25" ht="14.25" customHeight="1">
      <c r="A178" s="12" t="s">
        <v>428</v>
      </c>
      <c r="B178" s="8" t="s">
        <v>600</v>
      </c>
      <c r="C178" s="9" t="s">
        <v>627</v>
      </c>
      <c r="D178" s="9" t="s">
        <v>607</v>
      </c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 spans="1:25" ht="14.25" customHeight="1">
      <c r="A179" s="12" t="s">
        <v>429</v>
      </c>
      <c r="B179" s="8" t="s">
        <v>600</v>
      </c>
      <c r="C179" s="9" t="s">
        <v>628</v>
      </c>
      <c r="D179" s="9" t="s">
        <v>607</v>
      </c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 spans="1:25" ht="14.25" customHeight="1">
      <c r="A180" s="12" t="s">
        <v>430</v>
      </c>
      <c r="B180" s="8" t="s">
        <v>600</v>
      </c>
      <c r="C180" s="9" t="s">
        <v>629</v>
      </c>
      <c r="D180" s="9" t="s">
        <v>607</v>
      </c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 spans="1:25" ht="14.25" customHeight="1">
      <c r="A181" s="12" t="s">
        <v>431</v>
      </c>
      <c r="B181" s="8" t="s">
        <v>600</v>
      </c>
      <c r="C181" s="9" t="s">
        <v>630</v>
      </c>
      <c r="D181" s="9" t="s">
        <v>607</v>
      </c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 spans="1:25" ht="14.25" customHeight="1">
      <c r="A182" s="12" t="s">
        <v>432</v>
      </c>
      <c r="B182" s="8" t="s">
        <v>600</v>
      </c>
      <c r="C182" s="9" t="s">
        <v>631</v>
      </c>
      <c r="D182" s="9" t="s">
        <v>607</v>
      </c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 spans="1:25" ht="14.25" customHeight="1">
      <c r="A183" s="12" t="s">
        <v>433</v>
      </c>
      <c r="B183" s="8" t="s">
        <v>600</v>
      </c>
      <c r="C183" s="9" t="s">
        <v>632</v>
      </c>
      <c r="D183" s="9" t="s">
        <v>607</v>
      </c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 spans="1:25" ht="14.25" customHeight="1">
      <c r="A184" s="12" t="s">
        <v>434</v>
      </c>
      <c r="B184" s="8" t="s">
        <v>600</v>
      </c>
      <c r="C184" s="9" t="s">
        <v>633</v>
      </c>
      <c r="D184" s="9" t="s">
        <v>607</v>
      </c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 spans="1:25" ht="14.25" customHeight="1">
      <c r="A185" s="12"/>
      <c r="B185" s="8"/>
      <c r="C185" s="9"/>
      <c r="D185" s="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spans="1:25" ht="14.25" customHeight="1">
      <c r="A186" s="12" t="s">
        <v>435</v>
      </c>
      <c r="B186" s="8" t="s">
        <v>601</v>
      </c>
      <c r="C186" s="9" t="s">
        <v>623</v>
      </c>
      <c r="D186" s="9" t="s">
        <v>607</v>
      </c>
      <c r="E186" s="49">
        <v>354.63</v>
      </c>
      <c r="F186" s="49">
        <v>354.63</v>
      </c>
      <c r="G186" s="49"/>
      <c r="H186" s="49"/>
      <c r="I186" s="49"/>
      <c r="J186" s="49">
        <v>179</v>
      </c>
      <c r="K186" s="49"/>
      <c r="L186" s="49">
        <v>127.67</v>
      </c>
      <c r="M186" s="49">
        <v>209</v>
      </c>
      <c r="N186" s="49"/>
      <c r="O186" s="49"/>
      <c r="P186" s="49"/>
      <c r="Q186" s="49">
        <v>238</v>
      </c>
      <c r="R186" s="49">
        <v>149.35</v>
      </c>
      <c r="S186" s="49">
        <v>165</v>
      </c>
      <c r="T186" s="49"/>
      <c r="U186" s="49"/>
      <c r="V186" s="49">
        <v>187</v>
      </c>
      <c r="W186" s="49"/>
      <c r="X186" s="49">
        <v>187.37</v>
      </c>
      <c r="Y186" s="49">
        <v>187.37</v>
      </c>
    </row>
    <row r="187" spans="1:25" ht="14.25" customHeight="1">
      <c r="A187" s="12" t="s">
        <v>436</v>
      </c>
      <c r="B187" s="8" t="s">
        <v>601</v>
      </c>
      <c r="C187" s="9" t="s">
        <v>624</v>
      </c>
      <c r="D187" s="9" t="s">
        <v>607</v>
      </c>
      <c r="E187" s="49">
        <v>210.53</v>
      </c>
      <c r="F187" s="49">
        <v>210.53</v>
      </c>
      <c r="G187" s="49"/>
      <c r="H187" s="49"/>
      <c r="I187" s="49"/>
      <c r="J187" s="49">
        <v>107</v>
      </c>
      <c r="K187" s="49"/>
      <c r="L187" s="49">
        <v>139.12</v>
      </c>
      <c r="M187" s="49">
        <v>175</v>
      </c>
      <c r="N187" s="49"/>
      <c r="O187" s="49"/>
      <c r="P187" s="49"/>
      <c r="Q187" s="49">
        <v>165</v>
      </c>
      <c r="R187" s="49">
        <v>149.35</v>
      </c>
      <c r="S187" s="49">
        <v>175</v>
      </c>
      <c r="T187" s="49"/>
      <c r="U187" s="49"/>
      <c r="V187" s="49">
        <v>187</v>
      </c>
      <c r="W187" s="49"/>
      <c r="X187" s="49">
        <v>178.46</v>
      </c>
      <c r="Y187" s="49">
        <v>178.46</v>
      </c>
    </row>
    <row r="188" spans="1:25" ht="14.25" customHeight="1">
      <c r="A188" s="12" t="s">
        <v>437</v>
      </c>
      <c r="B188" s="8" t="s">
        <v>601</v>
      </c>
      <c r="C188" s="9" t="s">
        <v>625</v>
      </c>
      <c r="D188" s="9" t="s">
        <v>607</v>
      </c>
      <c r="E188" s="49">
        <v>321.68</v>
      </c>
      <c r="F188" s="49">
        <v>321.68</v>
      </c>
      <c r="G188" s="49"/>
      <c r="H188" s="49"/>
      <c r="I188" s="49"/>
      <c r="J188" s="49">
        <v>121</v>
      </c>
      <c r="K188" s="49"/>
      <c r="L188" s="49">
        <v>152.5</v>
      </c>
      <c r="M188" s="49">
        <v>209</v>
      </c>
      <c r="N188" s="49"/>
      <c r="O188" s="49"/>
      <c r="P188" s="49"/>
      <c r="Q188" s="49">
        <v>194</v>
      </c>
      <c r="R188" s="49">
        <v>154.5</v>
      </c>
      <c r="S188" s="49">
        <v>208</v>
      </c>
      <c r="T188" s="49"/>
      <c r="U188" s="49"/>
      <c r="V188" s="49">
        <v>276</v>
      </c>
      <c r="W188" s="49"/>
      <c r="X188" s="49">
        <v>185.96</v>
      </c>
      <c r="Y188" s="49">
        <v>185.36</v>
      </c>
    </row>
    <row r="189" spans="1:25" ht="14.25" customHeight="1">
      <c r="A189" s="12" t="s">
        <v>438</v>
      </c>
      <c r="B189" s="8" t="s">
        <v>601</v>
      </c>
      <c r="C189" s="9" t="s">
        <v>626</v>
      </c>
      <c r="D189" s="9" t="s">
        <v>607</v>
      </c>
      <c r="E189" s="49">
        <v>369.82</v>
      </c>
      <c r="F189" s="49">
        <v>369.82</v>
      </c>
      <c r="G189" s="49"/>
      <c r="H189" s="49"/>
      <c r="I189" s="49"/>
      <c r="J189" s="49">
        <v>136</v>
      </c>
      <c r="K189" s="49"/>
      <c r="L189" s="49">
        <v>198.84</v>
      </c>
      <c r="M189" s="49">
        <v>260</v>
      </c>
      <c r="N189" s="49"/>
      <c r="O189" s="49"/>
      <c r="P189" s="49"/>
      <c r="Q189" s="49">
        <v>238</v>
      </c>
      <c r="R189" s="49">
        <v>164.8</v>
      </c>
      <c r="S189" s="49">
        <v>232</v>
      </c>
      <c r="T189" s="49"/>
      <c r="U189" s="49"/>
      <c r="V189" s="49">
        <v>354</v>
      </c>
      <c r="W189" s="49"/>
      <c r="X189" s="49">
        <v>207.79</v>
      </c>
      <c r="Y189" s="49">
        <v>207.79</v>
      </c>
    </row>
    <row r="190" spans="1:25" ht="14.25" customHeight="1">
      <c r="A190" s="12" t="s">
        <v>439</v>
      </c>
      <c r="B190" s="8" t="s">
        <v>601</v>
      </c>
      <c r="C190" s="9" t="s">
        <v>627</v>
      </c>
      <c r="D190" s="9" t="s">
        <v>607</v>
      </c>
      <c r="E190" s="49">
        <v>167.25</v>
      </c>
      <c r="F190" s="49">
        <v>167.25</v>
      </c>
      <c r="G190" s="49"/>
      <c r="H190" s="49"/>
      <c r="I190" s="49"/>
      <c r="J190" s="49">
        <v>108</v>
      </c>
      <c r="K190" s="49"/>
      <c r="L190" s="49">
        <v>76.64</v>
      </c>
      <c r="M190" s="49">
        <v>120</v>
      </c>
      <c r="N190" s="49"/>
      <c r="O190" s="49"/>
      <c r="P190" s="49"/>
      <c r="Q190" s="49">
        <v>142</v>
      </c>
      <c r="R190" s="49">
        <v>79</v>
      </c>
      <c r="S190" s="49">
        <v>79</v>
      </c>
      <c r="T190" s="49"/>
      <c r="U190" s="49"/>
      <c r="V190" s="49">
        <v>101</v>
      </c>
      <c r="W190" s="49"/>
      <c r="X190" s="49">
        <v>118.32</v>
      </c>
      <c r="Y190" s="49">
        <v>118.32</v>
      </c>
    </row>
    <row r="191" spans="1:25" ht="14.25" customHeight="1">
      <c r="A191" s="12" t="s">
        <v>440</v>
      </c>
      <c r="B191" s="8" t="s">
        <v>601</v>
      </c>
      <c r="C191" s="9" t="s">
        <v>628</v>
      </c>
      <c r="D191" s="9" t="s">
        <v>607</v>
      </c>
      <c r="E191" s="49">
        <v>277.87</v>
      </c>
      <c r="F191" s="49">
        <v>277.87</v>
      </c>
      <c r="G191" s="49"/>
      <c r="H191" s="49"/>
      <c r="I191" s="49"/>
      <c r="J191" s="49">
        <v>158</v>
      </c>
      <c r="K191" s="49"/>
      <c r="L191" s="49">
        <v>198.84</v>
      </c>
      <c r="M191" s="49">
        <v>209</v>
      </c>
      <c r="N191" s="49"/>
      <c r="O191" s="49"/>
      <c r="P191" s="49"/>
      <c r="Q191" s="49">
        <v>194</v>
      </c>
      <c r="R191" s="49">
        <v>144.19999999999999</v>
      </c>
      <c r="S191" s="49">
        <v>211</v>
      </c>
      <c r="T191" s="49"/>
      <c r="U191" s="49"/>
      <c r="V191" s="49">
        <v>354</v>
      </c>
      <c r="W191" s="49"/>
      <c r="X191" s="49">
        <v>207.79</v>
      </c>
      <c r="Y191" s="49">
        <v>207.79</v>
      </c>
    </row>
    <row r="192" spans="1:25" ht="14.25" customHeight="1">
      <c r="A192" s="12" t="s">
        <v>441</v>
      </c>
      <c r="B192" s="8" t="s">
        <v>601</v>
      </c>
      <c r="C192" s="9" t="s">
        <v>629</v>
      </c>
      <c r="D192" s="9" t="s">
        <v>607</v>
      </c>
      <c r="E192" s="49">
        <v>210.53</v>
      </c>
      <c r="F192" s="49">
        <v>210.53</v>
      </c>
      <c r="G192" s="49"/>
      <c r="H192" s="49"/>
      <c r="I192" s="49"/>
      <c r="J192" s="49">
        <v>95</v>
      </c>
      <c r="K192" s="49"/>
      <c r="L192" s="49">
        <v>76.64</v>
      </c>
      <c r="M192" s="49">
        <v>175</v>
      </c>
      <c r="N192" s="49"/>
      <c r="O192" s="49"/>
      <c r="P192" s="49"/>
      <c r="Q192" s="49">
        <v>165</v>
      </c>
      <c r="R192" s="49">
        <v>123.6</v>
      </c>
      <c r="S192" s="49">
        <v>168</v>
      </c>
      <c r="T192" s="49"/>
      <c r="U192" s="49"/>
      <c r="V192" s="49">
        <v>183</v>
      </c>
      <c r="W192" s="49"/>
      <c r="X192" s="49">
        <v>159.30000000000001</v>
      </c>
      <c r="Y192" s="49">
        <v>159.30000000000001</v>
      </c>
    </row>
    <row r="193" spans="1:25" ht="14.25" customHeight="1">
      <c r="A193" s="12" t="s">
        <v>442</v>
      </c>
      <c r="B193" s="8" t="s">
        <v>601</v>
      </c>
      <c r="C193" s="9" t="s">
        <v>630</v>
      </c>
      <c r="D193" s="9" t="s">
        <v>607</v>
      </c>
      <c r="E193" s="49">
        <v>111.57</v>
      </c>
      <c r="F193" s="49">
        <v>111.57</v>
      </c>
      <c r="G193" s="49"/>
      <c r="H193" s="49"/>
      <c r="I193" s="49"/>
      <c r="J193" s="49">
        <v>94</v>
      </c>
      <c r="K193" s="49"/>
      <c r="L193" s="49">
        <v>59.95</v>
      </c>
      <c r="M193" s="49">
        <v>105</v>
      </c>
      <c r="N193" s="49"/>
      <c r="O193" s="49"/>
      <c r="P193" s="49"/>
      <c r="Q193" s="49">
        <v>114</v>
      </c>
      <c r="R193" s="49">
        <v>98</v>
      </c>
      <c r="S193" s="49">
        <v>98</v>
      </c>
      <c r="T193" s="49"/>
      <c r="U193" s="49"/>
      <c r="V193" s="49">
        <v>140</v>
      </c>
      <c r="W193" s="49"/>
      <c r="X193" s="49">
        <v>94.32</v>
      </c>
      <c r="Y193" s="49">
        <v>94.32</v>
      </c>
    </row>
    <row r="194" spans="1:25" ht="14.25" customHeight="1">
      <c r="A194" s="12" t="s">
        <v>443</v>
      </c>
      <c r="B194" s="8" t="s">
        <v>601</v>
      </c>
      <c r="C194" s="9" t="s">
        <v>631</v>
      </c>
      <c r="D194" s="9" t="s">
        <v>607</v>
      </c>
      <c r="E194" s="49">
        <v>277.87</v>
      </c>
      <c r="F194" s="49">
        <v>277.87</v>
      </c>
      <c r="G194" s="49"/>
      <c r="H194" s="49"/>
      <c r="I194" s="49"/>
      <c r="J194" s="49">
        <v>136</v>
      </c>
      <c r="K194" s="49"/>
      <c r="L194" s="49">
        <v>139.12</v>
      </c>
      <c r="M194" s="49">
        <v>175</v>
      </c>
      <c r="N194" s="49"/>
      <c r="O194" s="49"/>
      <c r="P194" s="49"/>
      <c r="Q194" s="49">
        <v>142</v>
      </c>
      <c r="R194" s="49">
        <v>232</v>
      </c>
      <c r="S194" s="49">
        <v>232</v>
      </c>
      <c r="T194" s="49"/>
      <c r="U194" s="49"/>
      <c r="V194" s="49">
        <v>140</v>
      </c>
      <c r="W194" s="49"/>
      <c r="X194" s="49">
        <v>154.16</v>
      </c>
      <c r="Y194" s="49">
        <v>154.16</v>
      </c>
    </row>
    <row r="195" spans="1:25" ht="14.25" customHeight="1">
      <c r="A195" s="12" t="s">
        <v>444</v>
      </c>
      <c r="B195" s="8" t="s">
        <v>601</v>
      </c>
      <c r="C195" s="9" t="s">
        <v>632</v>
      </c>
      <c r="D195" s="9" t="s">
        <v>607</v>
      </c>
      <c r="E195" s="49">
        <v>217.75</v>
      </c>
      <c r="F195" s="49">
        <v>217.75</v>
      </c>
      <c r="G195" s="49"/>
      <c r="H195" s="49"/>
      <c r="I195" s="49"/>
      <c r="J195" s="49">
        <v>162</v>
      </c>
      <c r="K195" s="49"/>
      <c r="L195" s="49">
        <v>89.92</v>
      </c>
      <c r="M195" s="49">
        <v>137</v>
      </c>
      <c r="N195" s="49"/>
      <c r="O195" s="49"/>
      <c r="P195" s="49"/>
      <c r="Q195" s="49">
        <v>114</v>
      </c>
      <c r="R195" s="49">
        <v>144</v>
      </c>
      <c r="S195" s="49">
        <v>144</v>
      </c>
      <c r="T195" s="49"/>
      <c r="U195" s="49"/>
      <c r="V195" s="49">
        <v>101</v>
      </c>
      <c r="W195" s="49"/>
      <c r="X195" s="49">
        <v>207.79</v>
      </c>
      <c r="Y195" s="49">
        <v>207.79</v>
      </c>
    </row>
    <row r="196" spans="1:25" ht="14.25" customHeight="1">
      <c r="A196" s="12" t="s">
        <v>445</v>
      </c>
      <c r="B196" s="8" t="s">
        <v>601</v>
      </c>
      <c r="C196" s="9" t="s">
        <v>633</v>
      </c>
      <c r="D196" s="9" t="s">
        <v>607</v>
      </c>
      <c r="E196" s="49">
        <v>239.28</v>
      </c>
      <c r="F196" s="49">
        <v>239.28</v>
      </c>
      <c r="G196" s="49"/>
      <c r="H196" s="49"/>
      <c r="I196" s="49"/>
      <c r="J196" s="49">
        <v>113</v>
      </c>
      <c r="K196" s="49"/>
      <c r="L196" s="49">
        <v>135.09</v>
      </c>
      <c r="M196" s="49">
        <v>311</v>
      </c>
      <c r="N196" s="49"/>
      <c r="O196" s="49"/>
      <c r="P196" s="49"/>
      <c r="Q196" s="49">
        <v>194</v>
      </c>
      <c r="R196" s="49">
        <v>144.19999999999999</v>
      </c>
      <c r="S196" s="49">
        <v>124</v>
      </c>
      <c r="T196" s="49"/>
      <c r="U196" s="49"/>
      <c r="V196" s="49">
        <v>140</v>
      </c>
      <c r="W196" s="49"/>
      <c r="X196" s="49">
        <v>187.37</v>
      </c>
      <c r="Y196" s="49">
        <v>187.37</v>
      </c>
    </row>
    <row r="199" spans="1:25">
      <c r="A199" s="13"/>
      <c r="C199" s="10"/>
      <c r="D199" s="10"/>
    </row>
  </sheetData>
  <autoFilter ref="A1:Y16"/>
  <phoneticPr fontId="8" type="noConversion"/>
  <pageMargins left="0.37" right="0.38" top="0.79" bottom="0.41" header="0.36" footer="0.16"/>
  <pageSetup scale="50" orientation="portrait" r:id="rId1"/>
  <headerFooter alignWithMargins="0">
    <oddHeader>&amp;C&amp;"Arial,Bold"GSA EaaS BPA Pricing
Revision 1&amp;R&amp;G</oddHeader>
    <oddFooter>&amp;RNov 2012</oddFooter>
  </headerFooter>
  <legacyDrawingHF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8" enableFormatConditionsCalculation="0">
    <tabColor indexed="31"/>
  </sheetPr>
  <dimension ref="A1:Y199"/>
  <sheetViews>
    <sheetView zoomScale="70" zoomScaleNormal="70" zoomScalePageLayoutView="85" workbookViewId="0">
      <pane xSplit="3" ySplit="1" topLeftCell="D2" activePane="bottomRight" state="frozen"/>
      <selection activeCell="E5" sqref="E5"/>
      <selection pane="topRight" activeCell="E5" sqref="E5"/>
      <selection pane="bottomLeft" activeCell="E5" sqref="E5"/>
      <selection pane="bottomRight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855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446</v>
      </c>
      <c r="B2" s="8" t="s">
        <v>598</v>
      </c>
      <c r="C2" s="9" t="s">
        <v>610</v>
      </c>
      <c r="D2" s="9" t="s">
        <v>603</v>
      </c>
      <c r="E2" s="49">
        <v>4.05</v>
      </c>
      <c r="F2" s="49">
        <v>7.23</v>
      </c>
      <c r="G2" s="49"/>
      <c r="H2" s="49"/>
      <c r="I2" s="49"/>
      <c r="J2" s="49">
        <v>3.74</v>
      </c>
      <c r="K2" s="49"/>
      <c r="L2" s="49"/>
      <c r="M2" s="49">
        <v>3.96</v>
      </c>
      <c r="N2" s="49"/>
      <c r="O2" s="49"/>
      <c r="P2" s="49"/>
      <c r="Q2" s="49">
        <v>13.397499999999999</v>
      </c>
      <c r="R2" s="49">
        <v>3.85</v>
      </c>
      <c r="S2" s="49">
        <v>4.04</v>
      </c>
      <c r="T2" s="49"/>
      <c r="U2" s="49"/>
      <c r="V2" s="49">
        <v>7.35</v>
      </c>
      <c r="W2" s="49"/>
      <c r="X2" s="49"/>
      <c r="Y2" s="49"/>
    </row>
    <row r="3" spans="1:25" s="7" customFormat="1" ht="15" customHeight="1">
      <c r="A3" s="12" t="s">
        <v>447</v>
      </c>
      <c r="B3" s="8" t="s">
        <v>598</v>
      </c>
      <c r="C3" s="9" t="s">
        <v>611</v>
      </c>
      <c r="D3" s="9" t="s">
        <v>603</v>
      </c>
      <c r="E3" s="49">
        <v>4.05</v>
      </c>
      <c r="F3" s="49">
        <v>7.23</v>
      </c>
      <c r="G3" s="49"/>
      <c r="H3" s="49"/>
      <c r="I3" s="49"/>
      <c r="J3" s="49">
        <v>3.72</v>
      </c>
      <c r="K3" s="49"/>
      <c r="L3" s="49"/>
      <c r="M3" s="49">
        <v>3.96</v>
      </c>
      <c r="N3" s="49"/>
      <c r="O3" s="49"/>
      <c r="P3" s="49"/>
      <c r="Q3" s="49">
        <v>8.3259999999999987</v>
      </c>
      <c r="R3" s="49">
        <v>3.85</v>
      </c>
      <c r="S3" s="49">
        <v>4</v>
      </c>
      <c r="T3" s="49"/>
      <c r="U3" s="49"/>
      <c r="V3" s="49">
        <v>7.35</v>
      </c>
      <c r="W3" s="49"/>
      <c r="X3" s="49"/>
      <c r="Y3" s="49"/>
    </row>
    <row r="4" spans="1:25" s="7" customFormat="1" ht="15" customHeight="1">
      <c r="A4" s="12" t="s">
        <v>448</v>
      </c>
      <c r="B4" s="8" t="s">
        <v>598</v>
      </c>
      <c r="C4" s="9" t="s">
        <v>612</v>
      </c>
      <c r="D4" s="9" t="s">
        <v>603</v>
      </c>
      <c r="E4" s="49">
        <v>4.05</v>
      </c>
      <c r="F4" s="49">
        <v>7.23</v>
      </c>
      <c r="G4" s="49"/>
      <c r="H4" s="49"/>
      <c r="I4" s="49"/>
      <c r="J4" s="49">
        <v>3.68</v>
      </c>
      <c r="K4" s="49"/>
      <c r="L4" s="49"/>
      <c r="M4" s="49">
        <v>3.96</v>
      </c>
      <c r="N4" s="49"/>
      <c r="O4" s="49"/>
      <c r="P4" s="49"/>
      <c r="Q4" s="49">
        <v>7.4979999999999993</v>
      </c>
      <c r="R4" s="49">
        <v>3.85</v>
      </c>
      <c r="S4" s="49">
        <v>3.97</v>
      </c>
      <c r="T4" s="49"/>
      <c r="U4" s="49"/>
      <c r="V4" s="49">
        <v>7.35</v>
      </c>
      <c r="W4" s="49"/>
      <c r="X4" s="49"/>
      <c r="Y4" s="49"/>
    </row>
    <row r="5" spans="1:25" s="7" customFormat="1" ht="15" customHeight="1">
      <c r="A5" s="12" t="s">
        <v>449</v>
      </c>
      <c r="B5" s="8" t="s">
        <v>598</v>
      </c>
      <c r="C5" s="9" t="s">
        <v>677</v>
      </c>
      <c r="D5" s="9" t="s">
        <v>604</v>
      </c>
      <c r="E5" s="49">
        <v>0</v>
      </c>
      <c r="F5" s="49"/>
      <c r="G5" s="49"/>
      <c r="H5" s="49"/>
      <c r="I5" s="49"/>
      <c r="J5" s="49">
        <v>0</v>
      </c>
      <c r="K5" s="49"/>
      <c r="L5" s="49"/>
      <c r="M5" s="49"/>
      <c r="N5" s="49"/>
      <c r="O5" s="49"/>
      <c r="P5" s="49"/>
      <c r="Q5" s="49">
        <v>0.79349999999999987</v>
      </c>
      <c r="R5" s="49"/>
      <c r="S5" s="49"/>
      <c r="T5" s="49"/>
      <c r="U5" s="49"/>
      <c r="V5" s="49"/>
      <c r="W5" s="49"/>
      <c r="X5" s="49"/>
      <c r="Y5" s="49"/>
    </row>
    <row r="6" spans="1:25" s="7" customFormat="1" ht="15" customHeight="1">
      <c r="A6" s="12" t="s">
        <v>450</v>
      </c>
      <c r="B6" s="8" t="s">
        <v>598</v>
      </c>
      <c r="C6" s="9" t="s">
        <v>678</v>
      </c>
      <c r="D6" s="9" t="s">
        <v>604</v>
      </c>
      <c r="E6" s="49">
        <v>0</v>
      </c>
      <c r="F6" s="49"/>
      <c r="G6" s="49"/>
      <c r="H6" s="49"/>
      <c r="I6" s="49"/>
      <c r="J6" s="49">
        <v>0</v>
      </c>
      <c r="K6" s="49"/>
      <c r="L6" s="49"/>
      <c r="M6" s="49"/>
      <c r="N6" s="49"/>
      <c r="O6" s="49"/>
      <c r="P6" s="49"/>
      <c r="Q6" s="49">
        <v>0.79349999999999987</v>
      </c>
      <c r="R6" s="49"/>
      <c r="S6" s="49"/>
      <c r="T6" s="49"/>
      <c r="U6" s="49"/>
      <c r="V6" s="49"/>
      <c r="W6" s="49"/>
      <c r="X6" s="49"/>
      <c r="Y6" s="49"/>
    </row>
    <row r="7" spans="1:25" s="7" customFormat="1" ht="15" customHeight="1">
      <c r="A7" s="12" t="s">
        <v>451</v>
      </c>
      <c r="B7" s="8" t="s">
        <v>598</v>
      </c>
      <c r="C7" s="9" t="s">
        <v>679</v>
      </c>
      <c r="D7" s="9" t="s">
        <v>604</v>
      </c>
      <c r="E7" s="49">
        <v>0</v>
      </c>
      <c r="F7" s="49"/>
      <c r="G7" s="49"/>
      <c r="H7" s="49"/>
      <c r="I7" s="49"/>
      <c r="J7" s="49">
        <v>0</v>
      </c>
      <c r="K7" s="49"/>
      <c r="L7" s="49"/>
      <c r="M7" s="49"/>
      <c r="N7" s="49"/>
      <c r="O7" s="49"/>
      <c r="P7" s="49"/>
      <c r="Q7" s="49">
        <v>0.79349999999999987</v>
      </c>
      <c r="R7" s="49"/>
      <c r="S7" s="49"/>
      <c r="T7" s="49"/>
      <c r="U7" s="49"/>
      <c r="V7" s="49"/>
      <c r="W7" s="49"/>
      <c r="X7" s="49"/>
      <c r="Y7" s="49"/>
    </row>
    <row r="8" spans="1:25" s="7" customFormat="1" ht="15" customHeight="1">
      <c r="A8" s="12" t="s">
        <v>452</v>
      </c>
      <c r="B8" s="8" t="s">
        <v>598</v>
      </c>
      <c r="C8" s="9" t="s">
        <v>613</v>
      </c>
      <c r="D8" s="9" t="s">
        <v>603</v>
      </c>
      <c r="E8" s="49">
        <v>1.52</v>
      </c>
      <c r="F8" s="49">
        <v>0</v>
      </c>
      <c r="G8" s="49"/>
      <c r="H8" s="49"/>
      <c r="I8" s="49"/>
      <c r="J8" s="49">
        <v>1.85</v>
      </c>
      <c r="K8" s="49"/>
      <c r="L8" s="49"/>
      <c r="M8" s="49">
        <v>1.49</v>
      </c>
      <c r="N8" s="49"/>
      <c r="O8" s="49"/>
      <c r="P8" s="49"/>
      <c r="Q8" s="49">
        <v>1.472</v>
      </c>
      <c r="R8" s="49">
        <v>1.91</v>
      </c>
      <c r="S8" s="49">
        <v>2.0099999999999998</v>
      </c>
      <c r="T8" s="49"/>
      <c r="U8" s="49"/>
      <c r="V8" s="49">
        <v>0</v>
      </c>
      <c r="W8" s="49"/>
      <c r="X8" s="49"/>
      <c r="Y8" s="49"/>
    </row>
    <row r="9" spans="1:25" s="7" customFormat="1" ht="15" customHeight="1">
      <c r="A9" s="12" t="s">
        <v>453</v>
      </c>
      <c r="B9" s="8" t="s">
        <v>598</v>
      </c>
      <c r="C9" s="9" t="s">
        <v>614</v>
      </c>
      <c r="D9" s="9" t="s">
        <v>603</v>
      </c>
      <c r="E9" s="49">
        <v>1.52</v>
      </c>
      <c r="F9" s="49">
        <v>0</v>
      </c>
      <c r="G9" s="49"/>
      <c r="H9" s="49"/>
      <c r="I9" s="49"/>
      <c r="J9" s="49">
        <v>1.84</v>
      </c>
      <c r="K9" s="49"/>
      <c r="L9" s="49"/>
      <c r="M9" s="49">
        <v>1.49</v>
      </c>
      <c r="N9" s="49"/>
      <c r="O9" s="49"/>
      <c r="P9" s="49"/>
      <c r="Q9" s="49">
        <v>1.38</v>
      </c>
      <c r="R9" s="49">
        <v>1.91</v>
      </c>
      <c r="S9" s="49">
        <v>1.99</v>
      </c>
      <c r="T9" s="49"/>
      <c r="U9" s="49"/>
      <c r="V9" s="49">
        <v>0</v>
      </c>
      <c r="W9" s="49"/>
      <c r="X9" s="49"/>
      <c r="Y9" s="49"/>
    </row>
    <row r="10" spans="1:25" s="7" customFormat="1" ht="15" customHeight="1">
      <c r="A10" s="12" t="s">
        <v>454</v>
      </c>
      <c r="B10" s="8" t="s">
        <v>598</v>
      </c>
      <c r="C10" s="9" t="s">
        <v>615</v>
      </c>
      <c r="D10" s="9" t="s">
        <v>603</v>
      </c>
      <c r="E10" s="49">
        <v>1.52</v>
      </c>
      <c r="F10" s="49">
        <v>0</v>
      </c>
      <c r="G10" s="49"/>
      <c r="H10" s="49"/>
      <c r="I10" s="49"/>
      <c r="J10" s="49">
        <v>1.82</v>
      </c>
      <c r="K10" s="49"/>
      <c r="L10" s="49"/>
      <c r="M10" s="49">
        <v>1.49</v>
      </c>
      <c r="N10" s="49"/>
      <c r="O10" s="49"/>
      <c r="P10" s="49"/>
      <c r="Q10" s="49">
        <v>1.38</v>
      </c>
      <c r="R10" s="49">
        <v>1.91</v>
      </c>
      <c r="S10" s="49">
        <v>1.97</v>
      </c>
      <c r="T10" s="49"/>
      <c r="U10" s="49"/>
      <c r="V10" s="49">
        <v>0</v>
      </c>
      <c r="W10" s="49"/>
      <c r="X10" s="49"/>
      <c r="Y10" s="49"/>
    </row>
    <row r="11" spans="1:25" s="7" customFormat="1" ht="15" customHeight="1">
      <c r="A11" s="12" t="s">
        <v>455</v>
      </c>
      <c r="B11" s="8" t="s">
        <v>598</v>
      </c>
      <c r="C11" s="9" t="s">
        <v>616</v>
      </c>
      <c r="D11" s="9" t="s">
        <v>604</v>
      </c>
      <c r="E11" s="49">
        <v>0</v>
      </c>
      <c r="F11" s="49"/>
      <c r="G11" s="49"/>
      <c r="H11" s="49"/>
      <c r="I11" s="49"/>
      <c r="J11" s="49">
        <v>0</v>
      </c>
      <c r="K11" s="49"/>
      <c r="L11" s="49"/>
      <c r="M11" s="49">
        <v>0</v>
      </c>
      <c r="N11" s="49"/>
      <c r="O11" s="49"/>
      <c r="P11" s="49"/>
      <c r="Q11" s="49">
        <v>0.79349999999999987</v>
      </c>
      <c r="R11" s="49">
        <v>0</v>
      </c>
      <c r="S11" s="49"/>
      <c r="T11" s="49"/>
      <c r="U11" s="49"/>
      <c r="V11" s="49"/>
      <c r="W11" s="49"/>
      <c r="X11" s="49"/>
      <c r="Y11" s="49"/>
    </row>
    <row r="12" spans="1:25" s="7" customFormat="1" ht="15" customHeight="1">
      <c r="A12" s="12" t="s">
        <v>456</v>
      </c>
      <c r="B12" s="8" t="s">
        <v>598</v>
      </c>
      <c r="C12" s="9" t="s">
        <v>617</v>
      </c>
      <c r="D12" s="9" t="s">
        <v>604</v>
      </c>
      <c r="E12" s="49">
        <v>0</v>
      </c>
      <c r="F12" s="49"/>
      <c r="G12" s="49"/>
      <c r="H12" s="49"/>
      <c r="I12" s="49"/>
      <c r="J12" s="49">
        <v>0</v>
      </c>
      <c r="K12" s="49"/>
      <c r="L12" s="49"/>
      <c r="M12" s="49">
        <v>0</v>
      </c>
      <c r="N12" s="49"/>
      <c r="O12" s="49"/>
      <c r="P12" s="49"/>
      <c r="Q12" s="49">
        <v>0.79349999999999987</v>
      </c>
      <c r="R12" s="49">
        <v>0</v>
      </c>
      <c r="S12" s="49"/>
      <c r="T12" s="49"/>
      <c r="U12" s="49"/>
      <c r="V12" s="49"/>
      <c r="W12" s="49"/>
      <c r="X12" s="49"/>
      <c r="Y12" s="49"/>
    </row>
    <row r="13" spans="1:25" s="7" customFormat="1" ht="15" customHeight="1">
      <c r="A13" s="12" t="s">
        <v>457</v>
      </c>
      <c r="B13" s="8" t="s">
        <v>598</v>
      </c>
      <c r="C13" s="9" t="s">
        <v>618</v>
      </c>
      <c r="D13" s="9" t="s">
        <v>604</v>
      </c>
      <c r="E13" s="49">
        <v>0</v>
      </c>
      <c r="F13" s="49"/>
      <c r="G13" s="49"/>
      <c r="H13" s="49"/>
      <c r="I13" s="49"/>
      <c r="J13" s="49">
        <v>0</v>
      </c>
      <c r="K13" s="49"/>
      <c r="L13" s="49"/>
      <c r="M13" s="49">
        <v>0</v>
      </c>
      <c r="N13" s="49"/>
      <c r="O13" s="49"/>
      <c r="P13" s="49"/>
      <c r="Q13" s="49">
        <v>0.79349999999999987</v>
      </c>
      <c r="R13" s="49">
        <v>0</v>
      </c>
      <c r="S13" s="49"/>
      <c r="T13" s="49"/>
      <c r="U13" s="49"/>
      <c r="V13" s="49"/>
      <c r="W13" s="49"/>
      <c r="X13" s="49"/>
      <c r="Y13" s="49"/>
    </row>
    <row r="14" spans="1:25" s="7" customFormat="1" ht="15" customHeight="1">
      <c r="A14" s="12" t="s">
        <v>458</v>
      </c>
      <c r="B14" s="8" t="s">
        <v>598</v>
      </c>
      <c r="C14" s="9" t="s">
        <v>674</v>
      </c>
      <c r="D14" s="9" t="s">
        <v>603</v>
      </c>
      <c r="E14" s="49">
        <v>7.92</v>
      </c>
      <c r="F14" s="49">
        <v>0</v>
      </c>
      <c r="G14" s="49"/>
      <c r="H14" s="49"/>
      <c r="I14" s="49"/>
      <c r="J14" s="49">
        <v>14.63</v>
      </c>
      <c r="K14" s="49"/>
      <c r="L14" s="49"/>
      <c r="M14" s="49">
        <v>7.8</v>
      </c>
      <c r="N14" s="49"/>
      <c r="O14" s="49"/>
      <c r="P14" s="49"/>
      <c r="Q14" s="49">
        <v>10.395999999999999</v>
      </c>
      <c r="R14" s="49">
        <v>7.07</v>
      </c>
      <c r="S14" s="49">
        <v>7.13</v>
      </c>
      <c r="T14" s="49"/>
      <c r="U14" s="49"/>
      <c r="V14" s="49">
        <v>0</v>
      </c>
      <c r="W14" s="49"/>
      <c r="X14" s="49"/>
      <c r="Y14" s="49"/>
    </row>
    <row r="15" spans="1:25" s="7" customFormat="1" ht="15" customHeight="1">
      <c r="A15" s="12" t="s">
        <v>459</v>
      </c>
      <c r="B15" s="8" t="s">
        <v>598</v>
      </c>
      <c r="C15" s="9" t="s">
        <v>675</v>
      </c>
      <c r="D15" s="9" t="s">
        <v>603</v>
      </c>
      <c r="E15" s="49">
        <v>7.31</v>
      </c>
      <c r="F15" s="49">
        <v>0</v>
      </c>
      <c r="G15" s="49"/>
      <c r="H15" s="49"/>
      <c r="I15" s="49"/>
      <c r="J15" s="49">
        <v>14.63</v>
      </c>
      <c r="K15" s="49"/>
      <c r="L15" s="49"/>
      <c r="M15" s="49">
        <v>7.2</v>
      </c>
      <c r="N15" s="49"/>
      <c r="O15" s="49"/>
      <c r="P15" s="49"/>
      <c r="Q15" s="49">
        <v>4.3699999999999992</v>
      </c>
      <c r="R15" s="49">
        <v>6.48</v>
      </c>
      <c r="S15" s="49">
        <v>6.58</v>
      </c>
      <c r="T15" s="49"/>
      <c r="U15" s="49"/>
      <c r="V15" s="49">
        <v>0</v>
      </c>
      <c r="W15" s="49"/>
      <c r="X15" s="49"/>
      <c r="Y15" s="49"/>
    </row>
    <row r="16" spans="1:25" s="7" customFormat="1" ht="15" customHeight="1">
      <c r="A16" s="12" t="s">
        <v>460</v>
      </c>
      <c r="B16" s="8" t="s">
        <v>598</v>
      </c>
      <c r="C16" s="9" t="s">
        <v>676</v>
      </c>
      <c r="D16" s="9" t="s">
        <v>603</v>
      </c>
      <c r="E16" s="49">
        <v>6.7</v>
      </c>
      <c r="F16" s="49">
        <v>0</v>
      </c>
      <c r="G16" s="49"/>
      <c r="H16" s="49"/>
      <c r="I16" s="49"/>
      <c r="J16" s="49">
        <v>14.63</v>
      </c>
      <c r="K16" s="49"/>
      <c r="L16" s="49"/>
      <c r="M16" s="49">
        <v>6.6</v>
      </c>
      <c r="N16" s="49"/>
      <c r="O16" s="49"/>
      <c r="P16" s="49"/>
      <c r="Q16" s="49">
        <v>3.6109999999999998</v>
      </c>
      <c r="R16" s="49">
        <v>5.89</v>
      </c>
      <c r="S16" s="49">
        <v>6.03</v>
      </c>
      <c r="T16" s="49"/>
      <c r="U16" s="49"/>
      <c r="V16" s="49">
        <v>0</v>
      </c>
      <c r="W16" s="49"/>
      <c r="X16" s="49"/>
      <c r="Y16" s="49"/>
    </row>
    <row r="17" spans="1:25" s="7" customFormat="1" ht="15" customHeight="1">
      <c r="A17" s="12"/>
      <c r="B17" s="8"/>
      <c r="C17" s="9"/>
      <c r="D17" s="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spans="1:25" s="7" customFormat="1" ht="15" customHeight="1">
      <c r="A18" s="12" t="s">
        <v>461</v>
      </c>
      <c r="B18" s="8" t="s">
        <v>599</v>
      </c>
      <c r="C18" s="9" t="s">
        <v>610</v>
      </c>
      <c r="D18" s="9" t="s">
        <v>603</v>
      </c>
      <c r="E18" s="49"/>
      <c r="F18" s="49"/>
      <c r="G18" s="49"/>
      <c r="H18" s="49"/>
      <c r="I18" s="49"/>
      <c r="J18" s="49"/>
      <c r="K18" s="49"/>
      <c r="L18" s="49">
        <v>21.56</v>
      </c>
      <c r="M18" s="49"/>
      <c r="N18" s="49"/>
      <c r="O18" s="49"/>
      <c r="P18" s="49"/>
      <c r="Q18" s="49">
        <v>14.570499999999999</v>
      </c>
      <c r="R18" s="49"/>
      <c r="S18" s="49"/>
      <c r="T18" s="49"/>
      <c r="U18" s="49"/>
      <c r="V18" s="49"/>
      <c r="W18" s="49"/>
      <c r="X18" s="49"/>
      <c r="Y18" s="49"/>
    </row>
    <row r="19" spans="1:25" s="7" customFormat="1" ht="15" customHeight="1">
      <c r="A19" s="12" t="s">
        <v>462</v>
      </c>
      <c r="B19" s="8" t="s">
        <v>599</v>
      </c>
      <c r="C19" s="9" t="s">
        <v>611</v>
      </c>
      <c r="D19" s="9" t="s">
        <v>603</v>
      </c>
      <c r="E19" s="49"/>
      <c r="F19" s="49"/>
      <c r="G19" s="49"/>
      <c r="H19" s="49"/>
      <c r="I19" s="49"/>
      <c r="J19" s="49"/>
      <c r="K19" s="49"/>
      <c r="L19" s="49">
        <v>21.56</v>
      </c>
      <c r="M19" s="49"/>
      <c r="N19" s="49"/>
      <c r="O19" s="49"/>
      <c r="P19" s="49"/>
      <c r="Q19" s="49">
        <v>9.7864999999999984</v>
      </c>
      <c r="R19" s="49"/>
      <c r="S19" s="49"/>
      <c r="T19" s="49"/>
      <c r="U19" s="49"/>
      <c r="V19" s="49"/>
      <c r="W19" s="49"/>
      <c r="X19" s="49"/>
      <c r="Y19" s="49"/>
    </row>
    <row r="20" spans="1:25" s="7" customFormat="1" ht="15" customHeight="1">
      <c r="A20" s="12" t="s">
        <v>463</v>
      </c>
      <c r="B20" s="8" t="s">
        <v>599</v>
      </c>
      <c r="C20" s="9" t="s">
        <v>612</v>
      </c>
      <c r="D20" s="9" t="s">
        <v>603</v>
      </c>
      <c r="E20" s="49"/>
      <c r="F20" s="49"/>
      <c r="G20" s="49"/>
      <c r="H20" s="49"/>
      <c r="I20" s="49"/>
      <c r="J20" s="49"/>
      <c r="K20" s="49"/>
      <c r="L20" s="49">
        <v>16.170000000000002</v>
      </c>
      <c r="M20" s="49"/>
      <c r="N20" s="49"/>
      <c r="O20" s="49"/>
      <c r="P20" s="49"/>
      <c r="Q20" s="49">
        <v>8.0039999999999996</v>
      </c>
      <c r="R20" s="49"/>
      <c r="S20" s="49"/>
      <c r="T20" s="49"/>
      <c r="U20" s="49"/>
      <c r="V20" s="49"/>
      <c r="W20" s="49"/>
      <c r="X20" s="49"/>
      <c r="Y20" s="49"/>
    </row>
    <row r="21" spans="1:25" s="7" customFormat="1" ht="15" customHeight="1">
      <c r="A21" s="12" t="s">
        <v>464</v>
      </c>
      <c r="B21" s="8" t="s">
        <v>599</v>
      </c>
      <c r="C21" s="9" t="s">
        <v>677</v>
      </c>
      <c r="D21" s="9" t="s">
        <v>604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>
        <v>0.97428552377276401</v>
      </c>
      <c r="R21" s="49"/>
      <c r="S21" s="49"/>
      <c r="T21" s="49"/>
      <c r="U21" s="49"/>
      <c r="V21" s="49"/>
      <c r="W21" s="49"/>
      <c r="X21" s="49"/>
      <c r="Y21" s="49"/>
    </row>
    <row r="22" spans="1:25" s="7" customFormat="1" ht="15" customHeight="1">
      <c r="A22" s="12" t="s">
        <v>465</v>
      </c>
      <c r="B22" s="8" t="s">
        <v>599</v>
      </c>
      <c r="C22" s="9" t="s">
        <v>678</v>
      </c>
      <c r="D22" s="9" t="s">
        <v>604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>
        <v>0.97428552377276401</v>
      </c>
      <c r="R22" s="49"/>
      <c r="S22" s="49"/>
      <c r="T22" s="49"/>
      <c r="U22" s="49"/>
      <c r="V22" s="49"/>
      <c r="W22" s="49"/>
      <c r="X22" s="49"/>
      <c r="Y22" s="49"/>
    </row>
    <row r="23" spans="1:25" s="7" customFormat="1" ht="15" customHeight="1">
      <c r="A23" s="12" t="s">
        <v>466</v>
      </c>
      <c r="B23" s="8" t="s">
        <v>599</v>
      </c>
      <c r="C23" s="9" t="s">
        <v>679</v>
      </c>
      <c r="D23" s="9" t="s">
        <v>604</v>
      </c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>
        <v>0.97428552377276401</v>
      </c>
      <c r="R23" s="49"/>
      <c r="S23" s="49"/>
      <c r="T23" s="49"/>
      <c r="U23" s="49"/>
      <c r="V23" s="49"/>
      <c r="W23" s="49"/>
      <c r="X23" s="49"/>
      <c r="Y23" s="49"/>
    </row>
    <row r="24" spans="1:25" s="7" customFormat="1" ht="15" customHeight="1">
      <c r="A24" s="12" t="s">
        <v>467</v>
      </c>
      <c r="B24" s="8" t="s">
        <v>599</v>
      </c>
      <c r="C24" s="9" t="s">
        <v>613</v>
      </c>
      <c r="D24" s="9" t="s">
        <v>603</v>
      </c>
      <c r="E24" s="49"/>
      <c r="F24" s="49"/>
      <c r="G24" s="49"/>
      <c r="H24" s="49"/>
      <c r="I24" s="49"/>
      <c r="J24" s="49"/>
      <c r="K24" s="49"/>
      <c r="L24" s="49">
        <v>8.1199999999999992</v>
      </c>
      <c r="M24" s="49"/>
      <c r="N24" s="49"/>
      <c r="O24" s="49"/>
      <c r="P24" s="49"/>
      <c r="Q24" s="49">
        <v>1.5754999999999999</v>
      </c>
      <c r="R24" s="49"/>
      <c r="S24" s="49"/>
      <c r="T24" s="49"/>
      <c r="U24" s="49"/>
      <c r="V24" s="49"/>
      <c r="W24" s="49"/>
      <c r="X24" s="49"/>
      <c r="Y24" s="49"/>
    </row>
    <row r="25" spans="1:25" s="7" customFormat="1" ht="15" customHeight="1">
      <c r="A25" s="12" t="s">
        <v>468</v>
      </c>
      <c r="B25" s="8" t="s">
        <v>599</v>
      </c>
      <c r="C25" s="9" t="s">
        <v>614</v>
      </c>
      <c r="D25" s="9" t="s">
        <v>603</v>
      </c>
      <c r="E25" s="49"/>
      <c r="F25" s="49"/>
      <c r="G25" s="49"/>
      <c r="H25" s="49"/>
      <c r="I25" s="49"/>
      <c r="J25" s="49"/>
      <c r="K25" s="49"/>
      <c r="L25" s="49">
        <v>8.1199999999999992</v>
      </c>
      <c r="M25" s="49"/>
      <c r="N25" s="49"/>
      <c r="O25" s="49"/>
      <c r="P25" s="49"/>
      <c r="Q25" s="49">
        <v>1.4604999999999999</v>
      </c>
      <c r="R25" s="49"/>
      <c r="S25" s="49"/>
      <c r="T25" s="49"/>
      <c r="U25" s="49"/>
      <c r="V25" s="49"/>
      <c r="W25" s="49"/>
      <c r="X25" s="49"/>
      <c r="Y25" s="49"/>
    </row>
    <row r="26" spans="1:25" s="7" customFormat="1" ht="15" customHeight="1">
      <c r="A26" s="12" t="s">
        <v>469</v>
      </c>
      <c r="B26" s="8" t="s">
        <v>599</v>
      </c>
      <c r="C26" s="9" t="s">
        <v>615</v>
      </c>
      <c r="D26" s="9" t="s">
        <v>603</v>
      </c>
      <c r="E26" s="49"/>
      <c r="F26" s="49"/>
      <c r="G26" s="49"/>
      <c r="H26" s="49"/>
      <c r="I26" s="49"/>
      <c r="J26" s="49"/>
      <c r="K26" s="49"/>
      <c r="L26" s="49">
        <v>6.09</v>
      </c>
      <c r="M26" s="49"/>
      <c r="N26" s="49"/>
      <c r="O26" s="49"/>
      <c r="P26" s="49"/>
      <c r="Q26" s="49">
        <v>1.4834999999999998</v>
      </c>
      <c r="R26" s="49"/>
      <c r="S26" s="49"/>
      <c r="T26" s="49"/>
      <c r="U26" s="49"/>
      <c r="V26" s="49"/>
      <c r="W26" s="49"/>
      <c r="X26" s="49"/>
      <c r="Y26" s="49"/>
    </row>
    <row r="27" spans="1:25" s="7" customFormat="1" ht="15" customHeight="1">
      <c r="A27" s="12" t="s">
        <v>470</v>
      </c>
      <c r="B27" s="8" t="s">
        <v>599</v>
      </c>
      <c r="C27" s="9" t="s">
        <v>616</v>
      </c>
      <c r="D27" s="9" t="s">
        <v>604</v>
      </c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>
        <v>0.97428552377276401</v>
      </c>
      <c r="R27" s="49"/>
      <c r="S27" s="49"/>
      <c r="T27" s="49"/>
      <c r="U27" s="49"/>
      <c r="V27" s="49"/>
      <c r="W27" s="49"/>
      <c r="X27" s="49"/>
      <c r="Y27" s="49"/>
    </row>
    <row r="28" spans="1:25" s="7" customFormat="1" ht="15" customHeight="1">
      <c r="A28" s="12" t="s">
        <v>471</v>
      </c>
      <c r="B28" s="8" t="s">
        <v>599</v>
      </c>
      <c r="C28" s="9" t="s">
        <v>617</v>
      </c>
      <c r="D28" s="9" t="s">
        <v>604</v>
      </c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>
        <v>0.97428552377276401</v>
      </c>
      <c r="R28" s="49"/>
      <c r="S28" s="49"/>
      <c r="T28" s="49"/>
      <c r="U28" s="49"/>
      <c r="V28" s="49"/>
      <c r="W28" s="49"/>
      <c r="X28" s="49"/>
      <c r="Y28" s="49"/>
    </row>
    <row r="29" spans="1:25" s="7" customFormat="1" ht="15" customHeight="1">
      <c r="A29" s="12" t="s">
        <v>472</v>
      </c>
      <c r="B29" s="8" t="s">
        <v>599</v>
      </c>
      <c r="C29" s="9" t="s">
        <v>618</v>
      </c>
      <c r="D29" s="9" t="s">
        <v>604</v>
      </c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>
        <v>0.97428552377276401</v>
      </c>
      <c r="R29" s="49"/>
      <c r="S29" s="49"/>
      <c r="T29" s="49"/>
      <c r="U29" s="49"/>
      <c r="V29" s="49"/>
      <c r="W29" s="49"/>
      <c r="X29" s="49"/>
      <c r="Y29" s="49"/>
    </row>
    <row r="30" spans="1:25" s="7" customFormat="1" ht="15" customHeight="1">
      <c r="A30" s="12" t="s">
        <v>473</v>
      </c>
      <c r="B30" s="8" t="s">
        <v>599</v>
      </c>
      <c r="C30" s="9" t="s">
        <v>674</v>
      </c>
      <c r="D30" s="9" t="s">
        <v>603</v>
      </c>
      <c r="E30" s="49"/>
      <c r="F30" s="49"/>
      <c r="G30" s="49"/>
      <c r="H30" s="49"/>
      <c r="I30" s="49"/>
      <c r="J30" s="49"/>
      <c r="K30" s="49"/>
      <c r="L30" s="49">
        <v>10.28</v>
      </c>
      <c r="M30" s="49"/>
      <c r="N30" s="49"/>
      <c r="O30" s="49"/>
      <c r="P30" s="49"/>
      <c r="Q30" s="49">
        <v>11.189499999999999</v>
      </c>
      <c r="R30" s="49"/>
      <c r="S30" s="49"/>
      <c r="T30" s="49"/>
      <c r="U30" s="49"/>
      <c r="V30" s="49"/>
      <c r="W30" s="49"/>
      <c r="X30" s="49"/>
      <c r="Y30" s="49"/>
    </row>
    <row r="31" spans="1:25" s="7" customFormat="1" ht="15" customHeight="1">
      <c r="A31" s="12" t="s">
        <v>474</v>
      </c>
      <c r="B31" s="8" t="s">
        <v>599</v>
      </c>
      <c r="C31" s="9" t="s">
        <v>675</v>
      </c>
      <c r="D31" s="9" t="s">
        <v>603</v>
      </c>
      <c r="E31" s="49"/>
      <c r="F31" s="49"/>
      <c r="G31" s="49"/>
      <c r="H31" s="49"/>
      <c r="I31" s="49"/>
      <c r="J31" s="49"/>
      <c r="K31" s="49"/>
      <c r="L31" s="49">
        <v>8.6300000000000008</v>
      </c>
      <c r="M31" s="49"/>
      <c r="N31" s="49"/>
      <c r="O31" s="49"/>
      <c r="P31" s="49"/>
      <c r="Q31" s="49">
        <v>5.0369999999999999</v>
      </c>
      <c r="R31" s="49"/>
      <c r="S31" s="49"/>
      <c r="T31" s="49"/>
      <c r="U31" s="49"/>
      <c r="V31" s="49"/>
      <c r="W31" s="49"/>
      <c r="X31" s="49"/>
      <c r="Y31" s="49"/>
    </row>
    <row r="32" spans="1:25" s="7" customFormat="1" ht="15" customHeight="1">
      <c r="A32" s="12" t="s">
        <v>475</v>
      </c>
      <c r="B32" s="8" t="s">
        <v>599</v>
      </c>
      <c r="C32" s="9" t="s">
        <v>676</v>
      </c>
      <c r="D32" s="9" t="s">
        <v>603</v>
      </c>
      <c r="E32" s="49"/>
      <c r="F32" s="49"/>
      <c r="G32" s="49"/>
      <c r="H32" s="49"/>
      <c r="I32" s="49"/>
      <c r="J32" s="49"/>
      <c r="K32" s="49"/>
      <c r="L32" s="49">
        <v>7.2</v>
      </c>
      <c r="M32" s="49"/>
      <c r="N32" s="49"/>
      <c r="O32" s="49"/>
      <c r="P32" s="49"/>
      <c r="Q32" s="49">
        <v>3.8984999999999999</v>
      </c>
      <c r="R32" s="49"/>
      <c r="S32" s="49"/>
      <c r="T32" s="49"/>
      <c r="U32" s="49"/>
      <c r="V32" s="49"/>
      <c r="W32" s="49"/>
      <c r="X32" s="49"/>
      <c r="Y32" s="49"/>
    </row>
    <row r="33" spans="1:25" s="7" customFormat="1" ht="15" customHeight="1">
      <c r="A33" s="12"/>
      <c r="B33" s="6"/>
      <c r="C33" s="9"/>
      <c r="D33" s="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spans="1:25" s="7" customFormat="1" ht="15" customHeight="1">
      <c r="A34" s="12" t="s">
        <v>476</v>
      </c>
      <c r="B34" s="8" t="s">
        <v>600</v>
      </c>
      <c r="C34" s="9" t="s">
        <v>610</v>
      </c>
      <c r="D34" s="9" t="s">
        <v>603</v>
      </c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spans="1:25" s="7" customFormat="1" ht="15" customHeight="1">
      <c r="A35" s="12" t="s">
        <v>477</v>
      </c>
      <c r="B35" s="8" t="s">
        <v>600</v>
      </c>
      <c r="C35" s="9" t="s">
        <v>611</v>
      </c>
      <c r="D35" s="9" t="s">
        <v>603</v>
      </c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spans="1:25" s="7" customFormat="1" ht="15" customHeight="1">
      <c r="A36" s="12" t="s">
        <v>478</v>
      </c>
      <c r="B36" s="8" t="s">
        <v>600</v>
      </c>
      <c r="C36" s="9" t="s">
        <v>612</v>
      </c>
      <c r="D36" s="9" t="s">
        <v>603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spans="1:25" s="7" customFormat="1" ht="15" customHeight="1">
      <c r="A37" s="12" t="s">
        <v>479</v>
      </c>
      <c r="B37" s="8" t="s">
        <v>600</v>
      </c>
      <c r="C37" s="9" t="s">
        <v>677</v>
      </c>
      <c r="D37" s="9" t="s">
        <v>604</v>
      </c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spans="1:25" s="7" customFormat="1" ht="15" customHeight="1">
      <c r="A38" s="12" t="s">
        <v>480</v>
      </c>
      <c r="B38" s="8" t="s">
        <v>600</v>
      </c>
      <c r="C38" s="9" t="s">
        <v>678</v>
      </c>
      <c r="D38" s="9" t="s">
        <v>604</v>
      </c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spans="1:25" s="7" customFormat="1" ht="15" customHeight="1">
      <c r="A39" s="12" t="s">
        <v>481</v>
      </c>
      <c r="B39" s="8" t="s">
        <v>600</v>
      </c>
      <c r="C39" s="9" t="s">
        <v>679</v>
      </c>
      <c r="D39" s="9" t="s">
        <v>604</v>
      </c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spans="1:25" s="7" customFormat="1" ht="15" customHeight="1">
      <c r="A40" s="12" t="s">
        <v>482</v>
      </c>
      <c r="B40" s="8" t="s">
        <v>600</v>
      </c>
      <c r="C40" s="9" t="s">
        <v>613</v>
      </c>
      <c r="D40" s="9" t="s">
        <v>603</v>
      </c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spans="1:25" s="7" customFormat="1" ht="15" customHeight="1">
      <c r="A41" s="12" t="s">
        <v>483</v>
      </c>
      <c r="B41" s="8" t="s">
        <v>600</v>
      </c>
      <c r="C41" s="9" t="s">
        <v>614</v>
      </c>
      <c r="D41" s="9" t="s">
        <v>603</v>
      </c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spans="1:25" s="7" customFormat="1" ht="15" customHeight="1">
      <c r="A42" s="12" t="s">
        <v>484</v>
      </c>
      <c r="B42" s="8" t="s">
        <v>600</v>
      </c>
      <c r="C42" s="9" t="s">
        <v>615</v>
      </c>
      <c r="D42" s="9" t="s">
        <v>603</v>
      </c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spans="1:25" s="7" customFormat="1" ht="15" customHeight="1">
      <c r="A43" s="12" t="s">
        <v>485</v>
      </c>
      <c r="B43" s="8" t="s">
        <v>600</v>
      </c>
      <c r="C43" s="9" t="s">
        <v>616</v>
      </c>
      <c r="D43" s="9" t="s">
        <v>604</v>
      </c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spans="1:25" s="7" customFormat="1" ht="15" customHeight="1">
      <c r="A44" s="12" t="s">
        <v>486</v>
      </c>
      <c r="B44" s="8" t="s">
        <v>600</v>
      </c>
      <c r="C44" s="9" t="s">
        <v>617</v>
      </c>
      <c r="D44" s="9" t="s">
        <v>604</v>
      </c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spans="1:25" s="7" customFormat="1" ht="15" customHeight="1">
      <c r="A45" s="12" t="s">
        <v>487</v>
      </c>
      <c r="B45" s="8" t="s">
        <v>600</v>
      </c>
      <c r="C45" s="9" t="s">
        <v>618</v>
      </c>
      <c r="D45" s="9" t="s">
        <v>604</v>
      </c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spans="1:25" s="7" customFormat="1" ht="15" customHeight="1">
      <c r="A46" s="12" t="s">
        <v>488</v>
      </c>
      <c r="B46" s="8" t="s">
        <v>600</v>
      </c>
      <c r="C46" s="9" t="s">
        <v>674</v>
      </c>
      <c r="D46" s="9" t="s">
        <v>603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spans="1:25" s="7" customFormat="1" ht="15" customHeight="1">
      <c r="A47" s="12" t="s">
        <v>489</v>
      </c>
      <c r="B47" s="8" t="s">
        <v>600</v>
      </c>
      <c r="C47" s="9" t="s">
        <v>675</v>
      </c>
      <c r="D47" s="9" t="s">
        <v>603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spans="1:25" s="7" customFormat="1" ht="15" customHeight="1">
      <c r="A48" s="12" t="s">
        <v>490</v>
      </c>
      <c r="B48" s="8" t="s">
        <v>600</v>
      </c>
      <c r="C48" s="9" t="s">
        <v>676</v>
      </c>
      <c r="D48" s="9" t="s">
        <v>603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spans="1:25" s="7" customFormat="1" ht="15" customHeight="1">
      <c r="A49" s="12"/>
      <c r="B49" s="6"/>
      <c r="C49" s="9"/>
      <c r="D49" s="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spans="1:25" s="7" customFormat="1" ht="15" customHeight="1">
      <c r="A50" s="12" t="s">
        <v>491</v>
      </c>
      <c r="B50" s="8" t="s">
        <v>601</v>
      </c>
      <c r="C50" s="9" t="s">
        <v>610</v>
      </c>
      <c r="D50" s="9" t="s">
        <v>603</v>
      </c>
      <c r="E50" s="49">
        <v>4.05</v>
      </c>
      <c r="F50" s="49">
        <v>6.81</v>
      </c>
      <c r="G50" s="49"/>
      <c r="H50" s="49"/>
      <c r="I50" s="49"/>
      <c r="J50" s="49">
        <v>3.74</v>
      </c>
      <c r="K50" s="49"/>
      <c r="L50" s="49">
        <v>7.18</v>
      </c>
      <c r="M50" s="49">
        <v>3.96</v>
      </c>
      <c r="N50" s="49"/>
      <c r="O50" s="49"/>
      <c r="P50" s="49"/>
      <c r="Q50" s="49">
        <v>13.247999999999999</v>
      </c>
      <c r="R50" s="49">
        <v>3.85</v>
      </c>
      <c r="S50" s="49">
        <v>4.04</v>
      </c>
      <c r="T50" s="49"/>
      <c r="U50" s="49"/>
      <c r="V50" s="49">
        <v>6.93</v>
      </c>
      <c r="W50" s="49"/>
      <c r="X50" s="49">
        <v>7.36</v>
      </c>
      <c r="Y50" s="49">
        <v>4.75</v>
      </c>
    </row>
    <row r="51" spans="1:25" s="7" customFormat="1" ht="15" customHeight="1">
      <c r="A51" s="12" t="s">
        <v>492</v>
      </c>
      <c r="B51" s="8" t="s">
        <v>601</v>
      </c>
      <c r="C51" s="9" t="s">
        <v>611</v>
      </c>
      <c r="D51" s="9" t="s">
        <v>603</v>
      </c>
      <c r="E51" s="49">
        <v>4.05</v>
      </c>
      <c r="F51" s="49">
        <v>6.81</v>
      </c>
      <c r="G51" s="49"/>
      <c r="H51" s="49"/>
      <c r="I51" s="49"/>
      <c r="J51" s="49">
        <v>3.72</v>
      </c>
      <c r="K51" s="49"/>
      <c r="L51" s="49">
        <v>7.18</v>
      </c>
      <c r="M51" s="49">
        <v>3.96</v>
      </c>
      <c r="N51" s="49"/>
      <c r="O51" s="49"/>
      <c r="P51" s="49"/>
      <c r="Q51" s="49">
        <v>8.234</v>
      </c>
      <c r="R51" s="49">
        <v>3.85</v>
      </c>
      <c r="S51" s="49">
        <v>4</v>
      </c>
      <c r="T51" s="49"/>
      <c r="U51" s="49"/>
      <c r="V51" s="49">
        <v>6.93</v>
      </c>
      <c r="W51" s="49"/>
      <c r="X51" s="49">
        <v>7.36</v>
      </c>
      <c r="Y51" s="49">
        <v>4.75</v>
      </c>
    </row>
    <row r="52" spans="1:25" s="7" customFormat="1" ht="15" customHeight="1">
      <c r="A52" s="12" t="s">
        <v>493</v>
      </c>
      <c r="B52" s="8" t="s">
        <v>601</v>
      </c>
      <c r="C52" s="9" t="s">
        <v>612</v>
      </c>
      <c r="D52" s="9" t="s">
        <v>603</v>
      </c>
      <c r="E52" s="49">
        <v>4.05</v>
      </c>
      <c r="F52" s="49">
        <v>6.81</v>
      </c>
      <c r="G52" s="49"/>
      <c r="H52" s="49"/>
      <c r="I52" s="49"/>
      <c r="J52" s="49">
        <v>3.68</v>
      </c>
      <c r="K52" s="49"/>
      <c r="L52" s="49">
        <v>7.18</v>
      </c>
      <c r="M52" s="49">
        <v>3.96</v>
      </c>
      <c r="N52" s="49"/>
      <c r="O52" s="49"/>
      <c r="P52" s="49"/>
      <c r="Q52" s="49">
        <v>7.4174999999999995</v>
      </c>
      <c r="R52" s="49">
        <v>3.85</v>
      </c>
      <c r="S52" s="49">
        <v>3.97</v>
      </c>
      <c r="T52" s="49"/>
      <c r="U52" s="49"/>
      <c r="V52" s="49">
        <v>6.93</v>
      </c>
      <c r="W52" s="49"/>
      <c r="X52" s="49">
        <v>7.36</v>
      </c>
      <c r="Y52" s="49">
        <v>4.75</v>
      </c>
    </row>
    <row r="53" spans="1:25" s="7" customFormat="1" ht="15" customHeight="1">
      <c r="A53" s="12" t="s">
        <v>494</v>
      </c>
      <c r="B53" s="8" t="s">
        <v>601</v>
      </c>
      <c r="C53" s="9" t="s">
        <v>677</v>
      </c>
      <c r="D53" s="9" t="s">
        <v>604</v>
      </c>
      <c r="E53" s="49">
        <v>0</v>
      </c>
      <c r="F53" s="49"/>
      <c r="G53" s="49"/>
      <c r="H53" s="49"/>
      <c r="I53" s="49"/>
      <c r="J53" s="49">
        <v>0</v>
      </c>
      <c r="K53" s="49"/>
      <c r="L53" s="49"/>
      <c r="M53" s="49"/>
      <c r="N53" s="49"/>
      <c r="O53" s="49"/>
      <c r="P53" s="49"/>
      <c r="Q53" s="49">
        <v>0.79349999999999987</v>
      </c>
      <c r="R53" s="49"/>
      <c r="S53" s="49"/>
      <c r="T53" s="49"/>
      <c r="U53" s="49"/>
      <c r="V53" s="49"/>
      <c r="W53" s="49"/>
      <c r="X53" s="49"/>
      <c r="Y53" s="49">
        <v>0</v>
      </c>
    </row>
    <row r="54" spans="1:25" s="7" customFormat="1" ht="15" customHeight="1">
      <c r="A54" s="12" t="s">
        <v>495</v>
      </c>
      <c r="B54" s="8" t="s">
        <v>601</v>
      </c>
      <c r="C54" s="9" t="s">
        <v>678</v>
      </c>
      <c r="D54" s="9" t="s">
        <v>604</v>
      </c>
      <c r="E54" s="49">
        <v>0</v>
      </c>
      <c r="F54" s="49"/>
      <c r="G54" s="49"/>
      <c r="H54" s="49"/>
      <c r="I54" s="49"/>
      <c r="J54" s="49">
        <v>0</v>
      </c>
      <c r="K54" s="49"/>
      <c r="L54" s="49"/>
      <c r="M54" s="49"/>
      <c r="N54" s="49"/>
      <c r="O54" s="49"/>
      <c r="P54" s="49"/>
      <c r="Q54" s="49">
        <v>0.79349999999999987</v>
      </c>
      <c r="R54" s="49"/>
      <c r="S54" s="49"/>
      <c r="T54" s="49"/>
      <c r="U54" s="49"/>
      <c r="V54" s="49"/>
      <c r="W54" s="49"/>
      <c r="X54" s="49"/>
      <c r="Y54" s="49">
        <v>0</v>
      </c>
    </row>
    <row r="55" spans="1:25" s="7" customFormat="1" ht="15" customHeight="1">
      <c r="A55" s="12" t="s">
        <v>496</v>
      </c>
      <c r="B55" s="8" t="s">
        <v>601</v>
      </c>
      <c r="C55" s="9" t="s">
        <v>679</v>
      </c>
      <c r="D55" s="9" t="s">
        <v>604</v>
      </c>
      <c r="E55" s="49">
        <v>0</v>
      </c>
      <c r="F55" s="49"/>
      <c r="G55" s="49"/>
      <c r="H55" s="49"/>
      <c r="I55" s="49"/>
      <c r="J55" s="49">
        <v>0</v>
      </c>
      <c r="K55" s="49"/>
      <c r="L55" s="49"/>
      <c r="M55" s="49"/>
      <c r="N55" s="49"/>
      <c r="O55" s="49"/>
      <c r="P55" s="49"/>
      <c r="Q55" s="49">
        <v>0.79349999999999987</v>
      </c>
      <c r="R55" s="49"/>
      <c r="S55" s="49"/>
      <c r="T55" s="49"/>
      <c r="U55" s="49"/>
      <c r="V55" s="49"/>
      <c r="W55" s="49"/>
      <c r="X55" s="49"/>
      <c r="Y55" s="49">
        <v>0</v>
      </c>
    </row>
    <row r="56" spans="1:25" s="7" customFormat="1" ht="15" customHeight="1">
      <c r="A56" s="12" t="s">
        <v>497</v>
      </c>
      <c r="B56" s="8" t="s">
        <v>601</v>
      </c>
      <c r="C56" s="9" t="s">
        <v>613</v>
      </c>
      <c r="D56" s="9" t="s">
        <v>603</v>
      </c>
      <c r="E56" s="49">
        <v>1.52</v>
      </c>
      <c r="F56" s="49">
        <v>1.7</v>
      </c>
      <c r="G56" s="49"/>
      <c r="H56" s="49"/>
      <c r="I56" s="49"/>
      <c r="J56" s="49">
        <v>1.85</v>
      </c>
      <c r="K56" s="49"/>
      <c r="L56" s="49">
        <v>1.79</v>
      </c>
      <c r="M56" s="49">
        <v>1.49</v>
      </c>
      <c r="N56" s="49"/>
      <c r="O56" s="49"/>
      <c r="P56" s="49"/>
      <c r="Q56" s="49">
        <v>1.4489999999999998</v>
      </c>
      <c r="R56" s="49">
        <v>1.91</v>
      </c>
      <c r="S56" s="49">
        <v>2.0099999999999998</v>
      </c>
      <c r="T56" s="49"/>
      <c r="U56" s="49"/>
      <c r="V56" s="49">
        <v>1.73</v>
      </c>
      <c r="W56" s="49"/>
      <c r="X56" s="49">
        <v>1.85</v>
      </c>
      <c r="Y56" s="49">
        <v>0.79</v>
      </c>
    </row>
    <row r="57" spans="1:25" s="7" customFormat="1" ht="15" customHeight="1">
      <c r="A57" s="12" t="s">
        <v>498</v>
      </c>
      <c r="B57" s="8" t="s">
        <v>601</v>
      </c>
      <c r="C57" s="9" t="s">
        <v>614</v>
      </c>
      <c r="D57" s="9" t="s">
        <v>603</v>
      </c>
      <c r="E57" s="49">
        <v>1.52</v>
      </c>
      <c r="F57" s="49">
        <v>1.7</v>
      </c>
      <c r="G57" s="49"/>
      <c r="H57" s="49"/>
      <c r="I57" s="49"/>
      <c r="J57" s="49">
        <v>1.84</v>
      </c>
      <c r="K57" s="49"/>
      <c r="L57" s="49">
        <v>1.79</v>
      </c>
      <c r="M57" s="49">
        <v>1.49</v>
      </c>
      <c r="N57" s="49"/>
      <c r="O57" s="49"/>
      <c r="P57" s="49"/>
      <c r="Q57" s="49">
        <v>1.3569999999999998</v>
      </c>
      <c r="R57" s="49">
        <v>1.91</v>
      </c>
      <c r="S57" s="49">
        <v>1.99</v>
      </c>
      <c r="T57" s="49"/>
      <c r="U57" s="49"/>
      <c r="V57" s="49">
        <v>1.73</v>
      </c>
      <c r="W57" s="49"/>
      <c r="X57" s="49">
        <v>1.85</v>
      </c>
      <c r="Y57" s="49">
        <v>0.79</v>
      </c>
    </row>
    <row r="58" spans="1:25" s="7" customFormat="1" ht="15" customHeight="1">
      <c r="A58" s="12" t="s">
        <v>499</v>
      </c>
      <c r="B58" s="8" t="s">
        <v>601</v>
      </c>
      <c r="C58" s="9" t="s">
        <v>615</v>
      </c>
      <c r="D58" s="9" t="s">
        <v>603</v>
      </c>
      <c r="E58" s="49">
        <v>1.52</v>
      </c>
      <c r="F58" s="49">
        <v>1.7</v>
      </c>
      <c r="G58" s="49"/>
      <c r="H58" s="49"/>
      <c r="I58" s="49"/>
      <c r="J58" s="49">
        <v>1.82</v>
      </c>
      <c r="K58" s="49"/>
      <c r="L58" s="49">
        <v>1.79</v>
      </c>
      <c r="M58" s="49">
        <v>1.49</v>
      </c>
      <c r="N58" s="49"/>
      <c r="O58" s="49"/>
      <c r="P58" s="49"/>
      <c r="Q58" s="49">
        <v>1.3569999999999998</v>
      </c>
      <c r="R58" s="49">
        <v>1.91</v>
      </c>
      <c r="S58" s="49">
        <v>1.97</v>
      </c>
      <c r="T58" s="49"/>
      <c r="U58" s="49"/>
      <c r="V58" s="49">
        <v>1.73</v>
      </c>
      <c r="W58" s="49"/>
      <c r="X58" s="49">
        <v>1.85</v>
      </c>
      <c r="Y58" s="49">
        <v>0.79</v>
      </c>
    </row>
    <row r="59" spans="1:25" s="7" customFormat="1" ht="15" customHeight="1">
      <c r="A59" s="12" t="s">
        <v>500</v>
      </c>
      <c r="B59" s="8" t="s">
        <v>601</v>
      </c>
      <c r="C59" s="9" t="s">
        <v>616</v>
      </c>
      <c r="D59" s="9" t="s">
        <v>604</v>
      </c>
      <c r="E59" s="49">
        <v>0</v>
      </c>
      <c r="F59" s="49"/>
      <c r="G59" s="49"/>
      <c r="H59" s="49"/>
      <c r="I59" s="49"/>
      <c r="J59" s="49">
        <v>0</v>
      </c>
      <c r="K59" s="49"/>
      <c r="L59" s="49"/>
      <c r="M59" s="49">
        <v>0</v>
      </c>
      <c r="N59" s="49"/>
      <c r="O59" s="49"/>
      <c r="P59" s="49"/>
      <c r="Q59" s="49">
        <v>0.79349999999999987</v>
      </c>
      <c r="R59" s="49">
        <v>0</v>
      </c>
      <c r="S59" s="49"/>
      <c r="T59" s="49"/>
      <c r="U59" s="49"/>
      <c r="V59" s="49"/>
      <c r="W59" s="49"/>
      <c r="X59" s="49"/>
      <c r="Y59" s="49">
        <v>0</v>
      </c>
    </row>
    <row r="60" spans="1:25" s="7" customFormat="1" ht="15" customHeight="1">
      <c r="A60" s="12" t="s">
        <v>501</v>
      </c>
      <c r="B60" s="8" t="s">
        <v>601</v>
      </c>
      <c r="C60" s="9" t="s">
        <v>617</v>
      </c>
      <c r="D60" s="9" t="s">
        <v>604</v>
      </c>
      <c r="E60" s="49">
        <v>0</v>
      </c>
      <c r="F60" s="49"/>
      <c r="G60" s="49"/>
      <c r="H60" s="49"/>
      <c r="I60" s="49"/>
      <c r="J60" s="49">
        <v>0</v>
      </c>
      <c r="K60" s="49"/>
      <c r="L60" s="49"/>
      <c r="M60" s="49">
        <v>0</v>
      </c>
      <c r="N60" s="49"/>
      <c r="O60" s="49"/>
      <c r="P60" s="49"/>
      <c r="Q60" s="49">
        <v>0.79349999999999987</v>
      </c>
      <c r="R60" s="49">
        <v>0</v>
      </c>
      <c r="S60" s="49"/>
      <c r="T60" s="49"/>
      <c r="U60" s="49"/>
      <c r="V60" s="49"/>
      <c r="W60" s="49"/>
      <c r="X60" s="49"/>
      <c r="Y60" s="49">
        <v>0</v>
      </c>
    </row>
    <row r="61" spans="1:25" s="7" customFormat="1" ht="15" customHeight="1">
      <c r="A61" s="12" t="s">
        <v>502</v>
      </c>
      <c r="B61" s="8" t="s">
        <v>601</v>
      </c>
      <c r="C61" s="9" t="s">
        <v>618</v>
      </c>
      <c r="D61" s="9" t="s">
        <v>604</v>
      </c>
      <c r="E61" s="49">
        <v>0</v>
      </c>
      <c r="F61" s="49"/>
      <c r="G61" s="49"/>
      <c r="H61" s="49"/>
      <c r="I61" s="49"/>
      <c r="J61" s="49">
        <v>0</v>
      </c>
      <c r="K61" s="49"/>
      <c r="L61" s="49"/>
      <c r="M61" s="49">
        <v>0</v>
      </c>
      <c r="N61" s="49"/>
      <c r="O61" s="49"/>
      <c r="P61" s="49"/>
      <c r="Q61" s="49">
        <v>0.79349999999999987</v>
      </c>
      <c r="R61" s="49">
        <v>0</v>
      </c>
      <c r="S61" s="49"/>
      <c r="T61" s="49"/>
      <c r="U61" s="49"/>
      <c r="V61" s="49"/>
      <c r="W61" s="49"/>
      <c r="X61" s="49"/>
      <c r="Y61" s="49">
        <v>0</v>
      </c>
    </row>
    <row r="62" spans="1:25" s="7" customFormat="1" ht="15" customHeight="1">
      <c r="A62" s="12" t="s">
        <v>503</v>
      </c>
      <c r="B62" s="8" t="s">
        <v>601</v>
      </c>
      <c r="C62" s="9" t="s">
        <v>674</v>
      </c>
      <c r="D62" s="9" t="s">
        <v>603</v>
      </c>
      <c r="E62" s="49">
        <v>7.92</v>
      </c>
      <c r="F62" s="49">
        <v>0</v>
      </c>
      <c r="G62" s="49"/>
      <c r="H62" s="49"/>
      <c r="I62" s="49"/>
      <c r="J62" s="49">
        <v>14.63</v>
      </c>
      <c r="K62" s="49"/>
      <c r="L62" s="49">
        <v>5</v>
      </c>
      <c r="M62" s="49">
        <v>7.8</v>
      </c>
      <c r="N62" s="49"/>
      <c r="O62" s="49"/>
      <c r="P62" s="49"/>
      <c r="Q62" s="49">
        <v>10.246499999999999</v>
      </c>
      <c r="R62" s="49">
        <v>7.07</v>
      </c>
      <c r="S62" s="49">
        <v>7.13</v>
      </c>
      <c r="T62" s="49"/>
      <c r="U62" s="49"/>
      <c r="V62" s="49">
        <v>0</v>
      </c>
      <c r="W62" s="49"/>
      <c r="X62" s="49">
        <v>0</v>
      </c>
      <c r="Y62" s="49">
        <v>13.31</v>
      </c>
    </row>
    <row r="63" spans="1:25" s="7" customFormat="1" ht="15" customHeight="1">
      <c r="A63" s="12" t="s">
        <v>504</v>
      </c>
      <c r="B63" s="8" t="s">
        <v>601</v>
      </c>
      <c r="C63" s="9" t="s">
        <v>675</v>
      </c>
      <c r="D63" s="9" t="s">
        <v>603</v>
      </c>
      <c r="E63" s="49">
        <v>7.31</v>
      </c>
      <c r="F63" s="49">
        <v>0</v>
      </c>
      <c r="G63" s="49"/>
      <c r="H63" s="49"/>
      <c r="I63" s="49"/>
      <c r="J63" s="49">
        <v>14.63</v>
      </c>
      <c r="K63" s="49"/>
      <c r="L63" s="49">
        <v>5</v>
      </c>
      <c r="M63" s="49">
        <v>7.2</v>
      </c>
      <c r="N63" s="49"/>
      <c r="O63" s="49"/>
      <c r="P63" s="49"/>
      <c r="Q63" s="49">
        <v>4.3010000000000002</v>
      </c>
      <c r="R63" s="49">
        <v>6.48</v>
      </c>
      <c r="S63" s="49">
        <v>6.58</v>
      </c>
      <c r="T63" s="49"/>
      <c r="U63" s="49"/>
      <c r="V63" s="49">
        <v>0</v>
      </c>
      <c r="W63" s="49"/>
      <c r="X63" s="49">
        <v>0</v>
      </c>
      <c r="Y63" s="49">
        <v>9.74</v>
      </c>
    </row>
    <row r="64" spans="1:25" s="7" customFormat="1" ht="15" customHeight="1">
      <c r="A64" s="12" t="s">
        <v>505</v>
      </c>
      <c r="B64" s="8" t="s">
        <v>601</v>
      </c>
      <c r="C64" s="9" t="s">
        <v>676</v>
      </c>
      <c r="D64" s="9" t="s">
        <v>603</v>
      </c>
      <c r="E64" s="49">
        <v>6.7</v>
      </c>
      <c r="F64" s="49">
        <v>0</v>
      </c>
      <c r="G64" s="49"/>
      <c r="H64" s="49"/>
      <c r="I64" s="49"/>
      <c r="J64" s="49">
        <v>14.63</v>
      </c>
      <c r="K64" s="49"/>
      <c r="L64" s="49">
        <v>4</v>
      </c>
      <c r="M64" s="49">
        <v>6.6</v>
      </c>
      <c r="N64" s="49"/>
      <c r="O64" s="49"/>
      <c r="P64" s="49"/>
      <c r="Q64" s="49">
        <v>3.5534999999999997</v>
      </c>
      <c r="R64" s="49">
        <v>5.89</v>
      </c>
      <c r="S64" s="49">
        <v>6.03</v>
      </c>
      <c r="T64" s="49"/>
      <c r="U64" s="49"/>
      <c r="V64" s="49">
        <v>0</v>
      </c>
      <c r="W64" s="49"/>
      <c r="X64" s="49">
        <v>0</v>
      </c>
      <c r="Y64" s="49">
        <v>7.73</v>
      </c>
    </row>
    <row r="65" spans="1:25" s="7" customFormat="1" ht="15" customHeight="1">
      <c r="A65" s="12"/>
      <c r="B65" s="8"/>
      <c r="C65" s="9"/>
      <c r="D65" s="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s="7" customFormat="1" ht="15" customHeight="1">
      <c r="A66" s="12" t="s">
        <v>506</v>
      </c>
      <c r="B66" s="8" t="s">
        <v>598</v>
      </c>
      <c r="C66" s="9" t="s">
        <v>609</v>
      </c>
      <c r="D66" s="9" t="s">
        <v>605</v>
      </c>
      <c r="E66" s="49">
        <v>4.05</v>
      </c>
      <c r="F66" s="49"/>
      <c r="G66" s="49"/>
      <c r="H66" s="49"/>
      <c r="I66" s="49"/>
      <c r="J66" s="49">
        <v>0</v>
      </c>
      <c r="K66" s="49"/>
      <c r="L66" s="49"/>
      <c r="M66" s="49">
        <v>3.96</v>
      </c>
      <c r="N66" s="49"/>
      <c r="O66" s="49"/>
      <c r="P66" s="49"/>
      <c r="Q66" s="49">
        <v>25.840499999999995</v>
      </c>
      <c r="R66" s="49">
        <v>3.85</v>
      </c>
      <c r="S66" s="49">
        <v>4.04</v>
      </c>
      <c r="T66" s="49"/>
      <c r="U66" s="49"/>
      <c r="V66" s="49"/>
      <c r="W66" s="49"/>
      <c r="X66" s="49"/>
      <c r="Y66" s="49"/>
    </row>
    <row r="67" spans="1:25" s="7" customFormat="1" ht="15" customHeight="1">
      <c r="A67" s="12" t="s">
        <v>195</v>
      </c>
      <c r="B67" s="8" t="s">
        <v>598</v>
      </c>
      <c r="C67" s="9" t="s">
        <v>619</v>
      </c>
      <c r="D67" s="9" t="s">
        <v>605</v>
      </c>
      <c r="E67" s="49">
        <v>4.05</v>
      </c>
      <c r="F67" s="49"/>
      <c r="G67" s="49"/>
      <c r="H67" s="49"/>
      <c r="I67" s="49"/>
      <c r="J67" s="49">
        <v>0</v>
      </c>
      <c r="K67" s="49"/>
      <c r="L67" s="49"/>
      <c r="M67" s="49">
        <v>3.96</v>
      </c>
      <c r="N67" s="49"/>
      <c r="O67" s="49"/>
      <c r="P67" s="49"/>
      <c r="Q67" s="49">
        <v>23.724499999999995</v>
      </c>
      <c r="R67" s="49">
        <v>3.85</v>
      </c>
      <c r="S67" s="49">
        <v>4</v>
      </c>
      <c r="T67" s="49"/>
      <c r="U67" s="49"/>
      <c r="V67" s="49"/>
      <c r="W67" s="49"/>
      <c r="X67" s="49"/>
      <c r="Y67" s="49"/>
    </row>
    <row r="68" spans="1:25" s="7" customFormat="1" ht="15" customHeight="1">
      <c r="A68" s="12" t="s">
        <v>196</v>
      </c>
      <c r="B68" s="8" t="s">
        <v>598</v>
      </c>
      <c r="C68" s="9" t="s">
        <v>620</v>
      </c>
      <c r="D68" s="9" t="s">
        <v>605</v>
      </c>
      <c r="E68" s="49">
        <v>4.05</v>
      </c>
      <c r="F68" s="49"/>
      <c r="G68" s="49"/>
      <c r="H68" s="49"/>
      <c r="I68" s="49"/>
      <c r="J68" s="49">
        <v>0</v>
      </c>
      <c r="K68" s="49"/>
      <c r="L68" s="49"/>
      <c r="M68" s="49">
        <v>3.96</v>
      </c>
      <c r="N68" s="49"/>
      <c r="O68" s="49"/>
      <c r="P68" s="49"/>
      <c r="Q68" s="49">
        <v>22.585999999999999</v>
      </c>
      <c r="R68" s="49">
        <v>3.85</v>
      </c>
      <c r="S68" s="49">
        <v>3.97</v>
      </c>
      <c r="T68" s="49"/>
      <c r="U68" s="49"/>
      <c r="V68" s="49"/>
      <c r="W68" s="49"/>
      <c r="X68" s="49"/>
      <c r="Y68" s="49"/>
    </row>
    <row r="69" spans="1:25" s="7" customFormat="1" ht="15" customHeight="1">
      <c r="A69" s="12" t="s">
        <v>197</v>
      </c>
      <c r="B69" s="8" t="s">
        <v>598</v>
      </c>
      <c r="C69" s="9" t="s">
        <v>656</v>
      </c>
      <c r="D69" s="9" t="s">
        <v>604</v>
      </c>
      <c r="E69" s="49"/>
      <c r="F69" s="49"/>
      <c r="G69" s="49"/>
      <c r="H69" s="49"/>
      <c r="I69" s="49"/>
      <c r="J69" s="49">
        <v>0</v>
      </c>
      <c r="K69" s="49"/>
      <c r="L69" s="49"/>
      <c r="M69" s="49"/>
      <c r="N69" s="49"/>
      <c r="O69" s="49"/>
      <c r="P69" s="49"/>
      <c r="Q69" s="49">
        <v>0.79349999999999987</v>
      </c>
      <c r="R69" s="49"/>
      <c r="S69" s="49"/>
      <c r="T69" s="49"/>
      <c r="U69" s="49"/>
      <c r="V69" s="49"/>
      <c r="W69" s="49"/>
      <c r="X69" s="49"/>
      <c r="Y69" s="49"/>
    </row>
    <row r="70" spans="1:25" s="7" customFormat="1" ht="15" customHeight="1">
      <c r="A70" s="12" t="s">
        <v>198</v>
      </c>
      <c r="B70" s="8" t="s">
        <v>598</v>
      </c>
      <c r="C70" s="9" t="s">
        <v>657</v>
      </c>
      <c r="D70" s="9" t="s">
        <v>604</v>
      </c>
      <c r="E70" s="49"/>
      <c r="F70" s="49"/>
      <c r="G70" s="49"/>
      <c r="H70" s="49"/>
      <c r="I70" s="49"/>
      <c r="J70" s="49">
        <v>0</v>
      </c>
      <c r="K70" s="49"/>
      <c r="L70" s="49"/>
      <c r="M70" s="49"/>
      <c r="N70" s="49"/>
      <c r="O70" s="49"/>
      <c r="P70" s="49"/>
      <c r="Q70" s="49">
        <v>0.79349999999999987</v>
      </c>
      <c r="R70" s="49"/>
      <c r="S70" s="49"/>
      <c r="T70" s="49"/>
      <c r="U70" s="49"/>
      <c r="V70" s="49"/>
      <c r="W70" s="49"/>
      <c r="X70" s="49"/>
      <c r="Y70" s="49"/>
    </row>
    <row r="71" spans="1:25" s="7" customFormat="1" ht="15" customHeight="1">
      <c r="A71" s="12" t="s">
        <v>199</v>
      </c>
      <c r="B71" s="8" t="s">
        <v>598</v>
      </c>
      <c r="C71" s="9" t="s">
        <v>658</v>
      </c>
      <c r="D71" s="9" t="s">
        <v>604</v>
      </c>
      <c r="E71" s="49"/>
      <c r="F71" s="49"/>
      <c r="G71" s="49"/>
      <c r="H71" s="49"/>
      <c r="I71" s="49"/>
      <c r="J71" s="49">
        <v>0</v>
      </c>
      <c r="K71" s="49"/>
      <c r="L71" s="49"/>
      <c r="M71" s="49"/>
      <c r="N71" s="49"/>
      <c r="O71" s="49"/>
      <c r="P71" s="49"/>
      <c r="Q71" s="49">
        <v>0.79349999999999987</v>
      </c>
      <c r="R71" s="49"/>
      <c r="S71" s="49"/>
      <c r="T71" s="49"/>
      <c r="U71" s="49"/>
      <c r="V71" s="49"/>
      <c r="W71" s="49"/>
      <c r="X71" s="49"/>
      <c r="Y71" s="49"/>
    </row>
    <row r="72" spans="1:25" s="7" customFormat="1" ht="15" customHeight="1">
      <c r="A72" s="12"/>
      <c r="B72" s="8"/>
      <c r="C72" s="9"/>
      <c r="D72" s="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s="7" customFormat="1" ht="15" customHeight="1">
      <c r="A73" s="12" t="s">
        <v>200</v>
      </c>
      <c r="B73" s="8" t="s">
        <v>602</v>
      </c>
      <c r="C73" s="9" t="s">
        <v>609</v>
      </c>
      <c r="D73" s="9" t="s">
        <v>605</v>
      </c>
      <c r="E73" s="49"/>
      <c r="F73" s="49"/>
      <c r="G73" s="49"/>
      <c r="H73" s="49"/>
      <c r="I73" s="49"/>
      <c r="J73" s="49"/>
      <c r="K73" s="49"/>
      <c r="L73" s="49">
        <v>0</v>
      </c>
      <c r="M73" s="49"/>
      <c r="N73" s="49"/>
      <c r="O73" s="49"/>
      <c r="P73" s="49"/>
      <c r="Q73" s="49">
        <v>28.335999999999999</v>
      </c>
      <c r="R73" s="49"/>
      <c r="S73" s="49"/>
      <c r="T73" s="49"/>
      <c r="U73" s="49"/>
      <c r="V73" s="49"/>
      <c r="W73" s="49"/>
      <c r="X73" s="49"/>
      <c r="Y73" s="49"/>
    </row>
    <row r="74" spans="1:25" s="7" customFormat="1" ht="15" customHeight="1">
      <c r="A74" s="12" t="s">
        <v>201</v>
      </c>
      <c r="B74" s="8" t="s">
        <v>602</v>
      </c>
      <c r="C74" s="9" t="s">
        <v>619</v>
      </c>
      <c r="D74" s="9" t="s">
        <v>605</v>
      </c>
      <c r="E74" s="49"/>
      <c r="F74" s="49"/>
      <c r="G74" s="49"/>
      <c r="H74" s="49"/>
      <c r="I74" s="49"/>
      <c r="J74" s="49"/>
      <c r="K74" s="49"/>
      <c r="L74" s="49">
        <v>0</v>
      </c>
      <c r="M74" s="49"/>
      <c r="N74" s="49"/>
      <c r="O74" s="49"/>
      <c r="P74" s="49"/>
      <c r="Q74" s="49">
        <v>26.242999999999999</v>
      </c>
      <c r="R74" s="49"/>
      <c r="S74" s="49"/>
      <c r="T74" s="49"/>
      <c r="U74" s="49"/>
      <c r="V74" s="49"/>
      <c r="W74" s="49"/>
      <c r="X74" s="49"/>
      <c r="Y74" s="49"/>
    </row>
    <row r="75" spans="1:25" s="7" customFormat="1" ht="15" customHeight="1">
      <c r="A75" s="12" t="s">
        <v>202</v>
      </c>
      <c r="B75" s="8" t="s">
        <v>602</v>
      </c>
      <c r="C75" s="9" t="s">
        <v>620</v>
      </c>
      <c r="D75" s="9" t="s">
        <v>605</v>
      </c>
      <c r="E75" s="49"/>
      <c r="F75" s="49"/>
      <c r="G75" s="49"/>
      <c r="H75" s="49"/>
      <c r="I75" s="49"/>
      <c r="J75" s="49"/>
      <c r="K75" s="49"/>
      <c r="L75" s="49">
        <v>0</v>
      </c>
      <c r="M75" s="49"/>
      <c r="N75" s="49"/>
      <c r="O75" s="49"/>
      <c r="P75" s="49"/>
      <c r="Q75" s="49">
        <v>24.851499999999998</v>
      </c>
      <c r="R75" s="49"/>
      <c r="S75" s="49"/>
      <c r="T75" s="49"/>
      <c r="U75" s="49"/>
      <c r="V75" s="49"/>
      <c r="W75" s="49"/>
      <c r="X75" s="49"/>
      <c r="Y75" s="49"/>
    </row>
    <row r="76" spans="1:25" s="7" customFormat="1" ht="15" customHeight="1">
      <c r="A76" s="12" t="s">
        <v>203</v>
      </c>
      <c r="B76" s="8" t="s">
        <v>602</v>
      </c>
      <c r="C76" s="9" t="s">
        <v>656</v>
      </c>
      <c r="D76" s="9" t="s">
        <v>604</v>
      </c>
      <c r="E76" s="49"/>
      <c r="F76" s="49"/>
      <c r="G76" s="49"/>
      <c r="H76" s="49"/>
      <c r="I76" s="49"/>
      <c r="J76" s="49"/>
      <c r="K76" s="49"/>
      <c r="L76" s="49">
        <v>2.4700000000000002</v>
      </c>
      <c r="M76" s="49"/>
      <c r="N76" s="49"/>
      <c r="O76" s="49"/>
      <c r="P76" s="49"/>
      <c r="Q76" s="49">
        <v>0.97409888945079404</v>
      </c>
      <c r="R76" s="49"/>
      <c r="S76" s="49"/>
      <c r="T76" s="49"/>
      <c r="U76" s="49"/>
      <c r="V76" s="49"/>
      <c r="W76" s="49"/>
      <c r="X76" s="49"/>
      <c r="Y76" s="49"/>
    </row>
    <row r="77" spans="1:25" s="7" customFormat="1" ht="15" customHeight="1">
      <c r="A77" s="12" t="s">
        <v>204</v>
      </c>
      <c r="B77" s="8" t="s">
        <v>602</v>
      </c>
      <c r="C77" s="9" t="s">
        <v>657</v>
      </c>
      <c r="D77" s="9" t="s">
        <v>604</v>
      </c>
      <c r="E77" s="49"/>
      <c r="F77" s="49"/>
      <c r="G77" s="49"/>
      <c r="H77" s="49"/>
      <c r="I77" s="49"/>
      <c r="J77" s="49"/>
      <c r="K77" s="49"/>
      <c r="L77" s="49">
        <v>2.4700000000000002</v>
      </c>
      <c r="M77" s="49"/>
      <c r="N77" s="49"/>
      <c r="O77" s="49"/>
      <c r="P77" s="49"/>
      <c r="Q77" s="49">
        <v>0.97409888945079404</v>
      </c>
      <c r="R77" s="49"/>
      <c r="S77" s="49"/>
      <c r="T77" s="49"/>
      <c r="U77" s="49"/>
      <c r="V77" s="49"/>
      <c r="W77" s="49"/>
      <c r="X77" s="49"/>
      <c r="Y77" s="49"/>
    </row>
    <row r="78" spans="1:25" s="7" customFormat="1" ht="15" customHeight="1">
      <c r="A78" s="12" t="s">
        <v>205</v>
      </c>
      <c r="B78" s="8" t="s">
        <v>602</v>
      </c>
      <c r="C78" s="9" t="s">
        <v>658</v>
      </c>
      <c r="D78" s="9" t="s">
        <v>604</v>
      </c>
      <c r="E78" s="49"/>
      <c r="F78" s="49"/>
      <c r="G78" s="49"/>
      <c r="H78" s="49"/>
      <c r="I78" s="49"/>
      <c r="J78" s="49"/>
      <c r="K78" s="49"/>
      <c r="L78" s="49">
        <v>2.4700000000000002</v>
      </c>
      <c r="M78" s="49"/>
      <c r="N78" s="49"/>
      <c r="O78" s="49"/>
      <c r="P78" s="49"/>
      <c r="Q78" s="49">
        <v>0.97409888945079404</v>
      </c>
      <c r="R78" s="49"/>
      <c r="S78" s="49"/>
      <c r="T78" s="49"/>
      <c r="U78" s="49"/>
      <c r="V78" s="49"/>
      <c r="W78" s="49"/>
      <c r="X78" s="49"/>
      <c r="Y78" s="49"/>
    </row>
    <row r="79" spans="1:25" s="7" customFormat="1" ht="15" customHeight="1">
      <c r="A79" s="12"/>
      <c r="B79" s="8"/>
      <c r="C79" s="9"/>
      <c r="D79" s="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spans="1:25" s="7" customFormat="1" ht="15" customHeight="1">
      <c r="A80" s="12" t="s">
        <v>206</v>
      </c>
      <c r="B80" s="8" t="s">
        <v>600</v>
      </c>
      <c r="C80" s="9" t="s">
        <v>609</v>
      </c>
      <c r="D80" s="9" t="s">
        <v>605</v>
      </c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s="7" customFormat="1" ht="15" customHeight="1">
      <c r="A81" s="12" t="s">
        <v>207</v>
      </c>
      <c r="B81" s="8" t="s">
        <v>600</v>
      </c>
      <c r="C81" s="9" t="s">
        <v>619</v>
      </c>
      <c r="D81" s="9" t="s">
        <v>605</v>
      </c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s="7" customFormat="1" ht="15" customHeight="1">
      <c r="A82" s="12" t="s">
        <v>208</v>
      </c>
      <c r="B82" s="8" t="s">
        <v>600</v>
      </c>
      <c r="C82" s="9" t="s">
        <v>620</v>
      </c>
      <c r="D82" s="9" t="s">
        <v>605</v>
      </c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s="7" customFormat="1" ht="15" customHeight="1">
      <c r="A83" s="12" t="s">
        <v>209</v>
      </c>
      <c r="B83" s="8" t="s">
        <v>600</v>
      </c>
      <c r="C83" s="9" t="s">
        <v>656</v>
      </c>
      <c r="D83" s="9" t="s">
        <v>604</v>
      </c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s="7" customFormat="1" ht="15" customHeight="1">
      <c r="A84" s="12" t="s">
        <v>210</v>
      </c>
      <c r="B84" s="8" t="s">
        <v>600</v>
      </c>
      <c r="C84" s="9" t="s">
        <v>657</v>
      </c>
      <c r="D84" s="9" t="s">
        <v>604</v>
      </c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</row>
    <row r="85" spans="1:25" s="7" customFormat="1" ht="15" customHeight="1">
      <c r="A85" s="12" t="s">
        <v>211</v>
      </c>
      <c r="B85" s="8" t="s">
        <v>600</v>
      </c>
      <c r="C85" s="9" t="s">
        <v>658</v>
      </c>
      <c r="D85" s="9" t="s">
        <v>604</v>
      </c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s="7" customFormat="1" ht="15" customHeight="1">
      <c r="A86" s="12"/>
      <c r="B86" s="8"/>
      <c r="C86" s="9"/>
      <c r="D86" s="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spans="1:25" s="7" customFormat="1" ht="15" customHeight="1">
      <c r="A87" s="12" t="s">
        <v>212</v>
      </c>
      <c r="B87" s="8" t="s">
        <v>601</v>
      </c>
      <c r="C87" s="9" t="s">
        <v>609</v>
      </c>
      <c r="D87" s="9" t="s">
        <v>605</v>
      </c>
      <c r="E87" s="49">
        <v>4.05</v>
      </c>
      <c r="F87" s="49">
        <v>0</v>
      </c>
      <c r="G87" s="49"/>
      <c r="H87" s="49"/>
      <c r="I87" s="49"/>
      <c r="J87" s="49">
        <v>0</v>
      </c>
      <c r="K87" s="49"/>
      <c r="L87" s="49">
        <v>0</v>
      </c>
      <c r="M87" s="49">
        <v>3.96</v>
      </c>
      <c r="N87" s="49"/>
      <c r="O87" s="49"/>
      <c r="P87" s="49"/>
      <c r="Q87" s="49">
        <v>25.391999999999996</v>
      </c>
      <c r="R87" s="49">
        <v>3.85</v>
      </c>
      <c r="S87" s="49">
        <v>4.04</v>
      </c>
      <c r="T87" s="49"/>
      <c r="U87" s="49"/>
      <c r="V87" s="49">
        <v>0</v>
      </c>
      <c r="W87" s="49"/>
      <c r="X87" s="49">
        <v>0</v>
      </c>
      <c r="Y87" s="49">
        <v>0</v>
      </c>
    </row>
    <row r="88" spans="1:25" s="7" customFormat="1" ht="15" customHeight="1">
      <c r="A88" s="12" t="s">
        <v>213</v>
      </c>
      <c r="B88" s="8" t="s">
        <v>601</v>
      </c>
      <c r="C88" s="9" t="s">
        <v>619</v>
      </c>
      <c r="D88" s="9" t="s">
        <v>605</v>
      </c>
      <c r="E88" s="49">
        <v>4.05</v>
      </c>
      <c r="F88" s="49">
        <v>0</v>
      </c>
      <c r="G88" s="49"/>
      <c r="H88" s="49"/>
      <c r="I88" s="49"/>
      <c r="J88" s="49">
        <v>0</v>
      </c>
      <c r="K88" s="49"/>
      <c r="L88" s="49">
        <v>0</v>
      </c>
      <c r="M88" s="49">
        <v>3.96</v>
      </c>
      <c r="N88" s="49"/>
      <c r="O88" s="49"/>
      <c r="P88" s="49"/>
      <c r="Q88" s="49">
        <v>23.298999999999999</v>
      </c>
      <c r="R88" s="49">
        <v>3.85</v>
      </c>
      <c r="S88" s="49">
        <v>4</v>
      </c>
      <c r="T88" s="49"/>
      <c r="U88" s="49"/>
      <c r="V88" s="49">
        <v>0</v>
      </c>
      <c r="W88" s="49"/>
      <c r="X88" s="49">
        <v>0</v>
      </c>
      <c r="Y88" s="49">
        <v>0</v>
      </c>
    </row>
    <row r="89" spans="1:25" s="7" customFormat="1" ht="15" customHeight="1">
      <c r="A89" s="12" t="s">
        <v>214</v>
      </c>
      <c r="B89" s="8" t="s">
        <v>601</v>
      </c>
      <c r="C89" s="9" t="s">
        <v>620</v>
      </c>
      <c r="D89" s="9" t="s">
        <v>605</v>
      </c>
      <c r="E89" s="49">
        <v>4.05</v>
      </c>
      <c r="F89" s="49">
        <v>0</v>
      </c>
      <c r="G89" s="49"/>
      <c r="H89" s="49"/>
      <c r="I89" s="49"/>
      <c r="J89" s="49">
        <v>0</v>
      </c>
      <c r="K89" s="49"/>
      <c r="L89" s="49">
        <v>0</v>
      </c>
      <c r="M89" s="49">
        <v>3.96</v>
      </c>
      <c r="N89" s="49"/>
      <c r="O89" s="49"/>
      <c r="P89" s="49"/>
      <c r="Q89" s="49">
        <v>22.183499999999999</v>
      </c>
      <c r="R89" s="49">
        <v>3.85</v>
      </c>
      <c r="S89" s="49">
        <v>3.97</v>
      </c>
      <c r="T89" s="49"/>
      <c r="U89" s="49"/>
      <c r="V89" s="49">
        <v>0</v>
      </c>
      <c r="W89" s="49"/>
      <c r="X89" s="49">
        <v>0</v>
      </c>
      <c r="Y89" s="49">
        <v>0</v>
      </c>
    </row>
    <row r="90" spans="1:25" s="7" customFormat="1" ht="15" customHeight="1">
      <c r="A90" s="12" t="s">
        <v>215</v>
      </c>
      <c r="B90" s="8" t="s">
        <v>601</v>
      </c>
      <c r="C90" s="9" t="s">
        <v>656</v>
      </c>
      <c r="D90" s="9" t="s">
        <v>604</v>
      </c>
      <c r="E90" s="49"/>
      <c r="F90" s="49">
        <v>1.87</v>
      </c>
      <c r="G90" s="49"/>
      <c r="H90" s="49"/>
      <c r="I90" s="49"/>
      <c r="J90" s="49">
        <v>0</v>
      </c>
      <c r="K90" s="49"/>
      <c r="L90" s="49">
        <v>1.77</v>
      </c>
      <c r="M90" s="49"/>
      <c r="N90" s="49"/>
      <c r="O90" s="49"/>
      <c r="P90" s="49"/>
      <c r="Q90" s="49">
        <v>0.79349999999999987</v>
      </c>
      <c r="R90" s="49"/>
      <c r="S90" s="49"/>
      <c r="T90" s="49"/>
      <c r="U90" s="49"/>
      <c r="V90" s="49">
        <v>1.91</v>
      </c>
      <c r="W90" s="49"/>
      <c r="X90" s="49">
        <v>2.0299999999999998</v>
      </c>
      <c r="Y90" s="49">
        <v>0</v>
      </c>
    </row>
    <row r="91" spans="1:25" s="7" customFormat="1" ht="15" customHeight="1">
      <c r="A91" s="12" t="s">
        <v>216</v>
      </c>
      <c r="B91" s="8" t="s">
        <v>601</v>
      </c>
      <c r="C91" s="9" t="s">
        <v>657</v>
      </c>
      <c r="D91" s="9" t="s">
        <v>604</v>
      </c>
      <c r="E91" s="49"/>
      <c r="F91" s="49">
        <v>1.87</v>
      </c>
      <c r="G91" s="49"/>
      <c r="H91" s="49"/>
      <c r="I91" s="49"/>
      <c r="J91" s="49">
        <v>0</v>
      </c>
      <c r="K91" s="49"/>
      <c r="L91" s="49">
        <v>1.77</v>
      </c>
      <c r="M91" s="49"/>
      <c r="N91" s="49"/>
      <c r="O91" s="49"/>
      <c r="P91" s="49"/>
      <c r="Q91" s="49">
        <v>0.79349999999999987</v>
      </c>
      <c r="R91" s="49"/>
      <c r="S91" s="49"/>
      <c r="T91" s="49"/>
      <c r="U91" s="49"/>
      <c r="V91" s="49">
        <v>1.91</v>
      </c>
      <c r="W91" s="49"/>
      <c r="X91" s="49">
        <v>2.0299999999999998</v>
      </c>
      <c r="Y91" s="49">
        <v>0</v>
      </c>
    </row>
    <row r="92" spans="1:25" s="7" customFormat="1" ht="15" customHeight="1">
      <c r="A92" s="12" t="s">
        <v>217</v>
      </c>
      <c r="B92" s="8" t="s">
        <v>601</v>
      </c>
      <c r="C92" s="9" t="s">
        <v>658</v>
      </c>
      <c r="D92" s="9" t="s">
        <v>604</v>
      </c>
      <c r="E92" s="49"/>
      <c r="F92" s="49">
        <v>1.87</v>
      </c>
      <c r="G92" s="49"/>
      <c r="H92" s="49"/>
      <c r="I92" s="49"/>
      <c r="J92" s="49">
        <v>0</v>
      </c>
      <c r="K92" s="49"/>
      <c r="L92" s="49">
        <v>1.77</v>
      </c>
      <c r="M92" s="49"/>
      <c r="N92" s="49"/>
      <c r="O92" s="49"/>
      <c r="P92" s="49"/>
      <c r="Q92" s="49">
        <v>0.79349999999999987</v>
      </c>
      <c r="R92" s="49"/>
      <c r="S92" s="49"/>
      <c r="T92" s="49"/>
      <c r="U92" s="49"/>
      <c r="V92" s="49">
        <v>1.91</v>
      </c>
      <c r="W92" s="49"/>
      <c r="X92" s="49">
        <v>2.0299999999999998</v>
      </c>
      <c r="Y92" s="49">
        <v>0</v>
      </c>
    </row>
    <row r="93" spans="1:25" s="7" customFormat="1" ht="15" customHeight="1">
      <c r="A93" s="12"/>
      <c r="B93" s="8"/>
      <c r="C93" s="9"/>
      <c r="D93" s="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spans="1:25" s="7" customFormat="1" ht="15" customHeight="1">
      <c r="A94" s="12" t="s">
        <v>218</v>
      </c>
      <c r="B94" s="8" t="s">
        <v>598</v>
      </c>
      <c r="C94" s="9" t="s">
        <v>608</v>
      </c>
      <c r="D94" s="9" t="s">
        <v>605</v>
      </c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>
        <v>2.5185</v>
      </c>
      <c r="R94" s="49"/>
      <c r="S94" s="49"/>
      <c r="T94" s="49"/>
      <c r="U94" s="49"/>
      <c r="V94" s="49"/>
      <c r="W94" s="49"/>
      <c r="X94" s="49"/>
      <c r="Y94" s="49"/>
    </row>
    <row r="95" spans="1:25" s="7" customFormat="1" ht="15" customHeight="1">
      <c r="A95" s="12" t="s">
        <v>219</v>
      </c>
      <c r="B95" s="8" t="s">
        <v>598</v>
      </c>
      <c r="C95" s="9" t="s">
        <v>621</v>
      </c>
      <c r="D95" s="9" t="s">
        <v>605</v>
      </c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>
        <v>1.196</v>
      </c>
      <c r="R95" s="49"/>
      <c r="S95" s="49"/>
      <c r="T95" s="49"/>
      <c r="U95" s="49"/>
      <c r="V95" s="49"/>
      <c r="W95" s="49"/>
      <c r="X95" s="49"/>
      <c r="Y95" s="49"/>
    </row>
    <row r="96" spans="1:25" s="7" customFormat="1" ht="15" customHeight="1">
      <c r="A96" s="12" t="s">
        <v>220</v>
      </c>
      <c r="B96" s="8" t="s">
        <v>598</v>
      </c>
      <c r="C96" s="9" t="s">
        <v>622</v>
      </c>
      <c r="D96" s="9" t="s">
        <v>605</v>
      </c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>
        <v>1.1729999999999998</v>
      </c>
      <c r="R96" s="49"/>
      <c r="S96" s="49"/>
      <c r="T96" s="49"/>
      <c r="U96" s="49"/>
      <c r="V96" s="49"/>
      <c r="W96" s="49"/>
      <c r="X96" s="49"/>
      <c r="Y96" s="49"/>
    </row>
    <row r="97" spans="1:25" s="7" customFormat="1" ht="15" customHeight="1">
      <c r="A97" s="12" t="s">
        <v>221</v>
      </c>
      <c r="B97" s="8" t="s">
        <v>598</v>
      </c>
      <c r="C97" s="9" t="s">
        <v>659</v>
      </c>
      <c r="D97" s="9" t="s">
        <v>604</v>
      </c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>
        <v>0.79349999999999987</v>
      </c>
      <c r="R97" s="49"/>
      <c r="S97" s="49"/>
      <c r="T97" s="49"/>
      <c r="U97" s="49"/>
      <c r="V97" s="49"/>
      <c r="W97" s="49"/>
      <c r="X97" s="49"/>
      <c r="Y97" s="49"/>
    </row>
    <row r="98" spans="1:25" s="7" customFormat="1" ht="15" customHeight="1">
      <c r="A98" s="12" t="s">
        <v>222</v>
      </c>
      <c r="B98" s="8" t="s">
        <v>598</v>
      </c>
      <c r="C98" s="9" t="s">
        <v>660</v>
      </c>
      <c r="D98" s="9" t="s">
        <v>604</v>
      </c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>
        <v>0.79349999999999987</v>
      </c>
      <c r="R98" s="49"/>
      <c r="S98" s="49"/>
      <c r="T98" s="49"/>
      <c r="U98" s="49"/>
      <c r="V98" s="49"/>
      <c r="W98" s="49"/>
      <c r="X98" s="49"/>
      <c r="Y98" s="49"/>
    </row>
    <row r="99" spans="1:25" s="7" customFormat="1" ht="15" customHeight="1">
      <c r="A99" s="12" t="s">
        <v>223</v>
      </c>
      <c r="B99" s="8" t="s">
        <v>598</v>
      </c>
      <c r="C99" s="9" t="s">
        <v>661</v>
      </c>
      <c r="D99" s="9" t="s">
        <v>604</v>
      </c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>
        <v>0.79349999999999987</v>
      </c>
      <c r="R99" s="49"/>
      <c r="S99" s="49"/>
      <c r="T99" s="49"/>
      <c r="U99" s="49"/>
      <c r="V99" s="49"/>
      <c r="W99" s="49"/>
      <c r="X99" s="49"/>
      <c r="Y99" s="49"/>
    </row>
    <row r="100" spans="1:25" s="7" customFormat="1" ht="15" customHeight="1">
      <c r="A100" s="12"/>
      <c r="B100" s="6"/>
      <c r="C100" s="9"/>
      <c r="D100" s="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spans="1:25" s="7" customFormat="1" ht="15" customHeight="1">
      <c r="A101" s="12" t="s">
        <v>224</v>
      </c>
      <c r="B101" s="8" t="s">
        <v>602</v>
      </c>
      <c r="C101" s="9" t="s">
        <v>608</v>
      </c>
      <c r="D101" s="9" t="s">
        <v>605</v>
      </c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>
        <v>2.7484999999999999</v>
      </c>
      <c r="R101" s="49"/>
      <c r="S101" s="49"/>
      <c r="T101" s="49"/>
      <c r="U101" s="49"/>
      <c r="V101" s="49"/>
      <c r="W101" s="49"/>
      <c r="X101" s="49"/>
      <c r="Y101" s="49"/>
    </row>
    <row r="102" spans="1:25" s="7" customFormat="1" ht="15" customHeight="1">
      <c r="A102" s="12" t="s">
        <v>225</v>
      </c>
      <c r="B102" s="8" t="s">
        <v>602</v>
      </c>
      <c r="C102" s="9" t="s">
        <v>621</v>
      </c>
      <c r="D102" s="9" t="s">
        <v>605</v>
      </c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>
        <v>1.2765</v>
      </c>
      <c r="R102" s="49"/>
      <c r="S102" s="49"/>
      <c r="T102" s="49"/>
      <c r="U102" s="49"/>
      <c r="V102" s="49"/>
      <c r="W102" s="49"/>
      <c r="X102" s="49"/>
      <c r="Y102" s="49"/>
    </row>
    <row r="103" spans="1:25" s="7" customFormat="1" ht="15" customHeight="1">
      <c r="A103" s="12" t="s">
        <v>226</v>
      </c>
      <c r="B103" s="8" t="s">
        <v>602</v>
      </c>
      <c r="C103" s="9" t="s">
        <v>622</v>
      </c>
      <c r="D103" s="9" t="s">
        <v>605</v>
      </c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>
        <v>1.2535000000000001</v>
      </c>
      <c r="R103" s="49"/>
      <c r="S103" s="49"/>
      <c r="T103" s="49"/>
      <c r="U103" s="49"/>
      <c r="V103" s="49"/>
      <c r="W103" s="49"/>
      <c r="X103" s="49"/>
      <c r="Y103" s="49"/>
    </row>
    <row r="104" spans="1:25" s="7" customFormat="1" ht="15" customHeight="1">
      <c r="A104" s="12" t="s">
        <v>227</v>
      </c>
      <c r="B104" s="8" t="s">
        <v>602</v>
      </c>
      <c r="C104" s="9" t="s">
        <v>659</v>
      </c>
      <c r="D104" s="9" t="s">
        <v>604</v>
      </c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>
        <v>0.97409888945079404</v>
      </c>
      <c r="R104" s="49"/>
      <c r="S104" s="49"/>
      <c r="T104" s="49"/>
      <c r="U104" s="49"/>
      <c r="V104" s="49"/>
      <c r="W104" s="49"/>
      <c r="X104" s="49"/>
      <c r="Y104" s="49"/>
    </row>
    <row r="105" spans="1:25" s="7" customFormat="1" ht="15" customHeight="1">
      <c r="A105" s="12" t="s">
        <v>228</v>
      </c>
      <c r="B105" s="8" t="s">
        <v>602</v>
      </c>
      <c r="C105" s="9" t="s">
        <v>660</v>
      </c>
      <c r="D105" s="9" t="s">
        <v>604</v>
      </c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>
        <v>0.97409888945079404</v>
      </c>
      <c r="R105" s="49"/>
      <c r="S105" s="49"/>
      <c r="T105" s="49"/>
      <c r="U105" s="49"/>
      <c r="V105" s="49"/>
      <c r="W105" s="49"/>
      <c r="X105" s="49"/>
      <c r="Y105" s="49"/>
    </row>
    <row r="106" spans="1:25" s="7" customFormat="1" ht="15" customHeight="1">
      <c r="A106" s="12" t="s">
        <v>229</v>
      </c>
      <c r="B106" s="8" t="s">
        <v>602</v>
      </c>
      <c r="C106" s="9" t="s">
        <v>661</v>
      </c>
      <c r="D106" s="9" t="s">
        <v>604</v>
      </c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>
        <v>0.97409888945079404</v>
      </c>
      <c r="R106" s="49"/>
      <c r="S106" s="49"/>
      <c r="T106" s="49"/>
      <c r="U106" s="49"/>
      <c r="V106" s="49"/>
      <c r="W106" s="49"/>
      <c r="X106" s="49"/>
      <c r="Y106" s="49"/>
    </row>
    <row r="107" spans="1:25" s="7" customFormat="1" ht="15" customHeight="1">
      <c r="A107" s="12"/>
      <c r="B107" s="8"/>
      <c r="C107" s="9"/>
      <c r="D107" s="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spans="1:25" ht="14.25" customHeight="1">
      <c r="A108" s="12" t="s">
        <v>230</v>
      </c>
      <c r="B108" s="8" t="s">
        <v>600</v>
      </c>
      <c r="C108" s="9" t="s">
        <v>608</v>
      </c>
      <c r="D108" s="9" t="s">
        <v>605</v>
      </c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</row>
    <row r="109" spans="1:25" ht="14.25" customHeight="1">
      <c r="A109" s="12" t="s">
        <v>231</v>
      </c>
      <c r="B109" s="8" t="s">
        <v>600</v>
      </c>
      <c r="C109" s="9" t="s">
        <v>621</v>
      </c>
      <c r="D109" s="9" t="s">
        <v>605</v>
      </c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</row>
    <row r="110" spans="1:25" ht="14.25" customHeight="1">
      <c r="A110" s="12" t="s">
        <v>232</v>
      </c>
      <c r="B110" s="8" t="s">
        <v>600</v>
      </c>
      <c r="C110" s="9" t="s">
        <v>622</v>
      </c>
      <c r="D110" s="9" t="s">
        <v>605</v>
      </c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</row>
    <row r="111" spans="1:25" ht="14.25" customHeight="1">
      <c r="A111" s="12" t="s">
        <v>233</v>
      </c>
      <c r="B111" s="8" t="s">
        <v>600</v>
      </c>
      <c r="C111" s="9" t="s">
        <v>662</v>
      </c>
      <c r="D111" s="9" t="s">
        <v>604</v>
      </c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</row>
    <row r="112" spans="1:25" ht="14.25" customHeight="1">
      <c r="A112" s="12" t="s">
        <v>234</v>
      </c>
      <c r="B112" s="8" t="s">
        <v>600</v>
      </c>
      <c r="C112" s="9" t="s">
        <v>663</v>
      </c>
      <c r="D112" s="9" t="s">
        <v>604</v>
      </c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</row>
    <row r="113" spans="1:25" ht="14.25" customHeight="1">
      <c r="A113" s="12" t="s">
        <v>235</v>
      </c>
      <c r="B113" s="8" t="s">
        <v>600</v>
      </c>
      <c r="C113" s="9" t="s">
        <v>664</v>
      </c>
      <c r="D113" s="9" t="s">
        <v>604</v>
      </c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</row>
    <row r="114" spans="1:25" ht="14.25" customHeight="1">
      <c r="A114" s="12"/>
      <c r="B114" s="8"/>
      <c r="C114" s="9"/>
      <c r="D114" s="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spans="1:25" ht="14.25" customHeight="1">
      <c r="A115" s="12" t="s">
        <v>236</v>
      </c>
      <c r="B115" s="8" t="s">
        <v>601</v>
      </c>
      <c r="C115" s="9" t="s">
        <v>608</v>
      </c>
      <c r="D115" s="9" t="s">
        <v>605</v>
      </c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>
        <v>2.484</v>
      </c>
      <c r="R115" s="49"/>
      <c r="S115" s="49"/>
      <c r="T115" s="49"/>
      <c r="U115" s="49"/>
      <c r="V115" s="49"/>
      <c r="W115" s="49"/>
      <c r="X115" s="49"/>
      <c r="Y115" s="49"/>
    </row>
    <row r="116" spans="1:25" ht="14.25" customHeight="1">
      <c r="A116" s="12" t="s">
        <v>237</v>
      </c>
      <c r="B116" s="8" t="s">
        <v>601</v>
      </c>
      <c r="C116" s="9" t="s">
        <v>621</v>
      </c>
      <c r="D116" s="9" t="s">
        <v>605</v>
      </c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>
        <v>1.1844999999999999</v>
      </c>
      <c r="R116" s="49"/>
      <c r="S116" s="49"/>
      <c r="T116" s="49"/>
      <c r="U116" s="49"/>
      <c r="V116" s="49"/>
      <c r="W116" s="49"/>
      <c r="X116" s="49"/>
      <c r="Y116" s="49"/>
    </row>
    <row r="117" spans="1:25" ht="14.25" customHeight="1">
      <c r="A117" s="12" t="s">
        <v>238</v>
      </c>
      <c r="B117" s="8" t="s">
        <v>601</v>
      </c>
      <c r="C117" s="9" t="s">
        <v>622</v>
      </c>
      <c r="D117" s="9" t="s">
        <v>605</v>
      </c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>
        <v>1.1615</v>
      </c>
      <c r="R117" s="49"/>
      <c r="S117" s="49"/>
      <c r="T117" s="49"/>
      <c r="U117" s="49"/>
      <c r="V117" s="49"/>
      <c r="W117" s="49"/>
      <c r="X117" s="49"/>
      <c r="Y117" s="49"/>
    </row>
    <row r="118" spans="1:25" ht="14.25" customHeight="1">
      <c r="A118" s="12" t="s">
        <v>239</v>
      </c>
      <c r="B118" s="8" t="s">
        <v>601</v>
      </c>
      <c r="C118" s="9" t="s">
        <v>662</v>
      </c>
      <c r="D118" s="9" t="s">
        <v>604</v>
      </c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>
        <v>0.79349999999999987</v>
      </c>
      <c r="R118" s="49"/>
      <c r="S118" s="49"/>
      <c r="T118" s="49"/>
      <c r="U118" s="49"/>
      <c r="V118" s="49"/>
      <c r="W118" s="49"/>
      <c r="X118" s="49"/>
      <c r="Y118" s="49"/>
    </row>
    <row r="119" spans="1:25" ht="14.25" customHeight="1">
      <c r="A119" s="12" t="s">
        <v>240</v>
      </c>
      <c r="B119" s="8" t="s">
        <v>601</v>
      </c>
      <c r="C119" s="9" t="s">
        <v>663</v>
      </c>
      <c r="D119" s="9" t="s">
        <v>604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>
        <v>0.79349999999999987</v>
      </c>
      <c r="R119" s="49"/>
      <c r="S119" s="49"/>
      <c r="T119" s="49"/>
      <c r="U119" s="49"/>
      <c r="V119" s="49"/>
      <c r="W119" s="49"/>
      <c r="X119" s="49"/>
      <c r="Y119" s="49"/>
    </row>
    <row r="120" spans="1:25" ht="14.25" customHeight="1">
      <c r="A120" s="12" t="s">
        <v>241</v>
      </c>
      <c r="B120" s="8" t="s">
        <v>601</v>
      </c>
      <c r="C120" s="9" t="s">
        <v>664</v>
      </c>
      <c r="D120" s="9" t="s">
        <v>604</v>
      </c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>
        <v>0.79349999999999987</v>
      </c>
      <c r="R120" s="49"/>
      <c r="S120" s="49"/>
      <c r="T120" s="49"/>
      <c r="U120" s="49"/>
      <c r="V120" s="49"/>
      <c r="W120" s="49"/>
      <c r="X120" s="49"/>
      <c r="Y120" s="49"/>
    </row>
    <row r="121" spans="1:25" ht="14.25" customHeight="1">
      <c r="A121" s="12"/>
      <c r="B121" s="8"/>
      <c r="C121" s="9"/>
      <c r="D121" s="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spans="1:25" ht="14.25" customHeight="1">
      <c r="A122" s="12" t="s">
        <v>242</v>
      </c>
      <c r="B122" s="8" t="s">
        <v>598</v>
      </c>
      <c r="C122" s="9" t="s">
        <v>665</v>
      </c>
      <c r="D122" s="9" t="s">
        <v>606</v>
      </c>
      <c r="E122" s="49">
        <v>277.10000000000002</v>
      </c>
      <c r="F122" s="49">
        <v>165.87</v>
      </c>
      <c r="G122" s="49"/>
      <c r="H122" s="49"/>
      <c r="I122" s="49"/>
      <c r="J122" s="49">
        <v>326.31</v>
      </c>
      <c r="K122" s="49"/>
      <c r="L122" s="49"/>
      <c r="M122" s="49">
        <v>562.11</v>
      </c>
      <c r="N122" s="49"/>
      <c r="O122" s="49"/>
      <c r="P122" s="49"/>
      <c r="Q122" s="49">
        <v>151.04</v>
      </c>
      <c r="R122" s="49">
        <v>153.83000000000001</v>
      </c>
      <c r="S122" s="49">
        <v>170.53</v>
      </c>
      <c r="T122" s="49"/>
      <c r="U122" s="49"/>
      <c r="V122" s="49">
        <v>140.38999999999999</v>
      </c>
      <c r="W122" s="49"/>
      <c r="X122" s="49"/>
      <c r="Y122" s="49"/>
    </row>
    <row r="123" spans="1:25" ht="14.25" customHeight="1">
      <c r="A123" s="12" t="s">
        <v>243</v>
      </c>
      <c r="B123" s="8" t="s">
        <v>598</v>
      </c>
      <c r="C123" s="9" t="s">
        <v>666</v>
      </c>
      <c r="D123" s="9" t="s">
        <v>606</v>
      </c>
      <c r="E123" s="49">
        <v>190.08</v>
      </c>
      <c r="F123" s="49">
        <v>150.72</v>
      </c>
      <c r="G123" s="49"/>
      <c r="H123" s="49"/>
      <c r="I123" s="49"/>
      <c r="J123" s="49">
        <v>275.23</v>
      </c>
      <c r="K123" s="49"/>
      <c r="L123" s="49"/>
      <c r="M123" s="49">
        <v>332.66</v>
      </c>
      <c r="N123" s="49"/>
      <c r="O123" s="49"/>
      <c r="P123" s="49"/>
      <c r="Q123" s="49">
        <v>127.9</v>
      </c>
      <c r="R123" s="49">
        <v>151.71</v>
      </c>
      <c r="S123" s="49">
        <v>167.75</v>
      </c>
      <c r="T123" s="49"/>
      <c r="U123" s="49"/>
      <c r="V123" s="49">
        <v>140.38999999999999</v>
      </c>
      <c r="W123" s="49"/>
      <c r="X123" s="49"/>
      <c r="Y123" s="49"/>
    </row>
    <row r="124" spans="1:25" ht="14.25" customHeight="1">
      <c r="A124" s="12" t="s">
        <v>244</v>
      </c>
      <c r="B124" s="8" t="s">
        <v>598</v>
      </c>
      <c r="C124" s="9" t="s">
        <v>667</v>
      </c>
      <c r="D124" s="9" t="s">
        <v>606</v>
      </c>
      <c r="E124" s="49">
        <v>161.93</v>
      </c>
      <c r="F124" s="49">
        <v>147.91999999999999</v>
      </c>
      <c r="G124" s="49"/>
      <c r="H124" s="49"/>
      <c r="I124" s="49"/>
      <c r="J124" s="49">
        <v>269.99</v>
      </c>
      <c r="K124" s="49"/>
      <c r="L124" s="49"/>
      <c r="M124" s="49">
        <v>251.8</v>
      </c>
      <c r="N124" s="49"/>
      <c r="O124" s="49"/>
      <c r="P124" s="49"/>
      <c r="Q124" s="49">
        <v>119.32</v>
      </c>
      <c r="R124" s="49">
        <v>149.59</v>
      </c>
      <c r="S124" s="49">
        <v>161.25</v>
      </c>
      <c r="T124" s="49"/>
      <c r="U124" s="49"/>
      <c r="V124" s="49">
        <v>140.38999999999999</v>
      </c>
      <c r="W124" s="49"/>
      <c r="X124" s="49"/>
      <c r="Y124" s="49"/>
    </row>
    <row r="125" spans="1:25" ht="14.25" customHeight="1">
      <c r="A125" s="12" t="s">
        <v>245</v>
      </c>
      <c r="B125" s="8" t="s">
        <v>598</v>
      </c>
      <c r="C125" s="9" t="s">
        <v>668</v>
      </c>
      <c r="D125" s="9" t="s">
        <v>606</v>
      </c>
      <c r="E125" s="49">
        <v>124.75</v>
      </c>
      <c r="F125" s="49">
        <v>38.4</v>
      </c>
      <c r="G125" s="49"/>
      <c r="H125" s="49"/>
      <c r="I125" s="49"/>
      <c r="J125" s="49">
        <v>74.37</v>
      </c>
      <c r="K125" s="49"/>
      <c r="L125" s="49"/>
      <c r="M125" s="49">
        <v>80.37</v>
      </c>
      <c r="N125" s="49"/>
      <c r="O125" s="49"/>
      <c r="P125" s="49"/>
      <c r="Q125" s="49">
        <v>58.85</v>
      </c>
      <c r="R125" s="49">
        <v>26.52</v>
      </c>
      <c r="S125" s="49">
        <v>34.85</v>
      </c>
      <c r="T125" s="49"/>
      <c r="U125" s="49"/>
      <c r="V125" s="49">
        <v>68.34</v>
      </c>
      <c r="W125" s="49"/>
      <c r="X125" s="49"/>
      <c r="Y125" s="49"/>
    </row>
    <row r="126" spans="1:25" ht="14.25" customHeight="1">
      <c r="A126" s="12" t="s">
        <v>246</v>
      </c>
      <c r="B126" s="8" t="s">
        <v>598</v>
      </c>
      <c r="C126" s="9" t="s">
        <v>669</v>
      </c>
      <c r="D126" s="9" t="s">
        <v>606</v>
      </c>
      <c r="E126" s="49">
        <v>42.82</v>
      </c>
      <c r="F126" s="49">
        <v>22.17</v>
      </c>
      <c r="G126" s="49"/>
      <c r="H126" s="49"/>
      <c r="I126" s="49"/>
      <c r="J126" s="49">
        <v>33.729999999999997</v>
      </c>
      <c r="K126" s="49"/>
      <c r="L126" s="49"/>
      <c r="M126" s="49">
        <v>53.5</v>
      </c>
      <c r="N126" s="49"/>
      <c r="O126" s="49"/>
      <c r="P126" s="49"/>
      <c r="Q126" s="49">
        <v>35.71</v>
      </c>
      <c r="R126" s="49">
        <v>21.22</v>
      </c>
      <c r="S126" s="49">
        <v>28.69</v>
      </c>
      <c r="T126" s="49"/>
      <c r="U126" s="49"/>
      <c r="V126" s="49">
        <v>55.08</v>
      </c>
      <c r="W126" s="49"/>
      <c r="X126" s="49"/>
      <c r="Y126" s="49"/>
    </row>
    <row r="127" spans="1:25" ht="14.25" customHeight="1">
      <c r="A127" s="12" t="s">
        <v>247</v>
      </c>
      <c r="B127" s="8" t="s">
        <v>598</v>
      </c>
      <c r="C127" s="9" t="s">
        <v>670</v>
      </c>
      <c r="D127" s="9" t="s">
        <v>606</v>
      </c>
      <c r="E127" s="49">
        <v>17.54</v>
      </c>
      <c r="F127" s="49">
        <v>17.64</v>
      </c>
      <c r="G127" s="49"/>
      <c r="H127" s="49"/>
      <c r="I127" s="49"/>
      <c r="J127" s="49">
        <v>20.92</v>
      </c>
      <c r="K127" s="49"/>
      <c r="L127" s="49"/>
      <c r="M127" s="49">
        <v>35.619999999999997</v>
      </c>
      <c r="N127" s="49"/>
      <c r="O127" s="49"/>
      <c r="P127" s="49"/>
      <c r="Q127" s="49">
        <v>27.13</v>
      </c>
      <c r="R127" s="49">
        <v>15.91</v>
      </c>
      <c r="S127" s="49">
        <v>18.79</v>
      </c>
      <c r="T127" s="49"/>
      <c r="U127" s="49"/>
      <c r="V127" s="49">
        <v>53.04</v>
      </c>
      <c r="W127" s="49"/>
      <c r="X127" s="49"/>
      <c r="Y127" s="49"/>
    </row>
    <row r="128" spans="1:25" ht="14.25" customHeight="1">
      <c r="A128" s="12"/>
      <c r="B128" s="8"/>
      <c r="C128" s="9"/>
      <c r="D128" s="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spans="1:25" ht="14.25" customHeight="1">
      <c r="A129" s="12" t="s">
        <v>248</v>
      </c>
      <c r="B129" s="8" t="s">
        <v>602</v>
      </c>
      <c r="C129" s="9" t="s">
        <v>665</v>
      </c>
      <c r="D129" s="9" t="s">
        <v>606</v>
      </c>
      <c r="E129" s="49"/>
      <c r="F129" s="49"/>
      <c r="G129" s="49"/>
      <c r="H129" s="49"/>
      <c r="I129" s="49"/>
      <c r="J129" s="49"/>
      <c r="K129" s="49"/>
      <c r="L129" s="49">
        <v>370.94</v>
      </c>
      <c r="M129" s="49"/>
      <c r="N129" s="49"/>
      <c r="O129" s="49"/>
      <c r="P129" s="49"/>
      <c r="Q129" s="49">
        <v>175.12</v>
      </c>
      <c r="R129" s="49"/>
      <c r="S129" s="49"/>
      <c r="T129" s="49"/>
      <c r="U129" s="49"/>
      <c r="V129" s="49"/>
      <c r="W129" s="49"/>
      <c r="X129" s="49"/>
      <c r="Y129" s="49"/>
    </row>
    <row r="130" spans="1:25" ht="14.25" customHeight="1">
      <c r="A130" s="12" t="s">
        <v>249</v>
      </c>
      <c r="B130" s="8" t="s">
        <v>602</v>
      </c>
      <c r="C130" s="9" t="s">
        <v>666</v>
      </c>
      <c r="D130" s="9" t="s">
        <v>606</v>
      </c>
      <c r="E130" s="49"/>
      <c r="F130" s="49"/>
      <c r="G130" s="49"/>
      <c r="H130" s="49"/>
      <c r="I130" s="49"/>
      <c r="J130" s="49"/>
      <c r="K130" s="49"/>
      <c r="L130" s="49">
        <v>370.94</v>
      </c>
      <c r="M130" s="49"/>
      <c r="N130" s="49"/>
      <c r="O130" s="49"/>
      <c r="P130" s="49"/>
      <c r="Q130" s="49">
        <v>149.99</v>
      </c>
      <c r="R130" s="49"/>
      <c r="S130" s="49"/>
      <c r="T130" s="49"/>
      <c r="U130" s="49"/>
      <c r="V130" s="49"/>
      <c r="W130" s="49"/>
      <c r="X130" s="49"/>
      <c r="Y130" s="49"/>
    </row>
    <row r="131" spans="1:25" ht="14.25" customHeight="1">
      <c r="A131" s="12" t="s">
        <v>250</v>
      </c>
      <c r="B131" s="8" t="s">
        <v>602</v>
      </c>
      <c r="C131" s="9" t="s">
        <v>667</v>
      </c>
      <c r="D131" s="9" t="s">
        <v>606</v>
      </c>
      <c r="E131" s="49"/>
      <c r="F131" s="49"/>
      <c r="G131" s="49"/>
      <c r="H131" s="49"/>
      <c r="I131" s="49"/>
      <c r="J131" s="49"/>
      <c r="K131" s="49"/>
      <c r="L131" s="49">
        <v>370.94</v>
      </c>
      <c r="M131" s="49"/>
      <c r="N131" s="49"/>
      <c r="O131" s="49"/>
      <c r="P131" s="49"/>
      <c r="Q131" s="49">
        <v>134.16</v>
      </c>
      <c r="R131" s="49"/>
      <c r="S131" s="49"/>
      <c r="T131" s="49"/>
      <c r="U131" s="49"/>
      <c r="V131" s="49"/>
      <c r="W131" s="49"/>
      <c r="X131" s="49"/>
      <c r="Y131" s="49"/>
    </row>
    <row r="132" spans="1:25" ht="14.25" customHeight="1">
      <c r="A132" s="12" t="s">
        <v>251</v>
      </c>
      <c r="B132" s="8" t="s">
        <v>602</v>
      </c>
      <c r="C132" s="9" t="s">
        <v>668</v>
      </c>
      <c r="D132" s="9" t="s">
        <v>606</v>
      </c>
      <c r="E132" s="49"/>
      <c r="F132" s="49"/>
      <c r="G132" s="49"/>
      <c r="H132" s="49"/>
      <c r="I132" s="49"/>
      <c r="J132" s="49"/>
      <c r="K132" s="49"/>
      <c r="L132" s="49">
        <v>52.99</v>
      </c>
      <c r="M132" s="49"/>
      <c r="N132" s="49"/>
      <c r="O132" s="49"/>
      <c r="P132" s="49"/>
      <c r="Q132" s="49">
        <v>73.53</v>
      </c>
      <c r="R132" s="49"/>
      <c r="S132" s="49"/>
      <c r="T132" s="49"/>
      <c r="U132" s="49"/>
      <c r="V132" s="49"/>
      <c r="W132" s="49"/>
      <c r="X132" s="49"/>
      <c r="Y132" s="49"/>
    </row>
    <row r="133" spans="1:25" ht="14.25" customHeight="1">
      <c r="A133" s="12" t="s">
        <v>252</v>
      </c>
      <c r="B133" s="8" t="s">
        <v>602</v>
      </c>
      <c r="C133" s="9" t="s">
        <v>669</v>
      </c>
      <c r="D133" s="9" t="s">
        <v>606</v>
      </c>
      <c r="E133" s="49"/>
      <c r="F133" s="49"/>
      <c r="G133" s="49"/>
      <c r="H133" s="49"/>
      <c r="I133" s="49"/>
      <c r="J133" s="49"/>
      <c r="K133" s="49"/>
      <c r="L133" s="49">
        <v>52.99</v>
      </c>
      <c r="M133" s="49"/>
      <c r="N133" s="49"/>
      <c r="O133" s="49"/>
      <c r="P133" s="49"/>
      <c r="Q133" s="49">
        <v>47.84</v>
      </c>
      <c r="R133" s="49"/>
      <c r="S133" s="49"/>
      <c r="T133" s="49"/>
      <c r="U133" s="49"/>
      <c r="V133" s="49"/>
      <c r="W133" s="49"/>
      <c r="X133" s="49"/>
      <c r="Y133" s="49"/>
    </row>
    <row r="134" spans="1:25" ht="14.25" customHeight="1">
      <c r="A134" s="12" t="s">
        <v>253</v>
      </c>
      <c r="B134" s="8" t="s">
        <v>602</v>
      </c>
      <c r="C134" s="9" t="s">
        <v>670</v>
      </c>
      <c r="D134" s="9" t="s">
        <v>606</v>
      </c>
      <c r="E134" s="49"/>
      <c r="F134" s="49"/>
      <c r="G134" s="49"/>
      <c r="H134" s="49"/>
      <c r="I134" s="49"/>
      <c r="J134" s="49"/>
      <c r="K134" s="49"/>
      <c r="L134" s="49">
        <v>35.33</v>
      </c>
      <c r="M134" s="49"/>
      <c r="N134" s="49"/>
      <c r="O134" s="49"/>
      <c r="P134" s="49"/>
      <c r="Q134" s="49">
        <v>32.58</v>
      </c>
      <c r="R134" s="49"/>
      <c r="S134" s="49"/>
      <c r="T134" s="49"/>
      <c r="U134" s="49"/>
      <c r="V134" s="49"/>
      <c r="W134" s="49"/>
      <c r="X134" s="49"/>
      <c r="Y134" s="49"/>
    </row>
    <row r="135" spans="1:25" ht="14.25" customHeight="1">
      <c r="A135" s="12"/>
      <c r="B135" s="8"/>
      <c r="C135" s="9"/>
      <c r="D135" s="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spans="1:25" ht="14.25" customHeight="1">
      <c r="A136" s="12" t="s">
        <v>254</v>
      </c>
      <c r="B136" s="8" t="s">
        <v>600</v>
      </c>
      <c r="C136" s="9" t="s">
        <v>665</v>
      </c>
      <c r="D136" s="9" t="s">
        <v>606</v>
      </c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</row>
    <row r="137" spans="1:25" ht="14.25" customHeight="1">
      <c r="A137" s="12" t="s">
        <v>255</v>
      </c>
      <c r="B137" s="8" t="s">
        <v>600</v>
      </c>
      <c r="C137" s="9" t="s">
        <v>666</v>
      </c>
      <c r="D137" s="9" t="s">
        <v>606</v>
      </c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</row>
    <row r="138" spans="1:25" ht="14.25" customHeight="1">
      <c r="A138" s="12" t="s">
        <v>256</v>
      </c>
      <c r="B138" s="8" t="s">
        <v>600</v>
      </c>
      <c r="C138" s="9" t="s">
        <v>667</v>
      </c>
      <c r="D138" s="9" t="s">
        <v>606</v>
      </c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</row>
    <row r="139" spans="1:25" ht="14.25" customHeight="1">
      <c r="A139" s="12" t="s">
        <v>257</v>
      </c>
      <c r="B139" s="8" t="s">
        <v>600</v>
      </c>
      <c r="C139" s="9" t="s">
        <v>668</v>
      </c>
      <c r="D139" s="9" t="s">
        <v>606</v>
      </c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</row>
    <row r="140" spans="1:25" ht="14.25" customHeight="1">
      <c r="A140" s="12" t="s">
        <v>258</v>
      </c>
      <c r="B140" s="8" t="s">
        <v>600</v>
      </c>
      <c r="C140" s="9" t="s">
        <v>669</v>
      </c>
      <c r="D140" s="9" t="s">
        <v>606</v>
      </c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</row>
    <row r="141" spans="1:25" ht="14.25" customHeight="1">
      <c r="A141" s="12" t="s">
        <v>259</v>
      </c>
      <c r="B141" s="8" t="s">
        <v>600</v>
      </c>
      <c r="C141" s="9" t="s">
        <v>670</v>
      </c>
      <c r="D141" s="9" t="s">
        <v>606</v>
      </c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</row>
    <row r="142" spans="1:25" ht="14.25" customHeight="1">
      <c r="A142" s="12"/>
      <c r="B142" s="8"/>
      <c r="C142" s="9"/>
      <c r="D142" s="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spans="1:25" ht="14.25" customHeight="1">
      <c r="A143" s="12" t="s">
        <v>260</v>
      </c>
      <c r="B143" s="8" t="s">
        <v>601</v>
      </c>
      <c r="C143" s="9" t="s">
        <v>665</v>
      </c>
      <c r="D143" s="9" t="s">
        <v>606</v>
      </c>
      <c r="E143" s="49">
        <v>277.10000000000002</v>
      </c>
      <c r="F143" s="49">
        <v>165.87</v>
      </c>
      <c r="G143" s="49"/>
      <c r="H143" s="49"/>
      <c r="I143" s="49"/>
      <c r="J143" s="49">
        <v>326.31</v>
      </c>
      <c r="K143" s="49"/>
      <c r="L143" s="49">
        <v>370.94</v>
      </c>
      <c r="M143" s="49">
        <v>562.11</v>
      </c>
      <c r="N143" s="49"/>
      <c r="O143" s="49"/>
      <c r="P143" s="49"/>
      <c r="Q143" s="49">
        <v>148.13999999999999</v>
      </c>
      <c r="R143" s="49">
        <v>153.83000000000001</v>
      </c>
      <c r="S143" s="49">
        <v>170.53</v>
      </c>
      <c r="T143" s="49"/>
      <c r="U143" s="49"/>
      <c r="V143" s="49">
        <v>140.38999999999999</v>
      </c>
      <c r="W143" s="49"/>
      <c r="X143" s="49">
        <v>440.41</v>
      </c>
      <c r="Y143" s="49">
        <v>440.41</v>
      </c>
    </row>
    <row r="144" spans="1:25" ht="14.25" customHeight="1">
      <c r="A144" s="12" t="s">
        <v>261</v>
      </c>
      <c r="B144" s="8" t="s">
        <v>601</v>
      </c>
      <c r="C144" s="9" t="s">
        <v>666</v>
      </c>
      <c r="D144" s="9" t="s">
        <v>606</v>
      </c>
      <c r="E144" s="49">
        <v>190.08</v>
      </c>
      <c r="F144" s="49">
        <v>150.72</v>
      </c>
      <c r="G144" s="49"/>
      <c r="H144" s="49"/>
      <c r="I144" s="49"/>
      <c r="J144" s="49">
        <v>275.23</v>
      </c>
      <c r="K144" s="49"/>
      <c r="L144" s="49">
        <v>370.94</v>
      </c>
      <c r="M144" s="49">
        <v>332.66</v>
      </c>
      <c r="N144" s="49"/>
      <c r="O144" s="49"/>
      <c r="P144" s="49"/>
      <c r="Q144" s="49">
        <v>125.44</v>
      </c>
      <c r="R144" s="49">
        <v>151.71</v>
      </c>
      <c r="S144" s="49">
        <v>167.75</v>
      </c>
      <c r="T144" s="49"/>
      <c r="U144" s="49"/>
      <c r="V144" s="49">
        <v>140.38999999999999</v>
      </c>
      <c r="W144" s="49"/>
      <c r="X144" s="49">
        <v>440.41</v>
      </c>
      <c r="Y144" s="49">
        <v>440.41</v>
      </c>
    </row>
    <row r="145" spans="1:25" ht="14.25" customHeight="1">
      <c r="A145" s="12" t="s">
        <v>262</v>
      </c>
      <c r="B145" s="8" t="s">
        <v>601</v>
      </c>
      <c r="C145" s="9" t="s">
        <v>667</v>
      </c>
      <c r="D145" s="9" t="s">
        <v>606</v>
      </c>
      <c r="E145" s="49">
        <v>161.93</v>
      </c>
      <c r="F145" s="49">
        <v>147.91999999999999</v>
      </c>
      <c r="G145" s="49"/>
      <c r="H145" s="49"/>
      <c r="I145" s="49"/>
      <c r="J145" s="49">
        <v>269.99</v>
      </c>
      <c r="K145" s="49"/>
      <c r="L145" s="49">
        <v>370.94</v>
      </c>
      <c r="M145" s="49">
        <v>251.8</v>
      </c>
      <c r="N145" s="49"/>
      <c r="O145" s="49"/>
      <c r="P145" s="49"/>
      <c r="Q145" s="49">
        <v>117.02</v>
      </c>
      <c r="R145" s="49">
        <v>149.59</v>
      </c>
      <c r="S145" s="49">
        <v>161.25</v>
      </c>
      <c r="T145" s="49"/>
      <c r="U145" s="49"/>
      <c r="V145" s="49">
        <v>140.38999999999999</v>
      </c>
      <c r="W145" s="49"/>
      <c r="X145" s="49">
        <v>440.41</v>
      </c>
      <c r="Y145" s="49">
        <v>440.41</v>
      </c>
    </row>
    <row r="146" spans="1:25" ht="14.25" customHeight="1">
      <c r="A146" s="12" t="s">
        <v>263</v>
      </c>
      <c r="B146" s="8" t="s">
        <v>601</v>
      </c>
      <c r="C146" s="9" t="s">
        <v>668</v>
      </c>
      <c r="D146" s="9" t="s">
        <v>606</v>
      </c>
      <c r="E146" s="49">
        <v>124.75</v>
      </c>
      <c r="F146" s="49">
        <v>38.4</v>
      </c>
      <c r="G146" s="49"/>
      <c r="H146" s="49"/>
      <c r="I146" s="49"/>
      <c r="J146" s="49">
        <v>74.37</v>
      </c>
      <c r="K146" s="49"/>
      <c r="L146" s="49">
        <v>52.99</v>
      </c>
      <c r="M146" s="49">
        <v>80.37</v>
      </c>
      <c r="N146" s="49"/>
      <c r="O146" s="49"/>
      <c r="P146" s="49"/>
      <c r="Q146" s="49">
        <v>57.72</v>
      </c>
      <c r="R146" s="49">
        <v>26.52</v>
      </c>
      <c r="S146" s="49">
        <v>34.85</v>
      </c>
      <c r="T146" s="49"/>
      <c r="U146" s="49"/>
      <c r="V146" s="49">
        <v>68.34</v>
      </c>
      <c r="W146" s="49"/>
      <c r="X146" s="49">
        <v>406.25</v>
      </c>
      <c r="Y146" s="49">
        <v>395.71</v>
      </c>
    </row>
    <row r="147" spans="1:25" ht="14.25" customHeight="1">
      <c r="A147" s="12" t="s">
        <v>264</v>
      </c>
      <c r="B147" s="8" t="s">
        <v>601</v>
      </c>
      <c r="C147" s="9" t="s">
        <v>669</v>
      </c>
      <c r="D147" s="9" t="s">
        <v>606</v>
      </c>
      <c r="E147" s="49">
        <v>42.82</v>
      </c>
      <c r="F147" s="49">
        <v>22.17</v>
      </c>
      <c r="G147" s="49"/>
      <c r="H147" s="49"/>
      <c r="I147" s="49"/>
      <c r="J147" s="49">
        <v>33.729999999999997</v>
      </c>
      <c r="K147" s="49"/>
      <c r="L147" s="49">
        <v>45.93</v>
      </c>
      <c r="M147" s="49">
        <v>53.5</v>
      </c>
      <c r="N147" s="49"/>
      <c r="O147" s="49"/>
      <c r="P147" s="49"/>
      <c r="Q147" s="49">
        <v>35.03</v>
      </c>
      <c r="R147" s="49">
        <v>21.22</v>
      </c>
      <c r="S147" s="49">
        <v>28.69</v>
      </c>
      <c r="T147" s="49"/>
      <c r="U147" s="49"/>
      <c r="V147" s="49">
        <v>55.08</v>
      </c>
      <c r="W147" s="49"/>
      <c r="X147" s="49">
        <v>198.62</v>
      </c>
      <c r="Y147" s="49">
        <v>155.41999999999999</v>
      </c>
    </row>
    <row r="148" spans="1:25" ht="14.25" customHeight="1">
      <c r="A148" s="12" t="s">
        <v>265</v>
      </c>
      <c r="B148" s="8" t="s">
        <v>601</v>
      </c>
      <c r="C148" s="9" t="s">
        <v>670</v>
      </c>
      <c r="D148" s="9" t="s">
        <v>606</v>
      </c>
      <c r="E148" s="49">
        <v>17.54</v>
      </c>
      <c r="F148" s="49">
        <v>17.64</v>
      </c>
      <c r="G148" s="49"/>
      <c r="H148" s="49"/>
      <c r="I148" s="49"/>
      <c r="J148" s="49">
        <v>20.92</v>
      </c>
      <c r="K148" s="49"/>
      <c r="L148" s="49">
        <v>45.93</v>
      </c>
      <c r="M148" s="49">
        <v>35.619999999999997</v>
      </c>
      <c r="N148" s="49"/>
      <c r="O148" s="49"/>
      <c r="P148" s="49"/>
      <c r="Q148" s="49">
        <v>26.61</v>
      </c>
      <c r="R148" s="49">
        <v>15.91</v>
      </c>
      <c r="S148" s="49">
        <v>18.79</v>
      </c>
      <c r="T148" s="49"/>
      <c r="U148" s="49"/>
      <c r="V148" s="49">
        <v>53.04</v>
      </c>
      <c r="W148" s="49"/>
      <c r="X148" s="49">
        <v>155.31</v>
      </c>
      <c r="Y148" s="49">
        <v>120</v>
      </c>
    </row>
    <row r="149" spans="1:25" ht="14.25" customHeight="1">
      <c r="A149" s="12"/>
      <c r="B149" s="8"/>
      <c r="C149" s="9"/>
      <c r="D149" s="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spans="1:25" ht="14.25" customHeight="1">
      <c r="A150" s="12" t="s">
        <v>266</v>
      </c>
      <c r="B150" s="8" t="s">
        <v>598</v>
      </c>
      <c r="C150" s="9" t="s">
        <v>623</v>
      </c>
      <c r="D150" s="9" t="s">
        <v>607</v>
      </c>
      <c r="E150" s="49">
        <v>365.03</v>
      </c>
      <c r="F150" s="49">
        <v>365.03</v>
      </c>
      <c r="G150" s="49"/>
      <c r="H150" s="49"/>
      <c r="I150" s="49"/>
      <c r="J150" s="49">
        <v>184</v>
      </c>
      <c r="K150" s="49"/>
      <c r="L150" s="49"/>
      <c r="M150" s="49">
        <v>219</v>
      </c>
      <c r="N150" s="49"/>
      <c r="O150" s="49"/>
      <c r="P150" s="49"/>
      <c r="Q150" s="49">
        <v>241</v>
      </c>
      <c r="R150" s="49">
        <v>153.83000000000001</v>
      </c>
      <c r="S150" s="49">
        <v>170</v>
      </c>
      <c r="T150" s="49"/>
      <c r="U150" s="49"/>
      <c r="V150" s="49">
        <v>191</v>
      </c>
      <c r="W150" s="49"/>
      <c r="X150" s="49"/>
      <c r="Y150" s="49"/>
    </row>
    <row r="151" spans="1:25" ht="14.25" customHeight="1">
      <c r="A151" s="12" t="s">
        <v>267</v>
      </c>
      <c r="B151" s="8" t="s">
        <v>598</v>
      </c>
      <c r="C151" s="9" t="s">
        <v>624</v>
      </c>
      <c r="D151" s="9" t="s">
        <v>607</v>
      </c>
      <c r="E151" s="49">
        <v>216.62</v>
      </c>
      <c r="F151" s="49">
        <v>216.62</v>
      </c>
      <c r="G151" s="49"/>
      <c r="H151" s="49"/>
      <c r="I151" s="49"/>
      <c r="J151" s="49">
        <v>110</v>
      </c>
      <c r="K151" s="49"/>
      <c r="L151" s="49"/>
      <c r="M151" s="49">
        <v>184</v>
      </c>
      <c r="N151" s="49"/>
      <c r="O151" s="49"/>
      <c r="P151" s="49"/>
      <c r="Q151" s="49">
        <v>167</v>
      </c>
      <c r="R151" s="49">
        <v>153.83000000000001</v>
      </c>
      <c r="S151" s="49">
        <v>180</v>
      </c>
      <c r="T151" s="49"/>
      <c r="U151" s="49"/>
      <c r="V151" s="49">
        <v>191</v>
      </c>
      <c r="W151" s="49"/>
      <c r="X151" s="49"/>
      <c r="Y151" s="49"/>
    </row>
    <row r="152" spans="1:25" ht="14.25" customHeight="1">
      <c r="A152" s="12" t="s">
        <v>268</v>
      </c>
      <c r="B152" s="8" t="s">
        <v>598</v>
      </c>
      <c r="C152" s="9" t="s">
        <v>625</v>
      </c>
      <c r="D152" s="9" t="s">
        <v>607</v>
      </c>
      <c r="E152" s="49">
        <v>331.1</v>
      </c>
      <c r="F152" s="49">
        <v>331.1</v>
      </c>
      <c r="G152" s="49"/>
      <c r="H152" s="49"/>
      <c r="I152" s="49"/>
      <c r="J152" s="49">
        <v>124</v>
      </c>
      <c r="K152" s="49"/>
      <c r="L152" s="49"/>
      <c r="M152" s="49">
        <v>219</v>
      </c>
      <c r="N152" s="49"/>
      <c r="O152" s="49"/>
      <c r="P152" s="49"/>
      <c r="Q152" s="49">
        <v>197</v>
      </c>
      <c r="R152" s="49">
        <v>159.13999999999999</v>
      </c>
      <c r="S152" s="49">
        <v>214</v>
      </c>
      <c r="T152" s="49"/>
      <c r="U152" s="49"/>
      <c r="V152" s="49">
        <v>281</v>
      </c>
      <c r="W152" s="49"/>
      <c r="X152" s="49"/>
      <c r="Y152" s="49"/>
    </row>
    <row r="153" spans="1:25" ht="14.25" customHeight="1">
      <c r="A153" s="12" t="s">
        <v>269</v>
      </c>
      <c r="B153" s="8" t="s">
        <v>598</v>
      </c>
      <c r="C153" s="9" t="s">
        <v>626</v>
      </c>
      <c r="D153" s="9" t="s">
        <v>607</v>
      </c>
      <c r="E153" s="49">
        <v>380.69</v>
      </c>
      <c r="F153" s="49">
        <v>380.69</v>
      </c>
      <c r="G153" s="49"/>
      <c r="H153" s="49"/>
      <c r="I153" s="49"/>
      <c r="J153" s="49">
        <v>140</v>
      </c>
      <c r="K153" s="49"/>
      <c r="L153" s="49"/>
      <c r="M153" s="49">
        <v>273</v>
      </c>
      <c r="N153" s="49"/>
      <c r="O153" s="49"/>
      <c r="P153" s="49"/>
      <c r="Q153" s="49">
        <v>241</v>
      </c>
      <c r="R153" s="49">
        <v>169.75</v>
      </c>
      <c r="S153" s="49">
        <v>239</v>
      </c>
      <c r="T153" s="49"/>
      <c r="U153" s="49"/>
      <c r="V153" s="49">
        <v>361</v>
      </c>
      <c r="W153" s="49"/>
      <c r="X153" s="49"/>
      <c r="Y153" s="49"/>
    </row>
    <row r="154" spans="1:25" ht="14.25" customHeight="1">
      <c r="A154" s="12" t="s">
        <v>270</v>
      </c>
      <c r="B154" s="8" t="s">
        <v>598</v>
      </c>
      <c r="C154" s="9" t="s">
        <v>627</v>
      </c>
      <c r="D154" s="9" t="s">
        <v>607</v>
      </c>
      <c r="E154" s="49">
        <v>172.04</v>
      </c>
      <c r="F154" s="49">
        <v>172.04</v>
      </c>
      <c r="G154" s="49"/>
      <c r="H154" s="49"/>
      <c r="I154" s="49"/>
      <c r="J154" s="49">
        <v>111</v>
      </c>
      <c r="K154" s="49"/>
      <c r="L154" s="49"/>
      <c r="M154" s="49">
        <v>126</v>
      </c>
      <c r="N154" s="49"/>
      <c r="O154" s="49"/>
      <c r="P154" s="49"/>
      <c r="Q154" s="49">
        <v>144</v>
      </c>
      <c r="R154" s="49">
        <v>81</v>
      </c>
      <c r="S154" s="49">
        <v>81</v>
      </c>
      <c r="T154" s="49"/>
      <c r="U154" s="49"/>
      <c r="V154" s="49">
        <v>103</v>
      </c>
      <c r="W154" s="49"/>
      <c r="X154" s="49"/>
      <c r="Y154" s="49"/>
    </row>
    <row r="155" spans="1:25" ht="14.25" customHeight="1">
      <c r="A155" s="12" t="s">
        <v>271</v>
      </c>
      <c r="B155" s="8" t="s">
        <v>598</v>
      </c>
      <c r="C155" s="9" t="s">
        <v>628</v>
      </c>
      <c r="D155" s="9" t="s">
        <v>607</v>
      </c>
      <c r="E155" s="49">
        <v>285.97000000000003</v>
      </c>
      <c r="F155" s="49">
        <v>285.97000000000003</v>
      </c>
      <c r="G155" s="49"/>
      <c r="H155" s="49"/>
      <c r="I155" s="49"/>
      <c r="J155" s="49">
        <v>163</v>
      </c>
      <c r="K155" s="49"/>
      <c r="L155" s="49"/>
      <c r="M155" s="49">
        <v>219</v>
      </c>
      <c r="N155" s="49"/>
      <c r="O155" s="49"/>
      <c r="P155" s="49"/>
      <c r="Q155" s="49">
        <v>197</v>
      </c>
      <c r="R155" s="49">
        <v>148.53</v>
      </c>
      <c r="S155" s="49">
        <v>217</v>
      </c>
      <c r="T155" s="49"/>
      <c r="U155" s="49"/>
      <c r="V155" s="49">
        <v>361</v>
      </c>
      <c r="W155" s="49"/>
      <c r="X155" s="49"/>
      <c r="Y155" s="49"/>
    </row>
    <row r="156" spans="1:25" ht="14.25" customHeight="1">
      <c r="A156" s="12" t="s">
        <v>272</v>
      </c>
      <c r="B156" s="8" t="s">
        <v>598</v>
      </c>
      <c r="C156" s="9" t="s">
        <v>629</v>
      </c>
      <c r="D156" s="9" t="s">
        <v>607</v>
      </c>
      <c r="E156" s="49">
        <v>216.62</v>
      </c>
      <c r="F156" s="49">
        <v>216.62</v>
      </c>
      <c r="G156" s="49"/>
      <c r="H156" s="49"/>
      <c r="I156" s="49"/>
      <c r="J156" s="49">
        <v>97</v>
      </c>
      <c r="K156" s="49"/>
      <c r="L156" s="49"/>
      <c r="M156" s="49">
        <v>184</v>
      </c>
      <c r="N156" s="49"/>
      <c r="O156" s="49"/>
      <c r="P156" s="49"/>
      <c r="Q156" s="49">
        <v>167</v>
      </c>
      <c r="R156" s="49">
        <v>127.31</v>
      </c>
      <c r="S156" s="49">
        <v>173</v>
      </c>
      <c r="T156" s="49"/>
      <c r="U156" s="49"/>
      <c r="V156" s="49">
        <v>187</v>
      </c>
      <c r="W156" s="49"/>
      <c r="X156" s="49"/>
      <c r="Y156" s="49"/>
    </row>
    <row r="157" spans="1:25" ht="14.25" customHeight="1">
      <c r="A157" s="12" t="s">
        <v>273</v>
      </c>
      <c r="B157" s="8" t="s">
        <v>598</v>
      </c>
      <c r="C157" s="9" t="s">
        <v>630</v>
      </c>
      <c r="D157" s="9" t="s">
        <v>607</v>
      </c>
      <c r="E157" s="49">
        <v>114.68</v>
      </c>
      <c r="F157" s="49">
        <v>114.68</v>
      </c>
      <c r="G157" s="49"/>
      <c r="H157" s="49"/>
      <c r="I157" s="49"/>
      <c r="J157" s="49">
        <v>97</v>
      </c>
      <c r="K157" s="49"/>
      <c r="L157" s="49"/>
      <c r="M157" s="49">
        <v>110</v>
      </c>
      <c r="N157" s="49"/>
      <c r="O157" s="49"/>
      <c r="P157" s="49"/>
      <c r="Q157" s="49">
        <v>115</v>
      </c>
      <c r="R157" s="49">
        <v>101</v>
      </c>
      <c r="S157" s="49">
        <v>101</v>
      </c>
      <c r="T157" s="49"/>
      <c r="U157" s="49"/>
      <c r="V157" s="49">
        <v>142</v>
      </c>
      <c r="W157" s="49"/>
      <c r="X157" s="49"/>
      <c r="Y157" s="49"/>
    </row>
    <row r="158" spans="1:25" ht="14.25" customHeight="1">
      <c r="A158" s="12" t="s">
        <v>274</v>
      </c>
      <c r="B158" s="8" t="s">
        <v>598</v>
      </c>
      <c r="C158" s="9" t="s">
        <v>631</v>
      </c>
      <c r="D158" s="9" t="s">
        <v>607</v>
      </c>
      <c r="E158" s="49">
        <v>285.97000000000003</v>
      </c>
      <c r="F158" s="49">
        <v>285.97000000000003</v>
      </c>
      <c r="G158" s="49"/>
      <c r="H158" s="49"/>
      <c r="I158" s="49"/>
      <c r="J158" s="49">
        <v>139</v>
      </c>
      <c r="K158" s="49"/>
      <c r="L158" s="49"/>
      <c r="M158" s="49">
        <v>184</v>
      </c>
      <c r="N158" s="49"/>
      <c r="O158" s="49"/>
      <c r="P158" s="49"/>
      <c r="Q158" s="49">
        <v>144</v>
      </c>
      <c r="R158" s="49">
        <v>239</v>
      </c>
      <c r="S158" s="49">
        <v>239</v>
      </c>
      <c r="T158" s="49"/>
      <c r="U158" s="49"/>
      <c r="V158" s="49">
        <v>142</v>
      </c>
      <c r="W158" s="49"/>
      <c r="X158" s="49"/>
      <c r="Y158" s="49"/>
    </row>
    <row r="159" spans="1:25" ht="14.25" customHeight="1">
      <c r="A159" s="12" t="s">
        <v>275</v>
      </c>
      <c r="B159" s="8" t="s">
        <v>598</v>
      </c>
      <c r="C159" s="9" t="s">
        <v>632</v>
      </c>
      <c r="D159" s="9" t="s">
        <v>607</v>
      </c>
      <c r="E159" s="49">
        <v>224.05</v>
      </c>
      <c r="F159" s="49">
        <v>224.05</v>
      </c>
      <c r="G159" s="49"/>
      <c r="H159" s="49"/>
      <c r="I159" s="49"/>
      <c r="J159" s="49">
        <v>166</v>
      </c>
      <c r="K159" s="49"/>
      <c r="L159" s="49"/>
      <c r="M159" s="49">
        <v>144</v>
      </c>
      <c r="N159" s="49"/>
      <c r="O159" s="49"/>
      <c r="P159" s="49"/>
      <c r="Q159" s="49">
        <v>115</v>
      </c>
      <c r="R159" s="49">
        <v>149</v>
      </c>
      <c r="S159" s="49">
        <v>149</v>
      </c>
      <c r="T159" s="49"/>
      <c r="U159" s="49"/>
      <c r="V159" s="49">
        <v>103</v>
      </c>
      <c r="W159" s="49"/>
      <c r="X159" s="49"/>
      <c r="Y159" s="49"/>
    </row>
    <row r="160" spans="1:25" ht="14.25" customHeight="1">
      <c r="A160" s="12" t="s">
        <v>276</v>
      </c>
      <c r="B160" s="8" t="s">
        <v>598</v>
      </c>
      <c r="C160" s="9" t="s">
        <v>633</v>
      </c>
      <c r="D160" s="9" t="s">
        <v>607</v>
      </c>
      <c r="E160" s="49">
        <v>246.23</v>
      </c>
      <c r="F160" s="49">
        <v>246.23</v>
      </c>
      <c r="G160" s="49"/>
      <c r="H160" s="49"/>
      <c r="I160" s="49"/>
      <c r="J160" s="49">
        <v>116</v>
      </c>
      <c r="K160" s="49"/>
      <c r="L160" s="49"/>
      <c r="M160" s="49">
        <v>327</v>
      </c>
      <c r="N160" s="49"/>
      <c r="O160" s="49"/>
      <c r="P160" s="49"/>
      <c r="Q160" s="49">
        <v>197</v>
      </c>
      <c r="R160" s="49">
        <v>149.53</v>
      </c>
      <c r="S160" s="49">
        <v>128</v>
      </c>
      <c r="T160" s="49"/>
      <c r="U160" s="49"/>
      <c r="V160" s="49">
        <v>142</v>
      </c>
      <c r="W160" s="49"/>
      <c r="X160" s="49"/>
      <c r="Y160" s="49"/>
    </row>
    <row r="161" spans="1:25" ht="14.25" customHeight="1">
      <c r="A161" s="12"/>
      <c r="B161" s="8"/>
      <c r="C161" s="9"/>
      <c r="D161" s="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spans="1:25" ht="14.25" customHeight="1">
      <c r="A162" s="12" t="s">
        <v>277</v>
      </c>
      <c r="B162" s="8" t="s">
        <v>602</v>
      </c>
      <c r="C162" s="9" t="s">
        <v>623</v>
      </c>
      <c r="D162" s="9" t="s">
        <v>607</v>
      </c>
      <c r="E162" s="49"/>
      <c r="F162" s="49"/>
      <c r="G162" s="49"/>
      <c r="H162" s="49"/>
      <c r="I162" s="49"/>
      <c r="J162" s="49"/>
      <c r="K162" s="49"/>
      <c r="L162" s="49">
        <v>157.06</v>
      </c>
      <c r="M162" s="49"/>
      <c r="N162" s="49"/>
      <c r="O162" s="49"/>
      <c r="P162" s="49"/>
      <c r="Q162" s="49">
        <v>241</v>
      </c>
      <c r="R162" s="49"/>
      <c r="S162" s="49"/>
      <c r="T162" s="49"/>
      <c r="U162" s="49"/>
      <c r="V162" s="49"/>
      <c r="W162" s="49"/>
      <c r="X162" s="49"/>
      <c r="Y162" s="49"/>
    </row>
    <row r="163" spans="1:25" ht="14.25" customHeight="1">
      <c r="A163" s="12" t="s">
        <v>278</v>
      </c>
      <c r="B163" s="8" t="s">
        <v>602</v>
      </c>
      <c r="C163" s="9" t="s">
        <v>624</v>
      </c>
      <c r="D163" s="9" t="s">
        <v>607</v>
      </c>
      <c r="E163" s="49"/>
      <c r="F163" s="49"/>
      <c r="G163" s="49"/>
      <c r="H163" s="49"/>
      <c r="I163" s="49"/>
      <c r="J163" s="49"/>
      <c r="K163" s="49"/>
      <c r="L163" s="49">
        <v>123.08</v>
      </c>
      <c r="M163" s="49"/>
      <c r="N163" s="49"/>
      <c r="O163" s="49"/>
      <c r="P163" s="49"/>
      <c r="Q163" s="49">
        <v>167</v>
      </c>
      <c r="R163" s="49"/>
      <c r="S163" s="49"/>
      <c r="T163" s="49"/>
      <c r="U163" s="49"/>
      <c r="V163" s="49"/>
      <c r="W163" s="49"/>
      <c r="X163" s="49"/>
      <c r="Y163" s="49"/>
    </row>
    <row r="164" spans="1:25" ht="14.25" customHeight="1">
      <c r="A164" s="12" t="s">
        <v>279</v>
      </c>
      <c r="B164" s="8" t="s">
        <v>602</v>
      </c>
      <c r="C164" s="9" t="s">
        <v>625</v>
      </c>
      <c r="D164" s="9" t="s">
        <v>607</v>
      </c>
      <c r="E164" s="49"/>
      <c r="F164" s="49"/>
      <c r="G164" s="49"/>
      <c r="H164" s="49"/>
      <c r="I164" s="49"/>
      <c r="J164" s="49"/>
      <c r="K164" s="49"/>
      <c r="L164" s="49">
        <v>134.91</v>
      </c>
      <c r="M164" s="49"/>
      <c r="N164" s="49"/>
      <c r="O164" s="49"/>
      <c r="P164" s="49"/>
      <c r="Q164" s="49">
        <v>197</v>
      </c>
      <c r="R164" s="49"/>
      <c r="S164" s="49"/>
      <c r="T164" s="49"/>
      <c r="U164" s="49"/>
      <c r="V164" s="49"/>
      <c r="W164" s="49"/>
      <c r="X164" s="49"/>
      <c r="Y164" s="49"/>
    </row>
    <row r="165" spans="1:25" ht="14.25" customHeight="1">
      <c r="A165" s="12" t="s">
        <v>280</v>
      </c>
      <c r="B165" s="8" t="s">
        <v>602</v>
      </c>
      <c r="C165" s="9" t="s">
        <v>626</v>
      </c>
      <c r="D165" s="9" t="s">
        <v>607</v>
      </c>
      <c r="E165" s="49"/>
      <c r="F165" s="49"/>
      <c r="G165" s="49"/>
      <c r="H165" s="49"/>
      <c r="I165" s="49"/>
      <c r="J165" s="49"/>
      <c r="K165" s="49"/>
      <c r="L165" s="49">
        <v>175.9</v>
      </c>
      <c r="M165" s="49"/>
      <c r="N165" s="49"/>
      <c r="O165" s="49"/>
      <c r="P165" s="49"/>
      <c r="Q165" s="49">
        <v>241</v>
      </c>
      <c r="R165" s="49"/>
      <c r="S165" s="49"/>
      <c r="T165" s="49"/>
      <c r="U165" s="49"/>
      <c r="V165" s="49"/>
      <c r="W165" s="49"/>
      <c r="X165" s="49"/>
      <c r="Y165" s="49"/>
    </row>
    <row r="166" spans="1:25" ht="14.25" customHeight="1">
      <c r="A166" s="12" t="s">
        <v>281</v>
      </c>
      <c r="B166" s="8" t="s">
        <v>602</v>
      </c>
      <c r="C166" s="9" t="s">
        <v>627</v>
      </c>
      <c r="D166" s="9" t="s">
        <v>607</v>
      </c>
      <c r="E166" s="49"/>
      <c r="F166" s="49"/>
      <c r="G166" s="49"/>
      <c r="H166" s="49"/>
      <c r="I166" s="49"/>
      <c r="J166" s="49"/>
      <c r="K166" s="49"/>
      <c r="L166" s="49">
        <v>102.13</v>
      </c>
      <c r="M166" s="49"/>
      <c r="N166" s="49"/>
      <c r="O166" s="49"/>
      <c r="P166" s="49"/>
      <c r="Q166" s="49">
        <v>144</v>
      </c>
      <c r="R166" s="49"/>
      <c r="S166" s="49"/>
      <c r="T166" s="49"/>
      <c r="U166" s="49"/>
      <c r="V166" s="49"/>
      <c r="W166" s="49"/>
      <c r="X166" s="49"/>
      <c r="Y166" s="49"/>
    </row>
    <row r="167" spans="1:25" ht="14.25" customHeight="1">
      <c r="A167" s="12" t="s">
        <v>282</v>
      </c>
      <c r="B167" s="8" t="s">
        <v>602</v>
      </c>
      <c r="C167" s="9" t="s">
        <v>628</v>
      </c>
      <c r="D167" s="9" t="s">
        <v>607</v>
      </c>
      <c r="E167" s="49"/>
      <c r="F167" s="49"/>
      <c r="G167" s="49"/>
      <c r="H167" s="49"/>
      <c r="I167" s="49"/>
      <c r="J167" s="49"/>
      <c r="K167" s="49"/>
      <c r="L167" s="49">
        <v>134.91</v>
      </c>
      <c r="M167" s="49"/>
      <c r="N167" s="49"/>
      <c r="O167" s="49"/>
      <c r="P167" s="49"/>
      <c r="Q167" s="49">
        <v>197</v>
      </c>
      <c r="R167" s="49"/>
      <c r="S167" s="49"/>
      <c r="T167" s="49"/>
      <c r="U167" s="49"/>
      <c r="V167" s="49"/>
      <c r="W167" s="49"/>
      <c r="X167" s="49"/>
      <c r="Y167" s="49"/>
    </row>
    <row r="168" spans="1:25" ht="14.25" customHeight="1">
      <c r="A168" s="12" t="s">
        <v>283</v>
      </c>
      <c r="B168" s="8" t="s">
        <v>602</v>
      </c>
      <c r="C168" s="9" t="s">
        <v>629</v>
      </c>
      <c r="D168" s="9" t="s">
        <v>607</v>
      </c>
      <c r="E168" s="49"/>
      <c r="F168" s="49"/>
      <c r="G168" s="49"/>
      <c r="H168" s="49"/>
      <c r="I168" s="49"/>
      <c r="J168" s="49"/>
      <c r="K168" s="49"/>
      <c r="L168" s="49">
        <v>79.55</v>
      </c>
      <c r="M168" s="49"/>
      <c r="N168" s="49"/>
      <c r="O168" s="49"/>
      <c r="P168" s="49"/>
      <c r="Q168" s="49">
        <v>167</v>
      </c>
      <c r="R168" s="49"/>
      <c r="S168" s="49"/>
      <c r="T168" s="49"/>
      <c r="U168" s="49"/>
      <c r="V168" s="49"/>
      <c r="W168" s="49"/>
      <c r="X168" s="49"/>
      <c r="Y168" s="49"/>
    </row>
    <row r="169" spans="1:25" ht="14.25" customHeight="1">
      <c r="A169" s="12" t="s">
        <v>284</v>
      </c>
      <c r="B169" s="8" t="s">
        <v>602</v>
      </c>
      <c r="C169" s="9" t="s">
        <v>630</v>
      </c>
      <c r="D169" s="9" t="s">
        <v>607</v>
      </c>
      <c r="E169" s="49"/>
      <c r="F169" s="49"/>
      <c r="G169" s="49"/>
      <c r="H169" s="49"/>
      <c r="I169" s="49"/>
      <c r="J169" s="49"/>
      <c r="K169" s="49"/>
      <c r="L169" s="49">
        <v>79.55</v>
      </c>
      <c r="M169" s="49"/>
      <c r="N169" s="49"/>
      <c r="O169" s="49"/>
      <c r="P169" s="49"/>
      <c r="Q169" s="49">
        <v>115</v>
      </c>
      <c r="R169" s="49"/>
      <c r="S169" s="49"/>
      <c r="T169" s="49"/>
      <c r="U169" s="49"/>
      <c r="V169" s="49"/>
      <c r="W169" s="49"/>
      <c r="X169" s="49"/>
      <c r="Y169" s="49"/>
    </row>
    <row r="170" spans="1:25" ht="14.25" customHeight="1">
      <c r="A170" s="12" t="s">
        <v>285</v>
      </c>
      <c r="B170" s="8" t="s">
        <v>602</v>
      </c>
      <c r="C170" s="9" t="s">
        <v>631</v>
      </c>
      <c r="D170" s="9" t="s">
        <v>607</v>
      </c>
      <c r="E170" s="49"/>
      <c r="F170" s="49"/>
      <c r="G170" s="49"/>
      <c r="H170" s="49"/>
      <c r="I170" s="49"/>
      <c r="J170" s="49"/>
      <c r="K170" s="49"/>
      <c r="L170" s="49">
        <v>67.790000000000006</v>
      </c>
      <c r="M170" s="49"/>
      <c r="N170" s="49"/>
      <c r="O170" s="49"/>
      <c r="P170" s="49"/>
      <c r="Q170" s="49">
        <v>144</v>
      </c>
      <c r="R170" s="49"/>
      <c r="S170" s="49"/>
      <c r="T170" s="49"/>
      <c r="U170" s="49"/>
      <c r="V170" s="49"/>
      <c r="W170" s="49"/>
      <c r="X170" s="49"/>
      <c r="Y170" s="49"/>
    </row>
    <row r="171" spans="1:25" ht="14.25" customHeight="1">
      <c r="A171" s="12" t="s">
        <v>286</v>
      </c>
      <c r="B171" s="8" t="s">
        <v>602</v>
      </c>
      <c r="C171" s="9" t="s">
        <v>632</v>
      </c>
      <c r="D171" s="9" t="s">
        <v>607</v>
      </c>
      <c r="E171" s="49"/>
      <c r="F171" s="49"/>
      <c r="G171" s="49"/>
      <c r="H171" s="49"/>
      <c r="I171" s="49"/>
      <c r="J171" s="49"/>
      <c r="K171" s="49"/>
      <c r="L171" s="49">
        <v>51.21</v>
      </c>
      <c r="M171" s="49"/>
      <c r="N171" s="49"/>
      <c r="O171" s="49"/>
      <c r="P171" s="49"/>
      <c r="Q171" s="49">
        <v>115</v>
      </c>
      <c r="R171" s="49"/>
      <c r="S171" s="49"/>
      <c r="T171" s="49"/>
      <c r="U171" s="49"/>
      <c r="V171" s="49"/>
      <c r="W171" s="49"/>
      <c r="X171" s="49"/>
      <c r="Y171" s="49"/>
    </row>
    <row r="172" spans="1:25" ht="14.25" customHeight="1">
      <c r="A172" s="12" t="s">
        <v>287</v>
      </c>
      <c r="B172" s="8" t="s">
        <v>602</v>
      </c>
      <c r="C172" s="9" t="s">
        <v>633</v>
      </c>
      <c r="D172" s="9" t="s">
        <v>607</v>
      </c>
      <c r="E172" s="49"/>
      <c r="F172" s="49"/>
      <c r="G172" s="49"/>
      <c r="H172" s="49"/>
      <c r="I172" s="49"/>
      <c r="J172" s="49"/>
      <c r="K172" s="49"/>
      <c r="L172" s="49">
        <v>119.51</v>
      </c>
      <c r="M172" s="49"/>
      <c r="N172" s="49"/>
      <c r="O172" s="49"/>
      <c r="P172" s="49"/>
      <c r="Q172" s="49">
        <v>197</v>
      </c>
      <c r="R172" s="49"/>
      <c r="S172" s="49"/>
      <c r="T172" s="49"/>
      <c r="U172" s="49"/>
      <c r="V172" s="49"/>
      <c r="W172" s="49"/>
      <c r="X172" s="49"/>
      <c r="Y172" s="49"/>
    </row>
    <row r="173" spans="1:25" ht="14.25" customHeight="1">
      <c r="A173" s="12"/>
      <c r="B173" s="8"/>
      <c r="C173" s="9"/>
      <c r="D173" s="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spans="1:25" ht="14.25" customHeight="1">
      <c r="A174" s="12" t="s">
        <v>288</v>
      </c>
      <c r="B174" s="8" t="s">
        <v>600</v>
      </c>
      <c r="C174" s="9" t="s">
        <v>623</v>
      </c>
      <c r="D174" s="9" t="s">
        <v>607</v>
      </c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 spans="1:25" ht="14.25" customHeight="1">
      <c r="A175" s="12" t="s">
        <v>289</v>
      </c>
      <c r="B175" s="8" t="s">
        <v>600</v>
      </c>
      <c r="C175" s="9" t="s">
        <v>624</v>
      </c>
      <c r="D175" s="9" t="s">
        <v>607</v>
      </c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 spans="1:25" ht="14.25" customHeight="1">
      <c r="A176" s="12" t="s">
        <v>290</v>
      </c>
      <c r="B176" s="8" t="s">
        <v>600</v>
      </c>
      <c r="C176" s="9" t="s">
        <v>625</v>
      </c>
      <c r="D176" s="9" t="s">
        <v>607</v>
      </c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 spans="1:25" ht="14.25" customHeight="1">
      <c r="A177" s="12" t="s">
        <v>291</v>
      </c>
      <c r="B177" s="8" t="s">
        <v>600</v>
      </c>
      <c r="C177" s="9" t="s">
        <v>626</v>
      </c>
      <c r="D177" s="9" t="s">
        <v>607</v>
      </c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 spans="1:25" ht="14.25" customHeight="1">
      <c r="A178" s="12" t="s">
        <v>292</v>
      </c>
      <c r="B178" s="8" t="s">
        <v>600</v>
      </c>
      <c r="C178" s="9" t="s">
        <v>627</v>
      </c>
      <c r="D178" s="9" t="s">
        <v>607</v>
      </c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 spans="1:25" ht="14.25" customHeight="1">
      <c r="A179" s="12" t="s">
        <v>293</v>
      </c>
      <c r="B179" s="8" t="s">
        <v>600</v>
      </c>
      <c r="C179" s="9" t="s">
        <v>628</v>
      </c>
      <c r="D179" s="9" t="s">
        <v>607</v>
      </c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 spans="1:25" ht="14.25" customHeight="1">
      <c r="A180" s="12" t="s">
        <v>294</v>
      </c>
      <c r="B180" s="8" t="s">
        <v>600</v>
      </c>
      <c r="C180" s="9" t="s">
        <v>629</v>
      </c>
      <c r="D180" s="9" t="s">
        <v>607</v>
      </c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 spans="1:25" ht="14.25" customHeight="1">
      <c r="A181" s="12" t="s">
        <v>295</v>
      </c>
      <c r="B181" s="8" t="s">
        <v>600</v>
      </c>
      <c r="C181" s="9" t="s">
        <v>630</v>
      </c>
      <c r="D181" s="9" t="s">
        <v>607</v>
      </c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 spans="1:25" ht="14.25" customHeight="1">
      <c r="A182" s="12" t="s">
        <v>296</v>
      </c>
      <c r="B182" s="8" t="s">
        <v>600</v>
      </c>
      <c r="C182" s="9" t="s">
        <v>631</v>
      </c>
      <c r="D182" s="9" t="s">
        <v>607</v>
      </c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 spans="1:25" ht="14.25" customHeight="1">
      <c r="A183" s="12" t="s">
        <v>297</v>
      </c>
      <c r="B183" s="8" t="s">
        <v>600</v>
      </c>
      <c r="C183" s="9" t="s">
        <v>632</v>
      </c>
      <c r="D183" s="9" t="s">
        <v>607</v>
      </c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 spans="1:25" ht="14.25" customHeight="1">
      <c r="A184" s="12" t="s">
        <v>298</v>
      </c>
      <c r="B184" s="8" t="s">
        <v>600</v>
      </c>
      <c r="C184" s="9" t="s">
        <v>633</v>
      </c>
      <c r="D184" s="9" t="s">
        <v>607</v>
      </c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 spans="1:25" ht="14.25" customHeight="1">
      <c r="A185" s="12"/>
      <c r="B185" s="8"/>
      <c r="C185" s="9"/>
      <c r="D185" s="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spans="1:25" ht="14.25" customHeight="1">
      <c r="A186" s="12" t="s">
        <v>299</v>
      </c>
      <c r="B186" s="8" t="s">
        <v>601</v>
      </c>
      <c r="C186" s="9" t="s">
        <v>623</v>
      </c>
      <c r="D186" s="9" t="s">
        <v>607</v>
      </c>
      <c r="E186" s="49">
        <v>365.03</v>
      </c>
      <c r="F186" s="49">
        <v>365.03</v>
      </c>
      <c r="G186" s="49"/>
      <c r="H186" s="49"/>
      <c r="I186" s="49"/>
      <c r="J186" s="49">
        <v>184</v>
      </c>
      <c r="K186" s="49"/>
      <c r="L186" s="49">
        <v>127.67</v>
      </c>
      <c r="M186" s="49">
        <v>219</v>
      </c>
      <c r="N186" s="49"/>
      <c r="O186" s="49"/>
      <c r="P186" s="49"/>
      <c r="Q186" s="49">
        <v>241</v>
      </c>
      <c r="R186" s="49">
        <v>153.83000000000001</v>
      </c>
      <c r="S186" s="49">
        <v>170</v>
      </c>
      <c r="T186" s="49"/>
      <c r="U186" s="49"/>
      <c r="V186" s="49">
        <v>191</v>
      </c>
      <c r="W186" s="49"/>
      <c r="X186" s="49">
        <v>187.37</v>
      </c>
      <c r="Y186" s="49">
        <v>187.37</v>
      </c>
    </row>
    <row r="187" spans="1:25" ht="14.25" customHeight="1">
      <c r="A187" s="12" t="s">
        <v>300</v>
      </c>
      <c r="B187" s="8" t="s">
        <v>601</v>
      </c>
      <c r="C187" s="9" t="s">
        <v>624</v>
      </c>
      <c r="D187" s="9" t="s">
        <v>607</v>
      </c>
      <c r="E187" s="49">
        <v>216.62</v>
      </c>
      <c r="F187" s="49">
        <v>216.62</v>
      </c>
      <c r="G187" s="49"/>
      <c r="H187" s="49"/>
      <c r="I187" s="49"/>
      <c r="J187" s="49">
        <v>110</v>
      </c>
      <c r="K187" s="49"/>
      <c r="L187" s="49">
        <v>139.12</v>
      </c>
      <c r="M187" s="49">
        <v>184</v>
      </c>
      <c r="N187" s="49"/>
      <c r="O187" s="49"/>
      <c r="P187" s="49"/>
      <c r="Q187" s="49">
        <v>167</v>
      </c>
      <c r="R187" s="49">
        <v>153.83000000000001</v>
      </c>
      <c r="S187" s="49">
        <v>180</v>
      </c>
      <c r="T187" s="49"/>
      <c r="U187" s="49"/>
      <c r="V187" s="49">
        <v>191</v>
      </c>
      <c r="W187" s="49"/>
      <c r="X187" s="49">
        <v>178.46</v>
      </c>
      <c r="Y187" s="49">
        <v>178.46</v>
      </c>
    </row>
    <row r="188" spans="1:25" ht="14.25" customHeight="1">
      <c r="A188" s="12" t="s">
        <v>301</v>
      </c>
      <c r="B188" s="8" t="s">
        <v>601</v>
      </c>
      <c r="C188" s="9" t="s">
        <v>625</v>
      </c>
      <c r="D188" s="9" t="s">
        <v>607</v>
      </c>
      <c r="E188" s="49">
        <v>331.1</v>
      </c>
      <c r="F188" s="49">
        <v>331.1</v>
      </c>
      <c r="G188" s="49"/>
      <c r="H188" s="49"/>
      <c r="I188" s="49"/>
      <c r="J188" s="49">
        <v>124</v>
      </c>
      <c r="K188" s="49"/>
      <c r="L188" s="49">
        <v>152.5</v>
      </c>
      <c r="M188" s="49">
        <v>219</v>
      </c>
      <c r="N188" s="49"/>
      <c r="O188" s="49"/>
      <c r="P188" s="49"/>
      <c r="Q188" s="49">
        <v>197</v>
      </c>
      <c r="R188" s="49">
        <v>159.13999999999999</v>
      </c>
      <c r="S188" s="49">
        <v>214</v>
      </c>
      <c r="T188" s="49"/>
      <c r="U188" s="49"/>
      <c r="V188" s="49">
        <v>281</v>
      </c>
      <c r="W188" s="49"/>
      <c r="X188" s="49">
        <v>185.96</v>
      </c>
      <c r="Y188" s="49">
        <v>185.96</v>
      </c>
    </row>
    <row r="189" spans="1:25" ht="14.25" customHeight="1">
      <c r="A189" s="12" t="s">
        <v>302</v>
      </c>
      <c r="B189" s="8" t="s">
        <v>601</v>
      </c>
      <c r="C189" s="9" t="s">
        <v>626</v>
      </c>
      <c r="D189" s="9" t="s">
        <v>607</v>
      </c>
      <c r="E189" s="49">
        <v>380.69</v>
      </c>
      <c r="F189" s="49">
        <v>380.69</v>
      </c>
      <c r="G189" s="49"/>
      <c r="H189" s="49"/>
      <c r="I189" s="49"/>
      <c r="J189" s="49">
        <v>140</v>
      </c>
      <c r="K189" s="49"/>
      <c r="L189" s="49">
        <v>198.84</v>
      </c>
      <c r="M189" s="49">
        <v>273</v>
      </c>
      <c r="N189" s="49"/>
      <c r="O189" s="49"/>
      <c r="P189" s="49"/>
      <c r="Q189" s="49">
        <v>241</v>
      </c>
      <c r="R189" s="49">
        <v>169.75</v>
      </c>
      <c r="S189" s="49">
        <v>239</v>
      </c>
      <c r="T189" s="49"/>
      <c r="U189" s="49"/>
      <c r="V189" s="49">
        <v>361</v>
      </c>
      <c r="W189" s="49"/>
      <c r="X189" s="49">
        <v>207.79</v>
      </c>
      <c r="Y189" s="49">
        <v>207.79</v>
      </c>
    </row>
    <row r="190" spans="1:25" ht="14.25" customHeight="1">
      <c r="A190" s="12" t="s">
        <v>303</v>
      </c>
      <c r="B190" s="8" t="s">
        <v>601</v>
      </c>
      <c r="C190" s="9" t="s">
        <v>627</v>
      </c>
      <c r="D190" s="9" t="s">
        <v>607</v>
      </c>
      <c r="E190" s="49">
        <v>172.04</v>
      </c>
      <c r="F190" s="49">
        <v>172.04</v>
      </c>
      <c r="G190" s="49"/>
      <c r="H190" s="49"/>
      <c r="I190" s="49"/>
      <c r="J190" s="49">
        <v>111</v>
      </c>
      <c r="K190" s="49"/>
      <c r="L190" s="49">
        <v>76.64</v>
      </c>
      <c r="M190" s="49">
        <v>126</v>
      </c>
      <c r="N190" s="49"/>
      <c r="O190" s="49"/>
      <c r="P190" s="49"/>
      <c r="Q190" s="49">
        <v>144</v>
      </c>
      <c r="R190" s="49">
        <v>81</v>
      </c>
      <c r="S190" s="49">
        <v>81</v>
      </c>
      <c r="T190" s="49"/>
      <c r="U190" s="49"/>
      <c r="V190" s="49">
        <v>103</v>
      </c>
      <c r="W190" s="49"/>
      <c r="X190" s="49">
        <v>118.32</v>
      </c>
      <c r="Y190" s="49">
        <v>118.32</v>
      </c>
    </row>
    <row r="191" spans="1:25" ht="14.25" customHeight="1">
      <c r="A191" s="12" t="s">
        <v>304</v>
      </c>
      <c r="B191" s="8" t="s">
        <v>601</v>
      </c>
      <c r="C191" s="9" t="s">
        <v>628</v>
      </c>
      <c r="D191" s="9" t="s">
        <v>607</v>
      </c>
      <c r="E191" s="49">
        <v>285.97000000000003</v>
      </c>
      <c r="F191" s="49">
        <v>285.97000000000003</v>
      </c>
      <c r="G191" s="49"/>
      <c r="H191" s="49"/>
      <c r="I191" s="49"/>
      <c r="J191" s="49">
        <v>163</v>
      </c>
      <c r="K191" s="49"/>
      <c r="L191" s="49">
        <v>198.84</v>
      </c>
      <c r="M191" s="49">
        <v>219</v>
      </c>
      <c r="N191" s="49"/>
      <c r="O191" s="49"/>
      <c r="P191" s="49"/>
      <c r="Q191" s="49">
        <v>197</v>
      </c>
      <c r="R191" s="49">
        <v>148.53</v>
      </c>
      <c r="S191" s="49">
        <v>217</v>
      </c>
      <c r="T191" s="49"/>
      <c r="U191" s="49"/>
      <c r="V191" s="49">
        <v>361</v>
      </c>
      <c r="W191" s="49"/>
      <c r="X191" s="49">
        <v>207.79</v>
      </c>
      <c r="Y191" s="49">
        <v>207.79</v>
      </c>
    </row>
    <row r="192" spans="1:25" ht="14.25" customHeight="1">
      <c r="A192" s="12" t="s">
        <v>305</v>
      </c>
      <c r="B192" s="8" t="s">
        <v>601</v>
      </c>
      <c r="C192" s="9" t="s">
        <v>629</v>
      </c>
      <c r="D192" s="9" t="s">
        <v>607</v>
      </c>
      <c r="E192" s="49">
        <v>216.62</v>
      </c>
      <c r="F192" s="49">
        <v>216.62</v>
      </c>
      <c r="G192" s="49"/>
      <c r="H192" s="49"/>
      <c r="I192" s="49"/>
      <c r="J192" s="49">
        <v>97</v>
      </c>
      <c r="K192" s="49"/>
      <c r="L192" s="49">
        <v>76.64</v>
      </c>
      <c r="M192" s="49">
        <v>184</v>
      </c>
      <c r="N192" s="49"/>
      <c r="O192" s="49"/>
      <c r="P192" s="49"/>
      <c r="Q192" s="49">
        <v>167</v>
      </c>
      <c r="R192" s="49">
        <v>127.31</v>
      </c>
      <c r="S192" s="49">
        <v>173</v>
      </c>
      <c r="T192" s="49"/>
      <c r="U192" s="49"/>
      <c r="V192" s="49">
        <v>187</v>
      </c>
      <c r="W192" s="49"/>
      <c r="X192" s="49">
        <v>159.30000000000001</v>
      </c>
      <c r="Y192" s="49">
        <v>159.30000000000001</v>
      </c>
    </row>
    <row r="193" spans="1:25" ht="14.25" customHeight="1">
      <c r="A193" s="12" t="s">
        <v>306</v>
      </c>
      <c r="B193" s="8" t="s">
        <v>601</v>
      </c>
      <c r="C193" s="9" t="s">
        <v>630</v>
      </c>
      <c r="D193" s="9" t="s">
        <v>607</v>
      </c>
      <c r="E193" s="49">
        <v>114.68</v>
      </c>
      <c r="F193" s="49">
        <v>114.68</v>
      </c>
      <c r="G193" s="49"/>
      <c r="H193" s="49"/>
      <c r="I193" s="49"/>
      <c r="J193" s="49">
        <v>97</v>
      </c>
      <c r="K193" s="49"/>
      <c r="L193" s="49">
        <v>59.95</v>
      </c>
      <c r="M193" s="49">
        <v>110</v>
      </c>
      <c r="N193" s="49"/>
      <c r="O193" s="49"/>
      <c r="P193" s="49"/>
      <c r="Q193" s="49">
        <v>115</v>
      </c>
      <c r="R193" s="49">
        <v>101</v>
      </c>
      <c r="S193" s="49">
        <v>101</v>
      </c>
      <c r="T193" s="49"/>
      <c r="U193" s="49"/>
      <c r="V193" s="49">
        <v>142</v>
      </c>
      <c r="W193" s="49"/>
      <c r="X193" s="49">
        <v>94.32</v>
      </c>
      <c r="Y193" s="49">
        <v>94.32</v>
      </c>
    </row>
    <row r="194" spans="1:25" ht="14.25" customHeight="1">
      <c r="A194" s="12" t="s">
        <v>307</v>
      </c>
      <c r="B194" s="8" t="s">
        <v>601</v>
      </c>
      <c r="C194" s="9" t="s">
        <v>631</v>
      </c>
      <c r="D194" s="9" t="s">
        <v>607</v>
      </c>
      <c r="E194" s="49">
        <v>285.97000000000003</v>
      </c>
      <c r="F194" s="49">
        <v>285.97000000000003</v>
      </c>
      <c r="G194" s="49"/>
      <c r="H194" s="49"/>
      <c r="I194" s="49"/>
      <c r="J194" s="49">
        <v>139</v>
      </c>
      <c r="K194" s="49"/>
      <c r="L194" s="49">
        <v>139.12</v>
      </c>
      <c r="M194" s="49">
        <v>184</v>
      </c>
      <c r="N194" s="49"/>
      <c r="O194" s="49"/>
      <c r="P194" s="49"/>
      <c r="Q194" s="49">
        <v>144</v>
      </c>
      <c r="R194" s="49">
        <v>239</v>
      </c>
      <c r="S194" s="49">
        <v>239</v>
      </c>
      <c r="T194" s="49"/>
      <c r="U194" s="49"/>
      <c r="V194" s="49">
        <v>142</v>
      </c>
      <c r="W194" s="49"/>
      <c r="X194" s="49">
        <v>154.16</v>
      </c>
      <c r="Y194" s="49">
        <v>154.16</v>
      </c>
    </row>
    <row r="195" spans="1:25" ht="14.25" customHeight="1">
      <c r="A195" s="12" t="s">
        <v>308</v>
      </c>
      <c r="B195" s="8" t="s">
        <v>601</v>
      </c>
      <c r="C195" s="9" t="s">
        <v>632</v>
      </c>
      <c r="D195" s="9" t="s">
        <v>607</v>
      </c>
      <c r="E195" s="49">
        <v>224.05</v>
      </c>
      <c r="F195" s="49">
        <v>224.05</v>
      </c>
      <c r="G195" s="49"/>
      <c r="H195" s="49"/>
      <c r="I195" s="49"/>
      <c r="J195" s="49">
        <v>166</v>
      </c>
      <c r="K195" s="49"/>
      <c r="L195" s="49">
        <v>89.92</v>
      </c>
      <c r="M195" s="49">
        <v>144</v>
      </c>
      <c r="N195" s="49"/>
      <c r="O195" s="49"/>
      <c r="P195" s="49"/>
      <c r="Q195" s="49">
        <v>115</v>
      </c>
      <c r="R195" s="49">
        <v>149</v>
      </c>
      <c r="S195" s="49">
        <v>149</v>
      </c>
      <c r="T195" s="49"/>
      <c r="U195" s="49"/>
      <c r="V195" s="49">
        <v>103</v>
      </c>
      <c r="W195" s="49"/>
      <c r="X195" s="49">
        <v>207.79</v>
      </c>
      <c r="Y195" s="49">
        <v>207.79</v>
      </c>
    </row>
    <row r="196" spans="1:25" ht="14.25" customHeight="1">
      <c r="A196" s="12" t="s">
        <v>309</v>
      </c>
      <c r="B196" s="8" t="s">
        <v>601</v>
      </c>
      <c r="C196" s="9" t="s">
        <v>633</v>
      </c>
      <c r="D196" s="9" t="s">
        <v>607</v>
      </c>
      <c r="E196" s="49">
        <v>246.23</v>
      </c>
      <c r="F196" s="49">
        <v>246.23</v>
      </c>
      <c r="G196" s="49"/>
      <c r="H196" s="49"/>
      <c r="I196" s="49"/>
      <c r="J196" s="49">
        <v>116</v>
      </c>
      <c r="K196" s="49"/>
      <c r="L196" s="49">
        <v>135.09</v>
      </c>
      <c r="M196" s="49">
        <v>327</v>
      </c>
      <c r="N196" s="49"/>
      <c r="O196" s="49"/>
      <c r="P196" s="49"/>
      <c r="Q196" s="49">
        <v>197</v>
      </c>
      <c r="R196" s="49">
        <v>149.53</v>
      </c>
      <c r="S196" s="49">
        <v>128</v>
      </c>
      <c r="T196" s="49"/>
      <c r="U196" s="49"/>
      <c r="V196" s="49">
        <v>142</v>
      </c>
      <c r="W196" s="49"/>
      <c r="X196" s="49">
        <v>187.37</v>
      </c>
      <c r="Y196" s="49">
        <v>187.37</v>
      </c>
    </row>
    <row r="199" spans="1:25">
      <c r="A199" s="13"/>
      <c r="C199" s="10"/>
      <c r="D199" s="10"/>
    </row>
  </sheetData>
  <autoFilter ref="A1:Y16"/>
  <phoneticPr fontId="8" type="noConversion"/>
  <pageMargins left="0.37" right="0.38" top="0.79" bottom="0.41" header="0.36" footer="0.16"/>
  <pageSetup scale="50" orientation="portrait" r:id="rId1"/>
  <headerFooter alignWithMargins="0">
    <oddHeader>&amp;C&amp;"Arial,Bold"GSA EaaS BPA Pricing
Revision 1&amp;R&amp;G</oddHeader>
    <oddFooter>&amp;RNov 2012</oddFooter>
  </headerFooter>
  <legacyDrawingHF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9" enableFormatConditionsCalculation="0">
    <tabColor indexed="31"/>
  </sheetPr>
  <dimension ref="A1:Y199"/>
  <sheetViews>
    <sheetView zoomScale="70" zoomScaleNormal="70" zoomScalePageLayoutView="85" workbookViewId="0">
      <pane xSplit="3" ySplit="1" topLeftCell="H101" activePane="bottomRight" state="frozen"/>
      <selection activeCell="E5" sqref="E5"/>
      <selection pane="topRight" activeCell="E5" sqref="E5"/>
      <selection pane="bottomLeft" activeCell="E5" sqref="E5"/>
      <selection pane="bottomRight"/>
    </sheetView>
  </sheetViews>
  <sheetFormatPr defaultColWidth="8.85546875" defaultRowHeight="12.75"/>
  <cols>
    <col min="1" max="1" width="10.28515625" style="14" customWidth="1"/>
    <col min="2" max="2" width="16.140625" style="2" customWidth="1"/>
    <col min="3" max="3" width="78.42578125" style="2" customWidth="1"/>
    <col min="4" max="4" width="20" style="2" customWidth="1"/>
    <col min="5" max="6" width="9.7109375" style="15" customWidth="1"/>
    <col min="7" max="25" width="8.85546875" style="15"/>
    <col min="26" max="16384" width="8.85546875" style="2"/>
  </cols>
  <sheetData>
    <row r="1" spans="1:25" s="1" customFormat="1" ht="183.75" customHeight="1">
      <c r="A1" s="11" t="s">
        <v>689</v>
      </c>
      <c r="B1" s="3" t="s">
        <v>690</v>
      </c>
      <c r="C1" s="4" t="s">
        <v>856</v>
      </c>
      <c r="D1" s="5" t="s">
        <v>673</v>
      </c>
      <c r="E1" s="5" t="s">
        <v>671</v>
      </c>
      <c r="F1" s="5" t="s">
        <v>680</v>
      </c>
      <c r="G1" s="5" t="s">
        <v>681</v>
      </c>
      <c r="H1" s="5" t="s">
        <v>682</v>
      </c>
      <c r="I1" s="5" t="s">
        <v>683</v>
      </c>
      <c r="J1" s="5" t="s">
        <v>684</v>
      </c>
      <c r="K1" s="5" t="s">
        <v>685</v>
      </c>
      <c r="L1" s="5" t="s">
        <v>686</v>
      </c>
      <c r="M1" s="5" t="s">
        <v>687</v>
      </c>
      <c r="N1" s="5" t="s">
        <v>688</v>
      </c>
      <c r="O1" s="5" t="s">
        <v>588</v>
      </c>
      <c r="P1" s="5" t="s">
        <v>589</v>
      </c>
      <c r="Q1" s="5" t="s">
        <v>590</v>
      </c>
      <c r="R1" s="5" t="s">
        <v>591</v>
      </c>
      <c r="S1" s="5" t="s">
        <v>592</v>
      </c>
      <c r="T1" s="5" t="s">
        <v>593</v>
      </c>
      <c r="U1" s="5" t="s">
        <v>594</v>
      </c>
      <c r="V1" s="5" t="s">
        <v>595</v>
      </c>
      <c r="W1" s="5" t="s">
        <v>596</v>
      </c>
      <c r="X1" s="5" t="s">
        <v>597</v>
      </c>
      <c r="Y1" s="5" t="s">
        <v>848</v>
      </c>
    </row>
    <row r="2" spans="1:25" s="7" customFormat="1" ht="15" customHeight="1">
      <c r="A2" s="12" t="s">
        <v>310</v>
      </c>
      <c r="B2" s="8" t="s">
        <v>598</v>
      </c>
      <c r="C2" s="9" t="s">
        <v>610</v>
      </c>
      <c r="D2" s="9" t="s">
        <v>603</v>
      </c>
      <c r="E2" s="49">
        <v>4.25</v>
      </c>
      <c r="F2" s="49">
        <v>7.23</v>
      </c>
      <c r="G2" s="49"/>
      <c r="H2" s="49"/>
      <c r="I2" s="49"/>
      <c r="J2" s="49">
        <v>3.74</v>
      </c>
      <c r="K2" s="49"/>
      <c r="L2" s="49"/>
      <c r="M2" s="49">
        <v>4.16</v>
      </c>
      <c r="N2" s="49"/>
      <c r="O2" s="49"/>
      <c r="P2" s="49"/>
      <c r="Q2" s="49">
        <v>13.397499999999999</v>
      </c>
      <c r="R2" s="49">
        <v>3.85</v>
      </c>
      <c r="S2" s="49">
        <v>4.04</v>
      </c>
      <c r="T2" s="49"/>
      <c r="U2" s="49"/>
      <c r="V2" s="49">
        <v>7.35</v>
      </c>
      <c r="W2" s="49"/>
      <c r="X2" s="49"/>
      <c r="Y2" s="49"/>
    </row>
    <row r="3" spans="1:25" s="7" customFormat="1" ht="15" customHeight="1">
      <c r="A3" s="12" t="s">
        <v>311</v>
      </c>
      <c r="B3" s="8" t="s">
        <v>598</v>
      </c>
      <c r="C3" s="9" t="s">
        <v>611</v>
      </c>
      <c r="D3" s="9" t="s">
        <v>603</v>
      </c>
      <c r="E3" s="49">
        <v>4.25</v>
      </c>
      <c r="F3" s="49">
        <v>7.23</v>
      </c>
      <c r="G3" s="49"/>
      <c r="H3" s="49"/>
      <c r="I3" s="49"/>
      <c r="J3" s="49">
        <v>3.72</v>
      </c>
      <c r="K3" s="49"/>
      <c r="L3" s="49"/>
      <c r="M3" s="49">
        <v>4.16</v>
      </c>
      <c r="N3" s="49"/>
      <c r="O3" s="49"/>
      <c r="P3" s="49"/>
      <c r="Q3" s="49">
        <v>8.3259999999999987</v>
      </c>
      <c r="R3" s="49">
        <v>3.85</v>
      </c>
      <c r="S3" s="49">
        <v>4</v>
      </c>
      <c r="T3" s="49"/>
      <c r="U3" s="49"/>
      <c r="V3" s="49">
        <v>7.35</v>
      </c>
      <c r="W3" s="49"/>
      <c r="X3" s="49"/>
      <c r="Y3" s="49"/>
    </row>
    <row r="4" spans="1:25" s="7" customFormat="1" ht="15" customHeight="1">
      <c r="A4" s="12" t="s">
        <v>312</v>
      </c>
      <c r="B4" s="8" t="s">
        <v>598</v>
      </c>
      <c r="C4" s="9" t="s">
        <v>612</v>
      </c>
      <c r="D4" s="9" t="s">
        <v>603</v>
      </c>
      <c r="E4" s="49">
        <v>4.25</v>
      </c>
      <c r="F4" s="49">
        <v>7.23</v>
      </c>
      <c r="G4" s="49"/>
      <c r="H4" s="49"/>
      <c r="I4" s="49"/>
      <c r="J4" s="49">
        <v>3.68</v>
      </c>
      <c r="K4" s="49"/>
      <c r="L4" s="49"/>
      <c r="M4" s="49">
        <v>4.16</v>
      </c>
      <c r="N4" s="49"/>
      <c r="O4" s="49"/>
      <c r="P4" s="49"/>
      <c r="Q4" s="49">
        <v>7.4979999999999993</v>
      </c>
      <c r="R4" s="49">
        <v>3.85</v>
      </c>
      <c r="S4" s="49">
        <v>3.97</v>
      </c>
      <c r="T4" s="49"/>
      <c r="U4" s="49"/>
      <c r="V4" s="49">
        <v>7.35</v>
      </c>
      <c r="W4" s="49"/>
      <c r="X4" s="49"/>
      <c r="Y4" s="49"/>
    </row>
    <row r="5" spans="1:25" s="7" customFormat="1" ht="15" customHeight="1">
      <c r="A5" s="12" t="s">
        <v>313</v>
      </c>
      <c r="B5" s="8" t="s">
        <v>598</v>
      </c>
      <c r="C5" s="9" t="s">
        <v>677</v>
      </c>
      <c r="D5" s="9" t="s">
        <v>604</v>
      </c>
      <c r="E5" s="49">
        <v>0</v>
      </c>
      <c r="F5" s="49"/>
      <c r="G5" s="49"/>
      <c r="H5" s="49"/>
      <c r="I5" s="49"/>
      <c r="J5" s="49">
        <v>0</v>
      </c>
      <c r="K5" s="49"/>
      <c r="L5" s="49"/>
      <c r="M5" s="49"/>
      <c r="N5" s="49"/>
      <c r="O5" s="49"/>
      <c r="P5" s="49"/>
      <c r="Q5" s="49">
        <v>0.79349999999999987</v>
      </c>
      <c r="R5" s="49"/>
      <c r="S5" s="49"/>
      <c r="T5" s="49"/>
      <c r="U5" s="49"/>
      <c r="V5" s="49"/>
      <c r="W5" s="49"/>
      <c r="X5" s="49"/>
      <c r="Y5" s="49"/>
    </row>
    <row r="6" spans="1:25" s="7" customFormat="1" ht="15" customHeight="1">
      <c r="A6" s="12" t="s">
        <v>314</v>
      </c>
      <c r="B6" s="8" t="s">
        <v>598</v>
      </c>
      <c r="C6" s="9" t="s">
        <v>678</v>
      </c>
      <c r="D6" s="9" t="s">
        <v>604</v>
      </c>
      <c r="E6" s="49">
        <v>0</v>
      </c>
      <c r="F6" s="49"/>
      <c r="G6" s="49"/>
      <c r="H6" s="49"/>
      <c r="I6" s="49"/>
      <c r="J6" s="49">
        <v>0</v>
      </c>
      <c r="K6" s="49"/>
      <c r="L6" s="49"/>
      <c r="M6" s="49"/>
      <c r="N6" s="49"/>
      <c r="O6" s="49"/>
      <c r="P6" s="49"/>
      <c r="Q6" s="49">
        <v>0.79349999999999987</v>
      </c>
      <c r="R6" s="49"/>
      <c r="S6" s="49"/>
      <c r="T6" s="49"/>
      <c r="U6" s="49"/>
      <c r="V6" s="49"/>
      <c r="W6" s="49"/>
      <c r="X6" s="49"/>
      <c r="Y6" s="49"/>
    </row>
    <row r="7" spans="1:25" s="7" customFormat="1" ht="15" customHeight="1">
      <c r="A7" s="12" t="s">
        <v>315</v>
      </c>
      <c r="B7" s="8" t="s">
        <v>598</v>
      </c>
      <c r="C7" s="9" t="s">
        <v>679</v>
      </c>
      <c r="D7" s="9" t="s">
        <v>604</v>
      </c>
      <c r="E7" s="49">
        <v>0</v>
      </c>
      <c r="F7" s="49"/>
      <c r="G7" s="49"/>
      <c r="H7" s="49"/>
      <c r="I7" s="49"/>
      <c r="J7" s="49">
        <v>0</v>
      </c>
      <c r="K7" s="49"/>
      <c r="L7" s="49"/>
      <c r="M7" s="49"/>
      <c r="N7" s="49"/>
      <c r="O7" s="49"/>
      <c r="P7" s="49"/>
      <c r="Q7" s="49">
        <v>0.79349999999999987</v>
      </c>
      <c r="R7" s="49"/>
      <c r="S7" s="49"/>
      <c r="T7" s="49"/>
      <c r="U7" s="49"/>
      <c r="V7" s="49"/>
      <c r="W7" s="49"/>
      <c r="X7" s="49"/>
      <c r="Y7" s="49"/>
    </row>
    <row r="8" spans="1:25" s="7" customFormat="1" ht="15" customHeight="1">
      <c r="A8" s="12" t="s">
        <v>316</v>
      </c>
      <c r="B8" s="8" t="s">
        <v>598</v>
      </c>
      <c r="C8" s="9" t="s">
        <v>613</v>
      </c>
      <c r="D8" s="9" t="s">
        <v>603</v>
      </c>
      <c r="E8" s="49">
        <v>1.6</v>
      </c>
      <c r="F8" s="49">
        <v>0</v>
      </c>
      <c r="G8" s="49"/>
      <c r="H8" s="49"/>
      <c r="I8" s="49"/>
      <c r="J8" s="49">
        <v>1.85</v>
      </c>
      <c r="K8" s="49"/>
      <c r="L8" s="49"/>
      <c r="M8" s="49">
        <v>1.56</v>
      </c>
      <c r="N8" s="49"/>
      <c r="O8" s="49"/>
      <c r="P8" s="49"/>
      <c r="Q8" s="49">
        <v>1.472</v>
      </c>
      <c r="R8" s="49">
        <v>1.91</v>
      </c>
      <c r="S8" s="49">
        <v>2.0099999999999998</v>
      </c>
      <c r="T8" s="49"/>
      <c r="U8" s="49"/>
      <c r="V8" s="49">
        <v>0</v>
      </c>
      <c r="W8" s="49"/>
      <c r="X8" s="49"/>
      <c r="Y8" s="49"/>
    </row>
    <row r="9" spans="1:25" s="7" customFormat="1" ht="15" customHeight="1">
      <c r="A9" s="12" t="s">
        <v>317</v>
      </c>
      <c r="B9" s="8" t="s">
        <v>598</v>
      </c>
      <c r="C9" s="9" t="s">
        <v>614</v>
      </c>
      <c r="D9" s="9" t="s">
        <v>603</v>
      </c>
      <c r="E9" s="49">
        <v>1.6</v>
      </c>
      <c r="F9" s="49">
        <v>0</v>
      </c>
      <c r="G9" s="49"/>
      <c r="H9" s="49"/>
      <c r="I9" s="49"/>
      <c r="J9" s="49">
        <v>1.84</v>
      </c>
      <c r="K9" s="49"/>
      <c r="L9" s="49"/>
      <c r="M9" s="49">
        <v>1.56</v>
      </c>
      <c r="N9" s="49"/>
      <c r="O9" s="49"/>
      <c r="P9" s="49"/>
      <c r="Q9" s="49">
        <v>1.38</v>
      </c>
      <c r="R9" s="49">
        <v>1.91</v>
      </c>
      <c r="S9" s="49">
        <v>1.99</v>
      </c>
      <c r="T9" s="49"/>
      <c r="U9" s="49"/>
      <c r="V9" s="49">
        <v>0</v>
      </c>
      <c r="W9" s="49"/>
      <c r="X9" s="49"/>
      <c r="Y9" s="49"/>
    </row>
    <row r="10" spans="1:25" s="7" customFormat="1" ht="15" customHeight="1">
      <c r="A10" s="12" t="s">
        <v>318</v>
      </c>
      <c r="B10" s="8" t="s">
        <v>598</v>
      </c>
      <c r="C10" s="9" t="s">
        <v>615</v>
      </c>
      <c r="D10" s="9" t="s">
        <v>603</v>
      </c>
      <c r="E10" s="49">
        <v>1.6</v>
      </c>
      <c r="F10" s="49">
        <v>0</v>
      </c>
      <c r="G10" s="49"/>
      <c r="H10" s="49"/>
      <c r="I10" s="49"/>
      <c r="J10" s="49">
        <v>1.82</v>
      </c>
      <c r="K10" s="49"/>
      <c r="L10" s="49"/>
      <c r="M10" s="49">
        <v>1.56</v>
      </c>
      <c r="N10" s="49"/>
      <c r="O10" s="49"/>
      <c r="P10" s="49"/>
      <c r="Q10" s="49">
        <v>1.38</v>
      </c>
      <c r="R10" s="49">
        <v>1.91</v>
      </c>
      <c r="S10" s="49">
        <v>1.97</v>
      </c>
      <c r="T10" s="49"/>
      <c r="U10" s="49"/>
      <c r="V10" s="49">
        <v>0</v>
      </c>
      <c r="W10" s="49"/>
      <c r="X10" s="49"/>
      <c r="Y10" s="49"/>
    </row>
    <row r="11" spans="1:25" s="7" customFormat="1" ht="15" customHeight="1">
      <c r="A11" s="12" t="s">
        <v>319</v>
      </c>
      <c r="B11" s="8" t="s">
        <v>598</v>
      </c>
      <c r="C11" s="9" t="s">
        <v>616</v>
      </c>
      <c r="D11" s="9" t="s">
        <v>604</v>
      </c>
      <c r="E11" s="49">
        <v>0</v>
      </c>
      <c r="F11" s="49"/>
      <c r="G11" s="49"/>
      <c r="H11" s="49"/>
      <c r="I11" s="49"/>
      <c r="J11" s="49">
        <v>0</v>
      </c>
      <c r="K11" s="49"/>
      <c r="L11" s="49"/>
      <c r="M11" s="49">
        <v>0</v>
      </c>
      <c r="N11" s="49"/>
      <c r="O11" s="49"/>
      <c r="P11" s="49"/>
      <c r="Q11" s="49">
        <v>0.79349999999999987</v>
      </c>
      <c r="R11" s="49">
        <v>0</v>
      </c>
      <c r="S11" s="49"/>
      <c r="T11" s="49"/>
      <c r="U11" s="49"/>
      <c r="V11" s="49"/>
      <c r="W11" s="49"/>
      <c r="X11" s="49"/>
      <c r="Y11" s="49"/>
    </row>
    <row r="12" spans="1:25" s="7" customFormat="1" ht="15" customHeight="1">
      <c r="A12" s="12" t="s">
        <v>320</v>
      </c>
      <c r="B12" s="8" t="s">
        <v>598</v>
      </c>
      <c r="C12" s="9" t="s">
        <v>617</v>
      </c>
      <c r="D12" s="9" t="s">
        <v>604</v>
      </c>
      <c r="E12" s="49">
        <v>0</v>
      </c>
      <c r="F12" s="49"/>
      <c r="G12" s="49"/>
      <c r="H12" s="49"/>
      <c r="I12" s="49"/>
      <c r="J12" s="49">
        <v>0</v>
      </c>
      <c r="K12" s="49"/>
      <c r="L12" s="49"/>
      <c r="M12" s="49">
        <v>0</v>
      </c>
      <c r="N12" s="49"/>
      <c r="O12" s="49"/>
      <c r="P12" s="49"/>
      <c r="Q12" s="49">
        <v>0.79349999999999987</v>
      </c>
      <c r="R12" s="49">
        <v>0</v>
      </c>
      <c r="S12" s="49"/>
      <c r="T12" s="49"/>
      <c r="U12" s="49"/>
      <c r="V12" s="49"/>
      <c r="W12" s="49"/>
      <c r="X12" s="49"/>
      <c r="Y12" s="49"/>
    </row>
    <row r="13" spans="1:25" s="7" customFormat="1" ht="15" customHeight="1">
      <c r="A13" s="12" t="s">
        <v>321</v>
      </c>
      <c r="B13" s="8" t="s">
        <v>598</v>
      </c>
      <c r="C13" s="9" t="s">
        <v>618</v>
      </c>
      <c r="D13" s="9" t="s">
        <v>604</v>
      </c>
      <c r="E13" s="49">
        <v>0</v>
      </c>
      <c r="F13" s="49"/>
      <c r="G13" s="49"/>
      <c r="H13" s="49"/>
      <c r="I13" s="49"/>
      <c r="J13" s="49">
        <v>0</v>
      </c>
      <c r="K13" s="49"/>
      <c r="L13" s="49"/>
      <c r="M13" s="49">
        <v>0</v>
      </c>
      <c r="N13" s="49"/>
      <c r="O13" s="49"/>
      <c r="P13" s="49"/>
      <c r="Q13" s="49">
        <v>0.79349999999999987</v>
      </c>
      <c r="R13" s="49">
        <v>0</v>
      </c>
      <c r="S13" s="49"/>
      <c r="T13" s="49"/>
      <c r="U13" s="49"/>
      <c r="V13" s="49"/>
      <c r="W13" s="49"/>
      <c r="X13" s="49"/>
      <c r="Y13" s="49"/>
    </row>
    <row r="14" spans="1:25" s="7" customFormat="1" ht="15" customHeight="1">
      <c r="A14" s="12" t="s">
        <v>322</v>
      </c>
      <c r="B14" s="8" t="s">
        <v>598</v>
      </c>
      <c r="C14" s="9" t="s">
        <v>674</v>
      </c>
      <c r="D14" s="9" t="s">
        <v>603</v>
      </c>
      <c r="E14" s="49">
        <v>8.31</v>
      </c>
      <c r="F14" s="49">
        <v>0</v>
      </c>
      <c r="G14" s="49"/>
      <c r="H14" s="49"/>
      <c r="I14" s="49"/>
      <c r="J14" s="49">
        <v>14.63</v>
      </c>
      <c r="K14" s="49"/>
      <c r="L14" s="49"/>
      <c r="M14" s="49">
        <v>8.19</v>
      </c>
      <c r="N14" s="49"/>
      <c r="O14" s="49"/>
      <c r="P14" s="49"/>
      <c r="Q14" s="49">
        <v>10.395999999999999</v>
      </c>
      <c r="R14" s="49">
        <v>7.28</v>
      </c>
      <c r="S14" s="49">
        <v>7.13</v>
      </c>
      <c r="T14" s="49"/>
      <c r="U14" s="49"/>
      <c r="V14" s="49">
        <v>0</v>
      </c>
      <c r="W14" s="49"/>
      <c r="X14" s="49"/>
      <c r="Y14" s="49"/>
    </row>
    <row r="15" spans="1:25" s="7" customFormat="1" ht="15" customHeight="1">
      <c r="A15" s="12" t="s">
        <v>323</v>
      </c>
      <c r="B15" s="8" t="s">
        <v>598</v>
      </c>
      <c r="C15" s="9" t="s">
        <v>675</v>
      </c>
      <c r="D15" s="9" t="s">
        <v>603</v>
      </c>
      <c r="E15" s="49">
        <v>7.67</v>
      </c>
      <c r="F15" s="49">
        <v>0</v>
      </c>
      <c r="G15" s="49"/>
      <c r="H15" s="49"/>
      <c r="I15" s="49"/>
      <c r="J15" s="49">
        <v>14.63</v>
      </c>
      <c r="K15" s="49"/>
      <c r="L15" s="49"/>
      <c r="M15" s="49">
        <v>7.56</v>
      </c>
      <c r="N15" s="49"/>
      <c r="O15" s="49"/>
      <c r="P15" s="49"/>
      <c r="Q15" s="49">
        <v>4.3699999999999992</v>
      </c>
      <c r="R15" s="49">
        <v>6.68</v>
      </c>
      <c r="S15" s="49">
        <v>6.58</v>
      </c>
      <c r="T15" s="49"/>
      <c r="U15" s="49"/>
      <c r="V15" s="49">
        <v>0</v>
      </c>
      <c r="W15" s="49"/>
      <c r="X15" s="49"/>
      <c r="Y15" s="49"/>
    </row>
    <row r="16" spans="1:25" s="7" customFormat="1" ht="15" customHeight="1">
      <c r="A16" s="12" t="s">
        <v>324</v>
      </c>
      <c r="B16" s="8" t="s">
        <v>598</v>
      </c>
      <c r="C16" s="9" t="s">
        <v>676</v>
      </c>
      <c r="D16" s="9" t="s">
        <v>603</v>
      </c>
      <c r="E16" s="49">
        <v>7.04</v>
      </c>
      <c r="F16" s="49">
        <v>0</v>
      </c>
      <c r="G16" s="49"/>
      <c r="H16" s="49"/>
      <c r="I16" s="49"/>
      <c r="J16" s="49">
        <v>14.63</v>
      </c>
      <c r="K16" s="49"/>
      <c r="L16" s="49"/>
      <c r="M16" s="49">
        <v>6.93</v>
      </c>
      <c r="N16" s="49"/>
      <c r="O16" s="49"/>
      <c r="P16" s="49"/>
      <c r="Q16" s="49">
        <v>3.6109999999999998</v>
      </c>
      <c r="R16" s="49">
        <v>6.07</v>
      </c>
      <c r="S16" s="49">
        <v>6.03</v>
      </c>
      <c r="T16" s="49"/>
      <c r="U16" s="49"/>
      <c r="V16" s="49">
        <v>0</v>
      </c>
      <c r="W16" s="49"/>
      <c r="X16" s="49"/>
      <c r="Y16" s="49"/>
    </row>
    <row r="17" spans="1:25" s="7" customFormat="1" ht="15" customHeight="1">
      <c r="A17" s="12"/>
      <c r="B17" s="8"/>
      <c r="C17" s="9"/>
      <c r="D17" s="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spans="1:25" s="7" customFormat="1" ht="15" customHeight="1">
      <c r="A18" s="12" t="s">
        <v>325</v>
      </c>
      <c r="B18" s="8" t="s">
        <v>599</v>
      </c>
      <c r="C18" s="9" t="s">
        <v>610</v>
      </c>
      <c r="D18" s="9" t="s">
        <v>603</v>
      </c>
      <c r="E18" s="49"/>
      <c r="F18" s="49"/>
      <c r="G18" s="49"/>
      <c r="H18" s="49"/>
      <c r="I18" s="49"/>
      <c r="J18" s="49"/>
      <c r="K18" s="49"/>
      <c r="L18" s="49">
        <v>21.56</v>
      </c>
      <c r="M18" s="49"/>
      <c r="N18" s="49"/>
      <c r="O18" s="49"/>
      <c r="P18" s="49"/>
      <c r="Q18" s="49">
        <v>14.570499999999999</v>
      </c>
      <c r="R18" s="49"/>
      <c r="S18" s="49"/>
      <c r="T18" s="49"/>
      <c r="U18" s="49"/>
      <c r="V18" s="49"/>
      <c r="W18" s="49"/>
      <c r="X18" s="49"/>
      <c r="Y18" s="49"/>
    </row>
    <row r="19" spans="1:25" s="7" customFormat="1" ht="15" customHeight="1">
      <c r="A19" s="12" t="s">
        <v>326</v>
      </c>
      <c r="B19" s="8" t="s">
        <v>599</v>
      </c>
      <c r="C19" s="9" t="s">
        <v>611</v>
      </c>
      <c r="D19" s="9" t="s">
        <v>603</v>
      </c>
      <c r="E19" s="49"/>
      <c r="F19" s="49"/>
      <c r="G19" s="49"/>
      <c r="H19" s="49"/>
      <c r="I19" s="49"/>
      <c r="J19" s="49"/>
      <c r="K19" s="49"/>
      <c r="L19" s="49">
        <v>21.56</v>
      </c>
      <c r="M19" s="49"/>
      <c r="N19" s="49"/>
      <c r="O19" s="49"/>
      <c r="P19" s="49"/>
      <c r="Q19" s="49">
        <v>9.7864999999999984</v>
      </c>
      <c r="R19" s="49"/>
      <c r="S19" s="49"/>
      <c r="T19" s="49"/>
      <c r="U19" s="49"/>
      <c r="V19" s="49"/>
      <c r="W19" s="49"/>
      <c r="X19" s="49"/>
      <c r="Y19" s="49"/>
    </row>
    <row r="20" spans="1:25" s="7" customFormat="1" ht="15" customHeight="1">
      <c r="A20" s="12" t="s">
        <v>327</v>
      </c>
      <c r="B20" s="8" t="s">
        <v>599</v>
      </c>
      <c r="C20" s="9" t="s">
        <v>612</v>
      </c>
      <c r="D20" s="9" t="s">
        <v>603</v>
      </c>
      <c r="E20" s="49"/>
      <c r="F20" s="49"/>
      <c r="G20" s="49"/>
      <c r="H20" s="49"/>
      <c r="I20" s="49"/>
      <c r="J20" s="49"/>
      <c r="K20" s="49"/>
      <c r="L20" s="49">
        <v>16.170000000000002</v>
      </c>
      <c r="M20" s="49"/>
      <c r="N20" s="49"/>
      <c r="O20" s="49"/>
      <c r="P20" s="49"/>
      <c r="Q20" s="49">
        <v>8.0039999999999996</v>
      </c>
      <c r="R20" s="49"/>
      <c r="S20" s="49"/>
      <c r="T20" s="49"/>
      <c r="U20" s="49"/>
      <c r="V20" s="49"/>
      <c r="W20" s="49"/>
      <c r="X20" s="49"/>
      <c r="Y20" s="49"/>
    </row>
    <row r="21" spans="1:25" s="7" customFormat="1" ht="15" customHeight="1">
      <c r="A21" s="12" t="s">
        <v>328</v>
      </c>
      <c r="B21" s="8" t="s">
        <v>599</v>
      </c>
      <c r="C21" s="9" t="s">
        <v>677</v>
      </c>
      <c r="D21" s="9" t="s">
        <v>604</v>
      </c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>
        <v>0.97428552377276401</v>
      </c>
      <c r="R21" s="49"/>
      <c r="S21" s="49"/>
      <c r="T21" s="49"/>
      <c r="U21" s="49"/>
      <c r="V21" s="49"/>
      <c r="W21" s="49"/>
      <c r="X21" s="49"/>
      <c r="Y21" s="49"/>
    </row>
    <row r="22" spans="1:25" s="7" customFormat="1" ht="15" customHeight="1">
      <c r="A22" s="12" t="s">
        <v>329</v>
      </c>
      <c r="B22" s="8" t="s">
        <v>599</v>
      </c>
      <c r="C22" s="9" t="s">
        <v>678</v>
      </c>
      <c r="D22" s="9" t="s">
        <v>604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>
        <v>0.97428552377276401</v>
      </c>
      <c r="R22" s="49"/>
      <c r="S22" s="49"/>
      <c r="T22" s="49"/>
      <c r="U22" s="49"/>
      <c r="V22" s="49"/>
      <c r="W22" s="49"/>
      <c r="X22" s="49"/>
      <c r="Y22" s="49"/>
    </row>
    <row r="23" spans="1:25" s="7" customFormat="1" ht="15" customHeight="1">
      <c r="A23" s="12" t="s">
        <v>330</v>
      </c>
      <c r="B23" s="8" t="s">
        <v>599</v>
      </c>
      <c r="C23" s="9" t="s">
        <v>679</v>
      </c>
      <c r="D23" s="9" t="s">
        <v>604</v>
      </c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>
        <v>0.97428552377276401</v>
      </c>
      <c r="R23" s="49"/>
      <c r="S23" s="49"/>
      <c r="T23" s="49"/>
      <c r="U23" s="49"/>
      <c r="V23" s="49"/>
      <c r="W23" s="49"/>
      <c r="X23" s="49"/>
      <c r="Y23" s="49"/>
    </row>
    <row r="24" spans="1:25" s="7" customFormat="1" ht="15" customHeight="1">
      <c r="A24" s="12" t="s">
        <v>331</v>
      </c>
      <c r="B24" s="8" t="s">
        <v>599</v>
      </c>
      <c r="C24" s="9" t="s">
        <v>613</v>
      </c>
      <c r="D24" s="9" t="s">
        <v>603</v>
      </c>
      <c r="E24" s="49"/>
      <c r="F24" s="49"/>
      <c r="G24" s="49"/>
      <c r="H24" s="49"/>
      <c r="I24" s="49"/>
      <c r="J24" s="49"/>
      <c r="K24" s="49"/>
      <c r="L24" s="49">
        <v>8.1199999999999992</v>
      </c>
      <c r="M24" s="49"/>
      <c r="N24" s="49"/>
      <c r="O24" s="49"/>
      <c r="P24" s="49"/>
      <c r="Q24" s="49">
        <v>1.5754999999999999</v>
      </c>
      <c r="R24" s="49"/>
      <c r="S24" s="49"/>
      <c r="T24" s="49"/>
      <c r="U24" s="49"/>
      <c r="V24" s="49"/>
      <c r="W24" s="49"/>
      <c r="X24" s="49"/>
      <c r="Y24" s="49"/>
    </row>
    <row r="25" spans="1:25" s="7" customFormat="1" ht="15" customHeight="1">
      <c r="A25" s="12" t="s">
        <v>332</v>
      </c>
      <c r="B25" s="8" t="s">
        <v>599</v>
      </c>
      <c r="C25" s="9" t="s">
        <v>614</v>
      </c>
      <c r="D25" s="9" t="s">
        <v>603</v>
      </c>
      <c r="E25" s="49"/>
      <c r="F25" s="49"/>
      <c r="G25" s="49"/>
      <c r="H25" s="49"/>
      <c r="I25" s="49"/>
      <c r="J25" s="49"/>
      <c r="K25" s="49"/>
      <c r="L25" s="49">
        <v>8.1199999999999992</v>
      </c>
      <c r="M25" s="49"/>
      <c r="N25" s="49"/>
      <c r="O25" s="49"/>
      <c r="P25" s="49"/>
      <c r="Q25" s="49">
        <v>1.4604999999999999</v>
      </c>
      <c r="R25" s="49"/>
      <c r="S25" s="49"/>
      <c r="T25" s="49"/>
      <c r="U25" s="49"/>
      <c r="V25" s="49"/>
      <c r="W25" s="49"/>
      <c r="X25" s="49"/>
      <c r="Y25" s="49"/>
    </row>
    <row r="26" spans="1:25" s="7" customFormat="1" ht="15" customHeight="1">
      <c r="A26" s="12" t="s">
        <v>333</v>
      </c>
      <c r="B26" s="8" t="s">
        <v>599</v>
      </c>
      <c r="C26" s="9" t="s">
        <v>615</v>
      </c>
      <c r="D26" s="9" t="s">
        <v>603</v>
      </c>
      <c r="E26" s="49"/>
      <c r="F26" s="49"/>
      <c r="G26" s="49"/>
      <c r="H26" s="49"/>
      <c r="I26" s="49"/>
      <c r="J26" s="49"/>
      <c r="K26" s="49"/>
      <c r="L26" s="49">
        <v>6.09</v>
      </c>
      <c r="M26" s="49"/>
      <c r="N26" s="49"/>
      <c r="O26" s="49"/>
      <c r="P26" s="49"/>
      <c r="Q26" s="49">
        <v>1.4834999999999998</v>
      </c>
      <c r="R26" s="49"/>
      <c r="S26" s="49"/>
      <c r="T26" s="49"/>
      <c r="U26" s="49"/>
      <c r="V26" s="49"/>
      <c r="W26" s="49"/>
      <c r="X26" s="49"/>
      <c r="Y26" s="49"/>
    </row>
    <row r="27" spans="1:25" s="7" customFormat="1" ht="15" customHeight="1">
      <c r="A27" s="12" t="s">
        <v>334</v>
      </c>
      <c r="B27" s="8" t="s">
        <v>599</v>
      </c>
      <c r="C27" s="9" t="s">
        <v>616</v>
      </c>
      <c r="D27" s="9" t="s">
        <v>604</v>
      </c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>
        <v>0.97428552377276401</v>
      </c>
      <c r="R27" s="49"/>
      <c r="S27" s="49"/>
      <c r="T27" s="49"/>
      <c r="U27" s="49"/>
      <c r="V27" s="49"/>
      <c r="W27" s="49"/>
      <c r="X27" s="49"/>
      <c r="Y27" s="49"/>
    </row>
    <row r="28" spans="1:25" s="7" customFormat="1" ht="15" customHeight="1">
      <c r="A28" s="12" t="s">
        <v>335</v>
      </c>
      <c r="B28" s="8" t="s">
        <v>599</v>
      </c>
      <c r="C28" s="9" t="s">
        <v>617</v>
      </c>
      <c r="D28" s="9" t="s">
        <v>604</v>
      </c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>
        <v>0.97428552377276401</v>
      </c>
      <c r="R28" s="49"/>
      <c r="S28" s="49"/>
      <c r="T28" s="49"/>
      <c r="U28" s="49"/>
      <c r="V28" s="49"/>
      <c r="W28" s="49"/>
      <c r="X28" s="49"/>
      <c r="Y28" s="49"/>
    </row>
    <row r="29" spans="1:25" s="7" customFormat="1" ht="15" customHeight="1">
      <c r="A29" s="12" t="s">
        <v>336</v>
      </c>
      <c r="B29" s="8" t="s">
        <v>599</v>
      </c>
      <c r="C29" s="9" t="s">
        <v>618</v>
      </c>
      <c r="D29" s="9" t="s">
        <v>604</v>
      </c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>
        <v>0.97428552377276401</v>
      </c>
      <c r="R29" s="49"/>
      <c r="S29" s="49"/>
      <c r="T29" s="49"/>
      <c r="U29" s="49"/>
      <c r="V29" s="49"/>
      <c r="W29" s="49"/>
      <c r="X29" s="49"/>
      <c r="Y29" s="49"/>
    </row>
    <row r="30" spans="1:25" s="7" customFormat="1" ht="15" customHeight="1">
      <c r="A30" s="12" t="s">
        <v>337</v>
      </c>
      <c r="B30" s="8" t="s">
        <v>599</v>
      </c>
      <c r="C30" s="9" t="s">
        <v>674</v>
      </c>
      <c r="D30" s="9" t="s">
        <v>603</v>
      </c>
      <c r="E30" s="49"/>
      <c r="F30" s="49"/>
      <c r="G30" s="49"/>
      <c r="H30" s="49"/>
      <c r="I30" s="49"/>
      <c r="J30" s="49"/>
      <c r="K30" s="49"/>
      <c r="L30" s="49">
        <v>10.28</v>
      </c>
      <c r="M30" s="49"/>
      <c r="N30" s="49"/>
      <c r="O30" s="49"/>
      <c r="P30" s="49"/>
      <c r="Q30" s="49">
        <v>11.189499999999999</v>
      </c>
      <c r="R30" s="49"/>
      <c r="S30" s="49"/>
      <c r="T30" s="49"/>
      <c r="U30" s="49"/>
      <c r="V30" s="49"/>
      <c r="W30" s="49"/>
      <c r="X30" s="49"/>
      <c r="Y30" s="49"/>
    </row>
    <row r="31" spans="1:25" s="7" customFormat="1" ht="15" customHeight="1">
      <c r="A31" s="12" t="s">
        <v>338</v>
      </c>
      <c r="B31" s="8" t="s">
        <v>599</v>
      </c>
      <c r="C31" s="9" t="s">
        <v>675</v>
      </c>
      <c r="D31" s="9" t="s">
        <v>603</v>
      </c>
      <c r="E31" s="49"/>
      <c r="F31" s="49"/>
      <c r="G31" s="49"/>
      <c r="H31" s="49"/>
      <c r="I31" s="49"/>
      <c r="J31" s="49"/>
      <c r="K31" s="49"/>
      <c r="L31" s="49">
        <v>8.6300000000000008</v>
      </c>
      <c r="M31" s="49"/>
      <c r="N31" s="49"/>
      <c r="O31" s="49"/>
      <c r="P31" s="49"/>
      <c r="Q31" s="49">
        <v>5.0369999999999999</v>
      </c>
      <c r="R31" s="49"/>
      <c r="S31" s="49"/>
      <c r="T31" s="49"/>
      <c r="U31" s="49"/>
      <c r="V31" s="49"/>
      <c r="W31" s="49"/>
      <c r="X31" s="49"/>
      <c r="Y31" s="49"/>
    </row>
    <row r="32" spans="1:25" s="7" customFormat="1" ht="15" customHeight="1">
      <c r="A32" s="12" t="s">
        <v>339</v>
      </c>
      <c r="B32" s="8" t="s">
        <v>599</v>
      </c>
      <c r="C32" s="9" t="s">
        <v>676</v>
      </c>
      <c r="D32" s="9" t="s">
        <v>603</v>
      </c>
      <c r="E32" s="49"/>
      <c r="F32" s="49"/>
      <c r="G32" s="49"/>
      <c r="H32" s="49"/>
      <c r="I32" s="49"/>
      <c r="J32" s="49"/>
      <c r="K32" s="49"/>
      <c r="L32" s="49">
        <v>7.2</v>
      </c>
      <c r="M32" s="49"/>
      <c r="N32" s="49"/>
      <c r="O32" s="49"/>
      <c r="P32" s="49"/>
      <c r="Q32" s="49">
        <v>3.8984999999999999</v>
      </c>
      <c r="R32" s="49"/>
      <c r="S32" s="49"/>
      <c r="T32" s="49"/>
      <c r="U32" s="49"/>
      <c r="V32" s="49"/>
      <c r="W32" s="49"/>
      <c r="X32" s="49"/>
      <c r="Y32" s="49"/>
    </row>
    <row r="33" spans="1:25" s="7" customFormat="1" ht="15" customHeight="1">
      <c r="A33" s="12"/>
      <c r="B33" s="6"/>
      <c r="C33" s="9"/>
      <c r="D33" s="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spans="1:25" s="7" customFormat="1" ht="15" customHeight="1">
      <c r="A34" s="12" t="s">
        <v>340</v>
      </c>
      <c r="B34" s="8" t="s">
        <v>600</v>
      </c>
      <c r="C34" s="9" t="s">
        <v>610</v>
      </c>
      <c r="D34" s="9" t="s">
        <v>603</v>
      </c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spans="1:25" s="7" customFormat="1" ht="15" customHeight="1">
      <c r="A35" s="12" t="s">
        <v>341</v>
      </c>
      <c r="B35" s="8" t="s">
        <v>600</v>
      </c>
      <c r="C35" s="9" t="s">
        <v>611</v>
      </c>
      <c r="D35" s="9" t="s">
        <v>603</v>
      </c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spans="1:25" s="7" customFormat="1" ht="15" customHeight="1">
      <c r="A36" s="12" t="s">
        <v>342</v>
      </c>
      <c r="B36" s="8" t="s">
        <v>600</v>
      </c>
      <c r="C36" s="9" t="s">
        <v>612</v>
      </c>
      <c r="D36" s="9" t="s">
        <v>603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spans="1:25" s="7" customFormat="1" ht="15" customHeight="1">
      <c r="A37" s="12" t="s">
        <v>343</v>
      </c>
      <c r="B37" s="8" t="s">
        <v>600</v>
      </c>
      <c r="C37" s="9" t="s">
        <v>677</v>
      </c>
      <c r="D37" s="9" t="s">
        <v>604</v>
      </c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spans="1:25" s="7" customFormat="1" ht="15" customHeight="1">
      <c r="A38" s="12" t="s">
        <v>344</v>
      </c>
      <c r="B38" s="8" t="s">
        <v>600</v>
      </c>
      <c r="C38" s="9" t="s">
        <v>678</v>
      </c>
      <c r="D38" s="9" t="s">
        <v>604</v>
      </c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spans="1:25" s="7" customFormat="1" ht="15" customHeight="1">
      <c r="A39" s="12" t="s">
        <v>345</v>
      </c>
      <c r="B39" s="8" t="s">
        <v>600</v>
      </c>
      <c r="C39" s="9" t="s">
        <v>679</v>
      </c>
      <c r="D39" s="9" t="s">
        <v>604</v>
      </c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spans="1:25" s="7" customFormat="1" ht="15" customHeight="1">
      <c r="A40" s="12" t="s">
        <v>346</v>
      </c>
      <c r="B40" s="8" t="s">
        <v>600</v>
      </c>
      <c r="C40" s="9" t="s">
        <v>613</v>
      </c>
      <c r="D40" s="9" t="s">
        <v>603</v>
      </c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spans="1:25" s="7" customFormat="1" ht="15" customHeight="1">
      <c r="A41" s="12" t="s">
        <v>347</v>
      </c>
      <c r="B41" s="8" t="s">
        <v>600</v>
      </c>
      <c r="C41" s="9" t="s">
        <v>614</v>
      </c>
      <c r="D41" s="9" t="s">
        <v>603</v>
      </c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spans="1:25" s="7" customFormat="1" ht="15" customHeight="1">
      <c r="A42" s="12" t="s">
        <v>348</v>
      </c>
      <c r="B42" s="8" t="s">
        <v>600</v>
      </c>
      <c r="C42" s="9" t="s">
        <v>615</v>
      </c>
      <c r="D42" s="9" t="s">
        <v>603</v>
      </c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spans="1:25" s="7" customFormat="1" ht="15" customHeight="1">
      <c r="A43" s="12" t="s">
        <v>349</v>
      </c>
      <c r="B43" s="8" t="s">
        <v>600</v>
      </c>
      <c r="C43" s="9" t="s">
        <v>616</v>
      </c>
      <c r="D43" s="9" t="s">
        <v>604</v>
      </c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spans="1:25" s="7" customFormat="1" ht="15" customHeight="1">
      <c r="A44" s="12" t="s">
        <v>350</v>
      </c>
      <c r="B44" s="8" t="s">
        <v>600</v>
      </c>
      <c r="C44" s="9" t="s">
        <v>617</v>
      </c>
      <c r="D44" s="9" t="s">
        <v>604</v>
      </c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spans="1:25" s="7" customFormat="1" ht="15" customHeight="1">
      <c r="A45" s="12" t="s">
        <v>38</v>
      </c>
      <c r="B45" s="8" t="s">
        <v>600</v>
      </c>
      <c r="C45" s="9" t="s">
        <v>618</v>
      </c>
      <c r="D45" s="9" t="s">
        <v>604</v>
      </c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spans="1:25" s="7" customFormat="1" ht="15" customHeight="1">
      <c r="A46" s="12" t="s">
        <v>39</v>
      </c>
      <c r="B46" s="8" t="s">
        <v>600</v>
      </c>
      <c r="C46" s="9" t="s">
        <v>674</v>
      </c>
      <c r="D46" s="9" t="s">
        <v>603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spans="1:25" s="7" customFormat="1" ht="15" customHeight="1">
      <c r="A47" s="12" t="s">
        <v>40</v>
      </c>
      <c r="B47" s="8" t="s">
        <v>600</v>
      </c>
      <c r="C47" s="9" t="s">
        <v>675</v>
      </c>
      <c r="D47" s="9" t="s">
        <v>603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spans="1:25" s="7" customFormat="1" ht="15" customHeight="1">
      <c r="A48" s="12" t="s">
        <v>41</v>
      </c>
      <c r="B48" s="8" t="s">
        <v>600</v>
      </c>
      <c r="C48" s="9" t="s">
        <v>676</v>
      </c>
      <c r="D48" s="9" t="s">
        <v>603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spans="1:25" s="7" customFormat="1" ht="15" customHeight="1">
      <c r="A49" s="12"/>
      <c r="B49" s="6"/>
      <c r="C49" s="9"/>
      <c r="D49" s="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spans="1:25" s="7" customFormat="1" ht="15" customHeight="1">
      <c r="A50" s="12" t="s">
        <v>42</v>
      </c>
      <c r="B50" s="8" t="s">
        <v>601</v>
      </c>
      <c r="C50" s="9" t="s">
        <v>610</v>
      </c>
      <c r="D50" s="9" t="s">
        <v>603</v>
      </c>
      <c r="E50" s="49">
        <v>4.25</v>
      </c>
      <c r="F50" s="49">
        <v>6.81</v>
      </c>
      <c r="G50" s="49"/>
      <c r="H50" s="49"/>
      <c r="I50" s="49"/>
      <c r="J50" s="49">
        <v>3.74</v>
      </c>
      <c r="K50" s="49"/>
      <c r="L50" s="49">
        <v>7.18</v>
      </c>
      <c r="M50" s="49">
        <v>4.16</v>
      </c>
      <c r="N50" s="49"/>
      <c r="O50" s="49"/>
      <c r="P50" s="49"/>
      <c r="Q50" s="49">
        <v>13.247999999999999</v>
      </c>
      <c r="R50" s="49">
        <v>3.85</v>
      </c>
      <c r="S50" s="49">
        <v>4.04</v>
      </c>
      <c r="T50" s="49"/>
      <c r="U50" s="49"/>
      <c r="V50" s="49">
        <v>6.93</v>
      </c>
      <c r="W50" s="49"/>
      <c r="X50" s="49">
        <v>7.35</v>
      </c>
      <c r="Y50" s="49">
        <v>4.75</v>
      </c>
    </row>
    <row r="51" spans="1:25" s="7" customFormat="1" ht="15" customHeight="1">
      <c r="A51" s="12" t="s">
        <v>43</v>
      </c>
      <c r="B51" s="8" t="s">
        <v>601</v>
      </c>
      <c r="C51" s="9" t="s">
        <v>611</v>
      </c>
      <c r="D51" s="9" t="s">
        <v>603</v>
      </c>
      <c r="E51" s="49">
        <v>4.25</v>
      </c>
      <c r="F51" s="49">
        <v>6.81</v>
      </c>
      <c r="G51" s="49"/>
      <c r="H51" s="49"/>
      <c r="I51" s="49"/>
      <c r="J51" s="49">
        <v>3.72</v>
      </c>
      <c r="K51" s="49"/>
      <c r="L51" s="49">
        <v>7.18</v>
      </c>
      <c r="M51" s="49">
        <v>4.16</v>
      </c>
      <c r="N51" s="49"/>
      <c r="O51" s="49"/>
      <c r="P51" s="49"/>
      <c r="Q51" s="49">
        <v>8.234</v>
      </c>
      <c r="R51" s="49">
        <v>3.85</v>
      </c>
      <c r="S51" s="49">
        <v>4</v>
      </c>
      <c r="T51" s="49"/>
      <c r="U51" s="49"/>
      <c r="V51" s="49">
        <v>6.93</v>
      </c>
      <c r="W51" s="49"/>
      <c r="X51" s="49">
        <v>7.35</v>
      </c>
      <c r="Y51" s="49">
        <v>4.75</v>
      </c>
    </row>
    <row r="52" spans="1:25" s="7" customFormat="1" ht="15" customHeight="1">
      <c r="A52" s="12" t="s">
        <v>44</v>
      </c>
      <c r="B52" s="8" t="s">
        <v>601</v>
      </c>
      <c r="C52" s="9" t="s">
        <v>612</v>
      </c>
      <c r="D52" s="9" t="s">
        <v>603</v>
      </c>
      <c r="E52" s="49">
        <v>4.25</v>
      </c>
      <c r="F52" s="49">
        <v>6.81</v>
      </c>
      <c r="G52" s="49"/>
      <c r="H52" s="49"/>
      <c r="I52" s="49"/>
      <c r="J52" s="49">
        <v>3.68</v>
      </c>
      <c r="K52" s="49"/>
      <c r="L52" s="49">
        <v>7.18</v>
      </c>
      <c r="M52" s="49">
        <v>4.16</v>
      </c>
      <c r="N52" s="49"/>
      <c r="O52" s="49"/>
      <c r="P52" s="49"/>
      <c r="Q52" s="49">
        <v>7.4174999999999995</v>
      </c>
      <c r="R52" s="49">
        <v>3.85</v>
      </c>
      <c r="S52" s="49">
        <v>3.97</v>
      </c>
      <c r="T52" s="49"/>
      <c r="U52" s="49"/>
      <c r="V52" s="49">
        <v>6.93</v>
      </c>
      <c r="W52" s="49"/>
      <c r="X52" s="49">
        <v>7.35</v>
      </c>
      <c r="Y52" s="49">
        <v>4.75</v>
      </c>
    </row>
    <row r="53" spans="1:25" s="7" customFormat="1" ht="15" customHeight="1">
      <c r="A53" s="12" t="s">
        <v>45</v>
      </c>
      <c r="B53" s="8" t="s">
        <v>601</v>
      </c>
      <c r="C53" s="9" t="s">
        <v>677</v>
      </c>
      <c r="D53" s="9" t="s">
        <v>604</v>
      </c>
      <c r="E53" s="49">
        <v>0</v>
      </c>
      <c r="F53" s="49"/>
      <c r="G53" s="49"/>
      <c r="H53" s="49"/>
      <c r="I53" s="49"/>
      <c r="J53" s="49">
        <v>0</v>
      </c>
      <c r="K53" s="49"/>
      <c r="L53" s="49"/>
      <c r="M53" s="49"/>
      <c r="N53" s="49"/>
      <c r="O53" s="49"/>
      <c r="P53" s="49"/>
      <c r="Q53" s="49">
        <v>0.79349999999999987</v>
      </c>
      <c r="R53" s="49"/>
      <c r="S53" s="49"/>
      <c r="T53" s="49"/>
      <c r="U53" s="49"/>
      <c r="V53" s="49"/>
      <c r="W53" s="49"/>
      <c r="X53" s="49"/>
      <c r="Y53" s="49">
        <v>0</v>
      </c>
    </row>
    <row r="54" spans="1:25" s="7" customFormat="1" ht="15" customHeight="1">
      <c r="A54" s="12" t="s">
        <v>46</v>
      </c>
      <c r="B54" s="8" t="s">
        <v>601</v>
      </c>
      <c r="C54" s="9" t="s">
        <v>678</v>
      </c>
      <c r="D54" s="9" t="s">
        <v>604</v>
      </c>
      <c r="E54" s="49">
        <v>0</v>
      </c>
      <c r="F54" s="49"/>
      <c r="G54" s="49"/>
      <c r="H54" s="49"/>
      <c r="I54" s="49"/>
      <c r="J54" s="49">
        <v>0</v>
      </c>
      <c r="K54" s="49"/>
      <c r="L54" s="49"/>
      <c r="M54" s="49"/>
      <c r="N54" s="49"/>
      <c r="O54" s="49"/>
      <c r="P54" s="49"/>
      <c r="Q54" s="49">
        <v>0.79349999999999987</v>
      </c>
      <c r="R54" s="49"/>
      <c r="S54" s="49"/>
      <c r="T54" s="49"/>
      <c r="U54" s="49"/>
      <c r="V54" s="49"/>
      <c r="W54" s="49"/>
      <c r="X54" s="49"/>
      <c r="Y54" s="49">
        <v>0</v>
      </c>
    </row>
    <row r="55" spans="1:25" s="7" customFormat="1" ht="15" customHeight="1">
      <c r="A55" s="12" t="s">
        <v>47</v>
      </c>
      <c r="B55" s="8" t="s">
        <v>601</v>
      </c>
      <c r="C55" s="9" t="s">
        <v>679</v>
      </c>
      <c r="D55" s="9" t="s">
        <v>604</v>
      </c>
      <c r="E55" s="49">
        <v>0</v>
      </c>
      <c r="F55" s="49"/>
      <c r="G55" s="49"/>
      <c r="H55" s="49"/>
      <c r="I55" s="49"/>
      <c r="J55" s="49">
        <v>0</v>
      </c>
      <c r="K55" s="49"/>
      <c r="L55" s="49"/>
      <c r="M55" s="49"/>
      <c r="N55" s="49"/>
      <c r="O55" s="49"/>
      <c r="P55" s="49"/>
      <c r="Q55" s="49">
        <v>0.79349999999999987</v>
      </c>
      <c r="R55" s="49"/>
      <c r="S55" s="49"/>
      <c r="T55" s="49"/>
      <c r="U55" s="49"/>
      <c r="V55" s="49"/>
      <c r="W55" s="49"/>
      <c r="X55" s="49"/>
      <c r="Y55" s="49">
        <v>0</v>
      </c>
    </row>
    <row r="56" spans="1:25" s="7" customFormat="1" ht="15" customHeight="1">
      <c r="A56" s="12" t="s">
        <v>48</v>
      </c>
      <c r="B56" s="8" t="s">
        <v>601</v>
      </c>
      <c r="C56" s="9" t="s">
        <v>613</v>
      </c>
      <c r="D56" s="9" t="s">
        <v>603</v>
      </c>
      <c r="E56" s="49">
        <v>1.6</v>
      </c>
      <c r="F56" s="49">
        <v>1.7</v>
      </c>
      <c r="G56" s="49"/>
      <c r="H56" s="49"/>
      <c r="I56" s="49"/>
      <c r="J56" s="49">
        <v>1.85</v>
      </c>
      <c r="K56" s="49"/>
      <c r="L56" s="49">
        <v>1.79</v>
      </c>
      <c r="M56" s="49">
        <v>1.56</v>
      </c>
      <c r="N56" s="49"/>
      <c r="O56" s="49"/>
      <c r="P56" s="49"/>
      <c r="Q56" s="49">
        <v>1.4489999999999998</v>
      </c>
      <c r="R56" s="49">
        <v>1.91</v>
      </c>
      <c r="S56" s="49">
        <v>2.0099999999999998</v>
      </c>
      <c r="T56" s="49"/>
      <c r="U56" s="49"/>
      <c r="V56" s="49">
        <v>1.73</v>
      </c>
      <c r="W56" s="49"/>
      <c r="X56" s="49">
        <v>1.85</v>
      </c>
      <c r="Y56" s="49">
        <v>0.79</v>
      </c>
    </row>
    <row r="57" spans="1:25" s="7" customFormat="1" ht="15" customHeight="1">
      <c r="A57" s="12" t="s">
        <v>49</v>
      </c>
      <c r="B57" s="8" t="s">
        <v>601</v>
      </c>
      <c r="C57" s="9" t="s">
        <v>614</v>
      </c>
      <c r="D57" s="9" t="s">
        <v>603</v>
      </c>
      <c r="E57" s="49">
        <v>1.6</v>
      </c>
      <c r="F57" s="49">
        <v>1.7</v>
      </c>
      <c r="G57" s="49"/>
      <c r="H57" s="49"/>
      <c r="I57" s="49"/>
      <c r="J57" s="49">
        <v>1.84</v>
      </c>
      <c r="K57" s="49"/>
      <c r="L57" s="49">
        <v>1.79</v>
      </c>
      <c r="M57" s="49">
        <v>1.56</v>
      </c>
      <c r="N57" s="49"/>
      <c r="O57" s="49"/>
      <c r="P57" s="49"/>
      <c r="Q57" s="49">
        <v>1.3569999999999998</v>
      </c>
      <c r="R57" s="49">
        <v>1.91</v>
      </c>
      <c r="S57" s="49">
        <v>1.99</v>
      </c>
      <c r="T57" s="49"/>
      <c r="U57" s="49"/>
      <c r="V57" s="49">
        <v>1.73</v>
      </c>
      <c r="W57" s="49"/>
      <c r="X57" s="49">
        <v>1.85</v>
      </c>
      <c r="Y57" s="49">
        <v>0.79</v>
      </c>
    </row>
    <row r="58" spans="1:25" s="7" customFormat="1" ht="15" customHeight="1">
      <c r="A58" s="12" t="s">
        <v>50</v>
      </c>
      <c r="B58" s="8" t="s">
        <v>601</v>
      </c>
      <c r="C58" s="9" t="s">
        <v>615</v>
      </c>
      <c r="D58" s="9" t="s">
        <v>603</v>
      </c>
      <c r="E58" s="49">
        <v>1.6</v>
      </c>
      <c r="F58" s="49">
        <v>1.7</v>
      </c>
      <c r="G58" s="49"/>
      <c r="H58" s="49"/>
      <c r="I58" s="49"/>
      <c r="J58" s="49">
        <v>1.82</v>
      </c>
      <c r="K58" s="49"/>
      <c r="L58" s="49">
        <v>1.79</v>
      </c>
      <c r="M58" s="49">
        <v>1.56</v>
      </c>
      <c r="N58" s="49"/>
      <c r="O58" s="49"/>
      <c r="P58" s="49"/>
      <c r="Q58" s="49">
        <v>1.3569999999999998</v>
      </c>
      <c r="R58" s="49">
        <v>1.91</v>
      </c>
      <c r="S58" s="49">
        <v>1.97</v>
      </c>
      <c r="T58" s="49"/>
      <c r="U58" s="49"/>
      <c r="V58" s="49">
        <v>1.73</v>
      </c>
      <c r="W58" s="49"/>
      <c r="X58" s="49">
        <v>1.85</v>
      </c>
      <c r="Y58" s="49">
        <v>0.79</v>
      </c>
    </row>
    <row r="59" spans="1:25" s="7" customFormat="1" ht="15" customHeight="1">
      <c r="A59" s="12" t="s">
        <v>51</v>
      </c>
      <c r="B59" s="8" t="s">
        <v>601</v>
      </c>
      <c r="C59" s="9" t="s">
        <v>616</v>
      </c>
      <c r="D59" s="9" t="s">
        <v>604</v>
      </c>
      <c r="E59" s="49">
        <v>0</v>
      </c>
      <c r="F59" s="49"/>
      <c r="G59" s="49"/>
      <c r="H59" s="49"/>
      <c r="I59" s="49"/>
      <c r="J59" s="49">
        <v>0</v>
      </c>
      <c r="K59" s="49"/>
      <c r="L59" s="49"/>
      <c r="M59" s="49">
        <v>0</v>
      </c>
      <c r="N59" s="49"/>
      <c r="O59" s="49"/>
      <c r="P59" s="49"/>
      <c r="Q59" s="49">
        <v>0.79349999999999987</v>
      </c>
      <c r="R59" s="49">
        <v>0</v>
      </c>
      <c r="S59" s="49"/>
      <c r="T59" s="49"/>
      <c r="U59" s="49"/>
      <c r="V59" s="49"/>
      <c r="W59" s="49"/>
      <c r="X59" s="49"/>
      <c r="Y59" s="49">
        <v>0</v>
      </c>
    </row>
    <row r="60" spans="1:25" s="7" customFormat="1" ht="15" customHeight="1">
      <c r="A60" s="12" t="s">
        <v>52</v>
      </c>
      <c r="B60" s="8" t="s">
        <v>601</v>
      </c>
      <c r="C60" s="9" t="s">
        <v>617</v>
      </c>
      <c r="D60" s="9" t="s">
        <v>604</v>
      </c>
      <c r="E60" s="49">
        <v>0</v>
      </c>
      <c r="F60" s="49"/>
      <c r="G60" s="49"/>
      <c r="H60" s="49"/>
      <c r="I60" s="49"/>
      <c r="J60" s="49">
        <v>0</v>
      </c>
      <c r="K60" s="49"/>
      <c r="L60" s="49"/>
      <c r="M60" s="49">
        <v>0</v>
      </c>
      <c r="N60" s="49"/>
      <c r="O60" s="49"/>
      <c r="P60" s="49"/>
      <c r="Q60" s="49">
        <v>0.79349999999999987</v>
      </c>
      <c r="R60" s="49">
        <v>0</v>
      </c>
      <c r="S60" s="49"/>
      <c r="T60" s="49"/>
      <c r="U60" s="49"/>
      <c r="V60" s="49"/>
      <c r="W60" s="49"/>
      <c r="X60" s="49"/>
      <c r="Y60" s="49">
        <v>0</v>
      </c>
    </row>
    <row r="61" spans="1:25" s="7" customFormat="1" ht="15" customHeight="1">
      <c r="A61" s="12" t="s">
        <v>53</v>
      </c>
      <c r="B61" s="8" t="s">
        <v>601</v>
      </c>
      <c r="C61" s="9" t="s">
        <v>618</v>
      </c>
      <c r="D61" s="9" t="s">
        <v>604</v>
      </c>
      <c r="E61" s="49">
        <v>0</v>
      </c>
      <c r="F61" s="49"/>
      <c r="G61" s="49"/>
      <c r="H61" s="49"/>
      <c r="I61" s="49"/>
      <c r="J61" s="49">
        <v>0</v>
      </c>
      <c r="K61" s="49"/>
      <c r="L61" s="49"/>
      <c r="M61" s="49">
        <v>0</v>
      </c>
      <c r="N61" s="49"/>
      <c r="O61" s="49"/>
      <c r="P61" s="49"/>
      <c r="Q61" s="49">
        <v>0.79349999999999987</v>
      </c>
      <c r="R61" s="49">
        <v>0</v>
      </c>
      <c r="S61" s="49"/>
      <c r="T61" s="49"/>
      <c r="U61" s="49"/>
      <c r="V61" s="49"/>
      <c r="W61" s="49"/>
      <c r="X61" s="49"/>
      <c r="Y61" s="49">
        <v>0</v>
      </c>
    </row>
    <row r="62" spans="1:25" s="7" customFormat="1" ht="15" customHeight="1">
      <c r="A62" s="12" t="s">
        <v>54</v>
      </c>
      <c r="B62" s="8" t="s">
        <v>601</v>
      </c>
      <c r="C62" s="9" t="s">
        <v>674</v>
      </c>
      <c r="D62" s="9" t="s">
        <v>603</v>
      </c>
      <c r="E62" s="49">
        <v>8.31</v>
      </c>
      <c r="F62" s="49">
        <v>0</v>
      </c>
      <c r="G62" s="49"/>
      <c r="H62" s="49"/>
      <c r="I62" s="49"/>
      <c r="J62" s="49">
        <v>14.63</v>
      </c>
      <c r="K62" s="49"/>
      <c r="L62" s="49">
        <v>5</v>
      </c>
      <c r="M62" s="49">
        <v>8.19</v>
      </c>
      <c r="N62" s="49"/>
      <c r="O62" s="49"/>
      <c r="P62" s="49"/>
      <c r="Q62" s="49">
        <v>10.246499999999999</v>
      </c>
      <c r="R62" s="49">
        <v>7.28</v>
      </c>
      <c r="S62" s="49">
        <v>7.13</v>
      </c>
      <c r="T62" s="49"/>
      <c r="U62" s="49"/>
      <c r="V62" s="49">
        <v>0</v>
      </c>
      <c r="W62" s="49"/>
      <c r="X62" s="49">
        <v>0</v>
      </c>
      <c r="Y62" s="49">
        <v>13.3</v>
      </c>
    </row>
    <row r="63" spans="1:25" s="7" customFormat="1" ht="15" customHeight="1">
      <c r="A63" s="12" t="s">
        <v>55</v>
      </c>
      <c r="B63" s="8" t="s">
        <v>601</v>
      </c>
      <c r="C63" s="9" t="s">
        <v>675</v>
      </c>
      <c r="D63" s="9" t="s">
        <v>603</v>
      </c>
      <c r="E63" s="49">
        <v>7.67</v>
      </c>
      <c r="F63" s="49">
        <v>0</v>
      </c>
      <c r="G63" s="49"/>
      <c r="H63" s="49"/>
      <c r="I63" s="49"/>
      <c r="J63" s="49">
        <v>14.63</v>
      </c>
      <c r="K63" s="49"/>
      <c r="L63" s="49">
        <v>5</v>
      </c>
      <c r="M63" s="49">
        <v>7.56</v>
      </c>
      <c r="N63" s="49"/>
      <c r="O63" s="49"/>
      <c r="P63" s="49"/>
      <c r="Q63" s="49">
        <v>4.3010000000000002</v>
      </c>
      <c r="R63" s="49">
        <v>6.68</v>
      </c>
      <c r="S63" s="49">
        <v>6.58</v>
      </c>
      <c r="T63" s="49"/>
      <c r="U63" s="49"/>
      <c r="V63" s="49">
        <v>0</v>
      </c>
      <c r="W63" s="49"/>
      <c r="X63" s="49">
        <v>0</v>
      </c>
      <c r="Y63" s="49">
        <v>9.74</v>
      </c>
    </row>
    <row r="64" spans="1:25" s="7" customFormat="1" ht="15" customHeight="1">
      <c r="A64" s="12" t="s">
        <v>56</v>
      </c>
      <c r="B64" s="8" t="s">
        <v>601</v>
      </c>
      <c r="C64" s="9" t="s">
        <v>676</v>
      </c>
      <c r="D64" s="9" t="s">
        <v>603</v>
      </c>
      <c r="E64" s="49">
        <v>7.04</v>
      </c>
      <c r="F64" s="49">
        <v>0</v>
      </c>
      <c r="G64" s="49"/>
      <c r="H64" s="49"/>
      <c r="I64" s="49"/>
      <c r="J64" s="49">
        <v>14.63</v>
      </c>
      <c r="K64" s="49"/>
      <c r="L64" s="49">
        <v>4</v>
      </c>
      <c r="M64" s="49">
        <v>6.93</v>
      </c>
      <c r="N64" s="49"/>
      <c r="O64" s="49"/>
      <c r="P64" s="49"/>
      <c r="Q64" s="49">
        <v>3.5534999999999997</v>
      </c>
      <c r="R64" s="49">
        <v>6.07</v>
      </c>
      <c r="S64" s="49">
        <v>6.03</v>
      </c>
      <c r="T64" s="49"/>
      <c r="U64" s="49"/>
      <c r="V64" s="49">
        <v>0</v>
      </c>
      <c r="W64" s="49"/>
      <c r="X64" s="49">
        <v>0</v>
      </c>
      <c r="Y64" s="49">
        <v>7.73</v>
      </c>
    </row>
    <row r="65" spans="1:25" s="7" customFormat="1" ht="15" customHeight="1">
      <c r="A65" s="12"/>
      <c r="B65" s="8"/>
      <c r="C65" s="9"/>
      <c r="D65" s="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s="7" customFormat="1" ht="15" customHeight="1">
      <c r="A66" s="12" t="s">
        <v>57</v>
      </c>
      <c r="B66" s="8" t="s">
        <v>598</v>
      </c>
      <c r="C66" s="9" t="s">
        <v>609</v>
      </c>
      <c r="D66" s="9" t="s">
        <v>605</v>
      </c>
      <c r="E66" s="49">
        <v>4.25</v>
      </c>
      <c r="F66" s="49"/>
      <c r="G66" s="49"/>
      <c r="H66" s="49"/>
      <c r="I66" s="49"/>
      <c r="J66" s="49">
        <v>0</v>
      </c>
      <c r="K66" s="49"/>
      <c r="L66" s="49"/>
      <c r="M66" s="49">
        <v>4.16</v>
      </c>
      <c r="N66" s="49"/>
      <c r="O66" s="49"/>
      <c r="P66" s="49"/>
      <c r="Q66" s="49">
        <v>25.840499999999995</v>
      </c>
      <c r="R66" s="49">
        <v>3.85</v>
      </c>
      <c r="S66" s="49">
        <v>4.04</v>
      </c>
      <c r="T66" s="49"/>
      <c r="U66" s="49"/>
      <c r="V66" s="49"/>
      <c r="W66" s="49"/>
      <c r="X66" s="49"/>
      <c r="Y66" s="49"/>
    </row>
    <row r="67" spans="1:25" s="7" customFormat="1" ht="15" customHeight="1">
      <c r="A67" s="12" t="s">
        <v>58</v>
      </c>
      <c r="B67" s="8" t="s">
        <v>598</v>
      </c>
      <c r="C67" s="9" t="s">
        <v>619</v>
      </c>
      <c r="D67" s="9" t="s">
        <v>605</v>
      </c>
      <c r="E67" s="49">
        <v>4.25</v>
      </c>
      <c r="F67" s="49"/>
      <c r="G67" s="49"/>
      <c r="H67" s="49"/>
      <c r="I67" s="49"/>
      <c r="J67" s="49">
        <v>0</v>
      </c>
      <c r="K67" s="49"/>
      <c r="L67" s="49"/>
      <c r="M67" s="49">
        <v>4.16</v>
      </c>
      <c r="N67" s="49"/>
      <c r="O67" s="49"/>
      <c r="P67" s="49"/>
      <c r="Q67" s="49">
        <v>23.724499999999995</v>
      </c>
      <c r="R67" s="49">
        <v>3.85</v>
      </c>
      <c r="S67" s="49">
        <v>4</v>
      </c>
      <c r="T67" s="49"/>
      <c r="U67" s="49"/>
      <c r="V67" s="49"/>
      <c r="W67" s="49"/>
      <c r="X67" s="49"/>
      <c r="Y67" s="49"/>
    </row>
    <row r="68" spans="1:25" s="7" customFormat="1" ht="15" customHeight="1">
      <c r="A68" s="12" t="s">
        <v>59</v>
      </c>
      <c r="B68" s="8" t="s">
        <v>598</v>
      </c>
      <c r="C68" s="9" t="s">
        <v>620</v>
      </c>
      <c r="D68" s="9" t="s">
        <v>605</v>
      </c>
      <c r="E68" s="49">
        <v>4.25</v>
      </c>
      <c r="F68" s="49"/>
      <c r="G68" s="49"/>
      <c r="H68" s="49"/>
      <c r="I68" s="49"/>
      <c r="J68" s="49">
        <v>0</v>
      </c>
      <c r="K68" s="49"/>
      <c r="L68" s="49"/>
      <c r="M68" s="49">
        <v>4.16</v>
      </c>
      <c r="N68" s="49"/>
      <c r="O68" s="49"/>
      <c r="P68" s="49"/>
      <c r="Q68" s="49">
        <v>22.585999999999999</v>
      </c>
      <c r="R68" s="49">
        <v>3.85</v>
      </c>
      <c r="S68" s="49">
        <v>3.97</v>
      </c>
      <c r="T68" s="49"/>
      <c r="U68" s="49"/>
      <c r="V68" s="49"/>
      <c r="W68" s="49"/>
      <c r="X68" s="49"/>
      <c r="Y68" s="49"/>
    </row>
    <row r="69" spans="1:25" s="7" customFormat="1" ht="15" customHeight="1">
      <c r="A69" s="12" t="s">
        <v>60</v>
      </c>
      <c r="B69" s="8" t="s">
        <v>598</v>
      </c>
      <c r="C69" s="9" t="s">
        <v>656</v>
      </c>
      <c r="D69" s="9" t="s">
        <v>604</v>
      </c>
      <c r="E69" s="49"/>
      <c r="F69" s="49"/>
      <c r="G69" s="49"/>
      <c r="H69" s="49"/>
      <c r="I69" s="49"/>
      <c r="J69" s="49">
        <v>0</v>
      </c>
      <c r="K69" s="49"/>
      <c r="L69" s="49"/>
      <c r="M69" s="49"/>
      <c r="N69" s="49"/>
      <c r="O69" s="49"/>
      <c r="P69" s="49"/>
      <c r="Q69" s="49">
        <v>0.79349999999999987</v>
      </c>
      <c r="R69" s="49"/>
      <c r="S69" s="49"/>
      <c r="T69" s="49"/>
      <c r="U69" s="49"/>
      <c r="V69" s="49"/>
      <c r="W69" s="49"/>
      <c r="X69" s="49"/>
      <c r="Y69" s="49"/>
    </row>
    <row r="70" spans="1:25" s="7" customFormat="1" ht="15" customHeight="1">
      <c r="A70" s="12" t="s">
        <v>61</v>
      </c>
      <c r="B70" s="8" t="s">
        <v>598</v>
      </c>
      <c r="C70" s="9" t="s">
        <v>657</v>
      </c>
      <c r="D70" s="9" t="s">
        <v>604</v>
      </c>
      <c r="E70" s="49"/>
      <c r="F70" s="49"/>
      <c r="G70" s="49"/>
      <c r="H70" s="49"/>
      <c r="I70" s="49"/>
      <c r="J70" s="49">
        <v>0</v>
      </c>
      <c r="K70" s="49"/>
      <c r="L70" s="49"/>
      <c r="M70" s="49"/>
      <c r="N70" s="49"/>
      <c r="O70" s="49"/>
      <c r="P70" s="49"/>
      <c r="Q70" s="49">
        <v>0.79349999999999987</v>
      </c>
      <c r="R70" s="49"/>
      <c r="S70" s="49"/>
      <c r="T70" s="49"/>
      <c r="U70" s="49"/>
      <c r="V70" s="49"/>
      <c r="W70" s="49"/>
      <c r="X70" s="49"/>
      <c r="Y70" s="49"/>
    </row>
    <row r="71" spans="1:25" s="7" customFormat="1" ht="15" customHeight="1">
      <c r="A71" s="12" t="s">
        <v>62</v>
      </c>
      <c r="B71" s="8" t="s">
        <v>598</v>
      </c>
      <c r="C71" s="9" t="s">
        <v>658</v>
      </c>
      <c r="D71" s="9" t="s">
        <v>604</v>
      </c>
      <c r="E71" s="49"/>
      <c r="F71" s="49"/>
      <c r="G71" s="49"/>
      <c r="H71" s="49"/>
      <c r="I71" s="49"/>
      <c r="J71" s="49">
        <v>0</v>
      </c>
      <c r="K71" s="49"/>
      <c r="L71" s="49"/>
      <c r="M71" s="49"/>
      <c r="N71" s="49"/>
      <c r="O71" s="49"/>
      <c r="P71" s="49"/>
      <c r="Q71" s="49">
        <v>0.79349999999999987</v>
      </c>
      <c r="R71" s="49"/>
      <c r="S71" s="49"/>
      <c r="T71" s="49"/>
      <c r="U71" s="49"/>
      <c r="V71" s="49"/>
      <c r="W71" s="49"/>
      <c r="X71" s="49"/>
      <c r="Y71" s="49"/>
    </row>
    <row r="72" spans="1:25" s="7" customFormat="1" ht="15" customHeight="1">
      <c r="A72" s="12"/>
      <c r="B72" s="8"/>
      <c r="C72" s="9"/>
      <c r="D72" s="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s="7" customFormat="1" ht="15" customHeight="1">
      <c r="A73" s="12" t="s">
        <v>63</v>
      </c>
      <c r="B73" s="8" t="s">
        <v>602</v>
      </c>
      <c r="C73" s="9" t="s">
        <v>609</v>
      </c>
      <c r="D73" s="9" t="s">
        <v>605</v>
      </c>
      <c r="E73" s="49"/>
      <c r="F73" s="49"/>
      <c r="G73" s="49"/>
      <c r="H73" s="49"/>
      <c r="I73" s="49"/>
      <c r="J73" s="49"/>
      <c r="K73" s="49"/>
      <c r="L73" s="49">
        <v>0</v>
      </c>
      <c r="M73" s="49"/>
      <c r="N73" s="49"/>
      <c r="O73" s="49"/>
      <c r="P73" s="49"/>
      <c r="Q73" s="49">
        <v>28.335999999999999</v>
      </c>
      <c r="R73" s="49"/>
      <c r="S73" s="49"/>
      <c r="T73" s="49"/>
      <c r="U73" s="49"/>
      <c r="V73" s="49"/>
      <c r="W73" s="49"/>
      <c r="X73" s="49"/>
      <c r="Y73" s="49"/>
    </row>
    <row r="74" spans="1:25" s="7" customFormat="1" ht="15" customHeight="1">
      <c r="A74" s="12" t="s">
        <v>64</v>
      </c>
      <c r="B74" s="8" t="s">
        <v>602</v>
      </c>
      <c r="C74" s="9" t="s">
        <v>619</v>
      </c>
      <c r="D74" s="9" t="s">
        <v>605</v>
      </c>
      <c r="E74" s="49"/>
      <c r="F74" s="49"/>
      <c r="G74" s="49"/>
      <c r="H74" s="49"/>
      <c r="I74" s="49"/>
      <c r="J74" s="49"/>
      <c r="K74" s="49"/>
      <c r="L74" s="49">
        <v>0</v>
      </c>
      <c r="M74" s="49"/>
      <c r="N74" s="49"/>
      <c r="O74" s="49"/>
      <c r="P74" s="49"/>
      <c r="Q74" s="49">
        <v>26.242999999999999</v>
      </c>
      <c r="R74" s="49"/>
      <c r="S74" s="49"/>
      <c r="T74" s="49"/>
      <c r="U74" s="49"/>
      <c r="V74" s="49"/>
      <c r="W74" s="49"/>
      <c r="X74" s="49"/>
      <c r="Y74" s="49"/>
    </row>
    <row r="75" spans="1:25" s="7" customFormat="1" ht="15" customHeight="1">
      <c r="A75" s="12" t="s">
        <v>65</v>
      </c>
      <c r="B75" s="8" t="s">
        <v>602</v>
      </c>
      <c r="C75" s="9" t="s">
        <v>620</v>
      </c>
      <c r="D75" s="9" t="s">
        <v>605</v>
      </c>
      <c r="E75" s="49"/>
      <c r="F75" s="49"/>
      <c r="G75" s="49"/>
      <c r="H75" s="49"/>
      <c r="I75" s="49"/>
      <c r="J75" s="49"/>
      <c r="K75" s="49"/>
      <c r="L75" s="49">
        <v>0</v>
      </c>
      <c r="M75" s="49"/>
      <c r="N75" s="49"/>
      <c r="O75" s="49"/>
      <c r="P75" s="49"/>
      <c r="Q75" s="49">
        <v>24.851499999999998</v>
      </c>
      <c r="R75" s="49"/>
      <c r="S75" s="49"/>
      <c r="T75" s="49"/>
      <c r="U75" s="49"/>
      <c r="V75" s="49"/>
      <c r="W75" s="49"/>
      <c r="X75" s="49"/>
      <c r="Y75" s="49"/>
    </row>
    <row r="76" spans="1:25" s="7" customFormat="1" ht="15" customHeight="1">
      <c r="A76" s="12" t="s">
        <v>66</v>
      </c>
      <c r="B76" s="8" t="s">
        <v>602</v>
      </c>
      <c r="C76" s="9" t="s">
        <v>656</v>
      </c>
      <c r="D76" s="9" t="s">
        <v>604</v>
      </c>
      <c r="E76" s="49"/>
      <c r="F76" s="49"/>
      <c r="G76" s="49"/>
      <c r="H76" s="49"/>
      <c r="I76" s="49"/>
      <c r="J76" s="49"/>
      <c r="K76" s="49"/>
      <c r="L76" s="49">
        <v>2.4700000000000002</v>
      </c>
      <c r="M76" s="49"/>
      <c r="N76" s="49"/>
      <c r="O76" s="49"/>
      <c r="P76" s="49"/>
      <c r="Q76" s="49">
        <v>0.97409888945079404</v>
      </c>
      <c r="R76" s="49"/>
      <c r="S76" s="49"/>
      <c r="T76" s="49"/>
      <c r="U76" s="49"/>
      <c r="V76" s="49"/>
      <c r="W76" s="49"/>
      <c r="X76" s="49"/>
      <c r="Y76" s="49"/>
    </row>
    <row r="77" spans="1:25" s="7" customFormat="1" ht="15" customHeight="1">
      <c r="A77" s="12" t="s">
        <v>67</v>
      </c>
      <c r="B77" s="8" t="s">
        <v>602</v>
      </c>
      <c r="C77" s="9" t="s">
        <v>657</v>
      </c>
      <c r="D77" s="9" t="s">
        <v>604</v>
      </c>
      <c r="E77" s="49"/>
      <c r="F77" s="49"/>
      <c r="G77" s="49"/>
      <c r="H77" s="49"/>
      <c r="I77" s="49"/>
      <c r="J77" s="49"/>
      <c r="K77" s="49"/>
      <c r="L77" s="49">
        <v>2.4700000000000002</v>
      </c>
      <c r="M77" s="49"/>
      <c r="N77" s="49"/>
      <c r="O77" s="49"/>
      <c r="P77" s="49"/>
      <c r="Q77" s="49">
        <v>0.97409888945079404</v>
      </c>
      <c r="R77" s="49"/>
      <c r="S77" s="49"/>
      <c r="T77" s="49"/>
      <c r="U77" s="49"/>
      <c r="V77" s="49"/>
      <c r="W77" s="49"/>
      <c r="X77" s="49"/>
      <c r="Y77" s="49"/>
    </row>
    <row r="78" spans="1:25" s="7" customFormat="1" ht="15" customHeight="1">
      <c r="A78" s="12" t="s">
        <v>68</v>
      </c>
      <c r="B78" s="8" t="s">
        <v>602</v>
      </c>
      <c r="C78" s="9" t="s">
        <v>658</v>
      </c>
      <c r="D78" s="9" t="s">
        <v>604</v>
      </c>
      <c r="E78" s="49"/>
      <c r="F78" s="49"/>
      <c r="G78" s="49"/>
      <c r="H78" s="49"/>
      <c r="I78" s="49"/>
      <c r="J78" s="49"/>
      <c r="K78" s="49"/>
      <c r="L78" s="49">
        <v>2.4700000000000002</v>
      </c>
      <c r="M78" s="49"/>
      <c r="N78" s="49"/>
      <c r="O78" s="49"/>
      <c r="P78" s="49"/>
      <c r="Q78" s="49">
        <v>0.97409888945079404</v>
      </c>
      <c r="R78" s="49"/>
      <c r="S78" s="49"/>
      <c r="T78" s="49"/>
      <c r="U78" s="49"/>
      <c r="V78" s="49"/>
      <c r="W78" s="49"/>
      <c r="X78" s="49"/>
      <c r="Y78" s="49"/>
    </row>
    <row r="79" spans="1:25" s="7" customFormat="1" ht="15" customHeight="1">
      <c r="A79" s="12"/>
      <c r="B79" s="8"/>
      <c r="C79" s="9"/>
      <c r="D79" s="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spans="1:25" s="7" customFormat="1" ht="15" customHeight="1">
      <c r="A80" s="12" t="s">
        <v>69</v>
      </c>
      <c r="B80" s="8" t="s">
        <v>600</v>
      </c>
      <c r="C80" s="9" t="s">
        <v>609</v>
      </c>
      <c r="D80" s="9" t="s">
        <v>605</v>
      </c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s="7" customFormat="1" ht="15" customHeight="1">
      <c r="A81" s="12" t="s">
        <v>70</v>
      </c>
      <c r="B81" s="8" t="s">
        <v>600</v>
      </c>
      <c r="C81" s="9" t="s">
        <v>619</v>
      </c>
      <c r="D81" s="9" t="s">
        <v>605</v>
      </c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s="7" customFormat="1" ht="15" customHeight="1">
      <c r="A82" s="12" t="s">
        <v>71</v>
      </c>
      <c r="B82" s="8" t="s">
        <v>600</v>
      </c>
      <c r="C82" s="9" t="s">
        <v>620</v>
      </c>
      <c r="D82" s="9" t="s">
        <v>605</v>
      </c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s="7" customFormat="1" ht="15" customHeight="1">
      <c r="A83" s="12" t="s">
        <v>72</v>
      </c>
      <c r="B83" s="8" t="s">
        <v>600</v>
      </c>
      <c r="C83" s="9" t="s">
        <v>656</v>
      </c>
      <c r="D83" s="9" t="s">
        <v>604</v>
      </c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s="7" customFormat="1" ht="15" customHeight="1">
      <c r="A84" s="12" t="s">
        <v>73</v>
      </c>
      <c r="B84" s="8" t="s">
        <v>600</v>
      </c>
      <c r="C84" s="9" t="s">
        <v>657</v>
      </c>
      <c r="D84" s="9" t="s">
        <v>604</v>
      </c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</row>
    <row r="85" spans="1:25" s="7" customFormat="1" ht="15" customHeight="1">
      <c r="A85" s="12" t="s">
        <v>74</v>
      </c>
      <c r="B85" s="8" t="s">
        <v>600</v>
      </c>
      <c r="C85" s="9" t="s">
        <v>658</v>
      </c>
      <c r="D85" s="9" t="s">
        <v>604</v>
      </c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s="7" customFormat="1" ht="15" customHeight="1">
      <c r="A86" s="12"/>
      <c r="B86" s="8"/>
      <c r="C86" s="9"/>
      <c r="D86" s="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spans="1:25" s="7" customFormat="1" ht="15" customHeight="1">
      <c r="A87" s="12" t="s">
        <v>75</v>
      </c>
      <c r="B87" s="8" t="s">
        <v>601</v>
      </c>
      <c r="C87" s="9" t="s">
        <v>609</v>
      </c>
      <c r="D87" s="9" t="s">
        <v>605</v>
      </c>
      <c r="E87" s="49">
        <v>4.25</v>
      </c>
      <c r="F87" s="49">
        <v>0</v>
      </c>
      <c r="G87" s="49"/>
      <c r="H87" s="49"/>
      <c r="I87" s="49"/>
      <c r="J87" s="49">
        <v>0</v>
      </c>
      <c r="K87" s="49"/>
      <c r="L87" s="49">
        <v>0</v>
      </c>
      <c r="M87" s="49">
        <v>4.16</v>
      </c>
      <c r="N87" s="49"/>
      <c r="O87" s="49"/>
      <c r="P87" s="49"/>
      <c r="Q87" s="49">
        <v>25.391999999999996</v>
      </c>
      <c r="R87" s="49">
        <v>3.85</v>
      </c>
      <c r="S87" s="49">
        <v>4.04</v>
      </c>
      <c r="T87" s="49"/>
      <c r="U87" s="49"/>
      <c r="V87" s="49">
        <v>0</v>
      </c>
      <c r="W87" s="49"/>
      <c r="X87" s="49">
        <v>0</v>
      </c>
      <c r="Y87" s="49">
        <v>0</v>
      </c>
    </row>
    <row r="88" spans="1:25" s="7" customFormat="1" ht="15" customHeight="1">
      <c r="A88" s="12" t="s">
        <v>76</v>
      </c>
      <c r="B88" s="8" t="s">
        <v>601</v>
      </c>
      <c r="C88" s="9" t="s">
        <v>619</v>
      </c>
      <c r="D88" s="9" t="s">
        <v>605</v>
      </c>
      <c r="E88" s="49">
        <v>4.25</v>
      </c>
      <c r="F88" s="49">
        <v>0</v>
      </c>
      <c r="G88" s="49"/>
      <c r="H88" s="49"/>
      <c r="I88" s="49"/>
      <c r="J88" s="49">
        <v>0</v>
      </c>
      <c r="K88" s="49"/>
      <c r="L88" s="49">
        <v>0</v>
      </c>
      <c r="M88" s="49">
        <v>4.16</v>
      </c>
      <c r="N88" s="49"/>
      <c r="O88" s="49"/>
      <c r="P88" s="49"/>
      <c r="Q88" s="49">
        <v>23.298999999999999</v>
      </c>
      <c r="R88" s="49">
        <v>3.85</v>
      </c>
      <c r="S88" s="49">
        <v>4</v>
      </c>
      <c r="T88" s="49"/>
      <c r="U88" s="49"/>
      <c r="V88" s="49">
        <v>0</v>
      </c>
      <c r="W88" s="49"/>
      <c r="X88" s="49">
        <v>0</v>
      </c>
      <c r="Y88" s="49">
        <v>0</v>
      </c>
    </row>
    <row r="89" spans="1:25" s="7" customFormat="1" ht="15" customHeight="1">
      <c r="A89" s="12" t="s">
        <v>77</v>
      </c>
      <c r="B89" s="8" t="s">
        <v>601</v>
      </c>
      <c r="C89" s="9" t="s">
        <v>620</v>
      </c>
      <c r="D89" s="9" t="s">
        <v>605</v>
      </c>
      <c r="E89" s="49">
        <v>4.25</v>
      </c>
      <c r="F89" s="49">
        <v>0</v>
      </c>
      <c r="G89" s="49"/>
      <c r="H89" s="49"/>
      <c r="I89" s="49"/>
      <c r="J89" s="49">
        <v>0</v>
      </c>
      <c r="K89" s="49"/>
      <c r="L89" s="49">
        <v>0</v>
      </c>
      <c r="M89" s="49">
        <v>4.16</v>
      </c>
      <c r="N89" s="49"/>
      <c r="O89" s="49"/>
      <c r="P89" s="49"/>
      <c r="Q89" s="49">
        <v>22.183499999999999</v>
      </c>
      <c r="R89" s="49">
        <v>3.85</v>
      </c>
      <c r="S89" s="49">
        <v>3.97</v>
      </c>
      <c r="T89" s="49"/>
      <c r="U89" s="49"/>
      <c r="V89" s="49">
        <v>0</v>
      </c>
      <c r="W89" s="49"/>
      <c r="X89" s="49">
        <v>0</v>
      </c>
      <c r="Y89" s="49">
        <v>0</v>
      </c>
    </row>
    <row r="90" spans="1:25" s="7" customFormat="1" ht="15" customHeight="1">
      <c r="A90" s="12" t="s">
        <v>78</v>
      </c>
      <c r="B90" s="8" t="s">
        <v>601</v>
      </c>
      <c r="C90" s="9" t="s">
        <v>656</v>
      </c>
      <c r="D90" s="9" t="s">
        <v>604</v>
      </c>
      <c r="E90" s="49"/>
      <c r="F90" s="49">
        <v>1.87</v>
      </c>
      <c r="G90" s="49"/>
      <c r="H90" s="49"/>
      <c r="I90" s="49"/>
      <c r="J90" s="49">
        <v>0</v>
      </c>
      <c r="K90" s="49"/>
      <c r="L90" s="49">
        <v>1.77</v>
      </c>
      <c r="M90" s="49"/>
      <c r="N90" s="49"/>
      <c r="O90" s="49"/>
      <c r="P90" s="49"/>
      <c r="Q90" s="49">
        <v>0.79349999999999987</v>
      </c>
      <c r="R90" s="49"/>
      <c r="S90" s="49"/>
      <c r="T90" s="49"/>
      <c r="U90" s="49"/>
      <c r="V90" s="49">
        <v>1.91</v>
      </c>
      <c r="W90" s="49"/>
      <c r="X90" s="49">
        <v>2.0299999999999998</v>
      </c>
      <c r="Y90" s="49">
        <v>0</v>
      </c>
    </row>
    <row r="91" spans="1:25" s="7" customFormat="1" ht="15" customHeight="1">
      <c r="A91" s="12" t="s">
        <v>79</v>
      </c>
      <c r="B91" s="8" t="s">
        <v>601</v>
      </c>
      <c r="C91" s="9" t="s">
        <v>657</v>
      </c>
      <c r="D91" s="9" t="s">
        <v>604</v>
      </c>
      <c r="E91" s="49"/>
      <c r="F91" s="49">
        <v>1.87</v>
      </c>
      <c r="G91" s="49"/>
      <c r="H91" s="49"/>
      <c r="I91" s="49"/>
      <c r="J91" s="49">
        <v>0</v>
      </c>
      <c r="K91" s="49"/>
      <c r="L91" s="49">
        <v>1.77</v>
      </c>
      <c r="M91" s="49"/>
      <c r="N91" s="49"/>
      <c r="O91" s="49"/>
      <c r="P91" s="49"/>
      <c r="Q91" s="49">
        <v>0.79349999999999987</v>
      </c>
      <c r="R91" s="49"/>
      <c r="S91" s="49"/>
      <c r="T91" s="49"/>
      <c r="U91" s="49"/>
      <c r="V91" s="49">
        <v>1.91</v>
      </c>
      <c r="W91" s="49"/>
      <c r="X91" s="49">
        <v>2.0299999999999998</v>
      </c>
      <c r="Y91" s="49">
        <v>0</v>
      </c>
    </row>
    <row r="92" spans="1:25" s="7" customFormat="1" ht="15" customHeight="1">
      <c r="A92" s="12" t="s">
        <v>80</v>
      </c>
      <c r="B92" s="8" t="s">
        <v>601</v>
      </c>
      <c r="C92" s="9" t="s">
        <v>658</v>
      </c>
      <c r="D92" s="9" t="s">
        <v>604</v>
      </c>
      <c r="E92" s="49"/>
      <c r="F92" s="49">
        <v>1.87</v>
      </c>
      <c r="G92" s="49"/>
      <c r="H92" s="49"/>
      <c r="I92" s="49"/>
      <c r="J92" s="49">
        <v>0</v>
      </c>
      <c r="K92" s="49"/>
      <c r="L92" s="49">
        <v>1.77</v>
      </c>
      <c r="M92" s="49"/>
      <c r="N92" s="49"/>
      <c r="O92" s="49"/>
      <c r="P92" s="49"/>
      <c r="Q92" s="49">
        <v>0.79349999999999987</v>
      </c>
      <c r="R92" s="49"/>
      <c r="S92" s="49"/>
      <c r="T92" s="49"/>
      <c r="U92" s="49"/>
      <c r="V92" s="49">
        <v>1.91</v>
      </c>
      <c r="W92" s="49"/>
      <c r="X92" s="49">
        <v>2.0299999999999998</v>
      </c>
      <c r="Y92" s="49">
        <v>0</v>
      </c>
    </row>
    <row r="93" spans="1:25" s="7" customFormat="1" ht="15" customHeight="1">
      <c r="A93" s="12"/>
      <c r="B93" s="8"/>
      <c r="C93" s="9"/>
      <c r="D93" s="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spans="1:25" s="7" customFormat="1" ht="15" customHeight="1">
      <c r="A94" s="12" t="s">
        <v>81</v>
      </c>
      <c r="B94" s="8" t="s">
        <v>598</v>
      </c>
      <c r="C94" s="9" t="s">
        <v>608</v>
      </c>
      <c r="D94" s="9" t="s">
        <v>605</v>
      </c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>
        <v>2.5185</v>
      </c>
      <c r="R94" s="49"/>
      <c r="S94" s="49"/>
      <c r="T94" s="49"/>
      <c r="U94" s="49"/>
      <c r="V94" s="49"/>
      <c r="W94" s="49"/>
      <c r="X94" s="49"/>
      <c r="Y94" s="49"/>
    </row>
    <row r="95" spans="1:25" s="7" customFormat="1" ht="15" customHeight="1">
      <c r="A95" s="12" t="s">
        <v>82</v>
      </c>
      <c r="B95" s="8" t="s">
        <v>598</v>
      </c>
      <c r="C95" s="9" t="s">
        <v>621</v>
      </c>
      <c r="D95" s="9" t="s">
        <v>605</v>
      </c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>
        <v>1.196</v>
      </c>
      <c r="R95" s="49"/>
      <c r="S95" s="49"/>
      <c r="T95" s="49"/>
      <c r="U95" s="49"/>
      <c r="V95" s="49"/>
      <c r="W95" s="49"/>
      <c r="X95" s="49"/>
      <c r="Y95" s="49"/>
    </row>
    <row r="96" spans="1:25" s="7" customFormat="1" ht="15" customHeight="1">
      <c r="A96" s="12" t="s">
        <v>83</v>
      </c>
      <c r="B96" s="8" t="s">
        <v>598</v>
      </c>
      <c r="C96" s="9" t="s">
        <v>622</v>
      </c>
      <c r="D96" s="9" t="s">
        <v>605</v>
      </c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>
        <v>1.1729999999999998</v>
      </c>
      <c r="R96" s="49"/>
      <c r="S96" s="49"/>
      <c r="T96" s="49"/>
      <c r="U96" s="49"/>
      <c r="V96" s="49"/>
      <c r="W96" s="49"/>
      <c r="X96" s="49"/>
      <c r="Y96" s="49"/>
    </row>
    <row r="97" spans="1:25" s="7" customFormat="1" ht="15" customHeight="1">
      <c r="A97" s="12" t="s">
        <v>84</v>
      </c>
      <c r="B97" s="8" t="s">
        <v>598</v>
      </c>
      <c r="C97" s="9" t="s">
        <v>659</v>
      </c>
      <c r="D97" s="9" t="s">
        <v>604</v>
      </c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>
        <v>0.79349999999999987</v>
      </c>
      <c r="R97" s="49"/>
      <c r="S97" s="49"/>
      <c r="T97" s="49"/>
      <c r="U97" s="49"/>
      <c r="V97" s="49"/>
      <c r="W97" s="49"/>
      <c r="X97" s="49"/>
      <c r="Y97" s="49"/>
    </row>
    <row r="98" spans="1:25" s="7" customFormat="1" ht="15" customHeight="1">
      <c r="A98" s="12" t="s">
        <v>85</v>
      </c>
      <c r="B98" s="8" t="s">
        <v>598</v>
      </c>
      <c r="C98" s="9" t="s">
        <v>660</v>
      </c>
      <c r="D98" s="9" t="s">
        <v>604</v>
      </c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>
        <v>0.79349999999999987</v>
      </c>
      <c r="R98" s="49"/>
      <c r="S98" s="49"/>
      <c r="T98" s="49"/>
      <c r="U98" s="49"/>
      <c r="V98" s="49"/>
      <c r="W98" s="49"/>
      <c r="X98" s="49"/>
      <c r="Y98" s="49"/>
    </row>
    <row r="99" spans="1:25" s="7" customFormat="1" ht="15" customHeight="1">
      <c r="A99" s="12" t="s">
        <v>86</v>
      </c>
      <c r="B99" s="8" t="s">
        <v>598</v>
      </c>
      <c r="C99" s="9" t="s">
        <v>661</v>
      </c>
      <c r="D99" s="9" t="s">
        <v>604</v>
      </c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>
        <v>0.79349999999999987</v>
      </c>
      <c r="R99" s="49"/>
      <c r="S99" s="49"/>
      <c r="T99" s="49"/>
      <c r="U99" s="49"/>
      <c r="V99" s="49"/>
      <c r="W99" s="49"/>
      <c r="X99" s="49"/>
      <c r="Y99" s="49"/>
    </row>
    <row r="100" spans="1:25" s="7" customFormat="1" ht="15" customHeight="1">
      <c r="A100" s="12"/>
      <c r="B100" s="6"/>
      <c r="C100" s="9"/>
      <c r="D100" s="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spans="1:25" s="7" customFormat="1" ht="15" customHeight="1">
      <c r="A101" s="12" t="s">
        <v>87</v>
      </c>
      <c r="B101" s="8" t="s">
        <v>602</v>
      </c>
      <c r="C101" s="9" t="s">
        <v>608</v>
      </c>
      <c r="D101" s="9" t="s">
        <v>605</v>
      </c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>
        <v>2.7484999999999999</v>
      </c>
      <c r="R101" s="49"/>
      <c r="S101" s="49"/>
      <c r="T101" s="49"/>
      <c r="U101" s="49"/>
      <c r="V101" s="49"/>
      <c r="W101" s="49"/>
      <c r="X101" s="49"/>
      <c r="Y101" s="49"/>
    </row>
    <row r="102" spans="1:25" s="7" customFormat="1" ht="15" customHeight="1">
      <c r="A102" s="12" t="s">
        <v>88</v>
      </c>
      <c r="B102" s="8" t="s">
        <v>602</v>
      </c>
      <c r="C102" s="9" t="s">
        <v>621</v>
      </c>
      <c r="D102" s="9" t="s">
        <v>605</v>
      </c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>
        <v>1.2765</v>
      </c>
      <c r="R102" s="49"/>
      <c r="S102" s="49"/>
      <c r="T102" s="49"/>
      <c r="U102" s="49"/>
      <c r="V102" s="49"/>
      <c r="W102" s="49"/>
      <c r="X102" s="49"/>
      <c r="Y102" s="49"/>
    </row>
    <row r="103" spans="1:25" s="7" customFormat="1" ht="15" customHeight="1">
      <c r="A103" s="12" t="s">
        <v>89</v>
      </c>
      <c r="B103" s="8" t="s">
        <v>602</v>
      </c>
      <c r="C103" s="9" t="s">
        <v>622</v>
      </c>
      <c r="D103" s="9" t="s">
        <v>605</v>
      </c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>
        <v>1.2535000000000001</v>
      </c>
      <c r="R103" s="49"/>
      <c r="S103" s="49"/>
      <c r="T103" s="49"/>
      <c r="U103" s="49"/>
      <c r="V103" s="49"/>
      <c r="W103" s="49"/>
      <c r="X103" s="49"/>
      <c r="Y103" s="49"/>
    </row>
    <row r="104" spans="1:25" s="7" customFormat="1" ht="15" customHeight="1">
      <c r="A104" s="12" t="s">
        <v>90</v>
      </c>
      <c r="B104" s="8" t="s">
        <v>602</v>
      </c>
      <c r="C104" s="9" t="s">
        <v>659</v>
      </c>
      <c r="D104" s="9" t="s">
        <v>604</v>
      </c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>
        <v>0.97409888945079404</v>
      </c>
      <c r="R104" s="49"/>
      <c r="S104" s="49"/>
      <c r="T104" s="49"/>
      <c r="U104" s="49"/>
      <c r="V104" s="49"/>
      <c r="W104" s="49"/>
      <c r="X104" s="49"/>
      <c r="Y104" s="49"/>
    </row>
    <row r="105" spans="1:25" s="7" customFormat="1" ht="15" customHeight="1">
      <c r="A105" s="12" t="s">
        <v>91</v>
      </c>
      <c r="B105" s="8" t="s">
        <v>602</v>
      </c>
      <c r="C105" s="9" t="s">
        <v>660</v>
      </c>
      <c r="D105" s="9" t="s">
        <v>604</v>
      </c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>
        <v>0.97409888945079404</v>
      </c>
      <c r="R105" s="49"/>
      <c r="S105" s="49"/>
      <c r="T105" s="49"/>
      <c r="U105" s="49"/>
      <c r="V105" s="49"/>
      <c r="W105" s="49"/>
      <c r="X105" s="49"/>
      <c r="Y105" s="49"/>
    </row>
    <row r="106" spans="1:25" s="7" customFormat="1" ht="15" customHeight="1">
      <c r="A106" s="12" t="s">
        <v>92</v>
      </c>
      <c r="B106" s="8" t="s">
        <v>602</v>
      </c>
      <c r="C106" s="9" t="s">
        <v>661</v>
      </c>
      <c r="D106" s="9" t="s">
        <v>604</v>
      </c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>
        <v>0.97409888945079404</v>
      </c>
      <c r="R106" s="49"/>
      <c r="S106" s="49"/>
      <c r="T106" s="49"/>
      <c r="U106" s="49"/>
      <c r="V106" s="49"/>
      <c r="W106" s="49"/>
      <c r="X106" s="49"/>
      <c r="Y106" s="49"/>
    </row>
    <row r="107" spans="1:25" s="7" customFormat="1" ht="15" customHeight="1">
      <c r="A107" s="12"/>
      <c r="B107" s="8"/>
      <c r="C107" s="9"/>
      <c r="D107" s="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spans="1:25" ht="14.25" customHeight="1">
      <c r="A108" s="12" t="s">
        <v>93</v>
      </c>
      <c r="B108" s="8" t="s">
        <v>600</v>
      </c>
      <c r="C108" s="9" t="s">
        <v>608</v>
      </c>
      <c r="D108" s="9" t="s">
        <v>605</v>
      </c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</row>
    <row r="109" spans="1:25" ht="14.25" customHeight="1">
      <c r="A109" s="12" t="s">
        <v>94</v>
      </c>
      <c r="B109" s="8" t="s">
        <v>600</v>
      </c>
      <c r="C109" s="9" t="s">
        <v>621</v>
      </c>
      <c r="D109" s="9" t="s">
        <v>605</v>
      </c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</row>
    <row r="110" spans="1:25" ht="14.25" customHeight="1">
      <c r="A110" s="12" t="s">
        <v>95</v>
      </c>
      <c r="B110" s="8" t="s">
        <v>600</v>
      </c>
      <c r="C110" s="9" t="s">
        <v>622</v>
      </c>
      <c r="D110" s="9" t="s">
        <v>605</v>
      </c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</row>
    <row r="111" spans="1:25" ht="14.25" customHeight="1">
      <c r="A111" s="12" t="s">
        <v>96</v>
      </c>
      <c r="B111" s="8" t="s">
        <v>600</v>
      </c>
      <c r="C111" s="9" t="s">
        <v>662</v>
      </c>
      <c r="D111" s="9" t="s">
        <v>604</v>
      </c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</row>
    <row r="112" spans="1:25" ht="14.25" customHeight="1">
      <c r="A112" s="12" t="s">
        <v>97</v>
      </c>
      <c r="B112" s="8" t="s">
        <v>600</v>
      </c>
      <c r="C112" s="9" t="s">
        <v>663</v>
      </c>
      <c r="D112" s="9" t="s">
        <v>604</v>
      </c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</row>
    <row r="113" spans="1:25" ht="14.25" customHeight="1">
      <c r="A113" s="12" t="s">
        <v>98</v>
      </c>
      <c r="B113" s="8" t="s">
        <v>600</v>
      </c>
      <c r="C113" s="9" t="s">
        <v>664</v>
      </c>
      <c r="D113" s="9" t="s">
        <v>604</v>
      </c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</row>
    <row r="114" spans="1:25" ht="14.25" customHeight="1">
      <c r="A114" s="12"/>
      <c r="B114" s="8"/>
      <c r="C114" s="9"/>
      <c r="D114" s="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spans="1:25" ht="14.25" customHeight="1">
      <c r="A115" s="12" t="s">
        <v>99</v>
      </c>
      <c r="B115" s="8" t="s">
        <v>601</v>
      </c>
      <c r="C115" s="9" t="s">
        <v>608</v>
      </c>
      <c r="D115" s="9" t="s">
        <v>605</v>
      </c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>
        <v>2.484</v>
      </c>
      <c r="R115" s="49"/>
      <c r="S115" s="49"/>
      <c r="T115" s="49"/>
      <c r="U115" s="49"/>
      <c r="V115" s="49"/>
      <c r="W115" s="49"/>
      <c r="X115" s="49"/>
      <c r="Y115" s="49"/>
    </row>
    <row r="116" spans="1:25" ht="14.25" customHeight="1">
      <c r="A116" s="12" t="s">
        <v>100</v>
      </c>
      <c r="B116" s="8" t="s">
        <v>601</v>
      </c>
      <c r="C116" s="9" t="s">
        <v>621</v>
      </c>
      <c r="D116" s="9" t="s">
        <v>605</v>
      </c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>
        <v>1.1844999999999999</v>
      </c>
      <c r="R116" s="49"/>
      <c r="S116" s="49"/>
      <c r="T116" s="49"/>
      <c r="U116" s="49"/>
      <c r="V116" s="49"/>
      <c r="W116" s="49"/>
      <c r="X116" s="49"/>
      <c r="Y116" s="49"/>
    </row>
    <row r="117" spans="1:25" ht="14.25" customHeight="1">
      <c r="A117" s="12" t="s">
        <v>101</v>
      </c>
      <c r="B117" s="8" t="s">
        <v>601</v>
      </c>
      <c r="C117" s="9" t="s">
        <v>622</v>
      </c>
      <c r="D117" s="9" t="s">
        <v>605</v>
      </c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>
        <v>1.1615</v>
      </c>
      <c r="R117" s="49"/>
      <c r="S117" s="49"/>
      <c r="T117" s="49"/>
      <c r="U117" s="49"/>
      <c r="V117" s="49"/>
      <c r="W117" s="49"/>
      <c r="X117" s="49"/>
      <c r="Y117" s="49"/>
    </row>
    <row r="118" spans="1:25" ht="14.25" customHeight="1">
      <c r="A118" s="12" t="s">
        <v>102</v>
      </c>
      <c r="B118" s="8" t="s">
        <v>601</v>
      </c>
      <c r="C118" s="9" t="s">
        <v>662</v>
      </c>
      <c r="D118" s="9" t="s">
        <v>604</v>
      </c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>
        <v>0.79349999999999987</v>
      </c>
      <c r="R118" s="49"/>
      <c r="S118" s="49"/>
      <c r="T118" s="49"/>
      <c r="U118" s="49"/>
      <c r="V118" s="49"/>
      <c r="W118" s="49"/>
      <c r="X118" s="49"/>
      <c r="Y118" s="49"/>
    </row>
    <row r="119" spans="1:25" ht="14.25" customHeight="1">
      <c r="A119" s="12" t="s">
        <v>103</v>
      </c>
      <c r="B119" s="8" t="s">
        <v>601</v>
      </c>
      <c r="C119" s="9" t="s">
        <v>663</v>
      </c>
      <c r="D119" s="9" t="s">
        <v>604</v>
      </c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>
        <v>0.79349999999999987</v>
      </c>
      <c r="R119" s="49"/>
      <c r="S119" s="49"/>
      <c r="T119" s="49"/>
      <c r="U119" s="49"/>
      <c r="V119" s="49"/>
      <c r="W119" s="49"/>
      <c r="X119" s="49"/>
      <c r="Y119" s="49"/>
    </row>
    <row r="120" spans="1:25" ht="14.25" customHeight="1">
      <c r="A120" s="12" t="s">
        <v>104</v>
      </c>
      <c r="B120" s="8" t="s">
        <v>601</v>
      </c>
      <c r="C120" s="9" t="s">
        <v>664</v>
      </c>
      <c r="D120" s="9" t="s">
        <v>604</v>
      </c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>
        <v>0.79349999999999987</v>
      </c>
      <c r="R120" s="49"/>
      <c r="S120" s="49"/>
      <c r="T120" s="49"/>
      <c r="U120" s="49"/>
      <c r="V120" s="49"/>
      <c r="W120" s="49"/>
      <c r="X120" s="49"/>
      <c r="Y120" s="49"/>
    </row>
    <row r="121" spans="1:25" ht="14.25" customHeight="1">
      <c r="A121" s="12"/>
      <c r="B121" s="8"/>
      <c r="C121" s="9"/>
      <c r="D121" s="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spans="1:25" ht="14.25" customHeight="1">
      <c r="A122" s="12" t="s">
        <v>105</v>
      </c>
      <c r="B122" s="8" t="s">
        <v>598</v>
      </c>
      <c r="C122" s="9" t="s">
        <v>665</v>
      </c>
      <c r="D122" s="9" t="s">
        <v>606</v>
      </c>
      <c r="E122" s="49">
        <v>285.39999999999998</v>
      </c>
      <c r="F122" s="49">
        <v>170.84</v>
      </c>
      <c r="G122" s="49"/>
      <c r="H122" s="49"/>
      <c r="I122" s="49"/>
      <c r="J122" s="49">
        <v>335.44</v>
      </c>
      <c r="K122" s="49"/>
      <c r="L122" s="49"/>
      <c r="M122" s="49">
        <v>590.22</v>
      </c>
      <c r="N122" s="49"/>
      <c r="O122" s="49"/>
      <c r="P122" s="49"/>
      <c r="Q122" s="49">
        <v>151.04</v>
      </c>
      <c r="R122" s="49">
        <v>158.44</v>
      </c>
      <c r="S122" s="49">
        <v>170.53</v>
      </c>
      <c r="T122" s="49"/>
      <c r="U122" s="49"/>
      <c r="V122" s="49">
        <v>149.94</v>
      </c>
      <c r="W122" s="49"/>
      <c r="X122" s="49"/>
      <c r="Y122" s="49"/>
    </row>
    <row r="123" spans="1:25" ht="14.25" customHeight="1">
      <c r="A123" s="12" t="s">
        <v>106</v>
      </c>
      <c r="B123" s="8" t="s">
        <v>598</v>
      </c>
      <c r="C123" s="9" t="s">
        <v>666</v>
      </c>
      <c r="D123" s="9" t="s">
        <v>606</v>
      </c>
      <c r="E123" s="49">
        <v>195.78</v>
      </c>
      <c r="F123" s="49">
        <v>155.24</v>
      </c>
      <c r="G123" s="49"/>
      <c r="H123" s="49"/>
      <c r="I123" s="49"/>
      <c r="J123" s="49">
        <v>282.93</v>
      </c>
      <c r="K123" s="49"/>
      <c r="L123" s="49"/>
      <c r="M123" s="49">
        <v>349.29</v>
      </c>
      <c r="N123" s="49"/>
      <c r="O123" s="49"/>
      <c r="P123" s="49"/>
      <c r="Q123" s="49">
        <v>127.9</v>
      </c>
      <c r="R123" s="49">
        <v>156.26</v>
      </c>
      <c r="S123" s="49">
        <v>167.75</v>
      </c>
      <c r="T123" s="49"/>
      <c r="U123" s="49"/>
      <c r="V123" s="49">
        <v>149.94</v>
      </c>
      <c r="W123" s="49"/>
      <c r="X123" s="49"/>
      <c r="Y123" s="49"/>
    </row>
    <row r="124" spans="1:25" ht="14.25" customHeight="1">
      <c r="A124" s="12" t="s">
        <v>107</v>
      </c>
      <c r="B124" s="8" t="s">
        <v>598</v>
      </c>
      <c r="C124" s="9" t="s">
        <v>667</v>
      </c>
      <c r="D124" s="9" t="s">
        <v>606</v>
      </c>
      <c r="E124" s="49">
        <v>166.78</v>
      </c>
      <c r="F124" s="49">
        <v>152.35</v>
      </c>
      <c r="G124" s="49"/>
      <c r="H124" s="49"/>
      <c r="I124" s="49"/>
      <c r="J124" s="49">
        <v>277.56</v>
      </c>
      <c r="K124" s="49"/>
      <c r="L124" s="49"/>
      <c r="M124" s="49">
        <v>264.39</v>
      </c>
      <c r="N124" s="49"/>
      <c r="O124" s="49"/>
      <c r="P124" s="49"/>
      <c r="Q124" s="49">
        <v>119.32</v>
      </c>
      <c r="R124" s="49">
        <v>154.08000000000001</v>
      </c>
      <c r="S124" s="49">
        <v>161.25</v>
      </c>
      <c r="T124" s="49"/>
      <c r="U124" s="49"/>
      <c r="V124" s="49">
        <v>149.94</v>
      </c>
      <c r="W124" s="49"/>
      <c r="X124" s="49"/>
      <c r="Y124" s="49"/>
    </row>
    <row r="125" spans="1:25" ht="14.25" customHeight="1">
      <c r="A125" s="12" t="s">
        <v>108</v>
      </c>
      <c r="B125" s="8" t="s">
        <v>598</v>
      </c>
      <c r="C125" s="9" t="s">
        <v>668</v>
      </c>
      <c r="D125" s="9" t="s">
        <v>606</v>
      </c>
      <c r="E125" s="49">
        <v>128.49</v>
      </c>
      <c r="F125" s="49">
        <v>39.549999999999997</v>
      </c>
      <c r="G125" s="49"/>
      <c r="H125" s="49"/>
      <c r="I125" s="49"/>
      <c r="J125" s="49">
        <v>76.41</v>
      </c>
      <c r="K125" s="49"/>
      <c r="L125" s="49"/>
      <c r="M125" s="49">
        <v>84.4</v>
      </c>
      <c r="N125" s="49"/>
      <c r="O125" s="49"/>
      <c r="P125" s="49"/>
      <c r="Q125" s="49">
        <v>58.85</v>
      </c>
      <c r="R125" s="49">
        <v>27.32</v>
      </c>
      <c r="S125" s="49">
        <v>34.85</v>
      </c>
      <c r="T125" s="49"/>
      <c r="U125" s="49"/>
      <c r="V125" s="49">
        <v>72.42</v>
      </c>
      <c r="W125" s="49"/>
      <c r="X125" s="49"/>
      <c r="Y125" s="49"/>
    </row>
    <row r="126" spans="1:25" ht="14.25" customHeight="1">
      <c r="A126" s="12" t="s">
        <v>109</v>
      </c>
      <c r="B126" s="8" t="s">
        <v>598</v>
      </c>
      <c r="C126" s="9" t="s">
        <v>669</v>
      </c>
      <c r="D126" s="9" t="s">
        <v>606</v>
      </c>
      <c r="E126" s="49">
        <v>44.1</v>
      </c>
      <c r="F126" s="49">
        <v>22.83</v>
      </c>
      <c r="G126" s="49"/>
      <c r="H126" s="49"/>
      <c r="I126" s="49"/>
      <c r="J126" s="49">
        <v>34.65</v>
      </c>
      <c r="K126" s="49"/>
      <c r="L126" s="49"/>
      <c r="M126" s="49">
        <v>56.18</v>
      </c>
      <c r="N126" s="49"/>
      <c r="O126" s="49"/>
      <c r="P126" s="49"/>
      <c r="Q126" s="49">
        <v>35.71</v>
      </c>
      <c r="R126" s="49">
        <v>21.86</v>
      </c>
      <c r="S126" s="49">
        <v>28.69</v>
      </c>
      <c r="T126" s="49"/>
      <c r="U126" s="49"/>
      <c r="V126" s="49">
        <v>59.16</v>
      </c>
      <c r="W126" s="49"/>
      <c r="X126" s="49"/>
      <c r="Y126" s="49"/>
    </row>
    <row r="127" spans="1:25" ht="14.25" customHeight="1">
      <c r="A127" s="12" t="s">
        <v>110</v>
      </c>
      <c r="B127" s="8" t="s">
        <v>598</v>
      </c>
      <c r="C127" s="9" t="s">
        <v>670</v>
      </c>
      <c r="D127" s="9" t="s">
        <v>606</v>
      </c>
      <c r="E127" s="49">
        <v>18.059999999999999</v>
      </c>
      <c r="F127" s="49">
        <v>18.170000000000002</v>
      </c>
      <c r="G127" s="49"/>
      <c r="H127" s="49"/>
      <c r="I127" s="49"/>
      <c r="J127" s="49">
        <v>21.48</v>
      </c>
      <c r="K127" s="49"/>
      <c r="L127" s="49"/>
      <c r="M127" s="49">
        <v>37.39</v>
      </c>
      <c r="N127" s="49"/>
      <c r="O127" s="49"/>
      <c r="P127" s="49"/>
      <c r="Q127" s="49">
        <v>27.13</v>
      </c>
      <c r="R127" s="49">
        <v>16.39</v>
      </c>
      <c r="S127" s="49">
        <v>18.79</v>
      </c>
      <c r="T127" s="49"/>
      <c r="U127" s="49"/>
      <c r="V127" s="49">
        <v>57.12</v>
      </c>
      <c r="W127" s="49"/>
      <c r="X127" s="49"/>
      <c r="Y127" s="49"/>
    </row>
    <row r="128" spans="1:25" ht="14.25" customHeight="1">
      <c r="A128" s="12"/>
      <c r="B128" s="8"/>
      <c r="C128" s="9"/>
      <c r="D128" s="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spans="1:25" ht="14.25" customHeight="1">
      <c r="A129" s="12" t="s">
        <v>111</v>
      </c>
      <c r="B129" s="8" t="s">
        <v>602</v>
      </c>
      <c r="C129" s="9" t="s">
        <v>665</v>
      </c>
      <c r="D129" s="9" t="s">
        <v>606</v>
      </c>
      <c r="E129" s="49"/>
      <c r="F129" s="49"/>
      <c r="G129" s="49"/>
      <c r="H129" s="49"/>
      <c r="I129" s="49"/>
      <c r="J129" s="49"/>
      <c r="K129" s="49"/>
      <c r="L129" s="49">
        <v>389.49</v>
      </c>
      <c r="M129" s="49"/>
      <c r="N129" s="49"/>
      <c r="O129" s="49"/>
      <c r="P129" s="49"/>
      <c r="Q129" s="49">
        <v>175.12</v>
      </c>
      <c r="R129" s="49"/>
      <c r="S129" s="49"/>
      <c r="T129" s="49"/>
      <c r="U129" s="49"/>
      <c r="V129" s="49"/>
      <c r="W129" s="49"/>
      <c r="X129" s="49"/>
      <c r="Y129" s="49"/>
    </row>
    <row r="130" spans="1:25" ht="14.25" customHeight="1">
      <c r="A130" s="12" t="s">
        <v>112</v>
      </c>
      <c r="B130" s="8" t="s">
        <v>602</v>
      </c>
      <c r="C130" s="9" t="s">
        <v>666</v>
      </c>
      <c r="D130" s="9" t="s">
        <v>606</v>
      </c>
      <c r="E130" s="49"/>
      <c r="F130" s="49"/>
      <c r="G130" s="49"/>
      <c r="H130" s="49"/>
      <c r="I130" s="49"/>
      <c r="J130" s="49"/>
      <c r="K130" s="49"/>
      <c r="L130" s="49">
        <v>389.49</v>
      </c>
      <c r="M130" s="49"/>
      <c r="N130" s="49"/>
      <c r="O130" s="49"/>
      <c r="P130" s="49"/>
      <c r="Q130" s="49">
        <v>149.99</v>
      </c>
      <c r="R130" s="49"/>
      <c r="S130" s="49"/>
      <c r="T130" s="49"/>
      <c r="U130" s="49"/>
      <c r="V130" s="49"/>
      <c r="W130" s="49"/>
      <c r="X130" s="49"/>
      <c r="Y130" s="49"/>
    </row>
    <row r="131" spans="1:25" ht="14.25" customHeight="1">
      <c r="A131" s="12" t="s">
        <v>113</v>
      </c>
      <c r="B131" s="8" t="s">
        <v>602</v>
      </c>
      <c r="C131" s="9" t="s">
        <v>667</v>
      </c>
      <c r="D131" s="9" t="s">
        <v>606</v>
      </c>
      <c r="E131" s="49"/>
      <c r="F131" s="49"/>
      <c r="G131" s="49"/>
      <c r="H131" s="49"/>
      <c r="I131" s="49"/>
      <c r="J131" s="49"/>
      <c r="K131" s="49"/>
      <c r="L131" s="49">
        <v>389.49</v>
      </c>
      <c r="M131" s="49"/>
      <c r="N131" s="49"/>
      <c r="O131" s="49"/>
      <c r="P131" s="49"/>
      <c r="Q131" s="49">
        <v>134.16</v>
      </c>
      <c r="R131" s="49"/>
      <c r="S131" s="49"/>
      <c r="T131" s="49"/>
      <c r="U131" s="49"/>
      <c r="V131" s="49"/>
      <c r="W131" s="49"/>
      <c r="X131" s="49"/>
      <c r="Y131" s="49"/>
    </row>
    <row r="132" spans="1:25" ht="14.25" customHeight="1">
      <c r="A132" s="12" t="s">
        <v>114</v>
      </c>
      <c r="B132" s="8" t="s">
        <v>602</v>
      </c>
      <c r="C132" s="9" t="s">
        <v>668</v>
      </c>
      <c r="D132" s="9" t="s">
        <v>606</v>
      </c>
      <c r="E132" s="49"/>
      <c r="F132" s="49"/>
      <c r="G132" s="49"/>
      <c r="H132" s="49"/>
      <c r="I132" s="49"/>
      <c r="J132" s="49"/>
      <c r="K132" s="49"/>
      <c r="L132" s="49">
        <v>55.64</v>
      </c>
      <c r="M132" s="49"/>
      <c r="N132" s="49"/>
      <c r="O132" s="49"/>
      <c r="P132" s="49"/>
      <c r="Q132" s="49">
        <v>73.53</v>
      </c>
      <c r="R132" s="49"/>
      <c r="S132" s="49"/>
      <c r="T132" s="49"/>
      <c r="U132" s="49"/>
      <c r="V132" s="49"/>
      <c r="W132" s="49"/>
      <c r="X132" s="49"/>
      <c r="Y132" s="49"/>
    </row>
    <row r="133" spans="1:25" ht="14.25" customHeight="1">
      <c r="A133" s="12" t="s">
        <v>115</v>
      </c>
      <c r="B133" s="8" t="s">
        <v>602</v>
      </c>
      <c r="C133" s="9" t="s">
        <v>669</v>
      </c>
      <c r="D133" s="9" t="s">
        <v>606</v>
      </c>
      <c r="E133" s="49"/>
      <c r="F133" s="49"/>
      <c r="G133" s="49"/>
      <c r="H133" s="49"/>
      <c r="I133" s="49"/>
      <c r="J133" s="49"/>
      <c r="K133" s="49"/>
      <c r="L133" s="49">
        <v>55.64</v>
      </c>
      <c r="M133" s="49"/>
      <c r="N133" s="49"/>
      <c r="O133" s="49"/>
      <c r="P133" s="49"/>
      <c r="Q133" s="49">
        <v>47.84</v>
      </c>
      <c r="R133" s="49"/>
      <c r="S133" s="49"/>
      <c r="T133" s="49"/>
      <c r="U133" s="49"/>
      <c r="V133" s="49"/>
      <c r="W133" s="49"/>
      <c r="X133" s="49"/>
      <c r="Y133" s="49"/>
    </row>
    <row r="134" spans="1:25" ht="14.25" customHeight="1">
      <c r="A134" s="12" t="s">
        <v>116</v>
      </c>
      <c r="B134" s="8" t="s">
        <v>602</v>
      </c>
      <c r="C134" s="9" t="s">
        <v>670</v>
      </c>
      <c r="D134" s="9" t="s">
        <v>606</v>
      </c>
      <c r="E134" s="49"/>
      <c r="F134" s="49"/>
      <c r="G134" s="49"/>
      <c r="H134" s="49"/>
      <c r="I134" s="49"/>
      <c r="J134" s="49"/>
      <c r="K134" s="49"/>
      <c r="L134" s="49">
        <v>37.1</v>
      </c>
      <c r="M134" s="49"/>
      <c r="N134" s="49"/>
      <c r="O134" s="49"/>
      <c r="P134" s="49"/>
      <c r="Q134" s="49">
        <v>32.58</v>
      </c>
      <c r="R134" s="49"/>
      <c r="S134" s="49"/>
      <c r="T134" s="49"/>
      <c r="U134" s="49"/>
      <c r="V134" s="49"/>
      <c r="W134" s="49"/>
      <c r="X134" s="49"/>
      <c r="Y134" s="49"/>
    </row>
    <row r="135" spans="1:25" ht="14.25" customHeight="1">
      <c r="A135" s="12"/>
      <c r="B135" s="8"/>
      <c r="C135" s="9"/>
      <c r="D135" s="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spans="1:25" ht="14.25" customHeight="1">
      <c r="A136" s="12" t="s">
        <v>117</v>
      </c>
      <c r="B136" s="8" t="s">
        <v>600</v>
      </c>
      <c r="C136" s="9" t="s">
        <v>665</v>
      </c>
      <c r="D136" s="9" t="s">
        <v>606</v>
      </c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</row>
    <row r="137" spans="1:25" ht="14.25" customHeight="1">
      <c r="A137" s="12" t="s">
        <v>118</v>
      </c>
      <c r="B137" s="8" t="s">
        <v>600</v>
      </c>
      <c r="C137" s="9" t="s">
        <v>666</v>
      </c>
      <c r="D137" s="9" t="s">
        <v>606</v>
      </c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</row>
    <row r="138" spans="1:25" ht="14.25" customHeight="1">
      <c r="A138" s="12" t="s">
        <v>119</v>
      </c>
      <c r="B138" s="8" t="s">
        <v>600</v>
      </c>
      <c r="C138" s="9" t="s">
        <v>667</v>
      </c>
      <c r="D138" s="9" t="s">
        <v>606</v>
      </c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</row>
    <row r="139" spans="1:25" ht="14.25" customHeight="1">
      <c r="A139" s="12" t="s">
        <v>120</v>
      </c>
      <c r="B139" s="8" t="s">
        <v>600</v>
      </c>
      <c r="C139" s="9" t="s">
        <v>668</v>
      </c>
      <c r="D139" s="9" t="s">
        <v>606</v>
      </c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</row>
    <row r="140" spans="1:25" ht="14.25" customHeight="1">
      <c r="A140" s="12" t="s">
        <v>121</v>
      </c>
      <c r="B140" s="8" t="s">
        <v>600</v>
      </c>
      <c r="C140" s="9" t="s">
        <v>669</v>
      </c>
      <c r="D140" s="9" t="s">
        <v>606</v>
      </c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</row>
    <row r="141" spans="1:25" ht="14.25" customHeight="1">
      <c r="A141" s="12" t="s">
        <v>122</v>
      </c>
      <c r="B141" s="8" t="s">
        <v>600</v>
      </c>
      <c r="C141" s="9" t="s">
        <v>670</v>
      </c>
      <c r="D141" s="9" t="s">
        <v>606</v>
      </c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</row>
    <row r="142" spans="1:25" ht="14.25" customHeight="1">
      <c r="A142" s="12"/>
      <c r="B142" s="8"/>
      <c r="C142" s="9"/>
      <c r="D142" s="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spans="1:25" ht="14.25" customHeight="1">
      <c r="A143" s="12" t="s">
        <v>123</v>
      </c>
      <c r="B143" s="8" t="s">
        <v>601</v>
      </c>
      <c r="C143" s="9" t="s">
        <v>665</v>
      </c>
      <c r="D143" s="9" t="s">
        <v>606</v>
      </c>
      <c r="E143" s="49">
        <v>285.39999999999998</v>
      </c>
      <c r="F143" s="49">
        <v>170.84</v>
      </c>
      <c r="G143" s="49"/>
      <c r="H143" s="49"/>
      <c r="I143" s="49"/>
      <c r="J143" s="49">
        <v>335.44</v>
      </c>
      <c r="K143" s="49"/>
      <c r="L143" s="49">
        <v>389.49</v>
      </c>
      <c r="M143" s="49">
        <v>590.22</v>
      </c>
      <c r="N143" s="49"/>
      <c r="O143" s="49"/>
      <c r="P143" s="49"/>
      <c r="Q143" s="49">
        <v>148.13999999999999</v>
      </c>
      <c r="R143" s="49">
        <v>158.44</v>
      </c>
      <c r="S143" s="49">
        <v>170.53</v>
      </c>
      <c r="T143" s="49"/>
      <c r="U143" s="49"/>
      <c r="V143" s="49">
        <v>149.94</v>
      </c>
      <c r="W143" s="49"/>
      <c r="X143" s="49">
        <v>440.41</v>
      </c>
      <c r="Y143" s="49">
        <v>440.41</v>
      </c>
    </row>
    <row r="144" spans="1:25" ht="14.25" customHeight="1">
      <c r="A144" s="12" t="s">
        <v>124</v>
      </c>
      <c r="B144" s="8" t="s">
        <v>601</v>
      </c>
      <c r="C144" s="9" t="s">
        <v>666</v>
      </c>
      <c r="D144" s="9" t="s">
        <v>606</v>
      </c>
      <c r="E144" s="49">
        <v>195.78</v>
      </c>
      <c r="F144" s="49">
        <v>155.24</v>
      </c>
      <c r="G144" s="49"/>
      <c r="H144" s="49"/>
      <c r="I144" s="49"/>
      <c r="J144" s="49">
        <v>282.93</v>
      </c>
      <c r="K144" s="49"/>
      <c r="L144" s="49">
        <v>389.49</v>
      </c>
      <c r="M144" s="49">
        <v>349.29</v>
      </c>
      <c r="N144" s="49"/>
      <c r="O144" s="49"/>
      <c r="P144" s="49"/>
      <c r="Q144" s="49">
        <v>125.44</v>
      </c>
      <c r="R144" s="49">
        <v>156.26</v>
      </c>
      <c r="S144" s="49">
        <v>167.75</v>
      </c>
      <c r="T144" s="49"/>
      <c r="U144" s="49"/>
      <c r="V144" s="49">
        <v>149.94</v>
      </c>
      <c r="W144" s="49"/>
      <c r="X144" s="49">
        <v>440.41</v>
      </c>
      <c r="Y144" s="49">
        <v>440.41</v>
      </c>
    </row>
    <row r="145" spans="1:25" ht="14.25" customHeight="1">
      <c r="A145" s="12" t="s">
        <v>125</v>
      </c>
      <c r="B145" s="8" t="s">
        <v>601</v>
      </c>
      <c r="C145" s="9" t="s">
        <v>667</v>
      </c>
      <c r="D145" s="9" t="s">
        <v>606</v>
      </c>
      <c r="E145" s="49">
        <v>166.78</v>
      </c>
      <c r="F145" s="49">
        <v>152.35</v>
      </c>
      <c r="G145" s="49"/>
      <c r="H145" s="49"/>
      <c r="I145" s="49"/>
      <c r="J145" s="49">
        <v>277.56</v>
      </c>
      <c r="K145" s="49"/>
      <c r="L145" s="49">
        <v>389.49</v>
      </c>
      <c r="M145" s="49">
        <v>264.39</v>
      </c>
      <c r="N145" s="49"/>
      <c r="O145" s="49"/>
      <c r="P145" s="49"/>
      <c r="Q145" s="49">
        <v>117.02</v>
      </c>
      <c r="R145" s="49">
        <v>154.08000000000001</v>
      </c>
      <c r="S145" s="49">
        <v>161.25</v>
      </c>
      <c r="T145" s="49"/>
      <c r="U145" s="49"/>
      <c r="V145" s="49">
        <v>149.94</v>
      </c>
      <c r="W145" s="49"/>
      <c r="X145" s="49">
        <v>440.41</v>
      </c>
      <c r="Y145" s="49">
        <v>440.41</v>
      </c>
    </row>
    <row r="146" spans="1:25" ht="14.25" customHeight="1">
      <c r="A146" s="12" t="s">
        <v>126</v>
      </c>
      <c r="B146" s="8" t="s">
        <v>601</v>
      </c>
      <c r="C146" s="9" t="s">
        <v>668</v>
      </c>
      <c r="D146" s="9" t="s">
        <v>606</v>
      </c>
      <c r="E146" s="49">
        <v>128.49</v>
      </c>
      <c r="F146" s="49">
        <v>39.549999999999997</v>
      </c>
      <c r="G146" s="49"/>
      <c r="H146" s="49"/>
      <c r="I146" s="49"/>
      <c r="J146" s="49">
        <v>76.41</v>
      </c>
      <c r="K146" s="49"/>
      <c r="L146" s="49">
        <v>55.64</v>
      </c>
      <c r="M146" s="49">
        <v>84.4</v>
      </c>
      <c r="N146" s="49"/>
      <c r="O146" s="49"/>
      <c r="P146" s="49"/>
      <c r="Q146" s="49">
        <v>57.72</v>
      </c>
      <c r="R146" s="49">
        <v>27.32</v>
      </c>
      <c r="S146" s="49">
        <v>34.85</v>
      </c>
      <c r="T146" s="49"/>
      <c r="U146" s="49"/>
      <c r="V146" s="49">
        <v>72.42</v>
      </c>
      <c r="W146" s="49"/>
      <c r="X146" s="49">
        <v>411.39</v>
      </c>
      <c r="Y146" s="49">
        <v>395.71</v>
      </c>
    </row>
    <row r="147" spans="1:25" ht="14.25" customHeight="1">
      <c r="A147" s="12" t="s">
        <v>127</v>
      </c>
      <c r="B147" s="8" t="s">
        <v>601</v>
      </c>
      <c r="C147" s="9" t="s">
        <v>669</v>
      </c>
      <c r="D147" s="9" t="s">
        <v>606</v>
      </c>
      <c r="E147" s="49">
        <v>44.1</v>
      </c>
      <c r="F147" s="49">
        <v>22.83</v>
      </c>
      <c r="G147" s="49"/>
      <c r="H147" s="49"/>
      <c r="I147" s="49"/>
      <c r="J147" s="49">
        <v>34.65</v>
      </c>
      <c r="K147" s="49"/>
      <c r="L147" s="49">
        <v>48.23</v>
      </c>
      <c r="M147" s="49">
        <v>56.18</v>
      </c>
      <c r="N147" s="49"/>
      <c r="O147" s="49"/>
      <c r="P147" s="49"/>
      <c r="Q147" s="49">
        <v>35.03</v>
      </c>
      <c r="R147" s="49">
        <v>21.86</v>
      </c>
      <c r="S147" s="49">
        <v>28.69</v>
      </c>
      <c r="T147" s="49"/>
      <c r="U147" s="49"/>
      <c r="V147" s="49">
        <v>59.16</v>
      </c>
      <c r="W147" s="49"/>
      <c r="X147" s="49">
        <v>203.07</v>
      </c>
      <c r="Y147" s="49">
        <v>155.41999999999999</v>
      </c>
    </row>
    <row r="148" spans="1:25" ht="14.25" customHeight="1">
      <c r="A148" s="12" t="s">
        <v>128</v>
      </c>
      <c r="B148" s="8" t="s">
        <v>601</v>
      </c>
      <c r="C148" s="9" t="s">
        <v>670</v>
      </c>
      <c r="D148" s="9" t="s">
        <v>606</v>
      </c>
      <c r="E148" s="49">
        <v>18.059999999999999</v>
      </c>
      <c r="F148" s="49">
        <v>18.170000000000002</v>
      </c>
      <c r="G148" s="49"/>
      <c r="H148" s="49"/>
      <c r="I148" s="49"/>
      <c r="J148" s="49">
        <v>21.48</v>
      </c>
      <c r="K148" s="49"/>
      <c r="L148" s="49">
        <v>48.23</v>
      </c>
      <c r="M148" s="49">
        <v>37.39</v>
      </c>
      <c r="N148" s="49"/>
      <c r="O148" s="49"/>
      <c r="P148" s="49"/>
      <c r="Q148" s="49">
        <v>26.61</v>
      </c>
      <c r="R148" s="49">
        <v>16.39</v>
      </c>
      <c r="S148" s="49">
        <v>18.79</v>
      </c>
      <c r="T148" s="49"/>
      <c r="U148" s="49"/>
      <c r="V148" s="49">
        <v>57.12</v>
      </c>
      <c r="W148" s="49"/>
      <c r="X148" s="49">
        <v>159.77000000000001</v>
      </c>
      <c r="Y148" s="49">
        <v>120</v>
      </c>
    </row>
    <row r="149" spans="1:25" ht="14.25" customHeight="1">
      <c r="A149" s="12"/>
      <c r="B149" s="8"/>
      <c r="C149" s="9"/>
      <c r="D149" s="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spans="1:25" ht="14.25" customHeight="1">
      <c r="A150" s="12" t="s">
        <v>129</v>
      </c>
      <c r="B150" s="8" t="s">
        <v>598</v>
      </c>
      <c r="C150" s="9" t="s">
        <v>623</v>
      </c>
      <c r="D150" s="9" t="s">
        <v>607</v>
      </c>
      <c r="E150" s="49">
        <v>375.75</v>
      </c>
      <c r="F150" s="49">
        <v>375.75</v>
      </c>
      <c r="G150" s="49"/>
      <c r="H150" s="49"/>
      <c r="I150" s="49"/>
      <c r="J150" s="49">
        <v>189</v>
      </c>
      <c r="K150" s="49"/>
      <c r="L150" s="49"/>
      <c r="M150" s="49">
        <v>230</v>
      </c>
      <c r="N150" s="49"/>
      <c r="O150" s="49"/>
      <c r="P150" s="49"/>
      <c r="Q150" s="49">
        <v>243</v>
      </c>
      <c r="R150" s="49">
        <v>163.6</v>
      </c>
      <c r="S150" s="49">
        <v>175</v>
      </c>
      <c r="T150" s="49"/>
      <c r="U150" s="49"/>
      <c r="V150" s="49">
        <v>195</v>
      </c>
      <c r="W150" s="49"/>
      <c r="X150" s="49"/>
      <c r="Y150" s="49"/>
    </row>
    <row r="151" spans="1:25" ht="14.25" customHeight="1">
      <c r="A151" s="12" t="s">
        <v>130</v>
      </c>
      <c r="B151" s="8" t="s">
        <v>598</v>
      </c>
      <c r="C151" s="9" t="s">
        <v>624</v>
      </c>
      <c r="D151" s="9" t="s">
        <v>607</v>
      </c>
      <c r="E151" s="49">
        <v>222.88</v>
      </c>
      <c r="F151" s="49">
        <v>222.88</v>
      </c>
      <c r="G151" s="49"/>
      <c r="H151" s="49"/>
      <c r="I151" s="49"/>
      <c r="J151" s="49">
        <v>113</v>
      </c>
      <c r="K151" s="49"/>
      <c r="L151" s="49"/>
      <c r="M151" s="49">
        <v>193</v>
      </c>
      <c r="N151" s="49"/>
      <c r="O151" s="49"/>
      <c r="P151" s="49"/>
      <c r="Q151" s="49">
        <v>168</v>
      </c>
      <c r="R151" s="49">
        <v>163.6</v>
      </c>
      <c r="S151" s="49">
        <v>186</v>
      </c>
      <c r="T151" s="49"/>
      <c r="U151" s="49"/>
      <c r="V151" s="49">
        <v>195</v>
      </c>
      <c r="W151" s="49"/>
      <c r="X151" s="49"/>
      <c r="Y151" s="49"/>
    </row>
    <row r="152" spans="1:25" ht="14.25" customHeight="1">
      <c r="A152" s="12" t="s">
        <v>131</v>
      </c>
      <c r="B152" s="8" t="s">
        <v>598</v>
      </c>
      <c r="C152" s="9" t="s">
        <v>625</v>
      </c>
      <c r="D152" s="9" t="s">
        <v>607</v>
      </c>
      <c r="E152" s="49">
        <v>340.8</v>
      </c>
      <c r="F152" s="49">
        <v>340.8</v>
      </c>
      <c r="G152" s="49"/>
      <c r="H152" s="49"/>
      <c r="I152" s="49"/>
      <c r="J152" s="49">
        <v>128</v>
      </c>
      <c r="K152" s="49"/>
      <c r="L152" s="49"/>
      <c r="M152" s="49">
        <v>230</v>
      </c>
      <c r="N152" s="49"/>
      <c r="O152" s="49"/>
      <c r="P152" s="49"/>
      <c r="Q152" s="49">
        <v>199</v>
      </c>
      <c r="R152" s="49">
        <v>163.91</v>
      </c>
      <c r="S152" s="49">
        <v>221</v>
      </c>
      <c r="T152" s="49"/>
      <c r="U152" s="49"/>
      <c r="V152" s="49">
        <v>287</v>
      </c>
      <c r="W152" s="49"/>
      <c r="X152" s="49"/>
      <c r="Y152" s="49"/>
    </row>
    <row r="153" spans="1:25" ht="14.25" customHeight="1">
      <c r="A153" s="12" t="s">
        <v>132</v>
      </c>
      <c r="B153" s="8" t="s">
        <v>598</v>
      </c>
      <c r="C153" s="9" t="s">
        <v>626</v>
      </c>
      <c r="D153" s="9" t="s">
        <v>607</v>
      </c>
      <c r="E153" s="49">
        <v>391.88</v>
      </c>
      <c r="F153" s="49">
        <v>391.88</v>
      </c>
      <c r="G153" s="49"/>
      <c r="H153" s="49"/>
      <c r="I153" s="49"/>
      <c r="J153" s="49">
        <v>144</v>
      </c>
      <c r="K153" s="49"/>
      <c r="L153" s="49"/>
      <c r="M153" s="49">
        <v>287</v>
      </c>
      <c r="N153" s="49"/>
      <c r="O153" s="49"/>
      <c r="P153" s="49"/>
      <c r="Q153" s="49">
        <v>243</v>
      </c>
      <c r="R153" s="49">
        <v>174.84</v>
      </c>
      <c r="S153" s="49">
        <v>246</v>
      </c>
      <c r="T153" s="49"/>
      <c r="U153" s="49"/>
      <c r="V153" s="49">
        <v>368</v>
      </c>
      <c r="W153" s="49"/>
      <c r="X153" s="49"/>
      <c r="Y153" s="49"/>
    </row>
    <row r="154" spans="1:25" ht="14.25" customHeight="1">
      <c r="A154" s="12" t="s">
        <v>133</v>
      </c>
      <c r="B154" s="8" t="s">
        <v>598</v>
      </c>
      <c r="C154" s="9" t="s">
        <v>627</v>
      </c>
      <c r="D154" s="9" t="s">
        <v>607</v>
      </c>
      <c r="E154" s="49">
        <v>176.96</v>
      </c>
      <c r="F154" s="49">
        <v>176.96</v>
      </c>
      <c r="G154" s="49"/>
      <c r="H154" s="49"/>
      <c r="I154" s="49"/>
      <c r="J154" s="49">
        <v>114</v>
      </c>
      <c r="K154" s="49"/>
      <c r="L154" s="49"/>
      <c r="M154" s="49">
        <v>132</v>
      </c>
      <c r="N154" s="49"/>
      <c r="O154" s="49"/>
      <c r="P154" s="49"/>
      <c r="Q154" s="49">
        <v>146</v>
      </c>
      <c r="R154" s="49">
        <v>84</v>
      </c>
      <c r="S154" s="49">
        <v>84</v>
      </c>
      <c r="T154" s="49"/>
      <c r="U154" s="49"/>
      <c r="V154" s="49">
        <v>105</v>
      </c>
      <c r="W154" s="49"/>
      <c r="X154" s="49"/>
      <c r="Y154" s="49"/>
    </row>
    <row r="155" spans="1:25" ht="14.25" customHeight="1">
      <c r="A155" s="12" t="s">
        <v>134</v>
      </c>
      <c r="B155" s="8" t="s">
        <v>598</v>
      </c>
      <c r="C155" s="9" t="s">
        <v>628</v>
      </c>
      <c r="D155" s="9" t="s">
        <v>607</v>
      </c>
      <c r="E155" s="49">
        <v>294.32</v>
      </c>
      <c r="F155" s="49">
        <v>294.32</v>
      </c>
      <c r="G155" s="49"/>
      <c r="H155" s="49"/>
      <c r="I155" s="49"/>
      <c r="J155" s="49">
        <v>167</v>
      </c>
      <c r="K155" s="49"/>
      <c r="L155" s="49"/>
      <c r="M155" s="49">
        <v>230</v>
      </c>
      <c r="N155" s="49"/>
      <c r="O155" s="49"/>
      <c r="P155" s="49"/>
      <c r="Q155" s="49">
        <v>199</v>
      </c>
      <c r="R155" s="49">
        <v>152.99</v>
      </c>
      <c r="S155" s="49">
        <v>223</v>
      </c>
      <c r="T155" s="49"/>
      <c r="U155" s="49"/>
      <c r="V155" s="49">
        <v>368</v>
      </c>
      <c r="W155" s="49"/>
      <c r="X155" s="49"/>
      <c r="Y155" s="49"/>
    </row>
    <row r="156" spans="1:25" ht="14.25" customHeight="1">
      <c r="A156" s="12" t="s">
        <v>135</v>
      </c>
      <c r="B156" s="8" t="s">
        <v>598</v>
      </c>
      <c r="C156" s="9" t="s">
        <v>629</v>
      </c>
      <c r="D156" s="9" t="s">
        <v>607</v>
      </c>
      <c r="E156" s="49">
        <v>222.88</v>
      </c>
      <c r="F156" s="49">
        <v>222.88</v>
      </c>
      <c r="G156" s="49"/>
      <c r="H156" s="49"/>
      <c r="I156" s="49"/>
      <c r="J156" s="49">
        <v>100</v>
      </c>
      <c r="K156" s="49"/>
      <c r="L156" s="49"/>
      <c r="M156" s="49">
        <v>193</v>
      </c>
      <c r="N156" s="49"/>
      <c r="O156" s="49"/>
      <c r="P156" s="49"/>
      <c r="Q156" s="49">
        <v>168</v>
      </c>
      <c r="R156" s="49">
        <v>131.13</v>
      </c>
      <c r="S156" s="49">
        <v>179</v>
      </c>
      <c r="T156" s="49"/>
      <c r="U156" s="49"/>
      <c r="V156" s="49">
        <v>190</v>
      </c>
      <c r="W156" s="49"/>
      <c r="X156" s="49"/>
      <c r="Y156" s="49"/>
    </row>
    <row r="157" spans="1:25" ht="14.25" customHeight="1">
      <c r="A157" s="12" t="s">
        <v>136</v>
      </c>
      <c r="B157" s="8" t="s">
        <v>598</v>
      </c>
      <c r="C157" s="9" t="s">
        <v>630</v>
      </c>
      <c r="D157" s="9" t="s">
        <v>607</v>
      </c>
      <c r="E157" s="49">
        <v>117.89</v>
      </c>
      <c r="F157" s="49">
        <v>117.89</v>
      </c>
      <c r="G157" s="49"/>
      <c r="H157" s="49"/>
      <c r="I157" s="49"/>
      <c r="J157" s="49">
        <v>99</v>
      </c>
      <c r="K157" s="49"/>
      <c r="L157" s="49"/>
      <c r="M157" s="49">
        <v>116</v>
      </c>
      <c r="N157" s="49"/>
      <c r="O157" s="49"/>
      <c r="P157" s="49"/>
      <c r="Q157" s="49">
        <v>117</v>
      </c>
      <c r="R157" s="49">
        <v>104</v>
      </c>
      <c r="S157" s="49">
        <v>104</v>
      </c>
      <c r="T157" s="49"/>
      <c r="U157" s="49"/>
      <c r="V157" s="49">
        <v>145</v>
      </c>
      <c r="W157" s="49"/>
      <c r="X157" s="49"/>
      <c r="Y157" s="49"/>
    </row>
    <row r="158" spans="1:25" ht="14.25" customHeight="1">
      <c r="A158" s="12" t="s">
        <v>137</v>
      </c>
      <c r="B158" s="8" t="s">
        <v>598</v>
      </c>
      <c r="C158" s="9" t="s">
        <v>631</v>
      </c>
      <c r="D158" s="9" t="s">
        <v>607</v>
      </c>
      <c r="E158" s="49">
        <v>294.32</v>
      </c>
      <c r="F158" s="49">
        <v>294.32</v>
      </c>
      <c r="G158" s="49"/>
      <c r="H158" s="49"/>
      <c r="I158" s="49"/>
      <c r="J158" s="49">
        <v>143</v>
      </c>
      <c r="K158" s="49"/>
      <c r="L158" s="49"/>
      <c r="M158" s="49">
        <v>193</v>
      </c>
      <c r="N158" s="49"/>
      <c r="O158" s="49"/>
      <c r="P158" s="49"/>
      <c r="Q158" s="49">
        <v>146</v>
      </c>
      <c r="R158" s="49">
        <v>246</v>
      </c>
      <c r="S158" s="49">
        <v>246</v>
      </c>
      <c r="T158" s="49"/>
      <c r="U158" s="49"/>
      <c r="V158" s="49">
        <v>145</v>
      </c>
      <c r="W158" s="49"/>
      <c r="X158" s="49"/>
      <c r="Y158" s="49"/>
    </row>
    <row r="159" spans="1:25" ht="14.25" customHeight="1">
      <c r="A159" s="12" t="s">
        <v>138</v>
      </c>
      <c r="B159" s="8" t="s">
        <v>598</v>
      </c>
      <c r="C159" s="9" t="s">
        <v>632</v>
      </c>
      <c r="D159" s="9" t="s">
        <v>607</v>
      </c>
      <c r="E159" s="49">
        <v>230.54</v>
      </c>
      <c r="F159" s="49">
        <v>230.54</v>
      </c>
      <c r="G159" s="49"/>
      <c r="H159" s="49"/>
      <c r="I159" s="49"/>
      <c r="J159" s="49">
        <v>171</v>
      </c>
      <c r="K159" s="49"/>
      <c r="L159" s="49"/>
      <c r="M159" s="49">
        <v>151</v>
      </c>
      <c r="N159" s="49"/>
      <c r="O159" s="49"/>
      <c r="P159" s="49"/>
      <c r="Q159" s="49">
        <v>117</v>
      </c>
      <c r="R159" s="49">
        <v>153</v>
      </c>
      <c r="S159" s="49">
        <v>153</v>
      </c>
      <c r="T159" s="49"/>
      <c r="U159" s="49"/>
      <c r="V159" s="49">
        <v>105</v>
      </c>
      <c r="W159" s="49"/>
      <c r="X159" s="49"/>
      <c r="Y159" s="49"/>
    </row>
    <row r="160" spans="1:25" ht="14.25" customHeight="1">
      <c r="A160" s="12" t="s">
        <v>139</v>
      </c>
      <c r="B160" s="8" t="s">
        <v>598</v>
      </c>
      <c r="C160" s="9" t="s">
        <v>633</v>
      </c>
      <c r="D160" s="9" t="s">
        <v>607</v>
      </c>
      <c r="E160" s="49">
        <v>253.38</v>
      </c>
      <c r="F160" s="49">
        <v>253.38</v>
      </c>
      <c r="G160" s="49"/>
      <c r="H160" s="49"/>
      <c r="I160" s="49"/>
      <c r="J160" s="49">
        <v>119</v>
      </c>
      <c r="K160" s="49"/>
      <c r="L160" s="49"/>
      <c r="M160" s="49">
        <v>343</v>
      </c>
      <c r="N160" s="49"/>
      <c r="O160" s="49"/>
      <c r="P160" s="49"/>
      <c r="Q160" s="49">
        <v>199</v>
      </c>
      <c r="R160" s="49">
        <v>152.99</v>
      </c>
      <c r="S160" s="49">
        <v>132</v>
      </c>
      <c r="T160" s="49"/>
      <c r="U160" s="49"/>
      <c r="V160" s="49">
        <v>145</v>
      </c>
      <c r="W160" s="49"/>
      <c r="X160" s="49"/>
      <c r="Y160" s="49"/>
    </row>
    <row r="161" spans="1:25" ht="14.25" customHeight="1">
      <c r="A161" s="12"/>
      <c r="B161" s="8"/>
      <c r="C161" s="9"/>
      <c r="D161" s="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spans="1:25" ht="14.25" customHeight="1">
      <c r="A162" s="12" t="s">
        <v>140</v>
      </c>
      <c r="B162" s="8" t="s">
        <v>602</v>
      </c>
      <c r="C162" s="9" t="s">
        <v>623</v>
      </c>
      <c r="D162" s="9" t="s">
        <v>607</v>
      </c>
      <c r="E162" s="49"/>
      <c r="F162" s="49"/>
      <c r="G162" s="49"/>
      <c r="H162" s="49"/>
      <c r="I162" s="49"/>
      <c r="J162" s="49"/>
      <c r="K162" s="49"/>
      <c r="L162" s="49">
        <v>152.72</v>
      </c>
      <c r="M162" s="49"/>
      <c r="N162" s="49"/>
      <c r="O162" s="49"/>
      <c r="P162" s="49"/>
      <c r="Q162" s="49">
        <v>243</v>
      </c>
      <c r="R162" s="49"/>
      <c r="S162" s="49"/>
      <c r="T162" s="49"/>
      <c r="U162" s="49"/>
      <c r="V162" s="49"/>
      <c r="W162" s="49"/>
      <c r="X162" s="49"/>
      <c r="Y162" s="49"/>
    </row>
    <row r="163" spans="1:25" ht="14.25" customHeight="1">
      <c r="A163" s="12" t="s">
        <v>141</v>
      </c>
      <c r="B163" s="8" t="s">
        <v>602</v>
      </c>
      <c r="C163" s="9" t="s">
        <v>624</v>
      </c>
      <c r="D163" s="9" t="s">
        <v>607</v>
      </c>
      <c r="E163" s="49"/>
      <c r="F163" s="49"/>
      <c r="G163" s="49"/>
      <c r="H163" s="49"/>
      <c r="I163" s="49"/>
      <c r="J163" s="49"/>
      <c r="K163" s="49"/>
      <c r="L163" s="49">
        <v>119.66</v>
      </c>
      <c r="M163" s="49"/>
      <c r="N163" s="49"/>
      <c r="O163" s="49"/>
      <c r="P163" s="49"/>
      <c r="Q163" s="49">
        <v>168</v>
      </c>
      <c r="R163" s="49"/>
      <c r="S163" s="49"/>
      <c r="T163" s="49"/>
      <c r="U163" s="49"/>
      <c r="V163" s="49"/>
      <c r="W163" s="49"/>
      <c r="X163" s="49"/>
      <c r="Y163" s="49"/>
    </row>
    <row r="164" spans="1:25" ht="14.25" customHeight="1">
      <c r="A164" s="12" t="s">
        <v>142</v>
      </c>
      <c r="B164" s="8" t="s">
        <v>602</v>
      </c>
      <c r="C164" s="9" t="s">
        <v>625</v>
      </c>
      <c r="D164" s="9" t="s">
        <v>607</v>
      </c>
      <c r="E164" s="49"/>
      <c r="F164" s="49"/>
      <c r="G164" s="49"/>
      <c r="H164" s="49"/>
      <c r="I164" s="49"/>
      <c r="J164" s="49"/>
      <c r="K164" s="49"/>
      <c r="L164" s="49">
        <v>131.19</v>
      </c>
      <c r="M164" s="49"/>
      <c r="N164" s="49"/>
      <c r="O164" s="49"/>
      <c r="P164" s="49"/>
      <c r="Q164" s="49">
        <v>199</v>
      </c>
      <c r="R164" s="49"/>
      <c r="S164" s="49"/>
      <c r="T164" s="49"/>
      <c r="U164" s="49"/>
      <c r="V164" s="49"/>
      <c r="W164" s="49"/>
      <c r="X164" s="49"/>
      <c r="Y164" s="49"/>
    </row>
    <row r="165" spans="1:25" ht="14.25" customHeight="1">
      <c r="A165" s="12" t="s">
        <v>143</v>
      </c>
      <c r="B165" s="8" t="s">
        <v>602</v>
      </c>
      <c r="C165" s="9" t="s">
        <v>626</v>
      </c>
      <c r="D165" s="9" t="s">
        <v>607</v>
      </c>
      <c r="E165" s="49"/>
      <c r="F165" s="49"/>
      <c r="G165" s="49"/>
      <c r="H165" s="49"/>
      <c r="I165" s="49"/>
      <c r="J165" s="49"/>
      <c r="K165" s="49"/>
      <c r="L165" s="49">
        <v>171.01</v>
      </c>
      <c r="M165" s="49"/>
      <c r="N165" s="49"/>
      <c r="O165" s="49"/>
      <c r="P165" s="49"/>
      <c r="Q165" s="49">
        <v>243</v>
      </c>
      <c r="R165" s="49"/>
      <c r="S165" s="49"/>
      <c r="T165" s="49"/>
      <c r="U165" s="49"/>
      <c r="V165" s="49"/>
      <c r="W165" s="49"/>
      <c r="X165" s="49"/>
      <c r="Y165" s="49"/>
    </row>
    <row r="166" spans="1:25" ht="14.25" customHeight="1">
      <c r="A166" s="12" t="s">
        <v>144</v>
      </c>
      <c r="B166" s="8" t="s">
        <v>602</v>
      </c>
      <c r="C166" s="9" t="s">
        <v>627</v>
      </c>
      <c r="D166" s="9" t="s">
        <v>607</v>
      </c>
      <c r="E166" s="49"/>
      <c r="F166" s="49"/>
      <c r="G166" s="49"/>
      <c r="H166" s="49"/>
      <c r="I166" s="49"/>
      <c r="J166" s="49"/>
      <c r="K166" s="49"/>
      <c r="L166" s="49">
        <v>99.29</v>
      </c>
      <c r="M166" s="49"/>
      <c r="N166" s="49"/>
      <c r="O166" s="49"/>
      <c r="P166" s="49"/>
      <c r="Q166" s="49">
        <v>146</v>
      </c>
      <c r="R166" s="49"/>
      <c r="S166" s="49"/>
      <c r="T166" s="49"/>
      <c r="U166" s="49"/>
      <c r="V166" s="49"/>
      <c r="W166" s="49"/>
      <c r="X166" s="49"/>
      <c r="Y166" s="49"/>
    </row>
    <row r="167" spans="1:25" ht="14.25" customHeight="1">
      <c r="A167" s="12" t="s">
        <v>145</v>
      </c>
      <c r="B167" s="8" t="s">
        <v>602</v>
      </c>
      <c r="C167" s="9" t="s">
        <v>628</v>
      </c>
      <c r="D167" s="9" t="s">
        <v>607</v>
      </c>
      <c r="E167" s="49"/>
      <c r="F167" s="49"/>
      <c r="G167" s="49"/>
      <c r="H167" s="49"/>
      <c r="I167" s="49"/>
      <c r="J167" s="49"/>
      <c r="K167" s="49"/>
      <c r="L167" s="49">
        <v>131.19</v>
      </c>
      <c r="M167" s="49"/>
      <c r="N167" s="49"/>
      <c r="O167" s="49"/>
      <c r="P167" s="49"/>
      <c r="Q167" s="49">
        <v>199</v>
      </c>
      <c r="R167" s="49"/>
      <c r="S167" s="49"/>
      <c r="T167" s="49"/>
      <c r="U167" s="49"/>
      <c r="V167" s="49"/>
      <c r="W167" s="49"/>
      <c r="X167" s="49"/>
      <c r="Y167" s="49"/>
    </row>
    <row r="168" spans="1:25" ht="14.25" customHeight="1">
      <c r="A168" s="12" t="s">
        <v>146</v>
      </c>
      <c r="B168" s="8" t="s">
        <v>602</v>
      </c>
      <c r="C168" s="9" t="s">
        <v>629</v>
      </c>
      <c r="D168" s="9" t="s">
        <v>607</v>
      </c>
      <c r="E168" s="49"/>
      <c r="F168" s="49"/>
      <c r="G168" s="49"/>
      <c r="H168" s="49"/>
      <c r="I168" s="49"/>
      <c r="J168" s="49"/>
      <c r="K168" s="49"/>
      <c r="L168" s="49">
        <v>77.349999999999994</v>
      </c>
      <c r="M168" s="49"/>
      <c r="N168" s="49"/>
      <c r="O168" s="49"/>
      <c r="P168" s="49"/>
      <c r="Q168" s="49">
        <v>168</v>
      </c>
      <c r="R168" s="49"/>
      <c r="S168" s="49"/>
      <c r="T168" s="49"/>
      <c r="U168" s="49"/>
      <c r="V168" s="49"/>
      <c r="W168" s="49"/>
      <c r="X168" s="49"/>
      <c r="Y168" s="49"/>
    </row>
    <row r="169" spans="1:25" ht="14.25" customHeight="1">
      <c r="A169" s="12" t="s">
        <v>147</v>
      </c>
      <c r="B169" s="8" t="s">
        <v>602</v>
      </c>
      <c r="C169" s="9" t="s">
        <v>630</v>
      </c>
      <c r="D169" s="9" t="s">
        <v>607</v>
      </c>
      <c r="E169" s="49"/>
      <c r="F169" s="49"/>
      <c r="G169" s="49"/>
      <c r="H169" s="49"/>
      <c r="I169" s="49"/>
      <c r="J169" s="49"/>
      <c r="K169" s="49"/>
      <c r="L169" s="49">
        <v>77.349999999999994</v>
      </c>
      <c r="M169" s="49"/>
      <c r="N169" s="49"/>
      <c r="O169" s="49"/>
      <c r="P169" s="49"/>
      <c r="Q169" s="49">
        <v>117</v>
      </c>
      <c r="R169" s="49"/>
      <c r="S169" s="49"/>
      <c r="T169" s="49"/>
      <c r="U169" s="49"/>
      <c r="V169" s="49"/>
      <c r="W169" s="49"/>
      <c r="X169" s="49"/>
      <c r="Y169" s="49"/>
    </row>
    <row r="170" spans="1:25" ht="14.25" customHeight="1">
      <c r="A170" s="12" t="s">
        <v>148</v>
      </c>
      <c r="B170" s="8" t="s">
        <v>602</v>
      </c>
      <c r="C170" s="9" t="s">
        <v>631</v>
      </c>
      <c r="D170" s="9" t="s">
        <v>607</v>
      </c>
      <c r="E170" s="49"/>
      <c r="F170" s="49"/>
      <c r="G170" s="49"/>
      <c r="H170" s="49"/>
      <c r="I170" s="49"/>
      <c r="J170" s="49"/>
      <c r="K170" s="49"/>
      <c r="L170" s="49">
        <v>65.92</v>
      </c>
      <c r="M170" s="49"/>
      <c r="N170" s="49"/>
      <c r="O170" s="49"/>
      <c r="P170" s="49"/>
      <c r="Q170" s="49">
        <v>146</v>
      </c>
      <c r="R170" s="49"/>
      <c r="S170" s="49"/>
      <c r="T170" s="49"/>
      <c r="U170" s="49"/>
      <c r="V170" s="49"/>
      <c r="W170" s="49"/>
      <c r="X170" s="49"/>
      <c r="Y170" s="49"/>
    </row>
    <row r="171" spans="1:25" ht="14.25" customHeight="1">
      <c r="A171" s="12" t="s">
        <v>149</v>
      </c>
      <c r="B171" s="8" t="s">
        <v>602</v>
      </c>
      <c r="C171" s="9" t="s">
        <v>632</v>
      </c>
      <c r="D171" s="9" t="s">
        <v>607</v>
      </c>
      <c r="E171" s="49"/>
      <c r="F171" s="49"/>
      <c r="G171" s="49"/>
      <c r="H171" s="49"/>
      <c r="I171" s="49"/>
      <c r="J171" s="49"/>
      <c r="K171" s="49"/>
      <c r="L171" s="49">
        <v>49.81</v>
      </c>
      <c r="M171" s="49"/>
      <c r="N171" s="49"/>
      <c r="O171" s="49"/>
      <c r="P171" s="49"/>
      <c r="Q171" s="49">
        <v>117</v>
      </c>
      <c r="R171" s="49"/>
      <c r="S171" s="49"/>
      <c r="T171" s="49"/>
      <c r="U171" s="49"/>
      <c r="V171" s="49"/>
      <c r="W171" s="49"/>
      <c r="X171" s="49"/>
      <c r="Y171" s="49"/>
    </row>
    <row r="172" spans="1:25" ht="14.25" customHeight="1">
      <c r="A172" s="12" t="s">
        <v>150</v>
      </c>
      <c r="B172" s="8" t="s">
        <v>602</v>
      </c>
      <c r="C172" s="9" t="s">
        <v>633</v>
      </c>
      <c r="D172" s="9" t="s">
        <v>607</v>
      </c>
      <c r="E172" s="49"/>
      <c r="F172" s="49"/>
      <c r="G172" s="49"/>
      <c r="H172" s="49"/>
      <c r="I172" s="49"/>
      <c r="J172" s="49"/>
      <c r="K172" s="49"/>
      <c r="L172" s="49">
        <v>116.19</v>
      </c>
      <c r="M172" s="49"/>
      <c r="N172" s="49"/>
      <c r="O172" s="49"/>
      <c r="P172" s="49"/>
      <c r="Q172" s="49">
        <v>199</v>
      </c>
      <c r="R172" s="49"/>
      <c r="S172" s="49"/>
      <c r="T172" s="49"/>
      <c r="U172" s="49"/>
      <c r="V172" s="49"/>
      <c r="W172" s="49"/>
      <c r="X172" s="49"/>
      <c r="Y172" s="49"/>
    </row>
    <row r="173" spans="1:25" ht="14.25" customHeight="1">
      <c r="A173" s="12"/>
      <c r="B173" s="8"/>
      <c r="C173" s="9"/>
      <c r="D173" s="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spans="1:25" ht="14.25" customHeight="1">
      <c r="A174" s="12" t="s">
        <v>151</v>
      </c>
      <c r="B174" s="8" t="s">
        <v>600</v>
      </c>
      <c r="C174" s="9" t="s">
        <v>623</v>
      </c>
      <c r="D174" s="9" t="s">
        <v>607</v>
      </c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 spans="1:25" ht="14.25" customHeight="1">
      <c r="A175" s="12" t="s">
        <v>152</v>
      </c>
      <c r="B175" s="8" t="s">
        <v>600</v>
      </c>
      <c r="C175" s="9" t="s">
        <v>624</v>
      </c>
      <c r="D175" s="9" t="s">
        <v>607</v>
      </c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 spans="1:25" ht="14.25" customHeight="1">
      <c r="A176" s="12" t="s">
        <v>153</v>
      </c>
      <c r="B176" s="8" t="s">
        <v>600</v>
      </c>
      <c r="C176" s="9" t="s">
        <v>625</v>
      </c>
      <c r="D176" s="9" t="s">
        <v>607</v>
      </c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 spans="1:25" ht="14.25" customHeight="1">
      <c r="A177" s="12" t="s">
        <v>154</v>
      </c>
      <c r="B177" s="8" t="s">
        <v>600</v>
      </c>
      <c r="C177" s="9" t="s">
        <v>626</v>
      </c>
      <c r="D177" s="9" t="s">
        <v>607</v>
      </c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 spans="1:25" ht="14.25" customHeight="1">
      <c r="A178" s="12" t="s">
        <v>155</v>
      </c>
      <c r="B178" s="8" t="s">
        <v>600</v>
      </c>
      <c r="C178" s="9" t="s">
        <v>627</v>
      </c>
      <c r="D178" s="9" t="s">
        <v>607</v>
      </c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 spans="1:25" ht="14.25" customHeight="1">
      <c r="A179" s="12" t="s">
        <v>156</v>
      </c>
      <c r="B179" s="8" t="s">
        <v>600</v>
      </c>
      <c r="C179" s="9" t="s">
        <v>628</v>
      </c>
      <c r="D179" s="9" t="s">
        <v>607</v>
      </c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 spans="1:25" ht="14.25" customHeight="1">
      <c r="A180" s="12" t="s">
        <v>157</v>
      </c>
      <c r="B180" s="8" t="s">
        <v>600</v>
      </c>
      <c r="C180" s="9" t="s">
        <v>629</v>
      </c>
      <c r="D180" s="9" t="s">
        <v>607</v>
      </c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 spans="1:25" ht="14.25" customHeight="1">
      <c r="A181" s="12" t="s">
        <v>158</v>
      </c>
      <c r="B181" s="8" t="s">
        <v>600</v>
      </c>
      <c r="C181" s="9" t="s">
        <v>630</v>
      </c>
      <c r="D181" s="9" t="s">
        <v>607</v>
      </c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 spans="1:25" ht="14.25" customHeight="1">
      <c r="A182" s="12" t="s">
        <v>159</v>
      </c>
      <c r="B182" s="8" t="s">
        <v>600</v>
      </c>
      <c r="C182" s="9" t="s">
        <v>631</v>
      </c>
      <c r="D182" s="9" t="s">
        <v>607</v>
      </c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 spans="1:25" ht="14.25" customHeight="1">
      <c r="A183" s="12" t="s">
        <v>160</v>
      </c>
      <c r="B183" s="8" t="s">
        <v>600</v>
      </c>
      <c r="C183" s="9" t="s">
        <v>632</v>
      </c>
      <c r="D183" s="9" t="s">
        <v>607</v>
      </c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 spans="1:25" ht="14.25" customHeight="1">
      <c r="A184" s="12" t="s">
        <v>161</v>
      </c>
      <c r="B184" s="8" t="s">
        <v>600</v>
      </c>
      <c r="C184" s="9" t="s">
        <v>633</v>
      </c>
      <c r="D184" s="9" t="s">
        <v>607</v>
      </c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 spans="1:25" ht="14.25" customHeight="1">
      <c r="A185" s="12"/>
      <c r="B185" s="8"/>
      <c r="C185" s="9"/>
      <c r="D185" s="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spans="1:25" ht="14.25" customHeight="1">
      <c r="A186" s="12" t="s">
        <v>162</v>
      </c>
      <c r="B186" s="8" t="s">
        <v>601</v>
      </c>
      <c r="C186" s="9" t="s">
        <v>623</v>
      </c>
      <c r="D186" s="9" t="s">
        <v>607</v>
      </c>
      <c r="E186" s="49">
        <v>375.75</v>
      </c>
      <c r="F186" s="49">
        <v>375.75</v>
      </c>
      <c r="G186" s="49"/>
      <c r="H186" s="49"/>
      <c r="I186" s="49"/>
      <c r="J186" s="49">
        <v>189</v>
      </c>
      <c r="K186" s="49"/>
      <c r="L186" s="49">
        <v>124.68</v>
      </c>
      <c r="M186" s="49">
        <v>230</v>
      </c>
      <c r="N186" s="49"/>
      <c r="O186" s="49"/>
      <c r="P186" s="49"/>
      <c r="Q186" s="49">
        <v>243</v>
      </c>
      <c r="R186" s="49">
        <v>163.6</v>
      </c>
      <c r="S186" s="49">
        <v>175</v>
      </c>
      <c r="T186" s="49"/>
      <c r="U186" s="49"/>
      <c r="V186" s="49">
        <v>195</v>
      </c>
      <c r="W186" s="49"/>
      <c r="X186" s="49">
        <v>187.37</v>
      </c>
      <c r="Y186" s="49">
        <v>187.37</v>
      </c>
    </row>
    <row r="187" spans="1:25" ht="14.25" customHeight="1">
      <c r="A187" s="12" t="s">
        <v>163</v>
      </c>
      <c r="B187" s="8" t="s">
        <v>601</v>
      </c>
      <c r="C187" s="9" t="s">
        <v>624</v>
      </c>
      <c r="D187" s="9" t="s">
        <v>607</v>
      </c>
      <c r="E187" s="49">
        <v>222.88</v>
      </c>
      <c r="F187" s="49">
        <v>222.88</v>
      </c>
      <c r="G187" s="49"/>
      <c r="H187" s="49"/>
      <c r="I187" s="49"/>
      <c r="J187" s="49">
        <v>113</v>
      </c>
      <c r="K187" s="49"/>
      <c r="L187" s="49">
        <v>135.87</v>
      </c>
      <c r="M187" s="49">
        <v>193</v>
      </c>
      <c r="N187" s="49"/>
      <c r="O187" s="49"/>
      <c r="P187" s="49"/>
      <c r="Q187" s="49">
        <v>168</v>
      </c>
      <c r="R187" s="49">
        <v>163.6</v>
      </c>
      <c r="S187" s="49">
        <v>186</v>
      </c>
      <c r="T187" s="49"/>
      <c r="U187" s="49"/>
      <c r="V187" s="49">
        <v>195</v>
      </c>
      <c r="W187" s="49"/>
      <c r="X187" s="49">
        <v>178.46</v>
      </c>
      <c r="Y187" s="49">
        <v>178.46</v>
      </c>
    </row>
    <row r="188" spans="1:25" ht="14.25" customHeight="1">
      <c r="A188" s="12" t="s">
        <v>164</v>
      </c>
      <c r="B188" s="8" t="s">
        <v>601</v>
      </c>
      <c r="C188" s="9" t="s">
        <v>625</v>
      </c>
      <c r="D188" s="9" t="s">
        <v>607</v>
      </c>
      <c r="E188" s="49">
        <v>340.8</v>
      </c>
      <c r="F188" s="49">
        <v>340.8</v>
      </c>
      <c r="G188" s="49"/>
      <c r="H188" s="49"/>
      <c r="I188" s="49"/>
      <c r="J188" s="49">
        <v>128</v>
      </c>
      <c r="K188" s="49"/>
      <c r="L188" s="49">
        <v>148.96</v>
      </c>
      <c r="M188" s="49">
        <v>230</v>
      </c>
      <c r="N188" s="49"/>
      <c r="O188" s="49"/>
      <c r="P188" s="49"/>
      <c r="Q188" s="49">
        <v>199</v>
      </c>
      <c r="R188" s="49">
        <v>163.91</v>
      </c>
      <c r="S188" s="49">
        <v>221</v>
      </c>
      <c r="T188" s="49"/>
      <c r="U188" s="49"/>
      <c r="V188" s="49">
        <v>287</v>
      </c>
      <c r="W188" s="49"/>
      <c r="X188" s="49">
        <v>185.56</v>
      </c>
      <c r="Y188" s="49">
        <v>185.96</v>
      </c>
    </row>
    <row r="189" spans="1:25" ht="14.25" customHeight="1">
      <c r="A189" s="12" t="s">
        <v>165</v>
      </c>
      <c r="B189" s="8" t="s">
        <v>601</v>
      </c>
      <c r="C189" s="9" t="s">
        <v>626</v>
      </c>
      <c r="D189" s="9" t="s">
        <v>607</v>
      </c>
      <c r="E189" s="49">
        <v>391.88</v>
      </c>
      <c r="F189" s="49">
        <v>391.88</v>
      </c>
      <c r="G189" s="49"/>
      <c r="H189" s="49"/>
      <c r="I189" s="49"/>
      <c r="J189" s="49">
        <v>144</v>
      </c>
      <c r="K189" s="49"/>
      <c r="L189" s="49">
        <v>194.2</v>
      </c>
      <c r="M189" s="49">
        <v>287</v>
      </c>
      <c r="N189" s="49"/>
      <c r="O189" s="49"/>
      <c r="P189" s="49"/>
      <c r="Q189" s="49">
        <v>243</v>
      </c>
      <c r="R189" s="49">
        <v>174.84</v>
      </c>
      <c r="S189" s="49">
        <v>246</v>
      </c>
      <c r="T189" s="49"/>
      <c r="U189" s="49"/>
      <c r="V189" s="49">
        <v>368</v>
      </c>
      <c r="W189" s="49"/>
      <c r="X189" s="49">
        <v>207.79</v>
      </c>
      <c r="Y189" s="49">
        <v>207.79</v>
      </c>
    </row>
    <row r="190" spans="1:25" ht="14.25" customHeight="1">
      <c r="A190" s="12" t="s">
        <v>166</v>
      </c>
      <c r="B190" s="8" t="s">
        <v>601</v>
      </c>
      <c r="C190" s="9" t="s">
        <v>627</v>
      </c>
      <c r="D190" s="9" t="s">
        <v>607</v>
      </c>
      <c r="E190" s="49">
        <v>176.96</v>
      </c>
      <c r="F190" s="49">
        <v>176.96</v>
      </c>
      <c r="G190" s="49"/>
      <c r="H190" s="49"/>
      <c r="I190" s="49"/>
      <c r="J190" s="49">
        <v>114</v>
      </c>
      <c r="K190" s="49"/>
      <c r="L190" s="49">
        <v>74.849999999999994</v>
      </c>
      <c r="M190" s="49">
        <v>132</v>
      </c>
      <c r="N190" s="49"/>
      <c r="O190" s="49"/>
      <c r="P190" s="49"/>
      <c r="Q190" s="49">
        <v>146</v>
      </c>
      <c r="R190" s="49">
        <v>84</v>
      </c>
      <c r="S190" s="49">
        <v>84</v>
      </c>
      <c r="T190" s="49"/>
      <c r="U190" s="49"/>
      <c r="V190" s="49">
        <v>105</v>
      </c>
      <c r="W190" s="49"/>
      <c r="X190" s="49">
        <v>118.32</v>
      </c>
      <c r="Y190" s="49">
        <v>118.32</v>
      </c>
    </row>
    <row r="191" spans="1:25" ht="14.25" customHeight="1">
      <c r="A191" s="12" t="s">
        <v>167</v>
      </c>
      <c r="B191" s="8" t="s">
        <v>601</v>
      </c>
      <c r="C191" s="9" t="s">
        <v>628</v>
      </c>
      <c r="D191" s="9" t="s">
        <v>607</v>
      </c>
      <c r="E191" s="49">
        <v>294.32</v>
      </c>
      <c r="F191" s="49">
        <v>294.32</v>
      </c>
      <c r="G191" s="49"/>
      <c r="H191" s="49"/>
      <c r="I191" s="49"/>
      <c r="J191" s="49">
        <v>167</v>
      </c>
      <c r="K191" s="49"/>
      <c r="L191" s="49">
        <v>194.2</v>
      </c>
      <c r="M191" s="49">
        <v>230</v>
      </c>
      <c r="N191" s="49"/>
      <c r="O191" s="49"/>
      <c r="P191" s="49"/>
      <c r="Q191" s="49">
        <v>199</v>
      </c>
      <c r="R191" s="49">
        <v>152.99</v>
      </c>
      <c r="S191" s="49">
        <v>223</v>
      </c>
      <c r="T191" s="49"/>
      <c r="U191" s="49"/>
      <c r="V191" s="49">
        <v>368</v>
      </c>
      <c r="W191" s="49"/>
      <c r="X191" s="49">
        <v>207.79</v>
      </c>
      <c r="Y191" s="49">
        <v>207.79</v>
      </c>
    </row>
    <row r="192" spans="1:25" ht="14.25" customHeight="1">
      <c r="A192" s="12" t="s">
        <v>168</v>
      </c>
      <c r="B192" s="8" t="s">
        <v>601</v>
      </c>
      <c r="C192" s="9" t="s">
        <v>629</v>
      </c>
      <c r="D192" s="9" t="s">
        <v>607</v>
      </c>
      <c r="E192" s="49">
        <v>222.88</v>
      </c>
      <c r="F192" s="49">
        <v>222.88</v>
      </c>
      <c r="G192" s="49"/>
      <c r="H192" s="49"/>
      <c r="I192" s="49"/>
      <c r="J192" s="49">
        <v>100</v>
      </c>
      <c r="K192" s="49"/>
      <c r="L192" s="49">
        <v>74.849999999999994</v>
      </c>
      <c r="M192" s="49">
        <v>193</v>
      </c>
      <c r="N192" s="49"/>
      <c r="O192" s="49"/>
      <c r="P192" s="49"/>
      <c r="Q192" s="49">
        <v>168</v>
      </c>
      <c r="R192" s="49">
        <v>131.13</v>
      </c>
      <c r="S192" s="49">
        <v>179</v>
      </c>
      <c r="T192" s="49"/>
      <c r="U192" s="49"/>
      <c r="V192" s="49">
        <v>190</v>
      </c>
      <c r="W192" s="49"/>
      <c r="X192" s="49">
        <v>159.30000000000001</v>
      </c>
      <c r="Y192" s="49">
        <v>159.30000000000001</v>
      </c>
    </row>
    <row r="193" spans="1:25" ht="14.25" customHeight="1">
      <c r="A193" s="12" t="s">
        <v>169</v>
      </c>
      <c r="B193" s="8" t="s">
        <v>601</v>
      </c>
      <c r="C193" s="9" t="s">
        <v>630</v>
      </c>
      <c r="D193" s="9" t="s">
        <v>607</v>
      </c>
      <c r="E193" s="49">
        <v>117.89</v>
      </c>
      <c r="F193" s="49">
        <v>117.89</v>
      </c>
      <c r="G193" s="49"/>
      <c r="H193" s="49"/>
      <c r="I193" s="49"/>
      <c r="J193" s="49">
        <v>99</v>
      </c>
      <c r="K193" s="49"/>
      <c r="L193" s="49">
        <v>58.55</v>
      </c>
      <c r="M193" s="49">
        <v>116</v>
      </c>
      <c r="N193" s="49"/>
      <c r="O193" s="49"/>
      <c r="P193" s="49"/>
      <c r="Q193" s="49">
        <v>117</v>
      </c>
      <c r="R193" s="49">
        <v>104</v>
      </c>
      <c r="S193" s="49">
        <v>104</v>
      </c>
      <c r="T193" s="49"/>
      <c r="U193" s="49"/>
      <c r="V193" s="49">
        <v>145</v>
      </c>
      <c r="W193" s="49"/>
      <c r="X193" s="49">
        <v>94.32</v>
      </c>
      <c r="Y193" s="49">
        <v>94.32</v>
      </c>
    </row>
    <row r="194" spans="1:25" ht="14.25" customHeight="1">
      <c r="A194" s="12" t="s">
        <v>170</v>
      </c>
      <c r="B194" s="8" t="s">
        <v>601</v>
      </c>
      <c r="C194" s="9" t="s">
        <v>631</v>
      </c>
      <c r="D194" s="9" t="s">
        <v>607</v>
      </c>
      <c r="E194" s="49">
        <v>294.32</v>
      </c>
      <c r="F194" s="49">
        <v>294.32</v>
      </c>
      <c r="G194" s="49"/>
      <c r="H194" s="49"/>
      <c r="I194" s="49"/>
      <c r="J194" s="49">
        <v>143</v>
      </c>
      <c r="K194" s="49"/>
      <c r="L194" s="49">
        <v>135.87</v>
      </c>
      <c r="M194" s="49">
        <v>193</v>
      </c>
      <c r="N194" s="49"/>
      <c r="O194" s="49"/>
      <c r="P194" s="49"/>
      <c r="Q194" s="49">
        <v>146</v>
      </c>
      <c r="R194" s="49">
        <v>246</v>
      </c>
      <c r="S194" s="49">
        <v>246</v>
      </c>
      <c r="T194" s="49"/>
      <c r="U194" s="49"/>
      <c r="V194" s="49">
        <v>145</v>
      </c>
      <c r="W194" s="49"/>
      <c r="X194" s="49">
        <v>154.16</v>
      </c>
      <c r="Y194" s="49">
        <v>154.16</v>
      </c>
    </row>
    <row r="195" spans="1:25" ht="14.25" customHeight="1">
      <c r="A195" s="12" t="s">
        <v>171</v>
      </c>
      <c r="B195" s="8" t="s">
        <v>601</v>
      </c>
      <c r="C195" s="9" t="s">
        <v>632</v>
      </c>
      <c r="D195" s="9" t="s">
        <v>607</v>
      </c>
      <c r="E195" s="49">
        <v>230.54</v>
      </c>
      <c r="F195" s="49">
        <v>230.54</v>
      </c>
      <c r="G195" s="49"/>
      <c r="H195" s="49"/>
      <c r="I195" s="49"/>
      <c r="J195" s="49">
        <v>171</v>
      </c>
      <c r="K195" s="49"/>
      <c r="L195" s="49">
        <v>87.84</v>
      </c>
      <c r="M195" s="49">
        <v>151</v>
      </c>
      <c r="N195" s="49"/>
      <c r="O195" s="49"/>
      <c r="P195" s="49"/>
      <c r="Q195" s="49">
        <v>117</v>
      </c>
      <c r="R195" s="49">
        <v>153</v>
      </c>
      <c r="S195" s="49">
        <v>153</v>
      </c>
      <c r="T195" s="49"/>
      <c r="U195" s="49"/>
      <c r="V195" s="49">
        <v>105</v>
      </c>
      <c r="W195" s="49"/>
      <c r="X195" s="49">
        <v>207.79</v>
      </c>
      <c r="Y195" s="49">
        <v>207.79</v>
      </c>
    </row>
    <row r="196" spans="1:25" ht="14.25" customHeight="1">
      <c r="A196" s="12" t="s">
        <v>172</v>
      </c>
      <c r="B196" s="8" t="s">
        <v>601</v>
      </c>
      <c r="C196" s="9" t="s">
        <v>633</v>
      </c>
      <c r="D196" s="9" t="s">
        <v>607</v>
      </c>
      <c r="E196" s="49">
        <v>253.38</v>
      </c>
      <c r="F196" s="49">
        <v>253.38</v>
      </c>
      <c r="G196" s="49"/>
      <c r="H196" s="49"/>
      <c r="I196" s="49"/>
      <c r="J196" s="49">
        <v>119</v>
      </c>
      <c r="K196" s="49"/>
      <c r="L196" s="49">
        <v>131.94</v>
      </c>
      <c r="M196" s="49">
        <v>343</v>
      </c>
      <c r="N196" s="49"/>
      <c r="O196" s="49"/>
      <c r="P196" s="49"/>
      <c r="Q196" s="49">
        <v>199</v>
      </c>
      <c r="R196" s="49">
        <v>152.99</v>
      </c>
      <c r="S196" s="49">
        <v>132</v>
      </c>
      <c r="T196" s="49"/>
      <c r="U196" s="49"/>
      <c r="V196" s="49">
        <v>145</v>
      </c>
      <c r="W196" s="49"/>
      <c r="X196" s="49">
        <v>187.37</v>
      </c>
      <c r="Y196" s="49">
        <v>187.37</v>
      </c>
    </row>
    <row r="199" spans="1:25">
      <c r="A199" s="13"/>
      <c r="C199" s="10"/>
      <c r="D199" s="10"/>
    </row>
  </sheetData>
  <autoFilter ref="A1:Y16"/>
  <phoneticPr fontId="8" type="noConversion"/>
  <pageMargins left="0.37" right="0.38" top="0.79" bottom="0.41" header="0.36" footer="0.16"/>
  <pageSetup scale="50" orientation="portrait" r:id="rId1"/>
  <headerFooter alignWithMargins="0">
    <oddHeader>&amp;C&amp;"Arial,Bold"GSA EaaS BPA Pricing
Revision 1&amp;R&amp;G</oddHeader>
    <oddFooter>&amp;RNov 2012</oddFooter>
  </headerFooter>
  <legacyDrawingHF r:id="rId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13</vt:i4>
      </vt:variant>
    </vt:vector>
  </HeadingPairs>
  <TitlesOfParts>
    <vt:vector size="23" baseType="lpstr">
      <vt:lpstr>Summary</vt:lpstr>
      <vt:lpstr>Base 2-Yr (US)</vt:lpstr>
      <vt:lpstr>Option Yr 1 (US)</vt:lpstr>
      <vt:lpstr>Option Yr 2 (US)</vt:lpstr>
      <vt:lpstr>Option Yr 3 (US)</vt:lpstr>
      <vt:lpstr>Non-US &gt;</vt:lpstr>
      <vt:lpstr>Base 2-Yr (Non-US)</vt:lpstr>
      <vt:lpstr>Option Yr 1 (Non-US)</vt:lpstr>
      <vt:lpstr>Option Yr 2 (Non-US)</vt:lpstr>
      <vt:lpstr>Option Yr 3 (Non-US)</vt:lpstr>
      <vt:lpstr>'Base 2-Yr (US)'!Print_Area</vt:lpstr>
      <vt:lpstr>'Option Yr 1 (US)'!Print_Area</vt:lpstr>
      <vt:lpstr>'Option Yr 2 (US)'!Print_Area</vt:lpstr>
      <vt:lpstr>'Option Yr 3 (US)'!Print_Area</vt:lpstr>
      <vt:lpstr>Summary!Print_Area</vt:lpstr>
      <vt:lpstr>'Base 2-Yr (Non-US)'!Print_Titles</vt:lpstr>
      <vt:lpstr>'Base 2-Yr (US)'!Print_Titles</vt:lpstr>
      <vt:lpstr>'Option Yr 1 (Non-US)'!Print_Titles</vt:lpstr>
      <vt:lpstr>'Option Yr 1 (US)'!Print_Titles</vt:lpstr>
      <vt:lpstr>'Option Yr 2 (Non-US)'!Print_Titles</vt:lpstr>
      <vt:lpstr>'Option Yr 2 (US)'!Print_Titles</vt:lpstr>
      <vt:lpstr>'Option Yr 3 (Non-US)'!Print_Titles</vt:lpstr>
      <vt:lpstr>'Option Yr 3 (US)'!Print_Titles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Eaas BPA Pricing</dc:title>
  <dc:subject>EaaS BPA consolidated pricing sheet</dc:subject>
  <dc:creator>U.S. General Services Administration</dc:creator>
  <cp:keywords>EaaS, BPA, GSA, cloud, email</cp:keywords>
  <dc:description>Updated 11/28/12 with revisions on GDIT for sublot 4c, Base Year, OY1, OY2, and OY3 (CLINS 0004CA, 0004CB, 0004CC). Complete info at www.gsa.gov/eaas</dc:description>
  <cp:lastModifiedBy>Joy Fulton</cp:lastModifiedBy>
  <cp:lastPrinted>2012-11-28T14:40:21Z</cp:lastPrinted>
  <dcterms:created xsi:type="dcterms:W3CDTF">2006-12-13T20:41:34Z</dcterms:created>
  <dcterms:modified xsi:type="dcterms:W3CDTF">2012-12-11T19:21:35Z</dcterms:modified>
</cp:coreProperties>
</file>