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Wrath (3)" state="visible" r:id="rId3"/>
  </sheets>
  <definedNames/>
  <calcPr/>
</workbook>
</file>

<file path=xl/sharedStrings.xml><?xml version="1.0" encoding="utf-8"?>
<sst xmlns="http://schemas.openxmlformats.org/spreadsheetml/2006/main" count="1028" uniqueCount="578">
  <si>
    <t>c</t>
  </si>
  <si>
    <t>Name</t>
  </si>
  <si>
    <t>Slot</t>
  </si>
  <si>
    <t>Total</t>
  </si>
  <si>
    <t>Mitigation</t>
  </si>
  <si>
    <t>Health</t>
  </si>
  <si>
    <t>Threat (No SS)</t>
  </si>
  <si>
    <t>Avoid</t>
  </si>
  <si>
    <t>Armor</t>
  </si>
  <si>
    <t>Tot. Stam</t>
  </si>
  <si>
    <t>Stam</t>
  </si>
  <si>
    <t>Gstam</t>
  </si>
  <si>
    <t>Gem Slots</t>
  </si>
  <si>
    <t>T Def</t>
  </si>
  <si>
    <t>Def</t>
  </si>
  <si>
    <t>Gdef</t>
  </si>
  <si>
    <t>BlockR</t>
  </si>
  <si>
    <t>Tot Parry</t>
  </si>
  <si>
    <t>Parry</t>
  </si>
  <si>
    <t>Gpary</t>
  </si>
  <si>
    <t>Dodge</t>
  </si>
  <si>
    <t>Res</t>
  </si>
  <si>
    <t>Block Value</t>
  </si>
  <si>
    <t>Int</t>
  </si>
  <si>
    <t>Mana / 5</t>
  </si>
  <si>
    <t>Str</t>
  </si>
  <si>
    <t>SplPwr</t>
  </si>
  <si>
    <t>Agi</t>
  </si>
  <si>
    <t>AP</t>
  </si>
  <si>
    <t>Crit</t>
  </si>
  <si>
    <t>Exp</t>
  </si>
  <si>
    <t>Hit</t>
  </si>
  <si>
    <t>Crit/Hit Tot</t>
  </si>
  <si>
    <t>AP Tot</t>
  </si>
  <si>
    <t>Cloak of the Shadowed Sun</t>
  </si>
  <si>
    <t>Naxx25 Heigan</t>
  </si>
  <si>
    <t>Back</t>
  </si>
  <si>
    <t>Platinum Mesh Cloak</t>
  </si>
  <si>
    <t>25 Emblem of Valor</t>
  </si>
  <si>
    <t>Shadow of the Ghoul</t>
  </si>
  <si>
    <t>Naxx25 Trash</t>
  </si>
  <si>
    <t>Gale Proof Cloak</t>
  </si>
  <si>
    <t>Sartharion - OS</t>
  </si>
  <si>
    <t>Durable Nerubhide Cape</t>
  </si>
  <si>
    <t>Leatherworking</t>
  </si>
  <si>
    <t>Tattered Castle Drape</t>
  </si>
  <si>
    <t>BoE</t>
  </si>
  <si>
    <t>Cloak of the Enemy</t>
  </si>
  <si>
    <t>Heroic Nexus</t>
  </si>
  <si>
    <t>Cloak of Peaceful Resolutions</t>
  </si>
  <si>
    <t>Wyrmcrest Accord Honored</t>
  </si>
  <si>
    <t>Cloak of Tormented Skies</t>
  </si>
  <si>
    <t>Crafted LW</t>
  </si>
  <si>
    <t>Screeching Cape</t>
  </si>
  <si>
    <t>Erekem Voilet Hold</t>
  </si>
  <si>
    <t>Crimson Paragon's  Cover</t>
  </si>
  <si>
    <t>Twins</t>
  </si>
  <si>
    <t>Slikk's Cloak of Placation</t>
  </si>
  <si>
    <t>Badges</t>
  </si>
  <si>
    <t>Pepe's Shourd of Pacification</t>
  </si>
  <si>
    <t>MH Trash</t>
  </si>
  <si>
    <t>Phoenix Wing Cloak</t>
  </si>
  <si>
    <t>A'lar</t>
  </si>
  <si>
    <t>Gilded Thorium Cloak</t>
  </si>
  <si>
    <t>Kara</t>
  </si>
  <si>
    <t>Devilshark Cape</t>
  </si>
  <si>
    <t>Steamvaults</t>
  </si>
  <si>
    <t>Burnoose of Shifting Ages</t>
  </si>
  <si>
    <t>BM</t>
  </si>
  <si>
    <t>Thoriumweave Cloak</t>
  </si>
  <si>
    <t>Mech</t>
  </si>
  <si>
    <t>Farstrider Defender's Cloak</t>
  </si>
  <si>
    <t>Cloak of Eternity</t>
  </si>
  <si>
    <t>Crafted</t>
  </si>
  <si>
    <t>Ironscale War Cloak</t>
  </si>
  <si>
    <t>Heroic SP</t>
  </si>
  <si>
    <t>Resolute Cape</t>
  </si>
  <si>
    <t>Valorous Repemption Breastplate</t>
  </si>
  <si>
    <t>Naxx25 4 Horseman</t>
  </si>
  <si>
    <t>Chest</t>
  </si>
  <si>
    <t>B, Y</t>
  </si>
  <si>
    <t>Dragonstorm Breastplate</t>
  </si>
  <si>
    <t>Obs Sanctum Sarth + Adds</t>
  </si>
  <si>
    <t>R, Y</t>
  </si>
  <si>
    <t>Chestguard of the Exhausted</t>
  </si>
  <si>
    <t>Heroic Grob</t>
  </si>
  <si>
    <t>Y, Y</t>
  </si>
  <si>
    <t>Breastplate of Tormented Rage</t>
  </si>
  <si>
    <t>Heroes' Redemption Breastplate</t>
  </si>
  <si>
    <t>Naxx10 4 Horseman</t>
  </si>
  <si>
    <t>B,Y</t>
  </si>
  <si>
    <t>Massive Skeletal Ribcage</t>
  </si>
  <si>
    <t>Nax10 Sapph</t>
  </si>
  <si>
    <t>Ziggurat Imprinted Chestguard</t>
  </si>
  <si>
    <t>H-Drak'tharon Tharon'ja</t>
  </si>
  <si>
    <t>Sun-Emblazoned Chestplate</t>
  </si>
  <si>
    <t>H-Halls of Stone Sjonnir</t>
  </si>
  <si>
    <t>B</t>
  </si>
  <si>
    <t>Breastplate of the Solemn Counci</t>
  </si>
  <si>
    <t>Wyrmcrest Accord Revered</t>
  </si>
  <si>
    <t>Heroic Judicator's Chestguard</t>
  </si>
  <si>
    <t>Sunwell Plateau Entropius</t>
  </si>
  <si>
    <t>B,Y,Y</t>
  </si>
  <si>
    <t>Reanimated Armor</t>
  </si>
  <si>
    <t>Utgarde Pinnacle Gortok</t>
  </si>
  <si>
    <t>Silver-Plated Battlechest</t>
  </si>
  <si>
    <t>Q Rew </t>
  </si>
  <si>
    <t>Battleplate of the Unheard Ovation</t>
  </si>
  <si>
    <t>Lightbringer Chestguard (sta/str,sta/str,sta/def)</t>
  </si>
  <si>
    <t>Illidan</t>
  </si>
  <si>
    <t>r,r,y</t>
  </si>
  <si>
    <t>Shattrath Protectorate's Breastplate (sta)</t>
  </si>
  <si>
    <t>100 Badges</t>
  </si>
  <si>
    <t>b</t>
  </si>
  <si>
    <t>Crystalforge Chestguard (sta,sta,sta)</t>
  </si>
  <si>
    <t>Kael</t>
  </si>
  <si>
    <t>r,y,y</t>
  </si>
  <si>
    <t>Battlechest of the Twilight Cult</t>
  </si>
  <si>
    <t>Old Kingdom Jedoga</t>
  </si>
  <si>
    <t>Tempered Saronite Breastplate</t>
  </si>
  <si>
    <t>Agin's Crushing Carapace</t>
  </si>
  <si>
    <t>World Drop BoE</t>
  </si>
  <si>
    <t>Ivory Reinforced Chestguard</t>
  </si>
  <si>
    <t>Kalu'ak Honored</t>
  </si>
  <si>
    <t>Chestplate of Stoicism (sta)</t>
  </si>
  <si>
    <t>r</t>
  </si>
  <si>
    <t>Chestguard of the Warlord  (sta,def/sta,str/sta)</t>
  </si>
  <si>
    <t>Zul'jin</t>
  </si>
  <si>
    <t>r,y,b</t>
  </si>
  <si>
    <t>Chestplate of Stoicism</t>
  </si>
  <si>
    <t>100 Badges </t>
  </si>
  <si>
    <t>R</t>
  </si>
  <si>
    <t>Chestguard of the Stoic Guaridan (sta,def/sta,str/sta)</t>
  </si>
  <si>
    <t>75 Badges</t>
  </si>
  <si>
    <t>Clutch of the Storm Giant</t>
  </si>
  <si>
    <t>Quest - Zul'Drak</t>
  </si>
  <si>
    <t>Glory of the Defender</t>
  </si>
  <si>
    <t>Kaz'Rogal</t>
  </si>
  <si>
    <t>Kyzoc's Ground Stompers</t>
  </si>
  <si>
    <t>Raid Badgesx40 </t>
  </si>
  <si>
    <t>Feet</t>
  </si>
  <si>
    <t>Sabatons of Endurance</t>
  </si>
  <si>
    <t> </t>
  </si>
  <si>
    <t>Plague-Impervious Boots</t>
  </si>
  <si>
    <t>Naxx10 Noth</t>
  </si>
  <si>
    <t>Inexorable Sabatons</t>
  </si>
  <si>
    <t>Naxx25 Anub'Rekhan</t>
  </si>
  <si>
    <t>Y</t>
  </si>
  <si>
    <t>Terrace Defence Boots</t>
  </si>
  <si>
    <t>Greaves of Ancient Evil</t>
  </si>
  <si>
    <t>Sabatons of Draconic Vigor</t>
  </si>
  <si>
    <t>Tempered Titansteel Treads</t>
  </si>
  <si>
    <t>Crafted Blacksmith</t>
  </si>
  <si>
    <t>Slaughterhouse Sabatons</t>
  </si>
  <si>
    <t>CoT: Strat Meathook</t>
  </si>
  <si>
    <t>Toxin-Tempered Sabatons</t>
  </si>
  <si>
    <t>Knights of the Ebon Honored</t>
  </si>
  <si>
    <t>Myrmydon's Treads (sta,sta)</t>
  </si>
  <si>
    <t>Akama</t>
  </si>
  <si>
    <t>r,y</t>
  </si>
  <si>
    <t>Tide Stompers Greaves (sta,sta)</t>
  </si>
  <si>
    <t>Najentus</t>
  </si>
  <si>
    <t>Tempered Saronite Boots</t>
  </si>
  <si>
    <t>Blue's Greaves of the Righteous Guardian</t>
  </si>
  <si>
    <t>Sabatons of the Righteous Defender (sta,sta/str)</t>
  </si>
  <si>
    <t>r,b</t>
  </si>
  <si>
    <t>Jungle Stompers (sta)</t>
  </si>
  <si>
    <t>Narolakk</t>
  </si>
  <si>
    <t>Boots of the Protector</t>
  </si>
  <si>
    <t>BS ONLY</t>
  </si>
  <si>
    <t>Battlescar Boots</t>
  </si>
  <si>
    <t>Chess</t>
  </si>
  <si>
    <t>Red Havoc Boots</t>
  </si>
  <si>
    <t>Boots of Elusion</t>
  </si>
  <si>
    <t>Kara Trash</t>
  </si>
  <si>
    <t>Valorous Redemption Handguards</t>
  </si>
  <si>
    <t>Obsidian Sanc 25 Sartharion</t>
  </si>
  <si>
    <t>Hands</t>
  </si>
  <si>
    <t>Callous-Hearted Gauntlets</t>
  </si>
  <si>
    <t>Naxx25 Faerlina</t>
  </si>
  <si>
    <t>Gauntlets of the Disobedient</t>
  </si>
  <si>
    <t>Naxx25 Razuvius</t>
  </si>
  <si>
    <t>Heroes' Redemption Handguards</t>
  </si>
  <si>
    <t>Obs Sanc 10 Sartharion</t>
  </si>
  <si>
    <t>Gauntlets of the Master</t>
  </si>
  <si>
    <t>Naxx10 Faerlina</t>
  </si>
  <si>
    <t>Fireproven Gauntlets</t>
  </si>
  <si>
    <t>Kirin Tor Exalted</t>
  </si>
  <si>
    <t>Horn-Tipped Gauntlets</t>
  </si>
  <si>
    <t>Gundrak Heroic</t>
  </si>
  <si>
    <t>Refined Ore Gloves</t>
  </si>
  <si>
    <t>Gauntlets of the Water Revenant</t>
  </si>
  <si>
    <t>Borderland Fortress Grips</t>
  </si>
  <si>
    <t>Sunwell Plateau Felmyst</t>
  </si>
  <si>
    <t>R,Y</t>
  </si>
  <si>
    <t>Giant-Sized Gauntlets</t>
  </si>
  <si>
    <t>Frenzyheart Tribe Revered</t>
  </si>
  <si>
    <t>Gauntlets of Vigilance</t>
  </si>
  <si>
    <t>Quest Reward </t>
  </si>
  <si>
    <t>Lightbringer Handguards (sta)</t>
  </si>
  <si>
    <t>Azgalor</t>
  </si>
  <si>
    <t>Daunting Handgards</t>
  </si>
  <si>
    <t>Royal Guantlets of Silvermoon (sta/sta)</t>
  </si>
  <si>
    <t>y,b</t>
  </si>
  <si>
    <t>Tempered Saronite Gauntlets</t>
  </si>
  <si>
    <t>Expelling Gauntlets</t>
  </si>
  <si>
    <t>Bonefist Guantlets (sta, sta/str)</t>
  </si>
  <si>
    <t>60 Badges</t>
  </si>
  <si>
    <t>Gauntlets of Enforcement</t>
  </si>
  <si>
    <t>Teron</t>
  </si>
  <si>
    <t>Gauntlets of the Disturbed Giant</t>
  </si>
  <si>
    <t>Crystalforge Handguards</t>
  </si>
  <si>
    <t>Leo</t>
  </si>
  <si>
    <t>Handguards of the Sanguine Gladiator</t>
  </si>
  <si>
    <t>Grips of the Valiant Champion</t>
  </si>
  <si>
    <t>Justigar Handguards</t>
  </si>
  <si>
    <t>Curator</t>
  </si>
  <si>
    <t>Iron Gauntlets of the Maiden (sta,sta)</t>
  </si>
  <si>
    <t>Maiden</t>
  </si>
  <si>
    <t>Platehelm of the Great Wyrm</t>
  </si>
  <si>
    <t>Naxx25 Sapphiron</t>
  </si>
  <si>
    <t>Head</t>
  </si>
  <si>
    <t>Valorous Redemption Faceguard</t>
  </si>
  <si>
    <t>Naxx25 Kel'thuzad</t>
  </si>
  <si>
    <t>M,B</t>
  </si>
  <si>
    <t>Helm of Vital Protection</t>
  </si>
  <si>
    <t>M,Y</t>
  </si>
  <si>
    <t>Thane's Tainted Greathelm</t>
  </si>
  <si>
    <t>4 Horse Naxx 10</t>
  </si>
  <si>
    <t>m,y 8def</t>
  </si>
  <si>
    <t>Tempered Titansteell Helm (sta/sta)</t>
  </si>
  <si>
    <t>BoE Crafted</t>
  </si>
  <si>
    <t>m,b,8def</t>
  </si>
  <si>
    <t>Heroes Redemption Faceguard</t>
  </si>
  <si>
    <t>KT Naxx 10</t>
  </si>
  <si>
    <t>m,b 6exp</t>
  </si>
  <si>
    <t>Armored Titanium Goggles (sta.sta)</t>
  </si>
  <si>
    <t>m,y</t>
  </si>
  <si>
    <t>Arcane-Shielded Helm</t>
  </si>
  <si>
    <t>The Nexus (Heroic)</t>
  </si>
  <si>
    <t>m,b 8def</t>
  </si>
  <si>
    <t>Ground Tremor Helm</t>
  </si>
  <si>
    <t>?</t>
  </si>
  <si>
    <t>m,r 12sta</t>
  </si>
  <si>
    <t>Helm of the Ley-Guardian</t>
  </si>
  <si>
    <t>The Oculus</t>
  </si>
  <si>
    <t>r,6sta</t>
  </si>
  <si>
    <t>Hard Khorium Goggles</t>
  </si>
  <si>
    <t>BoP Crafted</t>
  </si>
  <si>
    <t>m,y,</t>
  </si>
  <si>
    <t>Faceplate of the Impenetrable (sta, sta/str)</t>
  </si>
  <si>
    <t>m,r</t>
  </si>
  <si>
    <t>Lightbringer Faceguard (sta, sta)</t>
  </si>
  <si>
    <t>Archimonde</t>
  </si>
  <si>
    <t>m.y</t>
  </si>
  <si>
    <t>Crusader's Resolution</t>
  </si>
  <si>
    <t>Quest - Icecrown</t>
  </si>
  <si>
    <t>Battleworn Tuskguard (sta, sta/def, sta/str)</t>
  </si>
  <si>
    <t>Hex Lord</t>
  </si>
  <si>
    <t>r,b,y,</t>
  </si>
  <si>
    <t>Greathelm of the Titan Protectorate</t>
  </si>
  <si>
    <t>Quest - Sholazar Basin</t>
  </si>
  <si>
    <t>Crystalforge Faceguard (sta, sta/str)</t>
  </si>
  <si>
    <t>Vashj</t>
  </si>
  <si>
    <t>Tempered Saronite Helm</t>
  </si>
  <si>
    <t>Tankatronic Goggles (sta, sta/def)</t>
  </si>
  <si>
    <t>Vengeful Gladiator Scaled Helm (sta/sta)</t>
  </si>
  <si>
    <t>PVP</t>
  </si>
  <si>
    <t>Greathelm of the Unyeilding Bull</t>
  </si>
  <si>
    <t>World Drop</t>
  </si>
  <si>
    <t>Faceguard of the Endless Watch (sta, sta/def, sta/def)</t>
  </si>
  <si>
    <t>Doomwalker</t>
  </si>
  <si>
    <t>b,y,y</t>
  </si>
  <si>
    <t>Justicar Faceguard (sta, sta)</t>
  </si>
  <si>
    <t>Prince</t>
  </si>
  <si>
    <t>Faceguard of Determination</t>
  </si>
  <si>
    <t>50 Badges</t>
  </si>
  <si>
    <t>mb,</t>
  </si>
  <si>
    <t>Legplates of Sovereignty</t>
  </si>
  <si>
    <t>Legs</t>
  </si>
  <si>
    <t>Valorous Redemption Legguards</t>
  </si>
  <si>
    <t>Naxx25 Thaddius</t>
  </si>
  <si>
    <t>B,B</t>
  </si>
  <si>
    <t>Greaves of Turbulence</t>
  </si>
  <si>
    <t>Naxx25 Loatheb</t>
  </si>
  <si>
    <t>Dragon Brood Legguards</t>
  </si>
  <si>
    <t>Heroes' Redemption Legguards</t>
  </si>
  <si>
    <t>Naxx10 Thaddius</t>
  </si>
  <si>
    <t>Heroes Redemption Legguards</t>
  </si>
  <si>
    <t>b,b,9bv</t>
  </si>
  <si>
    <t>Legplates of Inescapable Death</t>
  </si>
  <si>
    <t>Naxx10 Loatheb</t>
  </si>
  <si>
    <t>R,B</t>
  </si>
  <si>
    <t>Bolstered Legplates</t>
  </si>
  <si>
    <t>Violet Hold Heroic Cyanigosa</t>
  </si>
  <si>
    <t>Legplates of the Infinte Drakonid</t>
  </si>
  <si>
    <t>Heroic Strath Past</t>
  </si>
  <si>
    <t>Ley-Guardian's Legguards</t>
  </si>
  <si>
    <t>Special Issue Legplates (sta)</t>
  </si>
  <si>
    <t>Ardent Crusade Rep Honored</t>
  </si>
  <si>
    <t>Daunting Legplates</t>
  </si>
  <si>
    <t>BoE Crafted (BS)</t>
  </si>
  <si>
    <t>Iron Colossus Legplates</t>
  </si>
  <si>
    <t>Void Sentry Legplates (sta/def)</t>
  </si>
  <si>
    <t>y</t>
  </si>
  <si>
    <t>Void Sentry Legplates</t>
  </si>
  <si>
    <t>Violet Hold Zuramat</t>
  </si>
  <si>
    <t>Ley Guardian's Legguards</t>
  </si>
  <si>
    <t>Praetorian's Leggaurds (sta/def, sta/def, sta/str)</t>
  </si>
  <si>
    <t>y,y,r</t>
  </si>
  <si>
    <t>Lightbringer Leggards (sta)</t>
  </si>
  <si>
    <t>Council</t>
  </si>
  <si>
    <t>Sunguard legplates (sta,sta)</t>
  </si>
  <si>
    <t>Unwavering Leggards (sta, sta/def, sta/str)</t>
  </si>
  <si>
    <t>Inscribed Legplates of the Aldor (sta/str,sta/def)</t>
  </si>
  <si>
    <t>Tempered Saronite Legplates</t>
  </si>
  <si>
    <t>Crystalforge Legguards (sta/def)</t>
  </si>
  <si>
    <t>FLK</t>
  </si>
  <si>
    <t>Leggings of Forceful Purification</t>
  </si>
  <si>
    <t>Muradin's Lost Greaves</t>
  </si>
  <si>
    <t>Drak'Tharon Keep Tharon'ja</t>
  </si>
  <si>
    <t>Justicar Legguards</t>
  </si>
  <si>
    <t>Gruul</t>
  </si>
  <si>
    <t>Wrynn Dynasty Greaves (sta/str,sta/def,sta/def)</t>
  </si>
  <si>
    <t>Nexus War Champion beads</t>
  </si>
  <si>
    <t>Neck</t>
  </si>
  <si>
    <t>Boundless Ambition</t>
  </si>
  <si>
    <t>Naxx25 Kel'Thuzad</t>
  </si>
  <si>
    <t>Drakescale Collar</t>
  </si>
  <si>
    <t>Heritage</t>
  </si>
  <si>
    <t>Naxx25 </t>
  </si>
  <si>
    <t>Amulet of Autopsy</t>
  </si>
  <si>
    <t>Naxx10 Heigan</t>
  </si>
  <si>
    <t>Titanium Earthguard Chain</t>
  </si>
  <si>
    <t>Crafted (BoE) Jewelcrafting</t>
  </si>
  <si>
    <t>Medallion of the Disgraced</t>
  </si>
  <si>
    <t>Naxx10 Trash</t>
  </si>
  <si>
    <t>Chained Military Gorget</t>
  </si>
  <si>
    <t>Heroic Badge x25 </t>
  </si>
  <si>
    <t>Shadowseeker's Pendant</t>
  </si>
  <si>
    <t>Old Kingdom Heroic Jedoga </t>
  </si>
  <si>
    <t>Pendant of the Nathrezim</t>
  </si>
  <si>
    <t>CoT: Strat Heroic Mal'ganis</t>
  </si>
  <si>
    <t>Burning Skull Pendant</t>
  </si>
  <si>
    <t>Amulet of Deflected Blows</t>
  </si>
  <si>
    <t>Utgarde Pinnacle Skadi</t>
  </si>
  <si>
    <t>Amulet of the Sills</t>
  </si>
  <si>
    <t>Halls of Stone Sjonnir</t>
  </si>
  <si>
    <t>Cast Steel Choker</t>
  </si>
  <si>
    <t>Torta's Oversized Choker</t>
  </si>
  <si>
    <t>Betrayer's Choker</t>
  </si>
  <si>
    <t>Reinforced Titanium Neckguard</t>
  </si>
  <si>
    <t>Blood-Infused Pendant</t>
  </si>
  <si>
    <t>Tiled-Stone Pendant</t>
  </si>
  <si>
    <t>Collar of the Pit Lord</t>
  </si>
  <si>
    <t>Brutallus</t>
  </si>
  <si>
    <t>Woven Steel Necklace</t>
  </si>
  <si>
    <t>Pendant of the Titans</t>
  </si>
  <si>
    <t>RoS</t>
  </si>
  <si>
    <t>Darkener's Grasp</t>
  </si>
  <si>
    <t>Kael (Quest)</t>
  </si>
  <si>
    <t>Frayed Tether of the Drowned</t>
  </si>
  <si>
    <t>Brooch of Deftness</t>
  </si>
  <si>
    <t>35 Badges</t>
  </si>
  <si>
    <t>Barbed Choker of Discipline</t>
  </si>
  <si>
    <t>Shattered Sun Pendant of Resolve</t>
  </si>
  <si>
    <t>SSO Exalted</t>
  </si>
  <si>
    <t>Shattered Sun Pendant of Might</t>
  </si>
  <si>
    <t>Necklace of the Juggernaut</t>
  </si>
  <si>
    <t>25 Badges</t>
  </si>
  <si>
    <t>Sand-Worn Band</t>
  </si>
  <si>
    <t>Naxx25 Anub'rekhan</t>
  </si>
  <si>
    <t>Ring</t>
  </si>
  <si>
    <t>Gatekeeper</t>
  </si>
  <si>
    <t>Signet of the Impregnable Fortress</t>
  </si>
  <si>
    <t>R-Badgex25 </t>
  </si>
  <si>
    <t>Titanium Earthguard Ring</t>
  </si>
  <si>
    <t>Crafted Jewelcrafting</t>
  </si>
  <si>
    <t>Deflection and</t>
  </si>
  <si>
    <t>Naxx10 Anub'rekhan</t>
  </si>
  <si>
    <t>Signet of the Accord</t>
  </si>
  <si>
    <t>Keystone Great-Ring</t>
  </si>
  <si>
    <t>Dark'tharon Keep Heroic </t>
  </si>
  <si>
    <t>Band of Torture</t>
  </si>
  <si>
    <t>Oculus Heroic Drakos</t>
  </si>
  <si>
    <t>Nerubian Shield Ring</t>
  </si>
  <si>
    <t>Woeful Band</t>
  </si>
  <si>
    <t>Halls of Stone Heroic Maiden</t>
  </si>
  <si>
    <t>Unsmashable Heavy Band</t>
  </si>
  <si>
    <t>Ring of Earthen Might</t>
  </si>
  <si>
    <t>Dragonflight Great-Ring</t>
  </si>
  <si>
    <t>Oculus Eregos Cache</t>
  </si>
  <si>
    <t>Staunch Signet</t>
  </si>
  <si>
    <t>Solid Platinum Band</t>
  </si>
  <si>
    <t>Gal'darah's Signet</t>
  </si>
  <si>
    <t>Gundrak Gal'darah</t>
  </si>
  <si>
    <t>Iceforged Battle Ring</t>
  </si>
  <si>
    <t>Kurzel's Warband</t>
  </si>
  <si>
    <t>Signet of Arachnathid Command</t>
  </si>
  <si>
    <t>Azjol-Nerub Anub'arak</t>
  </si>
  <si>
    <t>Ring of Hardened Resolve</t>
  </si>
  <si>
    <t>Entropius</t>
  </si>
  <si>
    <t>Tooga's Lost Toenail</t>
  </si>
  <si>
    <t>Singnet of the Last Defender</t>
  </si>
  <si>
    <t>ZA</t>
  </si>
  <si>
    <t>Ring of the Stalwart Protector</t>
  </si>
  <si>
    <t>Band of the Abyssal Lord</t>
  </si>
  <si>
    <t>Supremus</t>
  </si>
  <si>
    <t>Band of the Eternal Defender</t>
  </si>
  <si>
    <t>Scale of Sands</t>
  </si>
  <si>
    <t>Violet Signet of the Great Protector</t>
  </si>
  <si>
    <t>Voilet Eye Exalted</t>
  </si>
  <si>
    <t>Ring of Sundered Souls</t>
  </si>
  <si>
    <t>Tidewalker</t>
  </si>
  <si>
    <t>Seventh Ring of the Tirisfalen</t>
  </si>
  <si>
    <t>Eye Trash</t>
  </si>
  <si>
    <t>Shermanar Great Ring</t>
  </si>
  <si>
    <t>Aran</t>
  </si>
  <si>
    <t>Voilet Signet</t>
  </si>
  <si>
    <t>Kara Quest</t>
  </si>
  <si>
    <t>Ring of Unyielding Force</t>
  </si>
  <si>
    <t>Band of Impenetrable Defense</t>
  </si>
  <si>
    <t>Elementium Band of the Sentry</t>
  </si>
  <si>
    <t>Arcatraz</t>
  </si>
  <si>
    <t>Lieutenant's Signet of Lordaeran</t>
  </si>
  <si>
    <t>Old Hillsbrad</t>
  </si>
  <si>
    <t>Worgen's Ring of Revitalization</t>
  </si>
  <si>
    <t>Iron Band of the Unbreakable</t>
  </si>
  <si>
    <t>Dath'Remar's Ring of Defense</t>
  </si>
  <si>
    <t>Andormu's Tear</t>
  </si>
  <si>
    <t>CoT Quest</t>
  </si>
  <si>
    <t>Wall of Terror</t>
  </si>
  <si>
    <t>Nax25 </t>
  </si>
  <si>
    <t>Shield</t>
  </si>
  <si>
    <t>Hero's Surrender</t>
  </si>
  <si>
    <t>Barricade of Eternity</t>
  </si>
  <si>
    <t>EoE10 </t>
  </si>
  <si>
    <t>The Skull of Ruin</t>
  </si>
  <si>
    <t>Naxx10 </t>
  </si>
  <si>
    <t>Crygil's Discarded Plate Panel</t>
  </si>
  <si>
    <t>H Badge </t>
  </si>
  <si>
    <t>Royal Crest of Lordaeron</t>
  </si>
  <si>
    <t>H Strat past </t>
  </si>
  <si>
    <t>Titansteel Shield Wall</t>
  </si>
  <si>
    <t>Craft </t>
  </si>
  <si>
    <t>Bulwark of the Noble Protector</t>
  </si>
  <si>
    <t>H Nex </t>
  </si>
  <si>
    <t>Leeka's Shield</t>
  </si>
  <si>
    <t>Strat Past </t>
  </si>
  <si>
    <t>Riot Shield</t>
  </si>
  <si>
    <t>VH </t>
  </si>
  <si>
    <t>Saronite Bulwark</t>
  </si>
  <si>
    <t>Sword Breakers Bulwark</t>
  </si>
  <si>
    <t>Felmyst</t>
  </si>
  <si>
    <t>Bulwark of Azzinoth</t>
  </si>
  <si>
    <t>Kaz'Rogal's Hardened Heart (sta)</t>
  </si>
  <si>
    <t>Bulwark of the warchief</t>
  </si>
  <si>
    <t>HE Rev </t>
  </si>
  <si>
    <t>Saronite Defender</t>
  </si>
  <si>
    <t>Blade-Binding Bulwark</t>
  </si>
  <si>
    <t>Bulwark of the Tormented God</t>
  </si>
  <si>
    <t>Bulwark of the Amani Empire (sta)</t>
  </si>
  <si>
    <t>Dragonhawk</t>
  </si>
  <si>
    <t>Illidari Runeshield</t>
  </si>
  <si>
    <t>BT Trash</t>
  </si>
  <si>
    <t>Aldori Legacy Defender</t>
  </si>
  <si>
    <t>Merciless Gladiator Shield Wall</t>
  </si>
  <si>
    <t>Sunward Crest</t>
  </si>
  <si>
    <t>Dawnforge Defender</t>
  </si>
  <si>
    <t>Valorous Redemption Shoulderguards</t>
  </si>
  <si>
    <t>Naxx25  Loatheb</t>
  </si>
  <si>
    <t>Shoulders</t>
  </si>
  <si>
    <t>Burdened Shoulderplates</t>
  </si>
  <si>
    <t>Pauldrons of Unnatural Death</t>
  </si>
  <si>
    <t>Heroe's Redemption Shoulderguards</t>
  </si>
  <si>
    <t>Naxx20 Loatheb</t>
  </si>
  <si>
    <t>Abomination Shoulderblades</t>
  </si>
  <si>
    <t>Naxx10 Patchwerk</t>
  </si>
  <si>
    <t>Wapach's Spaulders of Solidarity</t>
  </si>
  <si>
    <t>Pauldrons of the Colossus</t>
  </si>
  <si>
    <t>Heroic Gundark</t>
  </si>
  <si>
    <t>Iron Dwarf Smith Pauldrons</t>
  </si>
  <si>
    <t>Heroic Halls of Lightning Bjarngrim</t>
  </si>
  <si>
    <t>Pauldrons of Perserverence</t>
  </si>
  <si>
    <t>Crusader's Square Pauldrons</t>
  </si>
  <si>
    <t>CoT Strat zone drop</t>
  </si>
  <si>
    <t>Glimmershell Shoulder protectors</t>
  </si>
  <si>
    <t>Oracles Revered?</t>
  </si>
  <si>
    <t>Lightbringer Shoulderguards (sta,sta)</t>
  </si>
  <si>
    <t>Mother</t>
  </si>
  <si>
    <t>y,y</t>
  </si>
  <si>
    <t>Pauldrons of Reconnaissance</t>
  </si>
  <si>
    <t>Tempered Saronite Shoulders</t>
  </si>
  <si>
    <t>Crystalforge Shoulderguards (sta,sta)</t>
  </si>
  <si>
    <t>Void Reaver</t>
  </si>
  <si>
    <t>r,r</t>
  </si>
  <si>
    <t>Tundra Pauldrons</t>
  </si>
  <si>
    <t>Pauldrons of Stone Resolve (sta,sta)</t>
  </si>
  <si>
    <t>2nd ZA Timer</t>
  </si>
  <si>
    <t>b,b</t>
  </si>
  <si>
    <t>Pauldrons of Abyssal Fury</t>
  </si>
  <si>
    <t>Justicar Shoulderguards (sta, sta/str)</t>
  </si>
  <si>
    <t>HKM</t>
  </si>
  <si>
    <t>b,y</t>
  </si>
  <si>
    <t>Merciless Gladiator Scaled Shoulders (Sta/Sta)</t>
  </si>
  <si>
    <t>Bone-Polished Iceplate Shoulders</t>
  </si>
  <si>
    <t>Mantle of Abrahmis (sta,sta)</t>
  </si>
  <si>
    <t>Netherspite</t>
  </si>
  <si>
    <t>Ablative Chitin Girdle</t>
  </si>
  <si>
    <t>Waist</t>
  </si>
  <si>
    <t>Fleshless Girdle</t>
  </si>
  <si>
    <t>Naxx25 Patchwerk</t>
  </si>
  <si>
    <t>Waistguard of Living Iron</t>
  </si>
  <si>
    <t>Heroic Badge x 40 </t>
  </si>
  <si>
    <t>Waistguard of the Tutor</t>
  </si>
  <si>
    <t>Naxx10 Razuvious</t>
  </si>
  <si>
    <t>Ancient Aligned Girdle</t>
  </si>
  <si>
    <t>Azjol-Nerub heroic Anub'arak</t>
  </si>
  <si>
    <t>Waistguard of the Risen Knight</t>
  </si>
  <si>
    <t>Skadi's Iron Belt</t>
  </si>
  <si>
    <t>Utgarde Pinnacle Heroic Skadi</t>
  </si>
  <si>
    <t>Girdle of Obscuring</t>
  </si>
  <si>
    <t>The Oculus Urum</t>
  </si>
  <si>
    <t>Lightbringer Waistguard</t>
  </si>
  <si>
    <t>Sunwell</t>
  </si>
  <si>
    <t>Girdle of Mighty Resolve (sta,sta)</t>
  </si>
  <si>
    <t>Bloodboil</t>
  </si>
  <si>
    <t>Girdle of Stability (sta,sta)</t>
  </si>
  <si>
    <t>Belt of the Guardian (sta/sta)</t>
  </si>
  <si>
    <t>Girdle of the Fearless (sta/str)</t>
  </si>
  <si>
    <t>Irontusk Girdle (sta, sta)</t>
  </si>
  <si>
    <t>Girdle of the Invulnerable (sta/str, sta)</t>
  </si>
  <si>
    <t>Girdle of the Protector (sta, sta/def)</t>
  </si>
  <si>
    <t>Tempered Saronite Belt</t>
  </si>
  <si>
    <t>Crimson Girdle of the Indomitable (sta,sta)</t>
  </si>
  <si>
    <t>Moroes</t>
  </si>
  <si>
    <t>Bracers of the Unholy Knight</t>
  </si>
  <si>
    <t>Naxx25 Instructor Razuvious</t>
  </si>
  <si>
    <t>Wrist</t>
  </si>
  <si>
    <t>Bindings of the Hapless Prey</t>
  </si>
  <si>
    <t>Naxx25 Maexxna</t>
  </si>
  <si>
    <t>Bracers of Dalaran's Parapets</t>
  </si>
  <si>
    <t>Raid Badge x 60 </t>
  </si>
  <si>
    <t>Minion Bracers</t>
  </si>
  <si>
    <t>Bracers of the Herald</t>
  </si>
  <si>
    <t>Old Kingdom Heroic Volazj</t>
  </si>
  <si>
    <t>Bindings of Dark Will</t>
  </si>
  <si>
    <t>CoT Strat Salramm</t>
  </si>
  <si>
    <t>Svala's Bloodied Shackles</t>
  </si>
  <si>
    <t>Utgarde Pinnacle Svala</t>
  </si>
  <si>
    <t>Lightbringer Wristguards</t>
  </si>
  <si>
    <t>Bracers of Reverence</t>
  </si>
  <si>
    <t>Quest Dungeon Reward Occulos</t>
  </si>
  <si>
    <t>Tempored Saronite Bracers</t>
  </si>
  <si>
    <t>Tempered Saronite Bracers</t>
  </si>
  <si>
    <t>Seeker's Wristguards</t>
  </si>
  <si>
    <t>Eleternium Shell Braceres</t>
  </si>
  <si>
    <t>Wristguards of Determination</t>
  </si>
  <si>
    <t>Bracers of the Ancient Phalanx</t>
  </si>
  <si>
    <t>Vambraces of Courage (sta)</t>
  </si>
  <si>
    <t>Attumen</t>
  </si>
  <si>
    <t>Bracers of Dignity</t>
  </si>
  <si>
    <t>Heroic ?</t>
  </si>
  <si>
    <t>Bracers of the Green Fortress</t>
  </si>
  <si>
    <t>red</t>
  </si>
  <si>
    <t>Parry 8 Sta 12</t>
  </si>
  <si>
    <t>12sta</t>
  </si>
  <si>
    <t>8 parry</t>
  </si>
  <si>
    <t>yellow</t>
  </si>
  <si>
    <t>Def 8 Sta 12</t>
  </si>
  <si>
    <t>7sta</t>
  </si>
  <si>
    <t>5def</t>
  </si>
  <si>
    <t>blue</t>
  </si>
  <si>
    <t>Sta 24</t>
  </si>
  <si>
    <t>15sta</t>
  </si>
  <si>
    <t>meta</t>
  </si>
  <si>
    <t>Austere Earthsiege Diamond 32 stam +2% armor</t>
  </si>
  <si>
    <t>32sta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</si>
</sst>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5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9933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FF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FF"/>
      <name val="Arial"/>
    </font>
    <font>
      <b val="0"/>
      <i val="0"/>
      <strike val="0"/>
      <u val="none"/>
      <sz val="9.0"/>
      <color rgb="FF993366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993366"/>
      <name val="Arial"/>
    </font>
    <font>
      <b val="0"/>
      <i val="0"/>
      <strike val="0"/>
      <u val="none"/>
      <sz val="10.0"/>
      <color rgb="FF9933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9933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FF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9933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993366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000FF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993366"/>
      <name val="Arial"/>
    </font>
    <font>
      <b val="0"/>
      <i val="0"/>
      <strike val="0"/>
      <u val="none"/>
      <sz val="10.0"/>
      <color rgb="FFFFFF00"/>
      <name val="Arial"/>
    </font>
    <font>
      <b val="0"/>
      <i val="0"/>
      <strike val="0"/>
      <u val="none"/>
      <sz val="9.0"/>
      <color rgb="FF0000FF"/>
      <name val="Arial"/>
    </font>
    <font>
      <b val="0"/>
      <i val="0"/>
      <strike val="0"/>
      <u val="none"/>
      <sz val="9.0"/>
      <color rgb="FF993366"/>
      <name val="Arial"/>
    </font>
    <font>
      <b val="0"/>
      <i val="0"/>
      <strike val="0"/>
      <u val="none"/>
      <sz val="9.0"/>
      <color rgb="FF9933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9933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9933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FF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FF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9933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993366"/>
      <name val="Arial"/>
    </font>
    <font>
      <b val="0"/>
      <i val="0"/>
      <strike val="0"/>
      <u val="none"/>
      <sz val="10.0"/>
      <color rgb="FF993366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808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FF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808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993366"/>
      <name val="Arial"/>
    </font>
    <font>
      <b val="0"/>
      <i val="0"/>
      <strike val="0"/>
      <u val="none"/>
      <sz val="10.0"/>
      <color rgb="FFFFFF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FFFF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FF"/>
      <name val="Arial"/>
    </font>
    <font>
      <b val="0"/>
      <i val="0"/>
      <strike val="0"/>
      <u val="none"/>
      <sz val="10.0"/>
      <color rgb="FF808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993366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9933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808000"/>
      <name val="Arial"/>
    </font>
    <font>
      <b val="0"/>
      <i val="0"/>
      <strike val="0"/>
      <u val="none"/>
      <sz val="10.0"/>
      <color rgb="FFFFFF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9933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FF"/>
      <name val="Arial"/>
    </font>
    <font>
      <b val="0"/>
      <i val="0"/>
      <strike val="0"/>
      <u val="none"/>
      <sz val="9.0"/>
      <color rgb="FF0000FF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9933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0000FF"/>
      <name val="Arial"/>
    </font>
    <font>
      <b val="0"/>
      <i val="0"/>
      <strike val="0"/>
      <u val="none"/>
      <sz val="10.0"/>
      <color rgb="FF0000FF"/>
      <name val="Arial"/>
    </font>
    <font>
      <b val="0"/>
      <i val="0"/>
      <strike val="0"/>
      <u val="none"/>
      <sz val="10.0"/>
      <color rgb="FF808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FF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00"/>
      <name val="Arial"/>
    </font>
  </fonts>
  <fills count="121">
    <fill>
      <patternFill patternType="none"/>
    </fill>
    <fill>
      <patternFill patternType="gray125">
        <bgColor rgb="FFFFFFFF"/>
      </patternFill>
    </fill>
    <fill>
      <patternFill patternType="solid">
        <fgColor rgb="FF99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64"/>
      </patternFill>
    </fill>
  </fills>
  <borders count="13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1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indexed="64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indexed="64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1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/>
      <right/>
      <top style="thin">
        <color rgb="FF010000"/>
      </top>
      <bottom/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indexed="64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indexed="64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indexed="64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 style="thin">
        <color rgb="FF010000"/>
      </right>
      <top style="thin">
        <color indexed="64"/>
      </top>
      <bottom style="thin">
        <color rgb="FF010000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/>
      <right/>
      <top style="thin">
        <color rgb="FF01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1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10000"/>
      </right>
      <top/>
      <bottom/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10000"/>
      </right>
      <top style="thin">
        <color indexed="64"/>
      </top>
      <bottom style="thin">
        <color rgb="FF01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indexed="64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rgb="FF010000"/>
      </left>
      <right style="thin">
        <color rgb="FF010000"/>
      </right>
      <top style="thin">
        <color indexed="64"/>
      </top>
      <bottom style="thin">
        <color rgb="FF01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fillId="0" numFmtId="0" borderId="0" fontId="0"/>
  </cellStyleXfs>
  <cellXfs count="135">
    <xf applyAlignment="1" fillId="0" xfId="0" numFmtId="0" borderId="0" fontId="0">
      <alignment vertical="bottom" horizontal="general" wrapText="1"/>
    </xf>
    <xf applyBorder="1" fillId="0" xfId="0" numFmtId="0" borderId="1" applyFont="1" fontId="1"/>
    <xf applyBorder="1" fillId="2" xfId="0" numFmtId="0" borderId="2" applyFont="1" fontId="2" applyFill="1"/>
    <xf applyBorder="1" fillId="3" xfId="0" numFmtId="0" borderId="3" applyFont="1" fontId="3" applyFill="1"/>
    <xf applyBorder="1" fillId="4" xfId="0" numFmtId="0" borderId="4" applyFont="1" fontId="4" applyFill="1"/>
    <xf applyBorder="1" fillId="5" xfId="0" numFmtId="0" borderId="5" applyFont="1" fontId="5" applyFill="1"/>
    <xf applyBorder="1" applyAlignment="1" fillId="6" xfId="0" numFmtId="0" borderId="6" applyFont="1" fontId="6" applyFill="1">
      <alignment vertical="bottom" horizontal="general" wrapText="1"/>
    </xf>
    <xf applyBorder="1" fillId="7" xfId="0" numFmtId="1" borderId="7" applyFont="1" fontId="7" applyNumberFormat="1" applyFill="1"/>
    <xf applyBorder="1" fillId="8" xfId="0" numFmtId="0" borderId="8" applyFont="1" fontId="8" applyFill="1"/>
    <xf applyBorder="1" fillId="9" xfId="0" numFmtId="0" borderId="9" applyFont="1" fontId="9" applyFill="1"/>
    <xf applyBorder="1" fillId="10" xfId="0" numFmtId="0" borderId="10" applyFont="1" fontId="10" applyFill="1"/>
    <xf applyBorder="1" fillId="11" xfId="0" numFmtId="0" borderId="11" applyFont="1" fontId="11" applyFill="1"/>
    <xf applyBorder="1" fillId="12" xfId="0" numFmtId="0" borderId="12" applyFont="1" fontId="12" applyFill="1"/>
    <xf applyBorder="1" fillId="13" xfId="0" numFmtId="0" borderId="13" applyFont="1" fontId="13" applyFill="1"/>
    <xf applyBorder="1" fillId="14" xfId="0" numFmtId="0" borderId="14" applyFont="1" fontId="14" applyFill="1"/>
    <xf applyBorder="1" fillId="15" xfId="0" numFmtId="0" borderId="15" applyFont="1" fontId="15" applyFill="1"/>
    <xf applyBorder="1" fillId="0" xfId="0" numFmtId="0" borderId="16" applyFont="1" fontId="16"/>
    <xf applyBorder="1" fillId="16" xfId="0" numFmtId="0" borderId="17" applyFont="1" fontId="17" applyFill="1"/>
    <xf applyBorder="1" fillId="17" xfId="0" numFmtId="0" borderId="18" applyFont="1" fontId="18" applyFill="1"/>
    <xf applyBorder="1" fillId="18" xfId="0" numFmtId="1" borderId="19" applyFont="1" fontId="19" applyNumberFormat="1" applyFill="1"/>
    <xf applyBorder="1" fillId="19" xfId="0" numFmtId="0" borderId="20" applyFont="1" fontId="20" applyFill="1"/>
    <xf applyBorder="1" fillId="20" xfId="0" numFmtId="0" borderId="21" applyFont="1" fontId="21" applyFill="1"/>
    <xf applyBorder="1" applyAlignment="1" fillId="21" xfId="0" numFmtId="0" borderId="22" applyFont="1" fontId="22" applyFill="1">
      <alignment vertical="bottom" horizontal="general" wrapText="1"/>
    </xf>
    <xf applyBorder="1" fillId="22" xfId="0" numFmtId="1" borderId="23" applyFont="1" fontId="23" applyNumberFormat="1" applyFill="1"/>
    <xf applyBorder="1" fillId="23" xfId="0" numFmtId="0" borderId="24" applyFont="1" fontId="24" applyFill="1"/>
    <xf applyBorder="1" fillId="24" xfId="0" numFmtId="0" borderId="25" applyFont="1" fontId="25" applyFill="1"/>
    <xf applyBorder="1" fillId="25" xfId="0" numFmtId="0" borderId="26" applyFont="1" fontId="26" applyFill="1"/>
    <xf applyBorder="1" fillId="26" xfId="0" numFmtId="0" borderId="27" applyFont="1" fontId="27" applyFill="1"/>
    <xf applyBorder="1" fillId="27" xfId="0" numFmtId="0" borderId="28" applyFont="1" fontId="28" applyFill="1"/>
    <xf applyBorder="1" fillId="28" xfId="0" numFmtId="1" borderId="29" applyFont="1" fontId="29" applyNumberFormat="1" applyFill="1"/>
    <xf fillId="0" xfId="0" numFmtId="0" borderId="0" applyFont="1" fontId="30"/>
    <xf applyBorder="1" fillId="29" xfId="0" numFmtId="0" borderId="30" applyFont="1" fontId="31" applyFill="1"/>
    <xf applyBorder="1" applyAlignment="1" fillId="30" xfId="0" numFmtId="0" borderId="31" applyFont="1" fontId="32" applyFill="1">
      <alignment vertical="bottom" horizontal="general" wrapText="1"/>
    </xf>
    <xf applyBorder="1" fillId="31" xfId="0" numFmtId="0" borderId="32" applyFont="1" fontId="33" applyFill="1"/>
    <xf applyBorder="1" fillId="32" xfId="0" numFmtId="0" borderId="33" applyFont="1" fontId="34" applyFill="1"/>
    <xf applyBorder="1" fillId="33" xfId="0" numFmtId="1" borderId="34" applyFont="1" fontId="35" applyNumberFormat="1" applyFill="1"/>
    <xf applyBorder="1" fillId="34" xfId="0" numFmtId="0" borderId="35" applyFont="1" fontId="36" applyFill="1"/>
    <xf applyBorder="1" fillId="35" xfId="0" numFmtId="0" borderId="36" applyFont="1" fontId="37" applyFill="1"/>
    <xf applyBorder="1" fillId="36" xfId="0" numFmtId="0" borderId="37" applyFont="1" fontId="38" applyFill="1"/>
    <xf applyBorder="1" fillId="37" xfId="0" numFmtId="0" borderId="38" applyFont="1" fontId="39" applyFill="1"/>
    <xf applyBorder="1" fillId="38" xfId="0" numFmtId="0" borderId="39" applyFont="1" fontId="40" applyFill="1"/>
    <xf applyBorder="1" fillId="39" xfId="0" numFmtId="0" borderId="40" applyFont="1" fontId="41" applyFill="1"/>
    <xf applyBorder="1" fillId="40" xfId="0" numFmtId="0" borderId="41" applyFont="1" fontId="42" applyFill="1"/>
    <xf applyBorder="1" fillId="41" xfId="0" numFmtId="0" borderId="42" applyFont="1" fontId="43" applyFill="1"/>
    <xf fillId="0" xfId="0" numFmtId="0" borderId="0" applyFont="1" fontId="44"/>
    <xf applyBorder="1" fillId="42" xfId="0" numFmtId="0" borderId="43" applyFont="1" fontId="45" applyFill="1"/>
    <xf applyBorder="1" fillId="43" xfId="0" numFmtId="0" borderId="44" applyFont="1" fontId="46" applyFill="1"/>
    <xf applyBorder="1" applyAlignment="1" fillId="44" xfId="0" numFmtId="0" borderId="45" applyFont="1" fontId="47" applyFill="1">
      <alignment vertical="bottom" horizontal="general" wrapText="1"/>
    </xf>
    <xf applyBorder="1" fillId="45" xfId="0" numFmtId="0" borderId="46" applyFont="1" fontId="48" applyFill="1"/>
    <xf applyBorder="1" fillId="0" xfId="0" numFmtId="0" borderId="47" applyFont="1" fontId="49"/>
    <xf applyBorder="1" fillId="46" xfId="0" numFmtId="0" borderId="48" applyFont="1" fontId="50" applyFill="1"/>
    <xf applyBorder="1" fillId="47" xfId="0" numFmtId="0" borderId="49" applyFont="1" fontId="51" applyFill="1"/>
    <xf applyBorder="1" fillId="48" xfId="0" numFmtId="0" borderId="50" applyFont="1" fontId="52" applyFill="1"/>
    <xf applyBorder="1" fillId="49" xfId="0" numFmtId="0" borderId="51" applyFont="1" fontId="53" applyFill="1"/>
    <xf applyBorder="1" fillId="50" xfId="0" numFmtId="0" borderId="52" applyFont="1" fontId="54" applyFill="1"/>
    <xf applyBorder="1" fillId="51" xfId="0" numFmtId="0" borderId="53" applyFont="1" fontId="55" applyFill="1"/>
    <xf applyBorder="1" applyAlignment="1" fillId="52" xfId="0" numFmtId="0" borderId="54" applyFont="1" fontId="56" applyFill="1">
      <alignment vertical="bottom" horizontal="general" wrapText="1"/>
    </xf>
    <xf applyBorder="1" fillId="53" xfId="0" numFmtId="0" borderId="55" applyFont="1" fontId="57" applyFill="1"/>
    <xf applyBorder="1" fillId="54" xfId="0" numFmtId="0" borderId="56" applyFont="1" fontId="58" applyFill="1"/>
    <xf applyBorder="1" fillId="55" xfId="0" numFmtId="0" borderId="57" applyFont="1" fontId="59" applyFill="1"/>
    <xf applyBorder="1" fillId="56" xfId="0" numFmtId="1" borderId="58" applyFont="1" fontId="60" applyNumberFormat="1" applyFill="1"/>
    <xf applyBorder="1" fillId="57" xfId="0" numFmtId="0" borderId="59" applyFont="1" fontId="61" applyFill="1"/>
    <xf applyBorder="1" applyAlignment="1" fillId="58" xfId="0" numFmtId="1" borderId="60" applyFont="1" fontId="62" applyNumberFormat="1" applyFill="1">
      <alignment vertical="bottom" horizontal="general" wrapText="1"/>
    </xf>
    <xf applyBorder="1" fillId="59" xfId="0" numFmtId="0" borderId="61" applyFont="1" fontId="63" applyFill="1"/>
    <xf applyBorder="1" fillId="0" xfId="0" numFmtId="0" borderId="62" applyFont="1" fontId="64"/>
    <xf applyBorder="1" fillId="60" xfId="0" numFmtId="0" borderId="63" applyFont="1" fontId="65" applyFill="1"/>
    <xf applyBorder="1" fillId="61" xfId="0" numFmtId="0" borderId="64" applyFont="1" fontId="66" applyFill="1"/>
    <xf applyBorder="1" applyAlignment="1" fillId="62" xfId="0" numFmtId="0" borderId="65" applyFont="1" fontId="67" applyFill="1">
      <alignment vertical="bottom" horizontal="general" wrapText="1"/>
    </xf>
    <xf applyBorder="1" fillId="63" xfId="0" numFmtId="0" borderId="66" applyFont="1" fontId="68" applyFill="1"/>
    <xf applyBorder="1" fillId="64" xfId="0" numFmtId="0" borderId="67" applyFont="1" fontId="69" applyFill="1"/>
    <xf applyBorder="1" fillId="65" xfId="0" numFmtId="0" borderId="68" applyFont="1" fontId="70" applyFill="1"/>
    <xf applyBorder="1" fillId="66" xfId="0" numFmtId="0" borderId="69" applyFont="1" fontId="71" applyFill="1"/>
    <xf applyBorder="1" fillId="67" xfId="0" numFmtId="0" borderId="70" applyFont="1" fontId="72" applyFill="1"/>
    <xf applyBorder="1" fillId="68" xfId="0" numFmtId="1" borderId="71" applyFont="1" fontId="73" applyNumberFormat="1" applyFill="1"/>
    <xf applyBorder="1" fillId="69" xfId="0" numFmtId="0" borderId="72" applyFont="1" fontId="74" applyFill="1"/>
    <xf applyBorder="1" fillId="70" xfId="0" numFmtId="1" borderId="73" applyFont="1" fontId="75" applyNumberFormat="1" applyFill="1"/>
    <xf applyBorder="1" fillId="71" xfId="0" numFmtId="0" borderId="74" applyFont="1" fontId="76" applyFill="1"/>
    <xf applyBorder="1" fillId="72" xfId="0" numFmtId="0" borderId="75" applyFont="1" fontId="77" applyFill="1"/>
    <xf applyBorder="1" fillId="73" xfId="0" numFmtId="0" borderId="76" applyFont="1" fontId="78" applyFill="1"/>
    <xf applyBorder="1" fillId="74" xfId="0" numFmtId="0" borderId="77" applyFont="1" fontId="79" applyFill="1"/>
    <xf applyBorder="1" fillId="75" xfId="0" numFmtId="0" borderId="78" applyFont="1" fontId="80" applyFill="1"/>
    <xf applyBorder="1" applyAlignment="1" fillId="76" xfId="0" numFmtId="2" borderId="79" applyFont="1" fontId="81" applyNumberFormat="1" applyFill="1">
      <alignment vertical="bottom" horizontal="general" wrapText="1"/>
    </xf>
    <xf applyBorder="1" applyAlignment="1" fillId="0" xfId="0" numFmtId="0" borderId="80" applyFont="1" fontId="82">
      <alignment vertical="bottom" horizontal="general" wrapText="1"/>
    </xf>
    <xf applyBorder="1" applyAlignment="1" fillId="77" xfId="0" numFmtId="0" borderId="81" applyFont="1" fontId="83" applyFill="1">
      <alignment vertical="bottom" horizontal="general" wrapText="1"/>
    </xf>
    <xf applyBorder="1" fillId="78" xfId="0" numFmtId="0" borderId="82" applyFont="1" fontId="84" applyFill="1"/>
    <xf applyBorder="1" fillId="79" xfId="0" numFmtId="0" borderId="83" applyFont="1" fontId="85" applyFill="1"/>
    <xf applyBorder="1" fillId="80" xfId="0" numFmtId="1" borderId="84" applyFont="1" fontId="86" applyNumberFormat="1" applyFill="1"/>
    <xf applyBorder="1" fillId="81" xfId="0" numFmtId="0" borderId="85" applyFont="1" fontId="87" applyFill="1"/>
    <xf applyBorder="1" fillId="0" xfId="0" numFmtId="0" borderId="86" applyFont="1" fontId="88"/>
    <xf applyBorder="1" fillId="82" xfId="0" numFmtId="0" borderId="87" applyFont="1" fontId="89" applyFill="1"/>
    <xf applyBorder="1" fillId="83" xfId="0" numFmtId="0" borderId="88" applyFont="1" fontId="90" applyFill="1"/>
    <xf fillId="0" xfId="0" numFmtId="0" borderId="0" applyFont="1" fontId="91"/>
    <xf applyBorder="1" fillId="84" xfId="0" numFmtId="0" borderId="89" applyFont="1" fontId="92" applyFill="1"/>
    <xf applyBorder="1" fillId="0" xfId="0" numFmtId="0" borderId="90" applyFont="1" fontId="93"/>
    <xf applyBorder="1" applyAlignment="1" fillId="85" xfId="0" numFmtId="0" borderId="91" applyFont="1" fontId="94" applyFill="1">
      <alignment vertical="bottom" horizontal="general" wrapText="1"/>
    </xf>
    <xf applyBorder="1" fillId="86" xfId="0" numFmtId="0" borderId="92" applyFont="1" fontId="95" applyFill="1"/>
    <xf applyBorder="1" fillId="87" xfId="0" numFmtId="0" borderId="93" applyFont="1" fontId="96" applyFill="1"/>
    <xf applyBorder="1" applyAlignment="1" fillId="88" xfId="0" numFmtId="1" borderId="94" applyFont="1" fontId="97" applyNumberFormat="1" applyFill="1">
      <alignment vertical="bottom" horizontal="general" wrapText="1"/>
    </xf>
    <xf applyBorder="1" fillId="89" xfId="0" numFmtId="10" borderId="95" applyFont="1" fontId="98" applyNumberFormat="1" applyFill="1"/>
    <xf applyBorder="1" fillId="90" xfId="0" numFmtId="0" borderId="96" applyFont="1" fontId="99" applyFill="1"/>
    <xf applyBorder="1" fillId="91" xfId="0" numFmtId="1" borderId="97" applyFont="1" fontId="100" applyNumberFormat="1" applyFill="1"/>
    <xf applyBorder="1" fillId="92" xfId="0" numFmtId="0" borderId="98" applyFont="1" fontId="101" applyFill="1"/>
    <xf applyBorder="1" applyAlignment="1" fillId="93" xfId="0" numFmtId="0" borderId="99" applyFont="1" fontId="102" applyFill="1">
      <alignment vertical="bottom" horizontal="general" wrapText="1"/>
    </xf>
    <xf applyBorder="1" applyAlignment="1" fillId="94" xfId="0" numFmtId="0" borderId="100" applyFont="1" fontId="103" applyFill="1">
      <alignment vertical="bottom" horizontal="general" wrapText="1"/>
    </xf>
    <xf applyBorder="1" applyAlignment="1" fillId="0" xfId="0" numFmtId="1" borderId="101" applyFont="1" fontId="104" applyNumberFormat="1">
      <alignment vertical="bottom" horizontal="general" wrapText="1"/>
    </xf>
    <xf applyBorder="1" fillId="95" xfId="0" numFmtId="0" borderId="102" applyFont="1" fontId="105" applyFill="1"/>
    <xf applyBorder="1" fillId="0" xfId="0" numFmtId="0" borderId="103" applyFont="1" fontId="106"/>
    <xf applyBorder="1" fillId="96" xfId="0" numFmtId="0" borderId="104" applyFont="1" fontId="107" applyFill="1"/>
    <xf applyBorder="1" fillId="97" xfId="0" numFmtId="0" borderId="105" applyFont="1" fontId="108" applyFill="1"/>
    <xf applyBorder="1" fillId="0" xfId="0" numFmtId="0" borderId="106" applyFont="1" fontId="109"/>
    <xf applyBorder="1" fillId="98" xfId="0" numFmtId="1" borderId="107" applyFont="1" fontId="110" applyNumberFormat="1" applyFill="1"/>
    <xf applyBorder="1" fillId="99" xfId="0" numFmtId="0" borderId="108" applyFont="1" fontId="111" applyFill="1"/>
    <xf applyBorder="1" fillId="100" xfId="0" numFmtId="0" borderId="109" applyFont="1" fontId="112" applyFill="1"/>
    <xf applyBorder="1" fillId="101" xfId="0" numFmtId="0" borderId="110" applyFont="1" fontId="113" applyFill="1"/>
    <xf applyBorder="1" applyAlignment="1" fillId="102" xfId="0" numFmtId="2" borderId="111" applyFont="1" fontId="114" applyNumberFormat="1" applyFill="1">
      <alignment vertical="bottom" horizontal="general" wrapText="1"/>
    </xf>
    <xf applyBorder="1" fillId="103" xfId="0" numFmtId="0" borderId="112" applyFont="1" fontId="115" applyFill="1"/>
    <xf applyBorder="1" fillId="104" xfId="0" numFmtId="0" borderId="113" applyFont="1" fontId="116" applyFill="1"/>
    <xf applyBorder="1" fillId="105" xfId="0" numFmtId="0" borderId="114" applyFont="1" fontId="117" applyFill="1"/>
    <xf applyBorder="1" fillId="106" xfId="0" numFmtId="0" borderId="115" applyFont="1" fontId="118" applyFill="1"/>
    <xf applyBorder="1" fillId="107" xfId="0" numFmtId="0" borderId="116" applyFont="1" fontId="119" applyFill="1"/>
    <xf applyBorder="1" fillId="108" xfId="0" numFmtId="0" borderId="117" applyFont="1" fontId="120" applyFill="1"/>
    <xf applyBorder="1" applyAlignment="1" fillId="109" xfId="0" numFmtId="2" borderId="118" applyFont="1" fontId="121" applyNumberFormat="1" applyFill="1">
      <alignment vertical="bottom" horizontal="general" wrapText="1"/>
    </xf>
    <xf applyBorder="1" fillId="110" xfId="0" numFmtId="0" borderId="119" applyFont="1" fontId="122" applyFill="1"/>
    <xf applyBorder="1" fillId="111" xfId="0" numFmtId="0" borderId="120" applyFont="1" fontId="123" applyFill="1"/>
    <xf applyBorder="1" fillId="112" xfId="0" numFmtId="0" borderId="121" applyFont="1" fontId="124" applyFill="1"/>
    <xf applyBorder="1" fillId="113" xfId="0" numFmtId="0" borderId="122" applyFont="1" fontId="125" applyFill="1"/>
    <xf applyBorder="1" fillId="114" xfId="0" numFmtId="0" borderId="123" applyFont="1" fontId="126" applyFill="1"/>
    <xf applyBorder="1" fillId="115" xfId="0" numFmtId="0" borderId="124" applyFont="1" fontId="127" applyFill="1"/>
    <xf applyBorder="1" fillId="116" xfId="0" numFmtId="0" borderId="125" applyFont="1" fontId="128" applyFill="1"/>
    <xf applyBorder="1" fillId="0" xfId="0" numFmtId="0" borderId="126" applyFont="1" fontId="129"/>
    <xf applyBorder="1" fillId="117" xfId="0" numFmtId="0" borderId="127" applyFont="1" fontId="130" applyFill="1"/>
    <xf applyBorder="1" fillId="118" xfId="0" numFmtId="0" borderId="128" applyFont="1" fontId="131" applyFill="1"/>
    <xf applyBorder="1" fillId="119" xfId="0" numFmtId="0" borderId="129" applyFont="1" fontId="132" applyFill="1"/>
    <xf applyBorder="1" fillId="0" xfId="0" numFmtId="0" borderId="130" applyFont="1" fontId="133"/>
    <xf applyBorder="1" fillId="120" xfId="0" numFmtId="0" borderId="131" applyFont="1" fontId="134" applyFill="1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9.14" defaultRowHeight="12.75"/>
  <cols>
    <col min="1" customWidth="1" max="1" style="30" hidden="1" width="49.14"/>
    <col min="2" customWidth="1" max="2" style="30" width="48.14"/>
    <col min="3" customWidth="1" max="3" style="30" width="31.86"/>
    <col min="4" customWidth="1" max="9" style="30" width="9.0"/>
    <col min="10" customWidth="1" max="11" style="30" width="5.71"/>
    <col min="12" customWidth="1" max="12" style="30" width="4.71"/>
    <col min="13" customWidth="1" max="13" style="30" width="5.71"/>
    <col min="14" customWidth="1" max="15" style="30" width="4.71"/>
    <col min="16" customWidth="1" max="16" style="30" width="3.57"/>
    <col min="17" customWidth="1" max="17" style="30" width="4.71"/>
    <col min="18" customWidth="1" max="18" style="30" width="6.86"/>
    <col min="19" customWidth="1" max="21" style="30" width="4.71"/>
    <col min="22" customWidth="1" max="22" style="30" width="5.71"/>
    <col min="23" customWidth="1" max="23" style="30" width="3.57"/>
    <col min="24" customWidth="1" max="24" style="30" width="5.71"/>
    <col min="25" customWidth="1" max="25" style="30" width="2.43"/>
    <col min="26" customWidth="1" max="26" style="30" width="7.86"/>
    <col min="27" customWidth="1" max="27" style="30" width="2.43"/>
    <col min="28" customWidth="1" max="28" style="30" width="5.71"/>
    <col min="29" customWidth="1" max="32" style="30" width="3.57"/>
    <col min="33" customWidth="1" max="33" style="30" width="2.43"/>
    <col min="34" customWidth="1" max="35" style="30" width="6.86"/>
    <col min="36" customWidth="1" max="36" style="30" width="5.71"/>
    <col min="37" customWidth="1" max="37" style="30" width="9.0"/>
    <col min="38" customWidth="1" max="40" style="30" width="5.71"/>
  </cols>
  <sheetData>
    <row customHeight="1" s="30" customFormat="1" r="1" ht="24.75">
      <c t="s" s="64" r="A1">
        <v>0</v>
      </c>
      <c t="s" s="82" r="B1">
        <v>1</v>
      </c>
      <c s="82" r="C1"/>
      <c t="s" s="16" r="D1">
        <v>2</v>
      </c>
      <c t="s" s="94" r="E1">
        <v>3</v>
      </c>
      <c t="s" s="22" r="F1">
        <v>4</v>
      </c>
      <c t="s" s="22" r="G1">
        <v>5</v>
      </c>
      <c t="s" s="22" r="H1">
        <v>6</v>
      </c>
      <c t="s" s="56" r="I1">
        <v>7</v>
      </c>
      <c t="s" s="82" r="J1">
        <v>8</v>
      </c>
      <c t="s" s="82" r="K1">
        <v>9</v>
      </c>
      <c t="s" s="82" r="L1">
        <v>10</v>
      </c>
      <c t="s" s="82" r="M1">
        <v>11</v>
      </c>
      <c t="s" s="82" r="N1">
        <v>12</v>
      </c>
      <c t="s" s="82" r="O1">
        <v>13</v>
      </c>
      <c t="s" s="82" r="P1">
        <v>14</v>
      </c>
      <c t="s" s="82" r="Q1">
        <v>15</v>
      </c>
      <c t="s" s="82" r="R1">
        <v>16</v>
      </c>
      <c t="s" s="82" r="S1">
        <v>17</v>
      </c>
      <c t="s" s="82" r="T1">
        <v>18</v>
      </c>
      <c t="s" s="82" r="U1">
        <v>19</v>
      </c>
      <c t="s" s="82" r="V1">
        <v>20</v>
      </c>
      <c t="s" s="82" r="W1">
        <v>21</v>
      </c>
      <c t="s" s="82" r="X1">
        <v>22</v>
      </c>
      <c t="s" s="82" r="Y1">
        <v>23</v>
      </c>
      <c t="s" s="82" r="Z1">
        <v>24</v>
      </c>
      <c t="s" s="82" r="AA1">
        <v>25</v>
      </c>
      <c t="s" s="104" r="AB1">
        <v>26</v>
      </c>
      <c t="s" s="82" r="AC1">
        <v>27</v>
      </c>
      <c t="s" s="82" r="AD1">
        <v>28</v>
      </c>
      <c t="s" s="82" r="AE1">
        <v>29</v>
      </c>
      <c t="s" s="82" r="AF1">
        <v>30</v>
      </c>
      <c t="s" s="82" r="AG1">
        <v>31</v>
      </c>
      <c t="s" s="82" r="AH1">
        <v>32</v>
      </c>
      <c t="s" s="82" r="AI1">
        <v>33</v>
      </c>
      <c s="133" r="AJ1"/>
      <c s="30" r="AK1"/>
      <c s="30" r="AL1"/>
      <c s="30" r="AM1"/>
      <c s="30" r="AN1"/>
      <c s="30" r="AO1"/>
    </row>
    <row r="2">
      <c t="str" s="64" r="A2">
        <f>(((B2&amp;" ")&amp;C2)&amp;" ")&amp;E2</f>
        <v>Cloak of the Shadowed Sun Naxx25 Heigan 366.63239999999996</v>
      </c>
      <c t="s" s="55" r="B2">
        <v>34</v>
      </c>
      <c t="s" s="9" r="C2">
        <v>35</v>
      </c>
      <c t="s" s="9" r="D2">
        <v>36</v>
      </c>
      <c s="81" r="E2">
        <f>(F2+G2)+H2</f>
        <v>366.6324</v>
      </c>
      <c s="121" r="F2">
        <f>((((((J2*0.1)+(O2*1.25))+R2)+S2)+V2)+(X2*0.5))+(AF2*0.2)</f>
        <v>118.25</v>
      </c>
      <c s="121" r="G2">
        <f>+((K2*1.06)*1.06)</f>
        <v>94.3824</v>
      </c>
      <c s="121" r="H2">
        <f>((((AB2)+(0.3*K2))+AG2)+(AF2*0.6))+AI2</f>
        <v>154</v>
      </c>
      <c s="98" r="I2">
        <f>((((0.05*O2)+(0.053*V2))+(0.04*AC2))+(0.042*S2))/100.0</f>
        <v>0.03264</v>
      </c>
      <c s="9" r="J2">
        <v>490</v>
      </c>
      <c s="9" r="K2">
        <f>L2+M2</f>
        <v>84</v>
      </c>
      <c s="9" r="L2">
        <v>84</v>
      </c>
      <c s="9" r="M2"/>
      <c s="9" r="N2"/>
      <c s="9" r="O2">
        <f>P2+Q2</f>
        <v>25</v>
      </c>
      <c s="9" r="P2">
        <v>25</v>
      </c>
      <c s="9" r="Q2"/>
      <c s="9" r="R2"/>
      <c s="9" r="S2">
        <f>T2+U2</f>
        <v>0</v>
      </c>
      <c s="9" r="T2"/>
      <c s="9" r="U2"/>
      <c s="9" r="V2">
        <v>38</v>
      </c>
      <c s="9" r="W2"/>
      <c s="9" r="X2"/>
      <c s="9" r="Y2"/>
      <c s="9" r="Z2"/>
      <c s="9" r="AA2">
        <v>56</v>
      </c>
      <c s="9" r="AB2"/>
      <c s="9" r="AC2"/>
      <c s="9" r="AD2"/>
      <c s="9" r="AE2"/>
      <c s="9" r="AF2"/>
      <c s="9" r="AG2"/>
      <c s="94" r="AH2">
        <f>((AC2*0.6637)+AE2)+AG2</f>
        <v>0</v>
      </c>
      <c s="94" r="AI2">
        <f>(AA2*2.3)+(AD2)</f>
        <v>128.8</v>
      </c>
      <c s="133" r="AJ2"/>
      <c s="30" r="AK2"/>
      <c s="30" r="AL2"/>
      <c s="30" r="AM2"/>
      <c s="30" r="AN2"/>
      <c s="30" r="AO2"/>
    </row>
    <row r="3">
      <c t="str" s="64" r="A3">
        <f>(((B3&amp;" ")&amp;C3)&amp;" ")&amp;E3</f>
        <v>Platinum Mesh Cloak 25 Emblem of Valor 345.78240000000005</v>
      </c>
      <c t="s" s="55" r="B3">
        <v>37</v>
      </c>
      <c t="s" s="9" r="C3">
        <v>38</v>
      </c>
      <c t="s" s="9" r="D3">
        <v>36</v>
      </c>
      <c s="81" r="E3">
        <f>(F3+G3)+H3</f>
        <v>345.7824</v>
      </c>
      <c s="121" r="F3">
        <f>((((((J3*0.1)+(O3*1.25))+R3)+S3)+V3)+(X3*0.5))+(AF3*0.2)</f>
        <v>99.9</v>
      </c>
      <c s="121" r="G3">
        <f>+((K3*1.06)*1.06)</f>
        <v>94.3824</v>
      </c>
      <c s="121" r="H3">
        <f>((((AB3)+(0.3*K3))+AG3)+(AF3*0.6))+AI3</f>
        <v>151.5</v>
      </c>
      <c s="98" r="I3">
        <f>((((0.05*O3)+(0.053*V3))+(0.04*AC3))+(0.042*S3))/100.0</f>
        <v>0.03861</v>
      </c>
      <c s="9" r="J3">
        <v>154</v>
      </c>
      <c s="9" r="K3">
        <f>L3+M3</f>
        <v>84</v>
      </c>
      <c s="9" r="L3">
        <v>84</v>
      </c>
      <c s="9" r="M3"/>
      <c s="9" r="N3"/>
      <c s="9" r="O3">
        <f>P3+Q3</f>
        <v>38</v>
      </c>
      <c s="9" r="P3">
        <v>38</v>
      </c>
      <c s="9" r="Q3"/>
      <c s="9" r="R3"/>
      <c s="9" r="S3">
        <f>T3+U3</f>
        <v>0</v>
      </c>
      <c s="9" r="T3"/>
      <c s="9" r="U3"/>
      <c s="9" r="V3">
        <v>37</v>
      </c>
      <c s="9" r="W3"/>
      <c s="9" r="X3"/>
      <c s="9" r="Y3"/>
      <c s="9" r="Z3"/>
      <c s="9" r="AA3">
        <v>41</v>
      </c>
      <c s="9" r="AB3"/>
      <c s="9" r="AC3"/>
      <c s="9" r="AD3"/>
      <c s="9" r="AE3"/>
      <c s="9" r="AF3"/>
      <c s="9" r="AG3">
        <v>32</v>
      </c>
      <c s="94" r="AH3">
        <f>((AC3*0.6637)+AE3)+AG3</f>
        <v>32</v>
      </c>
      <c s="94" r="AI3">
        <f>(AA3*2.3)+(AD3)</f>
        <v>94.3</v>
      </c>
      <c s="133" r="AJ3"/>
      <c s="30" r="AK3"/>
      <c s="30" r="AL3"/>
      <c s="30" r="AM3"/>
      <c s="30" r="AN3"/>
      <c s="30" r="AO3"/>
    </row>
    <row r="4">
      <c t="str" s="64" r="A4">
        <f>(((B4&amp;" ")&amp;C4)&amp;" ")&amp;E4</f>
        <v>Shadow of the Ghoul Naxx25 Trash 313.9216</v>
      </c>
      <c t="s" s="55" r="B4">
        <v>39</v>
      </c>
      <c t="s" s="9" r="C4">
        <v>40</v>
      </c>
      <c t="s" s="9" r="D4">
        <v>36</v>
      </c>
      <c s="81" r="E4">
        <f>(F4+G4)+H4</f>
        <v>313.9216</v>
      </c>
      <c s="121" r="F4">
        <f>((((((J4*0.1)+(O4*1.25))+R4)+S4)+V4)+(X4*0.5))+(AF4*0.2)</f>
        <v>105.4</v>
      </c>
      <c s="121" r="G4">
        <f>+((K4*1.06)*1.06)</f>
        <v>62.9216</v>
      </c>
      <c s="121" r="H4">
        <f>((((AB4)+(0.3*K4))+AG4)+(AF4*0.6))+AI4</f>
        <v>145.6</v>
      </c>
      <c s="98" r="I4">
        <f>((((0.05*O4)+(0.053*V4))+(0.04*AC4))+(0.042*S4))/100.0</f>
        <v>0.019</v>
      </c>
      <c s="9" r="J4">
        <v>154</v>
      </c>
      <c s="9" r="K4">
        <f>L4+M4</f>
        <v>56</v>
      </c>
      <c s="9" r="L4">
        <v>56</v>
      </c>
      <c s="9" r="M4"/>
      <c s="9" r="N4"/>
      <c s="9" r="O4">
        <f>P4+Q4</f>
        <v>38</v>
      </c>
      <c s="9" r="P4">
        <v>38</v>
      </c>
      <c s="9" r="Q4"/>
      <c s="9" r="R4">
        <v>29</v>
      </c>
      <c s="9" r="S4">
        <f>T4+U4</f>
        <v>0</v>
      </c>
      <c s="9" r="T4"/>
      <c s="9" r="U4"/>
      <c s="9" r="V4"/>
      <c s="9" r="W4"/>
      <c s="9" r="X4">
        <v>27</v>
      </c>
      <c s="9" r="Y4"/>
      <c s="9" r="Z4"/>
      <c s="9" r="AA4">
        <v>56</v>
      </c>
      <c s="9" r="AB4"/>
      <c s="9" r="AC4"/>
      <c s="9" r="AD4"/>
      <c s="9" r="AE4"/>
      <c s="9" r="AF4"/>
      <c s="9" r="AG4"/>
      <c s="94" r="AH4">
        <f>((AC4*0.6637)+AE4)+AG4</f>
        <v>0</v>
      </c>
      <c s="94" r="AI4">
        <f>(AA4*2.3)+(AD4)</f>
        <v>128.8</v>
      </c>
      <c s="133" r="AJ4"/>
      <c s="30" r="AK4"/>
      <c s="30" r="AL4"/>
      <c s="30" r="AM4"/>
      <c s="30" r="AN4"/>
      <c s="30" r="AO4"/>
    </row>
    <row r="5">
      <c t="str" s="64" r="A5">
        <f>(((B5&amp;" ")&amp;C5)&amp;" ")&amp;E5</f>
        <v>Gale Proof Cloak Sartharion - OS 312.9116</v>
      </c>
      <c t="s" s="55" r="B5">
        <v>41</v>
      </c>
      <c t="s" s="9" r="C5">
        <v>42</v>
      </c>
      <c t="s" s="9" r="D5">
        <v>36</v>
      </c>
      <c s="81" r="E5">
        <f>(F5+G5)+H5</f>
        <v>312.9116</v>
      </c>
      <c s="121" r="F5">
        <f>((((((J5*0.1)+(O5*1.25))+R5)+S5)+V5)+(X5*0.5))+(AF5*0.2)</f>
        <v>102.2</v>
      </c>
      <c s="121" r="G5">
        <f>+((K5*1.06)*1.06)</f>
        <v>91.0116</v>
      </c>
      <c s="121" r="H5">
        <f>((((AB5)+(0.3*K5))+AG5)+(AF5*0.6))+AI5</f>
        <v>119.7</v>
      </c>
      <c s="98" r="I5">
        <f>((((0.05*O5)+(0.053*V5))+(0.04*AC5))+(0.042*S5))/100.0</f>
        <v>0.03749</v>
      </c>
      <c s="9" r="J5">
        <v>150</v>
      </c>
      <c s="9" r="K5">
        <f>L5+M5</f>
        <v>81</v>
      </c>
      <c s="9" r="L5">
        <v>63</v>
      </c>
      <c s="9" r="M5">
        <f>12.0+6.0</f>
        <v>18</v>
      </c>
      <c s="9" r="N5"/>
      <c s="9" r="O5">
        <f>P5+Q5</f>
        <v>40</v>
      </c>
      <c s="9" r="P5">
        <v>32</v>
      </c>
      <c s="9" r="Q5">
        <v>8</v>
      </c>
      <c s="9" r="R5"/>
      <c s="9" r="S5">
        <f>T5+U5</f>
        <v>0</v>
      </c>
      <c s="9" r="T5"/>
      <c s="9" r="U5"/>
      <c s="9" r="V5">
        <v>33</v>
      </c>
      <c s="9" r="W5"/>
      <c s="9" r="X5"/>
      <c s="9" r="Y5"/>
      <c s="9" r="Z5"/>
      <c s="9" r="AA5">
        <v>36</v>
      </c>
      <c s="9" r="AB5"/>
      <c s="9" r="AC5"/>
      <c s="9" r="AD5"/>
      <c s="9" r="AE5"/>
      <c s="9" r="AF5">
        <v>21</v>
      </c>
      <c s="9" r="AG5"/>
      <c s="94" r="AH5">
        <f>((AC5*0.6637)+AE5)+AG5</f>
        <v>0</v>
      </c>
      <c s="94" r="AI5">
        <f>(AA5*2.3)+(AD5)</f>
        <v>82.8</v>
      </c>
      <c s="133" r="AJ5"/>
      <c s="30" r="AK5"/>
      <c s="30" r="AL5"/>
      <c s="30" r="AM5"/>
      <c s="30" r="AN5"/>
      <c s="30" r="AO5"/>
    </row>
    <row r="6">
      <c t="str" s="64" r="A6">
        <f>(((B6&amp;" ")&amp;C6)&amp;" ")&amp;E6</f>
        <v>Durable Nerubhide Cape Leatherworking 266.87</v>
      </c>
      <c t="s" s="55" r="B6">
        <v>43</v>
      </c>
      <c t="s" s="9" r="C6">
        <v>44</v>
      </c>
      <c t="s" s="9" r="D6">
        <v>36</v>
      </c>
      <c s="81" r="E6">
        <f>(F6+G6)+H6</f>
        <v>266.87</v>
      </c>
      <c s="121" r="F6">
        <f>((((((J6*0.1)+(O6*1.25))+R6)+S6)+V6)+(X6*0.5))+(AF6*0.2)</f>
        <v>53.2</v>
      </c>
      <c s="121" r="G6">
        <f>+((K6*1.06)*1.06)</f>
        <v>84.27</v>
      </c>
      <c s="121" r="H6">
        <f>((((AB6)+(0.3*K6))+AG6)+(AF6*0.6))+AI6</f>
        <v>129.4</v>
      </c>
      <c s="98" r="I6">
        <f>((((0.05*O6)+(0.053*V6))+(0.04*AC6))+(0.042*S6))/100.0</f>
        <v>0.02597</v>
      </c>
      <c s="9" r="J6">
        <v>0</v>
      </c>
      <c s="9" r="K6">
        <v>75</v>
      </c>
      <c s="9" r="L6">
        <v>75</v>
      </c>
      <c s="9" r="M6"/>
      <c s="9" r="N6"/>
      <c s="9" r="O6">
        <v>0</v>
      </c>
      <c s="9" r="P6">
        <v>0</v>
      </c>
      <c s="9" r="Q6"/>
      <c s="9" r="R6"/>
      <c s="9" r="S6">
        <v>0</v>
      </c>
      <c s="9" r="T6">
        <v>0</v>
      </c>
      <c s="9" r="U6"/>
      <c s="9" r="V6">
        <v>49</v>
      </c>
      <c s="9" r="W6"/>
      <c s="9" r="X6"/>
      <c s="9" r="Y6"/>
      <c s="9" r="Z6"/>
      <c s="9" r="AA6">
        <v>41</v>
      </c>
      <c s="9" r="AB6"/>
      <c s="9" r="AC6"/>
      <c s="9" r="AD6"/>
      <c s="9" r="AE6"/>
      <c s="9" r="AF6">
        <v>21</v>
      </c>
      <c s="9" r="AG6"/>
      <c s="94" r="AH6">
        <f>((AC6*0.6637)+AE6)+AG6</f>
        <v>0</v>
      </c>
      <c s="94" r="AI6">
        <f>(AA6*2.3)+(AD6)</f>
        <v>94.3</v>
      </c>
      <c s="133" r="AJ6"/>
      <c s="30" r="AK6"/>
      <c s="30" r="AL6"/>
      <c s="30" r="AM6"/>
      <c s="30" r="AN6"/>
      <c s="30" r="AO6"/>
    </row>
    <row r="7">
      <c s="64" r="A7"/>
      <c t="s" s="132" r="B7">
        <v>45</v>
      </c>
      <c t="s" s="9" r="C7">
        <v>46</v>
      </c>
      <c t="s" s="9" r="D7">
        <v>36</v>
      </c>
      <c s="81" r="E7">
        <f>(F7+G7)+H7</f>
        <v>262.3076</v>
      </c>
      <c s="121" r="F7">
        <f>((((((J7*0.1)+(O7*1.25))+R7)+S7)+V7)+(X7*0.5))+(AF7*0.2)</f>
        <v>71.75</v>
      </c>
      <c s="121" r="G7">
        <f>+((K7*1.06)*1.06)</f>
        <v>74.1576</v>
      </c>
      <c s="121" r="H7">
        <f>((((AB7)+(0.3*K7))+AG7)+(AF7*0.6))+AI7</f>
        <v>116.4</v>
      </c>
      <c s="98" r="I7">
        <f>((((0.05*O7)+(0.053*V7))+(0.04*AC7))+(0.042*S7))/100.0</f>
        <v>0.0145</v>
      </c>
      <c s="9" r="J7">
        <v>145</v>
      </c>
      <c s="9" r="K7">
        <f>L7+M7</f>
        <v>66</v>
      </c>
      <c s="9" r="L7">
        <v>66</v>
      </c>
      <c s="9" r="M7"/>
      <c s="9" r="N7"/>
      <c s="9" r="O7">
        <f>P7+Q7</f>
        <v>29</v>
      </c>
      <c s="9" r="P7">
        <v>29</v>
      </c>
      <c s="9" r="Q7"/>
      <c s="9" r="R7"/>
      <c s="9" r="S7"/>
      <c s="9" r="T7"/>
      <c s="9" r="U7"/>
      <c s="9" r="V7"/>
      <c s="9" r="W7"/>
      <c s="9" r="X7">
        <v>42</v>
      </c>
      <c s="9" r="Y7"/>
      <c s="9" r="Z7"/>
      <c s="9" r="AA7">
        <v>42</v>
      </c>
      <c s="9" r="AB7"/>
      <c s="9" r="AC7"/>
      <c s="9" r="AD7"/>
      <c s="9" r="AE7"/>
      <c s="9" r="AF7"/>
      <c s="9" r="AG7"/>
      <c s="94" r="AH7">
        <f>((AC7*0.6637)+AE7)+AG7</f>
        <v>0</v>
      </c>
      <c s="94" r="AI7">
        <f>(AA7*2.3)+(AD7)</f>
        <v>96.6</v>
      </c>
      <c s="133" r="AJ7"/>
      <c s="30" r="AK7"/>
      <c s="30" r="AL7"/>
      <c s="30" r="AM7"/>
      <c s="30" r="AN7"/>
      <c s="30" r="AO7"/>
    </row>
    <row r="8">
      <c s="64" r="A8"/>
      <c t="s" s="132" r="B8">
        <v>47</v>
      </c>
      <c t="s" s="9" r="C8">
        <v>48</v>
      </c>
      <c t="s" s="9" r="D8">
        <v>36</v>
      </c>
      <c s="81" r="E8">
        <f>(F8+G8)+H8</f>
        <v>257.2576</v>
      </c>
      <c s="121" r="F8">
        <f>((((((J8*0.1)+(O8*1.25))+R8)+S8)+V8)+(X8*0.5))+(AF8*0.2)</f>
        <v>67</v>
      </c>
      <c s="121" r="G8">
        <f>+((K8*1.06)*1.06)</f>
        <v>74.1576</v>
      </c>
      <c s="121" r="H8">
        <f>((((AB8)+(0.3*K8))+AG8)+(AF8*0.6))+AI8</f>
        <v>116.1</v>
      </c>
      <c s="98" r="I8">
        <f>((((0.05*O8)+(0.053*V8))+(0.04*AC8))+(0.042*S8))/100.0</f>
        <v>0.021</v>
      </c>
      <c s="9" r="J8">
        <v>145</v>
      </c>
      <c s="9" r="K8">
        <f>L8+M8</f>
        <v>66</v>
      </c>
      <c s="9" r="L8">
        <v>66</v>
      </c>
      <c s="9" r="M8"/>
      <c s="9" r="N8"/>
      <c s="9" r="O8">
        <f>P8+Q8</f>
        <v>42</v>
      </c>
      <c s="9" r="P8">
        <v>42</v>
      </c>
      <c s="9" r="Q8"/>
      <c s="9" r="R8"/>
      <c s="9" r="S8"/>
      <c s="9" r="T8"/>
      <c s="9" r="U8"/>
      <c s="9" r="V8"/>
      <c s="9" r="W8"/>
      <c s="9" r="X8"/>
      <c s="9" r="Y8"/>
      <c s="9" r="Z8"/>
      <c s="9" r="AA8">
        <v>31</v>
      </c>
      <c s="9" r="AB8"/>
      <c s="9" r="AC8"/>
      <c s="9" r="AD8"/>
      <c s="9" r="AE8"/>
      <c s="9" r="AF8"/>
      <c s="9" r="AG8">
        <v>25</v>
      </c>
      <c s="94" r="AH8">
        <f>((AC8*0.6637)+AE8)+AG8</f>
        <v>25</v>
      </c>
      <c s="94" r="AI8">
        <f>(AA8*2.3)+(AD8)</f>
        <v>71.3</v>
      </c>
      <c s="133" r="AJ8"/>
      <c s="30" r="AK8"/>
      <c s="30" r="AL8"/>
      <c s="30" r="AM8"/>
      <c s="30" r="AN8"/>
      <c s="30" r="AO8"/>
    </row>
    <row r="9">
      <c t="str" s="64" r="A9">
        <f>(((B9&amp;" ")&amp;C9)&amp;" ")&amp;E9</f>
        <v>Cloak of Peaceful Resolutions Wyrmcrest Accord Honored 255.1604</v>
      </c>
      <c t="s" s="132" r="B9">
        <v>49</v>
      </c>
      <c t="s" s="9" r="C9">
        <v>50</v>
      </c>
      <c t="s" s="9" r="D9">
        <v>36</v>
      </c>
      <c s="81" r="E9">
        <f>(F9+G9)+H9</f>
        <v>255.1604</v>
      </c>
      <c s="121" r="F9">
        <f>((((((J9*0.1)+(O9*1.25))+R9)+S9)+V9)+(X9*0.5))+(AF9*0.2)</f>
        <v>67.75</v>
      </c>
      <c s="121" r="G9">
        <f>+((K9*1.06)*1.06)</f>
        <v>71.9104</v>
      </c>
      <c s="121" r="H9">
        <f>((((AB9)+(0.3*K9))+AG9)+(AF9*0.6))+AI9</f>
        <v>115.5</v>
      </c>
      <c s="98" r="I9">
        <f>((((0.05*O9)+(0.053*V9))+(0.04*AC9))+(0.042*S9))/100.0</f>
        <v>0.0215</v>
      </c>
      <c s="9" r="J9">
        <v>140</v>
      </c>
      <c s="9" r="K9">
        <f>L9+M9</f>
        <v>64</v>
      </c>
      <c s="9" r="L9">
        <v>64</v>
      </c>
      <c s="9" r="M9"/>
      <c s="9" r="N9"/>
      <c s="9" r="O9">
        <f>P9+Q9</f>
        <v>43</v>
      </c>
      <c s="9" r="P9">
        <v>43</v>
      </c>
      <c s="9" r="Q9"/>
      <c s="9" r="R9"/>
      <c s="9" r="S9">
        <f>T9+U9</f>
        <v>0</v>
      </c>
      <c s="9" r="T9"/>
      <c s="9" r="U9"/>
      <c s="9" r="V9"/>
      <c s="9" r="W9"/>
      <c s="9" r="X9"/>
      <c s="9" r="Y9"/>
      <c s="9" r="Z9"/>
      <c s="9" r="AA9">
        <v>31</v>
      </c>
      <c s="9" r="AB9"/>
      <c s="9" r="AC9"/>
      <c s="9" r="AD9"/>
      <c s="9" r="AE9"/>
      <c s="9" r="AF9"/>
      <c s="9" r="AG9">
        <v>25</v>
      </c>
      <c s="94" r="AH9">
        <f>((AC9*0.6637)+AE9)+AG9</f>
        <v>25</v>
      </c>
      <c s="94" r="AI9">
        <f>(AA9*2.3)+(AD9)</f>
        <v>71.3</v>
      </c>
      <c s="133" r="AJ9"/>
      <c s="30" r="AK9"/>
      <c s="30" r="AL9"/>
      <c s="30" r="AM9"/>
      <c s="30" r="AN9"/>
      <c s="30" r="AO9"/>
    </row>
    <row r="10">
      <c t="str" s="64" r="A10">
        <f>(((B10&amp;" ")&amp;C10)&amp;" ")&amp;E10</f>
        <v>Cloak of Tormented Skies Crafted LW 203.3328</v>
      </c>
      <c t="s" s="132" r="B10">
        <v>51</v>
      </c>
      <c t="s" s="9" r="C10">
        <v>52</v>
      </c>
      <c t="s" s="9" r="D10">
        <v>36</v>
      </c>
      <c s="81" r="E10">
        <f>(F10+G10)+H10</f>
        <v>203.3328</v>
      </c>
      <c s="121" r="F10">
        <f>((((((J10*0.1)+(O10*1.25))+R10)+S10)+V10)+(X10*0.5))+(AF10*0.2)</f>
        <v>63.7</v>
      </c>
      <c s="121" r="G10">
        <f>+((K10*1.06)*1.06)</f>
        <v>53.9328</v>
      </c>
      <c s="121" r="H10">
        <f>((((AB10)+(0.3*K10))+AG10)+(AF10*0.6))+AI10</f>
        <v>85.7</v>
      </c>
      <c s="98" r="I10">
        <f>((((0.05*O10)+(0.053*V10))+(0.04*AC10))+(0.042*S10))/100.0</f>
        <v>0.012</v>
      </c>
      <c s="9" r="J10">
        <v>337</v>
      </c>
      <c s="9" r="K10">
        <f>L10+M10</f>
        <v>48</v>
      </c>
      <c s="9" r="L10">
        <v>48</v>
      </c>
      <c s="9" r="M10"/>
      <c s="9" r="N10"/>
      <c s="9" r="O10">
        <f>P10+Q10</f>
        <v>24</v>
      </c>
      <c s="9" r="P10">
        <v>24</v>
      </c>
      <c s="9" r="Q10"/>
      <c s="9" r="R10"/>
      <c s="9" r="S10">
        <f>T10+U10</f>
        <v>0</v>
      </c>
      <c s="9" r="T10"/>
      <c s="9" r="U10"/>
      <c s="9" r="V10"/>
      <c s="9" r="W10"/>
      <c s="9" r="X10"/>
      <c s="9" r="Y10"/>
      <c s="9" r="Z10"/>
      <c s="9" r="AA10">
        <v>31</v>
      </c>
      <c s="9" r="AB10"/>
      <c s="9" r="AC10"/>
      <c s="9" r="AD10"/>
      <c s="9" r="AE10"/>
      <c s="9" r="AF10"/>
      <c s="9" r="AG10"/>
      <c s="94" r="AH10">
        <f>((AC10*0.6637)+AE10)+AG10</f>
        <v>0</v>
      </c>
      <c s="94" r="AI10">
        <f>(AA10*2.3)+(AD10)</f>
        <v>71.3</v>
      </c>
      <c s="133" r="AJ10"/>
      <c s="30" r="AK10"/>
      <c s="30" r="AL10"/>
      <c s="30" r="AM10"/>
      <c s="30" r="AN10"/>
      <c s="30" r="AO10"/>
    </row>
    <row r="11">
      <c t="str" s="64" r="A11">
        <f>(((B11&amp;" ")&amp;C11)&amp;" ")&amp;E11</f>
        <v>Screeching Cape Erekem Voilet Hold 201.2036</v>
      </c>
      <c t="s" s="132" r="B11">
        <v>53</v>
      </c>
      <c t="s" s="9" r="C11">
        <v>54</v>
      </c>
      <c t="s" s="9" r="D11">
        <v>36</v>
      </c>
      <c s="81" r="E11">
        <f>(F11+G11)+H11</f>
        <v>201.2036</v>
      </c>
      <c s="121" r="F11">
        <f>((((((J11*0.1)+(O11*1.25))+R11)+S11)+V11)+(X11*0.5))+(AF11*0.2)</f>
        <v>59.7</v>
      </c>
      <c s="121" r="G11">
        <f>+((K11*1.06)*1.06)</f>
        <v>57.3036</v>
      </c>
      <c s="121" r="H11">
        <f>((((AB11)+(0.3*K11))+AG11)+(AF11*0.6))+AI11</f>
        <v>84.2</v>
      </c>
      <c s="98" r="I11">
        <f>((((0.05*O11)+(0.053*V11))+(0.04*AC11))+(0.042*S11))/100.0</f>
        <v>0.017</v>
      </c>
      <c s="9" r="J11">
        <v>134</v>
      </c>
      <c s="9" r="K11">
        <f>L11+M11</f>
        <v>51</v>
      </c>
      <c s="9" r="L11">
        <v>51</v>
      </c>
      <c s="9" r="M11"/>
      <c s="9" r="N11"/>
      <c s="9" r="O11">
        <f>P11+Q11</f>
        <v>34</v>
      </c>
      <c s="9" r="P11">
        <v>34</v>
      </c>
      <c s="9" r="Q11"/>
      <c s="9" r="R11"/>
      <c s="9" r="S11">
        <f>T11+U11</f>
        <v>0</v>
      </c>
      <c s="9" r="T11"/>
      <c s="9" r="U11"/>
      <c s="9" r="V11"/>
      <c s="9" r="W11"/>
      <c s="9" r="X11"/>
      <c s="9" r="Y11"/>
      <c s="9" r="Z11"/>
      <c s="9" r="AA11">
        <v>25</v>
      </c>
      <c s="9" r="AB11"/>
      <c s="9" r="AC11"/>
      <c s="9" r="AD11"/>
      <c s="9" r="AE11"/>
      <c s="9" r="AF11">
        <v>19</v>
      </c>
      <c s="9" r="AG11"/>
      <c s="94" r="AH11">
        <f>((AC11*0.6637)+AE11)+AG11</f>
        <v>0</v>
      </c>
      <c s="94" r="AI11">
        <f>(AA11*2.3)+(AD11)</f>
        <v>57.5</v>
      </c>
      <c s="133" r="AJ11"/>
      <c s="30" r="AK11"/>
      <c s="30" r="AL11"/>
      <c s="30" r="AM11"/>
      <c s="30" r="AN11"/>
      <c s="30" r="AO11"/>
    </row>
    <row r="12">
      <c t="str" s="64" r="A12">
        <f>(((B12&amp;" ")&amp;C12)&amp;" ")&amp;E12</f>
        <v>Crimson Paragon's  Cover Twins 161.5284</v>
      </c>
      <c t="s" s="55" r="B12">
        <v>55</v>
      </c>
      <c t="s" s="9" r="C12">
        <v>56</v>
      </c>
      <c t="s" s="9" r="D12">
        <v>36</v>
      </c>
      <c s="81" r="E12">
        <f>(F12+G12)+H12</f>
        <v>161.5284</v>
      </c>
      <c s="121" r="F12">
        <f>((((((J12*0.1)+(O12*1.25))+R12)+S12)+V12)+(X12*0.5))+(AF12*0.2)</f>
        <v>46.5</v>
      </c>
      <c s="121" r="G12">
        <f>+((K12*1.06)*1.06)</f>
        <v>77.5284</v>
      </c>
      <c s="121" r="H12">
        <f>((((AB12)+(0.3*K12))+AG12)+(AF12*0.6))+AI12</f>
        <v>37.5</v>
      </c>
      <c s="98" r="I12">
        <f>((((0.05*O12)+(0.053*V12))+(0.04*AC12))+(0.042*S12))/100.0</f>
        <v>0.01484</v>
      </c>
      <c s="9" r="J12">
        <v>129</v>
      </c>
      <c s="9" r="K12">
        <f>L12+M12</f>
        <v>69</v>
      </c>
      <c s="9" r="L12">
        <v>69</v>
      </c>
      <c s="9" r="M12"/>
      <c s="9" r="N12"/>
      <c s="9" r="O12">
        <f>P12+Q12</f>
        <v>0</v>
      </c>
      <c s="9" r="P12">
        <v>0</v>
      </c>
      <c s="9" r="Q12"/>
      <c s="9" r="R12"/>
      <c s="9" r="S12">
        <f>T12+U12</f>
        <v>0</v>
      </c>
      <c s="9" r="T12"/>
      <c s="9" r="U12"/>
      <c s="9" r="V12">
        <v>28</v>
      </c>
      <c s="9" r="W12"/>
      <c s="9" r="X12"/>
      <c s="9" r="Y12"/>
      <c s="9" r="Z12"/>
      <c s="9" r="AA12"/>
      <c s="9" r="AB12"/>
      <c s="9" r="AC12"/>
      <c s="9" r="AD12"/>
      <c s="9" r="AE12"/>
      <c s="9" r="AF12">
        <v>28</v>
      </c>
      <c s="9" r="AG12"/>
      <c s="94" r="AH12">
        <f>((AC12*0.6637)+AE12)+AG12</f>
        <v>0</v>
      </c>
      <c s="94" r="AI12">
        <f>(AA12*2.3)+(AD12)</f>
        <v>0</v>
      </c>
      <c s="133" r="AJ12"/>
      <c s="30" r="AK12"/>
      <c s="30" r="AL12"/>
      <c s="30" r="AM12"/>
      <c s="30" r="AN12"/>
      <c s="30" r="AO12"/>
    </row>
    <row r="13">
      <c t="str" s="64" r="A13">
        <f>(((B13&amp;" ")&amp;C13)&amp;" ")&amp;E13</f>
        <v>Slikk's Cloak of Placation Badges 132.2732</v>
      </c>
      <c t="s" s="55" r="B13">
        <v>57</v>
      </c>
      <c t="s" s="9" r="C13">
        <v>58</v>
      </c>
      <c t="s" s="9" r="D13">
        <v>36</v>
      </c>
      <c s="81" r="E13">
        <f>(F13+G13)+H13</f>
        <v>132.2732</v>
      </c>
      <c s="121" r="F13">
        <f>((((((J13*0.1)+(O13*1.25))+R13)+S13)+V13)+(X13*0.5))+(AF13*0.2)</f>
        <v>79.6</v>
      </c>
      <c s="121" r="G13">
        <f>+((K13*1.06)*1.06)</f>
        <v>41.5732</v>
      </c>
      <c s="121" r="H13">
        <f>((((AB13)+(0.3*K13))+AG13)+(AF13*0.6))+AI13</f>
        <v>11.1</v>
      </c>
      <c s="98" r="I13">
        <f>((((0.05*O13)+(0.053*V13))+(0.04*AC13))+(0.042*S13))/100.0</f>
        <v>0.02125</v>
      </c>
      <c s="9" r="J13">
        <v>346</v>
      </c>
      <c s="9" r="K13">
        <f>L13+M13</f>
        <v>37</v>
      </c>
      <c s="9" r="L13">
        <f>37.0</f>
        <v>37</v>
      </c>
      <c s="9" r="M13"/>
      <c s="9" r="N13"/>
      <c s="9" r="O13">
        <f>P13+Q13</f>
        <v>16</v>
      </c>
      <c s="9" r="P13">
        <v>16</v>
      </c>
      <c s="9" r="Q13"/>
      <c s="9" r="R13">
        <v>0</v>
      </c>
      <c s="9" r="S13">
        <f>T13+U13</f>
        <v>0</v>
      </c>
      <c s="9" r="T13"/>
      <c s="9" r="U13"/>
      <c s="9" r="V13">
        <v>25</v>
      </c>
      <c s="9" r="W13"/>
      <c s="9" r="X13"/>
      <c s="9" r="Y13"/>
      <c s="9" r="Z13"/>
      <c s="9" r="AA13"/>
      <c s="9" r="AB13"/>
      <c s="9" r="AC13"/>
      <c s="9" r="AD13"/>
      <c s="9" r="AE13"/>
      <c s="9" r="AF13"/>
      <c s="9" r="AG13"/>
      <c s="94" r="AH13">
        <f>((AC13*0.6637)+AE13)+AG13</f>
        <v>0</v>
      </c>
      <c s="94" r="AI13">
        <f>(AA13*2.3)+(AD13)</f>
        <v>0</v>
      </c>
      <c s="133" r="AJ13"/>
      <c s="30" r="AK13"/>
      <c s="30" r="AL13"/>
      <c s="30" r="AM13"/>
      <c s="30" r="AN13"/>
      <c s="30" r="AO13"/>
    </row>
    <row r="14">
      <c t="str" s="64" r="A14">
        <f>(((B14&amp;" ")&amp;C14)&amp;" ")&amp;E14</f>
        <v>Pepe's Shourd of Pacification MH Trash 130.862</v>
      </c>
      <c t="s" s="55" r="B14">
        <v>59</v>
      </c>
      <c t="s" s="9" r="C14">
        <v>60</v>
      </c>
      <c t="s" s="9" r="D14">
        <v>36</v>
      </c>
      <c s="81" r="E14">
        <f>(F14+G14)+H14</f>
        <v>130.862</v>
      </c>
      <c s="121" r="F14">
        <f>((((((J14*0.1)+(O14*1.25))+R14)+S14)+V14)+(X14*0.5))+(AF14*0.2)</f>
        <v>41.8</v>
      </c>
      <c s="121" r="G14">
        <f>+((K14*1.06)*1.06)</f>
        <v>50.562</v>
      </c>
      <c s="121" r="H14">
        <f>((((AB14)+(0.3*K14))+AG14)+(AF14*0.6))+AI14</f>
        <v>38.5</v>
      </c>
      <c s="98" r="I14">
        <f>((((0.05*O14)+(0.053*V14))+(0.04*AC14))+(0.042*S14))/100.0</f>
        <v>0.0159</v>
      </c>
      <c s="9" r="J14">
        <v>118</v>
      </c>
      <c s="9" r="K14">
        <f>L14+M14</f>
        <v>45</v>
      </c>
      <c s="9" r="L14">
        <v>45</v>
      </c>
      <c s="9" r="M14"/>
      <c s="9" r="N14"/>
      <c s="9" r="O14">
        <f>P14+Q14</f>
        <v>0</v>
      </c>
      <c s="9" r="P14"/>
      <c s="9" r="Q14"/>
      <c s="9" r="R14"/>
      <c s="9" r="S14">
        <f>T14+U14</f>
        <v>0</v>
      </c>
      <c s="9" r="T14"/>
      <c s="9" r="U14"/>
      <c s="9" r="V14">
        <v>30</v>
      </c>
      <c s="9" r="W14"/>
      <c s="9" r="X14"/>
      <c s="9" r="Y14"/>
      <c s="9" r="Z14"/>
      <c s="9" r="AA14"/>
      <c s="9" r="AB14"/>
      <c s="9" r="AC14"/>
      <c s="9" r="AD14"/>
      <c s="9" r="AE14"/>
      <c s="9" r="AF14"/>
      <c s="9" r="AG14">
        <v>25</v>
      </c>
      <c s="94" r="AH14">
        <f>((AC14*0.6637)+AE14)+AG14</f>
        <v>25</v>
      </c>
      <c s="94" r="AI14">
        <f>(AA14*2.3)+(AD14)</f>
        <v>0</v>
      </c>
      <c s="133" r="AJ14"/>
      <c s="30" r="AK14"/>
      <c s="30" r="AL14"/>
      <c s="30" r="AM14"/>
      <c s="30" r="AN14"/>
      <c s="30" r="AO14"/>
    </row>
    <row r="15">
      <c t="str" s="64" r="A15">
        <f>(((B15&amp;" ")&amp;C15)&amp;" ")&amp;E15</f>
        <v>Phoenix Wing Cloak A'lar 117.97319999999999</v>
      </c>
      <c t="s" s="55" r="B15">
        <v>61</v>
      </c>
      <c t="s" s="9" r="C15">
        <v>62</v>
      </c>
      <c t="s" s="9" r="D15">
        <v>36</v>
      </c>
      <c s="81" r="E15">
        <f>(F15+G15)+H15</f>
        <v>117.9732</v>
      </c>
      <c s="121" r="F15">
        <f>((((((J15*0.1)+(O15*1.25))+R15)+S15)+V15)+(X15*0.5))+(AF15*0.2)</f>
        <v>65.3</v>
      </c>
      <c s="121" r="G15">
        <f>+((K15*1.06)*1.06)</f>
        <v>41.5732</v>
      </c>
      <c s="121" r="H15">
        <f>((((AB15)+(0.3*K15))+AG15)+(AF15*0.6))+AI15</f>
        <v>11.1</v>
      </c>
      <c s="98" r="I15">
        <f>((((0.05*O15)+(0.053*V15))+(0.04*AC15))+(0.042*S15))/100.0</f>
        <v>0.02531</v>
      </c>
      <c s="9" r="J15">
        <v>108</v>
      </c>
      <c s="9" r="K15">
        <f>L15+M15</f>
        <v>37</v>
      </c>
      <c s="9" r="L15">
        <v>37</v>
      </c>
      <c s="9" r="M15"/>
      <c s="9" r="N15"/>
      <c s="9" r="O15">
        <f>P15+Q15</f>
        <v>22</v>
      </c>
      <c s="9" r="P15">
        <v>22</v>
      </c>
      <c s="9" r="Q15"/>
      <c s="9" r="R15"/>
      <c s="9" r="S15">
        <f>T15+U15</f>
        <v>0</v>
      </c>
      <c s="9" r="T15"/>
      <c s="9" r="U15"/>
      <c s="9" r="V15">
        <v>27</v>
      </c>
      <c s="9" r="W15"/>
      <c s="9" r="X15"/>
      <c s="9" r="Y15"/>
      <c s="9" r="Z15"/>
      <c s="9" r="AA15"/>
      <c s="9" r="AB15"/>
      <c s="9" r="AC15"/>
      <c s="9" r="AD15"/>
      <c s="9" r="AE15"/>
      <c s="9" r="AF15"/>
      <c s="9" r="AG15"/>
      <c s="94" r="AH15">
        <f>((AC15*0.6637)+AE15)+AG15</f>
        <v>0</v>
      </c>
      <c s="94" r="AI15">
        <f>(AA15*2.3)+(AD15)</f>
        <v>0</v>
      </c>
      <c s="133" r="AJ15"/>
      <c s="30" r="AK15"/>
      <c s="30" r="AL15"/>
      <c s="30" r="AM15"/>
      <c s="30" r="AN15"/>
      <c s="30" r="AO15"/>
    </row>
    <row r="16">
      <c t="str" s="64" r="A16">
        <f>(((B16&amp;" ")&amp;C16)&amp;" ")&amp;E16</f>
        <v>Gilded Thorium Cloak Kara 111.208</v>
      </c>
      <c t="s" s="55" r="B16">
        <v>63</v>
      </c>
      <c t="s" s="9" r="C16">
        <v>64</v>
      </c>
      <c t="s" s="9" r="D16">
        <v>36</v>
      </c>
      <c s="81" r="E16">
        <f>(F16+G16)+H16</f>
        <v>111.208</v>
      </c>
      <c s="121" r="F16">
        <f>((((((J16*0.1)+(O16*1.25))+R16)+S16)+V16)+(X16*0.5))+(AF16*0.2)</f>
        <v>68.5</v>
      </c>
      <c s="121" r="G16">
        <f>+((K16*1.06)*1.06)</f>
        <v>33.708</v>
      </c>
      <c s="121" r="H16">
        <f>((((AB16)+(0.3*K16))+AG16)+(AF16*0.6))+AI16</f>
        <v>9</v>
      </c>
      <c s="98" r="I16">
        <f>((((0.05*O16)+(0.053*V16))+(0.04*AC16))+(0.042*S16))/100.0</f>
        <v>0.012</v>
      </c>
      <c s="9" r="J16">
        <v>385</v>
      </c>
      <c s="9" r="K16">
        <f>L16+M16</f>
        <v>30</v>
      </c>
      <c s="9" r="L16">
        <v>30</v>
      </c>
      <c s="9" r="M16"/>
      <c s="9" r="N16"/>
      <c s="9" r="O16">
        <f>P16+Q16</f>
        <v>24</v>
      </c>
      <c s="9" r="P16">
        <v>24</v>
      </c>
      <c s="9" r="Q16"/>
      <c s="9" r="R16"/>
      <c s="9" r="S16">
        <f>T16+U16</f>
        <v>0</v>
      </c>
      <c s="9" r="T16"/>
      <c s="9" r="U16"/>
      <c s="9" r="V16"/>
      <c s="9" r="W16"/>
      <c s="9" r="X16"/>
      <c s="9" r="Y16"/>
      <c s="9" r="Z16"/>
      <c s="9" r="AA16"/>
      <c s="9" r="AB16"/>
      <c s="9" r="AC16"/>
      <c s="9" r="AD16"/>
      <c s="9" r="AE16"/>
      <c s="9" r="AF16"/>
      <c s="9" r="AG16"/>
      <c s="94" r="AH16">
        <f>((AC16*0.6637)+AE16)+AG16</f>
        <v>0</v>
      </c>
      <c s="94" r="AI16">
        <f>(AA16*2.3)+(AD16)</f>
        <v>0</v>
      </c>
      <c s="133" r="AJ16"/>
      <c s="30" r="AK16"/>
      <c s="30" r="AL16"/>
      <c s="30" r="AM16"/>
      <c s="30" r="AN16"/>
      <c s="30" r="AO16"/>
    </row>
    <row r="17">
      <c t="str" s="64" r="A17">
        <f>(((B17&amp;" ")&amp;C17)&amp;" ")&amp;E17</f>
        <v>Devilshark Cape Steamvaults 96.61919999999999</v>
      </c>
      <c t="s" s="8" r="B17">
        <v>65</v>
      </c>
      <c t="s" s="9" r="C17">
        <v>66</v>
      </c>
      <c t="s" s="9" r="D17">
        <v>36</v>
      </c>
      <c s="81" r="E17">
        <f>(F17+G17)+H17</f>
        <v>96.6192</v>
      </c>
      <c s="121" r="F17">
        <f>((((((J17*0.1)+(O17*1.25))+R17)+S17)+V17)+(X17*0.5))+(AF17*0.2)</f>
        <v>65.3</v>
      </c>
      <c s="121" r="G17">
        <f>+((K17*1.06)*1.06)</f>
        <v>24.7192</v>
      </c>
      <c s="121" r="H17">
        <f>((((AB17)+(0.3*K17))+AG17)+(AF17*0.6))+AI17</f>
        <v>6.6</v>
      </c>
      <c s="98" r="I17">
        <f>((((0.05*O17)+(0.053*V17))+(0.04*AC17))+(0.042*S17))/100.0</f>
        <v>0.01954</v>
      </c>
      <c s="134" r="J17">
        <v>78</v>
      </c>
      <c s="9" r="K17">
        <f>L17+M17</f>
        <v>22</v>
      </c>
      <c s="134" r="L17">
        <v>22</v>
      </c>
      <c s="9" r="M17"/>
      <c s="9" r="N17"/>
      <c s="9" r="O17">
        <f>P17+Q17</f>
        <v>20</v>
      </c>
      <c s="134" r="P17">
        <v>20</v>
      </c>
      <c s="9" r="Q17"/>
      <c s="134" r="R17">
        <v>0</v>
      </c>
      <c s="9" r="S17">
        <f>T17+U17</f>
        <v>0</v>
      </c>
      <c s="94" r="T17"/>
      <c s="94" r="U17"/>
      <c s="134" r="V17">
        <v>18</v>
      </c>
      <c s="134" r="W17">
        <v>0</v>
      </c>
      <c s="134" r="X17">
        <v>29</v>
      </c>
      <c s="134" r="Y17">
        <v>0</v>
      </c>
      <c s="134" r="Z17">
        <v>0</v>
      </c>
      <c s="134" r="AA17">
        <v>0</v>
      </c>
      <c s="9" r="AB17"/>
      <c s="9" r="AC17"/>
      <c s="9" r="AD17"/>
      <c s="9" r="AE17"/>
      <c s="9" r="AF17"/>
      <c s="134" r="AG17">
        <v>0</v>
      </c>
      <c s="94" r="AH17">
        <f>((AC17*0.6637)+AE17)+AG17</f>
        <v>0</v>
      </c>
      <c s="94" r="AI17">
        <f>(AA17*2.3)+(AD17)</f>
        <v>0</v>
      </c>
      <c s="133" r="AJ17"/>
      <c s="30" r="AK17"/>
      <c s="30" r="AL17"/>
      <c s="30" r="AM17"/>
      <c s="30" r="AN17"/>
      <c s="30" r="AO17"/>
    </row>
    <row r="18">
      <c t="str" s="64" r="A18">
        <f>(((B18&amp;" ")&amp;C18)&amp;" ")&amp;E18</f>
        <v>Burnoose of Shifting Ages BM 89.954</v>
      </c>
      <c t="s" s="8" r="B18">
        <v>67</v>
      </c>
      <c t="s" s="9" r="C18">
        <v>68</v>
      </c>
      <c t="s" s="9" r="D18">
        <v>36</v>
      </c>
      <c s="81" r="E18">
        <f>(F18+G18)+H18</f>
        <v>89.954</v>
      </c>
      <c s="121" r="F18">
        <f>((((((J18*0.1)+(O18*1.25))+R18)+S18)+V18)+(X18*0.5))+(AF18*0.2)</f>
        <v>68.6</v>
      </c>
      <c s="121" r="G18">
        <f>+((K18*1.06)*1.06)</f>
        <v>16.854</v>
      </c>
      <c s="121" r="H18">
        <f>((((AB18)+(0.3*K18))+AG18)+(AF18*0.6))+AI18</f>
        <v>4.5</v>
      </c>
      <c s="98" r="I18">
        <f>((((0.05*O18)+(0.053*V18))+(0.04*AC18))+(0.042*S18))/100.0</f>
        <v>0.013</v>
      </c>
      <c s="134" r="J18">
        <v>216</v>
      </c>
      <c s="9" r="K18">
        <f>L18+M18</f>
        <v>15</v>
      </c>
      <c s="134" r="L18">
        <v>15</v>
      </c>
      <c s="9" r="M18"/>
      <c s="9" r="N18"/>
      <c s="9" r="O18">
        <f>P18+Q18</f>
        <v>26</v>
      </c>
      <c s="134" r="P18">
        <v>26</v>
      </c>
      <c s="9" r="Q18"/>
      <c s="134" r="R18">
        <v>0</v>
      </c>
      <c s="9" r="S18">
        <f>T18+U18</f>
        <v>0</v>
      </c>
      <c s="134" r="T18"/>
      <c s="134" r="U18"/>
      <c s="134" r="V18">
        <v>0</v>
      </c>
      <c s="134" r="W18">
        <v>0</v>
      </c>
      <c s="134" r="X18">
        <v>29</v>
      </c>
      <c s="134" r="Y18">
        <v>0</v>
      </c>
      <c s="134" r="Z18">
        <v>0</v>
      </c>
      <c s="94" r="AA18">
        <v>0</v>
      </c>
      <c s="9" r="AB18"/>
      <c s="9" r="AC18"/>
      <c s="9" r="AD18"/>
      <c s="9" r="AE18"/>
      <c s="9" r="AF18"/>
      <c s="94" r="AG18">
        <v>0</v>
      </c>
      <c s="94" r="AH18">
        <f>((AC18*0.6637)+AE18)+AG18</f>
        <v>0</v>
      </c>
      <c s="94" r="AI18">
        <f>(AA18*2.3)+(AD18)</f>
        <v>0</v>
      </c>
      <c s="133" r="AJ18"/>
      <c s="30" r="AK18"/>
      <c s="30" r="AL18"/>
      <c s="30" r="AM18"/>
      <c s="30" r="AN18"/>
      <c s="30" r="AO18"/>
    </row>
    <row r="19">
      <c t="str" s="64" r="A19">
        <f>(((B19&amp;" ")&amp;C19)&amp;" ")&amp;E19</f>
        <v>Thoriumweave Cloak Mech 88.826</v>
      </c>
      <c t="s" s="8" r="B19">
        <v>69</v>
      </c>
      <c t="s" s="9" r="C19">
        <v>70</v>
      </c>
      <c t="s" s="9" r="D19">
        <v>36</v>
      </c>
      <c s="81" r="E19">
        <f>(F19+G19)+H19</f>
        <v>88.826</v>
      </c>
      <c s="121" r="F19">
        <f>((((((J19*0.1)+(O19*1.25))+R19)+S19)+V19)+(X19*0.5))+(AF19*0.2)</f>
        <v>39</v>
      </c>
      <c s="121" r="G19">
        <f>+((K19*1.06)*1.06)</f>
        <v>39.326</v>
      </c>
      <c s="121" r="H19">
        <f>((((AB19)+(0.3*K19))+AG19)+(AF19*0.6))+AI19</f>
        <v>10.5</v>
      </c>
      <c s="98" r="I19">
        <f>((((0.05*O19)+(0.053*V19))+(0.04*AC19))+(0.042*S19))/100.0</f>
        <v>0</v>
      </c>
      <c s="134" r="J19">
        <v>390</v>
      </c>
      <c s="9" r="K19">
        <f>L19+M19</f>
        <v>35</v>
      </c>
      <c s="134" r="L19">
        <v>35</v>
      </c>
      <c s="9" r="M19"/>
      <c s="9" r="N19"/>
      <c s="9" r="O19">
        <f>P19+Q19</f>
        <v>0</v>
      </c>
      <c s="134" r="P19">
        <v>0</v>
      </c>
      <c s="9" r="Q19"/>
      <c s="134" r="R19">
        <v>0</v>
      </c>
      <c s="9" r="S19">
        <f>T19+U19</f>
        <v>0</v>
      </c>
      <c s="134" r="T19"/>
      <c s="134" r="U19"/>
      <c s="134" r="V19">
        <v>0</v>
      </c>
      <c s="134" r="W19">
        <v>0</v>
      </c>
      <c s="134" r="X19">
        <v>0</v>
      </c>
      <c s="134" r="Y19">
        <v>0</v>
      </c>
      <c s="94" r="Z19">
        <v>0</v>
      </c>
      <c s="94" r="AA19">
        <v>0</v>
      </c>
      <c s="9" r="AB19"/>
      <c s="9" r="AC19"/>
      <c s="9" r="AD19"/>
      <c s="9" r="AE19"/>
      <c s="9" r="AF19"/>
      <c s="9" r="AG19">
        <v>0</v>
      </c>
      <c s="94" r="AH19">
        <f>((AC19*0.6637)+AE19)+AG19</f>
        <v>0</v>
      </c>
      <c s="94" r="AI19">
        <f>(AA19*2.3)+(AD19)</f>
        <v>0</v>
      </c>
      <c s="133" r="AJ19"/>
      <c s="30" r="AK19"/>
      <c s="30" r="AL19"/>
      <c s="30" r="AM19"/>
      <c s="30" r="AN19"/>
      <c s="30" r="AO19"/>
    </row>
    <row r="20">
      <c t="str" s="64" r="A20">
        <f>(((B20&amp;" ")&amp;C20)&amp;" ")&amp;E20</f>
        <v>Farstrider Defender's Cloak Badges 88.40800000000002</v>
      </c>
      <c t="s" s="108" r="B20">
        <v>71</v>
      </c>
      <c t="s" s="9" r="C20">
        <v>58</v>
      </c>
      <c t="s" s="9" r="D20">
        <v>36</v>
      </c>
      <c s="81" r="E20">
        <f>(F20+G20)+H20</f>
        <v>88.408</v>
      </c>
      <c s="121" r="F20">
        <f>((((((J20*0.1)+(O20*1.25))+R20)+S20)+V20)+(X20*0.5))+(AF20*0.2)</f>
        <v>45.7</v>
      </c>
      <c s="121" r="G20">
        <f>+((K20*1.06)*1.06)</f>
        <v>33.708</v>
      </c>
      <c s="121" r="H20">
        <f>((((AB20)+(0.3*K20))+AG20)+(AF20*0.6))+AI20</f>
        <v>9</v>
      </c>
      <c s="98" r="I20">
        <f>((((0.05*O20)+(0.053*V20))+(0.04*AC20))+(0.042*S20))/100.0</f>
        <v>0</v>
      </c>
      <c s="134" r="J20">
        <v>267</v>
      </c>
      <c s="9" r="K20">
        <f>L20+M20</f>
        <v>30</v>
      </c>
      <c s="134" r="L20">
        <v>30</v>
      </c>
      <c s="9" r="M20"/>
      <c s="9" r="N20"/>
      <c s="9" r="O20">
        <f>P20+Q20</f>
        <v>0</v>
      </c>
      <c s="134" r="P20">
        <v>0</v>
      </c>
      <c s="9" r="Q20"/>
      <c s="134" r="R20">
        <v>0</v>
      </c>
      <c s="9" r="S20">
        <f>T20+U20</f>
        <v>0</v>
      </c>
      <c s="9" r="T20"/>
      <c s="9" r="U20"/>
      <c s="134" r="V20">
        <v>0</v>
      </c>
      <c s="94" r="W20">
        <v>0</v>
      </c>
      <c s="134" r="X20">
        <v>38</v>
      </c>
      <c s="134" r="Y20">
        <v>0</v>
      </c>
      <c s="134" r="Z20">
        <v>0</v>
      </c>
      <c s="134" r="AA20">
        <v>0</v>
      </c>
      <c s="9" r="AB20"/>
      <c s="9" r="AC20"/>
      <c s="9" r="AD20"/>
      <c s="9" r="AE20"/>
      <c s="9" r="AF20"/>
      <c s="9" r="AG20">
        <v>0</v>
      </c>
      <c s="94" r="AH20">
        <f>((AC20*0.6637)+AE20)+AG20</f>
        <v>0</v>
      </c>
      <c s="94" r="AI20">
        <f>(AA20*2.3)+(AD20)</f>
        <v>0</v>
      </c>
      <c s="133" r="AJ20"/>
      <c s="30" r="AK20"/>
      <c s="30" r="AL20"/>
      <c s="30" r="AM20"/>
      <c s="30" r="AN20"/>
      <c s="30" r="AO20"/>
    </row>
    <row r="21">
      <c t="str" s="64" r="A21">
        <f>(((B21&amp;" ")&amp;C21)&amp;" ")&amp;E21</f>
        <v>Cloak of Eternity Crafted 87.5996</v>
      </c>
      <c t="s" s="8" r="B21">
        <v>72</v>
      </c>
      <c t="s" s="9" r="C21">
        <v>73</v>
      </c>
      <c t="s" s="9" r="D21">
        <v>36</v>
      </c>
      <c s="81" r="E21">
        <f>(F21+G21)+H21</f>
        <v>87.5996</v>
      </c>
      <c s="121" r="F21">
        <f>((((((J21*0.1)+(O21*1.25))+R21)+S21)+V21)+(X21*0.5))+(AF21*0.2)</f>
        <v>36.35</v>
      </c>
      <c s="121" r="G21">
        <f>+((K21*1.06)*1.06)</f>
        <v>40.4496</v>
      </c>
      <c s="121" r="H21">
        <f>((((AB21)+(0.3*K21))+AG21)+(AF21*0.6))+AI21</f>
        <v>10.8</v>
      </c>
      <c s="98" r="I21">
        <f>((((0.05*O21)+(0.053*V21))+(0.04*AC21))+(0.042*S21))/100.0</f>
        <v>0.0115</v>
      </c>
      <c s="134" r="J21">
        <v>76</v>
      </c>
      <c s="9" r="K21">
        <f>L21+M21</f>
        <v>36</v>
      </c>
      <c s="134" r="L21">
        <v>36</v>
      </c>
      <c s="9" r="M21"/>
      <c s="9" r="N21"/>
      <c s="9" r="O21">
        <f>P21+Q21</f>
        <v>23</v>
      </c>
      <c s="134" r="P21">
        <v>23</v>
      </c>
      <c s="9" r="Q21"/>
      <c s="134" r="R21">
        <v>0</v>
      </c>
      <c s="9" r="S21">
        <f>T21+U21</f>
        <v>0</v>
      </c>
      <c s="134" r="T21"/>
      <c s="134" r="U21"/>
      <c s="134" r="V21">
        <v>0</v>
      </c>
      <c s="94" r="W21">
        <v>0</v>
      </c>
      <c s="134" r="X21">
        <v>0</v>
      </c>
      <c s="134" r="Y21">
        <v>0</v>
      </c>
      <c s="94" r="Z21">
        <v>0</v>
      </c>
      <c s="94" r="AA21">
        <v>0</v>
      </c>
      <c s="9" r="AB21"/>
      <c s="9" r="AC21"/>
      <c s="9" r="AD21"/>
      <c s="9" r="AE21"/>
      <c s="9" r="AF21"/>
      <c s="94" r="AG21">
        <v>0</v>
      </c>
      <c s="94" r="AH21">
        <f>((AC21*0.6637)+AE21)+AG21</f>
        <v>0</v>
      </c>
      <c s="94" r="AI21">
        <f>(AA21*2.3)+(AD21)</f>
        <v>0</v>
      </c>
      <c s="133" r="AJ21"/>
      <c s="30" r="AK21"/>
      <c s="30" r="AL21"/>
      <c s="30" r="AM21"/>
      <c s="30" r="AN21"/>
      <c s="30" r="AO21"/>
    </row>
    <row r="22">
      <c t="str" s="64" r="A22">
        <f>(((B22&amp;" ")&amp;C22)&amp;" ")&amp;E22</f>
        <v>Ironscale War Cloak Heroic SP 78.3136</v>
      </c>
      <c t="s" s="132" r="B22">
        <v>74</v>
      </c>
      <c t="s" s="9" r="C22">
        <v>75</v>
      </c>
      <c t="s" s="9" r="D22">
        <v>36</v>
      </c>
      <c s="81" r="E22">
        <f>(F22+G22)+H22</f>
        <v>78.3136</v>
      </c>
      <c s="121" r="F22">
        <f>((((((J22*0.1)+(O22*1.25))+R22)+S22)+V22)+(X22*0.5))+(AF22*0.2)</f>
        <v>41.3</v>
      </c>
      <c s="121" r="G22">
        <f>+((K22*1.06)*1.06)</f>
        <v>29.2136</v>
      </c>
      <c s="121" r="H22">
        <f>((((AB22)+(0.3*K22))+AG22)+(AF22*0.6))+AI22</f>
        <v>7.8</v>
      </c>
      <c s="98" r="I22">
        <f>((((0.05*O22)+(0.053*V22))+(0.04*AC22))+(0.042*S22))/100.0</f>
        <v>0</v>
      </c>
      <c s="9" r="J22">
        <v>78</v>
      </c>
      <c s="9" r="K22">
        <f>L22+M22</f>
        <v>26</v>
      </c>
      <c s="9" r="L22">
        <v>26</v>
      </c>
      <c s="9" r="M22"/>
      <c s="9" r="N22"/>
      <c s="9" r="O22">
        <f>P22+Q22</f>
        <v>0</v>
      </c>
      <c s="9" r="P22">
        <v>0</v>
      </c>
      <c s="9" r="Q22"/>
      <c s="9" r="R22">
        <v>19</v>
      </c>
      <c s="9" r="S22">
        <f>T22+U22</f>
        <v>0</v>
      </c>
      <c s="9" r="T22"/>
      <c s="9" r="U22"/>
      <c s="9" r="V22"/>
      <c s="9" r="W22"/>
      <c s="9" r="X22">
        <v>29</v>
      </c>
      <c s="9" r="Y22"/>
      <c s="9" r="Z22"/>
      <c s="9" r="AA22"/>
      <c s="9" r="AB22"/>
      <c s="9" r="AC22"/>
      <c s="9" r="AD22"/>
      <c s="9" r="AE22"/>
      <c s="9" r="AF22"/>
      <c s="9" r="AG22"/>
      <c s="94" r="AH22">
        <f>((AC22*0.6637)+AE22)+AG22</f>
        <v>0</v>
      </c>
      <c s="94" r="AI22">
        <f>(AA22*2.3)+(AD22)</f>
        <v>0</v>
      </c>
      <c s="133" r="AJ22"/>
      <c s="30" r="AK22"/>
      <c s="30" r="AL22"/>
      <c s="30" r="AM22"/>
      <c s="30" r="AN22"/>
      <c s="30" r="AO22"/>
    </row>
    <row r="23">
      <c t="str" s="64" r="A23">
        <f>(((B23&amp;" ")&amp;C23)&amp;" ")&amp;E23</f>
        <v>Resolute Cape Crafted 77.608</v>
      </c>
      <c t="s" s="71" r="B23">
        <v>76</v>
      </c>
      <c t="s" s="9" r="C23">
        <v>73</v>
      </c>
      <c t="s" s="9" r="D23">
        <v>36</v>
      </c>
      <c s="81" r="E23">
        <f>(F23+G23)+H23</f>
        <v>77.608</v>
      </c>
      <c s="121" r="F23">
        <f>((((((J23*0.1)+(O23*1.25))+R23)+S23)+V23)+(X23*0.5))+(AF23*0.2)</f>
        <v>34.9</v>
      </c>
      <c s="121" r="G23">
        <f>+((K23*1.06)*1.06)</f>
        <v>33.708</v>
      </c>
      <c s="121" r="H23">
        <f>((((AB23)+(0.3*K23))+AG23)+(AF23*0.6))+AI23</f>
        <v>9</v>
      </c>
      <c s="98" r="I23">
        <f>((((0.05*O23)+(0.053*V23))+(0.04*AC23))+(0.042*S23))/100.0</f>
        <v>0</v>
      </c>
      <c s="134" r="J23">
        <v>349</v>
      </c>
      <c s="9" r="K23">
        <f>L23+M23</f>
        <v>30</v>
      </c>
      <c s="134" r="L23">
        <v>30</v>
      </c>
      <c s="9" r="M23"/>
      <c s="9" r="N23"/>
      <c s="9" r="O23">
        <f>P23+Q23</f>
        <v>0</v>
      </c>
      <c s="94" r="P23">
        <v>0</v>
      </c>
      <c s="9" r="Q23"/>
      <c s="134" r="R23">
        <v>0</v>
      </c>
      <c s="9" r="S23">
        <f>T23+U23</f>
        <v>0</v>
      </c>
      <c s="94" r="T23"/>
      <c s="94" r="U23"/>
      <c s="94" r="V23">
        <v>0</v>
      </c>
      <c s="134" r="W23">
        <v>21</v>
      </c>
      <c s="134" r="X23">
        <v>0</v>
      </c>
      <c s="9" r="Y23">
        <v>0</v>
      </c>
      <c s="94" r="Z23">
        <v>0</v>
      </c>
      <c s="134" r="AA23">
        <v>0</v>
      </c>
      <c s="9" r="AB23"/>
      <c s="9" r="AC23"/>
      <c s="9" r="AD23"/>
      <c s="9" r="AE23"/>
      <c s="9" r="AF23"/>
      <c s="134" r="AG23">
        <v>0</v>
      </c>
      <c s="94" r="AH23">
        <f>((AC23*0.6637)+AE23)+AG23</f>
        <v>0</v>
      </c>
      <c s="94" r="AI23">
        <f>(AA23*2.3)+(AD23)</f>
        <v>0</v>
      </c>
      <c s="133" r="AJ23"/>
      <c s="30" r="AK23"/>
      <c s="30" r="AL23"/>
      <c s="30" r="AM23"/>
      <c s="30" r="AN23"/>
      <c s="30" r="AO23"/>
    </row>
    <row r="24">
      <c t="str" s="64" r="A24">
        <f>(((B24&amp;" ")&amp;C24)&amp;" ")&amp;E24</f>
        <v>Valorous Repemption Breastplate Naxx25 4 Horseman 850.8468</v>
      </c>
      <c t="s" s="41" r="B24">
        <v>77</v>
      </c>
      <c t="s" s="41" r="C24">
        <v>78</v>
      </c>
      <c t="s" s="41" r="D24">
        <v>79</v>
      </c>
      <c s="81" r="E24">
        <f>(F24+G24)+H24</f>
        <v>850.8468</v>
      </c>
      <c s="121" r="F24">
        <f>((((((J24*0.1)+(O24*1.25))+R24)+S24)+V24)+(X24*0.5))+(AF24*0.2)</f>
        <v>388.8</v>
      </c>
      <c s="121" r="G24">
        <f>+((K24*1.06)*1.06)</f>
        <v>183.1468</v>
      </c>
      <c s="121" r="H24">
        <f>((((AB24)+(0.3*K24))+AG24)+(AF24*0.6))+AI24</f>
        <v>278.9</v>
      </c>
      <c s="98" r="I24">
        <f>((((0.05*O24)+(0.053*V24))+(0.04*AC24))+(0.042*S24))/100.0</f>
        <v>0.027</v>
      </c>
      <c s="131" r="J24">
        <v>2298</v>
      </c>
      <c s="131" r="K24">
        <f>L24+M24</f>
        <v>163</v>
      </c>
      <c s="131" r="L24">
        <v>127</v>
      </c>
      <c s="131" r="M24">
        <f>24.0+12.0</f>
        <v>36</v>
      </c>
      <c t="s" s="131" r="N24">
        <v>80</v>
      </c>
      <c s="131" r="O24">
        <f>P24+Q24</f>
        <v>54</v>
      </c>
      <c s="131" r="P24">
        <v>46</v>
      </c>
      <c s="131" r="Q24">
        <v>8</v>
      </c>
      <c s="131" r="R24">
        <f>53.0+6.0</f>
        <v>59</v>
      </c>
      <c s="131" r="S24">
        <f>T24+U24</f>
        <v>0</v>
      </c>
      <c s="131" r="T24"/>
      <c s="131" r="U24"/>
      <c s="131" r="V24"/>
      <c s="131" r="W24"/>
      <c s="131" r="X24">
        <v>65</v>
      </c>
      <c s="131" r="Y24"/>
      <c s="131" r="Z24"/>
      <c s="131" r="AA24">
        <v>100</v>
      </c>
      <c s="131" r="AB24"/>
      <c s="131" r="AC24"/>
      <c s="131" r="AD24"/>
      <c s="131" r="AE24"/>
      <c s="131" r="AF24"/>
      <c s="131" r="AG24"/>
      <c s="94" r="AH24">
        <f>((AC24*0.6637)+AE24)+AG24</f>
        <v>0</v>
      </c>
      <c s="94" r="AI24">
        <f>(AA24*2.3)+(AD24)</f>
        <v>230</v>
      </c>
      <c s="133" r="AJ24"/>
      <c s="30" r="AK24"/>
      <c s="30" r="AL24"/>
      <c s="30" r="AM24"/>
      <c s="30" r="AN24"/>
      <c s="30" r="AO24"/>
    </row>
    <row r="25">
      <c t="str" s="64" r="A25">
        <f>(((B25&amp;" ")&amp;C25)&amp;" ")&amp;E25</f>
        <v>Dragonstorm Breastplate Obs Sanctum Sarth + Adds 842.7636</v>
      </c>
      <c t="s" s="41" r="B25">
        <v>81</v>
      </c>
      <c t="s" s="41" r="C25">
        <v>82</v>
      </c>
      <c t="s" s="41" r="D25">
        <v>79</v>
      </c>
      <c s="81" r="E25">
        <f>(F25+G25)+H25</f>
        <v>842.7636</v>
      </c>
      <c s="121" r="F25">
        <f>((((((J25*0.1)+(O25*1.25))+R25)+S25)+V25)+(X25*0.5))+(AF25*0.2)</f>
        <v>397.8</v>
      </c>
      <c s="121" r="G25">
        <f>+((K25*1.06)*1.06)</f>
        <v>169.6636</v>
      </c>
      <c s="121" r="H25">
        <f>((((AB25)+(0.3*K25))+AG25)+(AF25*0.6))+AI25</f>
        <v>275.3</v>
      </c>
      <c s="98" r="I25">
        <f>((((0.05*O25)+(0.053*V25))+(0.04*AC25))+(0.042*S25))/100.0</f>
        <v>0.07333</v>
      </c>
      <c s="131" r="J25">
        <v>2298</v>
      </c>
      <c s="131" r="K25">
        <f>L25+M25</f>
        <v>151</v>
      </c>
      <c s="131" r="L25">
        <v>127</v>
      </c>
      <c s="131" r="M25">
        <f>12.0+12.0</f>
        <v>24</v>
      </c>
      <c t="s" s="131" r="N25">
        <v>83</v>
      </c>
      <c s="131" r="O25">
        <f>P25+Q25</f>
        <v>52</v>
      </c>
      <c s="131" r="P25">
        <v>44</v>
      </c>
      <c s="131" r="Q25">
        <v>8</v>
      </c>
      <c s="131" r="R25"/>
      <c s="131" r="S25">
        <f>T25+U25</f>
        <v>66</v>
      </c>
      <c s="131" r="T25">
        <v>58</v>
      </c>
      <c s="131" r="U25">
        <v>8</v>
      </c>
      <c s="131" r="V25">
        <v>37</v>
      </c>
      <c s="131" r="W25"/>
      <c s="131" r="X25"/>
      <c s="131" r="Y25"/>
      <c s="131" r="Z25"/>
      <c s="131" r="AA25">
        <v>100</v>
      </c>
      <c s="131" r="AB25"/>
      <c s="131" r="AC25"/>
      <c s="131" r="AD25"/>
      <c s="131" r="AE25"/>
      <c s="131" r="AF25"/>
      <c s="131" r="AG25"/>
      <c s="94" r="AH25">
        <f>((AC25*0.6637)+AE25)+AG25</f>
        <v>0</v>
      </c>
      <c s="94" r="AI25">
        <f>(AA25*2.3)+(AD25)</f>
        <v>230</v>
      </c>
      <c s="133" r="AJ25"/>
      <c s="30" r="AK25"/>
      <c s="30" r="AL25"/>
      <c s="30" r="AM25"/>
      <c s="30" r="AN25"/>
      <c s="30" r="AO25"/>
    </row>
    <row r="26">
      <c t="str" s="64" r="A26">
        <f>(((B26&amp;" ")&amp;C26)&amp;" ")&amp;E26</f>
        <v>Chestguard of the Exhausted Heroic Grob 841.1024</v>
      </c>
      <c t="s" s="41" r="B26">
        <v>84</v>
      </c>
      <c t="s" s="41" r="C26">
        <v>85</v>
      </c>
      <c t="s" s="41" r="D26">
        <v>79</v>
      </c>
      <c s="81" r="E26">
        <f>(F26+G26)+H26</f>
        <v>841.1024</v>
      </c>
      <c s="121" r="F26">
        <f>((((((J26*0.1)+(O26*1.25))+R26)+S26)+V26)+(X26*0.5))+(AF26*0.2)</f>
        <v>421.55</v>
      </c>
      <c s="121" r="G26">
        <f>+((K26*1.06)*1.06)</f>
        <v>178.6524</v>
      </c>
      <c s="121" r="H26">
        <f>((((AB26)+(0.3*K26))+AG26)+(AF26*0.6))+AI26</f>
        <v>240.9</v>
      </c>
      <c s="98" r="I26">
        <f>((((0.05*O26)+(0.053*V26))+(0.04*AC26))+(0.042*S26))/100.0</f>
        <v>0.06208</v>
      </c>
      <c s="131" r="J26">
        <v>2298</v>
      </c>
      <c s="131" r="K26">
        <f>L26+M26</f>
        <v>159</v>
      </c>
      <c s="131" r="L26">
        <v>126</v>
      </c>
      <c s="131" r="M26">
        <v>33</v>
      </c>
      <c t="s" s="131" r="N26">
        <v>86</v>
      </c>
      <c s="131" r="O26">
        <f>P26+Q26</f>
        <v>83</v>
      </c>
      <c s="131" r="P26">
        <v>67</v>
      </c>
      <c s="131" r="Q26">
        <v>16</v>
      </c>
      <c s="131" r="R26">
        <v>39</v>
      </c>
      <c s="131" r="S26">
        <f>T26+U26</f>
        <v>49</v>
      </c>
      <c s="131" r="T26">
        <v>49</v>
      </c>
      <c s="131" r="U26"/>
      <c s="131" r="V26"/>
      <c s="131" r="W26"/>
      <c s="131" r="X26"/>
      <c s="131" r="Y26"/>
      <c s="131" r="Z26"/>
      <c s="131" r="AA26">
        <v>84</v>
      </c>
      <c s="131" r="AB26"/>
      <c s="131" r="AC26"/>
      <c s="131" r="AD26"/>
      <c s="131" r="AE26"/>
      <c s="131" r="AF26"/>
      <c s="131" r="AG26"/>
      <c s="94" r="AH26">
        <f>((AC26*0.6637)+AE26)+AG26</f>
        <v>0</v>
      </c>
      <c s="94" r="AI26">
        <f>(AA26*2.3)+(AD26)</f>
        <v>193.2</v>
      </c>
      <c s="133" r="AJ26"/>
      <c s="30" r="AK26"/>
      <c s="30" r="AL26"/>
      <c s="30" r="AM26"/>
      <c s="30" r="AN26"/>
      <c s="30" r="AO26"/>
    </row>
    <row r="27">
      <c t="str" s="64" r="A27">
        <f>(((B27&amp;" ")&amp;C27)&amp;" ")&amp;E27</f>
        <v>Breastplate of Tormented Rage Naxx25 Heigan 817.04</v>
      </c>
      <c t="s" s="41" r="B27">
        <v>87</v>
      </c>
      <c t="s" s="41" r="C27">
        <v>35</v>
      </c>
      <c t="s" s="41" r="D27">
        <v>79</v>
      </c>
      <c s="81" r="E27">
        <f>(F27+G27)+H27</f>
        <v>817.04</v>
      </c>
      <c s="121" r="F27">
        <f>((((((J27*0.1)+(O27*1.25))+R27)+S27)+V27)+(X27*0.5))+(AF27*0.2)</f>
        <v>374.3</v>
      </c>
      <c s="121" r="G27">
        <f>+((K27*1.06)*1.06)</f>
        <v>168.54</v>
      </c>
      <c s="121" r="H27">
        <f>((((AB27)+(0.3*K27))+AG27)+(AF27*0.6))+AI27</f>
        <v>274.2</v>
      </c>
      <c s="98" r="I27">
        <f>((((0.05*O27)+(0.053*V27))+(0.04*AC27))+(0.042*S27))/100.0</f>
        <v>0.06716</v>
      </c>
      <c s="131" r="J27">
        <v>2298</v>
      </c>
      <c s="131" r="K27">
        <f>L27+M27</f>
        <v>150</v>
      </c>
      <c s="131" r="L27">
        <v>150</v>
      </c>
      <c s="131" r="M27"/>
      <c s="131" r="N27"/>
      <c s="131" r="O27">
        <f>P27+Q27</f>
        <v>58</v>
      </c>
      <c s="131" r="P27">
        <v>58</v>
      </c>
      <c s="131" r="Q27"/>
      <c s="131" r="R27"/>
      <c s="131" r="S27">
        <f>T27+U27</f>
        <v>0</v>
      </c>
      <c s="131" r="T27"/>
      <c s="131" r="U27"/>
      <c s="131" r="V27">
        <v>72</v>
      </c>
      <c s="131" r="W27"/>
      <c s="131" r="X27"/>
      <c s="131" r="Y27"/>
      <c s="131" r="Z27"/>
      <c s="131" r="AA27">
        <v>84</v>
      </c>
      <c s="131" r="AB27"/>
      <c s="131" r="AC27"/>
      <c s="131" r="AD27"/>
      <c s="131" r="AE27"/>
      <c s="131" r="AF27"/>
      <c s="131" r="AG27">
        <v>36</v>
      </c>
      <c s="94" r="AH27">
        <f>((AC27*0.6637)+AE27)+AG27</f>
        <v>36</v>
      </c>
      <c s="94" r="AI27">
        <f>(AA27*2.3)+(AD27)</f>
        <v>193.2</v>
      </c>
      <c s="133" r="AJ27"/>
      <c s="30" r="AK27">
        <f>((1.0*1.06)*1.06)+(1.0*0.3)</f>
        <v>1.4236</v>
      </c>
      <c s="30" r="AL27"/>
      <c s="30" r="AM27"/>
      <c s="30" r="AN27"/>
      <c s="30" r="AO27"/>
    </row>
    <row r="28">
      <c t="str" s="64" r="A28">
        <f>(((B28&amp;" ")&amp;C28)&amp;" ")&amp;E28</f>
        <v>Heroes' Redemption Breastplate Naxx10 4 Horseman 778.0692</v>
      </c>
      <c t="s" s="41" r="B28">
        <v>88</v>
      </c>
      <c t="s" s="41" r="C28">
        <v>89</v>
      </c>
      <c t="s" s="41" r="D28">
        <v>79</v>
      </c>
      <c s="81" r="E28">
        <f>(F28+G28)+H28</f>
        <v>778.0692</v>
      </c>
      <c s="121" r="F28">
        <f>((((((J28*0.1)+(O28*1.25))+R28)+S28)+V28)+(X28*0.5))+(AF28*0.2)</f>
        <v>364.1</v>
      </c>
      <c s="121" r="G28">
        <f>+((K28*1.06)*1.06)</f>
        <v>165.1692</v>
      </c>
      <c s="121" r="H28">
        <f>((((AB28)+(0.3*K28))+AG28)+(AF28*0.6))+AI28</f>
        <v>248.8</v>
      </c>
      <c s="98" r="I28">
        <f>((((0.05*O28)+(0.053*V28))+(0.04*AC28))+(0.042*S28))/100.0</f>
        <v>0.023</v>
      </c>
      <c s="131" r="J28">
        <v>2241</v>
      </c>
      <c s="131" r="K28">
        <f>L28+M28</f>
        <v>147</v>
      </c>
      <c s="131" r="L28">
        <v>111</v>
      </c>
      <c s="131" r="M28">
        <f>24.0+12.0</f>
        <v>36</v>
      </c>
      <c t="s" s="131" r="N28">
        <v>90</v>
      </c>
      <c s="131" r="O28">
        <f>P28+Q28</f>
        <v>46</v>
      </c>
      <c s="131" r="P28">
        <v>38</v>
      </c>
      <c s="131" r="Q28">
        <v>8</v>
      </c>
      <c s="131" r="R28">
        <f>47.0+6.0</f>
        <v>53</v>
      </c>
      <c s="131" r="S28">
        <f>T28+U28</f>
        <v>0</v>
      </c>
      <c s="131" r="T28"/>
      <c s="131" r="U28"/>
      <c s="131" r="V28"/>
      <c s="131" r="W28"/>
      <c s="131" r="X28">
        <v>59</v>
      </c>
      <c s="131" r="Y28"/>
      <c s="131" r="Z28"/>
      <c s="131" r="AA28">
        <v>89</v>
      </c>
      <c s="131" r="AB28"/>
      <c s="131" r="AC28"/>
      <c s="131" r="AD28"/>
      <c s="131" r="AE28"/>
      <c s="131" r="AF28"/>
      <c s="131" r="AG28"/>
      <c s="94" r="AH28">
        <f>((AC28*0.6637)+AE28)+AG28</f>
        <v>0</v>
      </c>
      <c s="94" r="AI28">
        <f>(AA28*2.3)+(AD28)</f>
        <v>204.7</v>
      </c>
      <c s="133" r="AJ28"/>
      <c s="30" r="AK28">
        <f>(1.0+(1.0*0.5))+(1.0*2.3)</f>
        <v>3.8</v>
      </c>
      <c s="30" r="AL28"/>
      <c s="30" r="AM28"/>
      <c s="30" r="AN28"/>
      <c s="30" r="AO28"/>
    </row>
    <row r="29">
      <c t="str" s="64" r="A29">
        <f>(((B29&amp;" ")&amp;C29)&amp;" ")&amp;E29</f>
        <v>Massive Skeletal Ribcage Nax10 Sapph 737.686</v>
      </c>
      <c t="s" s="41" r="B29">
        <v>91</v>
      </c>
      <c t="s" s="41" r="C29">
        <v>92</v>
      </c>
      <c t="s" s="41" r="D29">
        <v>79</v>
      </c>
      <c s="81" r="E29">
        <f>(F29+G29)+H29</f>
        <v>737.686</v>
      </c>
      <c s="121" r="F29">
        <f>((((((J29*0.1)+(O29*1.25))+R29)+S29)+V29)+(X29*0.5))+(AF29*0.2)</f>
        <v>362.1</v>
      </c>
      <c s="121" r="G29">
        <f>+((K29*1.06)*1.06)</f>
        <v>151.686</v>
      </c>
      <c s="121" r="H29">
        <f>((((AB29)+(0.3*K29))+AG29)+(AF29*0.6))+AI29</f>
        <v>223.9</v>
      </c>
      <c s="98" r="I29">
        <f>((((0.05*O29)+(0.053*V29))+(0.04*AC29))+(0.042*S29))/100.0</f>
        <v>0.05288</v>
      </c>
      <c s="131" r="J29">
        <v>2241</v>
      </c>
      <c s="131" r="K29">
        <f>L29+M29</f>
        <v>135</v>
      </c>
      <c s="131" r="L29">
        <v>135</v>
      </c>
      <c s="131" r="M29"/>
      <c s="131" r="N29"/>
      <c s="131" r="O29">
        <f>P29+Q29</f>
        <v>52</v>
      </c>
      <c s="131" r="P29">
        <v>52</v>
      </c>
      <c s="131" r="Q29"/>
      <c s="131" r="R29"/>
      <c s="131" r="S29">
        <f>T29+U29</f>
        <v>64</v>
      </c>
      <c s="131" r="T29">
        <v>64</v>
      </c>
      <c s="131" r="U29"/>
      <c s="131" r="V29"/>
      <c s="131" r="W29"/>
      <c s="131" r="X29"/>
      <c s="131" r="Y29"/>
      <c s="131" r="Z29"/>
      <c s="131" r="AA29">
        <v>68</v>
      </c>
      <c s="131" r="AB29"/>
      <c s="131" r="AC29"/>
      <c s="131" r="AD29"/>
      <c s="131" r="AE29"/>
      <c s="131" r="AF29">
        <v>45</v>
      </c>
      <c s="131" r="AG29"/>
      <c s="94" r="AH29">
        <f>((AC29*0.6637)+AE29)+AG29</f>
        <v>0</v>
      </c>
      <c s="94" r="AI29">
        <f>(AA29*2.3)+(AD29)</f>
        <v>156.4</v>
      </c>
      <c s="133" r="AJ29"/>
      <c s="30" r="AK29"/>
      <c s="30" r="AL29"/>
      <c s="30" r="AM29"/>
      <c s="30" r="AN29"/>
      <c s="30" r="AO29"/>
    </row>
    <row r="30">
      <c t="str" s="64" r="A30">
        <f>(((B30&amp;" ")&amp;C30)&amp;" ")&amp;E30</f>
        <v>Ziggurat Imprinted Chestguard H-Drak'tharon Tharon'ja 675.2112</v>
      </c>
      <c t="s" s="41" r="B30">
        <v>93</v>
      </c>
      <c t="s" s="41" r="C30">
        <v>94</v>
      </c>
      <c t="s" s="41" r="D30">
        <v>79</v>
      </c>
      <c s="81" r="E30">
        <f>(F30+G30)+H30</f>
        <v>675.2112</v>
      </c>
      <c s="121" r="F30">
        <f>((((((J30*0.1)+(O30*1.25))+R30)+S30)+V30)+(X30*0.5))+(AF30*0.2)</f>
        <v>333.85</v>
      </c>
      <c s="121" r="G30">
        <f>+((K30*1.06)*1.06)</f>
        <v>131.4612</v>
      </c>
      <c s="121" r="H30">
        <f>((((AB30)+(0.3*K30))+AG30)+(AF30*0.6))+AI30</f>
        <v>209.9</v>
      </c>
      <c s="98" r="I30">
        <f>((((0.05*O30)+(0.053*V30))+(0.04*AC30))+(0.042*S30))/100.0</f>
        <v>0.04802</v>
      </c>
      <c s="131" r="J30">
        <v>2166</v>
      </c>
      <c s="131" r="K30">
        <f>L30+M30</f>
        <v>117</v>
      </c>
      <c s="131" r="L30">
        <v>117</v>
      </c>
      <c s="131" r="M30"/>
      <c s="131" r="N30"/>
      <c s="131" r="O30">
        <f>P30+Q30</f>
        <v>49</v>
      </c>
      <c s="131" r="P30">
        <v>49</v>
      </c>
      <c s="131" r="Q30"/>
      <c s="131" r="R30"/>
      <c s="131" r="S30">
        <f>T30+U30</f>
        <v>56</v>
      </c>
      <c s="131" r="T30">
        <v>56</v>
      </c>
      <c s="131" r="U30"/>
      <c s="131" r="V30"/>
      <c s="131" r="W30"/>
      <c s="131" r="X30"/>
      <c s="131" r="Y30"/>
      <c s="131" r="Z30"/>
      <c s="131" r="AA30">
        <v>76</v>
      </c>
      <c s="131" r="AB30"/>
      <c s="131" r="AC30"/>
      <c s="131" r="AD30"/>
      <c s="131" r="AE30"/>
      <c s="131" r="AF30"/>
      <c s="131" r="AG30"/>
      <c s="94" r="AH30">
        <f>((AC30*0.6637)+AE30)+AG30</f>
        <v>0</v>
      </c>
      <c s="94" r="AI30">
        <f>(AA30*2.3)+(AD30)</f>
        <v>174.8</v>
      </c>
      <c s="133" r="AJ30"/>
      <c s="30" r="AK30"/>
      <c s="30" r="AL30"/>
      <c s="30" r="AM30"/>
      <c s="30" r="AN30"/>
      <c s="30" r="AO30"/>
    </row>
    <row r="31">
      <c t="str" s="64" r="A31">
        <f>(((B31&amp;" ")&amp;C31)&amp;" ")&amp;E31</f>
        <v>Sun-Emblazoned Chestplate H-Halls of Stone Sjonnir 665.2275999999999</v>
      </c>
      <c t="s" s="41" r="B31">
        <v>95</v>
      </c>
      <c t="s" s="41" r="C31">
        <v>96</v>
      </c>
      <c t="s" s="41" r="D31">
        <v>79</v>
      </c>
      <c s="81" r="E31">
        <f>(F31+G31)+H31</f>
        <v>665.2276</v>
      </c>
      <c s="121" r="F31">
        <f>((((((J31*0.1)+(O31*1.25))+R31)+S31)+V31)+(X31*0.5))+(AF31*0.2)</f>
        <v>291.6</v>
      </c>
      <c s="121" r="G31">
        <f>+((K31*1.06)*1.06)</f>
        <v>158.4276</v>
      </c>
      <c s="121" r="H31">
        <f>((((AB31)+(0.3*K31))+AG31)+(AF31*0.6))+AI31</f>
        <v>215.2</v>
      </c>
      <c s="98" r="I31">
        <f>((((0.05*O31)+(0.053*V31))+(0.04*AC31))+(0.042*S31))/100.0</f>
        <v>0.03</v>
      </c>
      <c s="131" r="J31">
        <v>2166</v>
      </c>
      <c s="131" r="K31">
        <f>L31+M31</f>
        <v>141</v>
      </c>
      <c s="131" r="L31">
        <v>117</v>
      </c>
      <c s="131" r="M31">
        <v>24</v>
      </c>
      <c t="s" s="131" r="N31">
        <v>97</v>
      </c>
      <c s="131" r="O31">
        <f>P31+Q31</f>
        <v>60</v>
      </c>
      <c s="131" r="P31">
        <v>60</v>
      </c>
      <c s="131" r="Q31"/>
      <c s="131" r="R31"/>
      <c s="131" r="S31">
        <f>T31+U31</f>
        <v>0</v>
      </c>
      <c s="131" r="T31"/>
      <c s="131" r="U31"/>
      <c s="131" r="V31"/>
      <c s="131" r="W31"/>
      <c s="131" r="X31"/>
      <c s="131" r="Y31"/>
      <c s="131" r="Z31"/>
      <c s="131" r="AA31">
        <v>53</v>
      </c>
      <c s="131" r="AB31"/>
      <c s="131" r="AC31"/>
      <c s="131" r="AD31"/>
      <c s="131" r="AE31"/>
      <c s="131" r="AF31"/>
      <c s="131" r="AG31">
        <v>51</v>
      </c>
      <c s="94" r="AH31">
        <f>((AC31*0.6637)+AE31)+AG31</f>
        <v>51</v>
      </c>
      <c s="94" r="AI31">
        <f>(AA31*2.3)+(AD31)</f>
        <v>121.9</v>
      </c>
      <c s="133" r="AJ31"/>
      <c s="30" r="AK31"/>
      <c s="30" r="AL31"/>
      <c s="30" r="AM31"/>
      <c s="30" r="AN31"/>
      <c s="30" r="AO31"/>
    </row>
    <row r="32">
      <c t="str" s="64" r="A32">
        <f>(((B32&amp;" ")&amp;C32)&amp;" ")&amp;E32</f>
        <v>Breastplate of the Solemn Counci Wyrmcrest Accord Revered 635.6612</v>
      </c>
      <c t="s" s="41" r="B32">
        <v>98</v>
      </c>
      <c t="s" s="41" r="C32">
        <v>99</v>
      </c>
      <c t="s" s="41" r="D32">
        <v>79</v>
      </c>
      <c s="81" r="E32">
        <f>(F32+G32)+H32</f>
        <v>635.6612</v>
      </c>
      <c s="121" r="F32">
        <f>((((((J32*0.1)+(O32*1.25))+R32)+S32)+V32)+(X32*0.5))+(AF32*0.2)</f>
        <v>322.8</v>
      </c>
      <c s="121" r="G32">
        <f>+((K32*1.06)*1.06)</f>
        <v>131.4612</v>
      </c>
      <c s="121" r="H32">
        <f>((((AB32)+(0.3*K32))+AG32)+(AF32*0.6))+AI32</f>
        <v>181.4</v>
      </c>
      <c s="98" r="I32">
        <f>((((0.05*O32)+(0.053*V32))+(0.04*AC32))+(0.042*S32))/100.0</f>
        <v>0.038</v>
      </c>
      <c s="131" r="J32">
        <v>2166</v>
      </c>
      <c s="131" r="K32">
        <f>L32+M32</f>
        <v>117</v>
      </c>
      <c s="131" r="L32">
        <v>117</v>
      </c>
      <c s="131" r="M32"/>
      <c s="131" r="N32"/>
      <c s="131" r="O32">
        <f>P32+Q32</f>
        <v>76</v>
      </c>
      <c s="131" r="P32">
        <v>76</v>
      </c>
      <c s="131" r="Q32"/>
      <c s="131" r="R32"/>
      <c s="131" r="S32">
        <f>T32+U32</f>
        <v>0</v>
      </c>
      <c s="131" r="T32"/>
      <c s="131" r="U32"/>
      <c s="131" r="V32"/>
      <c s="131" r="W32"/>
      <c s="131" r="X32"/>
      <c s="131" r="Y32"/>
      <c s="131" r="Z32"/>
      <c s="131" r="AA32">
        <v>49</v>
      </c>
      <c s="131" r="AB32"/>
      <c s="131" r="AC32"/>
      <c s="131" r="AD32"/>
      <c s="131" r="AE32"/>
      <c s="131" r="AF32">
        <v>56</v>
      </c>
      <c s="131" r="AG32"/>
      <c s="94" r="AH32">
        <f>((AC32*0.6637)+AE32)+AG32</f>
        <v>0</v>
      </c>
      <c s="94" r="AI32">
        <f>(AA32*2.3)+(AD32)</f>
        <v>112.7</v>
      </c>
      <c s="133" r="AJ32"/>
      <c s="30" r="AK32"/>
      <c s="30" r="AL32"/>
      <c s="30" r="AM32"/>
      <c s="30" r="AN32"/>
      <c s="30" r="AO32"/>
    </row>
    <row r="33">
      <c t="str" s="64" r="A33">
        <f>(((B33&amp;" ")&amp;C33)&amp;" ")&amp;E33</f>
        <v>Heroic Judicator's Chestguard Sunwell Plateau Entropius 618.2236</v>
      </c>
      <c t="s" s="90" r="B33">
        <v>100</v>
      </c>
      <c t="s" s="41" r="C33">
        <v>101</v>
      </c>
      <c t="s" s="41" r="D33">
        <v>79</v>
      </c>
      <c s="81" r="E33">
        <f>(F33+G33)+H33</f>
        <v>618.2236</v>
      </c>
      <c s="121" r="F33">
        <f>((((((J33*0.1)+(O33*1.25))+R33)+S33)+V33)+(X33*0.5))+(AF33*0.2)</f>
        <v>298.55</v>
      </c>
      <c s="121" r="G33">
        <f>+((K33*1.06)*1.06)</f>
        <v>141.5736</v>
      </c>
      <c s="121" r="H33">
        <f>((((AB33)+(0.3*K33))+AG33)+(AF33*0.6))+AI33</f>
        <v>178.1</v>
      </c>
      <c s="98" r="I33">
        <f>((((0.05*O33)+(0.053*V33))+(0.04*AC33))+(0.042*S33))/100.0</f>
        <v>0.04582</v>
      </c>
      <c s="131" r="J33">
        <v>1983</v>
      </c>
      <c s="131" r="K33">
        <f>L33+M33</f>
        <v>126</v>
      </c>
      <c s="131" r="L33">
        <v>78</v>
      </c>
      <c s="131" r="M33">
        <f>(24.0+12.0)+12.0</f>
        <v>48</v>
      </c>
      <c t="s" s="131" r="N33">
        <v>102</v>
      </c>
      <c s="131" r="O33">
        <f>P33+Q33</f>
        <v>45</v>
      </c>
      <c s="131" r="P33">
        <v>29</v>
      </c>
      <c s="131" r="Q33">
        <f>8.0+8.0</f>
        <v>16</v>
      </c>
      <c s="131" r="R33"/>
      <c s="131" r="S33">
        <f>T33+U33</f>
        <v>0</v>
      </c>
      <c s="131" r="T33"/>
      <c s="131" r="U33"/>
      <c s="131" r="V33">
        <v>44</v>
      </c>
      <c s="131" r="W33"/>
      <c s="131" r="X33"/>
      <c s="131" r="Y33"/>
      <c s="131" r="Z33"/>
      <c s="131" r="AA33">
        <v>61</v>
      </c>
      <c s="131" r="AB33"/>
      <c s="131" r="AC33"/>
      <c s="131" r="AD33"/>
      <c s="131" r="AE33"/>
      <c s="131" r="AF33"/>
      <c s="131" r="AG33"/>
      <c s="94" r="AH33">
        <f>((AC33*0.6637)+AE33)+AG33</f>
        <v>0</v>
      </c>
      <c s="94" r="AI33">
        <f>(AA33*2.3)+(AD33)</f>
        <v>140.3</v>
      </c>
      <c s="133" r="AJ33"/>
      <c s="30" r="AK33"/>
      <c s="30" r="AL33"/>
      <c s="30" r="AM33"/>
      <c s="30" r="AN33"/>
      <c s="30" r="AO33"/>
    </row>
    <row r="34">
      <c t="str" s="64" r="A34">
        <f>(((B34&amp;" ")&amp;C34)&amp;" ")&amp;E34</f>
        <v>Reanimated Armor Utgarde Pinnacle Gortok 617.178</v>
      </c>
      <c t="s" s="41" r="B34">
        <v>103</v>
      </c>
      <c t="s" s="41" r="C34">
        <v>104</v>
      </c>
      <c t="s" s="41" r="D34">
        <v>79</v>
      </c>
      <c s="81" r="E34">
        <f>(F34+G34)+H34</f>
        <v>617.178</v>
      </c>
      <c s="121" r="F34">
        <f>((((((J34*0.1)+(O34*1.25))+R34)+S34)+V34)+(X34*0.5))+(AF34*0.2)</f>
        <v>311.3</v>
      </c>
      <c s="121" r="G34">
        <f>+((K34*1.06)*1.06)</f>
        <v>117.978</v>
      </c>
      <c s="121" r="H34">
        <f>((((AB34)+(0.3*K34))+AG34)+(AF34*0.6))+AI34</f>
        <v>187.9</v>
      </c>
      <c s="98" r="I34">
        <f>((((0.05*O34)+(0.053*V34))+(0.04*AC34))+(0.042*S34))/100.0</f>
        <v>0.04174</v>
      </c>
      <c s="131" r="J34">
        <v>2093</v>
      </c>
      <c s="131" r="K34">
        <f>L34+M34</f>
        <v>105</v>
      </c>
      <c s="131" r="L34">
        <v>105</v>
      </c>
      <c s="131" r="M34"/>
      <c s="131" r="N34"/>
      <c s="131" r="O34">
        <f>P34+Q34</f>
        <v>44</v>
      </c>
      <c s="131" r="P34">
        <v>44</v>
      </c>
      <c s="131" r="Q34"/>
      <c s="131" r="R34"/>
      <c s="131" r="S34">
        <f>T34+U34</f>
        <v>47</v>
      </c>
      <c s="131" r="T34">
        <v>47</v>
      </c>
      <c s="131" r="U34"/>
      <c s="131" r="V34"/>
      <c s="131" r="W34"/>
      <c s="131" r="X34"/>
      <c s="131" r="Y34"/>
      <c s="131" r="Z34"/>
      <c s="131" r="AA34">
        <v>68</v>
      </c>
      <c s="131" r="AB34"/>
      <c s="131" r="AC34"/>
      <c s="131" r="AD34"/>
      <c s="131" r="AE34"/>
      <c s="131" r="AF34"/>
      <c s="131" r="AG34"/>
      <c s="94" r="AH34">
        <f>((AC34*0.6637)+AE34)+AG34</f>
        <v>0</v>
      </c>
      <c s="94" r="AI34">
        <f>(AA34*2.3)+(AD34)</f>
        <v>156.4</v>
      </c>
      <c s="133" r="AJ34"/>
      <c s="30" r="AK34"/>
      <c s="30" r="AL34"/>
      <c s="30" r="AM34"/>
      <c s="30" r="AN34"/>
      <c s="30" r="AO34"/>
    </row>
    <row r="35">
      <c t="str" s="64" r="A35">
        <f>(((B35&amp;" ")&amp;C35)&amp;" ")&amp;E35</f>
        <v>Silver-Plated Battlechest Q Rew  586.4308</v>
      </c>
      <c t="s" s="41" r="B35">
        <v>105</v>
      </c>
      <c t="s" s="41" r="C35">
        <v>106</v>
      </c>
      <c t="s" s="41" r="D35">
        <v>79</v>
      </c>
      <c s="81" r="E35">
        <f>(F35+G35)+H35</f>
        <v>586.4308</v>
      </c>
      <c s="121" r="F35">
        <f>((((((J35*0.1)+(O35*1.25))+R35)+S35)+V35)+(X35*0.5))+(AF35*0.2)</f>
        <v>301.8</v>
      </c>
      <c s="121" r="G35">
        <f>+((K35*1.06)*1.06)</f>
        <v>115.7308</v>
      </c>
      <c s="121" r="H35">
        <f>((((AB35)+(0.3*K35))+AG35)+(AF35*0.6))+AI35</f>
        <v>168.9</v>
      </c>
      <c s="98" r="I35">
        <f>((((0.05*O35)+(0.053*V35))+(0.04*AC35))+(0.042*S35))/100.0</f>
        <v>0.037</v>
      </c>
      <c s="131" r="J35">
        <v>2093</v>
      </c>
      <c s="131" r="K35">
        <f>L35+M35</f>
        <v>103</v>
      </c>
      <c s="131" r="L35">
        <v>103</v>
      </c>
      <c s="131" r="M35"/>
      <c s="131" r="N35"/>
      <c s="131" r="O35">
        <f>P35+Q35</f>
        <v>74</v>
      </c>
      <c s="131" r="P35">
        <v>74</v>
      </c>
      <c s="131" r="Q35"/>
      <c s="131" r="R35"/>
      <c s="131" r="S35">
        <f>T35+U35</f>
        <v>0</v>
      </c>
      <c s="131" r="T35"/>
      <c s="131" r="U35"/>
      <c s="131" r="V35"/>
      <c s="131" r="W35"/>
      <c s="131" r="X35"/>
      <c s="131" r="Y35"/>
      <c s="131" r="Z35"/>
      <c s="131" r="AA35">
        <v>60</v>
      </c>
      <c s="131" r="AB35"/>
      <c s="131" r="AC35"/>
      <c s="131" r="AD35"/>
      <c s="131" r="AE35"/>
      <c s="131" r="AF35"/>
      <c s="131" r="AG35"/>
      <c s="94" r="AH35">
        <f>((AC35*0.6637)+AE35)+AG35</f>
        <v>0</v>
      </c>
      <c s="94" r="AI35">
        <f>(AA35*2.3)+(AD35)</f>
        <v>138</v>
      </c>
      <c s="133" r="AJ35"/>
      <c s="30" r="AK35"/>
      <c s="30" r="AL35"/>
      <c s="30" r="AM35"/>
      <c s="30" r="AN35"/>
      <c s="30" r="AO35"/>
    </row>
    <row r="36">
      <c t="str" s="64" r="A36">
        <f>(((B36&amp;" ")&amp;C36)&amp;" ")&amp;E36</f>
        <v>Battleplate of the Unheard Ovation Q Rew  567.4072</v>
      </c>
      <c t="s" s="41" r="B36">
        <v>107</v>
      </c>
      <c t="s" s="41" r="C36">
        <v>106</v>
      </c>
      <c t="s" s="41" r="D36">
        <v>79</v>
      </c>
      <c s="81" r="E36">
        <f>(F36+G36)+H36</f>
        <v>567.4072</v>
      </c>
      <c s="121" r="F36">
        <f>((((((J36*0.1)+(O36*1.25))+R36)+S36)+V36)+(X36*0.5))+(AF36*0.2)</f>
        <v>220.4</v>
      </c>
      <c s="121" r="G36">
        <f>+((K36*1.06)*1.06)</f>
        <v>114.6072</v>
      </c>
      <c s="121" r="H36">
        <f>((((AB36)+(0.3*K36))+AG36)+(AF36*0.6))+AI36</f>
        <v>232.4</v>
      </c>
      <c s="98" r="I36">
        <f>((((0.05*O36)+(0.053*V36))+(0.04*AC36))+(0.042*S36))/100.0</f>
        <v>0</v>
      </c>
      <c s="131" r="J36">
        <v>2068</v>
      </c>
      <c s="131" r="K36">
        <f>L36+M36</f>
        <v>102</v>
      </c>
      <c s="131" r="L36">
        <v>102</v>
      </c>
      <c s="131" r="M36"/>
      <c s="131" r="N36"/>
      <c s="131" r="O36">
        <f>P36+Q36</f>
        <v>0</v>
      </c>
      <c s="131" r="P36"/>
      <c s="131" r="Q36"/>
      <c s="131" r="R36"/>
      <c s="131" r="S36">
        <f>T36+U36</f>
        <v>0</v>
      </c>
      <c s="131" r="T36"/>
      <c s="131" r="U36"/>
      <c s="131" r="V36"/>
      <c s="131" r="W36"/>
      <c s="131" r="X36"/>
      <c s="131" r="Y36"/>
      <c s="131" r="Z36"/>
      <c s="131" r="AA36">
        <v>70</v>
      </c>
      <c s="131" r="AB36"/>
      <c s="131" r="AC36"/>
      <c s="131" r="AD36"/>
      <c s="131" r="AE36"/>
      <c s="131" r="AF36">
        <v>68</v>
      </c>
      <c s="131" r="AG36"/>
      <c s="94" r="AH36">
        <f>((AC36*0.6637)+AE36)+AG36</f>
        <v>0</v>
      </c>
      <c s="94" r="AI36">
        <f>(AA36*2.3)+(AD36)</f>
        <v>161</v>
      </c>
      <c s="133" r="AJ36"/>
      <c s="30" r="AK36"/>
      <c s="30" r="AL36"/>
      <c s="30" r="AM36"/>
      <c s="30" r="AN36"/>
      <c s="30" r="AO36"/>
    </row>
    <row r="37">
      <c t="str" s="64" r="A37">
        <f>(((B37&amp;" ")&amp;C37)&amp;" ")&amp;E37</f>
        <v>Lightbringer Chestguard (sta/str,sta/str,sta/def) Illidan 534.1279999999999</v>
      </c>
      <c t="s" s="90" r="B37">
        <v>108</v>
      </c>
      <c t="s" s="90" r="C37">
        <v>109</v>
      </c>
      <c t="s" s="131" r="D37">
        <v>79</v>
      </c>
      <c s="81" r="E37">
        <f>(F37+G37)+H37</f>
        <v>534.128</v>
      </c>
      <c s="121" r="F37">
        <f>((((((J37*0.1)+(O37*1.25))+R37)+S37)+V37)+(X37*0.5))+(AF37*0.2)</f>
        <v>285.75</v>
      </c>
      <c s="121" r="G37">
        <f>+((K37*1.06)*1.06)</f>
        <v>117.978</v>
      </c>
      <c s="121" r="H37">
        <f>((((AB37)+(0.3*K37))+AG37)+(AF37*0.6))+AI37</f>
        <v>130.4</v>
      </c>
      <c s="98" r="I37">
        <f>((((0.05*O37)+(0.053*V37))+(0.04*AC37))+(0.042*S37))/100.0</f>
        <v>0.02286</v>
      </c>
      <c s="131" r="J37">
        <v>1825</v>
      </c>
      <c s="131" r="K37">
        <f>L37+M37</f>
        <v>105</v>
      </c>
      <c s="131" r="L37">
        <f>69.0</f>
        <v>69</v>
      </c>
      <c s="131" r="M37">
        <f>(12.0+12.0)+12.0</f>
        <v>36</v>
      </c>
      <c t="s" s="131" r="N37">
        <v>110</v>
      </c>
      <c s="131" r="O37">
        <f>P37+Q37</f>
        <v>39</v>
      </c>
      <c s="131" r="P37">
        <f>31.0</f>
        <v>31</v>
      </c>
      <c s="131" r="Q37">
        <v>8</v>
      </c>
      <c s="131" r="R37">
        <v>23</v>
      </c>
      <c s="131" r="S37">
        <f>T37+U37</f>
        <v>8</v>
      </c>
      <c s="131" r="T37"/>
      <c s="131" r="U37">
        <v>8</v>
      </c>
      <c s="131" r="V37"/>
      <c s="131" r="W37"/>
      <c s="131" r="X37">
        <f>47.0</f>
        <v>47</v>
      </c>
      <c s="131" r="Y37"/>
      <c s="131" r="Z37"/>
      <c s="131" r="AA37">
        <f>43.0</f>
        <v>43</v>
      </c>
      <c s="131" r="AB37"/>
      <c s="131" r="AC37"/>
      <c s="131" r="AD37"/>
      <c s="131" r="AE37"/>
      <c s="131" r="AF37"/>
      <c s="131" r="AG37"/>
      <c s="94" r="AH37">
        <f>((AC37*0.6637)+AE37)+AG37</f>
        <v>0</v>
      </c>
      <c s="94" r="AI37">
        <f>(AA37*2.3)+(AD37)</f>
        <v>98.9</v>
      </c>
      <c s="133" r="AJ37"/>
      <c s="30" r="AK37"/>
      <c s="30" r="AL37"/>
      <c s="30" r="AM37"/>
      <c s="30" r="AN37"/>
      <c s="30" r="AO37"/>
    </row>
    <row r="38">
      <c t="str" s="64" r="A38">
        <f>(((B38&amp;" ")&amp;C38)&amp;" ")&amp;E38</f>
        <v>Shattrath Protectorate's Breastplate (sta) 100 Badges 507.5072</v>
      </c>
      <c t="s" s="90" r="B38">
        <v>111</v>
      </c>
      <c t="s" s="90" r="C38">
        <v>112</v>
      </c>
      <c t="s" s="131" r="D38">
        <v>79</v>
      </c>
      <c s="81" r="E38">
        <f>(F38+G38)+H38</f>
        <v>507.5072</v>
      </c>
      <c s="121" r="F38">
        <f>((((((J38*0.1)+(O38*1.25))+R38)+S38)+V38)+(X38*0.5))+(AF38*0.2)</f>
        <v>211</v>
      </c>
      <c s="121" r="G38">
        <f>+((K38*1.06)*1.06)</f>
        <v>114.6072</v>
      </c>
      <c s="121" r="H38">
        <f>((((AB38)+(0.3*K38))+AG38)+(AF38*0.6))+AI38</f>
        <v>181.9</v>
      </c>
      <c s="98" r="I38">
        <f>((((0.05*O38)+(0.053*V38))+(0.04*AC38))+(0.042*S38))/100.0</f>
        <v>0.01406</v>
      </c>
      <c s="131" r="J38">
        <v>1765</v>
      </c>
      <c s="131" r="K38">
        <f>L38+M38</f>
        <v>102</v>
      </c>
      <c s="131" r="L38">
        <f>78.0</f>
        <v>78</v>
      </c>
      <c s="131" r="M38">
        <v>24</v>
      </c>
      <c t="s" s="131" r="N38">
        <v>113</v>
      </c>
      <c s="131" r="O38">
        <f>P38+Q38</f>
        <v>26</v>
      </c>
      <c s="131" r="P38">
        <v>26</v>
      </c>
      <c s="131" r="Q38"/>
      <c s="131" r="R38"/>
      <c s="131" r="S38">
        <f>T38+U38</f>
        <v>0</v>
      </c>
      <c s="131" r="T38"/>
      <c s="131" r="U38"/>
      <c s="131" r="V38">
        <v>2</v>
      </c>
      <c s="131" r="W38"/>
      <c s="131" r="X38"/>
      <c s="131" r="Y38"/>
      <c s="131" r="Z38"/>
      <c s="131" r="AA38">
        <v>51</v>
      </c>
      <c s="131" r="AB38"/>
      <c s="131" r="AC38"/>
      <c s="131" r="AD38"/>
      <c s="131" r="AE38"/>
      <c s="131" r="AF38"/>
      <c s="131" r="AG38">
        <v>34</v>
      </c>
      <c s="94" r="AH38">
        <f>((AC38*0.6637)+AE38)+AG38</f>
        <v>34</v>
      </c>
      <c s="94" r="AI38">
        <f>(AA38*2.3)+(AD38)</f>
        <v>117.3</v>
      </c>
      <c s="133" r="AJ38"/>
      <c s="30" r="AK38"/>
      <c s="30" r="AL38"/>
      <c s="30" r="AM38"/>
      <c s="30" r="AN38"/>
      <c s="30" r="AO38"/>
    </row>
    <row r="39">
      <c t="str" s="64" r="A39">
        <f>(((B39&amp;" ")&amp;C39)&amp;" ")&amp;E39</f>
        <v>Crystalforge Chestguard (sta,sta,sta) Kael 502.3972</v>
      </c>
      <c t="s" s="90" r="B39">
        <v>114</v>
      </c>
      <c t="s" s="90" r="C39">
        <v>115</v>
      </c>
      <c t="s" s="131" r="D39">
        <v>79</v>
      </c>
      <c s="81" r="E39">
        <f>(F39+G39)+H39</f>
        <v>502.3972</v>
      </c>
      <c s="121" r="F39">
        <f>((((((J39*0.1)+(O39*1.25))+R39)+S39)+V39)+(X39*0.5))+(AF39*0.2)</f>
        <v>227.3</v>
      </c>
      <c s="121" r="G39">
        <f>+((K39*1.06)*1.06)</f>
        <v>142.6972</v>
      </c>
      <c s="121" r="H39">
        <f>((((AB39)+(0.3*K39))+AG39)+(AF39*0.6))+AI39</f>
        <v>132.4</v>
      </c>
      <c s="98" r="I39">
        <f>((((0.05*O39)+(0.053*V39))+(0.04*AC39))+(0.042*S39))/100.0</f>
        <v>0.014</v>
      </c>
      <c s="131" r="J39">
        <v>1668</v>
      </c>
      <c s="131" r="K39">
        <f>L39+M39</f>
        <v>127</v>
      </c>
      <c s="131" r="L39">
        <f>55.0</f>
        <v>55</v>
      </c>
      <c s="131" r="M39">
        <f>(24.0+24.0)+24.0</f>
        <v>72</v>
      </c>
      <c t="s" s="131" r="N39">
        <v>116</v>
      </c>
      <c s="131" r="O39">
        <f>P39+Q39</f>
        <v>28</v>
      </c>
      <c s="131" r="P39">
        <v>28</v>
      </c>
      <c s="131" r="Q39"/>
      <c s="131" r="R39"/>
      <c s="131" r="S39">
        <f>T39+U39</f>
        <v>0</v>
      </c>
      <c s="131" r="T39"/>
      <c s="131" r="U39"/>
      <c s="131" r="V39"/>
      <c s="131" r="W39"/>
      <c s="131" r="X39">
        <v>51</v>
      </c>
      <c s="131" r="Y39"/>
      <c s="131" r="Z39"/>
      <c s="131" r="AA39">
        <v>41</v>
      </c>
      <c s="131" r="AB39"/>
      <c s="131" r="AC39"/>
      <c s="131" r="AD39"/>
      <c s="131" r="AE39"/>
      <c s="131" r="AF39"/>
      <c s="131" r="AG39"/>
      <c s="94" r="AH39">
        <f>((AC39*0.6637)+AE39)+AG39</f>
        <v>0</v>
      </c>
      <c s="94" r="AI39">
        <f>(AA39*2.3)+(AD39)</f>
        <v>94.3</v>
      </c>
      <c s="133" r="AJ39"/>
      <c s="30" r="AK39"/>
      <c s="30" r="AL39"/>
      <c s="30" r="AM39"/>
      <c s="30" r="AN39"/>
      <c s="30" r="AO39"/>
    </row>
    <row r="40">
      <c t="str" s="64" r="A40">
        <f>(((B40&amp;" ")&amp;C40)&amp;" ")&amp;E40</f>
        <v>Battlechest of the Twilight Cult Old Kingdom Jedoga 502.0352</v>
      </c>
      <c t="s" s="41" r="B40">
        <v>117</v>
      </c>
      <c t="s" s="41" r="C40">
        <v>118</v>
      </c>
      <c t="s" s="41" r="D40">
        <v>79</v>
      </c>
      <c s="81" r="E40">
        <f>(F40+G40)+H40</f>
        <v>502.0352</v>
      </c>
      <c s="121" r="F40">
        <f>((((((J40*0.1)+(O40*1.25))+R40)+S40)+V40)+(X40*0.5))+(AF40*0.2)</f>
        <v>270.2</v>
      </c>
      <c s="121" r="G40">
        <f>+((K40*1.06)*1.06)</f>
        <v>92.1352</v>
      </c>
      <c s="121" r="H40">
        <f>((((AB40)+(0.3*K40))+AG40)+(AF40*0.6))+AI40</f>
        <v>139.7</v>
      </c>
      <c s="98" r="I40">
        <f>((((0.05*O40)+(0.053*V40))+(0.04*AC40))+(0.042*S40))/100.0</f>
        <v>0.03</v>
      </c>
      <c s="131" r="J40">
        <v>1898</v>
      </c>
      <c s="131" r="K40">
        <f>L40+M40</f>
        <v>82</v>
      </c>
      <c s="131" r="L40">
        <v>82</v>
      </c>
      <c s="131" r="M40"/>
      <c s="131" r="N40"/>
      <c s="131" r="O40">
        <f>P40+Q40</f>
        <v>60</v>
      </c>
      <c s="131" r="P40">
        <v>60</v>
      </c>
      <c s="131" r="Q40"/>
      <c s="131" r="R40"/>
      <c s="131" r="S40">
        <f>T40+U40</f>
        <v>0</v>
      </c>
      <c s="131" r="T40"/>
      <c s="131" r="U40"/>
      <c s="131" r="V40"/>
      <c s="131" r="W40"/>
      <c s="131" r="X40"/>
      <c s="131" r="Y40"/>
      <c s="131" r="Z40"/>
      <c s="131" r="AA40">
        <v>43</v>
      </c>
      <c s="131" r="AB40"/>
      <c s="131" r="AC40"/>
      <c s="131" r="AD40"/>
      <c s="131" r="AE40"/>
      <c s="131" r="AF40">
        <v>27</v>
      </c>
      <c s="131" r="AG40"/>
      <c s="94" r="AH40">
        <f>((AC40*0.6637)+AE40)+AG40</f>
        <v>0</v>
      </c>
      <c s="94" r="AI40">
        <f>(AA40*2.3)+(AD40)</f>
        <v>98.9</v>
      </c>
      <c s="133" r="AJ40"/>
      <c s="30" r="AK40"/>
      <c s="30" r="AL40"/>
      <c s="30" r="AM40"/>
      <c s="30" r="AN40"/>
      <c s="30" r="AO40"/>
    </row>
    <row r="41">
      <c t="str" s="64" r="A41">
        <f>(((B41&amp;" ")&amp;C41)&amp;" ")&amp;E41</f>
        <v>Tempered Saronite Breastplate Crafted 500.624</v>
      </c>
      <c t="s" s="116" r="B41">
        <v>119</v>
      </c>
      <c t="s" s="131" r="C41">
        <v>73</v>
      </c>
      <c t="s" s="131" r="D41">
        <v>79</v>
      </c>
      <c s="81" r="E41">
        <f>(F41+G41)+H41</f>
        <v>500.624</v>
      </c>
      <c s="121" r="F41">
        <f>((((((J41*0.1)+(O41*1.25))+R41)+S41)+V41)+(X41*0.5))+(AF41*0.2)</f>
        <v>259.8</v>
      </c>
      <c s="121" r="G41">
        <f>+((K41*1.06)*1.06)</f>
        <v>101.124</v>
      </c>
      <c s="121" r="H41">
        <f>((((AB41)+(0.3*K41))+AG41)+(AF41*0.6))+AI41</f>
        <v>139.7</v>
      </c>
      <c s="98" r="I41">
        <f>((((0.05*O41)+(0.053*V41))+(0.04*AC41))+(0.042*S41))/100.0</f>
        <v>0.028</v>
      </c>
      <c s="131" r="J41">
        <v>1898</v>
      </c>
      <c s="131" r="K41">
        <f>L41+M41</f>
        <v>90</v>
      </c>
      <c s="131" r="L41">
        <v>90</v>
      </c>
      <c s="131" r="M41"/>
      <c s="131" r="N41"/>
      <c s="131" r="O41">
        <f>P41+Q41</f>
        <v>56</v>
      </c>
      <c s="131" r="P41">
        <v>56</v>
      </c>
      <c s="131" r="Q41"/>
      <c s="131" r="R41"/>
      <c s="131" r="S41">
        <f>T41+U41</f>
        <v>0</v>
      </c>
      <c s="131" r="T41"/>
      <c s="131" r="U41"/>
      <c s="131" r="V41"/>
      <c s="131" r="W41"/>
      <c s="131" r="X41"/>
      <c s="131" r="Y41"/>
      <c s="131" r="Z41"/>
      <c s="131" r="AA41">
        <v>49</v>
      </c>
      <c s="131" r="AB41"/>
      <c s="131" r="AC41"/>
      <c s="131" r="AD41"/>
      <c s="131" r="AE41"/>
      <c s="131" r="AF41"/>
      <c s="131" r="AG41"/>
      <c s="94" r="AH41">
        <f>((AC41*0.6637)+AE41)+AG41</f>
        <v>0</v>
      </c>
      <c s="94" r="AI41">
        <f>(AA41*2.3)+(AD41)</f>
        <v>112.7</v>
      </c>
      <c s="133" r="AJ41"/>
      <c s="30" r="AK41"/>
      <c s="30" r="AL41"/>
      <c s="30" r="AM41"/>
      <c s="30" r="AN41"/>
      <c s="30" r="AO41"/>
    </row>
    <row r="42">
      <c t="str" s="64" r="A42">
        <f>(((B42&amp;" ")&amp;C42)&amp;" ")&amp;E42</f>
        <v>Agin's Crushing Carapace World Drop BoE 497.6852</v>
      </c>
      <c t="s" s="41" r="B42">
        <v>120</v>
      </c>
      <c t="s" s="41" r="C42">
        <v>121</v>
      </c>
      <c t="s" s="41" r="D42">
        <v>79</v>
      </c>
      <c s="81" r="E42">
        <f>(F42+G42)+H42</f>
        <v>497.6852</v>
      </c>
      <c s="121" r="F42">
        <f>((((((J42*0.1)+(O42*1.25))+R42)+S42)+V42)+(X42*0.5))+(AF42*0.2)</f>
        <v>284.35</v>
      </c>
      <c s="121" r="G42">
        <f>+((K42*1.06)*1.06)</f>
        <v>92.1352</v>
      </c>
      <c s="121" r="H42">
        <f>((((AB42)+(0.3*K42))+AG42)+(AF42*0.6))+AI42</f>
        <v>121.2</v>
      </c>
      <c s="98" r="I42">
        <f>((((0.05*O42)+(0.053*V42))+(0.04*AC42))+(0.042*S42))/100.0</f>
        <v>0.03934</v>
      </c>
      <c s="131" r="J42">
        <v>1886</v>
      </c>
      <c s="131" r="K42">
        <f>L42+M42</f>
        <v>82</v>
      </c>
      <c s="131" r="L42">
        <v>82</v>
      </c>
      <c s="131" r="M42"/>
      <c s="131" r="N42"/>
      <c s="131" r="O42">
        <f>P42+Q42</f>
        <v>35</v>
      </c>
      <c s="131" r="P42">
        <v>35</v>
      </c>
      <c s="131" r="Q42"/>
      <c s="131" r="R42"/>
      <c s="131" r="S42">
        <f>T42+U42</f>
        <v>52</v>
      </c>
      <c s="131" r="T42">
        <v>52</v>
      </c>
      <c s="131" r="U42"/>
      <c s="131" r="V42"/>
      <c s="131" r="W42"/>
      <c s="131" r="X42"/>
      <c s="131" r="Y42"/>
      <c s="131" r="Z42"/>
      <c s="131" r="AA42">
        <v>42</v>
      </c>
      <c s="131" r="AB42"/>
      <c s="131" r="AC42"/>
      <c s="131" r="AD42"/>
      <c s="131" r="AE42"/>
      <c s="131" r="AF42"/>
      <c s="131" r="AG42"/>
      <c s="94" r="AH42">
        <f>((AC42*0.6637)+AE42)+AG42</f>
        <v>0</v>
      </c>
      <c s="94" r="AI42">
        <f>(AA42*2.3)+(AD42)</f>
        <v>96.6</v>
      </c>
      <c s="133" r="AJ42"/>
      <c s="30" r="AK42"/>
      <c s="30" r="AL42"/>
      <c s="30" r="AM42"/>
      <c s="30" r="AN42"/>
      <c s="30" r="AO42"/>
    </row>
    <row r="43">
      <c t="str" s="64" r="A43">
        <f>(((B43&amp;" ")&amp;C43)&amp;" ")&amp;E43</f>
        <v>Ivory Reinforced Chestguard Kalu'ak Honored 497.48240000000004</v>
      </c>
      <c t="s" s="41" r="B43">
        <v>122</v>
      </c>
      <c t="s" s="41" r="C43">
        <v>123</v>
      </c>
      <c t="s" s="41" r="D43">
        <v>79</v>
      </c>
      <c s="81" r="E43">
        <f>(F43+G43)+H43</f>
        <v>497.4824</v>
      </c>
      <c s="121" r="F43">
        <f>((((((J43*0.1)+(O43*1.25))+R43)+S43)+V43)+(X43*0.5))+(AF43*0.2)</f>
        <v>262.2</v>
      </c>
      <c s="121" r="G43">
        <f>+((K43*1.06)*1.06)</f>
        <v>94.3824</v>
      </c>
      <c s="121" r="H43">
        <f>((((AB43)+(0.3*K43))+AG43)+(AF43*0.6))+AI43</f>
        <v>140.9</v>
      </c>
      <c s="98" r="I43">
        <f>((((0.05*O43)+(0.053*V43))+(0.04*AC43))+(0.042*S43))/100.0</f>
        <v>0.028</v>
      </c>
      <c s="131" r="J43">
        <v>1866</v>
      </c>
      <c s="131" r="K43">
        <f>L43+M43</f>
        <v>84</v>
      </c>
      <c s="131" r="L43">
        <v>84</v>
      </c>
      <c s="131" r="M43"/>
      <c s="131" r="N43"/>
      <c s="131" r="O43">
        <f>P43+Q43</f>
        <v>56</v>
      </c>
      <c s="131" r="P43">
        <v>56</v>
      </c>
      <c s="131" r="Q43"/>
      <c s="131" r="R43"/>
      <c s="131" r="S43">
        <f>T43+U43</f>
        <v>0</v>
      </c>
      <c s="131" r="T43"/>
      <c s="131" r="U43"/>
      <c s="131" r="V43"/>
      <c s="131" r="W43"/>
      <c s="131" r="X43"/>
      <c s="131" r="Y43"/>
      <c s="131" r="Z43"/>
      <c s="131" r="AA43">
        <v>43</v>
      </c>
      <c s="131" r="AB43"/>
      <c s="131" r="AC43"/>
      <c s="131" r="AD43"/>
      <c s="131" r="AE43"/>
      <c s="131" r="AF43">
        <v>28</v>
      </c>
      <c s="131" r="AG43"/>
      <c s="94" r="AH43">
        <f>((AC43*0.6637)+AE43)+AG43</f>
        <v>0</v>
      </c>
      <c s="94" r="AI43">
        <f>(AA43*2.3)+(AD43)</f>
        <v>98.9</v>
      </c>
      <c s="133" r="AJ43"/>
      <c s="30" r="AK43"/>
      <c s="30" r="AL43"/>
      <c s="30" r="AM43"/>
      <c s="30" r="AN43"/>
      <c s="30" r="AO43"/>
    </row>
    <row r="44">
      <c t="str" s="64" r="A44">
        <f>(((B44&amp;" ")&amp;C44)&amp;" ")&amp;E44</f>
        <v>Chestplate of Stoicism (sta) 100 Badges 495.9072</v>
      </c>
      <c t="s" s="90" r="B44">
        <v>124</v>
      </c>
      <c t="s" s="90" r="C44">
        <v>112</v>
      </c>
      <c t="s" s="131" r="D44">
        <v>79</v>
      </c>
      <c s="81" r="E44">
        <f>(F44+G44)+H44</f>
        <v>495.9072</v>
      </c>
      <c s="121" r="F44">
        <f>((((((J44*0.1)+(O44*1.25))+R44)+S44)+V44)+(X44*0.5))+(AF44*0.2)</f>
        <v>272.5</v>
      </c>
      <c s="121" r="G44">
        <f>+((K44*1.06)*1.06)</f>
        <v>114.6072</v>
      </c>
      <c s="121" r="H44">
        <f>((((AB44)+(0.3*K44))+AG44)+(AF44*0.6))+AI44</f>
        <v>108.8</v>
      </c>
      <c s="98" r="I44">
        <f>((((0.05*O44)+(0.053*V44))+(0.04*AC44))+(0.042*S44))/100.0</f>
        <v>0.03502</v>
      </c>
      <c s="131" r="J44">
        <v>1765</v>
      </c>
      <c s="131" r="K44">
        <f>L44+M44</f>
        <v>102</v>
      </c>
      <c s="131" r="L44">
        <f>78.0</f>
        <v>78</v>
      </c>
      <c s="131" r="M44">
        <v>24</v>
      </c>
      <c t="s" s="131" r="N44">
        <v>125</v>
      </c>
      <c s="131" r="O44">
        <f>P44+Q44</f>
        <v>34</v>
      </c>
      <c s="131" r="P44">
        <v>34</v>
      </c>
      <c s="131" r="Q44"/>
      <c s="131" r="R44"/>
      <c s="131" r="S44">
        <f>T44+U44</f>
        <v>0</v>
      </c>
      <c s="131" r="T44"/>
      <c s="131" r="U44"/>
      <c s="131" r="V44">
        <v>34</v>
      </c>
      <c s="131" r="W44"/>
      <c s="131" r="X44">
        <v>39</v>
      </c>
      <c s="131" r="Y44"/>
      <c s="131" r="Z44"/>
      <c s="131" r="AA44">
        <v>34</v>
      </c>
      <c s="131" r="AB44"/>
      <c s="131" r="AC44"/>
      <c s="131" r="AD44"/>
      <c s="131" r="AE44"/>
      <c s="131" r="AF44"/>
      <c s="131" r="AG44"/>
      <c s="94" r="AH44">
        <f>((AC44*0.6637)+AE44)+AG44</f>
        <v>0</v>
      </c>
      <c s="94" r="AI44">
        <f>(AA44*2.3)+(AD44)</f>
        <v>78.2</v>
      </c>
      <c s="133" r="AJ44"/>
      <c s="30" r="AK44"/>
      <c s="30" r="AL44"/>
      <c s="30" r="AM44"/>
      <c s="30" r="AN44"/>
      <c s="30" r="AO44"/>
    </row>
    <row r="45">
      <c t="str" s="64" r="A45">
        <f>(((B45&amp;" ")&amp;C45)&amp;" ")&amp;E45</f>
        <v>Chestguard of the Warlord  (sta,def/sta,str/sta) Zul'jin 486.39880000000005</v>
      </c>
      <c t="s" s="90" r="B45">
        <v>126</v>
      </c>
      <c t="s" s="90" r="C45">
        <v>127</v>
      </c>
      <c t="s" s="131" r="D45">
        <v>79</v>
      </c>
      <c s="81" r="E45">
        <f>(F45+G45)+H45</f>
        <v>486.3988</v>
      </c>
      <c s="121" r="F45">
        <f>((((((J45*0.1)+(O45*1.25))+R45)+S45)+V45)+(X45*0.5))+(AF45*0.2)</f>
        <v>244.55</v>
      </c>
      <c s="121" r="G45">
        <f>+((K45*1.06)*1.06)</f>
        <v>121.3488</v>
      </c>
      <c s="121" r="H45">
        <f>((((AB45)+(0.3*K45))+AG45)+(AF45*0.6))+AI45</f>
        <v>120.5</v>
      </c>
      <c s="98" r="I45">
        <f>((((0.05*O45)+(0.053*V45))+(0.04*AC45))+(0.042*S45))/100.0</f>
        <v>0.03464</v>
      </c>
      <c s="131" r="J45">
        <v>1668</v>
      </c>
      <c s="131" r="K45">
        <f>L45+M45</f>
        <v>108</v>
      </c>
      <c s="131" r="L45">
        <f>60.0</f>
        <v>60</v>
      </c>
      <c s="131" r="M45">
        <f>(24.0+12.0)+12.0</f>
        <v>48</v>
      </c>
      <c t="s" s="131" r="N45">
        <v>128</v>
      </c>
      <c s="131" r="O45">
        <f>P45+Q45</f>
        <v>35</v>
      </c>
      <c s="131" r="P45">
        <f>27.0</f>
        <v>27</v>
      </c>
      <c s="131" r="Q45">
        <v>8</v>
      </c>
      <c s="131" r="R45"/>
      <c s="131" r="S45">
        <f>T45+U45</f>
        <v>8</v>
      </c>
      <c s="131" r="T45"/>
      <c s="131" r="U45">
        <v>8</v>
      </c>
      <c s="131" r="V45">
        <v>26</v>
      </c>
      <c s="131" r="W45"/>
      <c s="131" r="X45"/>
      <c s="131" r="Y45"/>
      <c s="131" r="Z45"/>
      <c s="131" r="AA45">
        <f>27.0</f>
        <v>27</v>
      </c>
      <c s="131" r="AB45"/>
      <c s="131" r="AC45"/>
      <c s="131" r="AD45"/>
      <c s="131" r="AE45"/>
      <c s="131" r="AF45"/>
      <c s="131" r="AG45">
        <v>26</v>
      </c>
      <c s="94" r="AH45">
        <f>((AC45*0.6637)+AE45)+AG45</f>
        <v>26</v>
      </c>
      <c s="94" r="AI45">
        <f>(AA45*2.3)+(AD45)</f>
        <v>62.1</v>
      </c>
      <c s="133" r="AJ45"/>
      <c s="30" r="AK45"/>
      <c s="30" r="AL45"/>
      <c s="30" r="AM45"/>
      <c s="30" r="AN45"/>
      <c s="30" r="AO45"/>
    </row>
    <row r="46">
      <c t="str" s="64" r="A46">
        <f>(((B46&amp;" ")&amp;C46)&amp;" ")&amp;E46</f>
        <v>Chestplate of Stoicism 100 Badges  483.09479999999996</v>
      </c>
      <c t="s" s="41" r="B46">
        <v>129</v>
      </c>
      <c t="s" s="41" r="C46">
        <v>130</v>
      </c>
      <c t="s" s="41" r="D46">
        <v>79</v>
      </c>
      <c s="81" r="E46">
        <f>(F46+G46)+H46</f>
        <v>483.0948</v>
      </c>
      <c s="121" r="F46">
        <f>((((((J46*0.1)+(O46*1.25))+R46)+S46)+V46)+(X46*0.5))+(AF46*0.2)</f>
        <v>272.5</v>
      </c>
      <c s="121" r="G46">
        <f>+((K46*1.06)*1.06)</f>
        <v>104.4948</v>
      </c>
      <c s="121" r="H46">
        <f>((((AB46)+(0.3*K46))+AG46)+(AF46*0.6))+AI46</f>
        <v>106.1</v>
      </c>
      <c s="98" r="I46">
        <f>((((0.05*O46)+(0.053*V46))+(0.04*AC46))+(0.042*S46))/100.0</f>
        <v>0.03502</v>
      </c>
      <c s="131" r="J46">
        <v>1765</v>
      </c>
      <c s="131" r="K46">
        <f>L46+M46</f>
        <v>93</v>
      </c>
      <c s="131" r="L46">
        <v>78</v>
      </c>
      <c s="131" r="M46">
        <v>15</v>
      </c>
      <c t="s" s="131" r="N46">
        <v>131</v>
      </c>
      <c s="131" r="O46">
        <f>P46+Q46</f>
        <v>34</v>
      </c>
      <c s="131" r="P46">
        <v>34</v>
      </c>
      <c s="131" r="Q46"/>
      <c s="131" r="R46"/>
      <c s="131" r="S46">
        <f>T46+U46</f>
        <v>0</v>
      </c>
      <c s="131" r="T46"/>
      <c s="131" r="U46"/>
      <c s="131" r="V46">
        <v>34</v>
      </c>
      <c s="131" r="W46"/>
      <c s="131" r="X46">
        <v>39</v>
      </c>
      <c s="131" r="Y46"/>
      <c s="131" r="Z46"/>
      <c s="131" r="AA46">
        <v>34</v>
      </c>
      <c s="131" r="AB46"/>
      <c s="131" r="AC46"/>
      <c s="131" r="AD46"/>
      <c s="131" r="AE46"/>
      <c s="131" r="AF46"/>
      <c s="131" r="AG46"/>
      <c s="94" r="AH46">
        <f>((AC46*0.6637)+AE46)+AG46</f>
        <v>0</v>
      </c>
      <c s="94" r="AI46">
        <f>(AA46*2.3)+(AD46)</f>
        <v>78.2</v>
      </c>
      <c s="133" r="AJ46"/>
      <c s="30" r="AK46"/>
      <c s="30" r="AL46"/>
      <c s="30" r="AM46"/>
      <c s="30" r="AN46"/>
      <c s="30" r="AO46"/>
    </row>
    <row r="47">
      <c t="str" s="64" r="A47">
        <f>(((B47&amp;" ")&amp;C47)&amp;" ")&amp;E47</f>
        <v>Chestguard of the Stoic Guaridan (sta,def/sta,str/sta) 75 Badges 477.3488</v>
      </c>
      <c t="s" s="90" r="B47">
        <v>132</v>
      </c>
      <c t="s" s="90" r="C47">
        <v>133</v>
      </c>
      <c t="s" s="131" r="D47">
        <v>79</v>
      </c>
      <c s="81" r="E47">
        <f>(F47+G47)+H47</f>
        <v>477.3488</v>
      </c>
      <c s="121" r="F47">
        <f>((((((J47*0.1)+(O47*1.25))+R47)+S47)+V47)+(X47*0.5))+(AF47*0.2)</f>
        <v>236.2</v>
      </c>
      <c s="121" r="G47">
        <f>+((K47*1.06)*1.06)</f>
        <v>121.3488</v>
      </c>
      <c s="121" r="H47">
        <f>((((AB47)+(0.3*K47))+AG47)+(AF47*0.6))+AI47</f>
        <v>119.8</v>
      </c>
      <c s="98" r="I47">
        <f>((((0.05*O47)+(0.053*V47))+(0.04*AC47))+(0.042*S47))/100.0</f>
        <v>0.03426</v>
      </c>
      <c s="131" r="J47">
        <v>1607</v>
      </c>
      <c s="131" r="K47">
        <f>L47+M47</f>
        <v>108</v>
      </c>
      <c s="131" r="L47">
        <f>60.0</f>
        <v>60</v>
      </c>
      <c s="131" r="M47">
        <f>(24.0+12.0)+12.0</f>
        <v>48</v>
      </c>
      <c t="s" s="131" r="N47">
        <v>128</v>
      </c>
      <c s="131" r="O47">
        <f>P47+Q47</f>
        <v>30</v>
      </c>
      <c s="131" r="P47">
        <f>22.0</f>
        <v>22</v>
      </c>
      <c s="131" r="Q47">
        <v>8</v>
      </c>
      <c s="131" r="R47"/>
      <c s="131" r="S47">
        <f>T47+U47</f>
        <v>8</v>
      </c>
      <c s="131" r="T47"/>
      <c s="131" r="U47">
        <v>8</v>
      </c>
      <c s="131" r="V47">
        <v>30</v>
      </c>
      <c s="131" r="W47"/>
      <c s="131" r="X47"/>
      <c s="131" r="Y47"/>
      <c s="131" r="Z47"/>
      <c s="131" r="AA47">
        <f>38.0</f>
        <v>38</v>
      </c>
      <c s="131" r="AB47"/>
      <c s="131" r="AC47"/>
      <c s="131" r="AD47"/>
      <c s="131" r="AE47"/>
      <c s="131" r="AF47"/>
      <c s="131" r="AG47"/>
      <c s="94" r="AH47">
        <f>((AC47*0.6637)+AE47)+AG47</f>
        <v>0</v>
      </c>
      <c s="94" r="AI47">
        <f>(AA47*2.3)+(AD47)</f>
        <v>87.4</v>
      </c>
      <c s="133" r="AJ47"/>
      <c s="30" r="AK47"/>
      <c s="30" r="AL47"/>
      <c s="30" r="AM47"/>
      <c s="30" r="AN47"/>
      <c s="30" r="AO47"/>
    </row>
    <row r="48">
      <c t="str" s="64" r="A48">
        <f>(((B48&amp;" ")&amp;C48)&amp;" ")&amp;E48</f>
        <v>Clutch of the Storm Giant Quest - Zul'Drak 467.7644</v>
      </c>
      <c t="s" s="41" r="B48">
        <v>134</v>
      </c>
      <c t="s" s="41" r="C48">
        <v>135</v>
      </c>
      <c t="s" s="41" r="D48">
        <v>79</v>
      </c>
      <c s="81" r="E48">
        <f>(F48+G48)+H48</f>
        <v>467.7644</v>
      </c>
      <c s="121" r="F48">
        <f>((((((J48*0.1)+(O48*1.25))+R48)+S48)+V48)+(X48*0.5))+(AF48*0.2)</f>
        <v>249.9</v>
      </c>
      <c s="121" r="G48">
        <f>+((K48*1.06)*1.06)</f>
        <v>88.7644</v>
      </c>
      <c s="121" r="H48">
        <f>((((AB48)+(0.3*K48))+AG48)+(AF48*0.6))+AI48</f>
        <v>129.1</v>
      </c>
      <c s="98" r="I48">
        <f>((((0.05*O48)+(0.053*V48))+(0.04*AC48))+(0.042*S48))/100.0</f>
        <v>0.026</v>
      </c>
      <c s="131" r="J48">
        <v>1789</v>
      </c>
      <c s="131" r="K48">
        <f>L48+M48</f>
        <v>79</v>
      </c>
      <c s="131" r="L48">
        <v>79</v>
      </c>
      <c s="131" r="M48"/>
      <c s="131" r="N48"/>
      <c s="131" r="O48">
        <f>P48+Q48</f>
        <v>52</v>
      </c>
      <c s="131" r="P48">
        <v>52</v>
      </c>
      <c s="131" r="Q48"/>
      <c s="131" r="R48"/>
      <c s="131" r="S48"/>
      <c s="131" r="T48"/>
      <c s="131" r="U48"/>
      <c s="131" r="V48"/>
      <c s="131" r="W48"/>
      <c s="131" r="X48"/>
      <c s="131" r="Y48"/>
      <c s="131" r="Z48"/>
      <c s="131" r="AA48">
        <v>38</v>
      </c>
      <c s="131" r="AB48"/>
      <c s="131" r="AC48"/>
      <c s="131" r="AD48"/>
      <c s="131" r="AE48"/>
      <c s="131" r="AF48">
        <v>30</v>
      </c>
      <c s="131" r="AG48"/>
      <c s="94" r="AH48">
        <f>((AC48*0.6637)+AE48)+AG48</f>
        <v>0</v>
      </c>
      <c s="94" r="AI48">
        <f>(AA48*2.3)+(AD48)</f>
        <v>87.4</v>
      </c>
      <c s="133" r="AJ48"/>
      <c s="30" r="AK48"/>
      <c s="30" r="AL48"/>
      <c s="30" r="AM48"/>
      <c s="30" r="AN48"/>
      <c s="30" r="AO48"/>
    </row>
    <row r="49">
      <c t="str" s="64" r="A49">
        <f>(((B49&amp;" ")&amp;C49)&amp;" ")&amp;E49</f>
        <v>Glory of the Defender Kaz'Rogal 465.12</v>
      </c>
      <c t="s" s="90" r="B49">
        <v>136</v>
      </c>
      <c t="s" s="90" r="C49">
        <v>137</v>
      </c>
      <c t="s" s="131" r="D49">
        <v>79</v>
      </c>
      <c s="81" r="E49">
        <f>(F49+G49)+H49</f>
        <v>465.12</v>
      </c>
      <c s="121" r="F49">
        <f>((((((J49*0.1)+(O49*1.25))+R49)+S49)+V49)+(X49*0.5))+(AF49*0.2)</f>
        <v>244.25</v>
      </c>
      <c s="121" r="G49">
        <f>+((K49*1.06)*1.06)</f>
        <v>84.27</v>
      </c>
      <c s="121" r="H49">
        <f>((((AB49)+(0.3*K49))+AG49)+(AF49*0.6))+AI49</f>
        <v>136.6</v>
      </c>
      <c s="98" r="I49">
        <f>((((0.05*O49)+(0.053*V49))+(0.04*AC49))+(0.042*S49))/100.0</f>
        <v>0.03022</v>
      </c>
      <c s="131" r="J49">
        <v>1765</v>
      </c>
      <c s="131" r="K49">
        <f>L49+M49</f>
        <v>75</v>
      </c>
      <c s="131" r="L49">
        <v>75</v>
      </c>
      <c s="131" r="M49"/>
      <c s="131" r="N49"/>
      <c s="131" r="O49">
        <f>P49+Q49</f>
        <v>35</v>
      </c>
      <c s="131" r="P49">
        <v>35</v>
      </c>
      <c s="131" r="Q49"/>
      <c s="131" r="R49"/>
      <c s="131" r="S49">
        <f>T49+U49</f>
        <v>0</v>
      </c>
      <c s="131" r="T49"/>
      <c s="131" r="U49"/>
      <c s="131" r="V49">
        <v>24</v>
      </c>
      <c s="131" r="W49"/>
      <c s="131" r="X49"/>
      <c s="131" r="Y49"/>
      <c s="131" r="Z49"/>
      <c s="131" r="AA49">
        <v>37</v>
      </c>
      <c s="131" r="AB49"/>
      <c s="131" r="AC49"/>
      <c s="131" r="AD49"/>
      <c s="131" r="AE49"/>
      <c s="131" r="AF49"/>
      <c s="131" r="AG49">
        <v>29</v>
      </c>
      <c s="94" r="AH49">
        <f>((AC49*0.6637)+AE49)+AG49</f>
        <v>29</v>
      </c>
      <c s="94" r="AI49">
        <f>(AA49*2.3)+(AD49)</f>
        <v>85.1</v>
      </c>
      <c s="133" r="AJ49"/>
      <c s="30" r="AK49"/>
      <c s="30" r="AL49"/>
      <c s="30" r="AM49"/>
      <c s="30" r="AN49"/>
      <c s="30" r="AO49"/>
    </row>
    <row r="50">
      <c t="str" s="64" r="A50">
        <f>(((B50&amp;" ")&amp;C50)&amp;" ")&amp;E50</f>
        <v>Kyzoc's Ground Stompers Raid Badgesx40  618.0196000000001</v>
      </c>
      <c t="s" s="92" r="B50">
        <v>138</v>
      </c>
      <c t="s" s="80" r="C50">
        <v>139</v>
      </c>
      <c t="s" s="80" r="D50">
        <v>140</v>
      </c>
      <c s="81" r="E50">
        <f>(F50+G50)+H50</f>
        <v>618.0196</v>
      </c>
      <c s="121" r="F50">
        <f>((((((J50*0.1)+(O50*1.25))+R50)+S50)+V50)+(X50*0.5))+(AF50*0.2)</f>
        <v>287.5</v>
      </c>
      <c s="121" r="G50">
        <f>+((K50*1.06)*1.06)</f>
        <v>124.7196</v>
      </c>
      <c s="121" r="H50">
        <f>((((AB50)+(0.3*K50))+AG50)+(AF50*0.6))+AI50</f>
        <v>205.8</v>
      </c>
      <c s="98" r="I50">
        <f>((((0.05*O50)+(0.053*V50))+(0.04*AC50))+(0.042*S50))/100.0</f>
        <v>0.05677</v>
      </c>
      <c s="120" r="J50">
        <v>1580</v>
      </c>
      <c s="120" r="K50">
        <f>L50+M50</f>
        <v>111</v>
      </c>
      <c s="120" r="L50">
        <v>111</v>
      </c>
      <c s="120" r="M50"/>
      <c s="120" r="N50"/>
      <c s="120" r="O50">
        <f>P50+Q50</f>
        <v>50</v>
      </c>
      <c s="120" r="P50">
        <v>50</v>
      </c>
      <c s="120" r="Q50"/>
      <c s="120" r="R50"/>
      <c s="120" r="S50">
        <f>T50+U50</f>
        <v>34</v>
      </c>
      <c s="120" r="T50">
        <v>34</v>
      </c>
      <c s="120" r="U50"/>
      <c s="120" r="V50">
        <v>33</v>
      </c>
      <c s="120" r="W50"/>
      <c s="120" r="X50"/>
      <c s="120" r="Y50"/>
      <c s="120" r="Z50"/>
      <c s="120" r="AA50">
        <v>75</v>
      </c>
      <c s="120" r="AB50"/>
      <c s="120" r="AC50"/>
      <c s="120" r="AD50"/>
      <c s="120" r="AE50"/>
      <c s="120" r="AF50"/>
      <c s="120" r="AG50"/>
      <c s="94" r="AH50">
        <f>((AC50*0.6637)+AE50)+AG50</f>
        <v>0</v>
      </c>
      <c s="94" r="AI50">
        <f>(AA50*2.3)+(AD50)</f>
        <v>172.5</v>
      </c>
      <c s="133" r="AJ50"/>
      <c s="30" r="AK50"/>
      <c s="30" r="AL50"/>
      <c s="30" r="AM50"/>
      <c s="30" r="AN50"/>
      <c s="30" r="AO50"/>
    </row>
    <row r="51">
      <c t="str" s="64" r="A51">
        <f>(((B51&amp;" ")&amp;C51)&amp;" ")&amp;E51</f>
        <v>Sabatons of Endurance   589.2696000000001</v>
      </c>
      <c t="s" s="92" r="B51">
        <v>141</v>
      </c>
      <c t="s" s="80" r="C51">
        <v>142</v>
      </c>
      <c t="s" s="80" r="D51">
        <v>140</v>
      </c>
      <c s="81" r="E51">
        <f>(F51+G51)+H51</f>
        <v>589.2696</v>
      </c>
      <c s="121" r="F51">
        <f>((((((J51*0.1)+(O51*1.25))+R51)+S51)+V51)+(X51*0.5))+(AF51*0.2)</f>
        <v>277.35</v>
      </c>
      <c s="121" r="G51">
        <f>+((K51*1.06)*1.06)</f>
        <v>124.7196</v>
      </c>
      <c s="121" r="H51">
        <f>((((AB51)+(0.3*K51))+AG51)+(AF51*0.6))+AI51</f>
        <v>187.2</v>
      </c>
      <c s="98" r="I51">
        <f>((((0.05*O51)+(0.053*V51))+(0.04*AC51))+(0.042*S51))/100.0</f>
        <v>0.05029</v>
      </c>
      <c s="120" r="J51">
        <v>1580</v>
      </c>
      <c s="120" r="K51">
        <f>L51+M51</f>
        <v>111</v>
      </c>
      <c s="120" r="L51">
        <v>111</v>
      </c>
      <c s="120" r="M51"/>
      <c s="120" r="N51"/>
      <c s="120" r="O51">
        <f>P51+Q51</f>
        <v>55</v>
      </c>
      <c s="120" r="P51">
        <v>55</v>
      </c>
      <c s="120" r="Q51"/>
      <c s="120" r="R51"/>
      <c s="120" r="S51">
        <f>T51+U51</f>
        <v>0</v>
      </c>
      <c s="120" r="T51"/>
      <c s="120" r="U51"/>
      <c s="120" r="V51">
        <v>43</v>
      </c>
      <c s="120" r="W51"/>
      <c s="120" r="X51"/>
      <c s="120" r="Y51"/>
      <c s="120" r="Z51"/>
      <c s="120" r="AA51">
        <v>57</v>
      </c>
      <c s="120" r="AB51"/>
      <c s="120" r="AC51"/>
      <c s="120" r="AD51"/>
      <c s="120" r="AE51"/>
      <c s="120" r="AF51">
        <v>38</v>
      </c>
      <c s="120" r="AG51"/>
      <c s="94" r="AH51">
        <f>((AC51*0.6637)+AE51)+AG51</f>
        <v>0</v>
      </c>
      <c s="94" r="AI51">
        <f>(AA51*2.3)+(AD51)</f>
        <v>131.1</v>
      </c>
      <c s="133" r="AJ51"/>
      <c s="30" r="AK51"/>
      <c s="30" r="AL51"/>
      <c s="30" r="AM51"/>
      <c s="30" r="AN51"/>
      <c s="30" r="AO51"/>
    </row>
    <row r="52">
      <c t="str" s="64" r="A52">
        <f>(((B52&amp;" ")&amp;C52)&amp;" ")&amp;E52</f>
        <v>Plague-Impervious Boots Naxx10 Noth 558.5364</v>
      </c>
      <c t="s" s="92" r="B52">
        <v>143</v>
      </c>
      <c t="s" s="80" r="C52">
        <v>144</v>
      </c>
      <c t="s" s="80" r="D52">
        <v>140</v>
      </c>
      <c s="81" r="E52">
        <f>(F52+G52)+H52</f>
        <v>558.5364</v>
      </c>
      <c s="121" r="F52">
        <f>((((((J52*0.1)+(O52*1.25))+R52)+S52)+V52)+(X52*0.5))+(AF52*0.2)</f>
        <v>268.1</v>
      </c>
      <c s="121" r="G52">
        <f>+((K52*1.06)*1.06)</f>
        <v>111.2364</v>
      </c>
      <c s="121" r="H52">
        <f>((((AB52)+(0.3*K52))+AG52)+(AF52*0.6))+AI52</f>
        <v>179.2</v>
      </c>
      <c s="98" r="I52">
        <f>((((0.05*O52)+(0.053*V52))+(0.04*AC52))+(0.042*S52))/100.0</f>
        <v>0.04964</v>
      </c>
      <c s="120" r="J52">
        <v>1541</v>
      </c>
      <c s="120" r="K52">
        <f>L52+M52</f>
        <v>99</v>
      </c>
      <c s="120" r="L52">
        <v>99</v>
      </c>
      <c s="120" r="M52"/>
      <c s="120" r="N52"/>
      <c s="120" r="O52">
        <f>P52+Q52</f>
        <v>44</v>
      </c>
      <c s="120" r="P52">
        <v>44</v>
      </c>
      <c s="120" r="Q52"/>
      <c s="120" r="R52"/>
      <c s="120" r="S52">
        <f>T52+U52</f>
        <v>33</v>
      </c>
      <c s="120" r="T52">
        <v>33</v>
      </c>
      <c s="120" r="U52"/>
      <c s="120" r="V52">
        <v>26</v>
      </c>
      <c s="120" r="W52"/>
      <c s="120" r="X52"/>
      <c s="120" r="Y52"/>
      <c s="120" r="Z52"/>
      <c s="120" r="AA52">
        <v>65</v>
      </c>
      <c s="120" r="AB52"/>
      <c s="120" r="AC52"/>
      <c s="120" r="AD52"/>
      <c s="120" r="AE52"/>
      <c s="120" r="AF52"/>
      <c s="120" r="AG52"/>
      <c s="94" r="AH52">
        <f>((AC52*0.6637)+AE52)+AG52</f>
        <v>0</v>
      </c>
      <c s="94" r="AI52">
        <f>(AA52*2.3)+(AD52)</f>
        <v>149.5</v>
      </c>
      <c s="133" r="AJ52"/>
      <c s="30" r="AK52"/>
      <c s="30" r="AL52"/>
      <c s="30" r="AM52"/>
      <c s="30" r="AN52"/>
      <c s="30" r="AO52"/>
    </row>
    <row r="53">
      <c t="str" s="64" r="A53">
        <f>(((B53&amp;" ")&amp;C53)&amp;" ")&amp;E53</f>
        <v>Inexorable Sabatons Naxx25 Anub'Rekhan 555.0116</v>
      </c>
      <c t="s" s="92" r="B53">
        <v>145</v>
      </c>
      <c t="s" s="80" r="C53">
        <v>146</v>
      </c>
      <c t="s" s="80" r="D53">
        <v>140</v>
      </c>
      <c s="81" r="E53">
        <f>(F53+G53)+H53</f>
        <v>555.0116</v>
      </c>
      <c s="121" r="F53">
        <f>((((((J53*0.1)+(O53*1.25))+R53)+S53)+V53)+(X53*0.5))+(AF53*0.2)</f>
        <v>269.5</v>
      </c>
      <c s="121" r="G53">
        <f>+((K53*1.06)*1.06)</f>
        <v>91.0116</v>
      </c>
      <c s="121" r="H53">
        <f>((((AB53)+(0.3*K53))+AG53)+(AF53*0.6))+AI53</f>
        <v>194.5</v>
      </c>
      <c s="98" r="I53">
        <f>((((0.05*O53)+(0.053*V53))+(0.04*AC53))+(0.042*S53))/100.0</f>
        <v>0.016</v>
      </c>
      <c s="120" r="J53">
        <v>1580</v>
      </c>
      <c s="120" r="K53">
        <f>L53+M53</f>
        <v>81</v>
      </c>
      <c s="120" r="L53">
        <v>63</v>
      </c>
      <c s="120" r="M53">
        <f>12.0+6.0</f>
        <v>18</v>
      </c>
      <c t="s" s="120" r="N53">
        <v>147</v>
      </c>
      <c s="120" r="O53">
        <f>P53+Q53</f>
        <v>32</v>
      </c>
      <c s="120" r="P53">
        <v>24</v>
      </c>
      <c s="120" r="Q53">
        <v>8</v>
      </c>
      <c s="120" r="R53">
        <v>33</v>
      </c>
      <c s="120" r="S53">
        <f>T53+U53</f>
        <v>0</v>
      </c>
      <c s="120" r="T53"/>
      <c s="120" r="U53"/>
      <c s="120" r="V53"/>
      <c s="120" r="W53"/>
      <c s="120" r="X53">
        <v>77</v>
      </c>
      <c s="120" r="Y53"/>
      <c s="120" r="Z53"/>
      <c s="120" r="AA53">
        <v>74</v>
      </c>
      <c s="120" r="AB53"/>
      <c s="120" r="AC53"/>
      <c s="120" r="AD53"/>
      <c s="120" r="AE53"/>
      <c s="120" r="AF53"/>
      <c s="120" r="AG53"/>
      <c s="94" r="AH53">
        <f>((AC53*0.6637)+AE53)+AG53</f>
        <v>0</v>
      </c>
      <c s="94" r="AI53">
        <f>(AA53*2.3)+(AD53)</f>
        <v>170.2</v>
      </c>
      <c s="133" r="AJ53"/>
      <c s="30" r="AK53"/>
      <c s="30" r="AL53"/>
      <c s="30" r="AM53"/>
      <c s="30" r="AN53"/>
      <c s="30" r="AO53"/>
    </row>
    <row r="54">
      <c t="str" s="64" r="A54">
        <f>(((B54&amp;" ")&amp;C54)&amp;" ")&amp;E54</f>
        <v>Terrace Defence Boots   494.40319999999997</v>
      </c>
      <c t="s" s="92" r="B54">
        <v>148</v>
      </c>
      <c t="s" s="80" r="C54">
        <v>142</v>
      </c>
      <c t="s" s="80" r="D54">
        <v>140</v>
      </c>
      <c s="81" r="E54">
        <f>(F54+G54)+H54</f>
        <v>494.4032</v>
      </c>
      <c s="121" r="F54">
        <f>((((((J54*0.1)+(O54*1.25))+R54)+S54)+V54)+(X54*0.5))+(AF54*0.2)</f>
        <v>237.15</v>
      </c>
      <c s="121" r="G54">
        <f>+((K54*1.06)*1.06)</f>
        <v>97.7532</v>
      </c>
      <c s="121" r="H54">
        <f>((((AB54)+(0.3*K54))+AG54)+(AF54*0.6))+AI54</f>
        <v>159.5</v>
      </c>
      <c s="98" r="I54">
        <f>((((0.05*O54)+(0.053*V54))+(0.04*AC54))+(0.042*S54))/100.0</f>
        <v>0.0205</v>
      </c>
      <c s="120" r="J54">
        <v>1489</v>
      </c>
      <c s="120" r="K54">
        <f>L54+M54</f>
        <v>87</v>
      </c>
      <c s="120" r="L54">
        <v>63</v>
      </c>
      <c s="120" r="M54">
        <v>24</v>
      </c>
      <c t="s" s="120" r="N54">
        <v>97</v>
      </c>
      <c s="120" r="O54">
        <f>P54+Q54</f>
        <v>41</v>
      </c>
      <c s="120" r="P54">
        <v>41</v>
      </c>
      <c s="120" r="Q54"/>
      <c s="120" r="R54">
        <f>33.0+4.0</f>
        <v>37</v>
      </c>
      <c s="120" r="S54">
        <f>T54+U54</f>
        <v>0</v>
      </c>
      <c s="120" r="T54"/>
      <c s="120" r="U54"/>
      <c s="120" r="V54"/>
      <c s="120" r="W54"/>
      <c s="120" r="X54"/>
      <c s="120" r="Y54"/>
      <c s="120" r="Z54"/>
      <c s="120" r="AA54">
        <v>58</v>
      </c>
      <c s="120" r="AB54"/>
      <c s="120" r="AC54"/>
      <c s="120" r="AD54"/>
      <c s="120" r="AE54"/>
      <c s="120" r="AF54"/>
      <c s="120" r="AG54"/>
      <c s="94" r="AH54">
        <f>((AC54*0.6637)+AE54)+AG54</f>
        <v>0</v>
      </c>
      <c s="94" r="AI54">
        <f>(AA54*2.3)+(AD54)</f>
        <v>133.4</v>
      </c>
      <c s="133" r="AJ54"/>
      <c s="30" r="AK54"/>
      <c s="30" r="AL54"/>
      <c s="30" r="AM54"/>
      <c s="30" r="AN54"/>
      <c s="30" r="AO54"/>
    </row>
    <row r="55">
      <c t="str" s="64" r="A55">
        <f>(((B55&amp;" ")&amp;C55)&amp;" ")&amp;E55</f>
        <v>Greaves of Ancient Evil   489.3532</v>
      </c>
      <c t="s" s="92" r="B55">
        <v>149</v>
      </c>
      <c t="s" s="80" r="C55">
        <v>142</v>
      </c>
      <c t="s" s="80" r="D55">
        <v>140</v>
      </c>
      <c s="81" r="E55">
        <f>(F55+G55)+H55</f>
        <v>489.3532</v>
      </c>
      <c s="121" r="F55">
        <f>((((((J55*0.1)+(O55*1.25))+R55)+S55)+V55)+(X55*0.5))+(AF55*0.2)</f>
        <v>234.4</v>
      </c>
      <c s="121" r="G55">
        <f>+((K55*1.06)*1.06)</f>
        <v>97.7532</v>
      </c>
      <c s="121" r="H55">
        <f>((((AB55)+(0.3*K55))+AG55)+(AF55*0.6))+AI55</f>
        <v>157.2</v>
      </c>
      <c s="98" r="I55">
        <f>((((0.05*O55)+(0.053*V55))+(0.04*AC55))+(0.042*S55))/100.0</f>
        <v>0.03849</v>
      </c>
      <c s="120" r="J55">
        <v>1489</v>
      </c>
      <c s="120" r="K55">
        <f>L55+M55</f>
        <v>87</v>
      </c>
      <c s="120" r="L55">
        <v>87</v>
      </c>
      <c s="120" r="M55"/>
      <c s="120" r="N55"/>
      <c s="120" r="O55">
        <f>P55+Q55</f>
        <v>42</v>
      </c>
      <c s="120" r="P55">
        <v>42</v>
      </c>
      <c s="120" r="Q55"/>
      <c s="120" r="R55"/>
      <c s="120" r="S55">
        <f>T55+U55</f>
        <v>0</v>
      </c>
      <c s="120" r="T55"/>
      <c s="120" r="U55"/>
      <c s="120" r="V55">
        <v>33</v>
      </c>
      <c s="120" r="W55"/>
      <c s="120" r="X55"/>
      <c s="120" r="Y55"/>
      <c s="120" r="Z55"/>
      <c s="120" r="AA55">
        <v>57</v>
      </c>
      <c s="120" r="AB55"/>
      <c s="120" r="AC55"/>
      <c s="120" r="AD55"/>
      <c s="120" r="AE55"/>
      <c s="120" r="AF55"/>
      <c s="120" r="AG55"/>
      <c s="94" r="AH55">
        <f>((AC55*0.6637)+AE55)+AG55</f>
        <v>0</v>
      </c>
      <c s="94" r="AI55">
        <f>(AA55*2.3)+(AD55)</f>
        <v>131.1</v>
      </c>
      <c s="133" r="AJ55"/>
      <c s="30" r="AK55"/>
      <c s="30" r="AL55"/>
      <c s="30" r="AM55"/>
      <c s="30" r="AN55"/>
      <c s="30" r="AO55"/>
    </row>
    <row r="56">
      <c t="str" s="64" r="A56">
        <f>(((B56&amp;" ")&amp;C56)&amp;" ")&amp;E56</f>
        <v>Sabatons of Draconic Vigor Wyrmcrest Accord Revered 472.606</v>
      </c>
      <c t="s" s="92" r="B56">
        <v>150</v>
      </c>
      <c t="s" s="80" r="C56">
        <v>99</v>
      </c>
      <c t="s" s="80" r="D56">
        <v>140</v>
      </c>
      <c s="81" r="E56">
        <f>(F56+G56)+H56</f>
        <v>472.606</v>
      </c>
      <c s="121" r="F56">
        <f>((((((J56*0.1)+(O56*1.25))+R56)+S56)+V56)+(X56*0.5))+(AF56*0.2)</f>
        <v>221.4</v>
      </c>
      <c s="121" r="G56">
        <f>+((K56*1.06)*1.06)</f>
        <v>95.506</v>
      </c>
      <c s="121" r="H56">
        <f>((((AB56)+(0.3*K56))+AG56)+(AF56*0.6))+AI56</f>
        <v>155.7</v>
      </c>
      <c s="98" r="I56">
        <f>((((0.05*O56)+(0.053*V56))+(0.04*AC56))+(0.042*S56))/100.0</f>
        <v>0.029</v>
      </c>
      <c s="120" r="J56">
        <v>1489</v>
      </c>
      <c s="120" r="K56">
        <f>L56+M56</f>
        <v>85</v>
      </c>
      <c s="120" r="L56">
        <v>85</v>
      </c>
      <c s="120" r="M56"/>
      <c s="120" r="N56"/>
      <c s="120" r="O56">
        <f>P56+Q56</f>
        <v>58</v>
      </c>
      <c s="120" r="P56">
        <v>58</v>
      </c>
      <c s="120" r="Q56"/>
      <c s="120" r="R56"/>
      <c s="120" r="S56">
        <f>T56+U56</f>
        <v>0</v>
      </c>
      <c s="120" r="T56"/>
      <c s="120" r="U56"/>
      <c s="120" r="V56"/>
      <c s="120" r="W56"/>
      <c s="120" r="X56"/>
      <c s="120" r="Y56"/>
      <c s="120" r="Z56"/>
      <c s="120" r="AA56">
        <v>44</v>
      </c>
      <c s="120" r="AB56"/>
      <c s="120" r="AC56"/>
      <c s="120" r="AD56"/>
      <c s="120" r="AE56"/>
      <c s="120" r="AF56"/>
      <c s="120" r="AG56">
        <v>29</v>
      </c>
      <c s="94" r="AH56">
        <f>((AC56*0.6637)+AE56)+AG56</f>
        <v>29</v>
      </c>
      <c s="94" r="AI56">
        <f>(AA56*2.3)+(AD56)</f>
        <v>101.2</v>
      </c>
      <c s="133" r="AJ56"/>
      <c s="30" r="AK56"/>
      <c s="30" r="AL56"/>
      <c s="30" r="AM56"/>
      <c s="30" r="AN56"/>
      <c s="30" r="AO56"/>
    </row>
    <row r="57">
      <c t="str" s="64" r="A57">
        <f>(((B57&amp;" ")&amp;C57)&amp;" ")&amp;E57</f>
        <v>Tempered Titansteel Treads Crafted Blacksmith 472.182</v>
      </c>
      <c t="s" s="92" r="B57">
        <v>151</v>
      </c>
      <c t="s" s="80" r="C57">
        <v>152</v>
      </c>
      <c t="s" s="80" r="D57">
        <v>140</v>
      </c>
      <c s="81" r="E57">
        <f>(F57+G57)+H57</f>
        <v>472.182</v>
      </c>
      <c s="121" r="F57">
        <f>((((((J57*0.1)+(O57*1.25))+R57)+S57)+V57)+(X57*0.5))+(AF57*0.2)</f>
        <v>197.85</v>
      </c>
      <c s="121" r="G57">
        <f>+((K57*1.06)*1.06)</f>
        <v>134.832</v>
      </c>
      <c s="121" r="H57">
        <f>((((AB57)+(0.3*K57))+AG57)+(AF57*0.6))+AI57</f>
        <v>139.5</v>
      </c>
      <c s="98" r="I57">
        <f>((((0.05*O57)+(0.053*V57))+(0.04*AC57))+(0.042*S57))/100.0</f>
        <v>0.0175</v>
      </c>
      <c s="120" r="J57">
        <v>1541</v>
      </c>
      <c s="120" r="K57">
        <f>L57+M57</f>
        <v>120</v>
      </c>
      <c s="120" r="L57">
        <v>120</v>
      </c>
      <c s="120" r="M57"/>
      <c s="120" r="N57"/>
      <c s="120" r="O57">
        <f>P57+Q57</f>
        <v>35</v>
      </c>
      <c s="120" r="P57">
        <v>35</v>
      </c>
      <c s="120" r="Q57"/>
      <c s="120" r="R57"/>
      <c s="120" r="S57">
        <f>T57+U57</f>
        <v>0</v>
      </c>
      <c s="120" r="T57"/>
      <c s="120" r="U57"/>
      <c s="120" r="V57"/>
      <c s="120" r="W57"/>
      <c s="120" r="X57"/>
      <c s="120" r="Y57"/>
      <c s="120" r="Z57"/>
      <c s="120" r="AA57">
        <v>45</v>
      </c>
      <c s="120" r="AB57"/>
      <c s="120" r="AC57"/>
      <c s="120" r="AD57"/>
      <c s="120" r="AE57"/>
      <c s="120" r="AF57"/>
      <c s="120" r="AG57"/>
      <c s="94" r="AH57">
        <f>((AC57*0.6637)+AE57)+AG57</f>
        <v>0</v>
      </c>
      <c s="94" r="AI57">
        <f>(AA57*2.3)+(AD57)</f>
        <v>103.5</v>
      </c>
      <c s="133" r="AJ57"/>
      <c s="30" r="AK57"/>
      <c s="30" r="AL57"/>
      <c s="30" r="AM57"/>
      <c s="30" r="AN57"/>
      <c s="30" r="AO57"/>
    </row>
    <row r="58">
      <c t="str" s="64" r="A58">
        <f>(((B58&amp;" ")&amp;C58)&amp;" ")&amp;E58</f>
        <v>Slaughterhouse Sabatons CoT: Strat Meathook 437.3936</v>
      </c>
      <c t="s" s="92" r="B58">
        <v>153</v>
      </c>
      <c t="s" s="80" r="C58">
        <v>154</v>
      </c>
      <c t="s" s="80" r="D58">
        <v>140</v>
      </c>
      <c s="81" r="E58">
        <f>(F58+G58)+H58</f>
        <v>437.3936</v>
      </c>
      <c s="121" r="F58">
        <f>((((((J58*0.1)+(O58*1.25))+R58)+S58)+V58)+(X58*0.5))+(AF58*0.2)</f>
        <v>211.9</v>
      </c>
      <c s="121" r="G58">
        <f>+((K58*1.06)*1.06)</f>
        <v>85.3936</v>
      </c>
      <c s="121" r="H58">
        <f>((((AB58)+(0.3*K58))+AG58)+(AF58*0.6))+AI58</f>
        <v>140.1</v>
      </c>
      <c s="98" r="I58">
        <f>((((0.05*O58)+(0.053*V58))+(0.04*AC58))+(0.042*S58))/100.0</f>
        <v>0.017</v>
      </c>
      <c s="120" r="J58">
        <v>1439</v>
      </c>
      <c s="120" r="K58">
        <f>L58+M58</f>
        <v>76</v>
      </c>
      <c s="120" r="L58">
        <v>76</v>
      </c>
      <c s="120" r="M58"/>
      <c s="120" r="N58"/>
      <c s="120" r="O58">
        <f>P58+Q58</f>
        <v>34</v>
      </c>
      <c s="120" r="P58">
        <v>34</v>
      </c>
      <c s="120" r="Q58"/>
      <c s="120" r="R58"/>
      <c s="120" r="S58">
        <f>T58+U58</f>
        <v>0</v>
      </c>
      <c s="120" r="T58"/>
      <c s="120" r="U58"/>
      <c s="120" r="V58"/>
      <c s="120" r="W58"/>
      <c s="120" r="X58">
        <v>51</v>
      </c>
      <c s="120" r="Y58"/>
      <c s="120" r="Z58"/>
      <c s="120" r="AA58">
        <v>51</v>
      </c>
      <c s="120" r="AB58"/>
      <c s="120" r="AC58"/>
      <c s="120" r="AD58"/>
      <c s="120" r="AE58"/>
      <c s="120" r="AF58"/>
      <c s="120" r="AG58"/>
      <c s="94" r="AH58">
        <f>((AC58*0.6637)+AE58)+AG58</f>
        <v>0</v>
      </c>
      <c s="94" r="AI58">
        <f>(AA58*2.3)+(AD58)</f>
        <v>117.3</v>
      </c>
      <c s="133" r="AJ58"/>
      <c s="30" r="AK58"/>
      <c s="30" r="AL58"/>
      <c s="30" r="AM58"/>
      <c s="30" r="AN58"/>
      <c s="30" r="AO58"/>
    </row>
    <row r="59">
      <c t="str" s="64" r="A59">
        <f>(((B59&amp;" ")&amp;C59)&amp;" ")&amp;E59</f>
        <v>Toxin-Tempered Sabatons Knights of the Ebon Honored 437.3936</v>
      </c>
      <c t="s" s="92" r="B59">
        <v>155</v>
      </c>
      <c t="s" s="80" r="C59">
        <v>156</v>
      </c>
      <c t="s" s="80" r="D59">
        <v>140</v>
      </c>
      <c s="81" r="E59">
        <f>(F59+G59)+H59</f>
        <v>437.3936</v>
      </c>
      <c s="121" r="F59">
        <f>((((((J59*0.1)+(O59*1.25))+R59)+S59)+V59)+(X59*0.5))+(AF59*0.2)</f>
        <v>211.9</v>
      </c>
      <c s="121" r="G59">
        <f>+((K59*1.06)*1.06)</f>
        <v>85.3936</v>
      </c>
      <c s="121" r="H59">
        <f>((((AB59)+(0.3*K59))+AG59)+(AF59*0.6))+AI59</f>
        <v>140.1</v>
      </c>
      <c s="98" r="I59">
        <f>((((0.05*O59)+(0.053*V59))+(0.04*AC59))+(0.042*S59))/100.0</f>
        <v>0.017</v>
      </c>
      <c s="120" r="J59">
        <v>1439</v>
      </c>
      <c s="120" r="K59">
        <f>L59+M59</f>
        <v>76</v>
      </c>
      <c s="120" r="L59">
        <v>76</v>
      </c>
      <c s="120" r="M59"/>
      <c s="120" r="N59"/>
      <c s="120" r="O59">
        <f>P59+Q59</f>
        <v>34</v>
      </c>
      <c s="120" r="P59">
        <v>34</v>
      </c>
      <c s="120" r="Q59"/>
      <c s="120" r="R59"/>
      <c s="120" r="S59">
        <f>T59+U59</f>
        <v>0</v>
      </c>
      <c s="120" r="T59"/>
      <c s="120" r="U59"/>
      <c s="120" r="V59"/>
      <c s="120" r="W59"/>
      <c s="120" r="X59">
        <v>51</v>
      </c>
      <c s="120" r="Y59"/>
      <c s="120" r="Z59"/>
      <c s="120" r="AA59">
        <v>51</v>
      </c>
      <c s="120" r="AB59"/>
      <c s="120" r="AC59"/>
      <c s="120" r="AD59"/>
      <c s="120" r="AE59"/>
      <c s="120" r="AF59"/>
      <c s="120" r="AG59"/>
      <c s="94" r="AH59">
        <f>((AC59*0.6637)+AE59)+AG59</f>
        <v>0</v>
      </c>
      <c s="94" r="AI59">
        <f>(AA59*2.3)+(AD59)</f>
        <v>117.3</v>
      </c>
      <c s="133" r="AJ59"/>
      <c s="30" r="AK59"/>
      <c s="30" r="AL59"/>
      <c s="30" r="AM59"/>
      <c s="30" r="AN59"/>
      <c s="30" r="AO59"/>
    </row>
    <row r="60">
      <c t="str" s="64" r="A60">
        <f>(((B60&amp;" ")&amp;C60)&amp;" ")&amp;E60</f>
        <v>Myrmydon's Treads (sta,sta) Akama 382.25440000000003</v>
      </c>
      <c t="s" s="20" r="B60">
        <v>157</v>
      </c>
      <c t="s" s="20" r="C60">
        <v>158</v>
      </c>
      <c t="s" s="120" r="D60">
        <v>140</v>
      </c>
      <c s="81" r="E60">
        <f>(F60+G60)+H60</f>
        <v>382.2544</v>
      </c>
      <c s="121" r="F60">
        <f>((((((J60*0.1)+(O60*1.25))+R60)+S60)+V60)+(X60*0.5))+(AF60*0.2)</f>
        <v>175.8</v>
      </c>
      <c s="121" r="G60">
        <f>+((K60*1.06)*1.06)</f>
        <v>116.8544</v>
      </c>
      <c s="121" r="H60">
        <f>((((AB60)+(0.3*K60))+AG60)+(AF60*0.6))+AI60</f>
        <v>89.6</v>
      </c>
      <c s="98" r="I60">
        <f>((((0.05*O60)+(0.053*V60))+(0.04*AC60))+(0.042*S60))/100.0</f>
        <v>0.02401</v>
      </c>
      <c s="120" r="J60">
        <v>1213</v>
      </c>
      <c s="120" r="K60">
        <f>L60+M60</f>
        <v>104</v>
      </c>
      <c s="120" r="L60">
        <f>56.0</f>
        <v>56</v>
      </c>
      <c s="120" r="M60">
        <f>24.0+24.0</f>
        <v>48</v>
      </c>
      <c t="s" s="120" r="N60">
        <v>159</v>
      </c>
      <c s="120" r="O60">
        <f>P60+Q60</f>
        <v>30</v>
      </c>
      <c s="120" r="P60">
        <v>30</v>
      </c>
      <c s="120" r="Q60"/>
      <c s="120" r="R60"/>
      <c s="120" r="S60">
        <f>T60+U60</f>
        <v>0</v>
      </c>
      <c s="120" r="T60"/>
      <c s="120" r="U60"/>
      <c s="120" r="V60">
        <v>17</v>
      </c>
      <c s="120" r="W60"/>
      <c s="120" r="X60"/>
      <c s="120" r="Y60"/>
      <c s="120" r="Z60"/>
      <c s="120" r="AA60">
        <v>18</v>
      </c>
      <c s="120" r="AB60"/>
      <c s="120" r="AC60"/>
      <c s="120" r="AD60"/>
      <c s="120" r="AE60"/>
      <c s="120" r="AF60"/>
      <c s="120" r="AG60">
        <v>17</v>
      </c>
      <c s="94" r="AH60">
        <f>((AC60*0.6637)+AE60)+AG60</f>
        <v>17</v>
      </c>
      <c s="94" r="AI60">
        <f>(AA60*2.3)+(AD60)</f>
        <v>41.4</v>
      </c>
      <c s="133" r="AJ60"/>
      <c s="30" r="AK60"/>
      <c s="30" r="AL60"/>
      <c s="30" r="AM60"/>
      <c s="30" r="AN60"/>
      <c s="30" r="AO60"/>
    </row>
    <row r="61">
      <c t="str" s="64" r="A61">
        <f>(((B61&amp;" ")&amp;C61)&amp;" ")&amp;E61</f>
        <v>Tide Stompers Greaves (sta,sta) Najentus 381.9044</v>
      </c>
      <c t="s" s="20" r="B61">
        <v>160</v>
      </c>
      <c t="s" s="20" r="C61">
        <v>161</v>
      </c>
      <c t="s" s="120" r="D61">
        <v>140</v>
      </c>
      <c s="81" r="E61">
        <f>(F61+G61)+H61</f>
        <v>381.9044</v>
      </c>
      <c s="121" r="F61">
        <f>((((((J61*0.1)+(O61*1.25))+R61)+S61)+V61)+(X61*0.5))+(AF61*0.2)</f>
        <v>174.05</v>
      </c>
      <c s="121" r="G61">
        <f>+((K61*1.06)*1.06)</f>
        <v>116.8544</v>
      </c>
      <c s="121" r="H61">
        <f>((((AB61)+(0.3*K61))+AG61)+(AF61*0.6))+AI61</f>
        <v>91</v>
      </c>
      <c s="98" r="I61">
        <f>((((0.05*O61)+(0.053*V61))+(0.04*AC61))+(0.042*S61))/100.0</f>
        <v>0.02487</v>
      </c>
      <c s="120" r="J61">
        <v>1213</v>
      </c>
      <c s="120" r="K61">
        <f>L61+M61</f>
        <v>104</v>
      </c>
      <c s="120" r="L61">
        <f>56.0</f>
        <v>56</v>
      </c>
      <c s="120" r="M61">
        <f>24.0+24.0</f>
        <v>48</v>
      </c>
      <c t="s" s="120" r="N61">
        <v>159</v>
      </c>
      <c s="120" r="O61">
        <f>P61+Q61</f>
        <v>19</v>
      </c>
      <c s="120" r="P61">
        <v>19</v>
      </c>
      <c s="120" r="Q61"/>
      <c s="120" r="R61"/>
      <c s="120" r="S61">
        <f>T61+U61</f>
        <v>0</v>
      </c>
      <c s="120" r="T61"/>
      <c s="120" r="U61"/>
      <c s="120" r="V61">
        <v>29</v>
      </c>
      <c s="120" r="W61"/>
      <c s="120" r="X61"/>
      <c s="120" r="Y61"/>
      <c s="120" r="Z61"/>
      <c s="120" r="AA61">
        <v>26</v>
      </c>
      <c s="120" r="AB61"/>
      <c s="120" r="AC61"/>
      <c s="120" r="AD61"/>
      <c s="120" r="AE61"/>
      <c s="120" r="AF61"/>
      <c s="120" r="AG61"/>
      <c s="94" r="AH61">
        <f>((AC61*0.6637)+AE61)+AG61</f>
        <v>0</v>
      </c>
      <c s="94" r="AI61">
        <f>(AA61*2.3)+(AD61)</f>
        <v>59.8</v>
      </c>
      <c s="133" r="AJ61"/>
      <c s="30" r="AK61"/>
      <c s="30" r="AL61"/>
      <c s="30" r="AM61"/>
      <c s="30" r="AN61"/>
      <c s="30" r="AO61"/>
    </row>
    <row r="62">
      <c t="str" s="64" r="A62">
        <f>(((B62&amp;" ")&amp;C62)&amp;" ")&amp;E62</f>
        <v>Tempered Saronite Boots Crafted 370.3284</v>
      </c>
      <c t="s" s="61" r="B62">
        <v>162</v>
      </c>
      <c t="s" s="120" r="C62">
        <v>73</v>
      </c>
      <c t="s" s="57" r="D62">
        <v>140</v>
      </c>
      <c s="81" r="E62">
        <f>(F62+G62)+H62</f>
        <v>370.3284</v>
      </c>
      <c s="121" r="F62">
        <f>((((((J62*0.1)+(O62*1.25))+R62)+S62)+V62)+(X62*0.5))+(AF62*0.2)</f>
        <v>175.5</v>
      </c>
      <c s="121" r="G62">
        <f>+((K62*1.06)*1.06)</f>
        <v>77.5284</v>
      </c>
      <c s="121" r="H62">
        <f>((((AB62)+(0.3*K62))+AG62)+(AF62*0.6))+AI62</f>
        <v>117.3</v>
      </c>
      <c s="98" r="I62">
        <f>((((0.05*O62)+(0.053*V62))+(0.04*AC62))+(0.042*S62))/100.0</f>
        <v>0.018</v>
      </c>
      <c s="120" r="J62">
        <v>1305</v>
      </c>
      <c s="120" r="K62">
        <f>L62+M62</f>
        <v>69</v>
      </c>
      <c s="120" r="L62">
        <v>69</v>
      </c>
      <c s="120" r="M62"/>
      <c s="120" r="N62"/>
      <c s="120" r="O62">
        <f>P62+Q62</f>
        <v>36</v>
      </c>
      <c s="120" r="P62">
        <v>36</v>
      </c>
      <c s="120" r="Q62"/>
      <c s="120" r="R62"/>
      <c s="120" r="S62">
        <f>T62+U62</f>
        <v>0</v>
      </c>
      <c s="120" r="T62"/>
      <c s="120" r="U62"/>
      <c s="120" r="V62"/>
      <c s="120" r="W62"/>
      <c s="120" r="X62"/>
      <c s="120" r="Y62"/>
      <c s="120" r="Z62"/>
      <c s="120" r="AA62">
        <v>42</v>
      </c>
      <c s="120" r="AB62"/>
      <c s="120" r="AC62"/>
      <c s="120" r="AD62"/>
      <c s="120" r="AE62"/>
      <c s="120" r="AF62"/>
      <c s="120" r="AG62"/>
      <c s="94" r="AH62">
        <f>((AC62*0.6637)+AE62)+AG62</f>
        <v>0</v>
      </c>
      <c s="94" r="AI62">
        <f>(AA62*2.3)+(AD62)</f>
        <v>96.6</v>
      </c>
      <c s="133" r="AJ62"/>
      <c s="30" r="AK62"/>
      <c s="30" r="AL62"/>
      <c s="30" r="AM62"/>
      <c s="30" r="AN62"/>
      <c s="30" r="AO62"/>
    </row>
    <row r="63">
      <c t="str" s="64" r="A63">
        <f>(((B63&amp;" ")&amp;C63)&amp;" ")&amp;E63</f>
        <v>Blue's Greaves of the Righteous Guardian 100 Badges  367.0408</v>
      </c>
      <c t="s" s="80" r="B63">
        <v>163</v>
      </c>
      <c t="s" s="80" r="C63">
        <v>130</v>
      </c>
      <c t="s" s="80" r="D63">
        <v>140</v>
      </c>
      <c s="81" r="E63">
        <f>(F63+G63)+H63</f>
        <v>367.0408</v>
      </c>
      <c s="121" r="F63">
        <f>((((((J63*0.1)+(O63*1.25))+R63)+S63)+V63)+(X63*0.5))+(AF63*0.2)</f>
        <v>144.3</v>
      </c>
      <c s="121" r="G63">
        <f>+((K63*1.06)*1.06)</f>
        <v>87.6408</v>
      </c>
      <c s="121" r="H63">
        <f>((((AB63)+(0.3*K63))+AG63)+(AF63*0.6))+AI63</f>
        <v>135.1</v>
      </c>
      <c s="98" r="I63">
        <f>((((0.05*O63)+(0.053*V63))+(0.04*AC63))+(0.042*S63))/100.0</f>
        <v>0</v>
      </c>
      <c s="120" r="J63">
        <v>1213</v>
      </c>
      <c s="120" r="K63">
        <f>L63+M63</f>
        <v>78</v>
      </c>
      <c s="120" r="L63">
        <v>68</v>
      </c>
      <c s="120" r="M63">
        <v>10</v>
      </c>
      <c t="s" s="120" r="N63">
        <v>131</v>
      </c>
      <c s="120" r="O63">
        <f>P63+Q63</f>
        <v>0</v>
      </c>
      <c s="120" r="P63"/>
      <c s="120" r="Q63"/>
      <c s="120" r="R63">
        <v>23</v>
      </c>
      <c s="120" r="S63">
        <f>T63+U63</f>
        <v>0</v>
      </c>
      <c s="120" r="T63"/>
      <c s="120" r="U63"/>
      <c s="120" r="V63"/>
      <c s="120" r="W63"/>
      <c s="120" r="X63"/>
      <c s="120" r="Y63"/>
      <c s="120" r="Z63"/>
      <c s="120" r="AA63">
        <v>39</v>
      </c>
      <c s="120" r="AB63"/>
      <c s="120" r="AC63"/>
      <c s="120" r="AD63"/>
      <c s="120" r="AE63"/>
      <c s="120" r="AF63"/>
      <c s="120" r="AG63">
        <v>22</v>
      </c>
      <c s="94" r="AH63">
        <f>((AC63*0.6637)+AE63)+AG63</f>
        <v>22</v>
      </c>
      <c s="94" r="AI63">
        <f>(AA63*2.3)+(AD63)</f>
        <v>89.7</v>
      </c>
      <c s="133" r="AJ63"/>
      <c s="30" r="AK63"/>
      <c s="30" r="AL63"/>
      <c s="30" r="AM63"/>
      <c s="30" r="AN63"/>
      <c s="30" r="AO63"/>
    </row>
    <row r="64">
      <c t="str" s="64" r="A64">
        <f>(((B64&amp;" ")&amp;C64)&amp;" ")&amp;E64</f>
        <v>Sabatons of the Righteous Defender (sta,sta/str) 75 Badges 333.88800000000003</v>
      </c>
      <c t="s" s="20" r="B64">
        <v>164</v>
      </c>
      <c t="s" s="20" r="C64">
        <v>133</v>
      </c>
      <c t="s" s="120" r="D64">
        <v>140</v>
      </c>
      <c s="81" r="E64">
        <f>(F64+G64)+H64</f>
        <v>333.888</v>
      </c>
      <c s="121" r="F64">
        <f>((((((J64*0.1)+(O64*1.25))+R64)+S64)+V64)+(X64*0.5))+(AF64*0.2)</f>
        <v>156</v>
      </c>
      <c s="121" r="G64">
        <f>+((K64*1.06)*1.06)</f>
        <v>89.888</v>
      </c>
      <c s="121" r="H64">
        <f>((((AB64)+(0.3*K64))+AG64)+(AF64*0.6))+AI64</f>
        <v>88</v>
      </c>
      <c s="98" r="I64">
        <f>((((0.05*O64)+(0.053*V64))+(0.04*AC64))+(0.042*S64))/100.0</f>
        <v>0.01236</v>
      </c>
      <c s="120" r="J64">
        <v>1105</v>
      </c>
      <c s="120" r="K64">
        <f>L64+M64</f>
        <v>80</v>
      </c>
      <c s="120" r="L64">
        <f>M64</f>
        <v>40</v>
      </c>
      <c s="120" r="M64">
        <f>(24.0+12.0)+4.0</f>
        <v>40</v>
      </c>
      <c t="s" s="120" r="N64">
        <v>165</v>
      </c>
      <c s="120" r="O64">
        <f>P64+Q64</f>
        <v>18</v>
      </c>
      <c s="120" r="P64">
        <v>18</v>
      </c>
      <c s="120" r="Q64"/>
      <c s="120" r="R64"/>
      <c s="120" r="S64">
        <f>T64+U64</f>
        <v>8</v>
      </c>
      <c s="120" r="T64"/>
      <c s="120" r="U64">
        <v>8</v>
      </c>
      <c s="120" r="V64"/>
      <c s="120" r="W64"/>
      <c s="120" r="X64">
        <v>30</v>
      </c>
      <c s="120" r="Y64"/>
      <c s="120" r="Z64"/>
      <c s="120" r="AA64">
        <f>20.0</f>
        <v>20</v>
      </c>
      <c s="7" r="AB64"/>
      <c s="120" r="AC64"/>
      <c s="120" r="AD64"/>
      <c s="120" r="AE64"/>
      <c s="120" r="AF64"/>
      <c s="120" r="AG64">
        <v>18</v>
      </c>
      <c s="94" r="AH64">
        <f>((AC64*0.6637)+AE64)+AG64</f>
        <v>18</v>
      </c>
      <c s="94" r="AI64">
        <f>(AA64*2.3)+(AD64)</f>
        <v>46</v>
      </c>
      <c s="133" r="AJ64"/>
      <c s="30" r="AK64"/>
      <c s="30" r="AL64"/>
      <c s="30" r="AM64"/>
      <c s="30" r="AN64"/>
      <c s="30" r="AO64"/>
    </row>
    <row r="65">
      <c t="str" s="64" r="A65">
        <f>(((B65&amp;" ")&amp;C65)&amp;" ")&amp;E65</f>
        <v>Jungle Stompers (sta) Narolakk 313.5812</v>
      </c>
      <c t="s" s="20" r="B65">
        <v>166</v>
      </c>
      <c t="s" s="20" r="C65">
        <v>167</v>
      </c>
      <c t="s" s="120" r="D65">
        <v>140</v>
      </c>
      <c s="81" r="E65">
        <f>(F65+G65)+H65</f>
        <v>313.5812</v>
      </c>
      <c s="121" r="F65">
        <f>((((((J65*0.1)+(O65*1.25))+R65)+S65)+V65)+(X65*0.5))+(AF65*0.2)</f>
        <v>174.5</v>
      </c>
      <c s="121" r="G65">
        <f>+((K65*1.06)*1.06)</f>
        <v>75.2812</v>
      </c>
      <c s="121" r="H65">
        <f>((((AB65)+(0.3*K65))+AG65)+(AF65*0.6))+AI65</f>
        <v>63.8</v>
      </c>
      <c s="98" r="I65">
        <f>((((0.05*O65)+(0.053*V65))+(0.04*AC65))+(0.042*S65))/100.0</f>
        <v>0.01</v>
      </c>
      <c s="120" r="J65">
        <v>1105</v>
      </c>
      <c s="120" r="K65">
        <f>L65+M65</f>
        <v>67</v>
      </c>
      <c s="120" r="L65">
        <f>43.0</f>
        <v>43</v>
      </c>
      <c s="120" r="M65">
        <v>24</v>
      </c>
      <c t="s" s="120" r="N65">
        <v>113</v>
      </c>
      <c s="120" r="O65">
        <f>P65+Q65</f>
        <v>20</v>
      </c>
      <c s="120" r="P65">
        <v>20</v>
      </c>
      <c s="120" r="Q65"/>
      <c s="120" r="R65">
        <v>18</v>
      </c>
      <c s="120" r="S65">
        <f>T65+U65</f>
        <v>0</v>
      </c>
      <c s="120" r="T65"/>
      <c s="120" r="U65"/>
      <c s="120" r="V65"/>
      <c s="120" r="W65"/>
      <c s="120" r="X65">
        <v>42</v>
      </c>
      <c s="120" r="Y65"/>
      <c s="120" r="Z65"/>
      <c s="120" r="AA65">
        <v>19</v>
      </c>
      <c s="7" r="AB65"/>
      <c s="120" r="AC65"/>
      <c s="120" r="AD65"/>
      <c s="120" r="AE65"/>
      <c s="120" r="AF65"/>
      <c s="120" r="AG65"/>
      <c s="94" r="AH65">
        <f>((AC65*0.6637)+AE65)+AG65</f>
        <v>0</v>
      </c>
      <c s="94" r="AI65">
        <f>(AA65*2.3)+(AD65)</f>
        <v>43.7</v>
      </c>
      <c s="133" r="AJ65"/>
      <c s="30" r="AK65"/>
      <c s="30" r="AL65"/>
      <c s="30" r="AM65"/>
      <c s="30" r="AN65"/>
      <c s="30" r="AO65"/>
    </row>
    <row r="66">
      <c t="str" s="64" r="A66">
        <f>(((B66&amp;" ")&amp;C66)&amp;" ")&amp;E66</f>
        <v>Boots of the Protector BS ONLY 308.2328</v>
      </c>
      <c t="s" s="20" r="B66">
        <v>168</v>
      </c>
      <c t="s" s="20" r="C66">
        <v>169</v>
      </c>
      <c t="s" s="120" r="D66">
        <v>140</v>
      </c>
      <c s="81" r="E66">
        <f>(F66+G66)+H66</f>
        <v>308.2328</v>
      </c>
      <c s="121" r="F66">
        <f>((((((J66*0.1)+(O66*1.25))+R66)+S66)+V66)+(X66*0.5))+(AF66*0.2)</f>
        <v>160</v>
      </c>
      <c s="121" r="G66">
        <f>+((K66*1.06)*1.06)</f>
        <v>53.9328</v>
      </c>
      <c s="121" r="H66">
        <f>((((AB66)+(0.3*K66))+AG66)+(AF66*0.6))+AI66</f>
        <v>94.3</v>
      </c>
      <c s="98" r="I66">
        <f>((((0.05*O66)+(0.053*V66))+(0.04*AC66))+(0.042*S66))/100.0</f>
        <v>0.013</v>
      </c>
      <c s="120" r="J66">
        <v>1105</v>
      </c>
      <c s="120" r="K66">
        <f>L66+M66</f>
        <v>48</v>
      </c>
      <c s="120" r="L66">
        <v>48</v>
      </c>
      <c s="120" r="M66"/>
      <c s="120" r="N66"/>
      <c s="120" r="O66">
        <f>P66+Q66</f>
        <v>26</v>
      </c>
      <c s="120" r="P66">
        <v>26</v>
      </c>
      <c s="120" r="Q66"/>
      <c s="120" r="R66">
        <v>17</v>
      </c>
      <c s="120" r="S66">
        <f>T66+U66</f>
        <v>0</v>
      </c>
      <c s="120" r="T66"/>
      <c s="120" r="U66"/>
      <c s="120" r="V66"/>
      <c s="120" r="W66"/>
      <c s="120" r="X66"/>
      <c s="120" r="Y66">
        <v>22</v>
      </c>
      <c s="120" r="Z66"/>
      <c s="120" r="AA66">
        <v>23</v>
      </c>
      <c s="120" r="AB66">
        <v>27</v>
      </c>
      <c s="120" r="AC66"/>
      <c s="120" r="AD66"/>
      <c s="120" r="AE66"/>
      <c s="120" r="AF66"/>
      <c s="120" r="AG66"/>
      <c s="94" r="AH66">
        <f>((AC66*0.6637)+AE66)+AG66</f>
        <v>0</v>
      </c>
      <c s="94" r="AI66">
        <f>(AA66*2.3)+(AD66)</f>
        <v>52.9</v>
      </c>
      <c s="133" r="AJ66"/>
      <c s="30" r="AK66"/>
      <c s="30" r="AL66"/>
      <c s="30" r="AM66"/>
      <c s="30" r="AN66"/>
      <c s="30" r="AO66"/>
    </row>
    <row r="67">
      <c t="str" s="64" r="A67">
        <f>(((B67&amp;" ")&amp;C67)&amp;" ")&amp;E67</f>
        <v>Battlescar Boots Chess 295.9604</v>
      </c>
      <c t="s" s="20" r="B67">
        <v>170</v>
      </c>
      <c t="s" s="20" r="C67">
        <v>171</v>
      </c>
      <c t="s" s="120" r="D67">
        <v>140</v>
      </c>
      <c s="81" r="E67">
        <f>(F67+G67)+H67</f>
        <v>295.9604</v>
      </c>
      <c s="121" r="F67">
        <f>((((((J67*0.1)+(O67*1.25))+R67)+S67)+V67)+(X67*0.5))+(AF67*0.2)</f>
        <v>151.95</v>
      </c>
      <c s="121" r="G67">
        <f>+((K67*1.06)*1.06)</f>
        <v>71.9104</v>
      </c>
      <c s="121" r="H67">
        <f>((((AB67)+(0.3*K67))+AG67)+(AF67*0.6))+AI67</f>
        <v>72.1</v>
      </c>
      <c s="98" r="I67">
        <f>((((0.05*O67)+(0.053*V67))+(0.04*AC67))+(0.042*S67))/100.0</f>
        <v>0.02142</v>
      </c>
      <c s="120" r="J67">
        <v>997</v>
      </c>
      <c s="120" r="K67">
        <f>L67+M67</f>
        <v>64</v>
      </c>
      <c s="120" r="L67">
        <f>28.0</f>
        <v>28</v>
      </c>
      <c s="120" r="M67">
        <f>24.0+12.0</f>
        <v>36</v>
      </c>
      <c t="s" s="120" r="N67">
        <v>165</v>
      </c>
      <c s="120" r="O67">
        <f>P67+Q67</f>
        <v>21</v>
      </c>
      <c s="120" r="P67">
        <v>21</v>
      </c>
      <c s="120" r="Q67"/>
      <c s="120" r="R67"/>
      <c s="120" r="S67">
        <f>T67+U67</f>
        <v>26</v>
      </c>
      <c s="120" r="T67">
        <v>18</v>
      </c>
      <c s="120" r="U67">
        <v>8</v>
      </c>
      <c s="120" r="V67"/>
      <c s="120" r="W67"/>
      <c s="120" r="X67"/>
      <c s="120" r="Y67"/>
      <c s="120" r="Z67"/>
      <c s="120" r="AA67">
        <v>23</v>
      </c>
      <c s="7" r="AB67"/>
      <c s="120" r="AC67"/>
      <c s="120" r="AD67"/>
      <c s="120" r="AE67"/>
      <c s="120" r="AF67"/>
      <c s="120" r="AG67"/>
      <c s="94" r="AH67">
        <f>((AC67*0.6637)+AE67)+AG67</f>
        <v>0</v>
      </c>
      <c s="94" r="AI67">
        <f>(AA67*2.3)+(AD67)</f>
        <v>52.9</v>
      </c>
      <c s="133" r="AJ67"/>
      <c s="30" r="AK67"/>
      <c s="30" r="AL67"/>
      <c s="30" r="AM67"/>
      <c s="30" r="AN67"/>
      <c s="30" r="AO67"/>
    </row>
    <row r="68">
      <c t="str" s="64" r="A68">
        <f>(((B68&amp;" ")&amp;C68)&amp;" ")&amp;E68</f>
        <v>Red Havoc Boots BS ONLY 260.2564</v>
      </c>
      <c t="s" s="20" r="B68">
        <v>172</v>
      </c>
      <c t="s" s="20" r="C68">
        <v>169</v>
      </c>
      <c t="s" s="120" r="D68">
        <v>140</v>
      </c>
      <c s="81" r="E68">
        <f>(F68+G68)+H68</f>
        <v>260.2564</v>
      </c>
      <c s="121" r="F68">
        <f>((((((J68*0.1)+(O68*1.25))+R68)+S68)+V68)+(X68*0.5))+(AF68*0.2)</f>
        <v>190.5</v>
      </c>
      <c s="121" r="G68">
        <f>+((K68*1.06)*1.06)</f>
        <v>55.0564</v>
      </c>
      <c s="121" r="H68">
        <f>((((AB68)+(0.3*K68))+AG68)+(AF68*0.6))+AI68</f>
        <v>14.7</v>
      </c>
      <c s="98" r="I68">
        <f>((((0.05*O68)+(0.053*V68))+(0.04*AC68))+(0.042*S68))/100.0</f>
        <v>0.016</v>
      </c>
      <c s="120" r="J68">
        <v>1105</v>
      </c>
      <c s="120" r="K68">
        <f>L68+M68</f>
        <v>49</v>
      </c>
      <c s="120" r="L68">
        <v>49</v>
      </c>
      <c s="120" r="M68"/>
      <c s="120" r="N68"/>
      <c s="120" r="O68">
        <f>P68+Q68</f>
        <v>32</v>
      </c>
      <c s="120" r="P68">
        <v>32</v>
      </c>
      <c s="120" r="Q68"/>
      <c s="120" r="R68">
        <v>25</v>
      </c>
      <c s="120" r="S68">
        <f>T68+U68</f>
        <v>0</v>
      </c>
      <c s="120" r="T68"/>
      <c s="120" r="U68"/>
      <c s="120" r="V68"/>
      <c s="120" r="W68"/>
      <c s="120" r="X68">
        <v>30</v>
      </c>
      <c s="120" r="Y68"/>
      <c s="120" r="Z68"/>
      <c s="120" r="AA68"/>
      <c s="120" r="AB68"/>
      <c s="120" r="AC68"/>
      <c s="120" r="AD68"/>
      <c s="120" r="AE68"/>
      <c s="120" r="AF68"/>
      <c s="120" r="AG68"/>
      <c s="94" r="AH68">
        <f>((AC68*0.6637)+AE68)+AG68</f>
        <v>0</v>
      </c>
      <c s="94" r="AI68">
        <f>(AA68*2.3)+(AD68)</f>
        <v>0</v>
      </c>
      <c s="133" r="AJ68"/>
      <c s="30" r="AK68"/>
      <c s="30" r="AL68"/>
      <c s="30" r="AM68"/>
      <c s="30" r="AN68"/>
      <c s="30" r="AO68"/>
    </row>
    <row r="69">
      <c t="str" s="64" r="A69">
        <f>(((B69&amp;" ")&amp;C69)&amp;" ")&amp;E69</f>
        <v>Boots of Elusion Kara Trash 214.8524</v>
      </c>
      <c t="s" s="102" r="B69">
        <v>173</v>
      </c>
      <c t="s" s="102" r="C69">
        <v>174</v>
      </c>
      <c t="s" s="120" r="D69">
        <v>140</v>
      </c>
      <c s="81" r="E69">
        <f>(F69+G69)+H69</f>
        <v>214.8524</v>
      </c>
      <c s="121" r="F69">
        <f>((((((J69*0.1)+(O69*1.25))+R69)+S69)+V69)+(X69*0.5))+(AF69*0.2)</f>
        <v>166.45</v>
      </c>
      <c s="121" r="G69">
        <f>+((K69*1.06)*1.06)</f>
        <v>38.2024</v>
      </c>
      <c s="121" r="H69">
        <f>((((AB69)+(0.3*K69))+AG69)+(AF69*0.6))+AI69</f>
        <v>10.2</v>
      </c>
      <c s="98" r="I69">
        <f>((((0.05*O69)+(0.053*V69))+(0.04*AC69))+(0.042*S69))/100.0</f>
        <v>0.03164</v>
      </c>
      <c s="103" r="J69">
        <v>997</v>
      </c>
      <c s="120" r="K69">
        <f>L69+M69</f>
        <v>34</v>
      </c>
      <c s="103" r="L69">
        <v>34</v>
      </c>
      <c s="103" r="M69"/>
      <c s="103" r="N69"/>
      <c s="120" r="O69">
        <f>P69+Q69</f>
        <v>23</v>
      </c>
      <c s="103" r="P69">
        <v>23</v>
      </c>
      <c s="103" r="Q69"/>
      <c s="57" r="R69"/>
      <c s="120" r="S69">
        <f>T69+U69</f>
        <v>0</v>
      </c>
      <c s="57" r="T69"/>
      <c s="57" r="U69"/>
      <c s="103" r="V69">
        <v>38</v>
      </c>
      <c s="103" r="W69"/>
      <c s="57" r="X69"/>
      <c s="57" r="Y69"/>
      <c s="103" r="Z69"/>
      <c s="57" r="AA69"/>
      <c s="19" r="AB69"/>
      <c s="57" r="AC69"/>
      <c s="103" r="AD69"/>
      <c s="57" r="AE69"/>
      <c s="57" r="AF69"/>
      <c s="120" r="AG69"/>
      <c s="94" r="AH69">
        <f>((AC69*0.6637)+AE69)+AG69</f>
        <v>0</v>
      </c>
      <c s="94" r="AI69">
        <f>(AA69*2.3)+(AD69)</f>
        <v>0</v>
      </c>
      <c s="133" r="AJ69"/>
      <c s="30" r="AK69"/>
      <c s="30" r="AL69"/>
      <c s="30" r="AM69"/>
      <c s="30" r="AN69"/>
      <c s="30" r="AO69"/>
    </row>
    <row r="70">
      <c t="str" s="64" r="A70">
        <f>(((B70&amp;" ")&amp;C70)&amp;" ")&amp;E70</f>
        <v>Valorous Redemption Handguards Obsidian Sanc 25 Sartharion 596.7264</v>
      </c>
      <c t="s" s="40" r="B70">
        <v>175</v>
      </c>
      <c t="s" s="40" r="C70">
        <v>176</v>
      </c>
      <c t="s" s="40" r="D70">
        <v>177</v>
      </c>
      <c s="81" r="E70">
        <f>(F70+G70)+H70</f>
        <v>596.7264</v>
      </c>
      <c s="121" r="F70">
        <f>((((((J70*0.1)+(O70*1.25))+R70)+S70)+V70)+(X70*0.5))+(AF70*0.2)</f>
        <v>248.1</v>
      </c>
      <c s="121" r="G70">
        <f>+((K70*1.06)*1.06)</f>
        <v>139.3264</v>
      </c>
      <c s="121" r="H70">
        <f>((((AB70)+(0.3*K70))+AG70)+(AF70*0.6))+AI70</f>
        <v>209.3</v>
      </c>
      <c s="98" r="I70">
        <f>((((0.05*O70)+(0.053*V70))+(0.04*AC70))+(0.042*S70))/100.0</f>
        <v>0.04726</v>
      </c>
      <c s="17" r="J70">
        <v>1436</v>
      </c>
      <c s="17" r="K70">
        <f>L70+M70</f>
        <v>124</v>
      </c>
      <c s="17" r="L70">
        <v>100</v>
      </c>
      <c s="17" r="M70">
        <v>24</v>
      </c>
      <c t="s" s="17" r="N70">
        <v>97</v>
      </c>
      <c s="17" r="O70">
        <f>P70+Q70</f>
        <v>50</v>
      </c>
      <c s="17" r="P70">
        <v>50</v>
      </c>
      <c s="17" r="Q70"/>
      <c s="17" r="R70"/>
      <c s="17" r="S70">
        <f>T70+U70</f>
        <v>0</v>
      </c>
      <c s="17" r="T70"/>
      <c s="17" r="U70"/>
      <c s="17" r="V70">
        <v>42</v>
      </c>
      <c s="17" r="W70"/>
      <c s="17" r="X70"/>
      <c s="17" r="Y70"/>
      <c s="17" r="Z70"/>
      <c s="17" r="AA70">
        <v>57</v>
      </c>
      <c s="75" r="AB70"/>
      <c s="17" r="AC70"/>
      <c s="17" r="AD70"/>
      <c s="17" r="AE70"/>
      <c s="17" r="AF70"/>
      <c s="17" r="AG70">
        <v>41</v>
      </c>
      <c s="94" r="AH70">
        <f>((AC70*0.6637)+AE70)+AG70</f>
        <v>41</v>
      </c>
      <c s="94" r="AI70">
        <f>(AA70*2.3)+(AD70)</f>
        <v>131.1</v>
      </c>
      <c s="133" r="AJ70"/>
      <c s="30" r="AK70"/>
      <c s="30" r="AL70"/>
      <c s="30" r="AM70"/>
      <c s="30" r="AN70"/>
      <c s="30" r="AO70"/>
    </row>
    <row r="71">
      <c t="str" s="64" r="A71">
        <f>(((B71&amp;" ")&amp;C71)&amp;" ")&amp;E71</f>
        <v>Callous-Hearted Gauntlets Naxx25 Faerlina 596.2432</v>
      </c>
      <c t="s" s="40" r="B71">
        <v>178</v>
      </c>
      <c t="s" s="40" r="C71">
        <v>179</v>
      </c>
      <c t="s" s="40" r="D71">
        <v>177</v>
      </c>
      <c s="81" r="E71">
        <f>(F71+G71)+H71</f>
        <v>596.2432</v>
      </c>
      <c s="121" r="F71">
        <f>((((((J71*0.1)+(O71*1.25))+R71)+S71)+V71)+(X71*0.5))+(AF71*0.2)</f>
        <v>266.6</v>
      </c>
      <c s="121" r="G71">
        <f>+((K71*1.06)*1.06)</f>
        <v>125.8432</v>
      </c>
      <c s="121" r="H71">
        <f>((((AB71)+(0.3*K71))+AG71)+(AF71*0.6))+AI71</f>
        <v>203.8</v>
      </c>
      <c s="98" r="I71">
        <f>((((0.05*O71)+(0.053*V71))+(0.04*AC71))+(0.042*S71))/100.0</f>
        <v>0.05384</v>
      </c>
      <c s="17" r="J71">
        <v>1436</v>
      </c>
      <c s="17" r="K71">
        <f>L71+M71</f>
        <v>112</v>
      </c>
      <c s="17" r="L71">
        <v>112</v>
      </c>
      <c s="17" r="M71"/>
      <c s="17" r="N71"/>
      <c s="17" r="O71">
        <f>P71+Q71</f>
        <v>36</v>
      </c>
      <c s="17" r="P71">
        <v>36</v>
      </c>
      <c s="17" r="Q71"/>
      <c s="17" r="R71"/>
      <c s="17" r="S71">
        <f>T71+U71</f>
        <v>50</v>
      </c>
      <c s="17" r="T71">
        <v>50</v>
      </c>
      <c s="17" r="U71"/>
      <c s="17" r="V71">
        <v>28</v>
      </c>
      <c s="17" r="W71"/>
      <c s="17" r="X71"/>
      <c s="17" r="Y71"/>
      <c s="17" r="Z71"/>
      <c s="17" r="AA71">
        <v>74</v>
      </c>
      <c s="75" r="AB71"/>
      <c s="17" r="AC71"/>
      <c s="17" r="AD71"/>
      <c s="17" r="AE71"/>
      <c s="17" r="AF71"/>
      <c s="17" r="AG71"/>
      <c s="94" r="AH71">
        <f>((AC71*0.6637)+AE71)+AG71</f>
        <v>0</v>
      </c>
      <c s="94" r="AI71">
        <f>(AA71*2.3)+(AD71)</f>
        <v>170.2</v>
      </c>
      <c s="133" r="AJ71"/>
      <c s="30" r="AK71"/>
      <c s="30" r="AL71"/>
      <c s="30" r="AM71"/>
      <c s="30" r="AN71"/>
      <c s="30" r="AO71"/>
    </row>
    <row r="72">
      <c t="str" s="64" r="A72">
        <f>(((B72&amp;" ")&amp;C72)&amp;" ")&amp;E72</f>
        <v>Gauntlets of the Disobedient Naxx25 Razuvius 593.7432</v>
      </c>
      <c t="s" s="40" r="B72">
        <v>180</v>
      </c>
      <c t="s" s="40" r="C72">
        <v>181</v>
      </c>
      <c t="s" s="40" r="D72">
        <v>177</v>
      </c>
      <c s="81" r="E72">
        <f>(F72+G72)+H72</f>
        <v>593.7432</v>
      </c>
      <c s="121" r="F72">
        <f>((((((J72*0.1)+(O72*1.25))+R72)+S72)+V72)+(X72*0.5))+(AF72*0.2)</f>
        <v>264.1</v>
      </c>
      <c s="121" r="G72">
        <f>+((K72*1.06)*1.06)</f>
        <v>125.8432</v>
      </c>
      <c s="121" r="H72">
        <f>((((AB72)+(0.3*K72))+AG72)+(AF72*0.6))+AI72</f>
        <v>203.8</v>
      </c>
      <c s="98" r="I72">
        <f>((((0.05*O72)+(0.053*V72))+(0.04*AC72))+(0.042*S72))/100.0</f>
        <v>0.025</v>
      </c>
      <c s="17" r="J72">
        <v>1436</v>
      </c>
      <c s="17" r="K72">
        <f>L72+M72</f>
        <v>112</v>
      </c>
      <c s="17" r="L72">
        <v>112</v>
      </c>
      <c s="17" r="M72"/>
      <c s="17" r="N72"/>
      <c s="17" r="O72">
        <f>P72+Q72</f>
        <v>50</v>
      </c>
      <c s="17" r="P72">
        <v>50</v>
      </c>
      <c s="17" r="Q72"/>
      <c s="17" r="R72">
        <v>36</v>
      </c>
      <c s="17" r="S72">
        <f>T72+U72</f>
        <v>0</v>
      </c>
      <c s="17" r="T72"/>
      <c s="17" r="U72"/>
      <c s="17" r="V72"/>
      <c s="17" r="W72"/>
      <c s="17" r="X72">
        <v>44</v>
      </c>
      <c s="17" r="Y72"/>
      <c s="17" r="Z72"/>
      <c s="17" r="AA72">
        <v>74</v>
      </c>
      <c s="75" r="AB72"/>
      <c s="17" r="AC72"/>
      <c s="17" r="AD72"/>
      <c s="17" r="AE72"/>
      <c s="17" r="AF72"/>
      <c s="17" r="AG72"/>
      <c s="94" r="AH72">
        <f>((AC72*0.6637)+AE72)+AG72</f>
        <v>0</v>
      </c>
      <c s="94" r="AI72">
        <f>(AA72*2.3)+(AD72)</f>
        <v>170.2</v>
      </c>
      <c s="133" r="AJ72"/>
      <c s="30" r="AK72"/>
      <c s="30" r="AL72"/>
      <c s="30" r="AM72"/>
      <c s="30" r="AN72"/>
      <c s="30" r="AO72"/>
    </row>
    <row r="73">
      <c t="str" s="64" r="A73">
        <f>(((B73&amp;" ")&amp;C73)&amp;" ")&amp;E73</f>
        <v>Heroes' Redemption Handguards Obs Sanc 10 Sartharion 539.9196000000001</v>
      </c>
      <c t="s" s="40" r="B73">
        <v>182</v>
      </c>
      <c t="s" s="40" r="C73">
        <v>183</v>
      </c>
      <c t="s" s="40" r="D73">
        <v>177</v>
      </c>
      <c s="81" r="E73">
        <f>(F73+G73)+H73</f>
        <v>539.9196</v>
      </c>
      <c s="121" r="F73">
        <f>((((((J73*0.1)+(O73*1.25))+R73)+S73)+V73)+(X73*0.5))+(AF73*0.2)</f>
        <v>230.6</v>
      </c>
      <c s="121" r="G73">
        <f>+((K73*1.06)*1.06)</f>
        <v>124.7196</v>
      </c>
      <c s="121" r="H73">
        <f>((((AB73)+(0.3*K73))+AG73)+(AF73*0.6))+AI73</f>
        <v>184.6</v>
      </c>
      <c s="98" r="I73">
        <f>((((0.05*O73)+(0.053*V73))+(0.04*AC73))+(0.042*S73))/100.0</f>
        <v>0.04179</v>
      </c>
      <c s="17" r="J73">
        <v>1401</v>
      </c>
      <c s="17" r="K73">
        <f>L73+M73</f>
        <v>111</v>
      </c>
      <c s="17" r="L73">
        <v>87</v>
      </c>
      <c s="17" r="M73">
        <v>24</v>
      </c>
      <c t="s" s="17" r="N73">
        <v>97</v>
      </c>
      <c s="17" r="O73">
        <f>P73+Q73</f>
        <v>38</v>
      </c>
      <c s="17" r="P73">
        <v>38</v>
      </c>
      <c s="17" r="Q73"/>
      <c s="17" r="R73"/>
      <c s="17" r="S73">
        <f>T73+U73</f>
        <v>0</v>
      </c>
      <c s="17" r="T73"/>
      <c s="17" r="U73"/>
      <c s="17" r="V73">
        <v>43</v>
      </c>
      <c s="17" r="W73"/>
      <c s="17" r="X73"/>
      <c s="17" r="Y73"/>
      <c s="17" r="Z73"/>
      <c s="17" r="AA73">
        <v>51</v>
      </c>
      <c s="75" r="AB73"/>
      <c s="17" r="AC73"/>
      <c s="17" r="AD73"/>
      <c s="17" r="AE73"/>
      <c s="17" r="AF73"/>
      <c s="17" r="AG73">
        <v>34</v>
      </c>
      <c s="94" r="AH73">
        <f>((AC73*0.6637)+AE73)+AG73</f>
        <v>34</v>
      </c>
      <c s="94" r="AI73">
        <f>(AA73*2.3)+(AD73)</f>
        <v>117.3</v>
      </c>
      <c s="133" r="AJ73"/>
      <c s="30" r="AK73"/>
      <c s="30" r="AL73"/>
      <c s="30" r="AM73"/>
      <c s="30" r="AN73"/>
      <c s="30" r="AO73"/>
    </row>
    <row r="74">
      <c t="str" s="64" r="A74">
        <f>(((B74&amp;" ")&amp;C74)&amp;" ")&amp;E74</f>
        <v>Gauntlets of the Master Naxx10 Faerlina 526.8364</v>
      </c>
      <c t="s" s="40" r="B74">
        <v>184</v>
      </c>
      <c t="s" s="40" r="C74">
        <v>185</v>
      </c>
      <c t="s" s="40" r="D74">
        <v>177</v>
      </c>
      <c s="81" r="E74">
        <f>(F74+G74)+H74</f>
        <v>526.8364</v>
      </c>
      <c s="121" r="F74">
        <f>((((((J74*0.1)+(O74*1.25))+R74)+S74)+V74)+(X74*0.5))+(AF74*0.2)</f>
        <v>235.6</v>
      </c>
      <c s="121" r="G74">
        <f>+((K74*1.06)*1.06)</f>
        <v>111.2364</v>
      </c>
      <c s="121" r="H74">
        <f>((((AB74)+(0.3*K74))+AG74)+(AF74*0.6))+AI74</f>
        <v>180</v>
      </c>
      <c s="98" r="I74">
        <f>((((0.05*O74)+(0.053*V74))+(0.04*AC74))+(0.042*S74))/100.0</f>
        <v>0.04444</v>
      </c>
      <c s="17" r="J74">
        <v>1401</v>
      </c>
      <c s="17" r="K74">
        <f>L74+M74</f>
        <v>99</v>
      </c>
      <c s="17" r="L74">
        <v>99</v>
      </c>
      <c s="17" r="M74"/>
      <c s="17" r="N74"/>
      <c s="17" r="O74">
        <f>P74+Q74</f>
        <v>38</v>
      </c>
      <c s="17" r="P74">
        <v>38</v>
      </c>
      <c s="17" r="Q74"/>
      <c s="17" r="R74"/>
      <c s="17" r="S74">
        <f>T74+U74</f>
        <v>0</v>
      </c>
      <c s="17" r="T74"/>
      <c s="17" r="U74"/>
      <c s="17" r="V74">
        <v>48</v>
      </c>
      <c s="17" r="W74"/>
      <c s="17" r="X74"/>
      <c s="17" r="Y74"/>
      <c s="17" r="Z74"/>
      <c s="17" r="AA74">
        <v>51</v>
      </c>
      <c s="75" r="AB74"/>
      <c s="17" r="AC74"/>
      <c s="17" r="AD74"/>
      <c s="17" r="AE74"/>
      <c s="17" r="AF74"/>
      <c s="17" r="AG74">
        <v>33</v>
      </c>
      <c s="94" r="AH74">
        <f>((AC74*0.6637)+AE74)+AG74</f>
        <v>33</v>
      </c>
      <c s="94" r="AI74">
        <f>(AA74*2.3)+(AD74)</f>
        <v>117.3</v>
      </c>
      <c s="133" r="AJ74"/>
      <c s="30" r="AK74"/>
      <c s="30" r="AL74"/>
      <c s="30" r="AM74"/>
      <c s="30" r="AN74"/>
      <c s="30" r="AO74"/>
    </row>
    <row r="75">
      <c t="str" s="64" r="A75">
        <f>(((B75&amp;" ")&amp;C75)&amp;" ")&amp;E75</f>
        <v>Fireproven Gauntlets Kirin Tor Exalted 480.5532</v>
      </c>
      <c t="s" s="40" r="B75">
        <v>186</v>
      </c>
      <c t="s" s="40" r="C75">
        <v>187</v>
      </c>
      <c t="s" s="40" r="D75">
        <v>177</v>
      </c>
      <c s="81" r="E75">
        <f>(F75+G75)+H75</f>
        <v>480.5532</v>
      </c>
      <c s="121" r="F75">
        <f>((((((J75*0.1)+(O75*1.25))+R75)+S75)+V75)+(X75*0.5))+(AF75*0.2)</f>
        <v>225.6</v>
      </c>
      <c s="121" r="G75">
        <f>+((K75*1.06)*1.06)</f>
        <v>97.7532</v>
      </c>
      <c s="121" r="H75">
        <f>((((AB75)+(0.3*K75))+AG75)+(AF75*0.6))+AI75</f>
        <v>157.2</v>
      </c>
      <c s="98" r="I75">
        <f>((((0.05*O75)+(0.053*V75))+(0.04*AC75))+(0.042*S75))/100.0</f>
        <v>0.03849</v>
      </c>
      <c s="17" r="J75">
        <v>1401</v>
      </c>
      <c s="17" r="K75">
        <f>L75+M75</f>
        <v>87</v>
      </c>
      <c s="17" r="L75">
        <v>87</v>
      </c>
      <c s="17" r="M75"/>
      <c s="17" r="N75"/>
      <c s="17" r="O75">
        <f>P75+Q75</f>
        <v>42</v>
      </c>
      <c s="17" r="P75">
        <v>42</v>
      </c>
      <c s="17" r="Q75"/>
      <c s="17" r="R75"/>
      <c s="17" r="S75">
        <f>T75+U75</f>
        <v>0</v>
      </c>
      <c s="17" r="T75"/>
      <c s="17" r="U75"/>
      <c s="17" r="V75">
        <v>33</v>
      </c>
      <c s="17" r="W75"/>
      <c s="17" r="X75"/>
      <c s="17" r="Y75"/>
      <c s="17" r="Z75"/>
      <c s="17" r="AA75">
        <v>57</v>
      </c>
      <c s="75" r="AB75"/>
      <c s="17" r="AC75"/>
      <c s="17" r="AD75"/>
      <c s="17" r="AE75"/>
      <c s="17" r="AF75"/>
      <c s="17" r="AG75"/>
      <c s="94" r="AH75">
        <f>((AC75*0.6637)+AE75)+AG75</f>
        <v>0</v>
      </c>
      <c s="94" r="AI75">
        <f>(AA75*2.3)+(AD75)</f>
        <v>131.1</v>
      </c>
      <c s="133" r="AJ75"/>
      <c s="30" r="AK75"/>
      <c s="30" r="AL75"/>
      <c s="30" r="AM75"/>
      <c s="30" r="AN75"/>
      <c s="30" r="AO75"/>
    </row>
    <row r="76">
      <c t="str" s="64" r="A76">
        <f>(((B76&amp;" ")&amp;C76)&amp;" ")&amp;E76</f>
        <v>Horn-Tipped Gauntlets Gundrak Heroic 479.18919999999997</v>
      </c>
      <c t="s" s="40" r="B76">
        <v>188</v>
      </c>
      <c t="s" s="40" r="C76">
        <v>189</v>
      </c>
      <c t="s" s="40" r="D76">
        <v>177</v>
      </c>
      <c s="81" r="E76">
        <f>(F76+G76)+H76</f>
        <v>479.1892</v>
      </c>
      <c s="121" r="F76">
        <f>((((((J76*0.1)+(O76*1.25))+R76)+S76)+V76)+(X76*0.5))+(AF76*0.2)</f>
        <v>213.5</v>
      </c>
      <c s="121" r="G76">
        <f>+((K76*1.06)*1.06)</f>
        <v>108.9892</v>
      </c>
      <c s="121" r="H76">
        <f>((((AB76)+(0.3*K76))+AG76)+(AF76*0.6))+AI76</f>
        <v>156.7</v>
      </c>
      <c s="98" r="I76">
        <f>((((0.05*O76)+(0.053*V76))+(0.04*AC76))+(0.042*S76))/100.0</f>
        <v>0.024</v>
      </c>
      <c s="17" r="J76">
        <v>1401</v>
      </c>
      <c s="17" r="K76">
        <f>L76+M76</f>
        <v>97</v>
      </c>
      <c s="17" r="L76">
        <v>97</v>
      </c>
      <c s="17" r="M76"/>
      <c s="17" r="N76"/>
      <c s="17" r="O76">
        <f>P76+Q76</f>
        <v>48</v>
      </c>
      <c s="17" r="P76">
        <v>48</v>
      </c>
      <c s="17" r="Q76"/>
      <c s="17" r="R76"/>
      <c s="17" r="S76">
        <f>T76+U76</f>
        <v>0</v>
      </c>
      <c s="17" r="T76"/>
      <c s="17" r="U76"/>
      <c s="17" r="V76"/>
      <c s="17" r="W76"/>
      <c s="17" r="X76"/>
      <c s="17" r="Y76"/>
      <c s="17" r="Z76"/>
      <c s="17" r="AA76">
        <v>38</v>
      </c>
      <c s="75" r="AB76"/>
      <c s="17" r="AC76"/>
      <c s="17" r="AD76"/>
      <c s="17" r="AE76"/>
      <c s="17" r="AF76">
        <v>67</v>
      </c>
      <c s="17" r="AG76"/>
      <c s="94" r="AH76">
        <f>((AC76*0.6637)+AE76)+AG76</f>
        <v>0</v>
      </c>
      <c s="94" r="AI76">
        <f>(AA76*2.3)+(AD76)</f>
        <v>87.4</v>
      </c>
      <c s="133" r="AJ76"/>
      <c s="30" r="AK76"/>
      <c s="30" r="AL76"/>
      <c s="30" r="AM76"/>
      <c s="30" r="AN76"/>
      <c s="30" r="AO76"/>
    </row>
    <row r="77">
      <c t="str" s="64" r="A77">
        <f>(((B77&amp;" ")&amp;C77)&amp;" ")&amp;E77</f>
        <v>Refined Ore Gloves World Drop BoE 475.8532</v>
      </c>
      <c t="s" s="40" r="B77">
        <v>190</v>
      </c>
      <c t="s" s="40" r="C77">
        <v>121</v>
      </c>
      <c t="s" s="40" r="D77">
        <v>177</v>
      </c>
      <c s="81" r="E77">
        <f>(F77+G77)+H77</f>
        <v>475.8532</v>
      </c>
      <c s="121" r="F77">
        <f>((((((J77*0.1)+(O77*1.25))+R77)+S77)+V77)+(X77*0.5))+(AF77*0.2)</f>
        <v>220.9</v>
      </c>
      <c s="121" r="G77">
        <f>+((K77*1.06)*1.06)</f>
        <v>97.7532</v>
      </c>
      <c s="121" r="H77">
        <f>((((AB77)+(0.3*K77))+AG77)+(AF77*0.6))+AI77</f>
        <v>157.2</v>
      </c>
      <c s="98" r="I77">
        <f>((((0.05*O77)+(0.053*V77))+(0.04*AC77))+(0.042*S77))/100.0</f>
        <v>0.021</v>
      </c>
      <c s="17" r="J77">
        <v>1354</v>
      </c>
      <c s="17" r="K77">
        <f>L77+M77</f>
        <v>87</v>
      </c>
      <c s="17" r="L77">
        <v>87</v>
      </c>
      <c s="17" r="M77"/>
      <c s="17" r="N77"/>
      <c s="17" r="O77">
        <f>P77+Q77</f>
        <v>42</v>
      </c>
      <c s="17" r="P77">
        <v>42</v>
      </c>
      <c s="17" r="Q77"/>
      <c s="17" r="R77">
        <v>33</v>
      </c>
      <c s="17" r="S77">
        <f>T77+U77</f>
        <v>0</v>
      </c>
      <c s="17" r="T77"/>
      <c s="17" r="U77"/>
      <c s="17" r="V77"/>
      <c s="17" r="W77"/>
      <c s="17" r="X77"/>
      <c s="17" r="Y77"/>
      <c s="17" r="Z77"/>
      <c s="17" r="AA77">
        <v>57</v>
      </c>
      <c s="75" r="AB77"/>
      <c s="17" r="AC77"/>
      <c s="17" r="AD77"/>
      <c s="17" r="AE77"/>
      <c s="17" r="AF77"/>
      <c s="17" r="AG77"/>
      <c s="94" r="AH77">
        <f>((AC77*0.6637)+AE77)+AG77</f>
        <v>0</v>
      </c>
      <c s="94" r="AI77">
        <f>(AA77*2.3)+(AD77)</f>
        <v>131.1</v>
      </c>
      <c s="133" r="AJ77"/>
      <c s="30" r="AK77"/>
      <c s="30" r="AL77"/>
      <c s="30" r="AM77"/>
      <c s="30" r="AN77"/>
      <c s="30" r="AO77"/>
    </row>
    <row r="78">
      <c t="str" s="64" r="A78">
        <f>(((B78&amp;" ")&amp;C78)&amp;" ")&amp;E78</f>
        <v>Gauntlets of the Water Revenant   460.1032</v>
      </c>
      <c t="s" s="40" r="B78">
        <v>191</v>
      </c>
      <c t="s" s="40" r="C78">
        <v>142</v>
      </c>
      <c t="s" s="40" r="D78">
        <v>177</v>
      </c>
      <c s="81" r="E78">
        <f>(F78+G78)+H78</f>
        <v>460.1032</v>
      </c>
      <c s="121" r="F78">
        <f>((((((J78*0.1)+(O78*1.25))+R78)+S78)+V78)+(X78*0.5))+(AF78*0.2)</f>
        <v>206.65</v>
      </c>
      <c s="121" r="G78">
        <f>+((K78*1.06)*1.06)</f>
        <v>97.7532</v>
      </c>
      <c s="121" r="H78">
        <f>((((AB78)+(0.3*K78))+AG78)+(AF78*0.6))+AI78</f>
        <v>155.7</v>
      </c>
      <c s="98" r="I78">
        <f>((((0.05*O78)+(0.053*V78))+(0.04*AC78))+(0.042*S78))/100.0</f>
        <v>0.0285</v>
      </c>
      <c s="17" r="J78">
        <v>1354</v>
      </c>
      <c s="17" r="K78">
        <f>L78+M78</f>
        <v>87</v>
      </c>
      <c s="17" r="L78">
        <v>87</v>
      </c>
      <c s="17" r="M78"/>
      <c s="17" r="N78"/>
      <c s="17" r="O78">
        <f>P78+Q78</f>
        <v>57</v>
      </c>
      <c s="17" r="P78">
        <v>57</v>
      </c>
      <c s="17" r="Q78"/>
      <c s="17" r="R78"/>
      <c s="17" r="S78">
        <f>T78+U78</f>
        <v>0</v>
      </c>
      <c s="17" r="T78"/>
      <c s="17" r="U78"/>
      <c s="17" r="V78"/>
      <c s="17" r="W78"/>
      <c s="17" r="X78"/>
      <c s="17" r="Y78"/>
      <c s="17" r="Z78"/>
      <c s="17" r="AA78">
        <v>42</v>
      </c>
      <c s="75" r="AB78"/>
      <c s="17" r="AC78"/>
      <c s="17" r="AD78"/>
      <c s="17" r="AE78"/>
      <c s="17" r="AF78"/>
      <c s="17" r="AG78">
        <v>33</v>
      </c>
      <c s="94" r="AH78">
        <f>((AC78*0.6637)+AE78)+AG78</f>
        <v>33</v>
      </c>
      <c s="94" r="AI78">
        <f>(AA78*2.3)+(AD78)</f>
        <v>96.6</v>
      </c>
      <c s="133" r="AJ78"/>
      <c s="30" r="AK78"/>
      <c s="30" r="AL78"/>
      <c s="30" r="AM78"/>
      <c s="30" r="AN78"/>
      <c s="30" r="AO78"/>
    </row>
    <row r="79">
      <c t="str" s="64" r="A79">
        <f>(((B79&amp;" ")&amp;C79)&amp;" ")&amp;E79</f>
        <v>Borderland Fortress Grips Sunwell Plateau Felmyst 410.024</v>
      </c>
      <c t="s" s="69" r="B79">
        <v>192</v>
      </c>
      <c t="s" s="40" r="C79">
        <v>193</v>
      </c>
      <c t="s" s="40" r="D79">
        <v>177</v>
      </c>
      <c s="81" r="E79">
        <f>(F79+G79)+H79</f>
        <v>410.024</v>
      </c>
      <c s="121" r="F79">
        <f>((((((J79*0.1)+(O79*1.25))+R79)+S79)+V79)+(X79*0.5))+(AF79*0.2)</f>
        <v>215.2</v>
      </c>
      <c s="121" r="G79">
        <f>+((K79*1.06)*1.06)</f>
        <v>101.124</v>
      </c>
      <c s="121" r="H79">
        <f>((((AB79)+(0.3*K79))+AG79)+(AF79*0.6))+AI79</f>
        <v>93.7</v>
      </c>
      <c s="98" r="I79">
        <f>((((0.05*O79)+(0.053*V79))+(0.04*AC79))+(0.042*S79))/100.0</f>
        <v>0.04116</v>
      </c>
      <c s="17" r="J79">
        <v>1217</v>
      </c>
      <c s="17" r="K79">
        <f>L79+M79</f>
        <v>90</v>
      </c>
      <c s="17" r="L79">
        <v>66</v>
      </c>
      <c s="17" r="M79">
        <f>12.0+12.0</f>
        <v>24</v>
      </c>
      <c t="s" s="17" r="N79">
        <v>194</v>
      </c>
      <c s="17" r="O79">
        <f>P79+Q79</f>
        <v>30</v>
      </c>
      <c s="17" r="P79">
        <v>22</v>
      </c>
      <c s="17" r="Q79">
        <v>8</v>
      </c>
      <c s="17" r="R79"/>
      <c s="17" r="S79">
        <f>T79+U79</f>
        <v>32</v>
      </c>
      <c s="17" r="T79">
        <v>24</v>
      </c>
      <c s="17" r="U79">
        <v>8</v>
      </c>
      <c s="17" r="V79">
        <v>24</v>
      </c>
      <c s="17" r="W79"/>
      <c s="17" r="X79"/>
      <c s="17" r="Y79"/>
      <c s="17" r="Z79"/>
      <c s="17" r="AA79">
        <v>29</v>
      </c>
      <c s="17" r="AB79"/>
      <c s="17" r="AC79"/>
      <c s="17" r="AD79"/>
      <c s="17" r="AE79"/>
      <c s="17" r="AF79"/>
      <c s="17" r="AG79"/>
      <c s="94" r="AH79">
        <f>((AC79*0.6637)+AE79)+AG79</f>
        <v>0</v>
      </c>
      <c s="94" r="AI79">
        <f>(AA79*2.3)+(AD79)</f>
        <v>66.7</v>
      </c>
      <c s="133" r="AJ79"/>
      <c s="30" r="AK79"/>
      <c s="30" r="AL79"/>
      <c s="30" r="AM79"/>
      <c s="30" r="AN79"/>
      <c s="30" r="AO79"/>
    </row>
    <row r="80">
      <c t="str" s="64" r="A80">
        <f>(((B80&amp;" ")&amp;C80)&amp;" ")&amp;E80</f>
        <v>Giant-Sized Gauntlets Frenzyheart Tribe Revered 408.4172</v>
      </c>
      <c t="s" s="40" r="B80">
        <v>195</v>
      </c>
      <c t="s" s="40" r="C80">
        <v>196</v>
      </c>
      <c t="s" s="40" r="D80">
        <v>177</v>
      </c>
      <c s="81" r="E80">
        <f>(F80+G80)+H80</f>
        <v>408.4172</v>
      </c>
      <c s="121" r="F80">
        <f>((((((J80*0.1)+(O80*1.25))+R80)+S80)+V80)+(X80*0.5))+(AF80*0.2)</f>
        <v>181.8</v>
      </c>
      <c s="121" r="G80">
        <f>+((K80*1.06)*1.06)</f>
        <v>86.5172</v>
      </c>
      <c s="121" r="H80">
        <f>((((AB80)+(0.3*K80))+AG80)+(AF80*0.6))+AI80</f>
        <v>140.1</v>
      </c>
      <c s="98" r="I80">
        <f>((((0.05*O80)+(0.053*V80))+(0.04*AC80))+(0.042*S80))/100.0</f>
        <v>0.02703</v>
      </c>
      <c s="17" r="J80">
        <v>1308</v>
      </c>
      <c s="17" r="K80">
        <f>L80+M80</f>
        <v>77</v>
      </c>
      <c s="17" r="L80">
        <v>77</v>
      </c>
      <c s="17" r="M80"/>
      <c s="17" r="N80"/>
      <c s="17" r="O80">
        <f>P80+Q80</f>
        <v>0</v>
      </c>
      <c s="17" r="P80"/>
      <c s="17" r="Q80"/>
      <c s="17" r="R80"/>
      <c s="17" r="S80">
        <f>T80+U80</f>
        <v>0</v>
      </c>
      <c s="17" r="T80"/>
      <c s="17" r="U80"/>
      <c s="17" r="V80">
        <v>51</v>
      </c>
      <c s="17" r="W80"/>
      <c s="17" r="X80"/>
      <c s="17" r="Y80"/>
      <c s="17" r="Z80"/>
      <c s="17" r="AA80">
        <v>40</v>
      </c>
      <c s="75" r="AB80"/>
      <c s="17" r="AC80"/>
      <c s="17" r="AD80"/>
      <c s="17" r="AE80"/>
      <c s="17" r="AF80"/>
      <c s="17" r="AG80">
        <v>25</v>
      </c>
      <c s="94" r="AH80">
        <f>((AC80*0.6637)+AE80)+AG80</f>
        <v>25</v>
      </c>
      <c s="94" r="AI80">
        <f>(AA80*2.3)+(AD80)</f>
        <v>92</v>
      </c>
      <c s="133" r="AJ80"/>
      <c s="30" r="AK80"/>
      <c s="30" r="AL80"/>
      <c s="30" r="AM80"/>
      <c s="30" r="AN80"/>
      <c s="30" r="AO80"/>
    </row>
    <row r="81">
      <c t="str" s="64" r="A81">
        <f>(((B81&amp;" ")&amp;C81)&amp;" ")&amp;E81</f>
        <v>Gauntlets of Vigilance Quest Reward  398.79359999999997</v>
      </c>
      <c t="s" s="40" r="B81">
        <v>197</v>
      </c>
      <c t="s" s="40" r="C81">
        <v>198</v>
      </c>
      <c t="s" s="40" r="D81">
        <v>177</v>
      </c>
      <c s="81" r="E81">
        <f>(F81+G81)+H81</f>
        <v>398.7936</v>
      </c>
      <c s="121" r="F81">
        <f>((((((J81*0.1)+(O81*1.25))+R81)+S81)+V81)+(X81*0.5))+(AF81*0.2)</f>
        <v>173.3</v>
      </c>
      <c s="121" r="G81">
        <f>+((K81*1.06)*1.06)</f>
        <v>85.3936</v>
      </c>
      <c s="121" r="H81">
        <f>((((AB81)+(0.3*K81))+AG81)+(AF81*0.6))+AI81</f>
        <v>140.1</v>
      </c>
      <c s="98" r="I81">
        <f>((((0.05*O81)+(0.053*V81))+(0.04*AC81))+(0.042*S81))/100.0</f>
        <v>0.0306</v>
      </c>
      <c s="17" r="J81">
        <v>1308</v>
      </c>
      <c s="17" r="K81">
        <f>L81+M81</f>
        <v>76</v>
      </c>
      <c s="17" r="L81">
        <v>76</v>
      </c>
      <c s="17" r="M81"/>
      <c s="17" r="N81"/>
      <c s="17" r="O81">
        <f>P81+Q81</f>
        <v>34</v>
      </c>
      <c s="17" r="P81">
        <v>34</v>
      </c>
      <c s="17" r="Q81"/>
      <c s="17" r="R81"/>
      <c s="17" r="S81">
        <f>T81+U81</f>
        <v>0</v>
      </c>
      <c s="17" r="T81"/>
      <c s="17" r="U81"/>
      <c s="17" r="V81"/>
      <c s="17" r="W81"/>
      <c s="17" r="X81"/>
      <c s="17" r="Y81"/>
      <c s="17" r="Z81"/>
      <c s="17" r="AA81">
        <v>51</v>
      </c>
      <c s="75" r="AB81"/>
      <c s="17" r="AC81">
        <v>34</v>
      </c>
      <c s="17" r="AD81"/>
      <c s="17" r="AE81"/>
      <c s="17" r="AF81"/>
      <c s="17" r="AG81"/>
      <c s="94" r="AH81">
        <f>((AC81*0.6637)+AE81)+AG81</f>
        <v>22.5658</v>
      </c>
      <c s="94" r="AI81">
        <f>(AA81*2.3)+(AD81)</f>
        <v>117.3</v>
      </c>
      <c s="133" r="AJ81"/>
      <c s="30" r="AK81"/>
      <c s="30" r="AL81"/>
      <c s="30" r="AM81"/>
      <c s="30" r="AN81"/>
      <c s="30" r="AO81"/>
    </row>
    <row r="82">
      <c t="str" s="64" r="A82">
        <f>(((B82&amp;" ")&amp;C82)&amp;" ")&amp;E82</f>
        <v>Lightbringer Handguards (sta) Azgalor 386.4924000000001</v>
      </c>
      <c t="s" s="69" r="B82">
        <v>199</v>
      </c>
      <c t="s" s="69" r="C82">
        <v>200</v>
      </c>
      <c t="s" s="17" r="D82">
        <v>177</v>
      </c>
      <c s="81" r="E82">
        <f>(F82+G82)+H82</f>
        <v>386.4924</v>
      </c>
      <c s="121" r="F82">
        <f>((((((J82*0.1)+(O82*1.25))+R82)+S82)+V82)+(X82*0.5))+(AF82*0.2)</f>
        <v>203.6</v>
      </c>
      <c s="121" r="G82">
        <f>+((K82*1.06)*1.06)</f>
        <v>66.2924</v>
      </c>
      <c s="121" r="H82">
        <f>((((AB82)+(0.3*K82))+AG82)+(AF82*0.6))+AI82</f>
        <v>116.6</v>
      </c>
      <c s="98" r="I82">
        <f>((((0.05*O82)+(0.053*V82))+(0.04*AC82))+(0.042*S82))/100.0</f>
        <v>0.03926</v>
      </c>
      <c s="17" r="J82">
        <v>1141</v>
      </c>
      <c s="17" r="K82">
        <f>L82+M82</f>
        <v>59</v>
      </c>
      <c s="17" r="L82">
        <f>44.0</f>
        <v>44</v>
      </c>
      <c s="17" r="M82">
        <v>15</v>
      </c>
      <c t="s" s="17" r="N82">
        <v>125</v>
      </c>
      <c s="17" r="O82">
        <f>P82+Q82</f>
        <v>30</v>
      </c>
      <c s="17" r="P82">
        <v>30</v>
      </c>
      <c s="17" r="Q82"/>
      <c s="17" r="R82"/>
      <c s="17" r="S82">
        <f>T82+U82</f>
        <v>30</v>
      </c>
      <c s="17" r="T82">
        <v>30</v>
      </c>
      <c s="17" r="U82"/>
      <c s="17" r="V82">
        <v>22</v>
      </c>
      <c s="17" r="W82"/>
      <c s="17" r="X82"/>
      <c s="17" r="Y82"/>
      <c s="17" r="Z82"/>
      <c s="17" r="AA82">
        <v>43</v>
      </c>
      <c s="75" r="AB82"/>
      <c s="17" r="AC82"/>
      <c s="17" r="AD82"/>
      <c s="17" r="AE82"/>
      <c s="17" r="AF82"/>
      <c s="17" r="AG82"/>
      <c s="94" r="AH82">
        <f>((AC82*0.6637)+AE82)+AG82</f>
        <v>0</v>
      </c>
      <c s="94" r="AI82">
        <f>(AA82*2.3)+(AD82)</f>
        <v>98.9</v>
      </c>
      <c s="133" r="AJ82"/>
      <c s="30" r="AK82"/>
      <c s="30" r="AL82"/>
      <c s="30" r="AM82"/>
      <c s="30" r="AN82"/>
      <c s="30" r="AO82"/>
    </row>
    <row r="83">
      <c t="str" s="64" r="A83">
        <f>(((B83&amp;" ")&amp;C83)&amp;" ")&amp;E83</f>
        <v>Daunting Handgards Crafted Blacksmith 373.966</v>
      </c>
      <c t="s" s="40" r="B83">
        <v>201</v>
      </c>
      <c t="s" s="40" r="C83">
        <v>152</v>
      </c>
      <c t="s" s="40" r="D83">
        <v>177</v>
      </c>
      <c s="81" r="E83">
        <f>(F83+G83)+H83</f>
        <v>373.966</v>
      </c>
      <c s="121" r="F83">
        <f>((((((J83*0.1)+(O83*1.25))+R83)+S83)+V83)+(X83*0.5))+(AF83*0.2)</f>
        <v>219.55</v>
      </c>
      <c s="121" r="G83">
        <f>+((K83*1.06)*1.06)</f>
        <v>67.416</v>
      </c>
      <c s="121" r="H83">
        <f>((((AB83)+(0.3*K83))+AG83)+(AF83*0.6))+AI83</f>
        <v>87</v>
      </c>
      <c s="98" r="I83">
        <f>((((0.05*O83)+(0.053*V83))+(0.04*AC83))+(0.042*S83))/100.0</f>
        <v>0.0355</v>
      </c>
      <c s="17" r="J83">
        <v>1308</v>
      </c>
      <c s="17" r="K83">
        <f>L83+M83</f>
        <v>60</v>
      </c>
      <c s="17" r="L83">
        <v>60</v>
      </c>
      <c s="17" r="M83"/>
      <c s="17" r="N83"/>
      <c s="17" r="O83">
        <f>P83+Q83</f>
        <v>71</v>
      </c>
      <c s="17" r="P83">
        <v>71</v>
      </c>
      <c s="17" r="Q83"/>
      <c s="17" r="R83"/>
      <c s="17" r="S83">
        <f>T83+U83</f>
        <v>0</v>
      </c>
      <c s="17" r="T83"/>
      <c s="17" r="U83"/>
      <c s="17" r="V83"/>
      <c s="17" r="W83"/>
      <c s="17" r="X83"/>
      <c s="17" r="Y83"/>
      <c s="17" r="Z83"/>
      <c s="17" r="AA83">
        <v>30</v>
      </c>
      <c s="75" r="AB83"/>
      <c s="17" r="AC83"/>
      <c s="17" r="AD83"/>
      <c s="17" r="AE83"/>
      <c s="17" r="AF83"/>
      <c s="17" r="AG83"/>
      <c s="94" r="AH83">
        <f>((AC83*0.6637)+AE83)+AG83</f>
        <v>0</v>
      </c>
      <c s="94" r="AI83">
        <f>(AA83*2.3)+(AD83)</f>
        <v>69</v>
      </c>
      <c s="133" r="AJ83"/>
      <c s="30" r="AK83"/>
      <c s="30" r="AL83"/>
      <c s="30" r="AM83"/>
      <c s="30" r="AN83"/>
      <c s="30" r="AO83"/>
    </row>
    <row r="84">
      <c t="str" s="64" r="A84">
        <f>(((B84&amp;" ")&amp;C84)&amp;" ")&amp;E84</f>
        <v>Royal Guantlets of Silvermoon (sta/sta) Kael 359.078</v>
      </c>
      <c t="s" s="118" r="B84">
        <v>202</v>
      </c>
      <c t="s" s="118" r="C84">
        <v>115</v>
      </c>
      <c t="s" s="17" r="D84">
        <v>177</v>
      </c>
      <c s="81" r="E84">
        <f>(F84+G84)+H84</f>
        <v>359.078</v>
      </c>
      <c s="121" r="F84">
        <f>((((((J84*0.1)+(O84*1.25))+R84)+S84)+V84)+(X84*0.5))+(AF84*0.2)</f>
        <v>159</v>
      </c>
      <c s="121" r="G84">
        <f>+((K84*1.06)*1.06)</f>
        <v>117.978</v>
      </c>
      <c s="121" r="H84">
        <f>((((AB84)+(0.3*K84))+AG84)+(AF84*0.6))+AI84</f>
        <v>82.1</v>
      </c>
      <c s="98" r="I84">
        <f>((((0.05*O84)+(0.053*V84))+(0.04*AC84))+(0.042*S84))/100.0</f>
        <v>0.02313</v>
      </c>
      <c s="17" r="J84">
        <v>1080</v>
      </c>
      <c s="17" r="K84">
        <f>L84+M84</f>
        <v>105</v>
      </c>
      <c s="17" r="L84">
        <f>57.0</f>
        <v>57</v>
      </c>
      <c s="17" r="M84">
        <f>24.0+24.0</f>
        <v>48</v>
      </c>
      <c t="s" s="17" r="N84">
        <v>203</v>
      </c>
      <c s="17" r="O84">
        <f>P84+Q84</f>
        <v>24</v>
      </c>
      <c s="17" r="P84">
        <v>24</v>
      </c>
      <c s="17" r="Q84"/>
      <c s="17" r="R84"/>
      <c s="17" r="S84">
        <f>T84+U84</f>
        <v>0</v>
      </c>
      <c s="17" r="T84"/>
      <c s="17" r="U84"/>
      <c s="17" r="V84">
        <v>21</v>
      </c>
      <c s="17" r="W84"/>
      <c s="17" r="X84"/>
      <c s="17" r="Y84"/>
      <c s="17" r="Z84"/>
      <c s="17" r="AA84">
        <v>22</v>
      </c>
      <c s="17" r="AB84"/>
      <c s="17" r="AC84"/>
      <c s="17" r="AD84"/>
      <c s="17" r="AE84"/>
      <c s="17" r="AF84"/>
      <c s="17" r="AG84"/>
      <c s="94" r="AH84">
        <f>((AC84*0.6637)+AE84)+AG84</f>
        <v>0</v>
      </c>
      <c s="94" r="AI84">
        <f>(AA84*2.3)+(AD84)</f>
        <v>50.6</v>
      </c>
      <c s="133" r="AJ84"/>
      <c s="30" r="AK84"/>
      <c s="30" r="AL84"/>
      <c s="30" r="AM84"/>
      <c s="30" r="AN84"/>
      <c s="30" r="AO84"/>
    </row>
    <row r="85">
      <c t="str" s="64" r="A85">
        <f>(((B85&amp;" ")&amp;C85)&amp;" ")&amp;E85</f>
        <v>Tempered Saronite Gauntlets Crafted 352.89799999999997</v>
      </c>
      <c t="s" s="124" r="B85">
        <v>204</v>
      </c>
      <c t="s" s="17" r="C85">
        <v>73</v>
      </c>
      <c t="s" s="17" r="D85">
        <v>177</v>
      </c>
      <c s="81" r="E85">
        <f>(F85+G85)+H85</f>
        <v>352.898</v>
      </c>
      <c s="121" r="F85">
        <f>((((((J85*0.1)+(O85*1.25))+R85)+S85)+V85)+(X85*0.5))+(AF85*0.2)</f>
        <v>210.2</v>
      </c>
      <c s="121" r="G85">
        <f>+((K85*1.06)*1.06)</f>
        <v>61.798</v>
      </c>
      <c s="121" r="H85">
        <f>((((AB85)+(0.3*K85))+AG85)+(AF85*0.6))+AI85</f>
        <v>80.9</v>
      </c>
      <c s="98" r="I85">
        <f>((((0.05*O85)+(0.053*V85))+(0.04*AC85))+(0.042*S85))/100.0</f>
        <v>0.033</v>
      </c>
      <c s="17" r="J85">
        <v>1277</v>
      </c>
      <c s="17" r="K85">
        <f>L85+M85</f>
        <v>55</v>
      </c>
      <c s="17" r="L85">
        <v>55</v>
      </c>
      <c s="17" r="M85"/>
      <c s="17" r="N85"/>
      <c s="17" r="O85">
        <f>P85+Q85</f>
        <v>66</v>
      </c>
      <c s="17" r="P85">
        <v>66</v>
      </c>
      <c s="17" r="Q85"/>
      <c s="17" r="R85"/>
      <c s="17" r="S85">
        <f>T85+U85</f>
        <v>0</v>
      </c>
      <c s="17" r="T85"/>
      <c s="17" r="U85"/>
      <c s="17" r="V85"/>
      <c s="17" r="W85"/>
      <c s="17" r="X85"/>
      <c s="17" r="Y85"/>
      <c s="17" r="Z85"/>
      <c s="17" r="AA85">
        <v>28</v>
      </c>
      <c s="17" r="AB85"/>
      <c s="17" r="AC85"/>
      <c s="17" r="AD85"/>
      <c s="17" r="AE85"/>
      <c s="17" r="AF85"/>
      <c s="17" r="AG85"/>
      <c s="94" r="AH85">
        <f>((AC85*0.6637)+AE85)+AG85</f>
        <v>0</v>
      </c>
      <c s="94" r="AI85">
        <f>(AA85*2.3)+(AD85)</f>
        <v>64.4</v>
      </c>
      <c s="133" r="AJ85"/>
      <c s="30" r="AK85"/>
      <c s="30" r="AL85"/>
      <c s="30" r="AM85"/>
      <c s="30" r="AN85"/>
      <c s="30" r="AO85"/>
    </row>
    <row r="86">
      <c t="str" s="64" r="A86">
        <f>(((B86&amp;" ")&amp;C86)&amp;" ")&amp;E86</f>
        <v>Expelling Gauntlets Quest Reward  345.966</v>
      </c>
      <c t="s" s="40" r="B86">
        <v>205</v>
      </c>
      <c t="s" s="40" r="C86">
        <v>198</v>
      </c>
      <c t="s" s="40" r="D86">
        <v>177</v>
      </c>
      <c s="81" r="E86">
        <f>(F86+G86)+H86</f>
        <v>345.966</v>
      </c>
      <c s="121" r="F86">
        <f>((((((J86*0.1)+(O86*1.25))+R86)+S86)+V86)+(X86*0.5))+(AF86*0.2)</f>
        <v>170.85</v>
      </c>
      <c s="121" r="G86">
        <f>+((K86*1.06)*1.06)</f>
        <v>67.416</v>
      </c>
      <c s="121" r="H86">
        <f>((((AB86)+(0.3*K86))+AG86)+(AF86*0.6))+AI86</f>
        <v>107.7</v>
      </c>
      <c s="98" r="I86">
        <f>((((0.05*O86)+(0.053*V86))+(0.04*AC86))+(0.042*S86))/100.0</f>
        <v>0.02374</v>
      </c>
      <c s="17" r="J86">
        <v>1126</v>
      </c>
      <c s="17" r="K86">
        <f>L86+M86</f>
        <v>60</v>
      </c>
      <c s="17" r="L86">
        <v>60</v>
      </c>
      <c s="17" r="M86"/>
      <c s="17" r="N86"/>
      <c s="17" r="O86">
        <f>P86+Q86</f>
        <v>29</v>
      </c>
      <c s="17" r="P86">
        <v>29</v>
      </c>
      <c s="17" r="Q86"/>
      <c s="17" r="R86"/>
      <c s="17" r="S86">
        <f>T86+U86</f>
        <v>22</v>
      </c>
      <c s="17" r="T86">
        <v>22</v>
      </c>
      <c s="17" r="U86"/>
      <c s="17" r="V86"/>
      <c s="17" r="W86"/>
      <c s="17" r="X86"/>
      <c s="17" r="Y86"/>
      <c s="17" r="Z86"/>
      <c s="17" r="AA86">
        <v>39</v>
      </c>
      <c s="75" r="AB86"/>
      <c s="17" r="AC86"/>
      <c s="17" r="AD86"/>
      <c s="17" r="AE86"/>
      <c s="17" r="AF86"/>
      <c s="17" r="AG86"/>
      <c s="94" r="AH86">
        <f>((AC86*0.6637)+AE86)+AG86</f>
        <v>0</v>
      </c>
      <c s="94" r="AI86">
        <f>(AA86*2.3)+(AD86)</f>
        <v>89.7</v>
      </c>
      <c s="133" r="AJ86"/>
      <c s="30" r="AK86"/>
      <c s="30" r="AL86"/>
      <c s="30" r="AM86"/>
      <c s="30" r="AN86"/>
      <c s="30" r="AO86"/>
    </row>
    <row r="87">
      <c t="str" s="64" r="A87">
        <f>(((B87&amp;" ")&amp;C87)&amp;" ")&amp;E87</f>
        <v>Bonefist Guantlets (sta, sta/str) 60 Badges 322.3532</v>
      </c>
      <c t="s" s="69" r="B87">
        <v>206</v>
      </c>
      <c t="s" s="69" r="C87">
        <v>207</v>
      </c>
      <c t="s" s="17" r="D87">
        <v>177</v>
      </c>
      <c s="81" r="E87">
        <f>(F87+G87)+H87</f>
        <v>322.3532</v>
      </c>
      <c s="121" r="F87">
        <f>((((((J87*0.1)+(O87*1.25))+R87)+S87)+V87)+(X87*0.5))+(AF87*0.2)</f>
        <v>129.5</v>
      </c>
      <c s="121" r="G87">
        <f>+((K87*1.06)*1.06)</f>
        <v>97.7532</v>
      </c>
      <c s="121" r="H87">
        <f>((((AB87)+(0.3*K87))+AG87)+(AF87*0.6))+AI87</f>
        <v>95.1</v>
      </c>
      <c s="98" r="I87">
        <f>((((0.05*O87)+(0.053*V87))+(0.04*AC87))+(0.042*S87))/100.0</f>
        <v>0.01218</v>
      </c>
      <c s="17" r="J87">
        <v>1005</v>
      </c>
      <c s="17" r="K87">
        <f>L87+M87</f>
        <v>87</v>
      </c>
      <c s="17" r="L87">
        <f>51.0</f>
        <v>51</v>
      </c>
      <c s="17" r="M87">
        <f>24.0+12.0</f>
        <v>36</v>
      </c>
      <c t="s" s="17" r="N87">
        <v>165</v>
      </c>
      <c s="17" r="O87">
        <f>P87+Q87</f>
        <v>0</v>
      </c>
      <c s="17" r="P87"/>
      <c s="17" r="Q87"/>
      <c s="17" r="R87"/>
      <c s="17" r="S87">
        <f>T87+U87</f>
        <v>29</v>
      </c>
      <c s="17" r="T87">
        <v>21</v>
      </c>
      <c s="17" r="U87">
        <v>8</v>
      </c>
      <c s="17" r="V87"/>
      <c s="17" r="W87"/>
      <c s="17" r="X87"/>
      <c s="17" r="Y87"/>
      <c s="17" r="Z87"/>
      <c s="17" r="AA87">
        <f>30.0</f>
        <v>30</v>
      </c>
      <c s="75" r="AB87"/>
      <c s="17" r="AC87"/>
      <c s="17" r="AD87"/>
      <c s="17" r="AE87"/>
      <c s="17" r="AF87"/>
      <c s="17" r="AG87"/>
      <c s="94" r="AH87">
        <f>((AC87*0.6637)+AE87)+AG87</f>
        <v>0</v>
      </c>
      <c s="94" r="AI87">
        <f>(AA87*2.3)+(AD87)</f>
        <v>69</v>
      </c>
      <c s="133" r="AJ87"/>
      <c s="30" r="AK87"/>
      <c s="30" r="AL87"/>
      <c s="30" r="AM87"/>
      <c s="30" r="AN87"/>
      <c s="30" r="AO87"/>
    </row>
    <row r="88">
      <c t="str" s="64" r="A88">
        <f>(((B88&amp;" ")&amp;C88)&amp;" ")&amp;E88</f>
        <v>Gauntlets of Enforcement Teron 321.602</v>
      </c>
      <c t="s" s="69" r="B88">
        <v>208</v>
      </c>
      <c t="s" s="69" r="C88">
        <v>209</v>
      </c>
      <c t="s" s="17" r="D88">
        <v>177</v>
      </c>
      <c s="81" r="E88">
        <f>(F88+G88)+H88</f>
        <v>321.602</v>
      </c>
      <c s="121" r="F88">
        <f>((((((J88*0.1)+(O88*1.25))+R88)+S88)+V88)+(X88*0.5))+(AF88*0.2)</f>
        <v>158.75</v>
      </c>
      <c s="121" r="G88">
        <f>+((K88*1.06)*1.06)</f>
        <v>78.652</v>
      </c>
      <c s="121" r="H88">
        <f>((((AB88)+(0.3*K88))+AG88)+(AF88*0.6))+AI88</f>
        <v>84.2</v>
      </c>
      <c s="98" r="I88">
        <f>((((0.05*O88)+(0.053*V88))+(0.04*AC88))+(0.042*S88))/100.0</f>
        <v>0.0105</v>
      </c>
      <c s="17" r="J88">
        <v>1103</v>
      </c>
      <c s="17" r="K88">
        <f>L88+M88</f>
        <v>70</v>
      </c>
      <c s="17" r="L88">
        <v>70</v>
      </c>
      <c s="17" r="M88"/>
      <c s="17" r="N88"/>
      <c s="17" r="O88">
        <f>P88+Q88</f>
        <v>21</v>
      </c>
      <c s="17" r="P88">
        <v>21</v>
      </c>
      <c s="17" r="Q88"/>
      <c s="17" r="R88"/>
      <c s="17" r="S88">
        <f>T88+U88</f>
        <v>0</v>
      </c>
      <c s="17" r="T88"/>
      <c s="17" r="U88"/>
      <c s="17" r="V88"/>
      <c s="17" r="W88"/>
      <c s="17" r="X88">
        <v>36</v>
      </c>
      <c s="17" r="Y88"/>
      <c s="17" r="Z88"/>
      <c s="17" r="AA88">
        <v>22</v>
      </c>
      <c s="75" r="AB88"/>
      <c s="17" r="AC88"/>
      <c s="17" r="AD88"/>
      <c s="17" r="AE88"/>
      <c s="17" r="AF88">
        <v>21</v>
      </c>
      <c s="17" r="AG88"/>
      <c s="94" r="AH88">
        <f>((AC88*0.6637)+AE88)+AG88</f>
        <v>0</v>
      </c>
      <c s="94" r="AI88">
        <f>(AA88*2.3)+(AD88)</f>
        <v>50.6</v>
      </c>
      <c s="133" r="AJ88"/>
      <c s="30" r="AK88"/>
      <c s="30" r="AL88"/>
      <c s="30" r="AM88"/>
      <c s="30" r="AN88"/>
      <c s="30" r="AO88"/>
    </row>
    <row r="89">
      <c t="str" s="64" r="A89">
        <f>(((B89&amp;" ")&amp;C89)&amp;" ")&amp;E89</f>
        <v>Gauntlets of the Disturbed Giant Quest Reward  321.2452</v>
      </c>
      <c t="s" s="40" r="B89">
        <v>210</v>
      </c>
      <c t="s" s="40" r="C89">
        <v>198</v>
      </c>
      <c t="s" s="40" r="D89">
        <v>177</v>
      </c>
      <c s="81" r="E89">
        <f>(F89+G89)+H89</f>
        <v>321.2452</v>
      </c>
      <c s="121" r="F89">
        <f>((((((J89*0.1)+(O89*1.25))+R89)+S89)+V89)+(X89*0.5))+(AF89*0.2)</f>
        <v>157</v>
      </c>
      <c s="121" r="G89">
        <f>+((K89*1.06)*1.06)</f>
        <v>64.0452</v>
      </c>
      <c s="121" r="H89">
        <f>((((AB89)+(0.3*K89))+AG89)+(AF89*0.6))+AI89</f>
        <v>100.2</v>
      </c>
      <c s="98" r="I89">
        <f>((((0.05*O89)+(0.053*V89))+(0.04*AC89))+(0.042*S89))/100.0</f>
        <v>0.019</v>
      </c>
      <c s="17" r="J89">
        <v>1095</v>
      </c>
      <c s="17" r="K89">
        <f>L89+M89</f>
        <v>57</v>
      </c>
      <c s="17" r="L89">
        <v>57</v>
      </c>
      <c s="17" r="M89"/>
      <c s="17" r="N89"/>
      <c s="17" r="O89">
        <f>P89+Q89</f>
        <v>38</v>
      </c>
      <c s="17" r="P89">
        <v>38</v>
      </c>
      <c s="17" r="Q89"/>
      <c s="17" r="R89"/>
      <c s="17" r="S89">
        <f>T89+U89</f>
        <v>0</v>
      </c>
      <c s="17" r="T89"/>
      <c s="17" r="U89"/>
      <c s="17" r="V89"/>
      <c s="17" r="W89"/>
      <c s="17" r="X89"/>
      <c s="17" r="Y89"/>
      <c s="17" r="Z89"/>
      <c s="17" r="AA89">
        <v>27</v>
      </c>
      <c s="75" r="AB89"/>
      <c s="17" r="AC89"/>
      <c s="17" r="AD89"/>
      <c s="17" r="AE89"/>
      <c s="17" r="AF89"/>
      <c s="17" r="AG89">
        <v>21</v>
      </c>
      <c s="94" r="AH89">
        <f>((AC89*0.6637)+AE89)+AG89</f>
        <v>21</v>
      </c>
      <c s="94" r="AI89">
        <f>(AA89*2.3)+(AD89)</f>
        <v>62.1</v>
      </c>
      <c s="133" r="AJ89"/>
      <c s="30" r="AK89"/>
      <c s="30" r="AL89"/>
      <c s="30" r="AM89"/>
      <c s="30" r="AN89"/>
      <c s="30" r="AO89"/>
    </row>
    <row r="90">
      <c t="str" s="64" r="A90">
        <f>(((B90&amp;" ")&amp;C90)&amp;" ")&amp;E90</f>
        <v>Crystalforge Handguards Leo 312.394</v>
      </c>
      <c t="s" s="69" r="B90">
        <v>211</v>
      </c>
      <c t="s" s="69" r="C90">
        <v>212</v>
      </c>
      <c t="s" s="17" r="D90">
        <v>177</v>
      </c>
      <c s="81" r="E90">
        <f>(F90+G90)+H90</f>
        <v>312.394</v>
      </c>
      <c s="121" r="F90">
        <f>((((((J90*0.1)+(O90*1.25))+R90)+S90)+V90)+(X90*0.5))+(AF90*0.2)</f>
        <v>174.95</v>
      </c>
      <c s="121" r="G90">
        <f>+((K90*1.06)*1.06)</f>
        <v>44.944</v>
      </c>
      <c s="121" r="H90">
        <f>((((AB90)+(0.3*K90))+AG90)+(AF90*0.6))+AI90</f>
        <v>92.5</v>
      </c>
      <c s="98" r="I90">
        <f>((((0.05*O90)+(0.053*V90))+(0.04*AC90))+(0.042*S90))/100.0</f>
        <v>0.0135</v>
      </c>
      <c s="17" r="J90">
        <v>1042</v>
      </c>
      <c s="17" r="K90">
        <f>L90+M90</f>
        <v>40</v>
      </c>
      <c s="17" r="L90">
        <v>40</v>
      </c>
      <c s="17" r="M90"/>
      <c s="17" r="N90"/>
      <c s="17" r="O90">
        <f>P90+Q90</f>
        <v>27</v>
      </c>
      <c s="17" r="P90">
        <v>27</v>
      </c>
      <c s="17" r="Q90"/>
      <c s="17" r="R90">
        <v>22</v>
      </c>
      <c s="17" r="S90">
        <f>T90+U90</f>
        <v>0</v>
      </c>
      <c s="17" r="T90"/>
      <c s="17" r="U90"/>
      <c s="17" r="V90"/>
      <c s="17" r="W90"/>
      <c s="17" r="X90">
        <v>30</v>
      </c>
      <c s="17" r="Y90"/>
      <c s="17" r="Z90"/>
      <c s="17" r="AA90">
        <v>35</v>
      </c>
      <c s="75" r="AB90"/>
      <c s="17" r="AC90"/>
      <c s="17" r="AD90"/>
      <c s="17" r="AE90"/>
      <c s="17" r="AF90"/>
      <c s="17" r="AG90"/>
      <c s="94" r="AH90">
        <f>((AC90*0.6637)+AE90)+AG90</f>
        <v>0</v>
      </c>
      <c s="94" r="AI90">
        <f>(AA90*2.3)+(AD90)</f>
        <v>80.5</v>
      </c>
      <c s="133" r="AJ90"/>
      <c s="30" r="AK90"/>
      <c s="30" r="AL90"/>
      <c s="30" r="AM90"/>
      <c s="30" r="AN90"/>
      <c s="30" r="AO90"/>
    </row>
    <row r="91">
      <c t="str" s="64" r="A91">
        <f>(((B91&amp;" ")&amp;C91)&amp;" ")&amp;E91</f>
        <v>Handguards of the Sanguine Gladiator Quest Reward  296.3076</v>
      </c>
      <c t="s" s="40" r="B91">
        <v>213</v>
      </c>
      <c t="s" s="40" r="C91">
        <v>198</v>
      </c>
      <c t="s" s="40" r="D91">
        <v>177</v>
      </c>
      <c s="81" r="E91">
        <f>(F91+G91)+H91</f>
        <v>296.3076</v>
      </c>
      <c s="121" r="F91">
        <f>((((((J91*0.1)+(O91*1.25))+R91)+S91)+V91)+(X91*0.5))+(AF91*0.2)</f>
        <v>142.55</v>
      </c>
      <c s="121" r="G91">
        <f>+((K91*1.06)*1.06)</f>
        <v>74.1576</v>
      </c>
      <c s="121" r="H91">
        <f>((((AB91)+(0.3*K91))+AG91)+(AF91*0.6))+AI91</f>
        <v>79.6</v>
      </c>
      <c s="98" r="I91">
        <f>((((0.05*O91)+(0.053*V91))+(0.04*AC91))+(0.042*S91))/100.0</f>
        <v>0.0135</v>
      </c>
      <c s="17" r="J91">
        <v>1088</v>
      </c>
      <c s="17" r="K91">
        <f>L91+M91</f>
        <v>66</v>
      </c>
      <c s="17" r="L91">
        <v>66</v>
      </c>
      <c s="17" r="M91"/>
      <c s="17" r="N91"/>
      <c s="17" r="O91">
        <f>P91+Q91</f>
        <v>27</v>
      </c>
      <c s="17" r="P91">
        <v>27</v>
      </c>
      <c s="17" r="Q91"/>
      <c s="17" r="R91"/>
      <c s="17" r="S91">
        <f>T91+U91</f>
        <v>0</v>
      </c>
      <c s="17" r="T91"/>
      <c s="17" r="U91"/>
      <c s="17" r="V91"/>
      <c s="17" r="W91"/>
      <c s="17" r="X91"/>
      <c s="17" r="Y91"/>
      <c s="17" r="Z91"/>
      <c s="17" r="AA91">
        <v>26</v>
      </c>
      <c s="75" r="AB91"/>
      <c s="17" r="AC91"/>
      <c s="17" r="AD91"/>
      <c s="17" r="AE91"/>
      <c s="17" r="AF91"/>
      <c s="17" r="AG91"/>
      <c s="94" r="AH91">
        <f>((AC91*0.6637)+AE91)+AG91</f>
        <v>0</v>
      </c>
      <c s="94" r="AI91">
        <f>(AA91*2.3)+(AD91)</f>
        <v>59.8</v>
      </c>
      <c s="133" r="AJ91"/>
      <c s="30" r="AK91"/>
      <c s="30" r="AL91"/>
      <c s="30" r="AM91"/>
      <c s="30" r="AN91"/>
      <c s="30" r="AO91"/>
    </row>
    <row r="92">
      <c t="str" s="64" r="A92">
        <f>(((B92&amp;" ")&amp;C92)&amp;" ")&amp;E92</f>
        <v>Grips of the Valiant Champion World Drop BoE 284.3328</v>
      </c>
      <c t="s" s="40" r="B92">
        <v>214</v>
      </c>
      <c t="s" s="40" r="C92">
        <v>121</v>
      </c>
      <c t="s" s="40" r="D92">
        <v>177</v>
      </c>
      <c s="81" r="E92">
        <f>(F92+G92)+H92</f>
        <v>284.3328</v>
      </c>
      <c s="121" r="F92">
        <f>((((((J92*0.1)+(O92*1.25))+R92)+S92)+V92)+(X92*0.5))+(AF92*0.2)</f>
        <v>144.7</v>
      </c>
      <c s="121" r="G92">
        <f>+((K92*1.06)*1.06)</f>
        <v>53.9328</v>
      </c>
      <c s="121" r="H92">
        <f>((((AB92)+(0.3*K92))+AG92)+(AF92*0.6))+AI92</f>
        <v>85.7</v>
      </c>
      <c s="98" r="I92">
        <f>((((0.05*O92)+(0.053*V92))+(0.04*AC92))+(0.042*S92))/100.0</f>
        <v>0.02121</v>
      </c>
      <c s="17" r="J92">
        <v>997</v>
      </c>
      <c s="17" r="K92">
        <f>L92+M92</f>
        <v>48</v>
      </c>
      <c s="17" r="L92">
        <v>48</v>
      </c>
      <c s="17" r="M92"/>
      <c s="17" r="N92"/>
      <c s="17" r="O92">
        <f>P92+Q92</f>
        <v>0</v>
      </c>
      <c s="17" r="P92"/>
      <c s="17" r="Q92"/>
      <c s="17" r="R92"/>
      <c s="17" r="S92">
        <f>T92+U92</f>
        <v>24</v>
      </c>
      <c s="17" r="T92">
        <v>24</v>
      </c>
      <c s="17" r="U92"/>
      <c s="17" r="V92">
        <v>21</v>
      </c>
      <c s="17" r="W92"/>
      <c s="17" r="X92"/>
      <c s="17" r="Y92"/>
      <c s="17" r="Z92"/>
      <c s="17" r="AA92">
        <v>31</v>
      </c>
      <c s="75" r="AB92"/>
      <c s="17" r="AC92"/>
      <c s="17" r="AD92"/>
      <c s="17" r="AE92"/>
      <c s="17" r="AF92"/>
      <c s="17" r="AG92"/>
      <c s="94" r="AH92">
        <f>((AC92*0.6637)+AE92)+AG92</f>
        <v>0</v>
      </c>
      <c s="94" r="AI92">
        <f>(AA92*2.3)+(AD92)</f>
        <v>71.3</v>
      </c>
      <c s="133" r="AJ92"/>
      <c s="30" r="AK92"/>
      <c s="30" r="AL92"/>
      <c s="30" r="AM92"/>
      <c s="30" r="AN92"/>
      <c s="30" r="AO92"/>
    </row>
    <row r="93">
      <c t="str" s="64" r="A93">
        <f>(((B93&amp;" ")&amp;C93)&amp;" ")&amp;E93</f>
        <v>Justigar Handguards Curator 269.55240000000003</v>
      </c>
      <c t="s" s="118" r="B93">
        <v>215</v>
      </c>
      <c t="s" s="118" r="C93">
        <v>216</v>
      </c>
      <c t="s" s="17" r="D93">
        <v>177</v>
      </c>
      <c s="81" r="E93">
        <f>(F93+G93)+H93</f>
        <v>269.5524</v>
      </c>
      <c s="121" r="F93">
        <f>((((((J93*0.1)+(O93*1.25))+R93)+S93)+V93)+(X93*0.5))+(AF93*0.2)</f>
        <v>140.65</v>
      </c>
      <c s="121" r="G93">
        <f>+((K93*1.06)*1.06)</f>
        <v>38.2024</v>
      </c>
      <c s="121" r="H93">
        <f>((((AB93)+(0.3*K93))+AG93)+(AF93*0.6))+AI93</f>
        <v>90.7</v>
      </c>
      <c s="98" r="I93">
        <f>((((0.05*O93)+(0.053*V93))+(0.04*AC93))+(0.042*S93))/100.0</f>
        <v>0.0115</v>
      </c>
      <c s="5" r="J93">
        <v>944</v>
      </c>
      <c s="17" r="K93">
        <f>L93+M93</f>
        <v>34</v>
      </c>
      <c s="5" r="L93">
        <v>34</v>
      </c>
      <c s="5" r="M93"/>
      <c s="17" r="N93"/>
      <c s="17" r="O93">
        <f>P93+Q93</f>
        <v>23</v>
      </c>
      <c s="5" r="P93">
        <v>23</v>
      </c>
      <c s="5" r="Q93"/>
      <c s="17" r="R93"/>
      <c s="17" r="S93">
        <f>T93+U93</f>
        <v>0</v>
      </c>
      <c s="17" r="T93"/>
      <c s="17" r="U93"/>
      <c s="17" r="V93"/>
      <c s="17" r="W93"/>
      <c s="5" r="X93">
        <v>35</v>
      </c>
      <c s="5" r="Y93"/>
      <c s="17" r="Z93"/>
      <c s="17" r="AA93">
        <v>35</v>
      </c>
      <c s="35" r="AB93"/>
      <c s="17" r="AC93"/>
      <c s="17" r="AD93"/>
      <c s="17" r="AE93"/>
      <c s="17" r="AF93"/>
      <c s="17" r="AG93"/>
      <c s="94" r="AH93">
        <f>((AC93*0.6637)+AE93)+AG93</f>
        <v>0</v>
      </c>
      <c s="94" r="AI93">
        <f>(AA93*2.3)+(AD93)</f>
        <v>80.5</v>
      </c>
      <c s="133" r="AJ93"/>
      <c s="30" r="AK93"/>
      <c s="30" r="AL93"/>
      <c s="30" r="AM93"/>
      <c s="30" r="AN93"/>
      <c s="30" r="AO93"/>
    </row>
    <row r="94">
      <c t="str" s="64" r="A94">
        <f>(((B94&amp;" ")&amp;C94)&amp;" ")&amp;E94</f>
        <v>Iron Gauntlets of the Maiden (sta,sta) Maiden 254.28680000000003</v>
      </c>
      <c t="s" s="69" r="B94">
        <v>217</v>
      </c>
      <c t="s" s="69" r="C94">
        <v>218</v>
      </c>
      <c t="s" s="17" r="D94">
        <v>177</v>
      </c>
      <c s="81" r="E94">
        <f>(F94+G94)+H94</f>
        <v>254.2868</v>
      </c>
      <c s="121" r="F94">
        <f>((((((J94*0.1)+(O94*1.25))+R94)+S94)+V94)+(X94*0.5))+(AF94*0.2)</f>
        <v>164.6</v>
      </c>
      <c s="121" r="G94">
        <f>+((K94*1.06)*1.06)</f>
        <v>70.7868</v>
      </c>
      <c s="121" r="H94">
        <f>((((AB94)+(0.3*K94))+AG94)+(AF94*0.6))+AI94</f>
        <v>18.9</v>
      </c>
      <c s="98" r="I94">
        <f>((((0.05*O94)+(0.053*V94))+(0.04*AC94))+(0.042*S94))/100.0</f>
        <v>0.01536</v>
      </c>
      <c s="17" r="J94">
        <v>906</v>
      </c>
      <c s="17" r="K94">
        <f>L94+M94</f>
        <v>63</v>
      </c>
      <c s="17" r="L94">
        <f>39.0</f>
        <v>39</v>
      </c>
      <c s="17" r="M94">
        <f>12.0+12.0</f>
        <v>24</v>
      </c>
      <c t="s" s="17" r="N94">
        <v>159</v>
      </c>
      <c s="17" r="O94">
        <f>P94+Q94</f>
        <v>24</v>
      </c>
      <c s="17" r="P94">
        <v>16</v>
      </c>
      <c s="17" r="Q94">
        <v>8</v>
      </c>
      <c s="17" r="R94">
        <v>17</v>
      </c>
      <c s="17" r="S94">
        <f>T94+U94</f>
        <v>8</v>
      </c>
      <c s="17" r="T94"/>
      <c s="17" r="U94">
        <v>8</v>
      </c>
      <c s="17" r="V94"/>
      <c s="17" r="W94"/>
      <c s="17" r="X94">
        <v>38</v>
      </c>
      <c s="17" r="Y94"/>
      <c s="17" r="Z94"/>
      <c s="17" r="AA94"/>
      <c s="75" r="AB94"/>
      <c s="17" r="AC94"/>
      <c s="17" r="AD94"/>
      <c s="17" r="AE94"/>
      <c s="17" r="AF94"/>
      <c s="17" r="AG94"/>
      <c s="94" r="AH94">
        <f>((AC94*0.6637)+AE94)+AG94</f>
        <v>0</v>
      </c>
      <c s="94" r="AI94">
        <f>(AA94*2.3)+(AD94)</f>
        <v>0</v>
      </c>
      <c s="133" r="AJ94"/>
      <c s="30" r="AK94"/>
      <c s="30" r="AL94"/>
      <c s="30" r="AM94"/>
      <c s="30" r="AN94"/>
      <c s="30" r="AO94"/>
    </row>
    <row r="95">
      <c t="str" s="64" r="A95">
        <f>(((B95&amp;" ")&amp;C95)&amp;" ")&amp;E95</f>
        <v>Platehelm of the Great Wyrm Naxx25 Sapphiron 796.6636</v>
      </c>
      <c t="s" s="112" r="B95">
        <v>219</v>
      </c>
      <c t="s" s="101" r="C95">
        <v>220</v>
      </c>
      <c t="s" s="101" r="D95">
        <v>221</v>
      </c>
      <c s="81" r="E95">
        <f>(F95+G95)+H95</f>
        <v>796.6636</v>
      </c>
      <c s="121" r="F95">
        <f>((((((J95*0.1)+(O95*1.25))+R95)+S95)+V95)+(X95*0.5))+(AF95*0.2)</f>
        <v>351.7</v>
      </c>
      <c s="121" r="G95">
        <f>+((K95*1.06)*1.06)</f>
        <v>169.6636</v>
      </c>
      <c s="121" r="H95">
        <f>((((AB95)+(0.3*K95))+AG95)+(AF95*0.6))+AI95</f>
        <v>275.3</v>
      </c>
      <c s="98" r="I95">
        <f>((((0.05*O95)+(0.053*V95))+(0.04*AC95))+(0.042*S95))/100.0</f>
        <v>0.04414</v>
      </c>
      <c s="89" r="J95">
        <v>1867</v>
      </c>
      <c s="89" r="K95">
        <f>L95+M95</f>
        <v>151</v>
      </c>
      <c s="89" r="L95">
        <v>151</v>
      </c>
      <c s="89" r="M95"/>
      <c s="89" r="N95"/>
      <c s="89" r="O95">
        <f>P95+Q95</f>
        <v>48</v>
      </c>
      <c s="89" r="P95">
        <v>48</v>
      </c>
      <c s="89" r="Q95"/>
      <c s="89" r="R95">
        <v>67</v>
      </c>
      <c s="89" r="S95">
        <f>T95+U95</f>
        <v>0</v>
      </c>
      <c s="89" r="T95"/>
      <c s="89" r="U95"/>
      <c s="89" r="V95">
        <v>38</v>
      </c>
      <c s="89" r="W95"/>
      <c s="89" r="X95"/>
      <c s="89" r="Y95"/>
      <c s="89" r="Z95"/>
      <c s="89" r="AA95">
        <v>100</v>
      </c>
      <c s="89" r="AB95"/>
      <c s="89" r="AC95"/>
      <c s="89" r="AD95"/>
      <c s="89" r="AE95"/>
      <c s="89" r="AF95"/>
      <c s="89" r="AG95"/>
      <c s="94" r="AH95">
        <f>((AC95*0.6637)+AE95)+AG95</f>
        <v>0</v>
      </c>
      <c s="94" r="AI95">
        <f>(AA95*2.3)+(AD95)</f>
        <v>230</v>
      </c>
      <c s="133" r="AJ95"/>
      <c s="30" r="AK95"/>
      <c s="30" r="AL95"/>
      <c s="30" r="AM95"/>
      <c s="30" r="AN95"/>
      <c s="30" r="AO95"/>
    </row>
    <row r="96">
      <c t="str" s="64" r="A96">
        <f>(((B96&amp;" ")&amp;C96)&amp;" ")&amp;E96</f>
        <v>Valorous Redemption Faceguard Naxx25 Kel'thuzad 785.0188</v>
      </c>
      <c t="s" s="112" r="B96">
        <v>222</v>
      </c>
      <c t="s" s="101" r="C96">
        <v>223</v>
      </c>
      <c t="s" s="101" r="D96">
        <v>221</v>
      </c>
      <c s="81" r="E96">
        <f>(F96+G96)+H96</f>
        <v>785.0188</v>
      </c>
      <c s="121" r="F96">
        <f>((((((J96*0.1)+(O96*1.25))+R96)+S96)+V96)+(X96*0.5))+(AF96*0.2)</f>
        <v>315.9</v>
      </c>
      <c s="121" r="G96">
        <f>+((K96*1.06)*1.06)</f>
        <v>205.6188</v>
      </c>
      <c s="121" r="H96">
        <f>((((AB96)+(0.3*K96))+AG96)+(AF96*0.6))+AI96</f>
        <v>263.5</v>
      </c>
      <c s="98" r="I96">
        <f>((((0.05*O96)+(0.053*V96))+(0.04*AC96))+(0.042*S96))/100.0</f>
        <v>0.033</v>
      </c>
      <c s="89" r="J96">
        <v>1867</v>
      </c>
      <c s="89" r="K96">
        <f>L96+M96</f>
        <v>183</v>
      </c>
      <c s="89" r="L96">
        <v>127</v>
      </c>
      <c s="89" r="M96">
        <f>32.0+24.0</f>
        <v>56</v>
      </c>
      <c t="s" s="89" r="N96">
        <v>224</v>
      </c>
      <c s="89" r="O96">
        <f>P96+Q96</f>
        <v>66</v>
      </c>
      <c s="89" r="P96">
        <v>66</v>
      </c>
      <c s="89" r="Q96"/>
      <c s="89" r="R96"/>
      <c s="89" r="S96">
        <f>T96+U96</f>
        <v>0</v>
      </c>
      <c s="89" r="T96"/>
      <c s="89" r="U96"/>
      <c s="89" r="V96"/>
      <c s="89" r="W96"/>
      <c s="89" r="X96">
        <v>77</v>
      </c>
      <c s="89" r="Y96"/>
      <c s="89" r="Z96"/>
      <c s="89" r="AA96">
        <v>80</v>
      </c>
      <c s="89" r="AB96"/>
      <c s="89" r="AC96"/>
      <c s="89" r="AD96"/>
      <c s="89" r="AE96"/>
      <c s="89" r="AF96">
        <v>41</v>
      </c>
      <c s="89" r="AG96"/>
      <c s="94" r="AH96">
        <f>((AC96*0.6637)+AE96)+AG96</f>
        <v>0</v>
      </c>
      <c s="94" r="AI96">
        <f>(AA96*2.3)+(AD96)</f>
        <v>184</v>
      </c>
      <c s="133" r="AJ96"/>
      <c s="30" r="AK96"/>
      <c s="30" r="AL96"/>
      <c s="30" r="AM96"/>
      <c s="30" r="AN96"/>
      <c s="30" r="AO96"/>
    </row>
    <row r="97">
      <c t="str" s="64" r="A97">
        <f>(((B97&amp;" ")&amp;C97)&amp;" ")&amp;E97</f>
        <v>Helm of Vital Protection   753.662</v>
      </c>
      <c t="s" s="112" r="B97">
        <v>225</v>
      </c>
      <c t="s" s="101" r="C97">
        <v>142</v>
      </c>
      <c t="s" s="101" r="D97">
        <v>221</v>
      </c>
      <c s="81" r="E97">
        <f>(F97+G97)+H97</f>
        <v>753.662</v>
      </c>
      <c s="121" r="F97">
        <f>((((((J97*0.1)+(O97*1.25))+R97)+S97)+V97)+(X97*0.5))+(AF97*0.2)</f>
        <v>333.65</v>
      </c>
      <c s="121" r="G97">
        <f>+((K97*1.06)*1.06)</f>
        <v>191.012</v>
      </c>
      <c s="121" r="H97">
        <f>((((AB97)+(0.3*K97))+AG97)+(AF97*0.6))+AI97</f>
        <v>229</v>
      </c>
      <c s="98" r="I97">
        <f>((((0.05*O97)+(0.053*V97))+(0.04*AC97))+(0.042*S97))/100.0</f>
        <v>0.05702</v>
      </c>
      <c s="89" r="J97">
        <v>1867</v>
      </c>
      <c s="89" r="K97">
        <f>L97+M97</f>
        <v>170</v>
      </c>
      <c s="89" r="L97">
        <v>126</v>
      </c>
      <c s="89" r="M97">
        <f>32.0+12.0</f>
        <v>44</v>
      </c>
      <c t="s" s="89" r="N97">
        <v>226</v>
      </c>
      <c s="89" r="O97">
        <f>P97+Q97</f>
        <v>67</v>
      </c>
      <c s="89" r="P97">
        <v>59</v>
      </c>
      <c s="89" r="Q97">
        <v>8</v>
      </c>
      <c s="89" r="R97"/>
      <c s="89" r="S97">
        <f>T97+U97</f>
        <v>56</v>
      </c>
      <c s="89" r="T97">
        <v>56</v>
      </c>
      <c s="89" r="U97"/>
      <c s="89" r="V97"/>
      <c s="89" r="W97"/>
      <c s="89" r="X97"/>
      <c s="89" r="Y97"/>
      <c s="89" r="Z97"/>
      <c s="89" r="AA97">
        <v>68</v>
      </c>
      <c s="89" r="AB97"/>
      <c s="89" r="AC97"/>
      <c s="89" r="AD97"/>
      <c s="89" r="AE97"/>
      <c s="89" r="AF97">
        <v>36</v>
      </c>
      <c s="89" r="AG97"/>
      <c s="94" r="AH97">
        <f>((AC97*0.6637)+AE97)+AG97</f>
        <v>0</v>
      </c>
      <c s="94" r="AI97">
        <f>(AA97*2.3)+(AD97)</f>
        <v>156.4</v>
      </c>
      <c s="133" r="AJ97"/>
      <c s="30" r="AK97"/>
      <c s="30" r="AL97"/>
      <c s="30" r="AM97"/>
      <c s="30" r="AN97"/>
      <c s="30" r="AO97"/>
    </row>
    <row r="98">
      <c t="str" s="64" r="A98">
        <f>(((B98&amp;" ")&amp;C98)&amp;" ")&amp;E98</f>
        <v>Thane's Tainted Greathelm 4 Horse Naxx 10 723.658</v>
      </c>
      <c t="s" s="51" r="B98">
        <v>227</v>
      </c>
      <c t="s" s="27" r="C98">
        <v>228</v>
      </c>
      <c t="s" s="27" r="D98">
        <v>221</v>
      </c>
      <c s="81" r="E98">
        <f>(F98+G98)+H98</f>
        <v>723.658</v>
      </c>
      <c s="121" r="F98">
        <f>((((((J98*0.1)+(O98*1.25))+R98)+S98)+V98)+(X98*0.5))+(AF98*0.2)</f>
        <v>335.1</v>
      </c>
      <c s="121" r="G98">
        <f>+((K98*1.06)*1.06)</f>
        <v>174.158</v>
      </c>
      <c s="121" r="H98">
        <f>((((AB98)+(0.3*K98))+AG98)+(AF98*0.6))+AI98</f>
        <v>214.4</v>
      </c>
      <c s="98" r="I98">
        <f>((((0.05*O98)+(0.053*V98))+(0.04*AC98))+(0.042*S98))/100.0</f>
        <v>0.06715</v>
      </c>
      <c s="89" r="J98">
        <v>1821</v>
      </c>
      <c s="89" r="K98">
        <f>L98+M98</f>
        <v>155</v>
      </c>
      <c s="89" r="L98">
        <v>111</v>
      </c>
      <c s="89" r="M98">
        <f>32.0+12.0</f>
        <v>44</v>
      </c>
      <c t="s" s="89" r="N98">
        <v>229</v>
      </c>
      <c s="89" r="O98">
        <f>P98+Q98</f>
        <v>56</v>
      </c>
      <c s="89" r="P98">
        <v>40</v>
      </c>
      <c s="89" r="Q98">
        <f>8.0+8.0</f>
        <v>16</v>
      </c>
      <c s="89" r="R98"/>
      <c s="89" r="S98">
        <f>T98+U98</f>
        <v>44</v>
      </c>
      <c s="89" r="T98">
        <v>44</v>
      </c>
      <c s="89" r="U98"/>
      <c s="89" r="V98">
        <v>39</v>
      </c>
      <c s="89" r="W98"/>
      <c s="89" r="X98"/>
      <c s="89" r="Y98"/>
      <c s="89" r="Z98"/>
      <c s="89" r="AA98">
        <v>73</v>
      </c>
      <c s="89" r="AB98"/>
      <c s="89" r="AC98"/>
      <c s="89" r="AD98"/>
      <c s="89" r="AE98"/>
      <c s="89" r="AF98"/>
      <c s="89" r="AG98"/>
      <c s="94" r="AH98">
        <f>((AC98*0.6637)+AE98)+AG98</f>
        <v>0</v>
      </c>
      <c s="94" r="AI98">
        <f>(AA98*2.3)+(AD98)</f>
        <v>167.9</v>
      </c>
      <c s="133" r="AJ98"/>
      <c s="30" r="AK98"/>
      <c s="30" r="AL98"/>
      <c s="30" r="AM98"/>
      <c s="30" r="AN98"/>
      <c s="30" r="AO98"/>
    </row>
    <row r="99">
      <c t="str" s="64" r="A99">
        <f>(((B99&amp;" ")&amp;C99)&amp;" ")&amp;E99</f>
        <v>Tempered Titansteell Helm (sta/sta) BoE Crafted 700.2447999999999</v>
      </c>
      <c t="s" s="51" r="B99">
        <v>230</v>
      </c>
      <c t="s" s="27" r="C99">
        <v>231</v>
      </c>
      <c t="s" s="27" r="D99">
        <v>221</v>
      </c>
      <c s="81" r="E99">
        <f>(F99+G99)+H99</f>
        <v>700.2448</v>
      </c>
      <c s="121" r="F99">
        <f>((((((J99*0.1)+(O99*1.25))+R99)+S99)+V99)+(X99*0.5))+(AF99*0.2)</f>
        <v>249.6</v>
      </c>
      <c s="121" r="G99">
        <f>+((K99*1.06)*1.06)</f>
        <v>244.9448</v>
      </c>
      <c s="121" r="H99">
        <f>((((AB99)+(0.3*K99))+AG99)+(AF99*0.6))+AI99</f>
        <v>205.7</v>
      </c>
      <c s="98" r="I99">
        <f>((((0.05*O99)+(0.053*V99))+(0.04*AC99))+(0.042*S99))/100.0</f>
        <v>0.027</v>
      </c>
      <c s="89" r="J99">
        <v>1821</v>
      </c>
      <c s="89" r="K99">
        <f>L99+M99</f>
        <v>218</v>
      </c>
      <c s="89" r="L99">
        <v>162</v>
      </c>
      <c s="89" r="M99">
        <f>32.0+24.0</f>
        <v>56</v>
      </c>
      <c t="s" s="89" r="N99">
        <v>232</v>
      </c>
      <c s="89" r="O99">
        <f>P99+Q99</f>
        <v>54</v>
      </c>
      <c s="89" r="P99">
        <v>46</v>
      </c>
      <c s="89" r="Q99">
        <v>8</v>
      </c>
      <c s="89" r="R99"/>
      <c s="89" r="S99">
        <f>T99+U99</f>
        <v>0</v>
      </c>
      <c s="89" r="T99"/>
      <c s="89" r="U99"/>
      <c s="89" r="V99"/>
      <c s="89" r="W99"/>
      <c s="89" r="X99"/>
      <c s="89" r="Y99"/>
      <c s="89" r="Z99"/>
      <c s="89" r="AA99">
        <v>61</v>
      </c>
      <c s="89" r="AB99"/>
      <c s="89" r="AC99"/>
      <c s="89" r="AD99"/>
      <c s="89" r="AE99"/>
      <c s="89" r="AF99"/>
      <c s="89" r="AG99"/>
      <c s="94" r="AH99">
        <f>((AC99*0.6637)+AE99)+AG99</f>
        <v>0</v>
      </c>
      <c s="94" r="AI99">
        <f>(AA99*2.3)+(AD99)</f>
        <v>140.3</v>
      </c>
      <c s="133" r="AJ99"/>
      <c s="30" r="AK99"/>
      <c s="30" r="AL99"/>
      <c s="30" r="AM99"/>
      <c s="30" r="AN99"/>
      <c s="30" r="AO99"/>
    </row>
    <row r="100">
      <c t="str" s="64" r="A100">
        <f>(((B100&amp;" ")&amp;C100)&amp;" ")&amp;E100</f>
        <v>Heroes Redemption Faceguard KT Naxx 10 700.1912</v>
      </c>
      <c t="s" s="51" r="B100">
        <v>233</v>
      </c>
      <c t="s" s="27" r="C100">
        <v>234</v>
      </c>
      <c t="s" s="27" r="D100">
        <v>221</v>
      </c>
      <c s="81" r="E100">
        <f>(F100+G100)+H100</f>
        <v>700.1912</v>
      </c>
      <c s="121" r="F100">
        <f>((((((J100*0.1)+(O100*1.25))+R100)+S100)+V100)+(X100*0.5))+(AF100*0.2)</f>
        <v>278.85</v>
      </c>
      <c s="121" r="G100">
        <f>+((K100*1.06)*1.06)</f>
        <v>187.6412</v>
      </c>
      <c s="121" r="H100">
        <f>((((AB100)+(0.3*K100))+AG100)+(AF100*0.6))+AI100</f>
        <v>233.7</v>
      </c>
      <c s="98" r="I100">
        <f>((((0.05*O100)+(0.053*V100))+(0.04*AC100))+(0.042*S100))/100.0</f>
        <v>0.0215</v>
      </c>
      <c s="89" r="J100">
        <v>1821</v>
      </c>
      <c s="89" r="K100">
        <f>L100+M100</f>
        <v>167</v>
      </c>
      <c s="89" r="L100">
        <v>111</v>
      </c>
      <c s="89" r="M100">
        <f>32.0+24.0</f>
        <v>56</v>
      </c>
      <c t="s" s="89" r="N100">
        <v>235</v>
      </c>
      <c s="89" r="O100">
        <f>P100+Q100</f>
        <v>43</v>
      </c>
      <c s="89" r="P100">
        <v>43</v>
      </c>
      <c s="89" r="Q100"/>
      <c s="89" r="R100"/>
      <c s="89" r="S100">
        <f>T100+U100</f>
        <v>0</v>
      </c>
      <c s="89" r="T100"/>
      <c s="89" r="U100"/>
      <c s="89" r="V100"/>
      <c s="89" r="W100"/>
      <c s="89" r="X100">
        <v>74</v>
      </c>
      <c s="89" r="Y100"/>
      <c s="89" r="Z100"/>
      <c s="89" r="AA100">
        <v>72</v>
      </c>
      <c s="89" r="AB100"/>
      <c s="89" r="AC100"/>
      <c s="89" r="AD100"/>
      <c s="89" r="AE100"/>
      <c s="89" r="AF100">
        <v>30</v>
      </c>
      <c s="89" r="AG100"/>
      <c s="94" r="AH100">
        <f>((AC100*0.6637)+AE100)+AG100</f>
        <v>0</v>
      </c>
      <c s="94" r="AI100">
        <f>(AA100*2.3)+(AD100)</f>
        <v>165.6</v>
      </c>
      <c s="133" r="AJ100"/>
      <c s="30" r="AK100"/>
      <c s="30" r="AL100"/>
      <c s="30" r="AM100"/>
      <c s="30" r="AN100"/>
      <c s="30" r="AO100"/>
    </row>
    <row r="101">
      <c t="str" s="64" r="A101">
        <f>(((B101&amp;" ")&amp;C101)&amp;" ")&amp;E101</f>
        <v>Armored Titanium Goggles (sta.sta) BoE Crafted 690.058</v>
      </c>
      <c t="s" s="51" r="B101">
        <v>236</v>
      </c>
      <c t="s" s="27" r="C101">
        <v>231</v>
      </c>
      <c t="s" s="27" r="D101">
        <v>221</v>
      </c>
      <c s="81" r="E101">
        <f>(F101+G101)+H101</f>
        <v>690.058</v>
      </c>
      <c s="121" r="F101">
        <f>((((((J101*0.1)+(O101*1.25))+R101)+S101)+V101)+(X101*0.5))+(AF101*0.2)</f>
        <v>275.7</v>
      </c>
      <c s="121" r="G101">
        <f>+((K101*1.06)*1.06)</f>
        <v>174.158</v>
      </c>
      <c s="121" r="H101">
        <f>((((AB101)+(0.3*K101))+AG101)+(AF101*0.6))+AI101</f>
        <v>240.2</v>
      </c>
      <c s="98" r="I101">
        <f>((((0.05*O101)+(0.053*V101))+(0.04*AC101))+(0.042*S101))/100.0</f>
        <v>0.034</v>
      </c>
      <c s="89" r="J101">
        <v>1821</v>
      </c>
      <c s="89" r="K101">
        <f>L101+M101</f>
        <v>155</v>
      </c>
      <c s="89" r="L101">
        <f>111.0</f>
        <v>111</v>
      </c>
      <c s="89" r="M101">
        <f>32.0+12.0</f>
        <v>44</v>
      </c>
      <c t="s" s="89" r="N101">
        <v>237</v>
      </c>
      <c s="89" r="O101">
        <f>P101+Q101</f>
        <v>68</v>
      </c>
      <c s="89" r="P101">
        <v>60</v>
      </c>
      <c s="89" r="Q101">
        <v>8</v>
      </c>
      <c s="89" r="R101"/>
      <c s="89" r="S101">
        <f>T101+U101</f>
        <v>0</v>
      </c>
      <c s="89" r="T101"/>
      <c s="89" r="U101"/>
      <c s="89" r="V101"/>
      <c s="89" r="W101"/>
      <c s="89" r="X101"/>
      <c s="89" r="Y101"/>
      <c s="89" r="Z101"/>
      <c s="89" r="AA101">
        <v>73</v>
      </c>
      <c s="89" r="AB101"/>
      <c s="89" r="AC101"/>
      <c s="89" r="AD101"/>
      <c s="89" r="AE101"/>
      <c s="89" r="AF101">
        <v>43</v>
      </c>
      <c s="89" r="AG101"/>
      <c s="94" r="AH101">
        <f>((AC101*0.6637)+AE101)+AG101</f>
        <v>0</v>
      </c>
      <c s="94" r="AI101">
        <f>(AA101*2.3)+(AD101)</f>
        <v>167.9</v>
      </c>
      <c s="133" r="AJ101"/>
      <c s="30" r="AK101"/>
      <c s="30" r="AL101"/>
      <c s="30" r="AM101"/>
      <c s="30" r="AN101"/>
      <c s="30" r="AO101"/>
    </row>
    <row r="102">
      <c t="str" s="64" r="A102">
        <f>(((B102&amp;" ")&amp;C102)&amp;" ")&amp;E102</f>
        <v>Arcane-Shielded Helm The Nexus (Heroic) 635.4164</v>
      </c>
      <c t="s" s="63" r="B102">
        <v>238</v>
      </c>
      <c t="s" s="27" r="C102">
        <v>239</v>
      </c>
      <c t="s" s="27" r="D102">
        <v>221</v>
      </c>
      <c s="81" r="E102">
        <f>(F102+G102)+H102</f>
        <v>635.4164</v>
      </c>
      <c s="121" r="F102">
        <f>((((((J102*0.1)+(O102*1.25))+R102)+S102)+V102)+(X102*0.5))+(AF102*0.2)</f>
        <v>283</v>
      </c>
      <c s="121" r="G102">
        <f>+((K102*1.06)*1.06)</f>
        <v>167.4164</v>
      </c>
      <c s="121" r="H102">
        <f>((((AB102)+(0.3*K102))+AG102)+(AF102*0.6))+AI102</f>
        <v>185</v>
      </c>
      <c s="98" r="I102">
        <f>((((0.05*O102)+(0.053*V102))+(0.04*AC102))+(0.042*S102))/100.0</f>
        <v>0.04956</v>
      </c>
      <c s="89" r="J102">
        <v>1760</v>
      </c>
      <c s="89" r="K102">
        <f>L102+M102</f>
        <v>149</v>
      </c>
      <c s="89" r="L102">
        <v>93</v>
      </c>
      <c s="89" r="M102">
        <f>32.0+24.0</f>
        <v>56</v>
      </c>
      <c t="s" s="89" r="N102">
        <v>240</v>
      </c>
      <c s="89" r="O102">
        <f>P102+Q102</f>
        <v>44</v>
      </c>
      <c s="89" r="P102">
        <v>36</v>
      </c>
      <c s="89" r="Q102">
        <v>8</v>
      </c>
      <c s="89" r="R102"/>
      <c s="89" r="S102">
        <f>T102+U102</f>
        <v>0</v>
      </c>
      <c s="89" r="T102"/>
      <c s="89" r="U102"/>
      <c s="89" r="V102">
        <v>52</v>
      </c>
      <c s="89" r="W102"/>
      <c s="89" r="X102"/>
      <c s="89" r="Y102"/>
      <c s="89" r="Z102"/>
      <c s="89" r="AA102">
        <v>61</v>
      </c>
      <c s="89" r="AB102"/>
      <c s="89" r="AC102"/>
      <c s="89" r="AD102"/>
      <c s="89" r="AE102"/>
      <c s="89" r="AF102"/>
      <c s="89" r="AG102"/>
      <c s="94" r="AH102">
        <f>((AC102*0.6637)+AE102)+AG102</f>
        <v>0</v>
      </c>
      <c s="94" r="AI102">
        <f>(AA102*2.3)+(AD102)</f>
        <v>140.3</v>
      </c>
      <c s="133" r="AJ102"/>
      <c s="30" r="AK102"/>
      <c s="30" r="AL102"/>
      <c s="30" r="AM102"/>
      <c s="30" r="AN102"/>
      <c s="30" r="AO102"/>
    </row>
    <row r="103">
      <c t="str" s="64" r="A103">
        <f>(((B103&amp;" ")&amp;C103)&amp;" ")&amp;E103</f>
        <v>Ground Tremor Helm ? 619.7664</v>
      </c>
      <c t="s" s="63" r="B103">
        <v>241</v>
      </c>
      <c t="s" s="27" r="C103">
        <v>242</v>
      </c>
      <c t="s" s="27" r="D103">
        <v>221</v>
      </c>
      <c s="81" r="E103">
        <f>(F103+G103)+H103</f>
        <v>619.7664</v>
      </c>
      <c s="121" r="F103">
        <f>((((((J103*0.1)+(O103*1.25))+R103)+S103)+V103)+(X103*0.5))+(AF103*0.2)</f>
        <v>260.25</v>
      </c>
      <c s="121" r="G103">
        <f>+((K103*1.06)*1.06)</f>
        <v>167.4164</v>
      </c>
      <c s="121" r="H103">
        <f>((((AB103)+(0.3*K103))+AG103)+(AF103*0.6))+AI103</f>
        <v>192.1</v>
      </c>
      <c s="98" r="I103">
        <f>((((0.05*O103)+(0.053*V103))+(0.04*AC103))+(0.042*S103))/100.0</f>
        <v>0.03386</v>
      </c>
      <c s="89" r="J103">
        <v>1760</v>
      </c>
      <c s="89" r="K103">
        <f>L103+M103</f>
        <v>149</v>
      </c>
      <c s="89" r="L103">
        <v>93</v>
      </c>
      <c s="89" r="M103">
        <f>(32.0+12.0)+12.0</f>
        <v>56</v>
      </c>
      <c t="s" s="89" r="N103">
        <v>243</v>
      </c>
      <c s="89" r="O103">
        <f>P103+Q103</f>
        <v>61</v>
      </c>
      <c s="89" r="P103">
        <v>61</v>
      </c>
      <c s="89" r="Q103"/>
      <c s="89" r="R103"/>
      <c s="89" r="S103">
        <v>8</v>
      </c>
      <c s="89" r="T103"/>
      <c s="89" r="U103"/>
      <c s="89" r="V103"/>
      <c s="89" r="W103"/>
      <c s="89" r="X103"/>
      <c s="89" r="Y103"/>
      <c s="89" r="Z103"/>
      <c s="89" r="AA103">
        <v>48</v>
      </c>
      <c s="89" r="AB103"/>
      <c s="89" r="AC103"/>
      <c s="89" r="AD103"/>
      <c s="89" r="AE103"/>
      <c s="89" r="AF103"/>
      <c s="89" r="AG103">
        <v>37</v>
      </c>
      <c s="94" r="AH103">
        <f>((AC103*0.6637)+AE103)+AG103</f>
        <v>37</v>
      </c>
      <c s="94" r="AI103">
        <f>(AA103*2.3)+(AD103)</f>
        <v>110.4</v>
      </c>
      <c s="133" r="AJ103"/>
      <c s="30" r="AK103"/>
      <c s="30" r="AL103"/>
      <c s="30" r="AM103"/>
      <c s="30" r="AN103"/>
      <c s="30" r="AO103"/>
    </row>
    <row r="104">
      <c t="str" s="64" r="A104">
        <f>(((B104&amp;" ")&amp;C104)&amp;" ")&amp;E104</f>
        <v>Helm of the Ley-Guardian The Oculus 566.1028</v>
      </c>
      <c t="s" s="63" r="B104">
        <v>244</v>
      </c>
      <c t="s" s="27" r="C104">
        <v>245</v>
      </c>
      <c t="s" s="27" r="D104">
        <v>221</v>
      </c>
      <c s="81" r="E104">
        <f>(F104+G104)+H104</f>
        <v>566.1028</v>
      </c>
      <c s="121" r="F104">
        <f>((((((J104*0.1)+(O104*1.25))+R104)+S104)+V104)+(X104*0.5))+(AF104*0.2)</f>
        <v>263</v>
      </c>
      <c s="121" r="G104">
        <f>+((K104*1.06)*1.06)</f>
        <v>138.2028</v>
      </c>
      <c s="121" r="H104">
        <f>((((AB104)+(0.3*K104))+AG104)+(AF104*0.6))+AI104</f>
        <v>164.9</v>
      </c>
      <c s="98" r="I104">
        <f>((((0.05*O104)+(0.053*V104))+(0.04*AC104))+(0.042*S104))/100.0</f>
        <v>0.03736</v>
      </c>
      <c s="89" r="J104">
        <v>1700</v>
      </c>
      <c s="89" r="K104">
        <f>L104+M104</f>
        <v>123</v>
      </c>
      <c s="89" r="L104">
        <v>105</v>
      </c>
      <c s="89" r="M104">
        <f>12.0+6.0</f>
        <v>18</v>
      </c>
      <c t="s" s="89" r="N104">
        <v>246</v>
      </c>
      <c s="89" r="O104">
        <f>P104+Q104</f>
        <v>68</v>
      </c>
      <c s="89" r="P104">
        <v>68</v>
      </c>
      <c s="89" r="Q104"/>
      <c s="89" r="R104"/>
      <c s="89" r="S104">
        <f>T104+U104</f>
        <v>8</v>
      </c>
      <c s="89" r="T104"/>
      <c s="89" r="U104">
        <v>8</v>
      </c>
      <c s="89" r="V104"/>
      <c s="89" r="W104"/>
      <c s="89" r="X104"/>
      <c s="89" r="Y104"/>
      <c s="89" r="Z104"/>
      <c s="89" r="AA104">
        <v>40</v>
      </c>
      <c s="89" r="AB104"/>
      <c s="89" r="AC104"/>
      <c s="89" r="AD104"/>
      <c s="89" r="AE104"/>
      <c s="89" r="AF104"/>
      <c s="89" r="AG104">
        <v>36</v>
      </c>
      <c s="94" r="AH104">
        <f>((AC104*0.6637)+AE104)+AG104</f>
        <v>36</v>
      </c>
      <c s="94" r="AI104">
        <f>(AA104*2.3)+(AD104)</f>
        <v>92</v>
      </c>
      <c s="133" r="AJ104"/>
      <c s="30" r="AK104"/>
      <c s="30" r="AL104"/>
      <c s="30" r="AM104"/>
      <c s="30" r="AN104"/>
      <c s="30" r="AO104"/>
    </row>
    <row r="105">
      <c t="str" s="64" r="A105">
        <f>(((B105&amp;" ")&amp;C105)&amp;" ")&amp;E105</f>
        <v>Hard Khorium Goggles BoP Crafted 538.8679999999999</v>
      </c>
      <c t="s" s="51" r="B105">
        <v>247</v>
      </c>
      <c t="s" s="27" r="C105">
        <v>248</v>
      </c>
      <c t="s" s="27" r="D105">
        <v>221</v>
      </c>
      <c s="81" r="E105">
        <f>(F105+G105)+H105</f>
        <v>538.868</v>
      </c>
      <c s="121" r="F105">
        <f>((((((J105*0.1)+(O105*1.25))+R105)+S105)+V105)+(X105*0.5))+(AF105*0.2)</f>
        <v>248.6</v>
      </c>
      <c s="121" r="G105">
        <f>+((K105*1.06)*1.06)</f>
        <v>146.068</v>
      </c>
      <c s="121" r="H105">
        <f>((((AB105)+(0.3*K105))+AG105)+(AF105*0.6))+AI105</f>
        <v>144.2</v>
      </c>
      <c s="98" r="I105">
        <f>((((0.05*O105)+(0.053*V105))+(0.04*AC105))+(0.042*S105))/100.0</f>
        <v>0.03955</v>
      </c>
      <c s="89" r="J105">
        <v>1611</v>
      </c>
      <c s="89" r="K105">
        <f>L105+M105</f>
        <v>130</v>
      </c>
      <c s="89" r="L105">
        <f>86.0</f>
        <v>86</v>
      </c>
      <c s="89" r="M105">
        <f>32.0+12.0</f>
        <v>44</v>
      </c>
      <c t="s" s="89" r="N105">
        <v>249</v>
      </c>
      <c s="89" r="O105">
        <f>P105+Q105</f>
        <v>42</v>
      </c>
      <c s="89" r="P105">
        <f>34.0</f>
        <v>34</v>
      </c>
      <c s="89" r="Q105">
        <v>8</v>
      </c>
      <c s="89" r="R105"/>
      <c s="89" r="S105">
        <f>T105+U105</f>
        <v>0</v>
      </c>
      <c s="89" r="T105"/>
      <c s="89" r="U105"/>
      <c s="89" r="V105">
        <v>35</v>
      </c>
      <c s="89" r="W105"/>
      <c s="89" r="X105"/>
      <c s="89" r="Y105"/>
      <c s="89" r="Z105"/>
      <c s="89" r="AA105">
        <v>34</v>
      </c>
      <c s="89" r="AB105"/>
      <c s="89" r="AC105"/>
      <c s="89" r="AD105"/>
      <c s="89" r="AE105"/>
      <c s="89" r="AF105"/>
      <c s="89" r="AG105">
        <v>27</v>
      </c>
      <c s="94" r="AH105">
        <f>((AC105*0.6637)+AE105)+AG105</f>
        <v>27</v>
      </c>
      <c s="94" r="AI105">
        <f>(AA105*2.3)+(AD105)</f>
        <v>78.2</v>
      </c>
      <c s="133" r="AJ105"/>
      <c s="30" r="AK105"/>
      <c s="30" r="AL105"/>
      <c s="30" r="AM105"/>
      <c s="30" r="AN105"/>
      <c s="30" r="AO105"/>
    </row>
    <row r="106">
      <c t="str" s="64" r="A106">
        <f>(((B106&amp;" ")&amp;C106)&amp;" ")&amp;E106</f>
        <v>Faceplate of the Impenetrable (sta, sta/str) Illidan 514.3736</v>
      </c>
      <c t="s" s="14" r="B106">
        <v>250</v>
      </c>
      <c t="s" s="89" r="C106">
        <v>109</v>
      </c>
      <c t="s" s="89" r="D106">
        <v>221</v>
      </c>
      <c s="81" r="E106">
        <f>(F106+G106)+H106</f>
        <v>514.3736</v>
      </c>
      <c s="121" r="F106">
        <f>((((((J106*0.1)+(O106*1.25))+R106)+S106)+V106)+(X106*0.5))+(AF106*0.2)</f>
        <v>275.2</v>
      </c>
      <c s="121" r="G106">
        <f>+((K106*1.06)*1.06)</f>
        <v>141.5736</v>
      </c>
      <c s="121" r="H106">
        <f>((((AB106)+(0.3*K106))+AG106)+(AF106*0.6))+AI106</f>
        <v>97.6</v>
      </c>
      <c s="98" r="I106">
        <f>((((0.05*O106)+(0.053*V106))+(0.04*AC106))+(0.042*S106))/100.0</f>
        <v>0.03161</v>
      </c>
      <c s="89" r="J106">
        <v>1532</v>
      </c>
      <c s="89" r="K106">
        <f>L106+M106</f>
        <v>126</v>
      </c>
      <c s="89" r="L106">
        <f>82.0</f>
        <v>82</v>
      </c>
      <c s="89" r="M106">
        <f>32.0+12.0</f>
        <v>44</v>
      </c>
      <c t="s" s="89" r="N106">
        <v>251</v>
      </c>
      <c s="89" r="O106">
        <f>P106+Q106</f>
        <v>30</v>
      </c>
      <c s="89" r="P106">
        <v>30</v>
      </c>
      <c s="89" r="Q106"/>
      <c s="89" r="R106">
        <v>29</v>
      </c>
      <c s="89" r="S106">
        <f>T106+U106</f>
        <v>8</v>
      </c>
      <c s="89" r="T106"/>
      <c s="89" r="U106">
        <v>8</v>
      </c>
      <c s="89" r="V106">
        <v>25</v>
      </c>
      <c s="89" r="W106"/>
      <c s="89" r="X106">
        <v>45</v>
      </c>
      <c s="89" r="Y106"/>
      <c s="89" r="Z106"/>
      <c s="89" r="AA106">
        <f>26.0</f>
        <v>26</v>
      </c>
      <c s="89" r="AB106"/>
      <c s="89" r="AC106"/>
      <c s="89" r="AD106"/>
      <c s="89" r="AE106"/>
      <c s="89" r="AF106"/>
      <c s="89" r="AG106"/>
      <c s="94" r="AH106">
        <f>((AC106*0.6637)+AE106)+AG106</f>
        <v>0</v>
      </c>
      <c s="94" r="AI106">
        <f>(AA106*2.3)+(AD106)</f>
        <v>59.8</v>
      </c>
      <c s="133" r="AJ106"/>
      <c s="30" r="AK106"/>
      <c s="30" r="AL106"/>
      <c s="30" r="AM106"/>
      <c s="30" r="AN106"/>
      <c s="30" r="AO106"/>
    </row>
    <row r="107">
      <c t="str" s="64" r="A107">
        <f>(((B107&amp;" ")&amp;C107)&amp;" ")&amp;E107</f>
        <v>Lightbringer Faceguard (sta, sta) Archimonde 503.31960000000004</v>
      </c>
      <c t="s" s="51" r="B107">
        <v>252</v>
      </c>
      <c t="s" s="27" r="C107">
        <v>253</v>
      </c>
      <c t="s" s="27" r="D107">
        <v>221</v>
      </c>
      <c s="81" r="E107">
        <f>(F107+G107)+H107</f>
        <v>503.3196</v>
      </c>
      <c s="121" r="F107">
        <f>((((((J107*0.1)+(O107*1.25))+R107)+S107)+V107)+(X107*0.5))+(AF107*0.2)</f>
        <v>230.3</v>
      </c>
      <c s="121" r="G107">
        <f>+((K107*1.06)*1.06)</f>
        <v>124.7196</v>
      </c>
      <c s="121" r="H107">
        <f>((((AB107)+(0.3*K107))+AG107)+(AF107*0.6))+AI107</f>
        <v>148.3</v>
      </c>
      <c s="98" r="I107">
        <f>((((0.05*O107)+(0.053*V107))+(0.04*AC107))+(0.042*S107))/100.0</f>
        <v>0.03761</v>
      </c>
      <c s="89" r="J107">
        <v>1483</v>
      </c>
      <c s="89" r="K107">
        <f>L107+M107</f>
        <v>111</v>
      </c>
      <c s="89" r="L107">
        <f>67.0</f>
        <v>67</v>
      </c>
      <c s="89" r="M107">
        <f>32.0+12.0</f>
        <v>44</v>
      </c>
      <c t="s" s="89" r="N107">
        <v>254</v>
      </c>
      <c s="89" r="O107">
        <f>P107+Q107</f>
        <v>36</v>
      </c>
      <c s="89" r="P107">
        <v>28</v>
      </c>
      <c s="89" r="Q107">
        <v>8</v>
      </c>
      <c s="89" r="R107"/>
      <c s="89" r="S107">
        <f>T107+U107</f>
        <v>0</v>
      </c>
      <c s="89" r="T107"/>
      <c s="89" r="U107"/>
      <c s="89" r="V107">
        <v>37</v>
      </c>
      <c s="89" r="W107"/>
      <c s="89" r="X107"/>
      <c s="89" r="Y107"/>
      <c s="89" r="Z107"/>
      <c s="89" r="AA107">
        <v>50</v>
      </c>
      <c s="89" r="AB107"/>
      <c s="89" r="AC107"/>
      <c s="89" r="AD107"/>
      <c s="89" r="AE107"/>
      <c s="89" r="AF107"/>
      <c s="89" r="AG107"/>
      <c s="94" r="AH107">
        <f>((AC107*0.6637)+AE107)+AG107</f>
        <v>0</v>
      </c>
      <c s="94" r="AI107">
        <f>(AA107*2.3)+(AD107)</f>
        <v>115</v>
      </c>
      <c s="133" r="AJ107"/>
      <c s="30" r="AK107"/>
      <c s="30" r="AL107"/>
      <c s="30" r="AM107"/>
      <c s="30" r="AN107"/>
      <c s="30" r="AO107"/>
    </row>
    <row r="108">
      <c t="str" s="64" r="A108">
        <f>(((B108&amp;" ")&amp;C108)&amp;" ")&amp;E108</f>
        <v>Crusader's Resolution Quest - Icecrown 494.9476</v>
      </c>
      <c t="s" s="63" r="B108">
        <v>255</v>
      </c>
      <c t="s" s="27" r="C108">
        <v>256</v>
      </c>
      <c t="s" s="27" r="D108">
        <v>221</v>
      </c>
      <c s="81" r="E108">
        <f>(F108+G108)+H108</f>
        <v>494.9476</v>
      </c>
      <c s="121" r="F108">
        <f>((((((J108*0.1)+(O108*1.25))+R108)+S108)+V108)+(X108*0.5))+(AF108*0.2)</f>
        <v>243.7</v>
      </c>
      <c s="121" r="G108">
        <f>+((K108*1.06)*1.06)</f>
        <v>102.2476</v>
      </c>
      <c s="121" r="H108">
        <f>((((AB108)+(0.3*K108))+AG108)+(AF108*0.6))+AI108</f>
        <v>149</v>
      </c>
      <c s="98" r="I108">
        <f>((((0.05*O108)+(0.053*V108))+(0.04*AC108))+(0.042*S108))/100.0</f>
        <v>0.03</v>
      </c>
      <c s="89" r="J108">
        <v>1611</v>
      </c>
      <c s="89" r="K108">
        <f>L108+M108</f>
        <v>91</v>
      </c>
      <c s="89" r="L108">
        <v>91</v>
      </c>
      <c s="89" r="M108"/>
      <c s="89" r="N108"/>
      <c s="89" r="O108">
        <f>P108+Q108</f>
        <v>60</v>
      </c>
      <c s="89" r="P108">
        <v>60</v>
      </c>
      <c s="89" r="Q108"/>
      <c s="89" r="R108"/>
      <c s="89" r="S108">
        <f>T108+U108</f>
        <v>0</v>
      </c>
      <c s="89" r="T108"/>
      <c s="89" r="U108"/>
      <c s="89" r="V108"/>
      <c s="89" r="W108"/>
      <c s="89" r="X108"/>
      <c s="89" r="Y108"/>
      <c s="89" r="Z108"/>
      <c s="89" r="AA108">
        <v>43</v>
      </c>
      <c s="89" r="AB108"/>
      <c s="89" r="AC108"/>
      <c s="89" r="AD108"/>
      <c s="89" r="AE108"/>
      <c s="89" r="AF108">
        <v>38</v>
      </c>
      <c s="89" r="AG108"/>
      <c s="94" r="AH108">
        <f>((AC108*0.6637)+AE108)+AG108</f>
        <v>0</v>
      </c>
      <c s="94" r="AI108">
        <f>(AA108*2.3)+(AD108)</f>
        <v>98.9</v>
      </c>
      <c s="133" r="AJ108"/>
      <c s="30" r="AK108"/>
      <c s="30" r="AL108"/>
      <c s="30" r="AM108"/>
      <c s="30" r="AN108"/>
      <c s="30" r="AO108"/>
    </row>
    <row r="109">
      <c t="str" s="64" r="A109">
        <f>(((B109&amp;" ")&amp;C109)&amp;" ")&amp;E109</f>
        <v>Battleworn Tuskguard (sta, sta/def, sta/str) Hex Lord 461.4904</v>
      </c>
      <c t="s" s="51" r="B109">
        <v>257</v>
      </c>
      <c t="s" s="27" r="C109">
        <v>258</v>
      </c>
      <c t="s" s="27" r="D109">
        <v>221</v>
      </c>
      <c s="81" r="E109">
        <f>(F109+G109)+H109</f>
        <v>461.4904</v>
      </c>
      <c s="121" r="F109">
        <f>((((((J109*0.1)+(O109*1.25))+R109)+S109)+V109)+(X109*0.5))+(AF109*0.2)</f>
        <v>221</v>
      </c>
      <c s="121" r="G109">
        <f>+((K109*1.06)*1.06)</f>
        <v>128.0904</v>
      </c>
      <c s="121" r="H109">
        <f>((((AB109)+(0.3*K109))+AG109)+(AF109*0.6))+AI109</f>
        <v>112.4</v>
      </c>
      <c s="98" r="I109">
        <f>((((0.05*O109)+(0.053*V109))+(0.04*AC109))+(0.042*S109))/100.0</f>
        <v>0.02736</v>
      </c>
      <c s="89" r="J109">
        <v>1355</v>
      </c>
      <c s="89" r="K109">
        <f>L109+M109</f>
        <v>114</v>
      </c>
      <c s="89" r="L109">
        <v>60</v>
      </c>
      <c s="89" r="M109">
        <f>((24.0+12.0)+12.0)+6.0</f>
        <v>54</v>
      </c>
      <c t="s" s="89" r="N109">
        <v>259</v>
      </c>
      <c s="89" r="O109">
        <f>P109+Q109</f>
        <v>48</v>
      </c>
      <c s="89" r="P109">
        <f>40.0</f>
        <v>40</v>
      </c>
      <c s="89" r="Q109">
        <v>8</v>
      </c>
      <c s="89" r="R109"/>
      <c s="89" r="S109">
        <f>T109+U109</f>
        <v>8</v>
      </c>
      <c s="89" r="T109"/>
      <c s="89" r="U109">
        <v>8</v>
      </c>
      <c s="89" r="V109"/>
      <c s="89" r="W109"/>
      <c s="89" r="X109">
        <v>35</v>
      </c>
      <c s="89" r="Y109"/>
      <c s="89" r="Z109"/>
      <c s="89" r="AA109">
        <f>34.0</f>
        <v>34</v>
      </c>
      <c s="89" r="AB109"/>
      <c s="89" r="AC109"/>
      <c s="89" r="AD109"/>
      <c s="89" r="AE109"/>
      <c s="89" r="AF109"/>
      <c s="89" r="AG109"/>
      <c s="94" r="AH109">
        <f>((AC109*0.6637)+AE109)+AG109</f>
        <v>0</v>
      </c>
      <c s="94" r="AI109">
        <f>(AA109*2.3)+(AD109)</f>
        <v>78.2</v>
      </c>
      <c s="133" r="AJ109"/>
      <c s="30" r="AK109"/>
      <c s="30" r="AL109"/>
      <c s="30" r="AM109"/>
      <c s="30" r="AN109"/>
      <c s="30" r="AO109"/>
    </row>
    <row r="110">
      <c t="str" s="64" r="A110">
        <f>(((B110&amp;" ")&amp;C110)&amp;" ")&amp;E110</f>
        <v>Greathelm of the Titan Protectorate Quest - Sholazar Basin 455.38800000000003</v>
      </c>
      <c t="s" s="63" r="B110">
        <v>260</v>
      </c>
      <c t="s" s="27" r="C110">
        <v>261</v>
      </c>
      <c t="s" s="27" r="D110">
        <v>221</v>
      </c>
      <c s="81" r="E110">
        <f>(F110+G110)+H110</f>
        <v>455.388</v>
      </c>
      <c s="121" r="F110">
        <f>((((((J110*0.1)+(O110*1.25))+R110)+S110)+V110)+(X110*0.5))+(AF110*0.2)</f>
        <v>206.1</v>
      </c>
      <c s="121" r="G110">
        <f>+((K110*1.06)*1.06)</f>
        <v>89.888</v>
      </c>
      <c s="121" r="H110">
        <f>((((AB110)+(0.3*K110))+AG110)+(AF110*0.6))+AI110</f>
        <v>159.4</v>
      </c>
      <c s="98" r="I110">
        <f>((((0.05*O110)+(0.053*V110))+(0.04*AC110))+(0.042*S110))/100.0</f>
        <v>0.02</v>
      </c>
      <c s="89" r="J110">
        <v>1493</v>
      </c>
      <c s="89" r="K110">
        <f>L110+M110</f>
        <v>80</v>
      </c>
      <c s="89" r="L110">
        <v>80</v>
      </c>
      <c s="89" r="M110"/>
      <c s="89" r="N110"/>
      <c s="89" r="O110">
        <f>P110+Q110</f>
        <v>40</v>
      </c>
      <c s="89" r="P110">
        <v>40</v>
      </c>
      <c s="89" r="Q110"/>
      <c s="89" r="R110"/>
      <c s="89" r="S110">
        <f>T110+U110</f>
        <v>0</v>
      </c>
      <c s="89" r="T110"/>
      <c s="89" r="U110"/>
      <c s="89" r="V110"/>
      <c s="89" r="W110"/>
      <c s="89" r="X110"/>
      <c s="89" r="Y110"/>
      <c s="89" r="Z110"/>
      <c s="89" r="AA110">
        <v>50</v>
      </c>
      <c s="89" r="AB110"/>
      <c s="89" r="AC110"/>
      <c s="89" r="AD110"/>
      <c s="89" r="AE110"/>
      <c s="89" r="AF110">
        <v>34</v>
      </c>
      <c s="89" r="AG110"/>
      <c s="94" r="AH110">
        <f>((AC110*0.6637)+AE110)+AG110</f>
        <v>0</v>
      </c>
      <c s="94" r="AI110">
        <f>(AA110*2.3)+(AD110)</f>
        <v>115</v>
      </c>
      <c s="133" r="AJ110"/>
      <c s="30" r="AK110"/>
      <c s="30" r="AL110"/>
      <c s="30" r="AM110"/>
      <c s="30" r="AN110"/>
      <c s="30" r="AO110"/>
    </row>
    <row r="111">
      <c t="str" s="64" r="A111">
        <f>(((B111&amp;" ")&amp;C111)&amp;" ")&amp;E111</f>
        <v>Crystalforge Faceguard (sta, sta/str) Vashj 445.57120000000003</v>
      </c>
      <c t="s" s="51" r="B111">
        <v>262</v>
      </c>
      <c t="s" s="27" r="C111">
        <v>263</v>
      </c>
      <c t="s" s="27" r="D111">
        <v>221</v>
      </c>
      <c s="81" r="E111">
        <f>(F111+G111)+H111</f>
        <v>445.5712</v>
      </c>
      <c s="121" r="F111">
        <f>((((((J111*0.1)+(O111*1.25))+R111)+S111)+V111)+(X111*0.5))+(AF111*0.2)</f>
        <v>229.5</v>
      </c>
      <c s="121" r="G111">
        <f>+((K111*1.06)*1.06)</f>
        <v>103.3712</v>
      </c>
      <c s="121" r="H111">
        <f>((((AB111)+(0.3*K111))+AG111)+(AF111*0.6))+AI111</f>
        <v>112.7</v>
      </c>
      <c s="98" r="I111">
        <f>((((0.05*O111)+(0.053*V111))+(0.04*AC111))+(0.042*S111))/100.0</f>
        <v>0.01736</v>
      </c>
      <c s="89" r="J111">
        <v>1355</v>
      </c>
      <c s="89" r="K111">
        <f>L111+M111</f>
        <v>92</v>
      </c>
      <c s="89" r="L111">
        <f>48.0</f>
        <v>48</v>
      </c>
      <c s="89" r="M111">
        <f>32.0+12.0</f>
        <v>44</v>
      </c>
      <c t="s" s="89" r="N111">
        <v>251</v>
      </c>
      <c s="89" r="O111">
        <f>P111+Q111</f>
        <v>28</v>
      </c>
      <c s="89" r="P111">
        <v>28</v>
      </c>
      <c s="89" r="Q111"/>
      <c s="89" r="R111">
        <v>31</v>
      </c>
      <c s="89" r="S111">
        <f>T111+U111</f>
        <v>8</v>
      </c>
      <c s="89" r="T111"/>
      <c s="89" r="U111">
        <v>8</v>
      </c>
      <c s="89" r="V111"/>
      <c s="89" r="W111"/>
      <c s="89" r="X111">
        <v>40</v>
      </c>
      <c s="89" r="Y111"/>
      <c s="89" r="Z111"/>
      <c s="89" r="AA111">
        <v>37</v>
      </c>
      <c s="89" r="AB111"/>
      <c s="89" r="AC111"/>
      <c s="89" r="AD111"/>
      <c s="89" r="AE111"/>
      <c s="89" r="AF111"/>
      <c s="89" r="AG111"/>
      <c s="94" r="AH111">
        <f>((AC111*0.6637)+AE111)+AG111</f>
        <v>0</v>
      </c>
      <c s="94" r="AI111">
        <f>(AA111*2.3)+(AD111)</f>
        <v>85.1</v>
      </c>
      <c s="133" r="AJ111"/>
      <c s="30" r="AK111"/>
      <c s="30" r="AL111"/>
      <c s="30" r="AM111"/>
      <c s="30" r="AN111"/>
      <c s="30" r="AO111"/>
    </row>
    <row r="112">
      <c t="str" s="64" r="A112">
        <f>(((B112&amp;" ")&amp;C112)&amp;" ")&amp;E112</f>
        <v>Tempered Saronite Helm Crafted 441.6772</v>
      </c>
      <c t="s" s="115" r="B112">
        <v>264</v>
      </c>
      <c t="s" s="89" r="C112">
        <v>73</v>
      </c>
      <c t="s" s="89" r="D112">
        <v>221</v>
      </c>
      <c s="81" r="E112">
        <f>(F112+G112)+H112</f>
        <v>441.6772</v>
      </c>
      <c s="121" r="F112">
        <f>((((((J112*0.1)+(O112*1.25))+R112)+S112)+V112)+(X112*0.5))+(AF112*0.2)</f>
        <v>261.85</v>
      </c>
      <c s="121" r="G112">
        <f>+((K112*1.06)*1.06)</f>
        <v>58.4272</v>
      </c>
      <c s="121" r="H112">
        <f>((((AB112)+(0.3*K112))+AG112)+(AF112*0.6))+AI112</f>
        <v>121.4</v>
      </c>
      <c s="98" r="I112">
        <f>((((0.05*O112)+(0.053*V112))+(0.04*AC112))+(0.042*S112))/100.0</f>
        <v>0.0415</v>
      </c>
      <c s="89" r="J112">
        <v>1581</v>
      </c>
      <c s="89" r="K112">
        <f>L112+M112</f>
        <v>52</v>
      </c>
      <c s="89" r="L112">
        <v>52</v>
      </c>
      <c s="89" r="M112"/>
      <c s="89" r="N112"/>
      <c s="89" r="O112">
        <f>P112+Q112</f>
        <v>83</v>
      </c>
      <c s="89" r="P112">
        <v>83</v>
      </c>
      <c s="89" r="Q112"/>
      <c s="89" r="R112"/>
      <c s="89" r="S112">
        <f>T112+U112</f>
        <v>0</v>
      </c>
      <c s="89" r="T112"/>
      <c s="89" r="U112"/>
      <c s="89" r="V112"/>
      <c s="89" r="W112"/>
      <c s="89" r="X112"/>
      <c s="89" r="Y112"/>
      <c s="89" r="Z112"/>
      <c s="89" r="AA112">
        <v>46</v>
      </c>
      <c s="89" r="AB112"/>
      <c s="89" r="AC112"/>
      <c s="89" r="AD112"/>
      <c s="89" r="AE112"/>
      <c s="89" r="AF112"/>
      <c s="89" r="AG112"/>
      <c s="94" r="AH112">
        <f>((AC112*0.6637)+AE112)+AG112</f>
        <v>0</v>
      </c>
      <c s="94" r="AI112">
        <f>(AA112*2.3)+(AD112)</f>
        <v>105.8</v>
      </c>
      <c s="133" r="AJ112"/>
      <c s="30" r="AK112"/>
      <c s="30" r="AL112"/>
      <c s="30" r="AM112"/>
      <c s="30" r="AN112"/>
      <c s="30" r="AO112"/>
    </row>
    <row r="113">
      <c t="str" s="64" r="A113">
        <f>(((B113&amp;" ")&amp;C113)&amp;" ")&amp;E113</f>
        <v>Tankatronic Goggles (sta, sta/def) Crafted 423.66960000000006</v>
      </c>
      <c t="s" s="51" r="B113">
        <v>265</v>
      </c>
      <c t="s" s="27" r="C113">
        <v>73</v>
      </c>
      <c t="s" s="27" r="D113">
        <v>221</v>
      </c>
      <c s="81" r="E113">
        <f>(F113+G113)+H113</f>
        <v>423.6696</v>
      </c>
      <c s="121" r="F113">
        <f>((((((J113*0.1)+(O113*1.25))+R113)+S113)+V113)+(X113*0.5))+(AF113*0.2)</f>
        <v>192.85</v>
      </c>
      <c s="121" r="G113">
        <f>+((K113*1.06)*1.06)</f>
        <v>124.7196</v>
      </c>
      <c s="121" r="H113">
        <f>((((AB113)+(0.3*K113))+AG113)+(AF113*0.6))+AI113</f>
        <v>106.1</v>
      </c>
      <c s="98" r="I113">
        <f>((((0.05*O113)+(0.053*V113))+(0.04*AC113))+(0.042*S113))/100.0</f>
        <v>0.02816</v>
      </c>
      <c s="89" r="J113">
        <v>1296</v>
      </c>
      <c s="89" r="K113">
        <f>L113+M113</f>
        <v>111</v>
      </c>
      <c s="89" r="L113">
        <f>67.0</f>
        <v>67</v>
      </c>
      <c s="89" r="M113">
        <f>32.0+12.0</f>
        <v>44</v>
      </c>
      <c t="s" s="89" r="N113">
        <v>237</v>
      </c>
      <c s="89" r="O113">
        <f>P113+Q113</f>
        <v>33</v>
      </c>
      <c s="89" r="P113">
        <f>25.0</f>
        <v>25</v>
      </c>
      <c s="89" r="Q113">
        <v>8</v>
      </c>
      <c s="89" r="R113"/>
      <c s="89" r="S113">
        <f>T113+U113</f>
        <v>0</v>
      </c>
      <c s="89" r="T113"/>
      <c s="89" r="U113"/>
      <c s="89" r="V113">
        <v>22</v>
      </c>
      <c s="89" r="W113"/>
      <c s="89" r="X113"/>
      <c s="89" r="Y113"/>
      <c s="89" r="Z113"/>
      <c s="89" r="AA113">
        <v>26</v>
      </c>
      <c s="89" r="AB113"/>
      <c s="89" r="AC113"/>
      <c s="89" r="AD113"/>
      <c s="89" r="AE113"/>
      <c s="89" r="AF113"/>
      <c s="89" r="AG113">
        <v>13</v>
      </c>
      <c s="94" r="AH113">
        <f>((AC113*0.6637)+AE113)+AG113</f>
        <v>13</v>
      </c>
      <c s="94" r="AI113">
        <f>(AA113*2.3)+(AD113)</f>
        <v>59.8</v>
      </c>
      <c s="133" r="AJ113"/>
      <c s="30" r="AK113"/>
      <c s="30" r="AL113"/>
      <c s="30" r="AM113"/>
      <c s="30" r="AN113"/>
      <c s="30" r="AO113"/>
    </row>
    <row r="114">
      <c t="str" s="64" r="A114">
        <f>(((B114&amp;" ")&amp;C114)&amp;" ")&amp;E114</f>
        <v>Vengeful Gladiator Scaled Helm (sta/sta) PVP 415.91280000000006</v>
      </c>
      <c t="s" s="51" r="B114">
        <v>266</v>
      </c>
      <c t="s" s="27" r="C114">
        <v>267</v>
      </c>
      <c t="s" s="27" r="D114">
        <v>221</v>
      </c>
      <c s="81" r="E114">
        <f>(F114+G114)+H114</f>
        <v>415.9128</v>
      </c>
      <c s="121" r="F114">
        <f>((((((J114*0.1)+(O114*1.25))+R114)+S114)+V114)+(X114*0.5))+(AF114*0.2)</f>
        <v>156.3</v>
      </c>
      <c s="121" r="G114">
        <f>+((K114*1.06)*1.06)</f>
        <v>110.1128</v>
      </c>
      <c s="121" r="H114">
        <f>((((AB114)+(0.3*K114))+AG114)+(AF114*0.6))+AI114</f>
        <v>149.5</v>
      </c>
      <c s="98" r="I114">
        <f>((((0.05*O114)+(0.053*V114))+(0.04*AC114))+(0.042*S114))/100.0</f>
        <v>0.00336</v>
      </c>
      <c s="89" r="J114">
        <v>1483</v>
      </c>
      <c s="89" r="K114">
        <f>L114+M114</f>
        <v>98</v>
      </c>
      <c s="89" r="L114">
        <f>54.0</f>
        <v>54</v>
      </c>
      <c s="89" r="M114">
        <f>32.0+12.0</f>
        <v>44</v>
      </c>
      <c t="s" s="89" r="N114">
        <v>251</v>
      </c>
      <c s="89" r="O114">
        <f>P114+Q114</f>
        <v>0</v>
      </c>
      <c s="89" r="P114"/>
      <c s="89" r="Q114"/>
      <c s="89" r="R114"/>
      <c s="89" r="S114">
        <f>T114+U114</f>
        <v>8</v>
      </c>
      <c s="89" r="T114"/>
      <c s="89" r="U114">
        <v>8</v>
      </c>
      <c s="89" r="V114"/>
      <c s="89" r="W114">
        <v>36</v>
      </c>
      <c s="89" r="X114"/>
      <c s="89" r="Y114">
        <v>27</v>
      </c>
      <c s="89" r="Z114"/>
      <c s="89" r="AA114">
        <v>47</v>
      </c>
      <c s="89" r="AB114"/>
      <c s="89" r="AC114"/>
      <c s="89" r="AD114"/>
      <c s="89" r="AE114">
        <v>28</v>
      </c>
      <c s="89" r="AF114"/>
      <c s="89" r="AG114">
        <v>12</v>
      </c>
      <c s="94" r="AH114">
        <f>((AC114*0.6637)+AE114)+AG114</f>
        <v>40</v>
      </c>
      <c s="94" r="AI114">
        <f>(AA114*2.3)+(AD114)</f>
        <v>108.1</v>
      </c>
      <c s="133" r="AJ114"/>
      <c s="30" r="AK114"/>
      <c s="30" r="AL114"/>
      <c s="30" r="AM114"/>
      <c s="30" r="AN114"/>
      <c s="30" r="AO114"/>
    </row>
    <row r="115">
      <c t="str" s="64" r="A115">
        <f>(((B115&amp;" ")&amp;C115)&amp;" ")&amp;E115</f>
        <v>Greathelm of the Unyeilding Bull World Drop 415.27</v>
      </c>
      <c t="s" s="63" r="B115">
        <v>268</v>
      </c>
      <c t="s" s="27" r="C115">
        <v>269</v>
      </c>
      <c t="s" s="27" r="D115">
        <v>221</v>
      </c>
      <c s="81" r="E115">
        <f>(F115+G115)+H115</f>
        <v>415.27</v>
      </c>
      <c s="121" r="F115">
        <f>((((((J115*0.1)+(O115*1.25))+R115)+S115)+V115)+(X115*0.5))+(AF115*0.2)</f>
        <v>234.9</v>
      </c>
      <c s="121" r="G115">
        <f>+((K115*1.06)*1.06)</f>
        <v>84.27</v>
      </c>
      <c s="121" r="H115">
        <f>((((AB115)+(0.3*K115))+AG115)+(AF115*0.6))+AI115</f>
        <v>96.1</v>
      </c>
      <c s="98" r="I115">
        <f>((((0.05*O115)+(0.053*V115))+(0.04*AC115))+(0.042*S115))/100.0</f>
        <v>0.03812</v>
      </c>
      <c s="89" r="J115">
        <v>1414</v>
      </c>
      <c s="89" r="K115">
        <f>L115+M115</f>
        <v>75</v>
      </c>
      <c s="89" r="L115">
        <v>75</v>
      </c>
      <c s="89" r="M115"/>
      <c s="89" r="N115"/>
      <c s="89" r="O115">
        <f>P115+Q115</f>
        <v>46</v>
      </c>
      <c s="89" r="P115">
        <v>46</v>
      </c>
      <c s="89" r="Q115"/>
      <c s="89" r="R115"/>
      <c s="89" r="S115">
        <f>T115+U115</f>
        <v>36</v>
      </c>
      <c s="89" r="T115">
        <v>36</v>
      </c>
      <c s="89" r="U115"/>
      <c s="89" r="V115"/>
      <c s="89" r="W115"/>
      <c s="89" r="X115"/>
      <c s="89" r="Y115"/>
      <c s="89" r="Z115"/>
      <c s="89" r="AA115">
        <v>32</v>
      </c>
      <c s="89" r="AB115"/>
      <c s="89" r="AC115"/>
      <c s="89" r="AD115"/>
      <c s="89" r="AE115"/>
      <c s="89" r="AF115"/>
      <c s="89" r="AG115"/>
      <c s="94" r="AH115">
        <f>((AC115*0.6637)+AE115)+AG115</f>
        <v>0</v>
      </c>
      <c s="94" r="AI115">
        <f>(AA115*2.3)+(AD115)</f>
        <v>73.6</v>
      </c>
      <c s="133" r="AJ115"/>
      <c s="30" r="AK115"/>
      <c s="30" r="AL115"/>
      <c s="30" r="AM115"/>
      <c s="30" r="AN115"/>
      <c s="30" r="AO115"/>
    </row>
    <row r="116">
      <c t="str" s="64" r="A116">
        <f>(((B116&amp;" ")&amp;C116)&amp;" ")&amp;E116</f>
        <v>Faceguard of the Endless Watch (sta, sta/def, sta/def) Doomwalker 399.78920000000005</v>
      </c>
      <c t="s" s="51" r="B116">
        <v>270</v>
      </c>
      <c t="s" s="27" r="C116">
        <v>271</v>
      </c>
      <c t="s" s="27" r="D116">
        <v>221</v>
      </c>
      <c s="81" r="E116">
        <f>(F116+G116)+H116</f>
        <v>399.7892</v>
      </c>
      <c s="121" r="F116">
        <f>((((((J116*0.1)+(O116*1.25))+R116)+S116)+V116)+(X116*0.5))+(AF116*0.2)</f>
        <v>204.2</v>
      </c>
      <c s="121" r="G116">
        <f>+((K116*1.06)*1.06)</f>
        <v>108.9892</v>
      </c>
      <c s="121" r="H116">
        <f>((((AB116)+(0.3*K116))+AG116)+(AF116*0.6))+AI116</f>
        <v>86.6</v>
      </c>
      <c s="98" r="I116">
        <f>((((0.05*O116)+(0.053*V116))+(0.04*AC116))+(0.042*S116))/100.0</f>
        <v>0.03572</v>
      </c>
      <c s="89" r="J116">
        <v>1227</v>
      </c>
      <c s="89" r="K116">
        <f>L116+M116</f>
        <v>97</v>
      </c>
      <c s="89" r="L116">
        <f>49.0</f>
        <v>49</v>
      </c>
      <c s="89" r="M116">
        <f>(24.0+12.0)+12.0</f>
        <v>48</v>
      </c>
      <c t="s" s="89" r="N116">
        <v>272</v>
      </c>
      <c s="89" r="O116">
        <f>P116+Q116</f>
        <v>46</v>
      </c>
      <c s="89" r="P116">
        <v>30</v>
      </c>
      <c s="89" r="Q116">
        <f>8.0+8.0</f>
        <v>16</v>
      </c>
      <c s="89" r="R116"/>
      <c s="89" r="S116">
        <f>T116+U116</f>
        <v>0</v>
      </c>
      <c s="89" r="T116"/>
      <c s="89" r="U116"/>
      <c s="89" r="V116">
        <v>24</v>
      </c>
      <c s="89" r="W116"/>
      <c s="89" r="X116"/>
      <c s="89" r="Y116"/>
      <c s="89" r="Z116"/>
      <c s="89" r="AA116">
        <v>25</v>
      </c>
      <c s="89" r="AB116"/>
      <c s="89" r="AC116"/>
      <c s="89" r="AD116"/>
      <c s="89" r="AE116"/>
      <c s="89" r="AF116"/>
      <c s="89" r="AG116"/>
      <c s="94" r="AH116">
        <f>((AC116*0.6637)+AE116)+AG116</f>
        <v>0</v>
      </c>
      <c s="94" r="AI116">
        <f>(AA116*2.3)+(AD116)</f>
        <v>57.5</v>
      </c>
      <c s="133" r="AJ116"/>
      <c s="30" r="AK116"/>
      <c s="30" r="AL116"/>
      <c s="30" r="AM116"/>
      <c s="30" r="AN116"/>
      <c s="30" r="AO116"/>
    </row>
    <row r="117">
      <c t="str" s="64" r="A117">
        <f>(((B117&amp;" ")&amp;C117)&amp;" ")&amp;E117</f>
        <v>Justicar Faceguard (sta, sta) Prince 397.30319999999995</v>
      </c>
      <c t="s" s="51" r="B117">
        <v>273</v>
      </c>
      <c t="s" s="27" r="C117">
        <v>274</v>
      </c>
      <c t="s" s="27" r="D117">
        <v>221</v>
      </c>
      <c s="81" r="E117">
        <f>(F117+G117)+H117</f>
        <v>397.3032</v>
      </c>
      <c s="121" r="F117">
        <f>((((((J117*0.1)+(O117*1.25))+R117)+S117)+V117)+(X117*0.5))+(AF117*0.2)</f>
        <v>192.95</v>
      </c>
      <c s="121" r="G117">
        <f>+((K117*1.06)*1.06)</f>
        <v>97.7532</v>
      </c>
      <c s="121" r="H117">
        <f>((((AB117)+(0.3*K117))+AG117)+(AF117*0.6))+AI117</f>
        <v>106.6</v>
      </c>
      <c s="98" r="I117">
        <f>((((0.05*O117)+(0.053*V117))+(0.04*AC117))+(0.042*S117))/100.0</f>
        <v>0.03122</v>
      </c>
      <c s="89" r="J117">
        <v>1227</v>
      </c>
      <c s="89" r="K117">
        <f>L117+M117</f>
        <v>87</v>
      </c>
      <c s="89" r="L117">
        <f>43.0</f>
        <v>43</v>
      </c>
      <c s="89" r="M117">
        <f>32.0+12.0</f>
        <v>44</v>
      </c>
      <c t="s" s="89" r="N117">
        <v>237</v>
      </c>
      <c s="89" r="O117">
        <f>P117+Q117</f>
        <v>37</v>
      </c>
      <c s="89" r="P117">
        <v>29</v>
      </c>
      <c s="89" r="Q117">
        <v>8</v>
      </c>
      <c s="89" r="R117"/>
      <c s="89" r="S117">
        <f>T117+U117</f>
        <v>0</v>
      </c>
      <c s="89" r="T117"/>
      <c s="89" r="U117"/>
      <c s="89" r="V117">
        <v>24</v>
      </c>
      <c s="89" r="W117"/>
      <c s="89" r="X117"/>
      <c s="89" r="Y117"/>
      <c s="89" r="Z117"/>
      <c s="89" r="AA117">
        <v>35</v>
      </c>
      <c s="89" r="AB117"/>
      <c s="89" r="AC117"/>
      <c s="89" r="AD117"/>
      <c s="89" r="AE117"/>
      <c s="89" r="AF117"/>
      <c s="89" r="AG117"/>
      <c s="94" r="AH117">
        <f>((AC117*0.6637)+AE117)+AG117</f>
        <v>0</v>
      </c>
      <c s="94" r="AI117">
        <f>(AA117*2.3)+(AD117)</f>
        <v>80.5</v>
      </c>
      <c s="133" r="AJ117"/>
      <c s="30" r="AK117"/>
      <c s="30" r="AL117"/>
      <c s="30" r="AM117"/>
      <c s="30" r="AN117"/>
      <c s="30" r="AO117"/>
    </row>
    <row r="118">
      <c t="str" s="64" r="A118">
        <f>(((B118&amp;" ")&amp;C118)&amp;" ")&amp;E118</f>
        <v>Faceguard of Determination 50 Badges 331.87120000000004</v>
      </c>
      <c t="s" s="51" r="B118">
        <v>275</v>
      </c>
      <c t="s" s="27" r="C118">
        <v>276</v>
      </c>
      <c t="s" s="27" r="D118">
        <v>221</v>
      </c>
      <c s="81" r="E118">
        <f>(F118+G118)+H118</f>
        <v>331.8712</v>
      </c>
      <c s="121" r="F118">
        <f>((((((J118*0.1)+(O118*1.25))+R118)+S118)+V118)+(X118*0.5))+(AF118*0.2)</f>
        <v>200.9</v>
      </c>
      <c s="121" r="G118">
        <f>+((K118*1.06)*1.06)</f>
        <v>103.3712</v>
      </c>
      <c s="121" r="H118">
        <f>((((AB118)+(0.3*K118))+AG118)+(AF118*0.6))+AI118</f>
        <v>27.6</v>
      </c>
      <c s="98" r="I118">
        <f>((((0.05*O118)+(0.053*V118))+(0.04*AC118))+(0.042*S118))/100.0</f>
        <v>0.02872</v>
      </c>
      <c s="89" r="J118">
        <v>1129</v>
      </c>
      <c s="89" r="K118">
        <f>L118+M118</f>
        <v>92</v>
      </c>
      <c s="89" r="L118">
        <f>36.0</f>
        <v>36</v>
      </c>
      <c s="89" r="M118">
        <f>32.0+24.0</f>
        <v>56</v>
      </c>
      <c t="s" s="89" r="N118">
        <v>277</v>
      </c>
      <c s="89" r="O118">
        <f>P118+Q118</f>
        <v>32</v>
      </c>
      <c s="89" r="P118">
        <v>32</v>
      </c>
      <c s="89" r="Q118"/>
      <c s="89" r="R118">
        <v>24</v>
      </c>
      <c s="89" r="S118">
        <f>T118+U118</f>
        <v>0</v>
      </c>
      <c s="89" r="T118"/>
      <c s="89" r="U118"/>
      <c s="89" r="V118">
        <v>24</v>
      </c>
      <c s="89" r="W118"/>
      <c s="89" r="X118"/>
      <c s="89" r="Y118"/>
      <c s="89" r="Z118"/>
      <c s="89" r="AA118"/>
      <c s="89" r="AB118"/>
      <c s="89" r="AC118"/>
      <c s="89" r="AD118"/>
      <c s="89" r="AE118"/>
      <c s="89" r="AF118"/>
      <c s="89" r="AG118"/>
      <c s="94" r="AH118">
        <f>((AC118*0.6637)+AE118)+AG118</f>
        <v>0</v>
      </c>
      <c s="94" r="AI118">
        <f>(AA118*2.3)+(AD118)</f>
        <v>0</v>
      </c>
      <c s="133" r="AJ118"/>
      <c s="30" r="AK118"/>
      <c s="30" r="AL118"/>
      <c s="30" r="AM118"/>
      <c s="30" r="AN118"/>
      <c s="30" r="AO118"/>
    </row>
    <row r="119">
      <c t="str" s="64" r="A119">
        <f>(((B119&amp;" ")&amp;C119)&amp;" ")&amp;E119</f>
        <v>Legplates of Sovereignty   854.7356</v>
      </c>
      <c t="s" s="111" r="B119">
        <v>278</v>
      </c>
      <c t="s" s="111" r="C119">
        <v>142</v>
      </c>
      <c t="s" s="111" r="D119">
        <v>279</v>
      </c>
      <c s="81" r="E119">
        <f>(F119+G119)+H119</f>
        <v>854.7356</v>
      </c>
      <c s="121" r="F119">
        <f>((((((J119*0.1)+(O119*1.25))+R119)+S119)+V119)+(X119*0.5))+(AF119*0.2)</f>
        <v>383.1</v>
      </c>
      <c s="121" r="G119">
        <f>+((K119*1.06)*1.06)</f>
        <v>192.1356</v>
      </c>
      <c s="121" r="H119">
        <f>((((AB119)+(0.3*K119))+AG119)+(AF119*0.6))+AI119</f>
        <v>279.5</v>
      </c>
      <c s="98" r="I119">
        <f>((((0.05*O119)+(0.053*V119))+(0.04*AC119))+(0.042*S119))/100.0</f>
        <v>0.06694</v>
      </c>
      <c s="37" r="J119">
        <v>2054</v>
      </c>
      <c s="37" r="K119">
        <f>L119+M119</f>
        <v>171</v>
      </c>
      <c s="37" r="L119">
        <v>171</v>
      </c>
      <c s="37" r="M119"/>
      <c s="37" r="N119"/>
      <c s="37" r="O119">
        <f>P119+Q119</f>
        <v>86</v>
      </c>
      <c s="37" r="P119">
        <v>86</v>
      </c>
      <c s="37" r="Q119"/>
      <c s="37" r="R119"/>
      <c s="37" r="S119">
        <f>T119+U119</f>
        <v>57</v>
      </c>
      <c s="37" r="T119">
        <v>57</v>
      </c>
      <c s="37" r="U119"/>
      <c s="37" r="V119"/>
      <c s="37" r="W119"/>
      <c s="37" r="X119"/>
      <c s="37" r="Y119"/>
      <c s="37" r="Z119"/>
      <c s="37" r="AA119">
        <v>82</v>
      </c>
      <c s="37" r="AB119"/>
      <c s="37" r="AC119"/>
      <c s="37" r="AD119"/>
      <c s="37" r="AE119"/>
      <c s="37" r="AF119">
        <v>66</v>
      </c>
      <c s="37" r="AG119"/>
      <c s="94" r="AH119">
        <f>((AC119*0.6637)+AE119)+AG119</f>
        <v>0</v>
      </c>
      <c s="94" r="AI119">
        <f>(AA119*2.3)+(AD119)</f>
        <v>188.6</v>
      </c>
      <c s="133" r="AJ119"/>
      <c s="30" r="AK119"/>
      <c s="30" r="AL119"/>
      <c s="30" r="AM119"/>
      <c s="30" r="AN119"/>
      <c s="30" r="AO119"/>
    </row>
    <row r="120">
      <c t="str" s="64" r="A120">
        <f>(((B120&amp;" ")&amp;C120)&amp;" ")&amp;E120</f>
        <v>Valorous Redemption Legguards Naxx25 Thaddius 831.23</v>
      </c>
      <c t="s" s="111" r="B120">
        <v>280</v>
      </c>
      <c t="s" s="111" r="C120">
        <v>281</v>
      </c>
      <c t="s" s="111" r="D120">
        <v>279</v>
      </c>
      <c s="81" r="E120">
        <f>(F120+G120)+H120</f>
        <v>831.23</v>
      </c>
      <c s="121" r="F120">
        <f>((((((J120*0.1)+(O120*1.25))+R120)+S120)+V120)+(X120*0.5))+(AF120*0.2)</f>
        <v>352.1</v>
      </c>
      <c s="121" r="G120">
        <f>+((K120*1.06)*1.06)</f>
        <v>196.63</v>
      </c>
      <c s="121" r="H120">
        <f>((((AB120)+(0.3*K120))+AG120)+(AF120*0.6))+AI120</f>
        <v>282.5</v>
      </c>
      <c s="98" r="I120">
        <f>((((0.05*O120)+(0.053*V120))+(0.04*AC120))+(0.042*S120))/100.0</f>
        <v>0.027</v>
      </c>
      <c s="37" r="J120">
        <v>2011</v>
      </c>
      <c s="37" r="K120">
        <f>L120+M120</f>
        <v>175</v>
      </c>
      <c s="37" r="L120">
        <v>127</v>
      </c>
      <c s="37" r="M120">
        <v>48</v>
      </c>
      <c t="s" s="37" r="N120">
        <v>282</v>
      </c>
      <c s="37" r="O120">
        <f>P120+Q120</f>
        <v>54</v>
      </c>
      <c s="37" r="P120">
        <v>54</v>
      </c>
      <c s="37" r="Q120"/>
      <c s="37" r="R120">
        <v>52</v>
      </c>
      <c s="37" r="S120">
        <f>T120+U120</f>
        <v>0</v>
      </c>
      <c s="37" r="T120"/>
      <c s="37" r="U120"/>
      <c s="37" r="V120"/>
      <c s="37" r="W120"/>
      <c s="37" r="X120">
        <v>63</v>
      </c>
      <c s="37" r="Y120"/>
      <c s="37" r="Z120"/>
      <c s="37" r="AA120">
        <v>100</v>
      </c>
      <c s="37" r="AB120"/>
      <c s="37" r="AC120"/>
      <c s="37" r="AD120"/>
      <c s="37" r="AE120"/>
      <c s="37" r="AF120"/>
      <c s="37" r="AG120"/>
      <c s="94" r="AH120">
        <f>((AC120*0.6637)+AE120)+AG120</f>
        <v>0</v>
      </c>
      <c s="94" r="AI120">
        <f>(AA120*2.3)+(AD120)</f>
        <v>230</v>
      </c>
      <c s="133" r="AJ120"/>
      <c s="30" r="AK120"/>
      <c s="30" r="AL120"/>
      <c s="30" r="AM120"/>
      <c s="30" r="AN120"/>
      <c s="30" r="AO120"/>
    </row>
    <row r="121">
      <c t="str" s="64" r="A121">
        <f>(((B121&amp;" ")&amp;C121)&amp;" ")&amp;E121</f>
        <v>Greaves of Turbulence Naxx25 Loatheb 811.8900000000001</v>
      </c>
      <c t="s" s="111" r="B121">
        <v>283</v>
      </c>
      <c t="s" s="111" r="C121">
        <v>284</v>
      </c>
      <c t="s" s="111" r="D121">
        <v>279</v>
      </c>
      <c s="81" r="E121">
        <f>(F121+G121)+H121</f>
        <v>811.89</v>
      </c>
      <c s="121" r="F121">
        <f>((((((J121*0.1)+(O121*1.25))+R121)+S121)+V121)+(X121*0.5))+(AF121*0.2)</f>
        <v>368.35</v>
      </c>
      <c s="121" r="G121">
        <f>+((K121*1.06)*1.06)</f>
        <v>168.54</v>
      </c>
      <c s="121" r="H121">
        <f>((((AB121)+(0.3*K121))+AG121)+(AF121*0.6))+AI121</f>
        <v>275</v>
      </c>
      <c s="98" r="I121">
        <f>((((0.05*O121)+(0.053*V121))+(0.04*AC121))+(0.042*S121))/100.0</f>
        <v>0.04517</v>
      </c>
      <c s="37" r="J121">
        <v>2011</v>
      </c>
      <c s="37" r="K121">
        <f>L121+M121</f>
        <v>150</v>
      </c>
      <c s="37" r="L121">
        <v>150</v>
      </c>
      <c s="37" r="M121"/>
      <c s="37" r="N121"/>
      <c s="37" r="O121">
        <f>P121+Q121</f>
        <v>49</v>
      </c>
      <c s="37" r="P121">
        <v>49</v>
      </c>
      <c s="37" r="Q121"/>
      <c s="37" r="R121">
        <v>67</v>
      </c>
      <c s="37" r="S121">
        <f>T121+U121</f>
        <v>0</v>
      </c>
      <c s="37" r="T121"/>
      <c s="37" r="U121"/>
      <c s="37" r="V121">
        <v>39</v>
      </c>
      <c s="37" r="W121"/>
      <c s="37" r="X121"/>
      <c s="37" r="Y121"/>
      <c s="37" r="Z121"/>
      <c s="37" r="AA121">
        <v>100</v>
      </c>
      <c s="37" r="AB121"/>
      <c s="37" r="AC121"/>
      <c s="37" r="AD121"/>
      <c s="37" r="AE121"/>
      <c s="37" r="AF121"/>
      <c s="37" r="AG121"/>
      <c s="94" r="AH121">
        <f>((AC121*0.6637)+AE121)+AG121</f>
        <v>0</v>
      </c>
      <c s="94" r="AI121">
        <f>(AA121*2.3)+(AD121)</f>
        <v>230</v>
      </c>
      <c s="133" r="AJ121"/>
      <c s="30" r="AK121"/>
      <c s="30" r="AL121"/>
      <c s="30" r="AM121"/>
      <c s="30" r="AN121"/>
      <c s="30" r="AO121"/>
    </row>
    <row r="122">
      <c t="str" s="64" r="A122">
        <f>(((B122&amp;" ")&amp;C122)&amp;" ")&amp;E122</f>
        <v>Dragon Brood Legguards   792.5871999999999</v>
      </c>
      <c t="s" s="111" r="B122">
        <v>285</v>
      </c>
      <c t="s" s="111" r="C122">
        <v>142</v>
      </c>
      <c t="s" s="111" r="D122">
        <v>279</v>
      </c>
      <c s="81" r="E122">
        <f>(F122+G122)+H122</f>
        <v>792.5872</v>
      </c>
      <c s="121" r="F122">
        <f>((((((J122*0.1)+(O122*1.25))+R122)+S122)+V122)+(X122*0.5))+(AF122*0.2)</f>
        <v>349.1</v>
      </c>
      <c s="121" r="G122">
        <f>+((K122*1.06)*1.06)</f>
        <v>170.7872</v>
      </c>
      <c s="121" r="H122">
        <f>((((AB122)+(0.3*K122))+AG122)+(AF122*0.6))+AI122</f>
        <v>272.7</v>
      </c>
      <c s="98" r="I122">
        <f>((((0.05*O122)+(0.053*V122))+(0.04*AC122))+(0.042*S122))/100.0</f>
        <v>0.06674</v>
      </c>
      <c s="37" r="J122">
        <v>2011</v>
      </c>
      <c s="37" r="K122">
        <f>L122+M122</f>
        <v>152</v>
      </c>
      <c s="37" r="L122">
        <v>152</v>
      </c>
      <c s="37" r="M122"/>
      <c s="37" r="N122"/>
      <c s="37" r="O122">
        <f>P122+Q122</f>
        <v>72</v>
      </c>
      <c s="37" r="P122">
        <v>72</v>
      </c>
      <c s="37" r="Q122"/>
      <c s="37" r="R122"/>
      <c s="37" r="S122">
        <f>T122+U122</f>
        <v>0</v>
      </c>
      <c s="37" r="T122"/>
      <c s="37" r="U122"/>
      <c s="37" r="V122">
        <v>58</v>
      </c>
      <c s="37" r="W122"/>
      <c s="37" r="X122"/>
      <c s="37" r="Y122"/>
      <c s="37" r="Z122"/>
      <c s="37" r="AA122">
        <v>77</v>
      </c>
      <c s="37" r="AB122"/>
      <c s="37" r="AC122"/>
      <c s="37" r="AD122"/>
      <c s="37" r="AE122"/>
      <c s="37" r="AF122"/>
      <c s="37" r="AG122">
        <v>50</v>
      </c>
      <c s="94" r="AH122">
        <f>((AC122*0.6637)+AE122)+AG122</f>
        <v>50</v>
      </c>
      <c s="94" r="AI122">
        <f>(AA122*2.3)+(AD122)</f>
        <v>177.1</v>
      </c>
      <c s="133" r="AJ122"/>
      <c s="30" r="AK122"/>
      <c s="30" r="AL122"/>
      <c s="30" r="AM122"/>
      <c s="30" r="AN122"/>
      <c s="30" r="AO122"/>
    </row>
    <row r="123">
      <c t="str" s="64" r="A123">
        <f>(((B123&amp;" ")&amp;C123)&amp;" ")&amp;E123</f>
        <v>Heroes' Redemption Legguards Naxx10 Thaddius 756.1524000000001</v>
      </c>
      <c t="s" s="111" r="B123">
        <v>286</v>
      </c>
      <c t="s" s="111" r="C123">
        <v>287</v>
      </c>
      <c t="s" s="111" r="D123">
        <v>279</v>
      </c>
      <c s="81" r="E123">
        <f>(F123+G123)+H123</f>
        <v>756.1524</v>
      </c>
      <c s="121" r="F123">
        <f>((((((J123*0.1)+(O123*1.25))+R123)+S123)+V123)+(X123*0.5))+(AF123*0.2)</f>
        <v>325.1</v>
      </c>
      <c s="121" r="G123">
        <f>+((K123*1.06)*1.06)</f>
        <v>178.6524</v>
      </c>
      <c s="121" r="H123">
        <f>((((AB123)+(0.3*K123))+AG123)+(AF123*0.6))+AI123</f>
        <v>252.4</v>
      </c>
      <c s="98" r="I123">
        <f>((((0.05*O123)+(0.053*V123))+(0.04*AC123))+(0.042*S123))/100.0</f>
        <v>0.024</v>
      </c>
      <c s="37" r="J123">
        <v>1961</v>
      </c>
      <c s="37" r="K123">
        <f>L123+M123</f>
        <v>159</v>
      </c>
      <c s="37" r="L123">
        <v>111</v>
      </c>
      <c s="37" r="M123">
        <v>48</v>
      </c>
      <c t="s" s="37" r="N123">
        <v>282</v>
      </c>
      <c s="37" r="O123">
        <f>P123+Q123</f>
        <v>48</v>
      </c>
      <c s="37" r="P123">
        <v>48</v>
      </c>
      <c s="37" r="Q123"/>
      <c s="37" r="R123">
        <v>41</v>
      </c>
      <c s="37" r="S123">
        <f>T123+U123</f>
        <v>0</v>
      </c>
      <c s="37" r="T123"/>
      <c s="37" r="U123"/>
      <c s="37" r="V123"/>
      <c s="37" r="W123"/>
      <c s="37" r="X123">
        <v>56</v>
      </c>
      <c s="37" r="Y123"/>
      <c s="37" r="Z123"/>
      <c s="37" r="AA123">
        <v>89</v>
      </c>
      <c s="37" r="AB123"/>
      <c s="37" r="AC123"/>
      <c s="37" r="AD123"/>
      <c s="37" r="AE123"/>
      <c s="37" r="AF123"/>
      <c s="37" r="AG123"/>
      <c s="94" r="AH123">
        <f>((AC123*0.6637)+AE123)+AG123</f>
        <v>0</v>
      </c>
      <c s="94" r="AI123">
        <f>(AA123*2.3)+(AD123)</f>
        <v>204.7</v>
      </c>
      <c s="133" r="AJ123"/>
      <c s="30" r="AK123"/>
      <c s="30" r="AL123"/>
      <c s="30" r="AM123"/>
      <c s="30" r="AN123"/>
      <c s="30" r="AO123"/>
    </row>
    <row r="124">
      <c t="str" s="64" r="A124">
        <f>(((B124&amp;" ")&amp;C124)&amp;" ")&amp;E124</f>
        <v>Heroes Redemption Legguards ? 755.1524000000001</v>
      </c>
      <c t="s" s="36" r="B124">
        <v>288</v>
      </c>
      <c t="s" s="36" r="C124">
        <v>242</v>
      </c>
      <c t="s" s="37" r="D124">
        <v>279</v>
      </c>
      <c s="81" r="E124">
        <f>(F124+G124)+H124</f>
        <v>755.1524</v>
      </c>
      <c s="121" r="F124">
        <f>((((((J124*0.1)+(O124*1.25))+R124)+S124)+V124)+(X124*0.5))+(AF124*0.2)</f>
        <v>324.1</v>
      </c>
      <c s="121" r="G124">
        <f>+((K124*1.06)*1.06)</f>
        <v>178.6524</v>
      </c>
      <c s="121" r="H124">
        <f>((((AB124)+(0.3*K124))+AG124)+(AF124*0.6))+AI124</f>
        <v>252.4</v>
      </c>
      <c s="98" r="I124">
        <f>((((0.05*O124)+(0.053*V124))+(0.04*AC124))+(0.042*S124))/100.0</f>
        <v>0.024</v>
      </c>
      <c s="37" r="J124">
        <v>1961</v>
      </c>
      <c s="37" r="K124">
        <f>L124+M124</f>
        <v>159</v>
      </c>
      <c s="37" r="L124">
        <f>111.0</f>
        <v>111</v>
      </c>
      <c s="37" r="M124">
        <v>48</v>
      </c>
      <c t="s" s="37" r="N124">
        <v>289</v>
      </c>
      <c s="37" r="O124">
        <f>P124+Q124</f>
        <v>48</v>
      </c>
      <c s="37" r="P124">
        <v>48</v>
      </c>
      <c s="37" r="Q124"/>
      <c s="37" r="R124">
        <v>41</v>
      </c>
      <c s="37" r="S124">
        <f>T124+U124</f>
        <v>0</v>
      </c>
      <c s="37" r="T124"/>
      <c s="37" r="U124"/>
      <c s="37" r="V124"/>
      <c s="37" r="W124"/>
      <c s="37" r="X124">
        <f>47.0+7.0</f>
        <v>54</v>
      </c>
      <c s="37" r="Y124"/>
      <c s="37" r="Z124"/>
      <c s="37" r="AA124">
        <v>89</v>
      </c>
      <c s="37" r="AB124"/>
      <c s="37" r="AC124"/>
      <c s="37" r="AD124"/>
      <c s="37" r="AE124"/>
      <c s="37" r="AF124"/>
      <c s="37" r="AG124"/>
      <c s="94" r="AH124">
        <f>((AC124*0.6637)+AE124)+AG124</f>
        <v>0</v>
      </c>
      <c s="94" r="AI124">
        <f>(AA124*2.3)+(AD124)</f>
        <v>204.7</v>
      </c>
      <c s="133" r="AJ124"/>
      <c s="30" r="AK124"/>
      <c s="30" r="AL124"/>
      <c s="30" r="AM124"/>
      <c s="30" r="AN124"/>
      <c s="30" r="AO124"/>
    </row>
    <row r="125">
      <c t="str" s="64" r="A125">
        <f>(((B125&amp;" ")&amp;C125)&amp;" ")&amp;E125</f>
        <v>Legplates of Inescapable Death Naxx10 Loatheb 721.7692000000001</v>
      </c>
      <c t="s" s="111" r="B125">
        <v>290</v>
      </c>
      <c t="s" s="111" r="C125">
        <v>291</v>
      </c>
      <c t="s" s="111" r="D125">
        <v>279</v>
      </c>
      <c s="81" r="E125">
        <f>(F125+G125)+H125</f>
        <v>721.7692</v>
      </c>
      <c s="121" r="F125">
        <f>((((((J125*0.1)+(O125*1.25))+R125)+S125)+V125)+(X125*0.5))+(AF125*0.2)</f>
        <v>344.6</v>
      </c>
      <c s="121" r="G125">
        <f>+((K125*1.06)*1.06)</f>
        <v>165.1692</v>
      </c>
      <c s="121" r="H125">
        <f>((((AB125)+(0.3*K125))+AG125)+(AF125*0.6))+AI125</f>
        <v>212</v>
      </c>
      <c s="98" r="I125">
        <f>((((0.05*O125)+(0.053*V125))+(0.04*AC125))+(0.042*S125))/100.0</f>
        <v>0.03136</v>
      </c>
      <c s="37" r="J125">
        <v>1961</v>
      </c>
      <c s="37" r="K125">
        <f>L125+M125</f>
        <v>147</v>
      </c>
      <c s="37" r="L125">
        <v>111</v>
      </c>
      <c s="37" r="M125">
        <f>24.0+12.0</f>
        <v>36</v>
      </c>
      <c t="s" s="37" r="N125">
        <v>292</v>
      </c>
      <c s="37" r="O125">
        <f>P125+Q125</f>
        <v>56</v>
      </c>
      <c s="37" r="P125">
        <v>56</v>
      </c>
      <c s="37" r="Q125"/>
      <c s="37" r="R125">
        <v>41</v>
      </c>
      <c s="37" r="S125">
        <f>T125+U125</f>
        <v>8</v>
      </c>
      <c s="37" r="T125"/>
      <c s="37" r="U125">
        <v>8</v>
      </c>
      <c s="37" r="V125"/>
      <c s="37" r="W125"/>
      <c s="37" r="X125">
        <v>59</v>
      </c>
      <c s="37" r="Y125"/>
      <c s="37" r="Z125"/>
      <c s="37" r="AA125">
        <v>73</v>
      </c>
      <c s="37" r="AB125"/>
      <c s="37" r="AC125"/>
      <c s="37" r="AD125"/>
      <c s="37" r="AE125"/>
      <c s="37" r="AF125"/>
      <c s="37" r="AG125"/>
      <c s="94" r="AH125">
        <f>((AC125*0.6637)+AE125)+AG125</f>
        <v>0</v>
      </c>
      <c s="94" r="AI125">
        <f>(AA125*2.3)+(AD125)</f>
        <v>167.9</v>
      </c>
      <c s="133" r="AJ125"/>
      <c s="30" r="AK125"/>
      <c s="30" r="AL125"/>
      <c s="30" r="AM125"/>
      <c s="30" r="AN125"/>
      <c s="30" r="AO125"/>
    </row>
    <row r="126">
      <c t="str" s="64" r="A126">
        <f>(((B126&amp;" ")&amp;C126)&amp;" ")&amp;E126</f>
        <v>Bolstered Legplates Violet Hold Heroic Cyanigosa 707.4775999999999</v>
      </c>
      <c t="s" s="111" r="B126">
        <v>293</v>
      </c>
      <c t="s" s="111" r="C126">
        <v>294</v>
      </c>
      <c t="s" s="111" r="D126">
        <v>279</v>
      </c>
      <c s="81" r="E126">
        <f>(F126+G126)+H126</f>
        <v>707.4776</v>
      </c>
      <c s="121" r="F126">
        <f>((((((J126*0.1)+(O126*1.25))+R126)+S126)+V126)+(X126*0.5))+(AF126*0.2)</f>
        <v>305.35</v>
      </c>
      <c s="121" r="G126">
        <f>+((K126*1.06)*1.06)</f>
        <v>158.4276</v>
      </c>
      <c s="121" r="H126">
        <f>((((AB126)+(0.3*K126))+AG126)+(AF126*0.6))+AI126</f>
        <v>243.7</v>
      </c>
      <c s="98" r="I126">
        <f>((((0.05*O126)+(0.053*V126))+(0.04*AC126))+(0.042*S126))/100.0</f>
        <v>0.04386</v>
      </c>
      <c s="37" r="J126">
        <v>1961</v>
      </c>
      <c s="37" r="K126">
        <f>L126+M126</f>
        <v>141</v>
      </c>
      <c s="37" r="L126">
        <v>123</v>
      </c>
      <c s="37" r="M126">
        <f>12.0+6.0</f>
        <v>18</v>
      </c>
      <c t="s" s="37" r="N126">
        <v>131</v>
      </c>
      <c s="37" r="O126">
        <f>P126+Q126</f>
        <v>81</v>
      </c>
      <c s="37" r="P126">
        <v>81</v>
      </c>
      <c s="37" r="Q126"/>
      <c s="37" r="R126"/>
      <c s="37" r="S126">
        <f>T126+U126</f>
        <v>8</v>
      </c>
      <c s="37" r="T126"/>
      <c s="37" r="U126">
        <v>8</v>
      </c>
      <c s="37" r="V126"/>
      <c s="37" r="W126"/>
      <c s="37" r="X126"/>
      <c s="37" r="Y126"/>
      <c s="37" r="Z126"/>
      <c s="37" r="AA126">
        <v>68</v>
      </c>
      <c s="37" r="AB126"/>
      <c s="37" r="AC126"/>
      <c s="37" r="AD126"/>
      <c s="37" r="AE126"/>
      <c s="37" r="AF126"/>
      <c s="37" r="AG126">
        <v>45</v>
      </c>
      <c s="94" r="AH126">
        <f>((AC126*0.6637)+AE126)+AG126</f>
        <v>45</v>
      </c>
      <c s="94" r="AI126">
        <f>(AA126*2.3)+(AD126)</f>
        <v>156.4</v>
      </c>
      <c s="133" r="AJ126"/>
      <c s="30" r="AK126"/>
      <c s="30" r="AL126"/>
      <c s="30" r="AM126"/>
      <c s="30" r="AN126"/>
      <c s="30" r="AO126"/>
    </row>
    <row r="127">
      <c t="str" s="64" r="A127">
        <f>(((B127&amp;" ")&amp;C127)&amp;" ")&amp;E127</f>
        <v>Legplates of the Infinte Drakonid Heroic Strath Past 646.7112</v>
      </c>
      <c t="s" s="33" r="B127">
        <v>295</v>
      </c>
      <c t="s" s="37" r="C127">
        <v>296</v>
      </c>
      <c t="s" s="37" r="D127">
        <v>279</v>
      </c>
      <c s="81" r="E127">
        <f>(F127+G127)+H127</f>
        <v>646.7112</v>
      </c>
      <c s="121" r="F127">
        <f>((((((J127*0.1)+(O127*1.25))+R127)+S127)+V127)+(X127*0.5))+(AF127*0.2)</f>
        <v>300.75</v>
      </c>
      <c s="121" r="G127">
        <f>+((K127*1.06)*1.06)</f>
        <v>131.4612</v>
      </c>
      <c s="121" r="H127">
        <f>((((AB127)+(0.3*K127))+AG127)+(AF127*0.6))+AI127</f>
        <v>214.5</v>
      </c>
      <c s="98" r="I127">
        <f>((((0.05*O127)+(0.053*V127))+(0.04*AC127))+(0.042*S127))/100.0</f>
        <v>0.05165</v>
      </c>
      <c s="37" r="J127">
        <v>1895</v>
      </c>
      <c s="37" r="K127">
        <f>L127+M127</f>
        <v>117</v>
      </c>
      <c s="37" r="L127">
        <v>117</v>
      </c>
      <c s="37" r="M127"/>
      <c s="37" r="N127"/>
      <c s="37" r="O127">
        <f>P127+Q127</f>
        <v>45</v>
      </c>
      <c s="37" r="P127">
        <v>45</v>
      </c>
      <c s="37" r="Q127"/>
      <c s="37" r="R127"/>
      <c s="37" r="S127">
        <f>T127+U127</f>
        <v>0</v>
      </c>
      <c s="37" r="T127"/>
      <c s="37" r="U127"/>
      <c s="37" r="V127">
        <v>55</v>
      </c>
      <c s="37" r="W127"/>
      <c s="37" r="X127"/>
      <c s="37" r="Y127"/>
      <c s="37" r="Z127"/>
      <c s="37" r="AA127">
        <v>78</v>
      </c>
      <c s="37" r="AB127"/>
      <c s="37" r="AC127"/>
      <c s="37" r="AD127"/>
      <c s="37" r="AE127"/>
      <c s="37" r="AF127"/>
      <c s="37" r="AG127"/>
      <c s="94" r="AH127">
        <f>((AC127*0.6637)+AE127)+AG127</f>
        <v>0</v>
      </c>
      <c s="94" r="AI127">
        <f>(AA127*2.3)+(AD127)</f>
        <v>179.4</v>
      </c>
      <c s="133" r="AJ127"/>
      <c s="30" r="AK127"/>
      <c s="30" r="AL127"/>
      <c s="30" r="AM127"/>
      <c s="30" r="AN127"/>
      <c s="30" r="AO127"/>
    </row>
    <row r="128">
      <c t="str" s="64" r="A128">
        <f>(((B128&amp;" ")&amp;C128)&amp;" ")&amp;E128</f>
        <v>Ley-Guardian's Legguards   631.436</v>
      </c>
      <c t="s" s="111" r="B128">
        <v>297</v>
      </c>
      <c t="s" s="111" r="C128">
        <v>142</v>
      </c>
      <c t="s" s="111" r="D128">
        <v>279</v>
      </c>
      <c s="81" r="E128">
        <f>(F128+G128)+H128</f>
        <v>631.436</v>
      </c>
      <c s="121" r="F128">
        <f>((((((J128*0.1)+(O128*1.25))+R128)+S128)+V128)+(X128*0.5))+(AF128*0.2)</f>
        <v>295.75</v>
      </c>
      <c s="121" r="G128">
        <f>+((K128*1.06)*1.06)</f>
        <v>151.686</v>
      </c>
      <c s="121" r="H128">
        <f>((((AB128)+(0.3*K128))+AG128)+(AF128*0.6))+AI128</f>
        <v>184</v>
      </c>
      <c s="98" r="I128">
        <f>((((0.05*O128)+(0.053*V128))+(0.04*AC128))+(0.042*S128))/100.0</f>
        <v>0.0425</v>
      </c>
      <c s="37" r="J128">
        <v>1895</v>
      </c>
      <c s="37" r="K128">
        <f>L128+M128</f>
        <v>135</v>
      </c>
      <c s="37" r="L128">
        <v>117</v>
      </c>
      <c s="37" r="M128">
        <f>12.0+6.0</f>
        <v>18</v>
      </c>
      <c t="s" s="37" r="N128">
        <v>147</v>
      </c>
      <c s="37" r="O128">
        <f>P128+Q128</f>
        <v>85</v>
      </c>
      <c s="37" r="P128">
        <v>77</v>
      </c>
      <c s="37" r="Q128">
        <v>8</v>
      </c>
      <c s="37" r="R128"/>
      <c s="37" r="S128">
        <f>T128+U128</f>
        <v>0</v>
      </c>
      <c s="37" r="T128"/>
      <c s="37" r="U128"/>
      <c s="37" r="V128"/>
      <c s="37" r="W128"/>
      <c s="37" r="X128"/>
      <c s="37" r="Y128"/>
      <c s="37" r="Z128"/>
      <c s="37" r="AA128">
        <v>45</v>
      </c>
      <c s="37" r="AB128"/>
      <c s="37" r="AC128"/>
      <c s="37" r="AD128"/>
      <c s="37" r="AE128"/>
      <c s="37" r="AF128"/>
      <c s="37" r="AG128">
        <v>40</v>
      </c>
      <c s="94" r="AH128">
        <f>((AC128*0.6637)+AE128)+AG128</f>
        <v>40</v>
      </c>
      <c s="94" r="AI128">
        <f>(AA128*2.3)+(AD128)</f>
        <v>103.5</v>
      </c>
      <c s="133" r="AJ128"/>
      <c s="30" r="AK128"/>
      <c s="30" r="AL128"/>
      <c s="30" r="AM128"/>
      <c s="30" r="AN128"/>
      <c s="30" r="AO128"/>
    </row>
    <row r="129">
      <c t="str" s="64" r="A129">
        <f>(((B129&amp;" ")&amp;C129)&amp;" ")&amp;E129</f>
        <v>Special Issue Legplates (sta) Ardent Crusade Rep Honored 558.9112</v>
      </c>
      <c t="s" s="33" r="B129">
        <v>298</v>
      </c>
      <c t="s" s="37" r="C129">
        <v>299</v>
      </c>
      <c t="s" s="37" r="D129">
        <v>279</v>
      </c>
      <c s="81" r="E129">
        <f>(F129+G129)+H129</f>
        <v>558.9112</v>
      </c>
      <c s="121" r="F129">
        <f>((((((J129*0.1)+(O129*1.25))+R129)+S129)+V129)+(X129*0.5))+(AF129*0.2)</f>
        <v>277.35</v>
      </c>
      <c s="121" r="G129">
        <f>+((K129*1.06)*1.06)</f>
        <v>131.4612</v>
      </c>
      <c s="121" r="H129">
        <f>((((AB129)+(0.3*K129))+AG129)+(AF129*0.6))+AI129</f>
        <v>150.1</v>
      </c>
      <c s="98" r="I129">
        <f>((((0.05*O129)+(0.053*V129))+(0.04*AC129))+(0.042*S129))/100.0</f>
        <v>0.03786</v>
      </c>
      <c s="37" r="J129">
        <v>1831</v>
      </c>
      <c s="37" r="K129">
        <f>L129+M129</f>
        <v>117</v>
      </c>
      <c s="37" r="L129">
        <f>102.0</f>
        <v>102</v>
      </c>
      <c s="37" r="M129">
        <f>15.0</f>
        <v>15</v>
      </c>
      <c t="s" s="37" r="N129">
        <v>125</v>
      </c>
      <c s="37" r="O129">
        <f>P129+Q129</f>
        <v>69</v>
      </c>
      <c s="37" r="P129">
        <v>69</v>
      </c>
      <c s="37" r="Q129"/>
      <c s="37" r="R129"/>
      <c s="37" r="S129">
        <f>T129+U129</f>
        <v>8</v>
      </c>
      <c s="37" r="T129"/>
      <c s="37" r="U129">
        <v>8</v>
      </c>
      <c s="37" r="V129"/>
      <c s="37" r="W129"/>
      <c s="37" r="X129"/>
      <c s="37" r="Y129"/>
      <c s="37" r="Z129"/>
      <c s="37" r="AA129">
        <v>30</v>
      </c>
      <c s="37" r="AB129"/>
      <c s="37" r="AC129"/>
      <c s="37" r="AD129"/>
      <c s="37" r="AE129"/>
      <c s="37" r="AF129"/>
      <c s="37" r="AG129">
        <v>46</v>
      </c>
      <c s="94" r="AH129">
        <f>((AC129*0.6637)+AE129)+AG129</f>
        <v>46</v>
      </c>
      <c s="94" r="AI129">
        <f>(AA129*2.3)+(AD129)</f>
        <v>69</v>
      </c>
      <c s="133" r="AJ129"/>
      <c s="30" r="AK129"/>
      <c s="30" r="AL129"/>
      <c s="30" r="AM129"/>
      <c s="30" r="AN129"/>
      <c s="30" r="AO129"/>
    </row>
    <row r="130">
      <c t="str" s="106" r="A130">
        <f>(((B130&amp;" ")&amp;C130)&amp;" ")&amp;E130</f>
        <v>Daunting Legplates BoE Crafted (BS) 549.6948</v>
      </c>
      <c t="s" s="77" r="B130">
        <v>300</v>
      </c>
      <c t="s" s="128" r="C130">
        <v>301</v>
      </c>
      <c t="s" s="128" r="D130">
        <v>279</v>
      </c>
      <c s="114" r="E130">
        <f>(F130+G130)+H130</f>
        <v>549.6948</v>
      </c>
      <c s="121" r="F130">
        <f>((((((J130*0.1)+(O130*1.25))+R130)+S130)+V130)+(X130*0.5))+(AF130*0.2)</f>
        <v>293.1</v>
      </c>
      <c s="121" r="G130">
        <f>+((K130*1.06)*1.06)</f>
        <v>104.4948</v>
      </c>
      <c s="121" r="H130">
        <f>((((AB130)+(0.3*K130))+AG130)+(AF130*0.6))+AI130</f>
        <v>152.1</v>
      </c>
      <c s="98" r="I130">
        <f>((((0.05*O130)+(0.053*V130))+(0.04*AC130))+(0.042*S130))/100.0</f>
        <v>0.044</v>
      </c>
      <c s="119" r="J130">
        <v>1831</v>
      </c>
      <c s="105" r="K130">
        <f>L130+M130</f>
        <v>93</v>
      </c>
      <c s="119" r="L130">
        <v>93</v>
      </c>
      <c s="128" r="M130"/>
      <c s="128" r="N130"/>
      <c s="105" r="O130">
        <f>P130+Q130</f>
        <v>88</v>
      </c>
      <c s="119" r="P130">
        <v>88</v>
      </c>
      <c s="128" r="Q130"/>
      <c s="128" r="R130"/>
      <c s="105" r="S130">
        <f>T130+U130</f>
        <v>0</v>
      </c>
      <c s="119" r="T130"/>
      <c s="128" r="U130"/>
      <c s="128" r="V130"/>
      <c s="128" r="W130"/>
      <c s="128" r="X130"/>
      <c s="128" r="Y130"/>
      <c s="128" r="Z130"/>
      <c s="128" r="AA130">
        <v>54</v>
      </c>
      <c s="128" r="AB130"/>
      <c s="128" r="AC130"/>
      <c s="128" r="AD130"/>
      <c s="128" r="AE130"/>
      <c s="128" r="AF130"/>
      <c s="128" r="AG130"/>
      <c s="47" r="AH130">
        <f>((AC130*0.6637)+AE130)+AG130</f>
        <v>0</v>
      </c>
      <c s="94" r="AI130">
        <f>(AA130*2.3)+(AD130)</f>
        <v>124.2</v>
      </c>
      <c s="109" r="AJ130"/>
      <c s="44" r="AK130"/>
      <c s="30" r="AL130"/>
      <c s="30" r="AM130"/>
      <c s="30" r="AN130"/>
      <c s="30" r="AO130"/>
    </row>
    <row r="131">
      <c t="str" s="106" r="A131">
        <f>(((B131&amp;" ")&amp;C131)&amp;" ")&amp;E131</f>
        <v>Iron Colossus Legplates Quest Reward  533.3476</v>
      </c>
      <c t="s" s="38" r="B131">
        <v>302</v>
      </c>
      <c t="s" s="38" r="C131">
        <v>198</v>
      </c>
      <c t="s" s="38" r="D131">
        <v>279</v>
      </c>
      <c s="114" r="E131">
        <f>(F131+G131)+H131</f>
        <v>533.3476</v>
      </c>
      <c s="121" r="F131">
        <f>((((((J131*0.1)+(O131*1.25))+R131)+S131)+V131)+(X131*0.5))+(AF131*0.2)</f>
        <v>263.5</v>
      </c>
      <c s="121" r="G131">
        <f>+((K131*1.06)*1.06)</f>
        <v>102.2476</v>
      </c>
      <c s="121" r="H131">
        <f>((((AB131)+(0.3*K131))+AG131)+(AF131*0.6))+AI131</f>
        <v>167.6</v>
      </c>
      <c s="98" r="I131">
        <f>((((0.05*O131)+(0.053*V131))+(0.04*AC131))+(0.042*S131))/100.0</f>
        <v>0.0367</v>
      </c>
      <c s="10" r="J131">
        <v>1735</v>
      </c>
      <c s="105" r="K131">
        <f>L131+M131</f>
        <v>91</v>
      </c>
      <c s="10" r="L131">
        <v>91</v>
      </c>
      <c s="58" r="M131"/>
      <c s="58" r="N131"/>
      <c s="105" r="O131">
        <f>P131+Q131</f>
        <v>44</v>
      </c>
      <c s="10" r="P131">
        <v>44</v>
      </c>
      <c s="58" r="Q131"/>
      <c s="58" r="R131"/>
      <c s="105" r="S131">
        <f>T131+U131</f>
        <v>35</v>
      </c>
      <c s="10" r="T131">
        <v>35</v>
      </c>
      <c s="58" r="U131"/>
      <c s="58" r="V131"/>
      <c s="58" r="W131"/>
      <c s="58" r="X131"/>
      <c s="58" r="Y131"/>
      <c s="58" r="Z131"/>
      <c s="58" r="AA131">
        <v>61</v>
      </c>
      <c s="58" r="AB131"/>
      <c s="58" r="AC131"/>
      <c s="58" r="AD131"/>
      <c s="58" r="AE131"/>
      <c s="58" r="AF131"/>
      <c s="58" r="AG131"/>
      <c s="47" r="AH131">
        <f>((AC131*0.6637)+AE131)+AG131</f>
        <v>0</v>
      </c>
      <c s="94" r="AI131">
        <f>(AA131*2.3)+(AD131)</f>
        <v>140.3</v>
      </c>
      <c s="109" r="AJ131"/>
      <c s="44" r="AK131"/>
      <c s="30" r="AL131"/>
      <c s="30" r="AM131"/>
      <c s="30" r="AN131"/>
      <c s="30" r="AO131"/>
    </row>
    <row r="132">
      <c t="str" s="106" r="A132">
        <f>(((B132&amp;" ")&amp;C132)&amp;" ")&amp;E132</f>
        <v>Void Sentry Legplates (sta/def) ? 529.2656000000001</v>
      </c>
      <c t="s" s="65" r="B132">
        <v>303</v>
      </c>
      <c t="s" s="58" r="C132">
        <v>242</v>
      </c>
      <c t="s" s="58" r="D132">
        <v>279</v>
      </c>
      <c s="114" r="E132">
        <f>(F132+G132)+H132</f>
        <v>529.2656</v>
      </c>
      <c s="121" r="F132">
        <f>((((((J132*0.1)+(O132*1.25))+R132)+S132)+V132)+(X132*0.5))+(AF132*0.2)</f>
        <v>254.6</v>
      </c>
      <c s="121" r="G132">
        <f>+((K132*1.06)*1.06)</f>
        <v>107.8656</v>
      </c>
      <c s="121" r="H132">
        <f>((((AB132)+(0.3*K132))+AG132)+(AF132*0.6))+AI132</f>
        <v>166.8</v>
      </c>
      <c s="98" r="I132">
        <f>((((0.05*O132)+(0.053*V132))+(0.04*AC132))+(0.042*S132))/100.0</f>
        <v>0.032</v>
      </c>
      <c s="10" r="J132">
        <v>1746</v>
      </c>
      <c s="105" r="K132">
        <f>L132+M132</f>
        <v>96</v>
      </c>
      <c s="10" r="L132">
        <f>78.0</f>
        <v>78</v>
      </c>
      <c s="58" r="M132">
        <f>12.0+6.0</f>
        <v>18</v>
      </c>
      <c t="s" s="58" r="N132">
        <v>304</v>
      </c>
      <c s="105" r="O132">
        <f>P132+Q132</f>
        <v>64</v>
      </c>
      <c s="10" r="P132">
        <f>56.0</f>
        <v>56</v>
      </c>
      <c s="58" r="Q132">
        <v>8</v>
      </c>
      <c s="58" r="R132"/>
      <c s="105" r="S132">
        <f>T132+U132</f>
        <v>0</v>
      </c>
      <c s="10" r="T132"/>
      <c s="58" r="U132"/>
      <c s="58" r="V132"/>
      <c s="58" r="W132"/>
      <c s="58" r="X132"/>
      <c s="58" r="Y132"/>
      <c s="58" r="Z132"/>
      <c s="58" r="AA132">
        <v>60</v>
      </c>
      <c s="58" r="AB132"/>
      <c s="58" r="AC132"/>
      <c s="58" r="AD132"/>
      <c s="58" r="AE132"/>
      <c s="58" r="AF132"/>
      <c s="58" r="AG132"/>
      <c s="47" r="AH132">
        <f>((AC132*0.6637)+AE132)+AG132</f>
        <v>0</v>
      </c>
      <c s="94" r="AI132">
        <f>(AA132*2.3)+(AD132)</f>
        <v>138</v>
      </c>
      <c s="109" r="AJ132"/>
      <c s="44" r="AK132"/>
      <c s="30" r="AL132"/>
      <c s="30" r="AM132"/>
      <c s="30" r="AN132"/>
      <c s="30" r="AO132"/>
    </row>
    <row r="133">
      <c t="str" s="106" r="A133">
        <f>(((B133&amp;" ")&amp;C133)&amp;" ")&amp;E133</f>
        <v>Void Sentry Legplates Violet Hold Zuramat 529.2656000000001</v>
      </c>
      <c t="s" s="38" r="B133">
        <v>305</v>
      </c>
      <c t="s" s="38" r="C133">
        <v>306</v>
      </c>
      <c t="s" s="38" r="D133">
        <v>279</v>
      </c>
      <c s="114" r="E133">
        <f>(F133+G133)+H133</f>
        <v>529.2656</v>
      </c>
      <c s="121" r="F133">
        <f>((((((J133*0.1)+(O133*1.25))+R133)+S133)+V133)+(X133*0.5))+(AF133*0.2)</f>
        <v>254.6</v>
      </c>
      <c s="121" r="G133">
        <f>+((K133*1.06)*1.06)</f>
        <v>107.8656</v>
      </c>
      <c s="121" r="H133">
        <f>((((AB133)+(0.3*K133))+AG133)+(AF133*0.6))+AI133</f>
        <v>166.8</v>
      </c>
      <c s="98" r="I133">
        <f>((((0.05*O133)+(0.053*V133))+(0.04*AC133))+(0.042*S133))/100.0</f>
        <v>0.032</v>
      </c>
      <c s="10" r="J133">
        <v>1746</v>
      </c>
      <c s="105" r="K133">
        <f>L133+M133</f>
        <v>96</v>
      </c>
      <c s="10" r="L133">
        <v>78</v>
      </c>
      <c s="58" r="M133">
        <f>12.0+6.0</f>
        <v>18</v>
      </c>
      <c t="s" s="58" r="N133">
        <v>147</v>
      </c>
      <c s="105" r="O133">
        <f>P133+Q133</f>
        <v>64</v>
      </c>
      <c s="10" r="P133">
        <v>56</v>
      </c>
      <c s="58" r="Q133">
        <v>8</v>
      </c>
      <c s="58" r="R133"/>
      <c s="105" r="S133">
        <f>T133+U133</f>
        <v>0</v>
      </c>
      <c s="10" r="T133"/>
      <c s="58" r="U133"/>
      <c s="58" r="V133"/>
      <c s="58" r="W133"/>
      <c s="58" r="X133"/>
      <c s="58" r="Y133"/>
      <c s="58" r="Z133"/>
      <c s="58" r="AA133">
        <v>60</v>
      </c>
      <c s="58" r="AB133"/>
      <c s="58" r="AC133"/>
      <c s="58" r="AD133"/>
      <c s="58" r="AE133"/>
      <c s="58" r="AF133"/>
      <c s="58" r="AG133"/>
      <c s="47" r="AH133">
        <f>((AC133*0.6637)+AE133)+AG133</f>
        <v>0</v>
      </c>
      <c s="94" r="AI133">
        <f>(AA133*2.3)+(AD133)</f>
        <v>138</v>
      </c>
      <c s="109" r="AJ133"/>
      <c s="44" r="AK133"/>
      <c s="30" r="AL133"/>
      <c s="30" r="AM133"/>
      <c s="30" r="AN133"/>
      <c s="30" r="AO133"/>
    </row>
    <row r="134">
      <c t="str" s="106" r="A134">
        <f>(((B134&amp;" ")&amp;C134)&amp;" ")&amp;E134</f>
        <v>Ley Guardian's Legguards ? 527.936</v>
      </c>
      <c t="s" s="65" r="B134">
        <v>307</v>
      </c>
      <c t="s" s="58" r="C134">
        <v>242</v>
      </c>
      <c t="s" s="58" r="D134">
        <v>279</v>
      </c>
      <c s="114" r="E134">
        <f>(F134+G134)+H134</f>
        <v>527.936</v>
      </c>
      <c s="121" r="F134">
        <f>((((((J134*0.1)+(O134*1.25))+R134)+S134)+V134)+(X134*0.5))+(AF134*0.2)</f>
        <v>295.75</v>
      </c>
      <c s="121" r="G134">
        <f>+((K134*1.06)*1.06)</f>
        <v>151.686</v>
      </c>
      <c s="121" r="H134">
        <f>((((AB134)+(0.3*K134))+AG134)+(AF134*0.6))+AI134</f>
        <v>80.5</v>
      </c>
      <c s="98" r="I134">
        <f>((((0.05*O134)+(0.053*V134))+(0.04*AC134))+(0.042*S134))/100.0</f>
        <v>0.0425</v>
      </c>
      <c s="10" r="J134">
        <v>1895</v>
      </c>
      <c s="105" r="K134">
        <f>L134+M134</f>
        <v>135</v>
      </c>
      <c s="10" r="L134">
        <f>117.0</f>
        <v>117</v>
      </c>
      <c s="58" r="M134">
        <f>12.0+6.0</f>
        <v>18</v>
      </c>
      <c t="s" s="58" r="N134">
        <v>304</v>
      </c>
      <c s="105" r="O134">
        <f>P134+Q134</f>
        <v>85</v>
      </c>
      <c s="10" r="P134">
        <f>77.0</f>
        <v>77</v>
      </c>
      <c s="58" r="Q134">
        <v>8</v>
      </c>
      <c s="58" r="R134"/>
      <c s="105" r="S134">
        <f>T134+U134</f>
        <v>0</v>
      </c>
      <c s="10" r="T134"/>
      <c s="58" r="U134"/>
      <c s="58" r="V134"/>
      <c s="58" r="W134"/>
      <c s="58" r="X134"/>
      <c s="58" r="Y134"/>
      <c s="58" r="Z134"/>
      <c s="58" r="AA134"/>
      <c s="58" r="AB134"/>
      <c s="58" r="AC134"/>
      <c s="58" r="AD134"/>
      <c s="58" r="AE134"/>
      <c s="58" r="AF134"/>
      <c s="58" r="AG134">
        <v>40</v>
      </c>
      <c s="47" r="AH134">
        <f>((AC134*0.6637)+AE134)+AG134</f>
        <v>40</v>
      </c>
      <c s="94" r="AI134">
        <f>(AA134*2.3)+(AD134)</f>
        <v>0</v>
      </c>
      <c s="109" r="AJ134"/>
      <c s="44" r="AK134"/>
      <c s="30" r="AL134"/>
      <c s="30" r="AM134"/>
      <c s="30" r="AN134"/>
      <c s="30" r="AO134"/>
    </row>
    <row r="135">
      <c t="str" s="106" r="A135">
        <f>(((B135&amp;" ")&amp;C135)&amp;" ")&amp;E135</f>
        <v>Praetorian's Leggaurds (sta/def, sta/def, sta/str) Akama 504.4612000000001</v>
      </c>
      <c t="s" s="15" r="B135">
        <v>308</v>
      </c>
      <c t="s" s="15" r="C135">
        <v>158</v>
      </c>
      <c t="s" s="58" r="D135">
        <v>279</v>
      </c>
      <c s="114" r="E135">
        <f>(F135+G135)+H135</f>
        <v>504.4612</v>
      </c>
      <c s="121" r="F135">
        <f>((((((J135*0.1)+(O135*1.25))+R135)+S135)+V135)+(X135*0.5))+(AF135*0.2)</f>
        <v>239.4</v>
      </c>
      <c s="121" r="G135">
        <f>+((K135*1.06)*1.06)</f>
        <v>131.4612</v>
      </c>
      <c s="121" r="H135">
        <f>((((AB135)+(0.3*K135))+AG135)+(AF135*0.6))+AI135</f>
        <v>133.6</v>
      </c>
      <c s="98" r="I135">
        <f>((((0.05*O135)+(0.053*V135))+(0.04*AC135))+(0.042*S135))/100.0</f>
        <v>0.03838</v>
      </c>
      <c s="10" r="J135">
        <v>1544</v>
      </c>
      <c s="105" r="K135">
        <f>L135+M135</f>
        <v>117</v>
      </c>
      <c s="10" r="L135">
        <f>75.0</f>
        <v>75</v>
      </c>
      <c s="58" r="M135">
        <f>((12.0+12.0)+12.0)+6.0</f>
        <v>42</v>
      </c>
      <c t="s" s="58" r="N135">
        <v>309</v>
      </c>
      <c s="105" r="O135">
        <f>P135+Q135</f>
        <v>16</v>
      </c>
      <c s="10" r="P135">
        <f>0.0</f>
        <v>0</v>
      </c>
      <c s="58" r="Q135">
        <f>8.0+8.0</f>
        <v>16</v>
      </c>
      <c s="58" r="R135"/>
      <c s="105" r="S135">
        <f>T135+U135</f>
        <v>37</v>
      </c>
      <c s="10" r="T135">
        <v>29</v>
      </c>
      <c s="58" r="U135">
        <v>8</v>
      </c>
      <c s="58" r="V135">
        <v>28</v>
      </c>
      <c s="58" r="W135"/>
      <c s="58" r="X135"/>
      <c s="58" r="Y135"/>
      <c s="58" r="Z135"/>
      <c s="58" r="AA135">
        <f>35.0</f>
        <v>35</v>
      </c>
      <c s="58" r="AB135"/>
      <c s="58" r="AC135"/>
      <c s="58" r="AD135"/>
      <c s="58" r="AE135"/>
      <c s="58" r="AF135"/>
      <c s="58" r="AG135">
        <v>18</v>
      </c>
      <c s="47" r="AH135">
        <f>((AC135*0.6637)+AE135)+AG135</f>
        <v>18</v>
      </c>
      <c s="94" r="AI135">
        <f>(AA135*2.3)+(AD135)</f>
        <v>80.5</v>
      </c>
      <c s="109" r="AJ135"/>
      <c s="44" r="AK135"/>
      <c s="30" r="AL135"/>
      <c s="30" r="AM135"/>
      <c s="30" r="AN135"/>
      <c s="30" r="AO135"/>
    </row>
    <row r="136">
      <c t="str" s="106" r="A136">
        <f>(((B136&amp;" ")&amp;C136)&amp;" ")&amp;E136</f>
        <v>Lightbringer Leggards (sta) Council 499.5448</v>
      </c>
      <c t="s" s="15" r="B136">
        <v>310</v>
      </c>
      <c t="s" s="15" r="C136">
        <v>311</v>
      </c>
      <c t="s" s="58" r="D136">
        <v>279</v>
      </c>
      <c s="114" r="E136">
        <f>(F136+G136)+H136</f>
        <v>499.5448</v>
      </c>
      <c s="121" r="F136">
        <f>((((((J136*0.1)+(O136*1.25))+R136)+S136)+V136)+(X136*0.5))+(AF136*0.2)</f>
        <v>242.95</v>
      </c>
      <c s="121" r="G136">
        <f>+((K136*1.06)*1.06)</f>
        <v>104.4948</v>
      </c>
      <c s="121" r="H136">
        <f>((((AB136)+(0.3*K136))+AG136)+(AF136*0.6))+AI136</f>
        <v>152.1</v>
      </c>
      <c s="98" r="I136">
        <f>((((0.05*O136)+(0.053*V136))+(0.04*AC136))+(0.042*S136))/100.0</f>
        <v>0.03811</v>
      </c>
      <c s="10" r="J136">
        <v>1597</v>
      </c>
      <c s="105" r="K136">
        <f>L136+M136</f>
        <v>93</v>
      </c>
      <c s="10" r="L136">
        <f>69.0</f>
        <v>69</v>
      </c>
      <c s="58" r="M136">
        <f>24.0</f>
        <v>24</v>
      </c>
      <c t="s" s="58" r="N136">
        <v>304</v>
      </c>
      <c s="105" r="O136">
        <f>P136+Q136</f>
        <v>37</v>
      </c>
      <c s="10" r="P136">
        <v>37</v>
      </c>
      <c s="58" r="Q136"/>
      <c s="58" r="R136"/>
      <c s="105" r="S136">
        <f>T136+U136</f>
        <v>0</v>
      </c>
      <c s="10" r="T136"/>
      <c s="58" r="U136"/>
      <c s="58" r="V136">
        <v>37</v>
      </c>
      <c s="58" r="W136"/>
      <c s="58" r="X136"/>
      <c s="58" r="Y136"/>
      <c s="58" r="Z136"/>
      <c s="58" r="AA136">
        <v>54</v>
      </c>
      <c s="58" r="AB136"/>
      <c s="58" r="AC136"/>
      <c s="58" r="AD136"/>
      <c s="58" r="AE136"/>
      <c s="58" r="AF136"/>
      <c s="58" r="AG136"/>
      <c s="47" r="AH136">
        <f>((AC136*0.6637)+AE136)+AG136</f>
        <v>0</v>
      </c>
      <c s="94" r="AI136">
        <f>(AA136*2.3)+(AD136)</f>
        <v>124.2</v>
      </c>
      <c s="109" r="AJ136"/>
      <c s="44" r="AK136"/>
      <c s="30" r="AL136"/>
      <c s="30" r="AM136"/>
      <c s="30" r="AN136"/>
      <c s="30" r="AO136"/>
    </row>
    <row r="137">
      <c t="str" s="106" r="A137">
        <f>(((B137&amp;" ")&amp;C137)&amp;" ")&amp;E137</f>
        <v>Sunguard legplates (sta,sta) 100 Badges 490.6236</v>
      </c>
      <c t="s" s="15" r="B137">
        <v>312</v>
      </c>
      <c t="s" s="15" r="C137">
        <v>112</v>
      </c>
      <c t="s" s="58" r="D137">
        <v>279</v>
      </c>
      <c s="114" r="E137">
        <f>(F137+G137)+H137</f>
        <v>490.6236</v>
      </c>
      <c s="121" r="F137">
        <f>((((((J137*0.1)+(O137*1.25))+R137)+S137)+V137)+(X137*0.5))+(AF137*0.2)</f>
        <v>230.75</v>
      </c>
      <c s="121" r="G137">
        <f>+((K137*1.06)*1.06)</f>
        <v>141.5736</v>
      </c>
      <c s="121" r="H137">
        <f>((((AB137)+(0.3*K137))+AG137)+(AF137*0.6))+AI137</f>
        <v>118.3</v>
      </c>
      <c s="98" r="I137">
        <f>((((0.05*O137)+(0.053*V137))+(0.04*AC137))+(0.042*S137))/100.0</f>
        <v>0.03234</v>
      </c>
      <c s="10" r="J137">
        <v>1544</v>
      </c>
      <c s="105" r="K137">
        <f>L137+M137</f>
        <v>126</v>
      </c>
      <c s="10" r="L137">
        <f>78.0</f>
        <v>78</v>
      </c>
      <c s="58" r="M137">
        <f>24.0+24.0</f>
        <v>48</v>
      </c>
      <c t="s" s="58" r="N137">
        <v>165</v>
      </c>
      <c s="105" r="O137">
        <f>P137+Q137</f>
        <v>35</v>
      </c>
      <c s="10" r="P137">
        <v>35</v>
      </c>
      <c s="58" r="Q137"/>
      <c s="58" r="R137"/>
      <c s="105" r="S137">
        <f>T137+U137</f>
        <v>0</v>
      </c>
      <c s="10" r="T137"/>
      <c s="58" r="U137"/>
      <c s="58" r="V137">
        <v>28</v>
      </c>
      <c s="58" r="W137"/>
      <c s="58" r="X137"/>
      <c s="58" r="Y137"/>
      <c s="58" r="Z137"/>
      <c s="58" r="AA137">
        <v>29</v>
      </c>
      <c s="58" r="AB137"/>
      <c s="58" r="AC137"/>
      <c s="58" r="AD137"/>
      <c s="58" r="AE137"/>
      <c s="58" r="AF137">
        <v>23</v>
      </c>
      <c s="58" r="AG137"/>
      <c s="47" r="AH137">
        <f>((AC137*0.6637)+AE137)+AG137</f>
        <v>0</v>
      </c>
      <c s="94" r="AI137">
        <f>(AA137*2.3)+(AD137)</f>
        <v>66.7</v>
      </c>
      <c s="109" r="AJ137"/>
      <c s="44" r="AK137"/>
      <c s="30" r="AL137"/>
      <c s="30" r="AM137"/>
      <c s="30" r="AN137"/>
      <c s="30" r="AO137"/>
    </row>
    <row r="138">
      <c t="str" s="106" r="A138">
        <f>(((B138&amp;" ")&amp;C138)&amp;" ")&amp;E138</f>
        <v>Unwavering Leggards (sta, sta/def, sta/str) 75 Badges 467.65560000000005</v>
      </c>
      <c t="s" s="15" r="B138">
        <v>313</v>
      </c>
      <c t="s" s="15" r="C138">
        <v>133</v>
      </c>
      <c t="s" s="58" r="D138">
        <v>279</v>
      </c>
      <c s="114" r="E138">
        <f>(F138+G138)+H138</f>
        <v>467.6556</v>
      </c>
      <c s="121" r="F138">
        <f>((((((J138*0.1)+(O138*1.25))+R138)+S138)+V138)+(X138*0.5))+(AF138*0.2)</f>
        <v>235.6</v>
      </c>
      <c s="121" r="G138">
        <f>+((K138*1.06)*1.06)</f>
        <v>135.9556</v>
      </c>
      <c s="121" r="H138">
        <f>((((AB138)+(0.3*K138))+AG138)+(AF138*0.6))+AI138</f>
        <v>96.1</v>
      </c>
      <c s="98" r="I138">
        <f>((((0.05*O138)+(0.053*V138))+(0.04*AC138))+(0.042*S138))/100.0</f>
        <v>0.01836</v>
      </c>
      <c s="10" r="J138">
        <v>1406</v>
      </c>
      <c s="105" r="K138">
        <f>L138+M138</f>
        <v>121</v>
      </c>
      <c s="10" r="L138">
        <f>73.0</f>
        <v>73</v>
      </c>
      <c s="58" r="M138">
        <f>(24.0+12.0)+12.0</f>
        <v>48</v>
      </c>
      <c t="s" s="58" r="N138">
        <v>128</v>
      </c>
      <c s="105" r="O138">
        <f>P138+Q138</f>
        <v>30</v>
      </c>
      <c s="10" r="P138">
        <f>22.0</f>
        <v>22</v>
      </c>
      <c s="58" r="Q138">
        <v>8</v>
      </c>
      <c s="58" r="R138">
        <v>30</v>
      </c>
      <c s="105" r="S138">
        <f>T138+U138</f>
        <v>8</v>
      </c>
      <c s="10" r="T138"/>
      <c s="58" r="U138">
        <v>8</v>
      </c>
      <c s="58" r="V138"/>
      <c s="58" r="W138"/>
      <c s="58" r="X138">
        <v>39</v>
      </c>
      <c s="58" r="Y138"/>
      <c s="58" r="Z138"/>
      <c s="58" r="AA138">
        <f>26.0</f>
        <v>26</v>
      </c>
      <c s="86" r="AB138"/>
      <c s="58" r="AC138"/>
      <c s="58" r="AD138"/>
      <c s="58" r="AE138"/>
      <c s="58" r="AF138"/>
      <c s="58" r="AG138"/>
      <c s="47" r="AH138">
        <f>((AC138*0.6637)+AE138)+AG138</f>
        <v>0</v>
      </c>
      <c s="94" r="AI138">
        <f>(AA138*2.3)+(AD138)</f>
        <v>59.8</v>
      </c>
      <c s="109" r="AJ138"/>
      <c s="44" r="AK138"/>
      <c s="30" r="AL138"/>
      <c s="30" r="AM138"/>
      <c s="30" r="AN138"/>
      <c s="30" r="AO138"/>
    </row>
    <row r="139">
      <c t="str" s="106" r="A139">
        <f>(((B139&amp;" ")&amp;C139)&amp;" ")&amp;E139</f>
        <v>Inscribed Legplates of the Aldor (sta/str,sta/def) 100 Badges 465.4572</v>
      </c>
      <c t="s" s="15" r="B139">
        <v>314</v>
      </c>
      <c t="s" s="15" r="C139">
        <v>112</v>
      </c>
      <c t="s" s="58" r="D139">
        <v>279</v>
      </c>
      <c s="114" r="E139">
        <f>(F139+G139)+H139</f>
        <v>465.4572</v>
      </c>
      <c s="121" r="F139">
        <f>((((((J139*0.1)+(O139*1.25))+R139)+S139)+V139)+(X139*0.5))+(AF139*0.2)</f>
        <v>246.65</v>
      </c>
      <c s="121" r="G139">
        <f>+((K139*1.06)*1.06)</f>
        <v>114.6072</v>
      </c>
      <c s="121" r="H139">
        <f>((((AB139)+(0.3*K139))+AG139)+(AF139*0.6))+AI139</f>
        <v>104.2</v>
      </c>
      <c s="98" r="I139">
        <f>((((0.05*O139)+(0.053*V139))+(0.04*AC139))+(0.042*S139))/100.0</f>
        <v>0.04265</v>
      </c>
      <c s="10" r="J139">
        <v>1544</v>
      </c>
      <c s="105" r="K139">
        <f>L139+M139</f>
        <v>102</v>
      </c>
      <c s="10" r="L139">
        <f>78.0</f>
        <v>78</v>
      </c>
      <c s="58" r="M139">
        <f>12.0+12.0</f>
        <v>24</v>
      </c>
      <c t="s" s="58" r="N139">
        <v>159</v>
      </c>
      <c s="105" r="O139">
        <f>P139+Q139</f>
        <v>33</v>
      </c>
      <c s="10" r="P139">
        <f>25.0</f>
        <v>25</v>
      </c>
      <c s="58" r="Q139">
        <v>8</v>
      </c>
      <c s="58" r="R139"/>
      <c s="105" r="S139">
        <f>T139+U139</f>
        <v>8</v>
      </c>
      <c s="10" r="T139"/>
      <c s="58" r="U139">
        <v>8</v>
      </c>
      <c s="58" r="V139">
        <v>43</v>
      </c>
      <c s="58" r="W139"/>
      <c s="58" r="X139"/>
      <c s="58" r="Y139"/>
      <c s="58" r="Z139"/>
      <c s="58" r="AA139">
        <f>32.0</f>
        <v>32</v>
      </c>
      <c s="58" r="AB139"/>
      <c s="58" r="AC139"/>
      <c s="58" r="AD139"/>
      <c s="58" r="AE139"/>
      <c s="58" r="AF139"/>
      <c s="58" r="AG139"/>
      <c s="47" r="AH139">
        <f>((AC139*0.6637)+AE139)+AG139</f>
        <v>0</v>
      </c>
      <c s="94" r="AI139">
        <f>(AA139*2.3)+(AD139)</f>
        <v>73.6</v>
      </c>
      <c s="109" r="AJ139"/>
      <c s="44" r="AK139"/>
      <c s="30" r="AL139"/>
      <c s="30" r="AM139"/>
      <c s="30" r="AN139"/>
      <c s="30" r="AO139"/>
    </row>
    <row r="140">
      <c t="str" s="106" r="A140">
        <f>(((B140&amp;" ")&amp;C140)&amp;" ")&amp;E140</f>
        <v>Tempered Saronite Legplates Crafted 462.9904</v>
      </c>
      <c t="s" s="65" r="B140">
        <v>315</v>
      </c>
      <c t="s" s="58" r="C140">
        <v>73</v>
      </c>
      <c t="s" s="58" r="D140">
        <v>279</v>
      </c>
      <c s="114" r="E140">
        <f>(F140+G140)+H140</f>
        <v>462.9904</v>
      </c>
      <c s="121" r="F140">
        <f>((((((J140*0.1)+(O140*1.25))+R140)+S140)+V140)+(X140*0.5))+(AF140*0.2)</f>
        <v>201.8</v>
      </c>
      <c s="121" r="G140">
        <f>+((K140*1.06)*1.06)</f>
        <v>128.0904</v>
      </c>
      <c s="121" r="H140">
        <f>((((AB140)+(0.3*K140))+AG140)+(AF140*0.6))+AI140</f>
        <v>133.1</v>
      </c>
      <c s="98" r="I140">
        <f>((((0.05*O140)+(0.053*V140))+(0.04*AC140))+(0.042*S140))/100.0</f>
        <v>0.016</v>
      </c>
      <c s="10" r="J140">
        <v>1618</v>
      </c>
      <c s="105" r="K140">
        <f>L140+M140</f>
        <v>114</v>
      </c>
      <c s="10" r="L140">
        <v>114</v>
      </c>
      <c s="58" r="M140"/>
      <c s="58" r="N140"/>
      <c s="105" r="O140">
        <f>P140+Q140</f>
        <v>32</v>
      </c>
      <c s="10" r="P140">
        <v>32</v>
      </c>
      <c s="58" r="Q140"/>
      <c s="58" r="R140"/>
      <c s="105" r="S140">
        <f>T140+U140</f>
        <v>0</v>
      </c>
      <c s="10" r="T140"/>
      <c s="58" r="U140"/>
      <c s="58" r="V140"/>
      <c s="58" r="W140"/>
      <c s="58" r="X140"/>
      <c s="58" r="Y140"/>
      <c s="58" r="Z140"/>
      <c s="58" r="AA140">
        <v>43</v>
      </c>
      <c s="58" r="AB140"/>
      <c s="58" r="AC140"/>
      <c s="58" r="AD140"/>
      <c s="58" r="AE140"/>
      <c s="58" r="AF140"/>
      <c s="58" r="AG140"/>
      <c s="47" r="AH140">
        <f>((AC140*0.6637)+AE140)+AG140</f>
        <v>0</v>
      </c>
      <c s="94" r="AI140">
        <f>(AA140*2.3)+(AD140)</f>
        <v>98.9</v>
      </c>
      <c s="109" r="AJ140"/>
      <c s="44" r="AK140"/>
      <c s="30" r="AL140"/>
      <c s="30" r="AM140"/>
      <c s="30" r="AN140"/>
      <c s="30" r="AO140"/>
    </row>
    <row r="141">
      <c t="str" s="106" r="A141">
        <f>(((B141&amp;" ")&amp;C141)&amp;" ")&amp;E141</f>
        <v>Crystalforge Legguards (sta/def) FLK 435.80760000000004</v>
      </c>
      <c t="s" s="15" r="B141">
        <v>316</v>
      </c>
      <c t="s" s="15" r="C141">
        <v>317</v>
      </c>
      <c t="s" s="58" r="D141">
        <v>279</v>
      </c>
      <c s="114" r="E141">
        <f>(F141+G141)+H141</f>
        <v>435.8076</v>
      </c>
      <c s="121" r="F141">
        <f>((((((J141*0.1)+(O141*1.25))+R141)+S141)+V141)+(X141*0.5))+(AF141*0.2)</f>
        <v>252.15</v>
      </c>
      <c s="121" r="G141">
        <f>+((K141*1.06)*1.06)</f>
        <v>74.1576</v>
      </c>
      <c s="121" r="H141">
        <f>((((AB141)+(0.3*K141))+AG141)+(AF141*0.6))+AI141</f>
        <v>109.5</v>
      </c>
      <c s="98" r="I141">
        <f>((((0.05*O141)+(0.053*V141))+(0.04*AC141))+(0.042*S141))/100.0</f>
        <v>0.0215</v>
      </c>
      <c s="10" r="J141">
        <v>1459</v>
      </c>
      <c s="105" r="K141">
        <f>L141+M141</f>
        <v>66</v>
      </c>
      <c s="10" r="L141">
        <f>54.0</f>
        <v>54</v>
      </c>
      <c s="58" r="M141">
        <f>12.0</f>
        <v>12</v>
      </c>
      <c t="s" s="58" r="N141">
        <v>304</v>
      </c>
      <c s="105" r="O141">
        <f>P141+Q141</f>
        <v>43</v>
      </c>
      <c s="10" r="P141">
        <f>35.0</f>
        <v>35</v>
      </c>
      <c s="58" r="Q141">
        <v>8</v>
      </c>
      <c s="58" r="R141">
        <v>35</v>
      </c>
      <c s="105" r="S141">
        <f>T141+U141</f>
        <v>0</v>
      </c>
      <c s="10" r="T141"/>
      <c s="58" r="U141"/>
      <c s="58" r="V141"/>
      <c s="58" r="W141"/>
      <c s="58" r="X141">
        <v>35</v>
      </c>
      <c s="58" r="Y141"/>
      <c s="58" r="Z141"/>
      <c s="58" r="AA141">
        <v>39</v>
      </c>
      <c s="58" r="AB141"/>
      <c s="58" r="AC141"/>
      <c s="58" r="AD141"/>
      <c s="58" r="AE141"/>
      <c s="58" r="AF141"/>
      <c s="58" r="AG141"/>
      <c s="47" r="AH141">
        <f>((AC141*0.6637)+AE141)+AG141</f>
        <v>0</v>
      </c>
      <c s="94" r="AI141">
        <f>(AA141*2.3)+(AD141)</f>
        <v>89.7</v>
      </c>
      <c s="109" r="AJ141"/>
      <c s="44" r="AK141"/>
      <c s="30" r="AL141"/>
      <c s="30" r="AM141"/>
      <c s="30" r="AN141"/>
      <c s="30" r="AO141"/>
    </row>
    <row r="142">
      <c t="str" s="106" r="A142">
        <f>(((B142&amp;" ")&amp;C142)&amp;" ")&amp;E142</f>
        <v>Leggings of Forceful Purification Quest Reward  426.0532</v>
      </c>
      <c t="s" s="38" r="B142">
        <v>318</v>
      </c>
      <c t="s" s="38" r="C142">
        <v>198</v>
      </c>
      <c t="s" s="38" r="D142">
        <v>279</v>
      </c>
      <c s="114" r="E142">
        <f>(F142+G142)+H142</f>
        <v>426.0532</v>
      </c>
      <c s="121" r="F142">
        <f>((((((J142*0.1)+(O142*1.25))+R142)+S142)+V142)+(X142*0.5))+(AF142*0.2)</f>
        <v>214.8</v>
      </c>
      <c s="121" r="G142">
        <f>+((K142*1.06)*1.06)</f>
        <v>97.7532</v>
      </c>
      <c s="121" r="H142">
        <f>((((AB142)+(0.3*K142))+AG142)+(AF142*0.6))+AI142</f>
        <v>113.5</v>
      </c>
      <c s="98" r="I142">
        <f>((((0.05*O142)+(0.053*V142))+(0.04*AC142))+(0.042*S142))/100.0</f>
        <v>0.025</v>
      </c>
      <c s="10" r="J142">
        <v>1523</v>
      </c>
      <c s="105" r="K142">
        <f>L142+M142</f>
        <v>87</v>
      </c>
      <c s="10" r="L142">
        <v>87</v>
      </c>
      <c s="58" r="M142"/>
      <c s="58" r="N142"/>
      <c s="105" r="O142">
        <f>P142+Q142</f>
        <v>50</v>
      </c>
      <c s="10" r="P142">
        <v>50</v>
      </c>
      <c s="58" r="Q142"/>
      <c s="58" r="R142"/>
      <c s="105" r="S142">
        <f>T142+U142</f>
        <v>0</v>
      </c>
      <c s="10" r="T142"/>
      <c s="58" r="U142"/>
      <c s="58" r="V142"/>
      <c s="58" r="W142"/>
      <c s="58" r="X142"/>
      <c s="58" r="Y142"/>
      <c s="58" r="Z142"/>
      <c s="58" r="AA142">
        <v>38</v>
      </c>
      <c s="58" r="AB142"/>
      <c s="58" r="AC142"/>
      <c s="58" r="AD142"/>
      <c s="58" r="AE142"/>
      <c s="58" r="AF142"/>
      <c s="58" r="AG142"/>
      <c s="47" r="AH142">
        <f>((AC142*0.6637)+AE142)+AG142</f>
        <v>0</v>
      </c>
      <c s="94" r="AI142">
        <f>(AA142*2.3)+(AD142)</f>
        <v>87.4</v>
      </c>
      <c s="109" r="AJ142"/>
      <c s="44" r="AK142"/>
      <c s="30" r="AL142"/>
      <c s="30" r="AM142"/>
      <c s="30" r="AN142"/>
      <c s="30" r="AO142"/>
    </row>
    <row r="143">
      <c t="str" s="106" r="A143">
        <f>(((B143&amp;" ")&amp;C143)&amp;" ")&amp;E143</f>
        <v>Muradin's Lost Greaves Drak'Tharon Keep Tharon'ja 416.5272</v>
      </c>
      <c t="s" s="38" r="B143">
        <v>319</v>
      </c>
      <c t="s" s="38" r="C143">
        <v>320</v>
      </c>
      <c t="s" s="38" r="D143">
        <v>279</v>
      </c>
      <c s="114" r="E143">
        <f>(F143+G143)+H143</f>
        <v>416.5272</v>
      </c>
      <c s="121" r="F143">
        <f>((((((J143*0.1)+(O143*1.25))+R143)+S143)+V143)+(X143*0.5))+(AF143*0.2)</f>
        <v>186.9</v>
      </c>
      <c s="121" r="G143">
        <f>+((K143*1.06)*1.06)</f>
        <v>58.4272</v>
      </c>
      <c s="121" r="H143">
        <f>((((AB143)+(0.3*K143))+AG143)+(AF143*0.6))+AI143</f>
        <v>171.2</v>
      </c>
      <c s="98" r="I143">
        <f>((((0.05*O143)+(0.053*V143))+(0.04*AC143))+(0.042*S143))/100.0</f>
        <v>0</v>
      </c>
      <c s="10" r="J143">
        <v>1703</v>
      </c>
      <c s="105" r="K143">
        <f>L143+M143</f>
        <v>52</v>
      </c>
      <c s="10" r="L143">
        <v>52</v>
      </c>
      <c s="58" r="M143"/>
      <c s="58" r="N143"/>
      <c s="105" r="O143">
        <f>P143+Q143</f>
        <v>0</v>
      </c>
      <c s="10" r="P143"/>
      <c s="58" r="Q143"/>
      <c s="58" r="R143"/>
      <c s="105" r="S143">
        <f>T143+U143</f>
        <v>0</v>
      </c>
      <c s="10" r="T143"/>
      <c s="58" r="U143"/>
      <c s="58" r="V143"/>
      <c s="58" r="W143"/>
      <c s="58" r="X143"/>
      <c s="58" r="Y143"/>
      <c s="58" r="Z143"/>
      <c s="58" r="AA143">
        <v>46</v>
      </c>
      <c s="58" r="AB143"/>
      <c s="58" r="AC143"/>
      <c s="58" r="AD143"/>
      <c s="58" r="AE143"/>
      <c s="58" r="AF143">
        <v>83</v>
      </c>
      <c s="58" r="AG143"/>
      <c s="47" r="AH143">
        <f>((AC143*0.6637)+AE143)+AG143</f>
        <v>0</v>
      </c>
      <c s="94" r="AI143">
        <f>(AA143*2.3)+(AD143)</f>
        <v>105.8</v>
      </c>
      <c s="109" r="AJ143"/>
      <c s="44" r="AK143"/>
      <c s="30" r="AL143"/>
      <c s="30" r="AM143"/>
      <c s="30" r="AN143"/>
      <c s="30" r="AO143"/>
    </row>
    <row r="144">
      <c t="str" s="106" r="A144">
        <f>(((B144&amp;" ")&amp;C144)&amp;" ")&amp;E144</f>
        <v>Justicar Legguards Gruul 375.5356</v>
      </c>
      <c t="s" s="15" r="B144">
        <v>321</v>
      </c>
      <c t="s" s="15" r="C144">
        <v>322</v>
      </c>
      <c t="s" s="58" r="D144">
        <v>279</v>
      </c>
      <c s="114" r="E144">
        <f>(F144+G144)+H144</f>
        <v>375.5356</v>
      </c>
      <c s="121" r="F144">
        <f>((((((J144*0.1)+(O144*1.25))+R144)+S144)+V144)+(X144*0.5))+(AF144*0.2)</f>
        <v>201.95</v>
      </c>
      <c s="121" r="G144">
        <f>+((K144*1.06)*1.06)</f>
        <v>51.6856</v>
      </c>
      <c s="121" r="H144">
        <f>((((AB144)+(0.3*K144))+AG144)+(AF144*0.6))+AI144</f>
        <v>121.9</v>
      </c>
      <c s="98" r="I144">
        <f>((((0.05*O144)+(0.053*V144))+(0.04*AC144))+(0.042*S144))/100.0</f>
        <v>0.02852</v>
      </c>
      <c s="10" r="J144">
        <v>1322</v>
      </c>
      <c s="105" r="K144">
        <f>L144+M144</f>
        <v>46</v>
      </c>
      <c s="10" r="L144">
        <v>46</v>
      </c>
      <c s="58" r="M144"/>
      <c s="58" r="N144"/>
      <c s="105" r="O144">
        <f>P144+Q144</f>
        <v>31</v>
      </c>
      <c s="10" r="P144">
        <v>31</v>
      </c>
      <c s="58" r="Q144"/>
      <c s="58" r="R144"/>
      <c s="105" r="S144">
        <f>T144+U144</f>
        <v>31</v>
      </c>
      <c s="10" r="T144">
        <v>31</v>
      </c>
      <c s="58" r="U144"/>
      <c s="58" r="V144"/>
      <c s="58" r="W144"/>
      <c s="58" r="X144"/>
      <c s="58" r="Y144"/>
      <c s="58" r="Z144"/>
      <c s="58" r="AA144">
        <v>47</v>
      </c>
      <c s="58" r="AB144"/>
      <c s="58" r="AC144"/>
      <c s="58" r="AD144"/>
      <c s="58" r="AE144"/>
      <c s="58" r="AF144"/>
      <c s="58" r="AG144"/>
      <c s="47" r="AH144">
        <f>((AC144*0.6637)+AE144)+AG144</f>
        <v>0</v>
      </c>
      <c s="94" r="AI144">
        <f>(AA144*2.3)+(AD144)</f>
        <v>108.1</v>
      </c>
      <c s="109" r="AJ144"/>
      <c s="44" r="AK144"/>
      <c s="30" r="AL144"/>
      <c s="30" r="AM144"/>
      <c s="30" r="AN144"/>
      <c s="30" r="AO144"/>
    </row>
    <row r="145">
      <c t="str" s="106" r="A145">
        <f>(((B145&amp;" ")&amp;C145)&amp;" ")&amp;E145</f>
        <v>Wrynn Dynasty Greaves (sta/str,sta/def,sta/def) Curator 363.43240000000003</v>
      </c>
      <c t="s" s="15" r="B145">
        <v>323</v>
      </c>
      <c t="s" s="15" r="C145">
        <v>216</v>
      </c>
      <c t="s" s="58" r="D145">
        <v>279</v>
      </c>
      <c s="114" r="E145">
        <f>(F145+G145)+H145</f>
        <v>363.4324</v>
      </c>
      <c s="121" r="F145">
        <f>((((((J145*0.1)+(O145*1.25))+R145)+S145)+V145)+(X145*0.5))+(AF145*0.2)</f>
        <v>188.65</v>
      </c>
      <c s="121" r="G145">
        <f>+((K145*1.06)*1.06)</f>
        <v>94.3824</v>
      </c>
      <c s="121" r="H145">
        <f>((((AB145)+(0.3*K145))+AG145)+(AF145*0.6))+AI145</f>
        <v>80.4</v>
      </c>
      <c s="98" r="I145">
        <f>((((0.05*O145)+(0.053*V145))+(0.04*AC145))+(0.042*S145))/100.0</f>
        <v>0.02486</v>
      </c>
      <c s="10" r="J145">
        <v>1269</v>
      </c>
      <c s="105" r="K145">
        <f>L145+M145</f>
        <v>84</v>
      </c>
      <c s="10" r="L145">
        <v>48</v>
      </c>
      <c s="58" r="M145">
        <f>(12.0+12.0)+12.0</f>
        <v>36</v>
      </c>
      <c t="s" s="58" r="N145">
        <v>116</v>
      </c>
      <c s="105" r="O145">
        <f>P145+Q145</f>
        <v>43</v>
      </c>
      <c s="10" r="P145">
        <f>27.0</f>
        <v>27</v>
      </c>
      <c s="58" r="Q145">
        <f>8.0+8.0</f>
        <v>16</v>
      </c>
      <c s="58" r="R145"/>
      <c s="105" r="S145">
        <f>T145+U145</f>
        <v>8</v>
      </c>
      <c s="10" r="T145"/>
      <c s="58" r="U145">
        <v>8</v>
      </c>
      <c s="58" r="V145"/>
      <c s="58" r="W145"/>
      <c s="58" r="X145"/>
      <c s="58" r="Y145"/>
      <c s="58" r="Z145"/>
      <c s="58" r="AA145">
        <f>24.0</f>
        <v>24</v>
      </c>
      <c s="58" r="AB145"/>
      <c s="58" r="AC145"/>
      <c s="58" r="AD145"/>
      <c s="58" r="AE145"/>
      <c s="58" r="AF145"/>
      <c s="58" r="AG145"/>
      <c s="47" r="AH145">
        <f>((AC145*0.6637)+AE145)+AG145</f>
        <v>0</v>
      </c>
      <c s="94" r="AI145">
        <f>(AA145*2.3)+(AD145)</f>
        <v>55.2</v>
      </c>
      <c s="109" r="AJ145"/>
      <c s="44" r="AK145"/>
      <c s="30" r="AL145"/>
      <c s="30" r="AM145"/>
      <c s="30" r="AN145"/>
      <c s="30" r="AO145"/>
    </row>
    <row r="146">
      <c t="str" s="106" r="A146">
        <f>(((B146&amp;" ")&amp;C146)&amp;" ")&amp;E146</f>
        <v>Nexus War Champion beads Quest Reward  409.3432</v>
      </c>
      <c t="s" s="87" r="B146">
        <v>324</v>
      </c>
      <c t="s" s="107" r="C146">
        <v>198</v>
      </c>
      <c t="s" s="107" r="D146">
        <v>325</v>
      </c>
      <c s="114" r="E146">
        <f>(F146+G146)+H146</f>
        <v>409.3432</v>
      </c>
      <c s="121" r="F146">
        <f>((((((J146*0.1)+(O146*1.25))+R146)+S146)+V146)+(X146*0.5))+(AF146*0.2)</f>
        <v>105</v>
      </c>
      <c s="121" r="G146">
        <f>+((K146*1.06)*1.06)</f>
        <v>125.8432</v>
      </c>
      <c s="121" r="H146">
        <f>((((AB146)+(0.3*K146))+AG146)+(AF146*0.6))+AI146</f>
        <v>178.5</v>
      </c>
      <c s="98" r="I146">
        <f>((((0.05*O146)+(0.053*V146))+(0.04*AC146))+(0.042*S146))/100.0</f>
        <v>0.03164</v>
      </c>
      <c s="130" r="J146"/>
      <c s="24" r="K146">
        <f>L146+M146</f>
        <v>112</v>
      </c>
      <c s="130" r="L146">
        <v>94</v>
      </c>
      <c s="78" r="M146">
        <f>12.0+6.0</f>
        <v>18</v>
      </c>
      <c t="s" s="78" r="N146">
        <v>131</v>
      </c>
      <c s="24" r="O146">
        <f>P146+Q146</f>
        <v>28</v>
      </c>
      <c s="130" r="P146">
        <v>28</v>
      </c>
      <c s="78" r="Q146"/>
      <c s="78" r="R146">
        <v>28</v>
      </c>
      <c s="24" r="S146">
        <f>T146+U146</f>
        <v>42</v>
      </c>
      <c s="130" r="T146">
        <v>34</v>
      </c>
      <c s="78" r="U146">
        <v>8</v>
      </c>
      <c s="78" r="V146"/>
      <c s="78" r="W146"/>
      <c s="78" r="X146"/>
      <c s="78" r="Y146"/>
      <c s="78" r="Z146"/>
      <c s="78" r="AA146">
        <v>63</v>
      </c>
      <c s="78" r="AB146"/>
      <c s="78" r="AC146"/>
      <c s="78" r="AD146"/>
      <c s="78" r="AE146"/>
      <c s="78" r="AF146"/>
      <c s="78" r="AG146"/>
      <c s="47" r="AH146">
        <f>((AC146*0.6637)+AE146)+AG146</f>
        <v>0</v>
      </c>
      <c s="94" r="AI146">
        <f>(AA146*2.3)+(AD146)</f>
        <v>144.9</v>
      </c>
      <c s="109" r="AJ146"/>
      <c s="44" r="AK146"/>
      <c s="30" r="AL146"/>
      <c s="30" r="AM146"/>
      <c s="30" r="AN146"/>
      <c s="30" r="AO146"/>
    </row>
    <row r="147">
      <c t="str" s="106" r="A147">
        <f>(((B147&amp;" ")&amp;C147)&amp;" ")&amp;E147</f>
        <v>Boundless Ambition Naxx25 Kel'Thuzad 362.4184</v>
      </c>
      <c t="s" s="87" r="B147">
        <v>326</v>
      </c>
      <c t="s" s="107" r="C147">
        <v>327</v>
      </c>
      <c t="s" s="107" r="D147">
        <v>325</v>
      </c>
      <c s="114" r="E147">
        <f>(F147+G147)+H147</f>
        <v>362.4184</v>
      </c>
      <c s="121" r="F147">
        <f>((((((J147*0.1)+(O147*1.25))+R147)+S147)+V147)+(X147*0.5))+(AF147*0.2)</f>
        <v>97.3</v>
      </c>
      <c s="121" r="G147">
        <f>+((K147*1.06)*1.06)</f>
        <v>105.6184</v>
      </c>
      <c s="121" r="H147">
        <f>((((AB147)+(0.3*K147))+AG147)+(AF147*0.6))+AI147</f>
        <v>159.5</v>
      </c>
      <c s="98" r="I147">
        <f>((((0.05*O147)+(0.053*V147))+(0.04*AC147))+(0.042*S147))/100.0</f>
        <v>0.023</v>
      </c>
      <c s="130" r="J147">
        <v>336</v>
      </c>
      <c s="24" r="K147">
        <f>L147+M147</f>
        <v>94</v>
      </c>
      <c s="130" r="L147">
        <v>94</v>
      </c>
      <c s="78" r="M147"/>
      <c s="78" r="N147"/>
      <c s="24" r="O147">
        <f>P147+Q147</f>
        <v>46</v>
      </c>
      <c s="130" r="P147">
        <v>46</v>
      </c>
      <c s="78" r="Q147"/>
      <c s="78" r="R147"/>
      <c s="24" r="S147">
        <f>T147+U147</f>
        <v>0</v>
      </c>
      <c s="130" r="T147"/>
      <c s="78" r="U147"/>
      <c s="78" r="V147"/>
      <c s="78" r="W147"/>
      <c s="78" r="X147"/>
      <c s="78" r="Y147"/>
      <c s="78" r="Z147"/>
      <c s="78" r="AA147">
        <v>49</v>
      </c>
      <c s="78" r="AB147"/>
      <c s="78" r="AC147"/>
      <c s="78" r="AD147"/>
      <c s="78" r="AE147"/>
      <c s="78" r="AF147">
        <v>31</v>
      </c>
      <c s="78" r="AG147"/>
      <c s="47" r="AH147">
        <f>((AC147*0.6637)+AE147)+AG147</f>
        <v>0</v>
      </c>
      <c s="94" r="AI147">
        <f>(AA147*2.3)+(AD147)</f>
        <v>112.7</v>
      </c>
      <c s="109" r="AJ147"/>
      <c s="44" r="AK147"/>
      <c s="30" r="AL147"/>
      <c s="30" r="AM147"/>
      <c s="30" r="AN147"/>
      <c s="30" r="AO147"/>
    </row>
    <row r="148">
      <c t="str" s="106" r="A148">
        <f>(((B148&amp;" ")&amp;C148)&amp;" ")&amp;E148</f>
        <v>Drakescale Collar Quest Reward  358.7156</v>
      </c>
      <c t="s" s="87" r="B148">
        <v>328</v>
      </c>
      <c t="s" s="107" r="C148">
        <v>198</v>
      </c>
      <c t="s" s="107" r="D148">
        <v>325</v>
      </c>
      <c s="114" r="E148">
        <f>(F148+G148)+H148</f>
        <v>358.7156</v>
      </c>
      <c s="121" r="F148">
        <f>((((((J148*0.1)+(O148*1.25))+R148)+S148)+V148)+(X148*0.5))+(AF148*0.2)</f>
        <v>93.25</v>
      </c>
      <c s="121" r="G148">
        <f>+((K148*1.06)*1.06)</f>
        <v>107.8656</v>
      </c>
      <c s="121" r="H148">
        <f>((((AB148)+(0.3*K148))+AG148)+(AF148*0.6))+AI148</f>
        <v>157.6</v>
      </c>
      <c s="98" r="I148">
        <f>((((0.05*O148)+(0.053*V148))+(0.04*AC148))+(0.042*S148))/100.0</f>
        <v>0.02846</v>
      </c>
      <c s="130" r="J148"/>
      <c s="24" r="K148">
        <f>L148+M148</f>
        <v>96</v>
      </c>
      <c s="130" r="L148">
        <v>72</v>
      </c>
      <c s="78" r="M148">
        <f>18.0+6.0</f>
        <v>24</v>
      </c>
      <c t="s" s="78" r="N148">
        <v>131</v>
      </c>
      <c s="24" r="O148">
        <f>P148+Q148</f>
        <v>25</v>
      </c>
      <c s="130" r="P148">
        <v>25</v>
      </c>
      <c s="78" r="Q148"/>
      <c s="78" r="R148">
        <v>24</v>
      </c>
      <c s="24" r="S148">
        <f>T148+U148</f>
        <v>38</v>
      </c>
      <c s="130" r="T148">
        <v>30</v>
      </c>
      <c s="78" r="U148">
        <v>8</v>
      </c>
      <c s="78" r="V148"/>
      <c s="78" r="W148"/>
      <c s="78" r="X148"/>
      <c s="78" r="Y148"/>
      <c s="78" r="Z148"/>
      <c s="78" r="AA148">
        <v>56</v>
      </c>
      <c s="78" r="AB148"/>
      <c s="78" r="AC148"/>
      <c s="78" r="AD148"/>
      <c s="78" r="AE148"/>
      <c s="78" r="AF148"/>
      <c s="78" r="AG148"/>
      <c s="47" r="AH148">
        <f>((AC148*0.6637)+AE148)+AG148</f>
        <v>0</v>
      </c>
      <c s="94" r="AI148">
        <f>(AA148*2.3)+(AD148)</f>
        <v>128.8</v>
      </c>
      <c s="109" r="AJ148"/>
      <c s="44" r="AK148"/>
      <c s="30" r="AL148"/>
      <c s="30" r="AM148"/>
      <c s="30" r="AN148"/>
      <c s="30" r="AO148"/>
    </row>
    <row r="149">
      <c t="str" s="106" r="A149">
        <f>(((B149&amp;" ")&amp;C149)&amp;" ")&amp;E149</f>
        <v>Heritage Naxx25  327.4824</v>
      </c>
      <c t="s" s="87" r="B149">
        <v>329</v>
      </c>
      <c t="s" s="107" r="C149">
        <v>330</v>
      </c>
      <c t="s" s="107" r="D149">
        <v>325</v>
      </c>
      <c s="114" r="E149">
        <f>(F149+G149)+H149</f>
        <v>327.4824</v>
      </c>
      <c s="121" r="F149">
        <f>((((((J149*0.1)+(O149*1.25))+R149)+S149)+V149)+(X149*0.5))+(AF149*0.2)</f>
        <v>81</v>
      </c>
      <c s="121" r="G149">
        <f>+((K149*1.06)*1.06)</f>
        <v>94.3824</v>
      </c>
      <c s="121" r="H149">
        <f>((((AB149)+(0.3*K149))+AG149)+(AF149*0.6))+AI149</f>
        <v>152.1</v>
      </c>
      <c s="98" r="I149">
        <f>((((0.05*O149)+(0.053*V149))+(0.04*AC149))+(0.042*S149))/100.0</f>
        <v>0.03773</v>
      </c>
      <c s="130" r="J149"/>
      <c s="24" r="K149">
        <f>L149+M149</f>
        <v>84</v>
      </c>
      <c s="130" r="L149">
        <v>84</v>
      </c>
      <c s="78" r="M149"/>
      <c s="78" r="N149"/>
      <c s="24" r="O149">
        <f>P149+Q149</f>
        <v>32</v>
      </c>
      <c s="130" r="P149">
        <v>32</v>
      </c>
      <c s="78" r="Q149"/>
      <c s="78" r="R149"/>
      <c s="24" r="S149">
        <f>T149+U149</f>
        <v>0</v>
      </c>
      <c s="130" r="T149"/>
      <c s="78" r="U149"/>
      <c s="78" r="V149">
        <v>41</v>
      </c>
      <c s="78" r="W149"/>
      <c s="78" r="X149"/>
      <c s="78" r="Y149"/>
      <c s="78" r="Z149"/>
      <c s="78" r="AA149">
        <v>43</v>
      </c>
      <c s="78" r="AB149"/>
      <c s="78" r="AC149"/>
      <c s="78" r="AD149"/>
      <c s="78" r="AE149"/>
      <c s="78" r="AF149"/>
      <c s="78" r="AG149">
        <v>28</v>
      </c>
      <c s="47" r="AH149">
        <f>((AC149*0.6637)+AE149)+AG149</f>
        <v>28</v>
      </c>
      <c s="94" r="AI149">
        <f>(AA149*2.3)+(AD149)</f>
        <v>98.9</v>
      </c>
      <c s="109" r="AJ149"/>
      <c s="44" r="AK149"/>
      <c s="30" r="AL149"/>
      <c s="30" r="AM149"/>
      <c s="30" r="AN149"/>
      <c s="30" r="AO149"/>
    </row>
    <row r="150">
      <c t="str" s="106" r="A150">
        <f>(((B150&amp;" ")&amp;C150)&amp;" ")&amp;E150</f>
        <v>Amulet of Autopsy Naxx10 Heigan 315.02</v>
      </c>
      <c t="s" s="87" r="B150">
        <v>331</v>
      </c>
      <c t="s" s="107" r="C150">
        <v>332</v>
      </c>
      <c t="s" s="107" r="D150">
        <v>325</v>
      </c>
      <c s="114" r="E150">
        <f>(F150+G150)+H150</f>
        <v>315.02</v>
      </c>
      <c s="121" r="F150">
        <f>((((((J150*0.1)+(O150*1.25))+R150)+S150)+V150)+(X150*0.5))+(AF150*0.2)</f>
        <v>93.25</v>
      </c>
      <c s="121" r="G150">
        <f>+((K150*1.06)*1.06)</f>
        <v>84.27</v>
      </c>
      <c s="121" r="H150">
        <f>((((AB150)+(0.3*K150))+AG150)+(AF150*0.6))+AI150</f>
        <v>137.5</v>
      </c>
      <c s="98" r="I150">
        <f>((((0.05*O150)+(0.053*V150))+(0.04*AC150))+(0.042*S150))/100.0</f>
        <v>0.02681</v>
      </c>
      <c s="130" r="J150">
        <v>350</v>
      </c>
      <c s="24" r="K150">
        <f>L150+M150</f>
        <v>75</v>
      </c>
      <c s="130" r="L150">
        <v>75</v>
      </c>
      <c s="78" r="M150"/>
      <c s="78" r="N150"/>
      <c s="24" r="O150">
        <f>P150+Q150</f>
        <v>25</v>
      </c>
      <c s="130" r="P150">
        <v>25</v>
      </c>
      <c s="78" r="Q150"/>
      <c s="78" r="R150"/>
      <c s="24" r="S150">
        <f>T150+U150</f>
        <v>0</v>
      </c>
      <c s="130" r="T150"/>
      <c s="78" r="U150"/>
      <c s="78" r="V150">
        <v>27</v>
      </c>
      <c s="78" r="W150"/>
      <c s="78" r="X150"/>
      <c s="78" r="Y150"/>
      <c s="78" r="Z150"/>
      <c s="78" r="AA150">
        <v>50</v>
      </c>
      <c s="78" r="AB150"/>
      <c s="78" r="AC150"/>
      <c s="78" r="AD150"/>
      <c s="78" r="AE150"/>
      <c s="78" r="AF150"/>
      <c s="78" r="AG150"/>
      <c s="47" r="AH150">
        <f>((AC150*0.6637)+AE150)+AG150</f>
        <v>0</v>
      </c>
      <c s="94" r="AI150">
        <f>(AA150*2.3)+(AD150)</f>
        <v>115</v>
      </c>
      <c s="109" r="AJ150"/>
      <c s="44" r="AK150"/>
      <c s="30" r="AL150"/>
      <c s="30" r="AM150"/>
      <c s="30" r="AN150"/>
      <c s="30" r="AO150"/>
    </row>
    <row r="151">
      <c t="str" s="106" r="A151">
        <f>(((B151&amp;" ")&amp;C151)&amp;" ")&amp;E151</f>
        <v>Titanium Earthguard Chain Crafted (BoE) Jewelcrafting 313.5116</v>
      </c>
      <c t="s" s="87" r="B151">
        <v>333</v>
      </c>
      <c t="s" s="107" r="C151">
        <v>334</v>
      </c>
      <c t="s" s="107" r="D151">
        <v>325</v>
      </c>
      <c s="114" r="E151">
        <f>(F151+G151)+H151</f>
        <v>313.5116</v>
      </c>
      <c s="121" r="F151">
        <f>((((((J151*0.1)+(O151*1.25))+R151)+S151)+V151)+(X151*0.5))+(AF151*0.2)</f>
        <v>85.5</v>
      </c>
      <c s="121" r="G151">
        <f>+((K151*1.06)*1.06)</f>
        <v>91.0116</v>
      </c>
      <c s="121" r="H151">
        <f>((((AB151)+(0.3*K151))+AG151)+(AF151*0.6))+AI151</f>
        <v>137</v>
      </c>
      <c s="98" r="I151">
        <f>((((0.05*O151)+(0.053*V151))+(0.04*AC151))+(0.042*S151))/100.0</f>
        <v>0.02036</v>
      </c>
      <c s="130" r="J151">
        <v>350</v>
      </c>
      <c s="24" r="K151">
        <f>L151+M151</f>
        <v>81</v>
      </c>
      <c s="130" r="L151">
        <v>63</v>
      </c>
      <c s="78" r="M151">
        <f>12.0+6.0</f>
        <v>18</v>
      </c>
      <c t="s" s="78" r="N151">
        <v>131</v>
      </c>
      <c s="24" r="O151">
        <f>P151+Q151</f>
        <v>34</v>
      </c>
      <c s="130" r="P151">
        <v>34</v>
      </c>
      <c s="78" r="Q151"/>
      <c s="78" r="R151"/>
      <c s="24" r="S151">
        <f>T151+U151</f>
        <v>8</v>
      </c>
      <c s="130" r="T151"/>
      <c s="78" r="U151">
        <v>8</v>
      </c>
      <c s="78" r="V151"/>
      <c s="78" r="W151"/>
      <c s="78" r="X151"/>
      <c s="78" r="Y151"/>
      <c s="78" r="Z151"/>
      <c s="78" r="AA151">
        <v>49</v>
      </c>
      <c s="78" r="AB151"/>
      <c s="78" r="AC151"/>
      <c s="78" r="AD151"/>
      <c s="78" r="AE151"/>
      <c s="78" r="AF151"/>
      <c s="78" r="AG151"/>
      <c s="47" r="AH151">
        <f>((AC151*0.6637)+AE151)+AG151</f>
        <v>0</v>
      </c>
      <c s="94" r="AI151">
        <f>(AA151*2.3)+(AD151)</f>
        <v>112.7</v>
      </c>
      <c s="109" r="AJ151"/>
      <c s="44" r="AK151"/>
      <c s="30" r="AL151"/>
      <c s="30" r="AM151"/>
      <c s="30" r="AN151"/>
      <c s="30" r="AO151"/>
    </row>
    <row r="152">
      <c t="str" s="106" r="A152">
        <f>(((B152&amp;" ")&amp;C152)&amp;" ")&amp;E152</f>
        <v>Medallion of the Disgraced Naxx10 Trash 296.91999999999996</v>
      </c>
      <c t="s" s="87" r="B152">
        <v>335</v>
      </c>
      <c t="s" s="107" r="C152">
        <v>336</v>
      </c>
      <c t="s" s="107" r="D152">
        <v>325</v>
      </c>
      <c s="114" r="E152">
        <f>(F152+G152)+H152</f>
        <v>296.92</v>
      </c>
      <c s="121" r="F152">
        <f>((((((J152*0.1)+(O152*1.25))+R152)+S152)+V152)+(X152*0.5))+(AF152*0.2)</f>
        <v>79.75</v>
      </c>
      <c s="121" r="G152">
        <f>+((K152*1.06)*1.06)</f>
        <v>84.27</v>
      </c>
      <c s="121" r="H152">
        <f>((((AB152)+(0.3*K152))+AG152)+(AF152*0.6))+AI152</f>
        <v>132.9</v>
      </c>
      <c s="98" r="I152">
        <f>((((0.05*O152)+(0.053*V152))+(0.04*AC152))+(0.042*S152))/100.0</f>
        <v>0.0135</v>
      </c>
      <c s="130" r="J152"/>
      <c s="24" r="K152">
        <f>L152+M152</f>
        <v>75</v>
      </c>
      <c s="130" r="L152">
        <v>75</v>
      </c>
      <c s="78" r="M152"/>
      <c s="78" r="N152"/>
      <c s="24" r="O152">
        <f>P152+Q152</f>
        <v>27</v>
      </c>
      <c s="130" r="P152">
        <v>27</v>
      </c>
      <c s="78" r="Q152"/>
      <c s="78" r="R152">
        <v>26</v>
      </c>
      <c s="24" r="S152">
        <f>T152+U152</f>
        <v>0</v>
      </c>
      <c s="130" r="T152"/>
      <c s="78" r="U152"/>
      <c s="78" r="V152"/>
      <c s="78" r="W152"/>
      <c s="78" r="X152">
        <v>40</v>
      </c>
      <c s="78" r="Y152"/>
      <c s="78" r="Z152"/>
      <c s="78" r="AA152">
        <v>48</v>
      </c>
      <c s="78" r="AB152"/>
      <c s="78" r="AC152"/>
      <c s="78" r="AD152"/>
      <c s="78" r="AE152"/>
      <c s="78" r="AF152"/>
      <c s="78" r="AG152"/>
      <c s="47" r="AH152">
        <f>((AC152*0.6637)+AE152)+AG152</f>
        <v>0</v>
      </c>
      <c s="94" r="AI152">
        <f>(AA152*2.3)+(AD152)</f>
        <v>110.4</v>
      </c>
      <c s="109" r="AJ152"/>
      <c s="44" r="AK152"/>
      <c s="30" r="AL152"/>
      <c s="30" r="AM152"/>
      <c s="30" r="AN152"/>
      <c s="30" r="AO152"/>
    </row>
    <row r="153">
      <c t="str" s="106" r="A153">
        <f>(((B153&amp;" ")&amp;C153)&amp;" ")&amp;E153</f>
        <v>Chained Military Gorget Heroic Badge x25  295.32000000000005</v>
      </c>
      <c t="s" s="87" r="B153">
        <v>337</v>
      </c>
      <c t="s" s="107" r="C153">
        <v>338</v>
      </c>
      <c t="s" s="107" r="D153">
        <v>325</v>
      </c>
      <c s="114" r="E153">
        <f>(F153+G153)+H153</f>
        <v>295.32</v>
      </c>
      <c s="121" r="F153">
        <f>((((((J153*0.1)+(O153*1.25))+R153)+S153)+V153)+(X153*0.5))+(AF153*0.2)</f>
        <v>73.25</v>
      </c>
      <c s="121" r="G153">
        <f>+((K153*1.06)*1.06)</f>
        <v>84.27</v>
      </c>
      <c s="121" r="H153">
        <f>((((AB153)+(0.3*K153))+AG153)+(AF153*0.6))+AI153</f>
        <v>137.8</v>
      </c>
      <c s="98" r="I153">
        <f>((((0.05*O153)+(0.053*V153))+(0.04*AC153))+(0.042*S153))/100.0</f>
        <v>0.03346</v>
      </c>
      <c s="130" r="J153"/>
      <c s="24" r="K153">
        <f>L153+M153</f>
        <v>75</v>
      </c>
      <c s="130" r="L153">
        <v>75</v>
      </c>
      <c s="78" r="M153"/>
      <c s="78" r="N153"/>
      <c s="24" r="O153">
        <f>P153+Q153</f>
        <v>33</v>
      </c>
      <c s="130" r="P153">
        <v>33</v>
      </c>
      <c s="78" r="Q153"/>
      <c s="78" r="R153"/>
      <c s="24" r="S153">
        <f>T153+U153</f>
        <v>0</v>
      </c>
      <c s="130" r="T153"/>
      <c s="78" r="U153"/>
      <c s="78" r="V153">
        <v>32</v>
      </c>
      <c s="78" r="W153"/>
      <c s="78" r="X153"/>
      <c s="78" r="Y153"/>
      <c s="78" r="Z153"/>
      <c s="78" r="AA153">
        <v>41</v>
      </c>
      <c s="78" r="AB153"/>
      <c s="78" r="AC153"/>
      <c s="78" r="AD153"/>
      <c s="78" r="AE153"/>
      <c s="78" r="AF153"/>
      <c s="78" r="AG153">
        <v>21</v>
      </c>
      <c s="47" r="AH153">
        <f>((AC153*0.6637)+AE153)+AG153</f>
        <v>21</v>
      </c>
      <c s="94" r="AI153">
        <f>(AA153*2.3)+(AD153)</f>
        <v>94.3</v>
      </c>
      <c s="109" r="AJ153"/>
      <c s="44" r="AK153"/>
      <c s="30" r="AL153"/>
      <c s="30" r="AM153"/>
      <c s="30" r="AN153"/>
      <c s="30" r="AO153"/>
    </row>
    <row r="154">
      <c t="str" s="106" r="A154">
        <f>(((B154&amp;" ")&amp;C154)&amp;" ")&amp;E154</f>
        <v>Shadowseeker's Pendant Old Kingdom Heroic Jedoga  252.80759999999998</v>
      </c>
      <c t="s" s="87" r="B154">
        <v>339</v>
      </c>
      <c t="s" s="107" r="C154">
        <v>340</v>
      </c>
      <c t="s" s="107" r="D154">
        <v>325</v>
      </c>
      <c s="114" r="E154">
        <f>(F154+G154)+H154</f>
        <v>252.8076</v>
      </c>
      <c s="121" r="F154">
        <f>((((((J154*0.1)+(O154*1.25))+R154)+S154)+V154)+(X154*0.5))+(AF154*0.2)</f>
        <v>62.25</v>
      </c>
      <c s="121" r="G154">
        <f>+((K154*1.06)*1.06)</f>
        <v>74.1576</v>
      </c>
      <c s="121" r="H154">
        <f>((((AB154)+(0.3*K154))+AG154)+(AF154*0.6))+AI154</f>
        <v>116.4</v>
      </c>
      <c s="98" r="I154">
        <f>((((0.05*O154)+(0.053*V154))+(0.04*AC154))+(0.042*S154))/100.0</f>
        <v>0.02763</v>
      </c>
      <c s="130" r="J154"/>
      <c s="24" r="K154">
        <f>L154+M154</f>
        <v>66</v>
      </c>
      <c s="130" r="L154">
        <v>66</v>
      </c>
      <c s="78" r="M154"/>
      <c s="78" r="N154"/>
      <c s="24" r="O154">
        <f>P154+Q154</f>
        <v>33</v>
      </c>
      <c s="130" r="P154">
        <v>33</v>
      </c>
      <c s="78" r="Q154"/>
      <c s="78" r="R154"/>
      <c s="24" r="S154">
        <f>T154+U154</f>
        <v>0</v>
      </c>
      <c s="130" r="T154"/>
      <c s="78" r="U154"/>
      <c s="78" r="V154">
        <v>21</v>
      </c>
      <c s="78" r="W154"/>
      <c s="78" r="X154"/>
      <c s="78" r="Y154"/>
      <c s="78" r="Z154"/>
      <c s="78" r="AA154">
        <v>42</v>
      </c>
      <c s="78" r="AB154"/>
      <c s="78" r="AC154"/>
      <c s="78" r="AD154"/>
      <c s="78" r="AE154"/>
      <c s="78" r="AF154"/>
      <c s="78" r="AG154"/>
      <c s="47" r="AH154">
        <f>((AC154*0.6637)+AE154)+AG154</f>
        <v>0</v>
      </c>
      <c s="94" r="AI154">
        <f>(AA154*2.3)+(AD154)</f>
        <v>96.6</v>
      </c>
      <c s="109" r="AJ154"/>
      <c s="44" r="AK154"/>
      <c s="30" r="AL154"/>
      <c s="30" r="AM154"/>
      <c s="30" r="AN154"/>
      <c s="30" r="AO154"/>
    </row>
    <row r="155">
      <c t="str" s="106" r="A155">
        <f>(((B155&amp;" ")&amp;C155)&amp;" ")&amp;E155</f>
        <v>Pendant of the Nathrezim CoT: Strat Heroic Mal'ganis 252.2604</v>
      </c>
      <c t="s" s="87" r="B155">
        <v>341</v>
      </c>
      <c t="s" s="107" r="C155">
        <v>342</v>
      </c>
      <c t="s" s="107" r="D155">
        <v>325</v>
      </c>
      <c s="114" r="E155">
        <f>(F155+G155)+H155</f>
        <v>252.2604</v>
      </c>
      <c s="121" r="F155">
        <f>((((((J155*0.1)+(O155*1.25))+R155)+S155)+V155)+(X155*0.5))+(AF155*0.2)</f>
        <v>62.25</v>
      </c>
      <c s="121" r="G155">
        <f>+((K155*1.06)*1.06)</f>
        <v>71.9104</v>
      </c>
      <c s="121" r="H155">
        <f>((((AB155)+(0.3*K155))+AG155)+(AF155*0.6))+AI155</f>
        <v>118.1</v>
      </c>
      <c s="98" r="I155">
        <f>((((0.05*O155)+(0.053*V155))+(0.04*AC155))+(0.042*S155))/100.0</f>
        <v>0.02552</v>
      </c>
      <c s="130" r="J155"/>
      <c s="24" r="K155">
        <f>L155+M155</f>
        <v>64</v>
      </c>
      <c s="130" r="L155">
        <v>64</v>
      </c>
      <c s="78" r="M155"/>
      <c s="78" r="N155"/>
      <c s="24" r="O155">
        <f>P155+Q155</f>
        <v>25</v>
      </c>
      <c s="130" r="P155">
        <v>25</v>
      </c>
      <c s="78" r="Q155"/>
      <c s="78" r="R155"/>
      <c s="24" r="S155">
        <f>T155+U155</f>
        <v>31</v>
      </c>
      <c s="130" r="T155">
        <v>31</v>
      </c>
      <c s="78" r="U155"/>
      <c s="78" r="V155"/>
      <c s="78" r="W155"/>
      <c s="78" r="X155"/>
      <c s="78" r="Y155"/>
      <c s="78" r="Z155"/>
      <c s="78" r="AA155">
        <v>43</v>
      </c>
      <c s="78" r="AB155"/>
      <c s="78" r="AC155"/>
      <c s="78" r="AD155"/>
      <c s="78" r="AE155"/>
      <c s="78" r="AF155"/>
      <c s="78" r="AG155"/>
      <c s="47" r="AH155">
        <f>((AC155*0.6637)+AE155)+AG155</f>
        <v>0</v>
      </c>
      <c s="94" r="AI155">
        <f>(AA155*2.3)+(AD155)</f>
        <v>98.9</v>
      </c>
      <c s="109" r="AJ155"/>
      <c s="44" r="AK155"/>
      <c s="30" r="AL155"/>
      <c s="30" r="AM155"/>
      <c s="30" r="AN155"/>
      <c s="30" r="AO155"/>
    </row>
    <row r="156">
      <c t="str" s="106" r="A156">
        <f>(((B156&amp;" ")&amp;C156)&amp;" ")&amp;E156</f>
        <v>Burning Skull Pendant   241.83679999999998</v>
      </c>
      <c t="s" s="87" r="B156">
        <v>343</v>
      </c>
      <c t="s" s="107" r="C156">
        <v>142</v>
      </c>
      <c t="s" s="107" r="D156">
        <v>325</v>
      </c>
      <c s="114" r="E156">
        <f>(F156+G156)+H156</f>
        <v>241.8368</v>
      </c>
      <c s="121" r="F156">
        <f>((((((J156*0.1)+(O156*1.25))+R156)+S156)+V156)+(X156*0.5))+(AF156*0.2)</f>
        <v>53.25</v>
      </c>
      <c s="121" r="G156">
        <f>+((K156*1.06)*1.06)</f>
        <v>70.7868</v>
      </c>
      <c s="121" r="H156">
        <f>((((AB156)+(0.3*K156))+AG156)+(AF156*0.6))+AI156</f>
        <v>117.8</v>
      </c>
      <c s="98" r="I156">
        <f>((((0.05*O156)+(0.053*V156))+(0.04*AC156))+(0.042*S156))/100.0</f>
        <v>0.0125</v>
      </c>
      <c s="130" r="J156"/>
      <c s="24" r="K156">
        <f>L156+M156</f>
        <v>63</v>
      </c>
      <c s="130" r="L156">
        <v>63</v>
      </c>
      <c s="78" r="M156"/>
      <c s="78" r="N156"/>
      <c s="24" r="O156">
        <f>P156+Q156</f>
        <v>25</v>
      </c>
      <c s="130" r="P156">
        <v>25</v>
      </c>
      <c s="78" r="Q156"/>
      <c s="78" r="R156"/>
      <c s="24" r="S156">
        <f>T156+U156</f>
        <v>0</v>
      </c>
      <c s="130" r="T156"/>
      <c s="78" r="U156"/>
      <c s="78" r="V156"/>
      <c s="78" r="W156"/>
      <c s="78" r="X156">
        <v>44</v>
      </c>
      <c s="78" r="Y156"/>
      <c s="78" r="Z156"/>
      <c s="78" r="AA156">
        <v>43</v>
      </c>
      <c s="78" r="AB156"/>
      <c s="78" r="AC156"/>
      <c s="78" r="AD156"/>
      <c s="78" r="AE156"/>
      <c s="78" r="AF156"/>
      <c s="78" r="AG156"/>
      <c s="47" r="AH156">
        <f>((AC156*0.6637)+AE156)+AG156</f>
        <v>0</v>
      </c>
      <c s="94" r="AI156">
        <f>(AA156*2.3)+(AD156)</f>
        <v>98.9</v>
      </c>
      <c s="109" r="AJ156"/>
      <c s="44" r="AK156"/>
      <c s="30" r="AL156"/>
      <c s="30" r="AM156"/>
      <c s="30" r="AN156"/>
      <c s="30" r="AO156"/>
    </row>
    <row r="157">
      <c t="str" s="106" r="A157">
        <f>(((B157&amp;" ")&amp;C157)&amp;" ")&amp;E157</f>
        <v>Amulet of Deflected Blows Utgarde Pinnacle Skadi 227.2188</v>
      </c>
      <c t="s" s="87" r="B157">
        <v>344</v>
      </c>
      <c t="s" s="107" r="C157">
        <v>345</v>
      </c>
      <c t="s" s="107" r="D157">
        <v>325</v>
      </c>
      <c s="114" r="E157">
        <f>(F157+G157)+H157</f>
        <v>227.2188</v>
      </c>
      <c s="121" r="F157">
        <f>((((((J157*0.1)+(O157*1.25))+R157)+S157)+V157)+(X157*0.5))+(AF157*0.2)</f>
        <v>57.25</v>
      </c>
      <c s="121" r="G157">
        <f>+((K157*1.06)*1.06)</f>
        <v>65.1688</v>
      </c>
      <c s="121" r="H157">
        <f>((((AB157)+(0.3*K157))+AG157)+(AF157*0.6))+AI157</f>
        <v>104.8</v>
      </c>
      <c s="98" r="I157">
        <f>((((0.05*O157)+(0.053*V157))+(0.04*AC157))+(0.042*S157))/100.0</f>
        <v>0.02342</v>
      </c>
      <c s="130" r="J157"/>
      <c s="24" r="K157">
        <f>L157+M157</f>
        <v>58</v>
      </c>
      <c s="130" r="L157">
        <v>58</v>
      </c>
      <c s="78" r="M157"/>
      <c s="78" r="N157"/>
      <c s="24" r="O157">
        <f>P157+Q157</f>
        <v>25</v>
      </c>
      <c s="130" r="P157">
        <v>25</v>
      </c>
      <c s="78" r="Q157"/>
      <c s="78" r="R157"/>
      <c s="24" r="S157">
        <f>T157+U157</f>
        <v>26</v>
      </c>
      <c s="130" r="T157">
        <v>26</v>
      </c>
      <c s="78" r="U157"/>
      <c s="78" r="V157"/>
      <c s="78" r="W157"/>
      <c s="78" r="X157"/>
      <c s="78" r="Y157"/>
      <c s="78" r="Z157"/>
      <c s="78" r="AA157">
        <v>38</v>
      </c>
      <c s="78" r="AB157"/>
      <c s="78" r="AC157"/>
      <c s="78" r="AD157"/>
      <c s="78" r="AE157"/>
      <c s="78" r="AF157"/>
      <c s="78" r="AG157"/>
      <c s="47" r="AH157">
        <f>((AC157*0.6637)+AE157)+AG157</f>
        <v>0</v>
      </c>
      <c s="94" r="AI157">
        <f>(AA157*2.3)+(AD157)</f>
        <v>87.4</v>
      </c>
      <c s="109" r="AJ157"/>
      <c s="44" r="AK157"/>
      <c s="30" r="AL157"/>
      <c s="30" r="AM157"/>
      <c s="30" r="AN157"/>
      <c s="30" r="AO157"/>
    </row>
    <row r="158">
      <c t="str" s="106" r="A158">
        <f>(((B158&amp;" ")&amp;C158)&amp;" ")&amp;E158</f>
        <v>Amulet of the Sills Halls of Stone Sjonnir 219.698</v>
      </c>
      <c t="s" s="87" r="B158">
        <v>346</v>
      </c>
      <c t="s" s="107" r="C158">
        <v>347</v>
      </c>
      <c t="s" s="107" r="D158">
        <v>325</v>
      </c>
      <c s="114" r="E158">
        <f>(F158+G158)+H158</f>
        <v>219.698</v>
      </c>
      <c s="121" r="F158">
        <f>((((((J158*0.1)+(O158*1.25))+R158)+S158)+V158)+(X158*0.5))+(AF158*0.2)</f>
        <v>58.6</v>
      </c>
      <c s="121" r="G158">
        <f>+((K158*1.06)*1.06)</f>
        <v>61.798</v>
      </c>
      <c s="121" r="H158">
        <f>((((AB158)+(0.3*K158))+AG158)+(AF158*0.6))+AI158</f>
        <v>99.3</v>
      </c>
      <c s="98" r="I158">
        <f>((((0.05*O158)+(0.053*V158))+(0.04*AC158))+(0.042*S158))/100.0</f>
        <v>0.01325</v>
      </c>
      <c s="130" r="J158">
        <v>336</v>
      </c>
      <c s="24" r="K158">
        <f>L158+M158</f>
        <v>55</v>
      </c>
      <c s="130" r="L158">
        <v>55</v>
      </c>
      <c s="78" r="M158"/>
      <c s="78" r="N158"/>
      <c s="24" r="O158">
        <f>P158+Q158</f>
        <v>0</v>
      </c>
      <c s="130" r="P158">
        <v>0</v>
      </c>
      <c s="78" r="Q158"/>
      <c s="78" r="R158"/>
      <c s="24" r="S158">
        <f>T158+U158</f>
        <v>0</v>
      </c>
      <c s="130" r="T158"/>
      <c s="78" r="U158"/>
      <c s="78" r="V158">
        <v>25</v>
      </c>
      <c s="78" r="W158"/>
      <c s="78" r="X158"/>
      <c s="78" r="Y158"/>
      <c s="78" r="Z158"/>
      <c s="78" r="AA158">
        <v>36</v>
      </c>
      <c s="78" r="AB158"/>
      <c s="78" r="AC158"/>
      <c s="78" r="AD158"/>
      <c s="78" r="AE158"/>
      <c s="78" r="AF158"/>
      <c s="78" r="AG158"/>
      <c s="47" r="AH158">
        <f>((AC158*0.6637)+AE158)+AG158</f>
        <v>0</v>
      </c>
      <c s="94" r="AI158">
        <f>(AA158*2.3)+(AD158)</f>
        <v>82.8</v>
      </c>
      <c s="109" r="AJ158"/>
      <c s="44" r="AK158"/>
      <c s="30" r="AL158"/>
      <c s="30" r="AM158"/>
      <c s="30" r="AN158"/>
      <c s="30" r="AO158"/>
    </row>
    <row r="159">
      <c t="str" s="106" r="A159">
        <f>(((B159&amp;" ")&amp;C159)&amp;" ")&amp;E159</f>
        <v>Cast Steel Choker   207.10359999999997</v>
      </c>
      <c t="s" s="87" r="B159">
        <v>348</v>
      </c>
      <c t="s" s="107" r="C159">
        <v>142</v>
      </c>
      <c t="s" s="107" r="D159">
        <v>325</v>
      </c>
      <c s="114" r="E159">
        <f>(F159+G159)+H159</f>
        <v>207.1036</v>
      </c>
      <c s="121" r="F159">
        <f>((((((J159*0.1)+(O159*1.25))+R159)+S159)+V159)+(X159*0.5))+(AF159*0.2)</f>
        <v>56.3</v>
      </c>
      <c s="121" r="G159">
        <f>+((K159*1.06)*1.06)</f>
        <v>57.3036</v>
      </c>
      <c s="121" r="H159">
        <f>((((AB159)+(0.3*K159))+AG159)+(AF159*0.6))+AI159</f>
        <v>93.5</v>
      </c>
      <c s="98" r="I159">
        <f>((((0.05*O159)+(0.053*V159))+(0.04*AC159))+(0.042*S159))/100.0</f>
        <v>0.013</v>
      </c>
      <c s="130" r="J159">
        <v>238</v>
      </c>
      <c s="24" r="K159">
        <f>L159+M159</f>
        <v>51</v>
      </c>
      <c s="130" r="L159">
        <v>51</v>
      </c>
      <c s="78" r="M159"/>
      <c s="78" r="N159"/>
      <c s="24" r="O159">
        <f>P159+Q159</f>
        <v>26</v>
      </c>
      <c s="130" r="P159">
        <v>26</v>
      </c>
      <c s="78" r="Q159"/>
      <c s="78" r="R159"/>
      <c s="24" r="S159">
        <f>T159+U159</f>
        <v>0</v>
      </c>
      <c s="130" r="T159"/>
      <c s="78" r="U159"/>
      <c s="78" r="V159"/>
      <c s="78" r="W159"/>
      <c s="78" r="X159"/>
      <c s="78" r="Y159"/>
      <c s="78" r="Z159"/>
      <c s="78" r="AA159">
        <v>34</v>
      </c>
      <c s="78" r="AB159"/>
      <c s="78" r="AC159"/>
      <c s="78" r="AD159"/>
      <c s="78" r="AE159"/>
      <c s="78" r="AF159"/>
      <c s="78" r="AG159"/>
      <c s="47" r="AH159">
        <f>((AC159*0.6637)+AE159)+AG159</f>
        <v>0</v>
      </c>
      <c s="94" r="AI159">
        <f>(AA159*2.3)+(AD159)</f>
        <v>78.2</v>
      </c>
      <c s="109" r="AJ159"/>
      <c s="44" r="AK159"/>
      <c s="30" r="AL159"/>
      <c s="30" r="AM159"/>
      <c s="30" r="AN159"/>
      <c s="30" r="AO159"/>
    </row>
    <row r="160">
      <c t="str" s="106" r="A160">
        <f>(((B160&amp;" ")&amp;C160)&amp;" ")&amp;E160</f>
        <v>Torta's Oversized Choker   204.0064</v>
      </c>
      <c t="s" s="87" r="B160">
        <v>349</v>
      </c>
      <c t="s" s="107" r="C160">
        <v>142</v>
      </c>
      <c t="s" s="107" r="D160">
        <v>325</v>
      </c>
      <c s="114" r="E160">
        <f>(F160+G160)+H160</f>
        <v>204.0064</v>
      </c>
      <c s="121" r="F160">
        <f>((((((J160*0.1)+(O160*1.25))+R160)+S160)+V160)+(X160*0.5))+(AF160*0.2)</f>
        <v>60.65</v>
      </c>
      <c s="121" r="G160">
        <f>+((K160*1.06)*1.06)</f>
        <v>55.0564</v>
      </c>
      <c s="121" r="H160">
        <f>((((AB160)+(0.3*K160))+AG160)+(AF160*0.6))+AI160</f>
        <v>88.3</v>
      </c>
      <c s="98" r="I160">
        <f>((((0.05*O160)+(0.053*V160))+(0.04*AC160))+(0.042*S160))/100.0</f>
        <v>0.0125</v>
      </c>
      <c s="130" r="J160">
        <v>294</v>
      </c>
      <c s="24" r="K160">
        <f>L160+M160</f>
        <v>49</v>
      </c>
      <c s="130" r="L160">
        <v>49</v>
      </c>
      <c s="78" r="M160"/>
      <c s="78" r="N160"/>
      <c s="24" r="O160">
        <f>P160+Q160</f>
        <v>25</v>
      </c>
      <c s="130" r="P160">
        <v>25</v>
      </c>
      <c s="78" r="Q160"/>
      <c s="78" r="R160"/>
      <c s="24" r="S160">
        <f>T160+U160</f>
        <v>0</v>
      </c>
      <c s="130" r="T160"/>
      <c s="78" r="U160"/>
      <c s="78" r="V160"/>
      <c s="78" r="W160"/>
      <c s="78" r="X160"/>
      <c s="78" r="Y160"/>
      <c s="78" r="Z160"/>
      <c s="78" r="AA160">
        <v>32</v>
      </c>
      <c s="78" r="AB160"/>
      <c s="78" r="AC160"/>
      <c s="78" r="AD160"/>
      <c s="78" r="AE160"/>
      <c s="78" r="AF160"/>
      <c s="78" r="AG160"/>
      <c s="47" r="AH160">
        <f>((AC160*0.6637)+AE160)+AG160</f>
        <v>0</v>
      </c>
      <c s="94" r="AI160">
        <f>(AA160*2.3)+(AD160)</f>
        <v>73.6</v>
      </c>
      <c s="109" r="AJ160"/>
      <c s="44" r="AK160"/>
      <c s="30" r="AL160"/>
      <c s="30" r="AM160"/>
      <c s="30" r="AN160"/>
      <c s="30" r="AO160"/>
    </row>
    <row r="161">
      <c t="str" s="106" r="A161">
        <f>(((B161&amp;" ")&amp;C161)&amp;" ")&amp;E161</f>
        <v>Betrayer's Choker Quest Reward  200.8312</v>
      </c>
      <c t="s" s="87" r="B161">
        <v>350</v>
      </c>
      <c t="s" s="107" r="C161">
        <v>198</v>
      </c>
      <c t="s" s="107" r="D161">
        <v>325</v>
      </c>
      <c s="114" r="E161">
        <f>(F161+G161)+H161</f>
        <v>200.8312</v>
      </c>
      <c s="121" r="F161">
        <f>((((((J161*0.1)+(O161*1.25))+R161)+S161)+V161)+(X161*0.5))+(AF161*0.2)</f>
        <v>31.25</v>
      </c>
      <c s="121" r="G161">
        <f>+((K161*1.06)*1.06)</f>
        <v>75.2812</v>
      </c>
      <c s="121" r="H161">
        <f>((((AB161)+(0.3*K161))+AG161)+(AF161*0.6))+AI161</f>
        <v>94.3</v>
      </c>
      <c s="98" r="I161">
        <f>((((0.05*O161)+(0.053*V161))+(0.04*AC161))+(0.042*S161))/100.0</f>
        <v>0.0125</v>
      </c>
      <c s="130" r="J161"/>
      <c s="24" r="K161">
        <f>L161+M161</f>
        <v>67</v>
      </c>
      <c s="130" r="L161">
        <v>49</v>
      </c>
      <c s="78" r="M161">
        <f>12.0+6.0</f>
        <v>18</v>
      </c>
      <c t="s" s="78" r="N161">
        <v>147</v>
      </c>
      <c s="24" r="O161">
        <f>P161+Q161</f>
        <v>25</v>
      </c>
      <c s="130" r="P161">
        <v>17</v>
      </c>
      <c s="78" r="Q161">
        <v>8</v>
      </c>
      <c s="78" r="R161"/>
      <c s="24" r="S161">
        <f>T161+U161</f>
        <v>0</v>
      </c>
      <c s="130" r="T161"/>
      <c s="78" r="U161"/>
      <c s="78" r="V161"/>
      <c s="78" r="W161"/>
      <c s="78" r="X161"/>
      <c s="78" r="Y161"/>
      <c s="78" r="Z161"/>
      <c s="78" r="AA161">
        <v>24</v>
      </c>
      <c s="78" r="AB161"/>
      <c s="78" r="AC161"/>
      <c s="78" r="AD161"/>
      <c s="78" r="AE161"/>
      <c s="78" r="AF161"/>
      <c s="78" r="AG161">
        <v>19</v>
      </c>
      <c s="47" r="AH161">
        <f>((AC161*0.6637)+AE161)+AG161</f>
        <v>19</v>
      </c>
      <c s="94" r="AI161">
        <f>(AA161*2.3)+(AD161)</f>
        <v>55.2</v>
      </c>
      <c s="109" r="AJ161"/>
      <c s="44" r="AK161"/>
      <c s="30" r="AL161"/>
      <c s="30" r="AM161"/>
      <c s="30" r="AN161"/>
      <c s="30" r="AO161"/>
    </row>
    <row r="162">
      <c t="str" s="106" r="A162">
        <f>(((B162&amp;" ")&amp;C162)&amp;" ")&amp;E162</f>
        <v>Reinforced Titanium Neckguard Quest Reward  199.762</v>
      </c>
      <c t="s" s="87" r="B162">
        <v>351</v>
      </c>
      <c t="s" s="107" r="C162">
        <v>198</v>
      </c>
      <c t="s" s="107" r="D162">
        <v>325</v>
      </c>
      <c s="114" r="E162">
        <f>(F162+G162)+H162</f>
        <v>199.762</v>
      </c>
      <c s="121" r="F162">
        <f>((((((J162*0.1)+(O162*1.25))+R162)+S162)+V162)+(X162*0.5))+(AF162*0.2)</f>
        <v>57.5</v>
      </c>
      <c s="121" r="G162">
        <f>+((K162*1.06)*1.06)</f>
        <v>50.562</v>
      </c>
      <c s="121" r="H162">
        <f>((((AB162)+(0.3*K162))+AG162)+(AF162*0.6))+AI162</f>
        <v>91.7</v>
      </c>
      <c s="98" r="I162">
        <f>((((0.05*O162)+(0.053*V162))+(0.04*AC162))+(0.042*S162))/100.0</f>
        <v>0.02537</v>
      </c>
      <c s="130" r="J162"/>
      <c s="24" r="K162">
        <f>L162+M162</f>
        <v>45</v>
      </c>
      <c s="130" r="L162">
        <v>27</v>
      </c>
      <c s="78" r="M162">
        <f>12.0+6.0</f>
        <v>18</v>
      </c>
      <c t="s" s="78" r="N162">
        <v>131</v>
      </c>
      <c s="24" r="O162">
        <f>P162+Q162</f>
        <v>26</v>
      </c>
      <c s="130" r="P162">
        <v>26</v>
      </c>
      <c s="78" r="Q162"/>
      <c s="78" r="R162"/>
      <c s="24" r="S162">
        <f>T162+U162</f>
        <v>8</v>
      </c>
      <c s="130" r="T162"/>
      <c s="78" r="U162">
        <v>8</v>
      </c>
      <c s="78" r="V162">
        <v>17</v>
      </c>
      <c s="78" r="W162"/>
      <c s="78" r="X162"/>
      <c s="78" r="Y162"/>
      <c s="78" r="Z162"/>
      <c s="78" r="AA162">
        <v>34</v>
      </c>
      <c s="78" r="AB162"/>
      <c s="78" r="AC162"/>
      <c s="78" r="AD162"/>
      <c s="78" r="AE162"/>
      <c s="78" r="AF162"/>
      <c s="78" r="AG162"/>
      <c s="47" r="AH162">
        <f>((AC162*0.6637)+AE162)+AG162</f>
        <v>0</v>
      </c>
      <c s="94" r="AI162">
        <f>(AA162*2.3)+(AD162)</f>
        <v>78.2</v>
      </c>
      <c s="109" r="AJ162"/>
      <c s="44" r="AK162"/>
      <c s="30" r="AL162"/>
      <c s="30" r="AM162"/>
      <c s="30" r="AN162"/>
      <c s="30" r="AO162"/>
    </row>
    <row r="163">
      <c t="str" s="106" r="A163">
        <f>(((B163&amp;" ")&amp;C163)&amp;" ")&amp;E163</f>
        <v>Blood-Infused Pendant Quest Reward  170.30360000000002</v>
      </c>
      <c t="s" s="87" r="B163">
        <v>352</v>
      </c>
      <c t="s" s="107" r="C163">
        <v>198</v>
      </c>
      <c t="s" s="107" r="D163">
        <v>325</v>
      </c>
      <c s="114" r="E163">
        <f>(F163+G163)+H163</f>
        <v>170.3036</v>
      </c>
      <c s="121" r="F163">
        <f>((((((J163*0.1)+(O163*1.25))+R163)+S163)+V163)+(X163*0.5))+(AF163*0.2)</f>
        <v>42.5</v>
      </c>
      <c s="121" r="G163">
        <f>+((K163*1.06)*1.06)</f>
        <v>57.3036</v>
      </c>
      <c s="121" r="H163">
        <f>((((AB163)+(0.3*K163))+AG163)+(AF163*0.6))+AI163</f>
        <v>70.5</v>
      </c>
      <c s="98" r="I163">
        <f>((((0.05*O163)+(0.053*V163))+(0.04*AC163))+(0.042*S163))/100.0</f>
        <v>0.0183</v>
      </c>
      <c s="130" r="J163"/>
      <c s="24" r="K163">
        <f>L163+M163</f>
        <v>51</v>
      </c>
      <c s="130" r="L163">
        <v>51</v>
      </c>
      <c s="78" r="M163"/>
      <c s="78" r="N163"/>
      <c s="24" r="O163">
        <f>P163+Q163</f>
        <v>26</v>
      </c>
      <c s="130" r="P163">
        <v>26</v>
      </c>
      <c s="78" r="Q163"/>
      <c s="78" r="R163"/>
      <c s="24" r="S163">
        <f>T163+U163</f>
        <v>0</v>
      </c>
      <c s="130" r="T163"/>
      <c s="78" r="U163"/>
      <c s="78" r="V163">
        <v>10</v>
      </c>
      <c s="78" r="W163"/>
      <c s="78" r="X163"/>
      <c s="78" r="Y163"/>
      <c s="78" r="Z163"/>
      <c s="78" r="AA163">
        <v>24</v>
      </c>
      <c s="78" r="AB163"/>
      <c s="78" r="AC163"/>
      <c s="78" r="AD163"/>
      <c s="78" r="AE163"/>
      <c s="78" r="AF163"/>
      <c s="78" r="AG163"/>
      <c s="47" r="AH163">
        <f>((AC163*0.6637)+AE163)+AG163</f>
        <v>0</v>
      </c>
      <c s="94" r="AI163">
        <f>(AA163*2.3)+(AD163)</f>
        <v>55.2</v>
      </c>
      <c s="109" r="AJ163"/>
      <c s="44" r="AK163"/>
      <c s="30" r="AL163"/>
      <c s="30" r="AM163"/>
      <c s="30" r="AN163"/>
      <c s="30" r="AO163"/>
    </row>
    <row r="164">
      <c t="str" s="106" r="A164">
        <f>(((B164&amp;" ")&amp;C164)&amp;" ")&amp;E164</f>
        <v>Tiled-Stone Pendant Quest Reward  144.4204</v>
      </c>
      <c t="s" s="87" r="B164">
        <v>353</v>
      </c>
      <c t="s" s="107" r="C164">
        <v>198</v>
      </c>
      <c t="s" s="107" r="D164">
        <v>325</v>
      </c>
      <c s="114" r="E164">
        <f>(F164+G164)+H164</f>
        <v>144.4204</v>
      </c>
      <c s="121" r="F164">
        <f>((((((J164*0.1)+(O164*1.25))+R164)+S164)+V164)+(X164*0.5))+(AF164*0.2)</f>
        <v>35.1</v>
      </c>
      <c s="121" r="G164">
        <f>+((K164*1.06)*1.06)</f>
        <v>43.8204</v>
      </c>
      <c s="121" r="H164">
        <f>((((AB164)+(0.3*K164))+AG164)+(AF164*0.6))+AI164</f>
        <v>65.5</v>
      </c>
      <c s="98" r="I164">
        <f>((((0.05*O164)+(0.053*V164))+(0.04*AC164))+(0.042*S164))/100.0</f>
        <v>0.013</v>
      </c>
      <c s="130" r="J164"/>
      <c s="24" r="K164">
        <f>L164+M164</f>
        <v>39</v>
      </c>
      <c s="130" r="L164">
        <v>39</v>
      </c>
      <c s="78" r="M164"/>
      <c s="78" r="N164"/>
      <c s="24" r="O164">
        <f>P164+Q164</f>
        <v>26</v>
      </c>
      <c s="130" r="P164">
        <v>26</v>
      </c>
      <c s="78" r="Q164"/>
      <c s="78" r="R164"/>
      <c s="24" r="S164">
        <f>T164+U164</f>
        <v>0</v>
      </c>
      <c s="130" r="T164"/>
      <c s="78" r="U164"/>
      <c s="78" r="V164"/>
      <c s="78" r="W164"/>
      <c s="78" r="X164"/>
      <c s="78" r="Y164"/>
      <c s="78" r="Z164"/>
      <c s="78" r="AA164">
        <v>20</v>
      </c>
      <c s="78" r="AB164"/>
      <c s="78" r="AC164"/>
      <c s="78" r="AD164"/>
      <c s="78" r="AE164"/>
      <c s="78" r="AF164">
        <v>13</v>
      </c>
      <c s="78" r="AG164"/>
      <c s="47" r="AH164">
        <f>((AC164*0.6637)+AE164)+AG164</f>
        <v>0</v>
      </c>
      <c s="94" r="AI164">
        <f>(AA164*2.3)+(AD164)</f>
        <v>46</v>
      </c>
      <c s="109" r="AJ164"/>
      <c s="44" r="AK164"/>
      <c s="30" r="AL164"/>
      <c s="30" r="AM164"/>
      <c s="30" r="AN164"/>
      <c s="30" r="AO164"/>
    </row>
    <row r="165">
      <c t="str" s="106" r="A165">
        <f>(((B165&amp;" ")&amp;C165)&amp;" ")&amp;E165</f>
        <v>Collar of the Pit Lord Brutallus 144.1368</v>
      </c>
      <c t="s" s="87" r="B165">
        <v>354</v>
      </c>
      <c t="s" s="107" r="C165">
        <v>355</v>
      </c>
      <c t="s" s="107" r="D165">
        <v>325</v>
      </c>
      <c s="114" r="E165">
        <f>(F165+G165)+H165</f>
        <v>144.1368</v>
      </c>
      <c s="121" r="F165">
        <f>((((((J165*0.1)+(O165*1.25))+R165)+S165)+V165)+(X165*0.5))+(AF165*0.2)</f>
        <v>37.05</v>
      </c>
      <c s="121" r="G165">
        <f>+((K165*1.06)*1.06)</f>
        <v>70.7868</v>
      </c>
      <c s="121" r="H165">
        <f>((((AB165)+(0.3*K165))+AG165)+(AF165*0.6))+AI165</f>
        <v>36.3</v>
      </c>
      <c s="98" r="I165">
        <f>((((0.05*O165)+(0.053*V165))+(0.04*AC165))+(0.042*S165))/100.0</f>
        <v>0.0125</v>
      </c>
      <c s="130" r="J165"/>
      <c s="24" r="K165">
        <f>L165+M165</f>
        <v>63</v>
      </c>
      <c s="130" r="L165">
        <v>63</v>
      </c>
      <c s="78" r="M165"/>
      <c s="78" r="N165"/>
      <c s="24" r="O165">
        <f>P165+Q165</f>
        <v>25</v>
      </c>
      <c s="130" r="P165">
        <v>25</v>
      </c>
      <c s="78" r="Q165"/>
      <c s="78" r="R165"/>
      <c s="24" r="S165"/>
      <c s="130" r="T165"/>
      <c s="78" r="U165"/>
      <c s="78" r="V165"/>
      <c s="78" r="W165"/>
      <c s="78" r="X165"/>
      <c s="78" r="Y165"/>
      <c s="78" r="Z165"/>
      <c s="78" r="AA165"/>
      <c s="78" r="AB165"/>
      <c s="78" r="AC165"/>
      <c s="78" r="AD165"/>
      <c s="78" r="AE165"/>
      <c s="78" r="AF165">
        <v>29</v>
      </c>
      <c s="78" r="AG165"/>
      <c s="47" r="AH165">
        <f>((AC165*0.6637)+AE165)+AG165</f>
        <v>0</v>
      </c>
      <c s="94" r="AI165">
        <f>(AA165*2.3)+(AD165)</f>
        <v>0</v>
      </c>
      <c s="109" r="AJ165"/>
      <c s="44" r="AK165"/>
      <c s="30" r="AL165"/>
      <c s="30" r="AM165"/>
      <c s="30" r="AN165"/>
      <c s="30" r="AO165"/>
    </row>
    <row r="166">
      <c t="str" s="106" r="A166">
        <f>(((B166&amp;" ")&amp;C166)&amp;" ")&amp;E166</f>
        <v>Woven Steel Necklace Quest Reward  138.1412</v>
      </c>
      <c t="s" s="87" r="B166">
        <v>356</v>
      </c>
      <c t="s" s="107" r="C166">
        <v>198</v>
      </c>
      <c t="s" s="107" r="D166">
        <v>325</v>
      </c>
      <c s="114" r="E166">
        <f>(F166+G166)+H166</f>
        <v>138.1412</v>
      </c>
      <c s="121" r="F166">
        <f>((((((J166*0.1)+(O166*1.25))+R166)+S166)+V166)+(X166*0.5))+(AF166*0.2)</f>
        <v>16.25</v>
      </c>
      <c s="121" r="G166">
        <f>+((K166*1.06)*1.06)</f>
        <v>47.1912</v>
      </c>
      <c s="121" r="H166">
        <f>((((AB166)+(0.3*K166))+AG166)+(AF166*0.6))+AI166</f>
        <v>74.7</v>
      </c>
      <c s="98" r="I166">
        <f>((((0.05*O166)+(0.053*V166))+(0.04*AC166))+(0.042*S166))/100.0</f>
        <v>0.0065</v>
      </c>
      <c s="130" r="J166"/>
      <c s="24" r="K166">
        <f>L166+M166</f>
        <v>42</v>
      </c>
      <c s="130" r="L166">
        <v>42</v>
      </c>
      <c s="78" r="M166"/>
      <c s="78" r="N166"/>
      <c s="24" r="O166">
        <f>P166+Q166</f>
        <v>13</v>
      </c>
      <c s="130" r="P166">
        <v>13</v>
      </c>
      <c s="78" r="Q166"/>
      <c s="78" r="R166"/>
      <c s="24" r="S166">
        <f>T166+U166</f>
        <v>0</v>
      </c>
      <c s="130" r="T166"/>
      <c s="78" r="U166"/>
      <c s="78" r="V166"/>
      <c s="78" r="W166"/>
      <c s="78" r="X166"/>
      <c s="78" r="Y166"/>
      <c s="78" r="Z166"/>
      <c s="78" r="AA166">
        <v>27</v>
      </c>
      <c s="78" r="AB166"/>
      <c s="78" r="AC166"/>
      <c s="78" r="AD166"/>
      <c s="78" r="AE166"/>
      <c s="78" r="AF166"/>
      <c s="78" r="AG166"/>
      <c s="47" r="AH166">
        <f>((AC166*0.6637)+AE166)+AG166</f>
        <v>0</v>
      </c>
      <c s="94" r="AI166">
        <f>(AA166*2.3)+(AD166)</f>
        <v>62.1</v>
      </c>
      <c s="109" r="AJ166"/>
      <c s="44" r="AK166"/>
      <c s="30" r="AL166"/>
      <c s="30" r="AM166"/>
      <c s="30" r="AN166"/>
      <c s="30" r="AO166"/>
    </row>
    <row r="167">
      <c t="str" s="106" r="A167">
        <f>(((B167&amp;" ")&amp;C167)&amp;" ")&amp;E167</f>
        <v>Pendant of the Titans RoS 132.4648</v>
      </c>
      <c t="s" s="99" r="B167">
        <v>357</v>
      </c>
      <c t="s" s="78" r="C167">
        <v>358</v>
      </c>
      <c t="s" s="78" r="D167">
        <v>325</v>
      </c>
      <c s="114" r="E167">
        <f>(F167+G167)+H167</f>
        <v>132.4648</v>
      </c>
      <c s="121" r="F167">
        <f>((((((J167*0.1)+(O167*1.25))+R167)+S167)+V167)+(X167*0.5))+(AF167*0.2)</f>
        <v>51.25</v>
      </c>
      <c s="121" r="G167">
        <f>+((K167*1.06)*1.06)</f>
        <v>48.3148</v>
      </c>
      <c s="121" r="H167">
        <f>((((AB167)+(0.3*K167))+AG167)+(AF167*0.6))+AI167</f>
        <v>32.9</v>
      </c>
      <c s="98" r="I167">
        <f>((((0.05*O167)+(0.053*V167))+(0.04*AC167))+(0.042*S167))/100.0</f>
        <v>0.02375</v>
      </c>
      <c s="130" r="J167"/>
      <c s="24" r="K167">
        <f>L167+M167</f>
        <v>43</v>
      </c>
      <c s="130" r="L167">
        <v>43</v>
      </c>
      <c s="78" r="M167"/>
      <c s="78" r="N167"/>
      <c s="24" r="O167">
        <f>P167+Q167</f>
        <v>21</v>
      </c>
      <c s="130" r="P167">
        <v>21</v>
      </c>
      <c s="78" r="Q167"/>
      <c s="78" r="R167"/>
      <c s="24" r="S167">
        <f>T167+U167</f>
        <v>0</v>
      </c>
      <c s="130" r="T167"/>
      <c s="78" r="U167"/>
      <c s="78" r="V167">
        <v>25</v>
      </c>
      <c s="78" r="W167"/>
      <c s="78" r="X167"/>
      <c s="78" r="Y167"/>
      <c s="78" r="Z167"/>
      <c s="78" r="AA167"/>
      <c s="78" r="AB167"/>
      <c s="78" r="AC167"/>
      <c s="78" r="AD167"/>
      <c s="78" r="AE167"/>
      <c s="78" r="AF167"/>
      <c s="78" r="AG167">
        <v>20</v>
      </c>
      <c s="47" r="AH167">
        <f>((AC167*0.6637)+AE167)+AG167</f>
        <v>20</v>
      </c>
      <c s="94" r="AI167">
        <f>(AA167*2.3)+(AD167)</f>
        <v>0</v>
      </c>
      <c s="109" r="AJ167"/>
      <c s="44" r="AK167"/>
      <c s="30" r="AL167"/>
      <c s="30" r="AM167"/>
      <c s="30" r="AN167"/>
      <c s="30" r="AO167"/>
    </row>
    <row r="168">
      <c t="str" s="106" r="A168">
        <f>(((B168&amp;" ")&amp;C168)&amp;" ")&amp;E168</f>
        <v>Darkener's Grasp Kael (Quest) 127.69400000000002</v>
      </c>
      <c t="s" s="99" r="B168">
        <v>359</v>
      </c>
      <c t="s" s="78" r="C168">
        <v>360</v>
      </c>
      <c t="s" s="78" r="D168">
        <v>325</v>
      </c>
      <c s="114" r="E168">
        <f>(F168+G168)+H168</f>
        <v>127.694</v>
      </c>
      <c s="121" r="F168">
        <f>((((((J168*0.1)+(O168*1.25))+R168)+S168)+V168)+(X168*0.5))+(AF168*0.2)</f>
        <v>70.75</v>
      </c>
      <c s="121" r="G168">
        <f>+((K168*1.06)*1.06)</f>
        <v>44.944</v>
      </c>
      <c s="121" r="H168">
        <f>((((AB168)+(0.3*K168))+AG168)+(AF168*0.6))+AI168</f>
        <v>12</v>
      </c>
      <c s="98" r="I168">
        <f>((((0.05*O168)+(0.053*V168))+(0.04*AC168))+(0.042*S168))/100.0</f>
        <v>0.02569</v>
      </c>
      <c s="130" r="J168"/>
      <c s="24" r="K168">
        <f>L168+M168</f>
        <v>40</v>
      </c>
      <c s="130" r="L168">
        <v>40</v>
      </c>
      <c s="78" r="M168"/>
      <c s="78" r="N168"/>
      <c s="24" r="O168">
        <f>P168+Q168</f>
        <v>27</v>
      </c>
      <c s="130" r="P168">
        <v>27</v>
      </c>
      <c s="78" r="Q168"/>
      <c s="78" r="R168">
        <v>14</v>
      </c>
      <c s="24" r="S168">
        <f>T168+U168</f>
        <v>0</v>
      </c>
      <c s="130" r="T168"/>
      <c s="78" r="U168"/>
      <c s="78" r="V168">
        <v>23</v>
      </c>
      <c s="78" r="W168"/>
      <c s="78" r="X168"/>
      <c s="78" r="Y168"/>
      <c s="78" r="Z168"/>
      <c s="78" r="AA168"/>
      <c s="78" r="AB168"/>
      <c s="78" r="AC168"/>
      <c s="78" r="AD168"/>
      <c s="78" r="AE168"/>
      <c s="78" r="AF168"/>
      <c s="78" r="AG168"/>
      <c s="47" r="AH168">
        <f>((AC168*0.6637)+AE168)+AG168</f>
        <v>0</v>
      </c>
      <c s="94" r="AI168">
        <f>(AA168*2.3)+(AD168)</f>
        <v>0</v>
      </c>
      <c s="109" r="AJ168"/>
      <c s="44" r="AK168"/>
      <c s="30" r="AL168"/>
      <c s="30" r="AM168"/>
      <c s="30" r="AN168"/>
      <c s="30" r="AO168"/>
    </row>
    <row r="169">
      <c t="str" s="106" r="A169">
        <f>(((B169&amp;" ")&amp;C169)&amp;" ")&amp;E169</f>
        <v>Frayed Tether of the Drowned FLK 112.06200000000001</v>
      </c>
      <c t="s" s="99" r="B169">
        <v>361</v>
      </c>
      <c t="s" s="78" r="C169">
        <v>317</v>
      </c>
      <c t="s" s="78" r="D169">
        <v>325</v>
      </c>
      <c s="114" r="E169">
        <f>(F169+G169)+H169</f>
        <v>112.062</v>
      </c>
      <c s="121" r="F169">
        <f>((((((J169*0.1)+(O169*1.25))+R169)+S169)+V169)+(X169*0.5))+(AF169*0.2)</f>
        <v>30</v>
      </c>
      <c s="121" r="G169">
        <f>+((K169*1.06)*1.06)</f>
        <v>50.562</v>
      </c>
      <c s="121" r="H169">
        <f>((((AB169)+(0.3*K169))+AG169)+(AF169*0.6))+AI169</f>
        <v>31.5</v>
      </c>
      <c s="98" r="I169">
        <f>((((0.05*O169)+(0.053*V169))+(0.04*AC169))+(0.042*S169))/100.0</f>
        <v>0.012</v>
      </c>
      <c s="130" r="J169"/>
      <c s="24" r="K169">
        <f>L169+M169</f>
        <v>45</v>
      </c>
      <c s="130" r="L169">
        <v>45</v>
      </c>
      <c s="78" r="M169"/>
      <c s="78" r="N169"/>
      <c s="24" r="O169">
        <f>P169+Q169</f>
        <v>24</v>
      </c>
      <c s="130" r="P169">
        <v>24</v>
      </c>
      <c s="78" r="Q169"/>
      <c s="78" r="R169"/>
      <c s="24" r="S169">
        <f>T169+U169</f>
        <v>0</v>
      </c>
      <c s="130" r="T169"/>
      <c s="78" r="U169"/>
      <c s="78" r="V169"/>
      <c s="78" r="W169"/>
      <c s="78" r="X169"/>
      <c s="78" r="Y169"/>
      <c s="78" r="Z169"/>
      <c s="78" r="AA169"/>
      <c s="78" r="AB169"/>
      <c s="78" r="AC169"/>
      <c s="78" r="AD169"/>
      <c s="78" r="AE169"/>
      <c s="78" r="AF169"/>
      <c s="78" r="AG169">
        <v>18</v>
      </c>
      <c s="47" r="AH169">
        <f>((AC169*0.6637)+AE169)+AG169</f>
        <v>18</v>
      </c>
      <c s="94" r="AI169">
        <f>(AA169*2.3)+(AD169)</f>
        <v>0</v>
      </c>
      <c s="109" r="AJ169"/>
      <c s="44" r="AK169"/>
      <c s="30" r="AL169"/>
      <c s="30" r="AM169"/>
      <c s="30" r="AN169"/>
      <c s="30" r="AO169"/>
    </row>
    <row r="170">
      <c t="str" s="106" r="A170">
        <f>(((B170&amp;" ")&amp;C170)&amp;" ")&amp;E170</f>
        <v>Brooch of Deftness 35 Badges 107.1328</v>
      </c>
      <c t="s" s="99" r="B170">
        <v>362</v>
      </c>
      <c t="s" s="78" r="C170">
        <v>363</v>
      </c>
      <c t="s" s="78" r="D170">
        <v>325</v>
      </c>
      <c s="114" r="E170">
        <f>(F170+G170)+H170</f>
        <v>107.1328</v>
      </c>
      <c s="121" r="F170">
        <f>((((((J170*0.1)+(O170*1.25))+R170)+S170)+V170)+(X170*0.5))+(AF170*0.2)</f>
        <v>4.2</v>
      </c>
      <c s="121" r="G170">
        <f>+((K170*1.06)*1.06)</f>
        <v>53.9328</v>
      </c>
      <c s="121" r="H170">
        <f>((((AB170)+(0.3*K170))+AG170)+(AF170*0.6))+AI170</f>
        <v>49</v>
      </c>
      <c s="98" r="I170">
        <f>((((0.05*O170)+(0.053*V170))+(0.04*AC170))+(0.042*S170))/100.0</f>
        <v>0</v>
      </c>
      <c s="130" r="J170"/>
      <c s="24" r="K170">
        <f>L170+M170</f>
        <v>48</v>
      </c>
      <c s="130" r="L170">
        <v>48</v>
      </c>
      <c s="78" r="M170"/>
      <c s="78" r="N170"/>
      <c s="24" r="O170">
        <f>P170+Q170</f>
        <v>0</v>
      </c>
      <c s="130" r="P170">
        <v>0</v>
      </c>
      <c s="78" r="Q170"/>
      <c s="78" r="R170"/>
      <c s="24" r="S170">
        <f>T170+U170</f>
        <v>0</v>
      </c>
      <c s="130" r="T170"/>
      <c s="78" r="U170"/>
      <c s="78" r="V170"/>
      <c s="78" r="W170"/>
      <c s="78" r="X170"/>
      <c s="78" r="Y170"/>
      <c s="78" r="Z170"/>
      <c s="78" r="AA170"/>
      <c s="78" r="AB170"/>
      <c s="78" r="AC170"/>
      <c s="78" r="AD170"/>
      <c s="78" r="AE170"/>
      <c s="78" r="AF170">
        <v>21</v>
      </c>
      <c s="78" r="AG170">
        <v>22</v>
      </c>
      <c s="47" r="AH170">
        <f>((AC170*0.6637)+AE170)+AG170</f>
        <v>22</v>
      </c>
      <c s="94" r="AI170">
        <f>(AA170*2.3)+(AD170)</f>
        <v>0</v>
      </c>
      <c s="109" r="AJ170"/>
      <c s="44" r="AK170"/>
      <c s="30" r="AL170"/>
      <c s="30" r="AM170"/>
      <c s="30" r="AN170"/>
      <c s="30" r="AO170"/>
    </row>
    <row r="171">
      <c t="str" s="106" r="A171">
        <f>(((B171&amp;" ")&amp;C171)&amp;" ")&amp;E171</f>
        <v>Barbed Choker of Discipline Maiden 96.52040000000001</v>
      </c>
      <c t="s" s="99" r="B171">
        <v>364</v>
      </c>
      <c t="s" s="78" r="C171">
        <v>218</v>
      </c>
      <c t="s" s="78" r="D171">
        <v>325</v>
      </c>
      <c s="114" r="E171">
        <f>(F171+G171)+H171</f>
        <v>96.5204</v>
      </c>
      <c s="121" r="F171">
        <f>((((((J171*0.1)+(O171*1.25))+R171)+S171)+V171)+(X171*0.5))+(AF171*0.2)</f>
        <v>41</v>
      </c>
      <c s="121" r="G171">
        <f>+((K171*1.06)*1.06)</f>
        <v>43.8204</v>
      </c>
      <c s="121" r="H171">
        <f>((((AB171)+(0.3*K171))+AG171)+(AF171*0.6))+AI171</f>
        <v>11.7</v>
      </c>
      <c s="98" r="I171">
        <f>((((0.05*O171)+(0.053*V171))+(0.04*AC171))+(0.042*S171))/100.0</f>
        <v>0.01913</v>
      </c>
      <c s="130" r="J171"/>
      <c s="24" r="K171">
        <f>L171+M171</f>
        <v>39</v>
      </c>
      <c s="130" r="L171">
        <v>39</v>
      </c>
      <c s="78" r="M171"/>
      <c s="78" r="N171"/>
      <c s="24" r="O171">
        <f>P171+Q171</f>
        <v>16</v>
      </c>
      <c s="130" r="P171">
        <v>16</v>
      </c>
      <c s="78" r="Q171"/>
      <c s="78" r="R171"/>
      <c s="24" r="S171">
        <f>T171+U171</f>
        <v>0</v>
      </c>
      <c s="130" r="T171"/>
      <c s="78" r="U171"/>
      <c s="78" r="V171">
        <v>21</v>
      </c>
      <c s="78" r="W171"/>
      <c s="78" r="X171"/>
      <c s="78" r="Y171"/>
      <c s="78" r="Z171"/>
      <c s="78" r="AA171"/>
      <c s="78" r="AB171"/>
      <c s="78" r="AC171"/>
      <c s="78" r="AD171"/>
      <c s="78" r="AE171"/>
      <c s="78" r="AF171"/>
      <c s="78" r="AG171"/>
      <c s="47" r="AH171">
        <f>((AC171*0.6637)+AE171)+AG171</f>
        <v>0</v>
      </c>
      <c s="94" r="AI171">
        <f>(AA171*2.3)+(AD171)</f>
        <v>0</v>
      </c>
      <c s="109" r="AJ171"/>
      <c s="44" r="AK171"/>
      <c s="30" r="AL171"/>
      <c s="30" r="AM171"/>
      <c s="30" r="AN171"/>
      <c s="30" r="AO171"/>
    </row>
    <row r="172">
      <c t="str" s="106" r="A172">
        <f>(((B172&amp;" ")&amp;C172)&amp;" ")&amp;E172</f>
        <v>Shattered Sun Pendant of Resolve SSO Exalted 95.7328</v>
      </c>
      <c t="s" s="99" r="B172">
        <v>365</v>
      </c>
      <c t="s" s="78" r="C172">
        <v>366</v>
      </c>
      <c t="s" s="78" r="D172">
        <v>325</v>
      </c>
      <c s="114" r="E172">
        <f>(F172+G172)+H172</f>
        <v>95.7328</v>
      </c>
      <c s="121" r="F172">
        <f>((((((J172*0.1)+(O172*1.25))+R172)+S172)+V172)+(X172*0.5))+(AF172*0.2)</f>
        <v>3.6</v>
      </c>
      <c s="121" r="G172">
        <f>+((K172*1.06)*1.06)</f>
        <v>53.9328</v>
      </c>
      <c s="121" r="H172">
        <f>((((AB172)+(0.3*K172))+AG172)+(AF172*0.6))+AI172</f>
        <v>38.2</v>
      </c>
      <c s="98" r="I172">
        <f>((((0.05*O172)+(0.053*V172))+(0.04*AC172))+(0.042*S172))/100.0</f>
        <v>0</v>
      </c>
      <c s="130" r="J172"/>
      <c s="24" r="K172">
        <f>L172+M172</f>
        <v>48</v>
      </c>
      <c s="130" r="L172">
        <v>48</v>
      </c>
      <c s="78" r="M172"/>
      <c s="78" r="N172"/>
      <c s="24" r="O172">
        <f>P172+Q172</f>
        <v>0</v>
      </c>
      <c s="130" r="P172">
        <v>0</v>
      </c>
      <c s="78" r="Q172"/>
      <c s="78" r="R172"/>
      <c s="24" r="S172">
        <f>T172+U172</f>
        <v>0</v>
      </c>
      <c s="130" r="T172"/>
      <c s="78" r="U172"/>
      <c s="78" r="V172"/>
      <c s="78" r="W172"/>
      <c s="78" r="X172"/>
      <c s="78" r="Y172"/>
      <c s="78" r="Z172"/>
      <c s="78" r="AA172"/>
      <c s="78" r="AB172"/>
      <c s="78" r="AC172"/>
      <c s="78" r="AD172"/>
      <c s="78" r="AE172"/>
      <c s="78" r="AF172">
        <v>18</v>
      </c>
      <c s="78" r="AG172">
        <v>13</v>
      </c>
      <c s="47" r="AH172">
        <f>((AC172*0.6637)+AE172)+AG172</f>
        <v>13</v>
      </c>
      <c s="94" r="AI172">
        <f>(AA172*2.3)+(AD172)</f>
        <v>0</v>
      </c>
      <c s="109" r="AJ172"/>
      <c s="44" r="AK172"/>
      <c s="30" r="AL172"/>
      <c s="30" r="AM172"/>
      <c s="30" r="AN172"/>
      <c s="30" r="AO172"/>
    </row>
    <row r="173">
      <c t="str" s="106" r="A173">
        <f>(((B173&amp;" ")&amp;C173)&amp;" ")&amp;E173</f>
        <v>Shattered Sun Pendant of Might SSO Exalted 91.0484</v>
      </c>
      <c t="s" s="99" r="B173">
        <v>367</v>
      </c>
      <c t="s" s="78" r="C173">
        <v>366</v>
      </c>
      <c t="s" s="78" r="D173">
        <v>325</v>
      </c>
      <c s="114" r="E173">
        <f>(F173+G173)+H173</f>
        <v>91.0484</v>
      </c>
      <c s="121" r="F173">
        <f>((((((J173*0.1)+(O173*1.25))+R173)+S173)+V173)+(X173*0.5))+(AF173*0.2)</f>
        <v>0</v>
      </c>
      <c s="121" r="G173">
        <f>+((K173*1.06)*1.06)</f>
        <v>21.3484</v>
      </c>
      <c s="121" r="H173">
        <f>((((AB173)+(0.3*K173))+AG173)+(AF173*0.6))+AI173</f>
        <v>69.7</v>
      </c>
      <c s="98" r="I173">
        <f>((((0.05*O173)+(0.053*V173))+(0.04*AC173))+(0.042*S173))/100.0</f>
        <v>0.0072</v>
      </c>
      <c s="130" r="J173"/>
      <c s="24" r="K173">
        <f>L173+M173</f>
        <v>19</v>
      </c>
      <c s="130" r="L173">
        <v>19</v>
      </c>
      <c s="78" r="M173"/>
      <c s="78" r="N173"/>
      <c s="24" r="O173">
        <f>P173+Q173</f>
        <v>0</v>
      </c>
      <c s="130" r="P173">
        <v>0</v>
      </c>
      <c s="78" r="Q173"/>
      <c s="78" r="R173"/>
      <c s="24" r="S173">
        <f>T173+U173</f>
        <v>0</v>
      </c>
      <c s="130" r="T173"/>
      <c s="78" r="U173"/>
      <c s="78" r="V173"/>
      <c s="78" r="W173"/>
      <c s="78" r="X173"/>
      <c s="78" r="Y173"/>
      <c s="78" r="Z173"/>
      <c s="78" r="AA173"/>
      <c s="78" r="AB173"/>
      <c s="78" r="AC173">
        <v>18</v>
      </c>
      <c s="78" r="AD173">
        <v>64</v>
      </c>
      <c s="78" r="AE173"/>
      <c s="78" r="AF173"/>
      <c s="78" r="AG173"/>
      <c s="47" r="AH173">
        <f>((AC173*0.6637)+AE173)+AG173</f>
        <v>11.9466</v>
      </c>
      <c s="94" r="AI173">
        <f>(AA173*2.3)+(AD173)</f>
        <v>64</v>
      </c>
      <c s="109" r="AJ173"/>
      <c s="44" r="AK173"/>
      <c s="30" r="AL173"/>
      <c s="30" r="AM173"/>
      <c s="30" r="AN173"/>
      <c s="30" r="AO173"/>
    </row>
    <row r="174">
      <c t="str" s="106" r="A174">
        <f>(((B174&amp;" ")&amp;C174)&amp;" ")&amp;E174</f>
        <v>Necklace of the Juggernaut 25 Badges 74.4788</v>
      </c>
      <c t="s" s="99" r="B174">
        <v>368</v>
      </c>
      <c t="s" s="78" r="C174">
        <v>369</v>
      </c>
      <c t="s" s="78" r="D174">
        <v>325</v>
      </c>
      <c s="114" r="E174">
        <f>(F174+G174)+H174</f>
        <v>74.4788</v>
      </c>
      <c s="121" r="F174">
        <f>((((((J174*0.1)+(O174*1.25))+R174)+S174)+V174)+(X174*0.5))+(AF174*0.2)</f>
        <v>27.5</v>
      </c>
      <c s="121" r="G174">
        <f>+((K174*1.06)*1.06)</f>
        <v>37.0788</v>
      </c>
      <c s="121" r="H174">
        <f>((((AB174)+(0.3*K174))+AG174)+(AF174*0.6))+AI174</f>
        <v>9.9</v>
      </c>
      <c s="98" r="I174">
        <f>((((0.05*O174)+(0.053*V174))+(0.04*AC174))+(0.042*S174))/100.0</f>
        <v>0.0186</v>
      </c>
      <c s="130" r="J174"/>
      <c s="24" r="K174">
        <f>L174+M174</f>
        <v>33</v>
      </c>
      <c s="130" r="L174">
        <v>33</v>
      </c>
      <c s="78" r="M174"/>
      <c s="78" r="N174"/>
      <c s="24" r="O174">
        <f>P174+Q174</f>
        <v>22</v>
      </c>
      <c s="130" r="P174">
        <v>22</v>
      </c>
      <c s="78" r="Q174"/>
      <c s="78" r="R174"/>
      <c s="24" r="S174">
        <f>T174+U174</f>
        <v>0</v>
      </c>
      <c s="130" r="T174"/>
      <c s="78" r="U174"/>
      <c s="78" r="V174"/>
      <c s="78" r="W174"/>
      <c s="78" r="X174"/>
      <c s="78" r="Y174"/>
      <c s="78" r="Z174"/>
      <c s="78" r="AA174"/>
      <c s="78" r="AB174"/>
      <c s="78" r="AC174">
        <v>19</v>
      </c>
      <c s="78" r="AD174"/>
      <c s="78" r="AE174"/>
      <c s="78" r="AF174"/>
      <c s="78" r="AG174"/>
      <c s="47" r="AH174">
        <f>((AC174*0.6637)+AE174)+AG174</f>
        <v>12.6103</v>
      </c>
      <c s="94" r="AI174">
        <f>(AA174*2.3)+(AD174)</f>
        <v>0</v>
      </c>
      <c s="109" r="AJ174"/>
      <c s="44" r="AK174"/>
      <c s="30" r="AL174"/>
      <c s="30" r="AM174"/>
      <c s="30" r="AN174"/>
      <c s="30" r="AO174"/>
    </row>
    <row r="175">
      <c t="str" s="106" r="A175">
        <f>(((B175&amp;" ")&amp;C175)&amp;" ")&amp;E175</f>
        <v>Sand-Worn Band Naxx25 Anub'rekhan 342.63239999999996</v>
      </c>
      <c t="s" s="18" r="B175">
        <v>370</v>
      </c>
      <c t="s" s="76" r="C175">
        <v>371</v>
      </c>
      <c t="s" s="76" r="D175">
        <v>372</v>
      </c>
      <c s="114" r="E175">
        <f>(F175+G175)+H175</f>
        <v>342.6324</v>
      </c>
      <c s="121" r="F175">
        <f>((((((J175*0.1)+(O175*1.25))+R175)+S175)+V175)+(X175*0.5))+(AF175*0.2)</f>
        <v>94.25</v>
      </c>
      <c s="121" r="G175">
        <f>+((K175*1.06)*1.06)</f>
        <v>94.3824</v>
      </c>
      <c s="121" r="H175">
        <f>((((AB175)+(0.3*K175))+AG175)+(AF175*0.6))+AI175</f>
        <v>154</v>
      </c>
      <c s="98" r="I175">
        <f>((((0.05*O175)+(0.053*V175))+(0.04*AC175))+(0.042*S175))/100.0</f>
        <v>0.04182</v>
      </c>
      <c s="28" r="J175"/>
      <c s="21" r="K175">
        <f>L175+M175</f>
        <v>84</v>
      </c>
      <c s="32" r="L175">
        <v>84</v>
      </c>
      <c s="26" r="M175"/>
      <c s="26" r="N175"/>
      <c s="21" r="O175">
        <f>P175+Q175</f>
        <v>25</v>
      </c>
      <c s="59" r="P175">
        <v>25</v>
      </c>
      <c s="26" r="Q175"/>
      <c s="26" r="R175"/>
      <c s="21" r="S175">
        <f>T175+U175</f>
        <v>37</v>
      </c>
      <c s="59" r="T175">
        <v>37</v>
      </c>
      <c s="26" r="U175"/>
      <c s="26" r="V175">
        <v>26</v>
      </c>
      <c s="26" r="W175"/>
      <c s="123" r="X175"/>
      <c s="123" r="Y175"/>
      <c s="123" r="Z175"/>
      <c s="123" r="AA175">
        <v>56</v>
      </c>
      <c s="73" r="AB175"/>
      <c s="83" r="AC175"/>
      <c s="83" r="AD175"/>
      <c s="83" r="AE175"/>
      <c s="83" r="AF175"/>
      <c s="83" r="AG175"/>
      <c s="47" r="AH175">
        <f>((AC175*0.6637)+AE175)+AG175</f>
        <v>0</v>
      </c>
      <c s="94" r="AI175">
        <f>(AA175*2.3)+(AD175)</f>
        <v>128.8</v>
      </c>
      <c s="109" r="AJ175"/>
      <c s="44" r="AK175"/>
      <c s="30" r="AL175"/>
      <c s="30" r="AM175"/>
      <c s="30" r="AN175"/>
      <c s="30" r="AO175"/>
    </row>
    <row r="176">
      <c t="str" s="106" r="A176">
        <f>(((B176&amp;" ")&amp;C176)&amp;" ")&amp;E176</f>
        <v>Gatekeeper Naxx25 Sapphiron 330.8588</v>
      </c>
      <c t="s" s="18" r="B176">
        <v>373</v>
      </c>
      <c t="s" s="76" r="C176">
        <v>220</v>
      </c>
      <c t="s" s="76" r="D176">
        <v>372</v>
      </c>
      <c s="114" r="E176">
        <f>(F176+G176)+H176</f>
        <v>330.8588</v>
      </c>
      <c s="121" r="F176">
        <f>((((((J176*0.1)+(O176*1.25))+R176)+S176)+V176)+(X176*0.5))+(AF176*0.2)</f>
        <v>85.8</v>
      </c>
      <c s="121" r="G176">
        <f>+((K176*1.06)*1.06)</f>
        <v>93.2588</v>
      </c>
      <c s="121" r="H176">
        <f>((((AB176)+(0.3*K176))+AG176)+(AF176*0.6))+AI176</f>
        <v>151.8</v>
      </c>
      <c s="98" r="I176">
        <f>((((0.05*O176)+(0.053*V176))+(0.04*AC176))+(0.042*S176))/100.0</f>
        <v>0.02173</v>
      </c>
      <c s="28" r="J176">
        <v>448</v>
      </c>
      <c s="21" r="K176">
        <f>L176+M176</f>
        <v>83</v>
      </c>
      <c s="32" r="L176">
        <v>83</v>
      </c>
      <c s="26" r="M176"/>
      <c s="26" r="N176"/>
      <c s="21" r="O176">
        <f>P176+Q176</f>
        <v>0</v>
      </c>
      <c s="59" r="P176">
        <v>0</v>
      </c>
      <c s="26" r="Q176"/>
      <c s="26" r="R176"/>
      <c s="21" r="S176">
        <f>T176+U176</f>
        <v>0</v>
      </c>
      <c s="59" r="T176"/>
      <c s="26" r="U176"/>
      <c s="26" r="V176">
        <v>41</v>
      </c>
      <c s="26" r="W176"/>
      <c s="123" r="X176"/>
      <c s="123" r="Y176"/>
      <c s="123" r="Z176"/>
      <c s="123" r="AA176">
        <v>43</v>
      </c>
      <c s="73" r="AB176"/>
      <c s="83" r="AC176"/>
      <c s="83" r="AD176"/>
      <c s="83" r="AE176"/>
      <c s="83" r="AF176"/>
      <c s="83" r="AG176">
        <v>28</v>
      </c>
      <c s="47" r="AH176">
        <f>((AC176*0.6637)+AE176)+AG176</f>
        <v>28</v>
      </c>
      <c s="94" r="AI176">
        <f>(AA176*2.3)+(AD176)</f>
        <v>98.9</v>
      </c>
      <c s="109" r="AJ176"/>
      <c s="44" r="AK176"/>
      <c s="30" r="AL176"/>
      <c s="30" r="AM176"/>
      <c s="30" r="AN176"/>
      <c s="30" r="AO176"/>
    </row>
    <row r="177">
      <c t="str" s="106" r="A177">
        <f>(((B177&amp;" ")&amp;C177)&amp;" ")&amp;E177</f>
        <v>Signet of the Impregnable Fortress R-Badgex25  320.7824</v>
      </c>
      <c t="s" s="18" r="B177">
        <v>374</v>
      </c>
      <c t="s" s="76" r="C177">
        <v>375</v>
      </c>
      <c t="s" s="76" r="D177">
        <v>372</v>
      </c>
      <c s="114" r="E177">
        <f>(F177+G177)+H177</f>
        <v>320.7824</v>
      </c>
      <c s="121" r="F177">
        <f>((((((J177*0.1)+(O177*1.25))+R177)+S177)+V177)+(X177*0.5))+(AF177*0.2)</f>
        <v>74.2</v>
      </c>
      <c s="121" r="G177">
        <f>+((K177*1.06)*1.06)</f>
        <v>94.3824</v>
      </c>
      <c s="121" r="H177">
        <f>((((AB177)+(0.3*K177))+AG177)+(AF177*0.6))+AI177</f>
        <v>152.2</v>
      </c>
      <c s="98" r="I177">
        <f>((((0.05*O177)+(0.053*V177))+(0.04*AC177))+(0.042*S177))/100.0</f>
        <v>0.028</v>
      </c>
      <c s="28" r="J177"/>
      <c s="21" r="K177">
        <f>L177+M177</f>
        <v>84</v>
      </c>
      <c s="32" r="L177">
        <v>84</v>
      </c>
      <c s="26" r="M177"/>
      <c s="26" r="N177"/>
      <c s="21" r="O177">
        <f>P177+Q177</f>
        <v>56</v>
      </c>
      <c s="59" r="P177">
        <v>56</v>
      </c>
      <c s="26" r="Q177"/>
      <c s="26" r="R177"/>
      <c s="21" r="S177">
        <f>T177+U177</f>
        <v>0</v>
      </c>
      <c s="59" r="T177"/>
      <c s="26" r="U177"/>
      <c s="26" r="V177"/>
      <c s="26" r="W177"/>
      <c s="123" r="X177"/>
      <c s="123" r="Y177"/>
      <c s="123" r="Z177"/>
      <c s="123" r="AA177">
        <v>38</v>
      </c>
      <c s="73" r="AB177"/>
      <c s="83" r="AC177"/>
      <c s="83" r="AD177"/>
      <c s="83" r="AE177"/>
      <c s="83" r="AF177">
        <v>21</v>
      </c>
      <c s="83" r="AG177">
        <v>27</v>
      </c>
      <c s="47" r="AH177">
        <f>((AC177*0.6637)+AE177)+AG177</f>
        <v>27</v>
      </c>
      <c s="94" r="AI177">
        <f>(AA177*2.3)+(AD177)</f>
        <v>87.4</v>
      </c>
      <c s="109" r="AJ177"/>
      <c s="44" r="AK177"/>
      <c s="30" r="AL177"/>
      <c s="30" r="AM177"/>
      <c s="30" r="AN177"/>
      <c s="30" r="AO177"/>
    </row>
    <row r="178">
      <c t="str" s="106" r="A178">
        <f>(((B178&amp;" ")&amp;C178)&amp;" ")&amp;E178</f>
        <v>Titanium Earthguard Ring Crafted Jewelcrafting 309.1032</v>
      </c>
      <c t="s" s="18" r="B178">
        <v>376</v>
      </c>
      <c t="s" s="76" r="C178">
        <v>377</v>
      </c>
      <c t="s" s="76" r="D178">
        <v>372</v>
      </c>
      <c s="114" r="E178">
        <f>(F178+G178)+H178</f>
        <v>309.1032</v>
      </c>
      <c s="121" r="F178">
        <f>((((((J178*0.1)+(O178*1.25))+R178)+S178)+V178)+(X178*0.5))+(AF178*0.2)</f>
        <v>70.25</v>
      </c>
      <c s="121" r="G178">
        <f>+((K178*1.06)*1.06)</f>
        <v>97.7532</v>
      </c>
      <c s="121" r="H178">
        <f>((((AB178)+(0.3*K178))+AG178)+(AF178*0.6))+AI178</f>
        <v>141.1</v>
      </c>
      <c s="98" r="I178">
        <f>((((0.05*O178)+(0.053*V178))+(0.04*AC178))+(0.042*S178))/100.0</f>
        <v>0.03252</v>
      </c>
      <c s="28" r="J178"/>
      <c s="21" r="K178">
        <f>L178+M178</f>
        <v>87</v>
      </c>
      <c s="32" r="L178">
        <v>63</v>
      </c>
      <c s="26" r="M178">
        <v>24</v>
      </c>
      <c t="s" s="26" r="N178">
        <v>97</v>
      </c>
      <c s="21" r="O178">
        <f>P178+Q178</f>
        <v>29</v>
      </c>
      <c s="59" r="P178">
        <v>25</v>
      </c>
      <c s="26" r="Q178">
        <v>4</v>
      </c>
      <c s="26" r="R178"/>
      <c s="21" r="S178">
        <f>T178+U178</f>
        <v>0</v>
      </c>
      <c s="59" r="T178"/>
      <c s="26" r="U178"/>
      <c s="26" r="V178">
        <v>34</v>
      </c>
      <c s="26" r="W178"/>
      <c s="123" r="X178"/>
      <c s="123" r="Y178"/>
      <c s="123" r="Z178"/>
      <c s="123" r="AA178">
        <v>50</v>
      </c>
      <c s="73" r="AB178"/>
      <c s="83" r="AC178"/>
      <c s="83" r="AD178"/>
      <c s="83" r="AE178"/>
      <c s="83" r="AF178"/>
      <c s="83" r="AG178"/>
      <c s="47" r="AH178">
        <f>((AC178*0.6637)+AE178)+AG178</f>
        <v>0</v>
      </c>
      <c s="94" r="AI178">
        <f>(AA178*2.3)+(AD178)</f>
        <v>115</v>
      </c>
      <c s="109" r="AJ178"/>
      <c s="44" r="AK178"/>
      <c s="30" r="AL178"/>
      <c s="30" r="AM178"/>
      <c s="30" r="AN178"/>
      <c s="30" r="AO178"/>
    </row>
    <row r="179">
      <c t="str" s="106" r="A179">
        <f>(((B179&amp;" ")&amp;C179)&amp;" ")&amp;E179</f>
        <v>Deflection and Naxx10 Anub'rekhan 290.16999999999996</v>
      </c>
      <c t="s" s="18" r="B179">
        <v>378</v>
      </c>
      <c t="s" s="76" r="C179">
        <v>379</v>
      </c>
      <c t="s" s="76" r="D179">
        <v>372</v>
      </c>
      <c s="114" r="E179">
        <f>(F179+G179)+H179</f>
        <v>290.17</v>
      </c>
      <c s="121" r="F179">
        <f>((((((J179*0.1)+(O179*1.25))+R179)+S179)+V179)+(X179*0.5))+(AF179*0.2)</f>
        <v>71</v>
      </c>
      <c s="121" r="G179">
        <f>+((K179*1.06)*1.06)</f>
        <v>84.27</v>
      </c>
      <c s="121" r="H179">
        <f>((((AB179)+(0.3*K179))+AG179)+(AF179*0.6))+AI179</f>
        <v>134.9</v>
      </c>
      <c s="98" r="I179">
        <f>((((0.05*O179)+(0.053*V179))+(0.04*AC179))+(0.042*S179))/100.0</f>
        <v>0.03308</v>
      </c>
      <c s="28" r="J179"/>
      <c s="21" r="K179">
        <f>L179+M179</f>
        <v>75</v>
      </c>
      <c s="32" r="L179">
        <v>75</v>
      </c>
      <c s="26" r="M179"/>
      <c s="26" r="N179"/>
      <c s="21" r="O179">
        <f>P179+Q179</f>
        <v>28</v>
      </c>
      <c s="59" r="P179">
        <v>28</v>
      </c>
      <c s="26" r="Q179"/>
      <c s="26" r="R179"/>
      <c s="21" r="S179">
        <f>T179+U179</f>
        <v>0</v>
      </c>
      <c s="59" r="T179"/>
      <c s="26" r="U179"/>
      <c s="26" r="V179">
        <v>36</v>
      </c>
      <c s="26" r="W179"/>
      <c s="123" r="X179"/>
      <c s="123" r="Y179"/>
      <c s="123" r="Z179"/>
      <c s="123" r="AA179">
        <v>38</v>
      </c>
      <c s="73" r="AB179"/>
      <c s="83" r="AC179"/>
      <c s="83" r="AD179"/>
      <c s="83" r="AE179"/>
      <c s="83" r="AF179"/>
      <c s="83" r="AG179">
        <v>25</v>
      </c>
      <c s="47" r="AH179">
        <f>((AC179*0.6637)+AE179)+AG179</f>
        <v>25</v>
      </c>
      <c s="94" r="AI179">
        <f>(AA179*2.3)+(AD179)</f>
        <v>87.4</v>
      </c>
      <c s="109" r="AJ179"/>
      <c s="44" r="AK179"/>
      <c s="30" r="AL179"/>
      <c s="30" r="AM179"/>
      <c s="30" r="AN179"/>
      <c s="30" r="AO179"/>
    </row>
    <row r="180">
      <c t="str" s="106" r="A180">
        <f>(((B180&amp;" ")&amp;C180)&amp;" ")&amp;E180</f>
        <v>Signet of the Accord   283.67280000000005</v>
      </c>
      <c t="s" s="18" r="B180">
        <v>380</v>
      </c>
      <c t="s" s="76" r="C180">
        <v>142</v>
      </c>
      <c t="s" s="76" r="D180">
        <v>372</v>
      </c>
      <c s="114" r="E180">
        <f>(F180+G180)+H180</f>
        <v>283.6728</v>
      </c>
      <c s="121" r="F180">
        <f>((((((J180*0.1)+(O180*1.25))+R180)+S180)+V180)+(X180*0.5))+(AF180*0.2)</f>
        <v>79.55</v>
      </c>
      <c s="121" r="G180">
        <f>+((K180*1.06)*1.06)</f>
        <v>82.0228</v>
      </c>
      <c s="121" r="H180">
        <f>((((AB180)+(0.3*K180))+AG180)+(AF180*0.6))+AI180</f>
        <v>122.1</v>
      </c>
      <c s="98" r="I180">
        <f>((((0.05*O180)+(0.053*V180))+(0.04*AC180))+(0.042*S180))/100.0</f>
        <v>0.0302</v>
      </c>
      <c s="28" r="J180"/>
      <c s="21" r="K180">
        <f>L180+M180</f>
        <v>73</v>
      </c>
      <c s="32" r="L180">
        <v>73</v>
      </c>
      <c s="26" r="M180"/>
      <c s="26" r="N180"/>
      <c s="21" r="O180">
        <f>P180+Q180</f>
        <v>31</v>
      </c>
      <c s="59" r="P180">
        <v>31</v>
      </c>
      <c s="26" r="Q180"/>
      <c s="26" r="R180"/>
      <c s="21" r="S180">
        <f>T180+U180</f>
        <v>35</v>
      </c>
      <c s="59" r="T180">
        <v>35</v>
      </c>
      <c s="26" r="U180"/>
      <c s="26" r="V180"/>
      <c s="26" r="W180"/>
      <c s="123" r="X180"/>
      <c s="123" r="Y180"/>
      <c s="123" r="Z180"/>
      <c s="123" r="AA180">
        <v>36</v>
      </c>
      <c s="73" r="AB180"/>
      <c s="83" r="AC180"/>
      <c s="83" r="AD180"/>
      <c s="83" r="AE180"/>
      <c s="83" r="AF180">
        <v>29</v>
      </c>
      <c s="83" r="AG180"/>
      <c s="47" r="AH180">
        <f>((AC180*0.6637)+AE180)+AG180</f>
        <v>0</v>
      </c>
      <c s="94" r="AI180">
        <f>(AA180*2.3)+(AD180)</f>
        <v>82.8</v>
      </c>
      <c s="109" r="AJ180"/>
      <c s="44" r="AK180"/>
      <c s="30" r="AL180"/>
      <c s="30" r="AM180"/>
      <c s="30" r="AN180"/>
      <c s="30" r="AO180"/>
    </row>
    <row r="181">
      <c t="str" s="106" r="A181">
        <f>(((B181&amp;" ")&amp;C181)&amp;" ")&amp;E181</f>
        <v>Keystone Great-Ring Dark'tharon Keep Heroic  278.37</v>
      </c>
      <c t="s" s="18" r="B181">
        <v>381</v>
      </c>
      <c t="s" s="76" r="C181">
        <v>382</v>
      </c>
      <c t="s" s="76" r="D181">
        <v>372</v>
      </c>
      <c s="114" r="E181">
        <f>(F181+G181)+H181</f>
        <v>278.37</v>
      </c>
      <c s="121" r="F181">
        <f>((((((J181*0.1)+(O181*1.25))+R181)+S181)+V181)+(X181*0.5))+(AF181*0.2)</f>
        <v>98</v>
      </c>
      <c s="121" r="G181">
        <f>+((K181*1.06)*1.06)</f>
        <v>84.27</v>
      </c>
      <c s="121" r="H181">
        <f>((((AB181)+(0.3*K181))+AG181)+(AF181*0.6))+AI181</f>
        <v>96.1</v>
      </c>
      <c s="98" r="I181">
        <f>((((0.05*O181)+(0.053*V181))+(0.04*AC181))+(0.042*S181))/100.0</f>
        <v>0.02597</v>
      </c>
      <c s="28" r="J181">
        <v>490</v>
      </c>
      <c s="21" r="K181">
        <f>L181+M181</f>
        <v>75</v>
      </c>
      <c s="32" r="L181">
        <v>75</v>
      </c>
      <c s="26" r="M181"/>
      <c s="26" r="N181"/>
      <c s="21" r="O181">
        <f>P181+Q181</f>
        <v>0</v>
      </c>
      <c s="59" r="P181">
        <v>0</v>
      </c>
      <c s="26" r="Q181"/>
      <c s="26" r="R181"/>
      <c s="21" r="S181">
        <f>T181+U181</f>
        <v>0</v>
      </c>
      <c s="59" r="T181"/>
      <c s="26" r="U181"/>
      <c s="26" r="V181">
        <v>49</v>
      </c>
      <c s="26" r="W181"/>
      <c s="123" r="X181"/>
      <c s="123" r="Y181"/>
      <c s="123" r="Z181"/>
      <c s="123" r="AA181">
        <v>32</v>
      </c>
      <c s="73" r="AB181"/>
      <c s="83" r="AC181"/>
      <c s="83" r="AD181"/>
      <c s="83" r="AE181"/>
      <c s="83" r="AF181"/>
      <c s="83" r="AG181"/>
      <c s="47" r="AH181">
        <f>((AC181*0.6637)+AE181)+AG181</f>
        <v>0</v>
      </c>
      <c s="94" r="AI181">
        <f>(AA181*2.3)+(AD181)</f>
        <v>73.6</v>
      </c>
      <c s="109" r="AJ181"/>
      <c s="44" r="AK181"/>
      <c s="30" r="AL181"/>
      <c s="30" r="AM181"/>
      <c s="30" r="AN181"/>
      <c s="30" r="AO181"/>
    </row>
    <row r="182">
      <c t="str" s="106" r="A182">
        <f>(((B182&amp;" ")&amp;C182)&amp;" ")&amp;E182</f>
        <v>Band of Torture Oculus Heroic Drakos 266.1576</v>
      </c>
      <c t="s" s="18" r="B182">
        <v>383</v>
      </c>
      <c t="s" s="76" r="C182">
        <v>384</v>
      </c>
      <c t="s" s="76" r="D182">
        <v>372</v>
      </c>
      <c s="114" r="E182">
        <f>(F182+G182)+H182</f>
        <v>266.1576</v>
      </c>
      <c s="121" r="F182">
        <f>((((((J182*0.1)+(O182*1.25))+R182)+S182)+V182)+(X182*0.5))+(AF182*0.2)</f>
        <v>75.6</v>
      </c>
      <c s="121" r="G182">
        <f>+((K182*1.06)*1.06)</f>
        <v>74.1576</v>
      </c>
      <c s="121" r="H182">
        <f>((((AB182)+(0.3*K182))+AG182)+(AF182*0.6))+AI182</f>
        <v>116.4</v>
      </c>
      <c s="98" r="I182">
        <f>((((0.05*O182)+(0.053*V182))+(0.04*AC182))+(0.042*S182))/100.0</f>
        <v>0.014</v>
      </c>
      <c s="28" r="J182">
        <v>406</v>
      </c>
      <c s="21" r="K182">
        <f>L182+M182</f>
        <v>66</v>
      </c>
      <c s="32" r="L182">
        <v>66</v>
      </c>
      <c s="26" r="M182"/>
      <c s="26" r="N182"/>
      <c s="21" r="O182">
        <f>P182+Q182</f>
        <v>28</v>
      </c>
      <c s="59" r="P182">
        <v>28</v>
      </c>
      <c s="26" r="Q182"/>
      <c s="26" r="R182"/>
      <c s="21" r="S182">
        <f>T182+U182</f>
        <v>0</v>
      </c>
      <c s="59" r="T182"/>
      <c s="26" r="U182"/>
      <c s="26" r="V182"/>
      <c s="26" r="W182"/>
      <c s="123" r="X182"/>
      <c s="123" r="Y182"/>
      <c s="123" r="Z182"/>
      <c s="123" r="AA182">
        <v>42</v>
      </c>
      <c s="73" r="AB182"/>
      <c s="83" r="AC182"/>
      <c s="83" r="AD182"/>
      <c s="83" r="AE182"/>
      <c s="83" r="AF182"/>
      <c s="83" r="AG182"/>
      <c s="47" r="AH182">
        <f>((AC182*0.6637)+AE182)+AG182</f>
        <v>0</v>
      </c>
      <c s="94" r="AI182">
        <f>(AA182*2.3)+(AD182)</f>
        <v>96.6</v>
      </c>
      <c s="109" r="AJ182"/>
      <c s="44" r="AK182"/>
      <c s="30" r="AL182"/>
      <c s="30" r="AM182"/>
      <c s="30" r="AN182"/>
      <c s="30" r="AO182"/>
    </row>
    <row r="183">
      <c t="str" s="106" r="A183">
        <f>(((B183&amp;" ")&amp;C183)&amp;" ")&amp;E183</f>
        <v>Nerubian Shield Ring   262.46040000000005</v>
      </c>
      <c t="s" s="18" r="B183">
        <v>385</v>
      </c>
      <c t="s" s="76" r="C183">
        <v>142</v>
      </c>
      <c t="s" s="76" r="D183">
        <v>372</v>
      </c>
      <c s="114" r="E183">
        <f>(F183+G183)+H183</f>
        <v>262.4604</v>
      </c>
      <c s="121" r="F183">
        <f>((((((J183*0.1)+(O183*1.25))+R183)+S183)+V183)+(X183*0.5))+(AF183*0.2)</f>
        <v>72.45</v>
      </c>
      <c s="121" r="G183">
        <f>+((K183*1.06)*1.06)</f>
        <v>71.9104</v>
      </c>
      <c s="121" r="H183">
        <f>((((AB183)+(0.3*K183))+AG183)+(AF183*0.6))+AI183</f>
        <v>118.1</v>
      </c>
      <c s="98" r="I183">
        <f>((((0.05*O183)+(0.053*V183))+(0.04*AC183))+(0.042*S183))/100.0</f>
        <v>0.0105</v>
      </c>
      <c s="28" r="J183">
        <v>462</v>
      </c>
      <c s="21" r="K183">
        <f>L183+M183</f>
        <v>64</v>
      </c>
      <c s="32" r="L183">
        <v>64</v>
      </c>
      <c s="26" r="M183"/>
      <c s="26" r="N183"/>
      <c s="21" r="O183">
        <f>P183+Q183</f>
        <v>21</v>
      </c>
      <c s="59" r="P183">
        <v>21</v>
      </c>
      <c s="26" r="Q183"/>
      <c s="26" r="R183"/>
      <c s="21" r="S183">
        <f>T183+U183</f>
        <v>0</v>
      </c>
      <c s="59" r="T183"/>
      <c s="26" r="U183"/>
      <c s="26" r="V183"/>
      <c s="26" r="W183"/>
      <c s="123" r="X183"/>
      <c s="123" r="Y183"/>
      <c s="123" r="Z183"/>
      <c s="123" r="AA183">
        <v>43</v>
      </c>
      <c s="73" r="AB183"/>
      <c s="83" r="AC183"/>
      <c s="83" r="AD183"/>
      <c s="83" r="AE183"/>
      <c s="83" r="AF183"/>
      <c s="83" r="AG183"/>
      <c s="47" r="AH183">
        <f>((AC183*0.6637)+AE183)+AG183</f>
        <v>0</v>
      </c>
      <c s="94" r="AI183">
        <f>(AA183*2.3)+(AD183)</f>
        <v>98.9</v>
      </c>
      <c s="109" r="AJ183"/>
      <c s="44" r="AK183"/>
      <c s="30" r="AL183"/>
      <c s="30" r="AM183"/>
      <c s="30" r="AN183"/>
      <c s="30" r="AO183"/>
    </row>
    <row r="184">
      <c t="str" s="106" r="A184">
        <f>(((B184&amp;" ")&amp;C184)&amp;" ")&amp;E184</f>
        <v>Woeful Band Halls of Stone Heroic Maiden 253.1368</v>
      </c>
      <c t="s" s="18" r="B184">
        <v>386</v>
      </c>
      <c t="s" s="76" r="C184">
        <v>387</v>
      </c>
      <c t="s" s="76" r="D184">
        <v>372</v>
      </c>
      <c s="114" r="E184">
        <f>(F184+G184)+H184</f>
        <v>253.1368</v>
      </c>
      <c s="121" r="F184">
        <f>((((((J184*0.1)+(O184*1.25))+R184)+S184)+V184)+(X184*0.5))+(AF184*0.2)</f>
        <v>62.25</v>
      </c>
      <c s="121" r="G184">
        <f>+((K184*1.06)*1.06)</f>
        <v>70.7868</v>
      </c>
      <c s="121" r="H184">
        <f>((((AB184)+(0.3*K184))+AG184)+(AF184*0.6))+AI184</f>
        <v>120.1</v>
      </c>
      <c s="98" r="I184">
        <f>((((0.05*O184)+(0.053*V184))+(0.04*AC184))+(0.042*S184))/100.0</f>
        <v>0.02552</v>
      </c>
      <c s="28" r="J184"/>
      <c s="21" r="K184">
        <f>L184+M184</f>
        <v>63</v>
      </c>
      <c s="32" r="L184">
        <v>63</v>
      </c>
      <c s="26" r="M184"/>
      <c s="26" r="N184"/>
      <c s="21" r="O184">
        <f>P184+Q184</f>
        <v>25</v>
      </c>
      <c s="59" r="P184">
        <v>25</v>
      </c>
      <c s="26" r="Q184"/>
      <c s="26" r="R184"/>
      <c s="21" r="S184">
        <f>T184+U184</f>
        <v>31</v>
      </c>
      <c s="59" r="T184">
        <v>31</v>
      </c>
      <c s="26" r="U184"/>
      <c s="26" r="V184"/>
      <c s="26" r="W184"/>
      <c s="123" r="X184"/>
      <c s="123" r="Y184"/>
      <c s="123" r="Z184"/>
      <c s="123" r="AA184">
        <v>44</v>
      </c>
      <c s="73" r="AB184"/>
      <c s="83" r="AC184"/>
      <c s="83" r="AD184"/>
      <c s="83" r="AE184"/>
      <c s="83" r="AF184"/>
      <c s="83" r="AG184"/>
      <c s="47" r="AH184">
        <f>((AC184*0.6637)+AE184)+AG184</f>
        <v>0</v>
      </c>
      <c s="94" r="AI184">
        <f>(AA184*2.3)+(AD184)</f>
        <v>101.2</v>
      </c>
      <c s="109" r="AJ184"/>
      <c s="44" r="AK184"/>
      <c s="30" r="AL184"/>
      <c s="30" r="AM184"/>
      <c s="30" r="AN184"/>
      <c s="30" r="AO184"/>
    </row>
    <row r="185">
      <c t="str" s="106" r="A185">
        <f>(((B185&amp;" ")&amp;C185)&amp;" ")&amp;E185</f>
        <v>Unsmashable Heavy Band   247.5104</v>
      </c>
      <c t="s" s="18" r="B185">
        <v>388</v>
      </c>
      <c t="s" s="76" r="C185">
        <v>142</v>
      </c>
      <c t="s" s="76" r="D185">
        <v>372</v>
      </c>
      <c s="114" r="E185">
        <f>(F185+G185)+H185</f>
        <v>247.5104</v>
      </c>
      <c s="121" r="F185">
        <f>((((((J185*0.1)+(O185*1.25))+R185)+S185)+V185)+(X185*0.5))+(AF185*0.2)</f>
        <v>57.5</v>
      </c>
      <c s="121" r="G185">
        <f>+((K185*1.06)*1.06)</f>
        <v>71.9104</v>
      </c>
      <c s="121" r="H185">
        <f>((((AB185)+(0.3*K185))+AG185)+(AF185*0.6))+AI185</f>
        <v>118.1</v>
      </c>
      <c s="98" r="I185">
        <f>((((0.05*O185)+(0.053*V185))+(0.04*AC185))+(0.042*S185))/100.0</f>
        <v>0.015</v>
      </c>
      <c s="28" r="J185"/>
      <c s="21" r="K185">
        <f>L185+M185</f>
        <v>64</v>
      </c>
      <c s="32" r="L185">
        <v>64</v>
      </c>
      <c s="26" r="M185"/>
      <c s="26" r="N185"/>
      <c s="21" r="O185">
        <f>P185+Q185</f>
        <v>30</v>
      </c>
      <c s="59" r="P185">
        <v>30</v>
      </c>
      <c s="26" r="Q185"/>
      <c s="26" r="R185"/>
      <c s="21" r="S185">
        <f>T185+U185</f>
        <v>0</v>
      </c>
      <c s="59" r="T185"/>
      <c s="26" r="U185"/>
      <c s="26" r="V185"/>
      <c s="26" r="W185"/>
      <c s="123" r="X185">
        <v>40</v>
      </c>
      <c s="123" r="Y185"/>
      <c s="123" r="Z185"/>
      <c s="123" r="AA185">
        <v>43</v>
      </c>
      <c s="73" r="AB185"/>
      <c s="83" r="AC185"/>
      <c s="83" r="AD185"/>
      <c s="83" r="AE185"/>
      <c s="83" r="AF185"/>
      <c s="83" r="AG185"/>
      <c s="47" r="AH185">
        <f>((AC185*0.6637)+AE185)+AG185</f>
        <v>0</v>
      </c>
      <c s="94" r="AI185">
        <f>(AA185*2.3)+(AD185)</f>
        <v>98.9</v>
      </c>
      <c s="109" r="AJ185"/>
      <c s="44" r="AK185"/>
      <c s="30" r="AL185"/>
      <c s="30" r="AM185"/>
      <c s="30" r="AN185"/>
      <c s="30" r="AO185"/>
    </row>
    <row r="186">
      <c t="str" s="106" r="A186">
        <f>(((B186&amp;" ")&amp;C186)&amp;" ")&amp;E186</f>
        <v>Ring of Earthen Might Crafted Jewelcrafting 230.9688</v>
      </c>
      <c t="s" s="18" r="B186">
        <v>389</v>
      </c>
      <c t="s" s="76" r="C186">
        <v>377</v>
      </c>
      <c t="s" s="76" r="D186">
        <v>372</v>
      </c>
      <c s="114" r="E186">
        <f>(F186+G186)+H186</f>
        <v>230.9688</v>
      </c>
      <c s="121" r="F186">
        <f>((((((J186*0.1)+(O186*1.25))+R186)+S186)+V186)+(X186*0.5))+(AF186*0.2)</f>
        <v>61</v>
      </c>
      <c s="121" r="G186">
        <f>+((K186*1.06)*1.06)</f>
        <v>65.1688</v>
      </c>
      <c s="121" r="H186">
        <f>((((AB186)+(0.3*K186))+AG186)+(AF186*0.6))+AI186</f>
        <v>104.8</v>
      </c>
      <c s="98" r="I186">
        <f>((((0.05*O186)+(0.053*V186))+(0.04*AC186))+(0.042*S186))/100.0</f>
        <v>0.01378</v>
      </c>
      <c s="28" r="J186">
        <v>350</v>
      </c>
      <c s="21" r="K186">
        <f>L186+M186</f>
        <v>58</v>
      </c>
      <c s="32" r="L186">
        <v>34</v>
      </c>
      <c s="26" r="M186">
        <v>24</v>
      </c>
      <c t="s" s="26" r="N186">
        <v>97</v>
      </c>
      <c s="21" r="O186">
        <f>P186+Q186</f>
        <v>0</v>
      </c>
      <c s="59" r="P186">
        <v>0</v>
      </c>
      <c s="26" r="Q186"/>
      <c s="26" r="R186"/>
      <c s="21" r="S186">
        <f>T186+U186</f>
        <v>0</v>
      </c>
      <c s="59" r="T186"/>
      <c s="26" r="U186"/>
      <c s="26" r="V186">
        <v>26</v>
      </c>
      <c s="26" r="W186"/>
      <c s="123" r="X186"/>
      <c s="123" r="Y186"/>
      <c s="123" r="Z186"/>
      <c s="123" r="AA186">
        <v>38</v>
      </c>
      <c s="73" r="AB186"/>
      <c s="83" r="AC186"/>
      <c s="83" r="AD186"/>
      <c s="83" r="AE186"/>
      <c s="83" r="AF186"/>
      <c s="83" r="AG186"/>
      <c s="47" r="AH186">
        <f>((AC186*0.6637)+AE186)+AG186</f>
        <v>0</v>
      </c>
      <c s="94" r="AI186">
        <f>(AA186*2.3)+(AD186)</f>
        <v>87.4</v>
      </c>
      <c s="109" r="AJ186"/>
      <c s="44" r="AK186"/>
      <c s="30" r="AL186"/>
      <c s="30" r="AM186"/>
      <c s="30" r="AN186"/>
      <c s="30" r="AO186"/>
    </row>
    <row r="187">
      <c t="str" s="106" r="A187">
        <f>(((B187&amp;" ")&amp;C187)&amp;" ")&amp;E187</f>
        <v>Dragonflight Great-Ring Oculus Eregos Cache 213.8688</v>
      </c>
      <c t="s" s="18" r="B187">
        <v>390</v>
      </c>
      <c t="s" s="76" r="C187">
        <v>391</v>
      </c>
      <c t="s" s="76" r="D187">
        <v>372</v>
      </c>
      <c s="114" r="E187">
        <f>(F187+G187)+H187</f>
        <v>213.8688</v>
      </c>
      <c s="121" r="F187">
        <f>((((((J187*0.1)+(O187*1.25))+R187)+S187)+V187)+(X187*0.5))+(AF187*0.2)</f>
        <v>47.5</v>
      </c>
      <c s="121" r="G187">
        <f>+((K187*1.06)*1.06)</f>
        <v>65.1688</v>
      </c>
      <c s="121" r="H187">
        <f>((((AB187)+(0.3*K187))+AG187)+(AF187*0.6))+AI187</f>
        <v>101.2</v>
      </c>
      <c s="98" r="I187">
        <f>((((0.05*O187)+(0.053*V187))+(0.04*AC187))+(0.042*S187))/100.0</f>
        <v>0.019</v>
      </c>
      <c s="28" r="J187"/>
      <c s="21" r="K187">
        <f>L187+M187</f>
        <v>58</v>
      </c>
      <c s="32" r="L187">
        <v>58</v>
      </c>
      <c s="26" r="M187"/>
      <c s="26" r="N187"/>
      <c s="21" r="O187">
        <f>P187+Q187</f>
        <v>38</v>
      </c>
      <c s="59" r="P187">
        <v>38</v>
      </c>
      <c s="26" r="Q187"/>
      <c s="26" r="R187"/>
      <c s="21" r="S187">
        <f>T187+U187</f>
        <v>0</v>
      </c>
      <c s="59" r="T187"/>
      <c s="26" r="U187"/>
      <c s="26" r="V187"/>
      <c s="26" r="W187"/>
      <c s="123" r="X187"/>
      <c s="123" r="Y187"/>
      <c s="123" r="Z187"/>
      <c s="123" r="AA187">
        <v>26</v>
      </c>
      <c s="73" r="AB187"/>
      <c s="83" r="AC187"/>
      <c s="83" r="AD187"/>
      <c s="83" r="AE187"/>
      <c s="83" r="AF187"/>
      <c s="83" r="AG187">
        <v>24</v>
      </c>
      <c s="47" r="AH187">
        <f>((AC187*0.6637)+AE187)+AG187</f>
        <v>24</v>
      </c>
      <c s="94" r="AI187">
        <f>(AA187*2.3)+(AD187)</f>
        <v>59.8</v>
      </c>
      <c s="109" r="AJ187"/>
      <c s="44" r="AK187"/>
      <c s="30" r="AL187"/>
      <c s="30" r="AM187"/>
      <c s="30" r="AN187"/>
      <c s="30" r="AO187"/>
    </row>
    <row r="188">
      <c t="str" s="106" r="A188">
        <f>(((B188&amp;" ")&amp;C188)&amp;" ")&amp;E188</f>
        <v>Staunch Signet Quest Reward  201.0536</v>
      </c>
      <c t="s" s="18" r="B188">
        <v>392</v>
      </c>
      <c t="s" s="76" r="C188">
        <v>198</v>
      </c>
      <c t="s" s="76" r="D188">
        <v>372</v>
      </c>
      <c s="114" r="E188">
        <f>(F188+G188)+H188</f>
        <v>201.0536</v>
      </c>
      <c s="121" r="F188">
        <f>((((((J188*0.1)+(O188*1.25))+R188)+S188)+V188)+(X188*0.5))+(AF188*0.2)</f>
        <v>50.25</v>
      </c>
      <c s="121" r="G188">
        <f>+((K188*1.06)*1.06)</f>
        <v>57.3036</v>
      </c>
      <c s="121" r="H188">
        <f>((((AB188)+(0.3*K188))+AG188)+(AF188*0.6))+AI188</f>
        <v>93.5</v>
      </c>
      <c s="98" r="I188">
        <f>((((0.05*O188)+(0.053*V188))+(0.04*AC188))+(0.042*S188))/100.0</f>
        <v>0.02257</v>
      </c>
      <c s="28" r="J188"/>
      <c s="21" r="K188">
        <f>L188+M188</f>
        <v>51</v>
      </c>
      <c s="32" r="L188">
        <v>51</v>
      </c>
      <c s="26" r="M188"/>
      <c s="26" r="N188"/>
      <c s="21" r="O188">
        <f>P188+Q188</f>
        <v>25</v>
      </c>
      <c s="59" r="P188">
        <v>25</v>
      </c>
      <c s="26" r="Q188"/>
      <c s="26" r="R188"/>
      <c s="21" r="S188">
        <f>T188+U188</f>
        <v>0</v>
      </c>
      <c s="59" r="T188"/>
      <c s="26" r="U188"/>
      <c s="26" r="V188">
        <v>19</v>
      </c>
      <c s="26" r="W188"/>
      <c s="123" r="X188"/>
      <c s="123" r="Y188"/>
      <c s="123" r="Z188"/>
      <c s="123" r="AA188">
        <v>34</v>
      </c>
      <c s="73" r="AB188"/>
      <c s="83" r="AC188"/>
      <c s="83" r="AD188"/>
      <c s="83" r="AE188"/>
      <c s="83" r="AF188"/>
      <c s="83" r="AG188"/>
      <c s="47" r="AH188">
        <f>((AC188*0.6637)+AE188)+AG188</f>
        <v>0</v>
      </c>
      <c s="94" r="AI188">
        <f>(AA188*2.3)+(AD188)</f>
        <v>78.2</v>
      </c>
      <c s="109" r="AJ188"/>
      <c s="44" r="AK188"/>
      <c s="30" r="AL188"/>
      <c s="30" r="AM188"/>
      <c s="30" r="AN188"/>
      <c s="30" r="AO188"/>
    </row>
    <row r="189">
      <c t="str" s="106" r="A189">
        <f>(((B189&amp;" ")&amp;C189)&amp;" ")&amp;E189</f>
        <v>Solid Platinum Band Quest Reward  201.0536</v>
      </c>
      <c t="s" s="18" r="B189">
        <v>393</v>
      </c>
      <c t="s" s="76" r="C189">
        <v>198</v>
      </c>
      <c t="s" s="76" r="D189">
        <v>372</v>
      </c>
      <c s="114" r="E189">
        <f>(F189+G189)+H189</f>
        <v>201.0536</v>
      </c>
      <c s="121" r="F189">
        <f>((((((J189*0.1)+(O189*1.25))+R189)+S189)+V189)+(X189*0.5))+(AF189*0.2)</f>
        <v>50.25</v>
      </c>
      <c s="121" r="G189">
        <f>+((K189*1.06)*1.06)</f>
        <v>57.3036</v>
      </c>
      <c s="121" r="H189">
        <f>((((AB189)+(0.3*K189))+AG189)+(AF189*0.6))+AI189</f>
        <v>93.5</v>
      </c>
      <c s="98" r="I189">
        <f>((((0.05*O189)+(0.053*V189))+(0.04*AC189))+(0.042*S189))/100.0</f>
        <v>0.02048</v>
      </c>
      <c s="28" r="J189"/>
      <c s="21" r="K189">
        <f>L189+M189</f>
        <v>51</v>
      </c>
      <c s="32" r="L189">
        <v>51</v>
      </c>
      <c s="26" r="M189"/>
      <c s="26" r="N189"/>
      <c s="21" r="O189">
        <f>P189+Q189</f>
        <v>25</v>
      </c>
      <c s="59" r="P189">
        <v>25</v>
      </c>
      <c s="26" r="Q189"/>
      <c s="26" r="R189"/>
      <c s="21" r="S189">
        <f>T189+U189</f>
        <v>19</v>
      </c>
      <c s="59" r="T189">
        <v>19</v>
      </c>
      <c s="26" r="U189"/>
      <c s="26" r="V189"/>
      <c s="26" r="W189"/>
      <c s="123" r="X189"/>
      <c s="123" r="Y189"/>
      <c s="123" r="Z189"/>
      <c s="123" r="AA189">
        <v>34</v>
      </c>
      <c s="73" r="AB189"/>
      <c s="83" r="AC189"/>
      <c s="83" r="AD189"/>
      <c s="83" r="AE189"/>
      <c s="83" r="AF189"/>
      <c s="83" r="AG189"/>
      <c s="47" r="AH189">
        <f>((AC189*0.6637)+AE189)+AG189</f>
        <v>0</v>
      </c>
      <c s="94" r="AI189">
        <f>(AA189*2.3)+(AD189)</f>
        <v>78.2</v>
      </c>
      <c s="109" r="AJ189"/>
      <c s="44" r="AK189"/>
      <c s="30" r="AL189"/>
      <c s="30" r="AM189"/>
      <c s="30" r="AN189"/>
      <c s="30" r="AO189"/>
    </row>
    <row r="190">
      <c t="str" s="106" r="A190">
        <f>(((B190&amp;" ")&amp;C190)&amp;" ")&amp;E190</f>
        <v>Gal'darah's Signet Gundrak Gal'darah 197.6744</v>
      </c>
      <c t="s" s="18" r="B190">
        <v>394</v>
      </c>
      <c t="s" s="76" r="C190">
        <v>395</v>
      </c>
      <c t="s" s="76" r="D190">
        <v>372</v>
      </c>
      <c s="114" r="E190">
        <f>(F190+G190)+H190</f>
        <v>197.6744</v>
      </c>
      <c s="121" r="F190">
        <f>((((((J190*0.1)+(O190*1.25))+R190)+S190)+V190)+(X190*0.5))+(AF190*0.2)</f>
        <v>49</v>
      </c>
      <c s="121" r="G190">
        <f>+((K190*1.06)*1.06)</f>
        <v>60.6744</v>
      </c>
      <c s="121" r="H190">
        <f>((((AB190)+(0.3*K190))+AG190)+(AF190*0.6))+AI190</f>
        <v>88</v>
      </c>
      <c s="98" r="I190">
        <f>((((0.05*O190)+(0.053*V190))+(0.04*AC190))+(0.042*S190))/100.0</f>
        <v>0.018</v>
      </c>
      <c s="28" r="J190"/>
      <c s="21" r="K190">
        <f>L190+M190</f>
        <v>54</v>
      </c>
      <c s="32" r="L190">
        <v>54</v>
      </c>
      <c s="26" r="M190"/>
      <c s="26" r="N190"/>
      <c s="21" r="O190">
        <f>P190+Q190</f>
        <v>36</v>
      </c>
      <c s="59" r="P190">
        <v>36</v>
      </c>
      <c s="26" r="Q190"/>
      <c s="26" r="R190"/>
      <c s="21" r="S190">
        <f>T190+U190</f>
        <v>0</v>
      </c>
      <c s="59" r="T190"/>
      <c s="26" r="U190"/>
      <c s="26" r="V190"/>
      <c s="26" r="W190"/>
      <c s="123" r="X190"/>
      <c s="123" r="Y190"/>
      <c s="123" r="Z190"/>
      <c s="123" r="AA190">
        <v>26</v>
      </c>
      <c s="73" r="AB190"/>
      <c s="83" r="AC190"/>
      <c s="83" r="AD190"/>
      <c s="83" r="AE190"/>
      <c s="83" r="AF190">
        <v>20</v>
      </c>
      <c s="83" r="AG190"/>
      <c s="47" r="AH190">
        <f>((AC190*0.6637)+AE190)+AG190</f>
        <v>0</v>
      </c>
      <c s="94" r="AI190">
        <f>(AA190*2.3)+(AD190)</f>
        <v>59.8</v>
      </c>
      <c s="109" r="AJ190"/>
      <c s="44" r="AK190"/>
      <c s="30" r="AL190"/>
      <c s="30" r="AM190"/>
      <c s="30" r="AN190"/>
      <c s="30" r="AO190"/>
    </row>
    <row r="191">
      <c t="str" s="106" r="A191">
        <f>(((B191&amp;" ")&amp;C191)&amp;" ")&amp;E191</f>
        <v>Iceforged Battle Ring Quest Reward  193.6036</v>
      </c>
      <c t="s" s="18" r="B191">
        <v>396</v>
      </c>
      <c t="s" s="76" r="C191">
        <v>198</v>
      </c>
      <c t="s" s="76" r="D191">
        <v>372</v>
      </c>
      <c s="114" r="E191">
        <f>(F191+G191)+H191</f>
        <v>193.6036</v>
      </c>
      <c s="121" r="F191">
        <f>((((((J191*0.1)+(O191*1.25))+R191)+S191)+V191)+(X191*0.5))+(AF191*0.2)</f>
        <v>51</v>
      </c>
      <c s="121" r="G191">
        <f>+((K191*1.06)*1.06)</f>
        <v>57.3036</v>
      </c>
      <c s="121" r="H191">
        <f>((((AB191)+(0.3*K191))+AG191)+(AF191*0.6))+AI191</f>
        <v>85.3</v>
      </c>
      <c s="98" r="I191">
        <f>((((0.05*O191)+(0.053*V191))+(0.04*AC191))+(0.042*S191))/100.0</f>
        <v>0</v>
      </c>
      <c s="28" r="J191">
        <v>476</v>
      </c>
      <c s="21" r="K191">
        <f>L191+M191</f>
        <v>51</v>
      </c>
      <c s="32" r="L191">
        <v>51</v>
      </c>
      <c s="26" r="M191"/>
      <c s="26" r="N191"/>
      <c s="21" r="O191">
        <f>P191+Q191</f>
        <v>0</v>
      </c>
      <c s="59" r="P191">
        <v>0</v>
      </c>
      <c s="26" r="Q191"/>
      <c s="26" r="R191"/>
      <c s="21" r="S191">
        <f>T191+U191</f>
        <v>0</v>
      </c>
      <c s="59" r="T191"/>
      <c s="26" r="U191"/>
      <c s="26" r="V191"/>
      <c s="26" r="W191"/>
      <c s="123" r="X191"/>
      <c s="123" r="Y191"/>
      <c s="123" r="Z191"/>
      <c s="123" r="AA191">
        <v>26</v>
      </c>
      <c s="73" r="AB191"/>
      <c s="83" r="AC191"/>
      <c s="83" r="AD191"/>
      <c s="83" r="AE191"/>
      <c s="83" r="AF191">
        <v>17</v>
      </c>
      <c s="83" r="AG191"/>
      <c s="47" r="AH191">
        <f>((AC191*0.6637)+AE191)+AG191</f>
        <v>0</v>
      </c>
      <c s="94" r="AI191">
        <f>(AA191*2.3)+(AD191)</f>
        <v>59.8</v>
      </c>
      <c s="109" r="AJ191"/>
      <c s="44" r="AK191"/>
      <c s="30" r="AL191"/>
      <c s="30" r="AM191"/>
      <c s="30" r="AN191"/>
      <c s="30" r="AO191"/>
    </row>
    <row r="192">
      <c t="str" s="106" r="A192">
        <f>(((B192&amp;" ")&amp;C192)&amp;" ")&amp;E192</f>
        <v>Kurzel's Warband Quest Reward  193.40640000000002</v>
      </c>
      <c t="s" s="18" r="B192">
        <v>397</v>
      </c>
      <c t="s" s="76" r="C192">
        <v>198</v>
      </c>
      <c t="s" s="76" r="D192">
        <v>372</v>
      </c>
      <c s="114" r="E192">
        <f>(F192+G192)+H192</f>
        <v>193.4064</v>
      </c>
      <c s="121" r="F192">
        <f>((((((J192*0.1)+(O192*1.25))+R192)+S192)+V192)+(X192*0.5))+(AF192*0.2)</f>
        <v>47.75</v>
      </c>
      <c s="121" r="G192">
        <f>+((K192*1.06)*1.06)</f>
        <v>55.0564</v>
      </c>
      <c s="121" r="H192">
        <f>((((AB192)+(0.3*K192))+AG192)+(AF192*0.6))+AI192</f>
        <v>90.6</v>
      </c>
      <c s="98" r="I192">
        <f>((((0.05*O192)+(0.053*V192))+(0.04*AC192))+(0.042*S192))/100.0</f>
        <v>0.02222</v>
      </c>
      <c s="28" r="J192"/>
      <c s="21" r="K192">
        <f>L192+M192</f>
        <v>49</v>
      </c>
      <c s="32" r="L192">
        <v>49</v>
      </c>
      <c s="26" r="M192"/>
      <c s="26" r="N192"/>
      <c s="21" r="O192">
        <f>P192+Q192</f>
        <v>19</v>
      </c>
      <c s="59" r="P192">
        <v>19</v>
      </c>
      <c s="26" r="Q192"/>
      <c s="26" r="R192"/>
      <c s="21" r="S192">
        <f>T192+U192</f>
        <v>0</v>
      </c>
      <c s="59" r="T192"/>
      <c s="26" r="U192"/>
      <c s="26" r="V192">
        <v>24</v>
      </c>
      <c s="26" r="W192"/>
      <c s="123" r="X192"/>
      <c s="123" r="Y192"/>
      <c s="123" r="Z192"/>
      <c s="123" r="AA192">
        <v>33</v>
      </c>
      <c s="73" r="AB192"/>
      <c s="83" r="AC192"/>
      <c s="83" r="AD192"/>
      <c s="83" r="AE192"/>
      <c s="83" r="AF192"/>
      <c s="83" r="AG192"/>
      <c s="47" r="AH192">
        <f>((AC192*0.6637)+AE192)+AG192</f>
        <v>0</v>
      </c>
      <c s="94" r="AI192">
        <f>(AA192*2.3)+(AD192)</f>
        <v>75.9</v>
      </c>
      <c s="109" r="AJ192"/>
      <c s="44" r="AK192"/>
      <c s="30" r="AL192"/>
      <c s="30" r="AM192"/>
      <c s="30" r="AN192"/>
      <c s="30" r="AO192"/>
    </row>
    <row r="193">
      <c t="str" s="106" r="A193">
        <f>(((B193&amp;" ")&amp;C193)&amp;" ")&amp;E193</f>
        <v>Signet of Arachnathid Command Azjol-Nerub Anub'arak 186.5356</v>
      </c>
      <c t="s" s="18" r="B193">
        <v>398</v>
      </c>
      <c t="s" s="76" r="C193">
        <v>399</v>
      </c>
      <c t="s" s="76" r="D193">
        <v>372</v>
      </c>
      <c s="114" r="E193">
        <f>(F193+G193)+H193</f>
        <v>186.5356</v>
      </c>
      <c s="121" r="F193">
        <f>((((((J193*0.1)+(O193*1.25))+R193)+S193)+V193)+(X193*0.5))+(AF193*0.2)</f>
        <v>52.05</v>
      </c>
      <c s="121" r="G193">
        <f>+((K193*1.06)*1.06)</f>
        <v>51.6856</v>
      </c>
      <c s="121" r="H193">
        <f>((((AB193)+(0.3*K193))+AG193)+(AF193*0.6))+AI193</f>
        <v>82.8</v>
      </c>
      <c s="98" r="I193">
        <f>((((0.05*O193)+(0.053*V193))+(0.04*AC193))+(0.042*S193))/100.0</f>
        <v>0.0085</v>
      </c>
      <c s="28" r="J193">
        <v>308</v>
      </c>
      <c s="21" r="K193">
        <f>L193+M193</f>
        <v>46</v>
      </c>
      <c s="32" r="L193">
        <v>46</v>
      </c>
      <c s="26" r="M193"/>
      <c s="26" r="N193"/>
      <c s="21" r="O193">
        <f>P193+Q193</f>
        <v>17</v>
      </c>
      <c s="59" r="P193">
        <v>17</v>
      </c>
      <c s="26" r="Q193"/>
      <c s="26" r="R193"/>
      <c s="21" r="S193">
        <f>T193+U193</f>
        <v>0</v>
      </c>
      <c s="59" r="T193"/>
      <c s="26" r="U193"/>
      <c s="26" r="V193"/>
      <c s="26" r="W193"/>
      <c s="123" r="X193"/>
      <c s="123" r="Y193"/>
      <c s="123" r="Z193"/>
      <c s="123" r="AA193">
        <v>30</v>
      </c>
      <c s="73" r="AB193"/>
      <c s="83" r="AC193"/>
      <c s="83" r="AD193"/>
      <c s="83" r="AE193"/>
      <c s="83" r="AF193"/>
      <c s="83" r="AG193"/>
      <c s="47" r="AH193">
        <f>((AC193*0.6637)+AE193)+AG193</f>
        <v>0</v>
      </c>
      <c s="94" r="AI193">
        <f>(AA193*2.3)+(AD193)</f>
        <v>69</v>
      </c>
      <c s="109" r="AJ193"/>
      <c s="44" r="AK193"/>
      <c s="30" r="AL193"/>
      <c s="30" r="AM193"/>
      <c s="30" r="AN193"/>
      <c s="30" r="AO193"/>
    </row>
    <row r="194">
      <c t="str" s="106" r="A194">
        <f>(((B194&amp;" ")&amp;C194)&amp;" ")&amp;E194</f>
        <v>Ring of Hardened Resolve Entropius 177.7328</v>
      </c>
      <c t="s" s="96" r="B194">
        <v>400</v>
      </c>
      <c t="s" s="26" r="C194">
        <v>401</v>
      </c>
      <c t="s" s="26" r="D194">
        <v>372</v>
      </c>
      <c s="114" r="E194">
        <f>(F194+G194)+H194</f>
        <v>177.7328</v>
      </c>
      <c s="121" r="F194">
        <f>((((((J194*0.1)+(O194*1.25))+R194)+S194)+V194)+(X194*0.5))+(AF194*0.2)</f>
        <v>96.2</v>
      </c>
      <c s="121" r="G194">
        <f>+((K194*1.06)*1.06)</f>
        <v>53.9328</v>
      </c>
      <c s="121" r="H194">
        <f>((((AB194)+(0.3*K194))+AG194)+(AF194*0.6))+AI194</f>
        <v>27.6</v>
      </c>
      <c s="98" r="I194">
        <f>((((0.05*O194)+(0.053*V194))+(0.04*AC194))+(0.042*S194))/100.0</f>
        <v>0.016</v>
      </c>
      <c s="59" r="J194">
        <v>308</v>
      </c>
      <c s="21" r="K194">
        <f>L194+M194</f>
        <v>48</v>
      </c>
      <c s="59" r="L194">
        <v>48</v>
      </c>
      <c s="26" r="M194"/>
      <c s="26" r="N194"/>
      <c s="21" r="O194">
        <f>P194+Q194</f>
        <v>32</v>
      </c>
      <c s="59" r="P194">
        <v>32</v>
      </c>
      <c s="26" r="Q194"/>
      <c s="26" r="R194"/>
      <c s="21" r="S194"/>
      <c s="59" r="T194"/>
      <c s="26" r="U194"/>
      <c s="26" r="V194"/>
      <c s="26" r="W194"/>
      <c s="26" r="X194">
        <v>42</v>
      </c>
      <c s="26" r="Y194"/>
      <c s="26" r="Z194"/>
      <c s="26" r="AA194"/>
      <c s="60" r="AB194"/>
      <c s="26" r="AC194"/>
      <c s="26" r="AD194"/>
      <c s="26" r="AE194"/>
      <c s="26" r="AF194">
        <v>22</v>
      </c>
      <c s="26" r="AG194"/>
      <c s="47" r="AH194">
        <f>((AC194*0.6637)+AE194)+AG194</f>
        <v>0</v>
      </c>
      <c s="94" r="AI194">
        <f>(AA194*2.3)+(AD194)</f>
        <v>0</v>
      </c>
      <c s="109" r="AJ194"/>
      <c s="44" r="AK194"/>
      <c s="30" r="AL194"/>
      <c s="30" r="AM194"/>
      <c s="30" r="AN194"/>
      <c s="30" r="AO194"/>
    </row>
    <row r="195">
      <c t="str" s="106" r="A195">
        <f>(((B195&amp;" ")&amp;C195)&amp;" ")&amp;E195</f>
        <v>Tooga's Lost Toenail World Drop BoE 135.3108</v>
      </c>
      <c t="s" s="18" r="B195">
        <v>402</v>
      </c>
      <c t="s" s="76" r="C195">
        <v>121</v>
      </c>
      <c t="s" s="76" r="D195">
        <v>372</v>
      </c>
      <c s="114" r="E195">
        <f>(F195+G195)+H195</f>
        <v>135.3108</v>
      </c>
      <c s="121" r="F195">
        <f>((((((J195*0.1)+(O195*1.25))+R195)+S195)+V195)+(X195*0.5))+(AF195*0.2)</f>
        <v>51.75</v>
      </c>
      <c s="121" r="G195">
        <f>+((K195*1.06)*1.06)</f>
        <v>31.4608</v>
      </c>
      <c s="121" r="H195">
        <f>((((AB195)+(0.3*K195))+AG195)+(AF195*0.6))+AI195</f>
        <v>52.1</v>
      </c>
      <c s="98" r="I195">
        <f>((((0.05*O195)+(0.053*V195))+(0.04*AC195))+(0.042*S195))/100.0</f>
        <v>0.0095</v>
      </c>
      <c s="28" r="J195">
        <v>280</v>
      </c>
      <c s="21" r="K195">
        <f>L195+M195</f>
        <v>28</v>
      </c>
      <c s="32" r="L195">
        <v>28</v>
      </c>
      <c s="26" r="M195"/>
      <c s="26" r="N195"/>
      <c s="21" r="O195">
        <f>P195+Q195</f>
        <v>19</v>
      </c>
      <c s="59" r="P195">
        <v>19</v>
      </c>
      <c s="26" r="Q195"/>
      <c s="26" r="R195"/>
      <c s="21" r="S195">
        <f>T195+U195</f>
        <v>0</v>
      </c>
      <c s="59" r="T195"/>
      <c s="26" r="U195"/>
      <c s="26" r="V195"/>
      <c s="26" r="W195"/>
      <c s="123" r="X195"/>
      <c s="123" r="Y195"/>
      <c s="123" r="Z195"/>
      <c s="123" r="AA195">
        <v>19</v>
      </c>
      <c s="73" r="AB195"/>
      <c s="83" r="AC195"/>
      <c s="83" r="AD195"/>
      <c s="83" r="AE195"/>
      <c s="83" r="AF195"/>
      <c s="83" r="AG195"/>
      <c s="47" r="AH195">
        <f>((AC195*0.6637)+AE195)+AG195</f>
        <v>0</v>
      </c>
      <c s="94" r="AI195">
        <f>(AA195*2.3)+(AD195)</f>
        <v>43.7</v>
      </c>
      <c s="109" r="AJ195"/>
      <c s="44" r="AK195"/>
      <c s="30" r="AL195"/>
      <c s="30" r="AM195"/>
      <c s="30" r="AN195"/>
      <c s="30" r="AO195"/>
    </row>
    <row r="196">
      <c t="str" s="106" r="A196">
        <f>(((B196&amp;" ")&amp;C196)&amp;" ")&amp;E196</f>
        <v>Singnet of the Last Defender ZA 134.062</v>
      </c>
      <c t="s" s="48" r="B196">
        <v>403</v>
      </c>
      <c t="s" s="26" r="C196">
        <v>404</v>
      </c>
      <c t="s" s="26" r="D196">
        <v>372</v>
      </c>
      <c s="114" r="E196">
        <f>(F196+G196)+H196</f>
        <v>134.062</v>
      </c>
      <c s="121" r="F196">
        <f>((((((J196*0.1)+(O196*1.25))+R196)+S196)+V196)+(X196*0.5))+(AF196*0.2)</f>
        <v>70</v>
      </c>
      <c s="121" r="G196">
        <f>+((K196*1.06)*1.06)</f>
        <v>50.562</v>
      </c>
      <c s="121" r="H196">
        <f>((((AB196)+(0.3*K196))+AG196)+(AF196*0.6))+AI196</f>
        <v>13.5</v>
      </c>
      <c s="98" r="I196">
        <f>((((0.05*O196)+(0.053*V196))+(0.04*AC196))+(0.042*S196))/100.0</f>
        <v>0.02226</v>
      </c>
      <c s="59" r="J196"/>
      <c s="21" r="K196">
        <f>L196+M196</f>
        <v>45</v>
      </c>
      <c s="59" r="L196">
        <v>45</v>
      </c>
      <c s="26" r="M196"/>
      <c s="26" r="N196"/>
      <c s="21" r="O196">
        <f>P196+Q196</f>
        <v>0</v>
      </c>
      <c s="59" r="P196">
        <v>0</v>
      </c>
      <c s="26" r="Q196"/>
      <c s="26" r="R196">
        <v>28</v>
      </c>
      <c s="21" r="S196">
        <f>T196+U196</f>
        <v>0</v>
      </c>
      <c s="59" r="T196"/>
      <c s="26" r="U196"/>
      <c s="26" r="V196">
        <v>42</v>
      </c>
      <c s="26" r="W196"/>
      <c s="26" r="X196"/>
      <c s="26" r="Y196"/>
      <c s="26" r="Z196"/>
      <c s="26" r="AA196"/>
      <c s="60" r="AB196"/>
      <c s="26" r="AC196"/>
      <c s="26" r="AD196"/>
      <c s="26" r="AE196"/>
      <c s="26" r="AF196"/>
      <c s="26" r="AG196"/>
      <c s="47" r="AH196">
        <f>((AC196*0.6637)+AE196)+AG196</f>
        <v>0</v>
      </c>
      <c s="94" r="AI196">
        <f>(AA196*2.3)+(AD196)</f>
        <v>0</v>
      </c>
      <c s="109" r="AJ196"/>
      <c s="44" r="AK196"/>
      <c s="30" r="AL196"/>
      <c s="30" r="AM196"/>
      <c s="30" r="AN196"/>
      <c s="30" r="AO196"/>
    </row>
    <row r="197">
      <c t="str" s="106" r="A197">
        <f>(((B197&amp;" ")&amp;C197)&amp;" ")&amp;E197</f>
        <v>Ring of the Stalwart Protector 60 Badges 131.262</v>
      </c>
      <c t="s" s="96" r="B197">
        <v>405</v>
      </c>
      <c t="s" s="26" r="C197">
        <v>207</v>
      </c>
      <c t="s" s="26" r="D197">
        <v>372</v>
      </c>
      <c s="114" r="E197">
        <f>(F197+G197)+H197</f>
        <v>131.262</v>
      </c>
      <c s="121" r="F197">
        <f>((((((J197*0.1)+(O197*1.25))+R197)+S197)+V197)+(X197*0.5))+(AF197*0.2)</f>
        <v>67.2</v>
      </c>
      <c s="121" r="G197">
        <f>+((K197*1.06)*1.06)</f>
        <v>50.562</v>
      </c>
      <c s="121" r="H197">
        <f>((((AB197)+(0.3*K197))+AG197)+(AF197*0.6))+AI197</f>
        <v>13.5</v>
      </c>
      <c s="98" r="I197">
        <f>((((0.05*O197)+(0.053*V197))+(0.04*AC197))+(0.042*S197))/100.0</f>
        <v>0.01484</v>
      </c>
      <c s="59" r="J197">
        <v>392</v>
      </c>
      <c s="21" r="K197">
        <f>L197+M197</f>
        <v>45</v>
      </c>
      <c s="59" r="L197">
        <v>45</v>
      </c>
      <c s="26" r="M197"/>
      <c s="26" r="N197"/>
      <c s="21" r="O197">
        <f>P197+Q197</f>
        <v>0</v>
      </c>
      <c s="59" r="P197">
        <v>0</v>
      </c>
      <c s="26" r="Q197"/>
      <c s="26" r="R197"/>
      <c s="21" r="S197">
        <f>T197+U197</f>
        <v>0</v>
      </c>
      <c s="59" r="T197"/>
      <c s="26" r="U197"/>
      <c s="26" r="V197">
        <v>28</v>
      </c>
      <c s="26" r="W197"/>
      <c s="26" r="X197"/>
      <c s="26" r="Y197"/>
      <c s="26" r="Z197"/>
      <c s="26" r="AA197"/>
      <c s="60" r="AB197"/>
      <c s="26" r="AC197"/>
      <c s="26" r="AD197"/>
      <c s="26" r="AE197"/>
      <c s="26" r="AF197"/>
      <c s="26" r="AG197"/>
      <c s="47" r="AH197">
        <f>((AC197*0.6637)+AE197)+AG197</f>
        <v>0</v>
      </c>
      <c s="94" r="AI197">
        <f>(AA197*2.3)+(AD197)</f>
        <v>0</v>
      </c>
      <c s="109" r="AJ197"/>
      <c s="44" r="AK197"/>
      <c s="30" r="AL197"/>
      <c s="30" r="AM197"/>
      <c s="30" r="AN197"/>
      <c s="30" r="AO197"/>
    </row>
    <row r="198">
      <c t="str" s="106" r="A198">
        <f>(((B198&amp;" ")&amp;C198)&amp;" ")&amp;E198</f>
        <v>Band of the Abyssal Lord Supremus 130.20080000000002</v>
      </c>
      <c t="s" s="96" r="B198">
        <v>406</v>
      </c>
      <c t="s" s="26" r="C198">
        <v>407</v>
      </c>
      <c t="s" s="26" r="D198">
        <v>372</v>
      </c>
      <c s="114" r="E198">
        <f>(F198+G198)+H198</f>
        <v>130.2008</v>
      </c>
      <c s="121" r="F198">
        <f>((((((J198*0.1)+(O198*1.25))+R198)+S198)+V198)+(X198*0.5))+(AF198*0.2)</f>
        <v>33.75</v>
      </c>
      <c s="121" r="G198">
        <f>+((K198*1.06)*1.06)</f>
        <v>59.5508</v>
      </c>
      <c s="121" r="H198">
        <f>((((AB198)+(0.3*K198))+AG198)+(AF198*0.6))+AI198</f>
        <v>36.9</v>
      </c>
      <c s="98" r="I198">
        <f>((((0.05*O198)+(0.053*V198))+(0.04*AC198))+(0.042*S198))/100.0</f>
        <v>0.0135</v>
      </c>
      <c s="59" r="J198"/>
      <c s="21" r="K198">
        <f>L198+M198</f>
        <v>53</v>
      </c>
      <c s="59" r="L198">
        <v>53</v>
      </c>
      <c s="26" r="M198"/>
      <c s="26" r="N198"/>
      <c s="21" r="O198">
        <f>P198+Q198</f>
        <v>27</v>
      </c>
      <c s="59" r="P198">
        <v>27</v>
      </c>
      <c s="26" r="Q198"/>
      <c s="26" r="R198"/>
      <c s="21" r="S198">
        <f>T198+U198</f>
        <v>0</v>
      </c>
      <c s="59" r="T198"/>
      <c s="26" r="U198"/>
      <c s="26" r="V198"/>
      <c s="26" r="W198"/>
      <c s="26" r="X198"/>
      <c s="26" r="Y198"/>
      <c s="26" r="Z198"/>
      <c s="26" r="AA198"/>
      <c s="60" r="AB198"/>
      <c s="26" r="AC198"/>
      <c s="26" r="AD198"/>
      <c s="26" r="AE198"/>
      <c s="26" r="AF198"/>
      <c s="26" r="AG198">
        <v>21</v>
      </c>
      <c s="47" r="AH198">
        <f>((AC198*0.6637)+AE198)+AG198</f>
        <v>21</v>
      </c>
      <c s="94" r="AI198">
        <f>(AA198*2.3)+(AD198)</f>
        <v>0</v>
      </c>
      <c s="109" r="AJ198"/>
      <c s="44" r="AK198"/>
      <c s="30" r="AL198"/>
      <c s="30" r="AM198"/>
      <c s="30" r="AN198"/>
      <c s="30" r="AO198"/>
    </row>
    <row r="199">
      <c t="str" s="106" r="A199">
        <f>(((B199&amp;" ")&amp;C199)&amp;" ")&amp;E199</f>
        <v>Band of the Eternal Defender Scale of Sands 120.71480000000001</v>
      </c>
      <c t="s" s="96" r="B199">
        <v>408</v>
      </c>
      <c t="s" s="26" r="C199">
        <v>409</v>
      </c>
      <c t="s" s="26" r="D199">
        <v>372</v>
      </c>
      <c s="114" r="E199">
        <f>(F199+G199)+H199</f>
        <v>120.7148</v>
      </c>
      <c s="121" r="F199">
        <f>((((((J199*0.1)+(O199*1.25))+R199)+S199)+V199)+(X199*0.5))+(AF199*0.2)</f>
        <v>59.5</v>
      </c>
      <c s="121" r="G199">
        <f>+((K199*1.06)*1.06)</f>
        <v>48.3148</v>
      </c>
      <c s="121" r="H199">
        <f>((((AB199)+(0.3*K199))+AG199)+(AF199*0.6))+AI199</f>
        <v>12.9</v>
      </c>
      <c s="98" r="I199">
        <f>((((0.05*O199)+(0.053*V199))+(0.04*AC199))+(0.042*S199))/100.0</f>
        <v>0.015</v>
      </c>
      <c s="59" r="J199"/>
      <c s="21" r="K199">
        <f>L199+M199</f>
        <v>43</v>
      </c>
      <c s="59" r="L199">
        <v>43</v>
      </c>
      <c s="26" r="M199"/>
      <c s="26" r="N199"/>
      <c s="21" r="O199">
        <f>P199+Q199</f>
        <v>30</v>
      </c>
      <c s="59" r="P199">
        <v>30</v>
      </c>
      <c s="26" r="Q199"/>
      <c s="26" r="R199"/>
      <c s="21" r="S199">
        <f>T199+U199</f>
        <v>0</v>
      </c>
      <c s="59" r="T199"/>
      <c s="26" r="U199"/>
      <c s="26" r="V199"/>
      <c s="26" r="W199"/>
      <c s="26" r="X199">
        <v>44</v>
      </c>
      <c s="26" r="Y199"/>
      <c s="26" r="Z199"/>
      <c s="26" r="AA199"/>
      <c s="60" r="AB199"/>
      <c s="26" r="AC199"/>
      <c s="26" r="AD199"/>
      <c s="26" r="AE199"/>
      <c s="26" r="AF199"/>
      <c s="26" r="AG199"/>
      <c s="47" r="AH199">
        <f>((AC199*0.6637)+AE199)+AG199</f>
        <v>0</v>
      </c>
      <c s="94" r="AI199">
        <f>(AA199*2.3)+(AD199)</f>
        <v>0</v>
      </c>
      <c s="109" r="AJ199"/>
      <c s="44" r="AK199"/>
      <c s="30" r="AL199"/>
      <c s="30" r="AM199"/>
      <c s="30" r="AN199"/>
      <c s="30" r="AO199"/>
    </row>
    <row r="200">
      <c t="str" s="106" r="A200">
        <f>(((B200&amp;" ")&amp;C200)&amp;" ")&amp;E200</f>
        <v>Violet Signet of the Great Protector Voilet Eye Exalted 115.6232</v>
      </c>
      <c t="s" s="48" r="B200">
        <v>410</v>
      </c>
      <c t="s" s="26" r="C200">
        <v>411</v>
      </c>
      <c t="s" s="26" r="D200">
        <v>372</v>
      </c>
      <c s="114" r="E200">
        <f>(F200+G200)+H200</f>
        <v>115.6232</v>
      </c>
      <c s="121" r="F200">
        <f>((((((J200*0.1)+(O200*1.25))+R200)+S200)+V200)+(X200*0.5))+(AF200*0.2)</f>
        <v>62.95</v>
      </c>
      <c s="121" r="G200">
        <f>+((K200*1.06)*1.06)</f>
        <v>41.5732</v>
      </c>
      <c s="121" r="H200">
        <f>((((AB200)+(0.3*K200))+AG200)+(AF200*0.6))+AI200</f>
        <v>11.1</v>
      </c>
      <c s="98" r="I200">
        <f>((((0.05*O200)+(0.053*V200))+(0.04*AC200))+(0.042*S200))/100.0</f>
        <v>0.0095</v>
      </c>
      <c s="59" r="J200">
        <v>392</v>
      </c>
      <c s="21" r="K200">
        <f>L200+M200</f>
        <v>37</v>
      </c>
      <c s="59" r="L200">
        <v>37</v>
      </c>
      <c s="26" r="M200"/>
      <c s="26" r="N200"/>
      <c s="21" r="O200">
        <f>P200+Q200</f>
        <v>19</v>
      </c>
      <c s="59" r="P200">
        <v>19</v>
      </c>
      <c s="26" r="Q200"/>
      <c s="26" r="R200"/>
      <c s="21" r="S200">
        <f>T200+U200</f>
        <v>0</v>
      </c>
      <c s="59" r="T200"/>
      <c s="26" r="U200"/>
      <c s="26" r="V200"/>
      <c s="26" r="W200"/>
      <c s="26" r="X200"/>
      <c s="26" r="Y200"/>
      <c s="26" r="Z200"/>
      <c s="26" r="AA200"/>
      <c s="60" r="AB200"/>
      <c s="26" r="AC200"/>
      <c s="26" r="AD200"/>
      <c s="26" r="AE200"/>
      <c s="26" r="AF200"/>
      <c s="26" r="AG200"/>
      <c s="47" r="AH200">
        <f>((AC200*0.6637)+AE200)+AG200</f>
        <v>0</v>
      </c>
      <c s="94" r="AI200">
        <f>(AA200*2.3)+(AD200)</f>
        <v>0</v>
      </c>
      <c s="109" r="AJ200"/>
      <c s="44" r="AK200"/>
      <c s="30" r="AL200"/>
      <c s="30" r="AM200"/>
      <c s="30" r="AN200"/>
      <c s="30" r="AO200"/>
    </row>
    <row r="201">
      <c t="str" s="106" r="A201">
        <f>(((B201&amp;" ")&amp;C201)&amp;" ")&amp;E201</f>
        <v>Ring of Sundered Souls Tidewalker 111.56200000000001</v>
      </c>
      <c t="s" s="96" r="B201">
        <v>412</v>
      </c>
      <c t="s" s="26" r="C201">
        <v>413</v>
      </c>
      <c t="s" s="26" r="D201">
        <v>372</v>
      </c>
      <c s="114" r="E201">
        <f>(F201+G201)+H201</f>
        <v>111.562</v>
      </c>
      <c s="121" r="F201">
        <f>((((((J201*0.1)+(O201*1.25))+R201)+S201)+V201)+(X201*0.5))+(AF201*0.2)</f>
        <v>47.5</v>
      </c>
      <c s="121" r="G201">
        <f>+((K201*1.06)*1.06)</f>
        <v>50.562</v>
      </c>
      <c s="121" r="H201">
        <f>((((AB201)+(0.3*K201))+AG201)+(AF201*0.6))+AI201</f>
        <v>13.5</v>
      </c>
      <c s="98" r="I201">
        <f>((((0.05*O201)+(0.053*V201))+(0.04*AC201))+(0.042*S201))/100.0</f>
        <v>0.02225</v>
      </c>
      <c s="59" r="J201"/>
      <c s="21" r="K201">
        <f>L201+M201</f>
        <v>45</v>
      </c>
      <c s="59" r="L201">
        <v>45</v>
      </c>
      <c s="26" r="M201"/>
      <c s="26" r="N201"/>
      <c s="21" r="O201">
        <f>P201+Q201</f>
        <v>18</v>
      </c>
      <c s="59" r="P201">
        <v>18</v>
      </c>
      <c s="26" r="Q201"/>
      <c s="26" r="R201"/>
      <c s="21" r="S201">
        <f>T201+U201</f>
        <v>0</v>
      </c>
      <c s="59" r="T201"/>
      <c s="26" r="U201"/>
      <c s="26" r="V201">
        <v>25</v>
      </c>
      <c s="26" r="W201"/>
      <c s="26" r="X201"/>
      <c s="26" r="Y201"/>
      <c s="26" r="Z201"/>
      <c s="26" r="AA201"/>
      <c s="60" r="AB201"/>
      <c s="26" r="AC201"/>
      <c s="26" r="AD201"/>
      <c s="26" r="AE201"/>
      <c s="26" r="AF201"/>
      <c s="26" r="AG201"/>
      <c s="47" r="AH201">
        <f>((AC201*0.6637)+AE201)+AG201</f>
        <v>0</v>
      </c>
      <c s="94" r="AI201">
        <f>(AA201*2.3)+(AD201)</f>
        <v>0</v>
      </c>
      <c s="109" r="AJ201"/>
      <c s="44" r="AK201"/>
      <c s="30" r="AL201"/>
      <c s="30" r="AM201"/>
      <c s="30" r="AN201"/>
      <c s="30" r="AO201"/>
    </row>
    <row r="202">
      <c t="str" s="106" r="A202">
        <f>(((B202&amp;" ")&amp;C202)&amp;" ")&amp;E202</f>
        <v>Seventh Ring of the Tirisfalen Eye Trash 109.9232</v>
      </c>
      <c t="s" s="96" r="B202">
        <v>414</v>
      </c>
      <c t="s" s="26" r="C202">
        <v>415</v>
      </c>
      <c t="s" s="26" r="D202">
        <v>372</v>
      </c>
      <c s="114" r="E202">
        <f>(F202+G202)+H202</f>
        <v>109.9232</v>
      </c>
      <c s="121" r="F202">
        <f>((((((J202*0.1)+(O202*1.25))+R202)+S202)+V202)+(X202*0.5))+(AF202*0.2)</f>
        <v>57.25</v>
      </c>
      <c s="121" r="G202">
        <f>+((K202*1.06)*1.06)</f>
        <v>41.5732</v>
      </c>
      <c s="121" r="H202">
        <f>((((AB202)+(0.3*K202))+AG202)+(AF202*0.6))+AI202</f>
        <v>11.1</v>
      </c>
      <c s="98" r="I202">
        <f>((((0.05*O202)+(0.053*V202))+(0.04*AC202))+(0.042*S202))/100.0</f>
        <v>0.0085</v>
      </c>
      <c s="59" r="J202"/>
      <c s="21" r="K202">
        <f>L202+M202</f>
        <v>37</v>
      </c>
      <c s="59" r="L202">
        <v>37</v>
      </c>
      <c s="26" r="M202"/>
      <c s="26" r="N202"/>
      <c s="21" r="O202">
        <f>P202+Q202</f>
        <v>17</v>
      </c>
      <c s="59" r="P202">
        <v>17</v>
      </c>
      <c s="26" r="Q202"/>
      <c s="26" r="R202">
        <v>24</v>
      </c>
      <c s="21" r="S202">
        <f>T202+U202</f>
        <v>0</v>
      </c>
      <c s="59" r="T202"/>
      <c s="26" r="U202"/>
      <c s="26" r="V202"/>
      <c s="26" r="W202"/>
      <c s="26" r="X202">
        <v>24</v>
      </c>
      <c s="26" r="Y202"/>
      <c s="26" r="Z202"/>
      <c s="26" r="AA202"/>
      <c s="60" r="AB202"/>
      <c s="26" r="AC202"/>
      <c s="26" r="AD202"/>
      <c s="26" r="AE202"/>
      <c s="26" r="AF202"/>
      <c s="26" r="AG202"/>
      <c s="47" r="AH202">
        <f>((AC202*0.6637)+AE202)+AG202</f>
        <v>0</v>
      </c>
      <c s="94" r="AI202">
        <f>(AA202*2.3)+(AD202)</f>
        <v>0</v>
      </c>
      <c s="109" r="AJ202"/>
      <c s="44" r="AK202"/>
      <c s="30" r="AL202"/>
      <c s="30" r="AM202"/>
      <c s="30" r="AN202"/>
      <c s="30" r="AO202"/>
    </row>
    <row r="203">
      <c t="str" s="106" r="A203">
        <f>(((B203&amp;" ")&amp;C203)&amp;" ")&amp;E203</f>
        <v>Shermanar Great Ring Aran 102.2996</v>
      </c>
      <c t="s" s="113" r="B203">
        <v>416</v>
      </c>
      <c t="s" s="83" r="C203">
        <v>417</v>
      </c>
      <c t="s" s="26" r="D203">
        <v>372</v>
      </c>
      <c s="114" r="E203">
        <f>(F203+G203)+H203</f>
        <v>102.2996</v>
      </c>
      <c s="121" r="F203">
        <f>((((((J203*0.1)+(O203*1.25))+R203)+S203)+V203)+(X203*0.5))+(AF203*0.2)</f>
        <v>51.05</v>
      </c>
      <c s="121" r="G203">
        <f>+((K203*1.06)*1.06)</f>
        <v>40.4496</v>
      </c>
      <c s="121" r="H203">
        <f>((((AB203)+(0.3*K203))+AG203)+(AF203*0.6))+AI203</f>
        <v>10.8</v>
      </c>
      <c s="98" r="I203">
        <f>((((0.05*O203)+(0.053*V203))+(0.04*AC203))+(0.042*S203))/100.0</f>
        <v>0.0115</v>
      </c>
      <c s="28" r="J203">
        <v>223</v>
      </c>
      <c s="21" r="K203">
        <f>L203+M203</f>
        <v>36</v>
      </c>
      <c s="28" r="L203">
        <v>36</v>
      </c>
      <c s="26" r="M203"/>
      <c s="26" r="N203"/>
      <c s="21" r="O203">
        <f>P203+Q203</f>
        <v>23</v>
      </c>
      <c s="28" r="P203">
        <v>23</v>
      </c>
      <c s="26" r="Q203"/>
      <c s="123" r="R203">
        <v>0</v>
      </c>
      <c s="21" r="S203">
        <f>T203+U203</f>
        <v>0</v>
      </c>
      <c s="28" r="T203"/>
      <c s="123" r="U203"/>
      <c s="123" r="V203">
        <v>0</v>
      </c>
      <c s="123" r="W203">
        <v>0</v>
      </c>
      <c s="123" r="X203">
        <v>0</v>
      </c>
      <c s="123" r="Y203">
        <v>0</v>
      </c>
      <c s="83" r="Z203">
        <v>0</v>
      </c>
      <c s="123" r="AA203">
        <v>0</v>
      </c>
      <c s="73" r="AB203">
        <v>0</v>
      </c>
      <c s="83" r="AC203">
        <v>0</v>
      </c>
      <c s="83" r="AD203">
        <v>0</v>
      </c>
      <c s="123" r="AE203">
        <v>0</v>
      </c>
      <c s="123" r="AF203"/>
      <c s="123" r="AG203">
        <v>0</v>
      </c>
      <c s="47" r="AH203">
        <f>((AC203*0.6637)+AE203)+AG203</f>
        <v>0</v>
      </c>
      <c s="94" r="AI203">
        <f>(AA203*2.3)+(AD203)</f>
        <v>0</v>
      </c>
      <c s="109" r="AJ203"/>
      <c s="44" r="AK203"/>
      <c s="30" r="AL203"/>
      <c s="30" r="AM203"/>
      <c s="30" r="AN203"/>
      <c s="30" r="AO203"/>
    </row>
    <row r="204">
      <c t="str" s="106" r="A204">
        <f>(((B204&amp;" ")&amp;C204)&amp;" ")&amp;E204</f>
        <v>Voilet Signet Kara Quest 101.9788</v>
      </c>
      <c t="s" s="113" r="B204">
        <v>418</v>
      </c>
      <c t="s" s="26" r="C204">
        <v>419</v>
      </c>
      <c t="s" s="26" r="D204">
        <v>372</v>
      </c>
      <c s="114" r="E204">
        <f>(F204+G204)+H204</f>
        <v>101.9788</v>
      </c>
      <c s="121" r="F204">
        <f>((((((J204*0.1)+(O204*1.25))+R204)+S204)+V204)+(X204*0.5))+(AF204*0.2)</f>
        <v>55</v>
      </c>
      <c s="121" r="G204">
        <f>+((K204*1.06)*1.06)</f>
        <v>37.0788</v>
      </c>
      <c s="121" r="H204">
        <f>((((AB204)+(0.3*K204))+AG204)+(AF204*0.6))+AI204</f>
        <v>9.9</v>
      </c>
      <c s="98" r="I204">
        <f>((((0.05*O204)+(0.053*V204))+(0.04*AC204))+(0.042*S204))/100.0</f>
        <v>0.008</v>
      </c>
      <c s="28" r="J204">
        <v>350</v>
      </c>
      <c s="21" r="K204">
        <f>L204+M204</f>
        <v>33</v>
      </c>
      <c s="28" r="L204">
        <v>33</v>
      </c>
      <c s="26" r="M204"/>
      <c s="26" r="N204"/>
      <c s="21" r="O204">
        <f>P204+Q204</f>
        <v>16</v>
      </c>
      <c s="28" r="P204">
        <v>16</v>
      </c>
      <c s="26" r="Q204"/>
      <c s="26" r="R204"/>
      <c s="21" r="S204">
        <f>T204+U204</f>
        <v>0</v>
      </c>
      <c s="59" r="T204"/>
      <c s="26" r="U204"/>
      <c s="26" r="V204"/>
      <c s="26" r="W204"/>
      <c s="26" r="X204"/>
      <c s="26" r="Y204"/>
      <c s="26" r="Z204"/>
      <c s="26" r="AA204"/>
      <c s="60" r="AB204"/>
      <c s="26" r="AC204"/>
      <c s="26" r="AD204"/>
      <c s="26" r="AE204"/>
      <c s="26" r="AF204"/>
      <c s="26" r="AG204"/>
      <c s="47" r="AH204">
        <f>((AC204*0.6637)+AE204)+AG204</f>
        <v>0</v>
      </c>
      <c s="94" r="AI204">
        <f>(AA204*2.3)+(AD204)</f>
        <v>0</v>
      </c>
      <c s="109" r="AJ204"/>
      <c s="44" r="AK204"/>
      <c s="30" r="AL204"/>
      <c s="30" r="AM204"/>
      <c s="30" r="AN204"/>
      <c s="30" r="AO204"/>
    </row>
    <row r="205">
      <c t="str" s="106" r="A205">
        <f>(((B205&amp;" ")&amp;C205)&amp;" ")&amp;E205</f>
        <v>Ring of Unyielding Force 25 Badges 101.03160000000001</v>
      </c>
      <c t="s" s="96" r="B205">
        <v>420</v>
      </c>
      <c t="s" s="26" r="C205">
        <v>369</v>
      </c>
      <c t="s" s="26" r="D205">
        <v>372</v>
      </c>
      <c s="114" r="E205">
        <f>(F205+G205)+H205</f>
        <v>101.0316</v>
      </c>
      <c s="121" r="F205">
        <f>((((((J205*0.1)+(O205*1.25))+R205)+S205)+V205)+(X205*0.5))+(AF205*0.2)</f>
        <v>56.9</v>
      </c>
      <c s="121" r="G205">
        <f>+((K205*1.06)*1.06)</f>
        <v>34.8316</v>
      </c>
      <c s="121" r="H205">
        <f>((((AB205)+(0.3*K205))+AG205)+(AF205*0.6))+AI205</f>
        <v>9.3</v>
      </c>
      <c s="98" r="I205">
        <f>((((0.05*O205)+(0.053*V205))+(0.04*AC205))+(0.042*S205))/100.0</f>
        <v>0.011</v>
      </c>
      <c s="59" r="J205">
        <v>294</v>
      </c>
      <c s="21" r="K205">
        <f>L205+M205</f>
        <v>31</v>
      </c>
      <c s="59" r="L205">
        <v>31</v>
      </c>
      <c s="26" r="M205"/>
      <c s="26" r="N205"/>
      <c s="21" r="O205">
        <f>P205+Q205</f>
        <v>22</v>
      </c>
      <c s="59" r="P205">
        <v>22</v>
      </c>
      <c s="26" r="Q205"/>
      <c s="26" r="R205"/>
      <c s="21" r="S205">
        <f>T205+U205</f>
        <v>0</v>
      </c>
      <c s="59" r="T205"/>
      <c s="26" r="U205"/>
      <c s="26" r="V205"/>
      <c s="26" r="W205"/>
      <c s="26" r="X205"/>
      <c s="26" r="Y205"/>
      <c s="26" r="Z205"/>
      <c s="26" r="AA205"/>
      <c s="60" r="AB205"/>
      <c s="26" r="AC205"/>
      <c s="26" r="AD205"/>
      <c s="26" r="AE205"/>
      <c s="26" r="AF205"/>
      <c s="26" r="AG205"/>
      <c s="47" r="AH205">
        <f>((AC205*0.6637)+AE205)+AG205</f>
        <v>0</v>
      </c>
      <c s="94" r="AI205">
        <f>(AA205*2.3)+(AD205)</f>
        <v>0</v>
      </c>
      <c s="109" r="AJ205"/>
      <c s="44" r="AK205"/>
      <c s="30" r="AL205"/>
      <c s="30" r="AM205"/>
      <c s="30" r="AN205"/>
      <c s="30" r="AO205"/>
    </row>
    <row r="206">
      <c t="str" s="106" r="A206">
        <f>(((B206&amp;" ")&amp;C206)&amp;" ")&amp;E206</f>
        <v>Band of Impenetrable Defense World Drop 83.7496</v>
      </c>
      <c t="s" s="48" r="B206">
        <v>421</v>
      </c>
      <c t="s" s="26" r="C206">
        <v>269</v>
      </c>
      <c t="s" s="26" r="D206">
        <v>372</v>
      </c>
      <c s="114" r="E206">
        <f>(F206+G206)+H206</f>
        <v>83.7496</v>
      </c>
      <c s="121" r="F206">
        <f>((((((J206*0.1)+(O206*1.25))+R206)+S206)+V206)+(X206*0.5))+(AF206*0.2)</f>
        <v>32.5</v>
      </c>
      <c s="121" r="G206">
        <f>+((K206*1.06)*1.06)</f>
        <v>40.4496</v>
      </c>
      <c s="121" r="H206">
        <f>((((AB206)+(0.3*K206))+AG206)+(AF206*0.6))+AI206</f>
        <v>10.8</v>
      </c>
      <c s="98" r="I206">
        <f>((((0.05*O206)+(0.053*V206))+(0.04*AC206))+(0.042*S206))/100.0</f>
        <v>0.013</v>
      </c>
      <c s="59" r="J206"/>
      <c s="21" r="K206">
        <f>L206+M206</f>
        <v>36</v>
      </c>
      <c s="59" r="L206">
        <v>36</v>
      </c>
      <c s="26" r="M206"/>
      <c s="26" r="N206"/>
      <c s="21" r="O206">
        <f>P206+Q206</f>
        <v>26</v>
      </c>
      <c s="59" r="P206">
        <v>26</v>
      </c>
      <c s="26" r="Q206"/>
      <c s="26" r="R206"/>
      <c s="21" r="S206">
        <f>T206+U206</f>
        <v>0</v>
      </c>
      <c s="59" r="T206"/>
      <c s="26" r="U206"/>
      <c s="26" r="V206"/>
      <c s="26" r="W206"/>
      <c s="26" r="X206"/>
      <c s="26" r="Y206"/>
      <c s="26" r="Z206"/>
      <c s="26" r="AA206"/>
      <c s="60" r="AB206"/>
      <c s="26" r="AC206"/>
      <c s="26" r="AD206"/>
      <c s="26" r="AE206"/>
      <c s="26" r="AF206"/>
      <c s="26" r="AG206"/>
      <c s="47" r="AH206">
        <f>((AC206*0.6637)+AE206)+AG206</f>
        <v>0</v>
      </c>
      <c s="94" r="AI206">
        <f>(AA206*2.3)+(AD206)</f>
        <v>0</v>
      </c>
      <c s="109" r="AJ206"/>
      <c s="44" r="AK206"/>
      <c s="30" r="AL206"/>
      <c s="30" r="AM206"/>
      <c s="30" r="AN206"/>
      <c s="30" r="AO206"/>
    </row>
    <row r="207">
      <c t="str" s="106" r="A207">
        <f>(((B207&amp;" ")&amp;C207)&amp;" ")&amp;E207</f>
        <v>Elementium Band of the Sentry Arcatraz 78.16640000000001</v>
      </c>
      <c t="s" s="50" r="B207">
        <v>422</v>
      </c>
      <c t="s" s="83" r="C207">
        <v>423</v>
      </c>
      <c t="s" s="26" r="D207">
        <v>372</v>
      </c>
      <c s="114" r="E207">
        <f>(F207+G207)+H207</f>
        <v>78.1664</v>
      </c>
      <c s="121" r="F207">
        <f>((((((J207*0.1)+(O207*1.25))+R207)+S207)+V207)+(X207*0.5))+(AF207*0.2)</f>
        <v>44</v>
      </c>
      <c s="121" r="G207">
        <f>+((K207*1.06)*1.06)</f>
        <v>26.9664</v>
      </c>
      <c s="121" r="H207">
        <f>((((AB207)+(0.3*K207))+AG207)+(AF207*0.6))+AI207</f>
        <v>7.2</v>
      </c>
      <c s="98" r="I207">
        <f>((((0.05*O207)+(0.053*V207))+(0.04*AC207))+(0.042*S207))/100.0</f>
        <v>0.02007</v>
      </c>
      <c s="28" r="J207">
        <v>0</v>
      </c>
      <c s="21" r="K207">
        <f>L207+M207</f>
        <v>24</v>
      </c>
      <c s="28" r="L207">
        <v>24</v>
      </c>
      <c s="26" r="M207"/>
      <c s="26" r="N207"/>
      <c s="21" r="O207">
        <f>P207+Q207</f>
        <v>20</v>
      </c>
      <c s="28" r="P207">
        <v>20</v>
      </c>
      <c s="26" r="Q207"/>
      <c s="123" r="R207">
        <v>0</v>
      </c>
      <c s="21" r="S207">
        <f>T207+U207</f>
        <v>0</v>
      </c>
      <c s="28" r="T207"/>
      <c s="123" r="U207"/>
      <c s="123" r="V207">
        <v>19</v>
      </c>
      <c s="83" r="W207">
        <v>0</v>
      </c>
      <c s="123" r="X207">
        <v>0</v>
      </c>
      <c s="83" r="Y207">
        <v>0</v>
      </c>
      <c s="83" r="Z207">
        <v>0</v>
      </c>
      <c s="83" r="AA207">
        <v>0</v>
      </c>
      <c s="73" r="AB207">
        <v>0</v>
      </c>
      <c s="83" r="AC207">
        <v>0</v>
      </c>
      <c s="83" r="AD207">
        <v>0</v>
      </c>
      <c s="83" r="AE207">
        <v>0</v>
      </c>
      <c s="83" r="AF207"/>
      <c s="123" r="AG207">
        <v>0</v>
      </c>
      <c s="47" r="AH207">
        <f>((AC207*0.6637)+AE207)+AG207</f>
        <v>0</v>
      </c>
      <c s="94" r="AI207">
        <f>(AA207*2.3)+(AD207)</f>
        <v>0</v>
      </c>
      <c s="109" r="AJ207"/>
      <c s="44" r="AK207"/>
      <c s="30" r="AL207"/>
      <c s="30" r="AM207"/>
      <c s="30" r="AN207"/>
      <c s="30" r="AO207"/>
    </row>
    <row r="208">
      <c t="str" s="106" r="A208">
        <f>(((B208&amp;" ")&amp;C208)&amp;" ")&amp;E208</f>
        <v>Lieutenant's Signet of Lordaeran Old Hillsbrad 78.00800000000001</v>
      </c>
      <c t="s" s="50" r="B208">
        <v>424</v>
      </c>
      <c t="s" s="83" r="C208">
        <v>425</v>
      </c>
      <c t="s" s="26" r="D208">
        <v>372</v>
      </c>
      <c s="114" r="E208">
        <f>(F208+G208)+H208</f>
        <v>78.008</v>
      </c>
      <c s="121" r="F208">
        <f>((((((J208*0.1)+(O208*1.25))+R208)+S208)+V208)+(X208*0.5))+(AF208*0.2)</f>
        <v>35.3</v>
      </c>
      <c s="121" r="G208">
        <f>+((K208*1.06)*1.06)</f>
        <v>33.708</v>
      </c>
      <c s="121" r="H208">
        <f>((((AB208)+(0.3*K208))+AG208)+(AF208*0.6))+AI208</f>
        <v>9</v>
      </c>
      <c s="98" r="I208">
        <f>((((0.05*O208)+(0.053*V208))+(0.04*AC208))+(0.042*S208))/100.0</f>
        <v>0.01113</v>
      </c>
      <c s="28" r="J208">
        <v>143</v>
      </c>
      <c s="21" r="K208">
        <f>L208+M208</f>
        <v>30</v>
      </c>
      <c s="28" r="L208">
        <v>30</v>
      </c>
      <c s="26" r="M208"/>
      <c s="26" r="N208"/>
      <c s="21" r="O208">
        <f>P208+Q208</f>
        <v>0</v>
      </c>
      <c s="28" r="P208">
        <v>0</v>
      </c>
      <c s="26" r="Q208"/>
      <c s="123" r="R208">
        <v>0</v>
      </c>
      <c s="21" r="S208">
        <f>T208+U208</f>
        <v>0</v>
      </c>
      <c s="28" r="T208"/>
      <c s="123" r="U208"/>
      <c s="123" r="V208">
        <v>21</v>
      </c>
      <c s="123" r="W208">
        <v>0</v>
      </c>
      <c s="123" r="X208">
        <v>0</v>
      </c>
      <c s="123" r="Y208">
        <v>0</v>
      </c>
      <c s="123" r="Z208">
        <v>0</v>
      </c>
      <c s="83" r="AA208">
        <v>0</v>
      </c>
      <c s="73" r="AB208">
        <v>0</v>
      </c>
      <c s="83" r="AC208">
        <v>0</v>
      </c>
      <c s="83" r="AD208">
        <v>0</v>
      </c>
      <c s="123" r="AE208">
        <v>0</v>
      </c>
      <c s="123" r="AF208"/>
      <c s="123" r="AG208">
        <v>0</v>
      </c>
      <c s="47" r="AH208">
        <f>((AC208*0.6637)+AE208)+AG208</f>
        <v>0</v>
      </c>
      <c s="94" r="AI208">
        <f>(AA208*2.3)+(AD208)</f>
        <v>0</v>
      </c>
      <c s="109" r="AJ208"/>
      <c s="44" r="AK208"/>
      <c s="30" r="AL208"/>
      <c s="30" r="AM208"/>
      <c s="30" r="AN208"/>
      <c s="30" r="AO208"/>
    </row>
    <row r="209">
      <c t="str" s="106" r="A209">
        <f>(((B209&amp;" ")&amp;C209)&amp;" ")&amp;E209</f>
        <v>Worgen's Ring of Revitalization World Drop BoE 77.7316</v>
      </c>
      <c t="s" s="18" r="B209">
        <v>426</v>
      </c>
      <c t="s" s="76" r="C209">
        <v>121</v>
      </c>
      <c t="s" s="76" r="D209">
        <v>372</v>
      </c>
      <c s="114" r="E209">
        <f>(F209+G209)+H209</f>
        <v>77.7316</v>
      </c>
      <c s="121" r="F209">
        <f>((((((J209*0.1)+(O209*1.25))+R209)+S209)+V209)+(X209*0.5))+(AF209*0.2)</f>
        <v>33.6</v>
      </c>
      <c s="121" r="G209">
        <f>+((K209*1.06)*1.06)</f>
        <v>34.8316</v>
      </c>
      <c s="121" r="H209">
        <f>((((AB209)+(0.3*K209))+AG209)+(AF209*0.6))+AI209</f>
        <v>9.3</v>
      </c>
      <c s="98" r="I209">
        <f>((((0.05*O209)+(0.053*V209))+(0.04*AC209))+(0.042*S209))/100.0</f>
        <v>0.01113</v>
      </c>
      <c s="28" r="J209">
        <v>126</v>
      </c>
      <c s="21" r="K209">
        <f>L209+M209</f>
        <v>31</v>
      </c>
      <c s="32" r="L209">
        <v>31</v>
      </c>
      <c s="26" r="M209"/>
      <c s="26" r="N209"/>
      <c s="21" r="O209">
        <f>P209+Q209</f>
        <v>0</v>
      </c>
      <c s="59" r="P209">
        <v>0</v>
      </c>
      <c s="26" r="Q209"/>
      <c s="26" r="R209"/>
      <c s="21" r="S209">
        <f>T209+U209</f>
        <v>0</v>
      </c>
      <c s="59" r="T209"/>
      <c s="26" r="U209"/>
      <c s="26" r="V209">
        <v>21</v>
      </c>
      <c s="26" r="W209">
        <v>24</v>
      </c>
      <c s="123" r="X209"/>
      <c s="123" r="Y209"/>
      <c s="123" r="Z209"/>
      <c s="123" r="AA209"/>
      <c s="73" r="AB209"/>
      <c s="83" r="AC209"/>
      <c s="83" r="AD209"/>
      <c s="83" r="AE209"/>
      <c s="83" r="AF209"/>
      <c s="83" r="AG209"/>
      <c s="47" r="AH209">
        <f>((AC209*0.6637)+AE209)+AG209</f>
        <v>0</v>
      </c>
      <c s="94" r="AI209">
        <f>(AA209*2.3)+(AD209)</f>
        <v>0</v>
      </c>
      <c s="109" r="AJ209"/>
      <c s="44" r="AK209"/>
      <c s="30" r="AL209"/>
      <c s="30" r="AM209"/>
      <c s="30" r="AN209"/>
      <c s="30" r="AO209"/>
    </row>
    <row r="210">
      <c t="str" s="106" r="A210">
        <f>(((B210&amp;" ")&amp;C210)&amp;" ")&amp;E210</f>
        <v>Iron Band of the Unbreakable Old Hillsbrad 76.68719999999999</v>
      </c>
      <c t="s" s="50" r="B210">
        <v>427</v>
      </c>
      <c t="s" s="83" r="C210">
        <v>425</v>
      </c>
      <c t="s" s="26" r="D210">
        <v>372</v>
      </c>
      <c s="114" r="E210">
        <f>(F210+G210)+H210</f>
        <v>76.6872</v>
      </c>
      <c s="121" r="F210">
        <f>((((((J210*0.1)+(O210*1.25))+R210)+S210)+V210)+(X210*0.5))+(AF210*0.2)</f>
        <v>38.25</v>
      </c>
      <c s="121" r="G210">
        <f>+((K210*1.06)*1.06)</f>
        <v>30.3372</v>
      </c>
      <c s="121" r="H210">
        <f>((((AB210)+(0.3*K210))+AG210)+(AF210*0.6))+AI210</f>
        <v>8.1</v>
      </c>
      <c s="98" r="I210">
        <f>((((0.05*O210)+(0.053*V210))+(0.04*AC210))+(0.042*S210))/100.0</f>
        <v>0.0085</v>
      </c>
      <c s="28" r="J210">
        <v>170</v>
      </c>
      <c s="21" r="K210">
        <f>L210+M210</f>
        <v>27</v>
      </c>
      <c s="28" r="L210">
        <v>27</v>
      </c>
      <c s="26" r="M210"/>
      <c s="26" r="N210"/>
      <c s="21" r="O210">
        <f>P210+Q210</f>
        <v>17</v>
      </c>
      <c s="28" r="P210">
        <v>17</v>
      </c>
      <c s="26" r="Q210"/>
      <c s="123" r="R210">
        <v>0</v>
      </c>
      <c s="21" r="S210">
        <f>T210+U210</f>
        <v>0</v>
      </c>
      <c s="28" r="T210"/>
      <c s="123" r="U210"/>
      <c s="123" r="V210">
        <v>0</v>
      </c>
      <c s="123" r="W210">
        <v>0</v>
      </c>
      <c s="123" r="X210">
        <v>0</v>
      </c>
      <c s="123" r="Y210">
        <v>0</v>
      </c>
      <c s="83" r="Z210">
        <v>0</v>
      </c>
      <c s="123" r="AA210">
        <v>0</v>
      </c>
      <c s="97" r="AB210">
        <v>0</v>
      </c>
      <c s="83" r="AC210">
        <v>0</v>
      </c>
      <c s="83" r="AD210">
        <v>0</v>
      </c>
      <c s="26" r="AE210">
        <v>0</v>
      </c>
      <c s="26" r="AF210"/>
      <c s="123" r="AG210">
        <v>0</v>
      </c>
      <c s="47" r="AH210">
        <f>((AC210*0.6637)+AE210)+AG210</f>
        <v>0</v>
      </c>
      <c s="94" r="AI210">
        <f>(AA210*2.3)+(AD210)</f>
        <v>0</v>
      </c>
      <c s="109" r="AJ210"/>
      <c s="44" r="AK210"/>
      <c s="30" r="AL210"/>
      <c s="30" r="AM210"/>
      <c s="30" r="AN210"/>
      <c s="30" r="AO210"/>
    </row>
    <row r="211">
      <c t="str" s="106" r="A211">
        <f>(((B211&amp;" ")&amp;C211)&amp;" ")&amp;E211</f>
        <v>Dath'Remar's Ring of Defense Mech 55.854</v>
      </c>
      <c t="s" s="50" r="B211">
        <v>428</v>
      </c>
      <c t="s" s="26" r="C211">
        <v>70</v>
      </c>
      <c t="s" s="26" r="D211">
        <v>372</v>
      </c>
      <c s="114" r="E211">
        <f>(F211+G211)+H211</f>
        <v>55.854</v>
      </c>
      <c s="121" r="F211">
        <f>((((((J211*0.1)+(O211*1.25))+R211)+S211)+V211)+(X211*0.5))+(AF211*0.2)</f>
        <v>34.5</v>
      </c>
      <c s="121" r="G211">
        <f>+((K211*1.06)*1.06)</f>
        <v>16.854</v>
      </c>
      <c s="121" r="H211">
        <f>((((AB211)+(0.3*K211))+AG211)+(AF211*0.6))+AI211</f>
        <v>4.5</v>
      </c>
      <c s="98" r="I211">
        <f>((((0.05*O211)+(0.053*V211))+(0.04*AC211))+(0.042*S211))/100.0</f>
        <v>0</v>
      </c>
      <c s="28" r="J211">
        <v>0</v>
      </c>
      <c s="21" r="K211">
        <f>L211+M211</f>
        <v>15</v>
      </c>
      <c s="28" r="L211">
        <v>15</v>
      </c>
      <c s="26" r="M211"/>
      <c s="26" r="N211"/>
      <c s="21" r="O211">
        <f>P211+Q211</f>
        <v>0</v>
      </c>
      <c s="28" r="P211">
        <v>0</v>
      </c>
      <c s="26" r="Q211"/>
      <c s="123" r="R211">
        <v>15</v>
      </c>
      <c s="21" r="S211">
        <f>T211+U211</f>
        <v>0</v>
      </c>
      <c s="32" r="T211"/>
      <c s="83" r="U211"/>
      <c s="123" r="V211">
        <v>0</v>
      </c>
      <c s="83" r="W211">
        <v>0</v>
      </c>
      <c s="123" r="X211">
        <v>39</v>
      </c>
      <c s="123" r="Y211">
        <v>0</v>
      </c>
      <c s="123" r="Z211">
        <v>0</v>
      </c>
      <c s="123" r="AA211">
        <v>0</v>
      </c>
      <c s="73" r="AB211">
        <v>0</v>
      </c>
      <c s="123" r="AC211">
        <v>0</v>
      </c>
      <c s="83" r="AD211">
        <v>0</v>
      </c>
      <c s="83" r="AE211">
        <v>0</v>
      </c>
      <c s="83" r="AF211"/>
      <c s="83" r="AG211">
        <v>0</v>
      </c>
      <c s="47" r="AH211">
        <f>((AC211*0.6637)+AE211)+AG211</f>
        <v>0</v>
      </c>
      <c s="94" r="AI211">
        <f>(AA211*2.3)+(AD211)</f>
        <v>0</v>
      </c>
      <c s="109" r="AJ211"/>
      <c s="44" r="AK211"/>
      <c s="30" r="AL211"/>
      <c s="30" r="AM211"/>
      <c s="30" r="AN211"/>
      <c s="30" r="AO211"/>
    </row>
    <row r="212">
      <c t="str" s="106" r="A212">
        <f>(((B212&amp;" ")&amp;C212)&amp;" ")&amp;E212</f>
        <v>Andormu's Tear CoT Quest 53.5</v>
      </c>
      <c t="s" s="50" r="B212">
        <v>429</v>
      </c>
      <c t="s" s="26" r="C212">
        <v>430</v>
      </c>
      <c t="s" s="26" r="D212">
        <v>372</v>
      </c>
      <c s="114" r="E212">
        <f>(F212+G212)+H212</f>
        <v>53.5</v>
      </c>
      <c s="121" r="F212">
        <f>((((((J212*0.1)+(O212*1.25))+R212)+S212)+V212)+(X212*0.5))+(AF212*0.2)</f>
        <v>53.5</v>
      </c>
      <c s="121" r="G212">
        <f>+((K212*1.06)*1.06)</f>
        <v>0</v>
      </c>
      <c s="121" r="H212">
        <f>((((AB212)+(0.3*K212))+AG212)+(AF212*0.6))+AI212</f>
        <v>0</v>
      </c>
      <c s="98" r="I212">
        <f>((((0.05*O212)+(0.053*V212))+(0.04*AC212))+(0.042*S212))/100.0</f>
        <v>0.01878</v>
      </c>
      <c s="28" r="J212">
        <v>0</v>
      </c>
      <c s="21" r="K212">
        <f>L212+M212</f>
        <v>0</v>
      </c>
      <c s="32" r="L212">
        <v>0</v>
      </c>
      <c s="26" r="M212"/>
      <c s="26" r="N212"/>
      <c s="21" r="O212">
        <f>P212+Q212</f>
        <v>10</v>
      </c>
      <c s="59" r="P212">
        <v>10</v>
      </c>
      <c s="26" r="Q212"/>
      <c s="26" r="R212">
        <v>15</v>
      </c>
      <c s="21" r="S212">
        <f>T212+U212</f>
        <v>0</v>
      </c>
      <c s="59" r="T212"/>
      <c s="26" r="U212"/>
      <c s="26" r="V212">
        <v>26</v>
      </c>
      <c s="26" r="W212">
        <v>0</v>
      </c>
      <c s="123" r="X212">
        <v>0</v>
      </c>
      <c s="123" r="Y212">
        <v>0</v>
      </c>
      <c s="123" r="Z212">
        <v>0</v>
      </c>
      <c s="123" r="AA212">
        <v>0</v>
      </c>
      <c s="73" r="AB212">
        <v>0</v>
      </c>
      <c s="83" r="AC212">
        <v>0</v>
      </c>
      <c s="83" r="AD212">
        <v>0</v>
      </c>
      <c s="83" r="AE212">
        <v>0</v>
      </c>
      <c s="83" r="AF212"/>
      <c s="83" r="AG212">
        <v>0</v>
      </c>
      <c s="47" r="AH212">
        <f>((AC212*0.6637)+AE212)+AG212</f>
        <v>0</v>
      </c>
      <c s="94" r="AI212">
        <f>(AA212*2.3)+(AD212)</f>
        <v>0</v>
      </c>
      <c s="109" r="AJ212"/>
      <c s="44" r="AK212"/>
      <c s="30" r="AL212"/>
      <c s="30" r="AM212"/>
      <c s="30" r="AN212"/>
      <c s="30" r="AO212"/>
    </row>
    <row r="213">
      <c t="str" s="106" r="A213">
        <f>(((B213&amp;" ")&amp;C213)&amp;" ")&amp;E213</f>
        <v>Wall of Terror Nax25  1241.5868</v>
      </c>
      <c t="s" s="4" r="B213">
        <v>431</v>
      </c>
      <c t="s" s="34" r="C213">
        <v>432</v>
      </c>
      <c t="s" s="34" r="D213">
        <v>433</v>
      </c>
      <c s="114" r="E213">
        <f>(F213+G213)+H213</f>
        <v>1241.5868</v>
      </c>
      <c s="121" r="F213">
        <f>((((((J213*0.1)+(O213*1.25))+R213)+S213)+V213)+(X213*0.5))+(AF213*0.2)</f>
        <v>1007</v>
      </c>
      <c s="121" r="G213">
        <f>+((K213*1.06)*1.06)</f>
        <v>70.7868</v>
      </c>
      <c s="121" r="H213">
        <f>((((AB213)+(0.3*K213))+AG213)+(AF213*0.6))+AI213</f>
        <v>163.8</v>
      </c>
      <c s="98" r="I213">
        <f>((((0.05*O213)+(0.053*V213))+(0.04*AC213))+(0.042*S213))/100.0</f>
        <v>0.03372</v>
      </c>
      <c s="31" r="J213">
        <v>7890</v>
      </c>
      <c s="46" r="K213">
        <f>L213+M213</f>
        <v>63</v>
      </c>
      <c s="31" r="L213">
        <v>63</v>
      </c>
      <c s="79" r="M213"/>
      <c s="79" r="N213"/>
      <c s="46" r="O213">
        <f>P213+Q213</f>
        <v>42</v>
      </c>
      <c s="31" r="P213">
        <v>42</v>
      </c>
      <c s="79" r="Q213"/>
      <c s="79" r="R213">
        <v>31</v>
      </c>
      <c s="46" r="S213">
        <f>T213+U213</f>
        <v>0</v>
      </c>
      <c s="31" r="T213"/>
      <c s="79" r="U213"/>
      <c s="79" r="V213">
        <v>24</v>
      </c>
      <c s="79" r="W213"/>
      <c s="79" r="X213">
        <v>221</v>
      </c>
      <c s="79" r="Y213"/>
      <c s="79" r="Z213"/>
      <c s="79" r="AA213">
        <v>63</v>
      </c>
      <c s="79" r="AB213"/>
      <c s="79" r="AC213"/>
      <c s="79" r="AD213"/>
      <c s="79" r="AE213"/>
      <c s="79" r="AF213"/>
      <c s="79" r="AG213"/>
      <c s="47" r="AH213">
        <f>((AC213*0.6637)+AE213)+AG213</f>
        <v>0</v>
      </c>
      <c s="94" r="AI213">
        <f>(AA213*2.3)+(AD213)</f>
        <v>144.9</v>
      </c>
      <c s="109" r="AJ213"/>
      <c s="44" r="AK213"/>
      <c s="30" r="AL213"/>
      <c s="30" r="AM213"/>
      <c s="30" r="AN213"/>
      <c s="30" r="AO213"/>
    </row>
    <row r="214">
      <c t="str" s="106" r="A214">
        <f>(((B214&amp;" ")&amp;C214)&amp;" ")&amp;E214</f>
        <v>Hero's Surrender Naxx25  1224.8324</v>
      </c>
      <c t="s" s="4" r="B214">
        <v>434</v>
      </c>
      <c t="s" s="34" r="C214">
        <v>330</v>
      </c>
      <c t="s" s="34" r="D214">
        <v>433</v>
      </c>
      <c s="114" r="E214">
        <f>(F214+G214)+H214</f>
        <v>1224.8324</v>
      </c>
      <c s="121" r="F214">
        <f>((((((J214*0.1)+(O214*1.25))+R214)+S214)+V214)+(X214*0.5))+(AF214*0.2)</f>
        <v>976.45</v>
      </c>
      <c s="121" r="G214">
        <f>+((K214*1.06)*1.06)</f>
        <v>94.3824</v>
      </c>
      <c s="121" r="H214">
        <f>((((AB214)+(0.3*K214))+AG214)+(AF214*0.6))+AI214</f>
        <v>154</v>
      </c>
      <c s="98" r="I214">
        <f>((((0.05*O214)+(0.053*V214))+(0.04*AC214))+(0.042*S214))/100.0</f>
        <v>0.043</v>
      </c>
      <c s="31" r="J214">
        <v>7722</v>
      </c>
      <c s="46" r="K214">
        <f>L214+M214</f>
        <v>84</v>
      </c>
      <c s="31" r="L214">
        <v>84</v>
      </c>
      <c s="79" r="M214"/>
      <c s="79" r="N214"/>
      <c s="46" r="O214">
        <f>P214+Q214</f>
        <v>29</v>
      </c>
      <c s="31" r="P214">
        <v>29</v>
      </c>
      <c s="79" r="Q214"/>
      <c s="79" r="R214"/>
      <c s="46" r="S214">
        <f>T214+U214</f>
        <v>30</v>
      </c>
      <c s="31" r="T214">
        <v>30</v>
      </c>
      <c s="79" r="U214"/>
      <c s="79" r="V214">
        <v>30</v>
      </c>
      <c s="79" r="W214"/>
      <c s="79" r="X214">
        <v>216</v>
      </c>
      <c s="79" r="Y214"/>
      <c s="79" r="Z214"/>
      <c s="79" r="AA214">
        <v>56</v>
      </c>
      <c s="79" r="AB214"/>
      <c s="79" r="AC214"/>
      <c s="79" r="AD214"/>
      <c s="79" r="AE214"/>
      <c s="79" r="AF214"/>
      <c s="79" r="AG214"/>
      <c s="47" r="AH214">
        <f>((AC214*0.6637)+AE214)+AG214</f>
        <v>0</v>
      </c>
      <c s="94" r="AI214">
        <f>(AA214*2.3)+(AD214)</f>
        <v>128.8</v>
      </c>
      <c s="109" r="AJ214"/>
      <c s="44" r="AK214"/>
      <c s="30" r="AL214"/>
      <c s="30" r="AM214"/>
      <c s="30" r="AN214"/>
      <c s="30" r="AO214"/>
    </row>
    <row r="215">
      <c t="str" s="106" r="A215">
        <f>(((B215&amp;" ")&amp;C215)&amp;" ")&amp;E215</f>
        <v>Barricade of Eternity EoE10  1204.3324000000002</v>
      </c>
      <c t="s" s="4" r="B215">
        <v>435</v>
      </c>
      <c t="s" s="34" r="C215">
        <v>436</v>
      </c>
      <c t="s" s="34" r="D215">
        <v>433</v>
      </c>
      <c s="114" r="E215">
        <f>(F215+G215)+H215</f>
        <v>1204.3324</v>
      </c>
      <c s="121" r="F215">
        <f>((((((J215*0.1)+(O215*1.25))+R215)+S215)+V215)+(X215*0.5))+(AF215*0.2)</f>
        <v>969.05</v>
      </c>
      <c s="121" r="G215">
        <f>+((K215*1.06)*1.06)</f>
        <v>94.3824</v>
      </c>
      <c s="121" r="H215">
        <f>((((AB215)+(0.3*K215))+AG215)+(AF215*0.6))+AI215</f>
        <v>140.9</v>
      </c>
      <c s="98" r="I215">
        <f>((((0.05*O215)+(0.053*V215))+(0.04*AC215))+(0.042*S215))/100.0</f>
        <v>0.03394</v>
      </c>
      <c s="31" r="J215">
        <v>7722</v>
      </c>
      <c s="46" r="K215">
        <f>L215+M215</f>
        <v>84</v>
      </c>
      <c s="31" r="L215">
        <v>84</v>
      </c>
      <c s="79" r="M215"/>
      <c s="79" r="N215"/>
      <c s="46" r="O215">
        <f>P215+Q215</f>
        <v>41</v>
      </c>
      <c s="31" r="P215">
        <v>41</v>
      </c>
      <c s="79" r="Q215"/>
      <c s="79" r="R215"/>
      <c s="46" r="S215">
        <f>T215+U215</f>
        <v>32</v>
      </c>
      <c s="31" r="T215">
        <v>32</v>
      </c>
      <c s="79" r="U215"/>
      <c s="79" r="V215"/>
      <c s="79" r="W215"/>
      <c s="79" r="X215">
        <v>216</v>
      </c>
      <c s="79" r="Y215"/>
      <c s="79" r="Z215"/>
      <c s="79" r="AA215">
        <v>43</v>
      </c>
      <c s="79" r="AB215"/>
      <c s="79" r="AC215"/>
      <c s="79" r="AD215"/>
      <c s="79" r="AE215"/>
      <c s="79" r="AF215">
        <v>28</v>
      </c>
      <c s="79" r="AG215"/>
      <c s="47" r="AH215">
        <f>((AC215*0.6637)+AE215)+AG215</f>
        <v>0</v>
      </c>
      <c s="94" r="AI215">
        <f>(AA215*2.3)+(AD215)</f>
        <v>98.9</v>
      </c>
      <c s="109" r="AJ215"/>
      <c s="44" r="AK215"/>
      <c s="30" r="AL215"/>
      <c s="30" r="AM215"/>
      <c s="30" r="AN215"/>
      <c s="30" r="AO215"/>
    </row>
    <row r="216">
      <c t="str" s="106" r="A216">
        <f>(((B216&amp;" ")&amp;C216)&amp;" ")&amp;E216</f>
        <v>The Skull of Ruin Naxx10  1158.02</v>
      </c>
      <c t="s" s="4" r="B216">
        <v>437</v>
      </c>
      <c t="s" s="34" r="C216">
        <v>438</v>
      </c>
      <c t="s" s="34" r="D216">
        <v>433</v>
      </c>
      <c s="114" r="E216">
        <f>(F216+G216)+H216</f>
        <v>1158.02</v>
      </c>
      <c s="121" r="F216">
        <f>((((((J216*0.1)+(O216*1.25))+R216)+S216)+V216)+(X216*0.5))+(AF216*0.2)</f>
        <v>936.25</v>
      </c>
      <c s="121" r="G216">
        <f>+((K216*1.06)*1.06)</f>
        <v>84.27</v>
      </c>
      <c s="121" r="H216">
        <f>((((AB216)+(0.3*K216))+AG216)+(AF216*0.6))+AI216</f>
        <v>137.5</v>
      </c>
      <c s="98" r="I216">
        <f>((((0.05*O216)+(0.053*V216))+(0.04*AC216))+(0.042*S216))/100.0</f>
        <v>0.0135</v>
      </c>
      <c s="31" r="J216">
        <v>7530</v>
      </c>
      <c s="46" r="K216">
        <f>L216+M216</f>
        <v>75</v>
      </c>
      <c s="31" r="L216">
        <v>75</v>
      </c>
      <c s="79" r="M216"/>
      <c s="79" r="N216"/>
      <c s="46" r="O216">
        <f>P216+Q216</f>
        <v>27</v>
      </c>
      <c s="31" r="P216">
        <v>27</v>
      </c>
      <c s="79" r="Q216"/>
      <c s="79" r="R216">
        <v>25</v>
      </c>
      <c s="46" r="S216">
        <f>T216+U216</f>
        <v>0</v>
      </c>
      <c s="31" r="T216"/>
      <c s="79" r="U216"/>
      <c s="79" r="V216"/>
      <c s="79" r="W216"/>
      <c s="79" r="X216">
        <v>249</v>
      </c>
      <c s="79" r="Y216"/>
      <c s="79" r="Z216"/>
      <c s="79" r="AA216">
        <v>50</v>
      </c>
      <c s="79" r="AB216"/>
      <c s="79" r="AC216"/>
      <c s="79" r="AD216"/>
      <c s="79" r="AE216"/>
      <c s="79" r="AF216"/>
      <c s="79" r="AG216"/>
      <c s="47" r="AH216">
        <f>((AC216*0.6637)+AE216)+AG216</f>
        <v>0</v>
      </c>
      <c s="94" r="AI216">
        <f>(AA216*2.3)+(AD216)</f>
        <v>115</v>
      </c>
      <c s="109" r="AJ216"/>
      <c s="44" r="AK216"/>
      <c s="30" r="AL216"/>
      <c s="30" r="AM216"/>
      <c s="30" r="AN216"/>
      <c s="30" r="AO216"/>
    </row>
    <row r="217">
      <c t="str" s="106" r="A217">
        <f>(((B217&amp;" ")&amp;C217)&amp;" ")&amp;E217</f>
        <v>Crygil's Discarded Plate Panel H Badge  1153.17</v>
      </c>
      <c t="s" s="4" r="B217">
        <v>439</v>
      </c>
      <c t="s" s="34" r="C217">
        <v>440</v>
      </c>
      <c t="s" s="34" r="D217">
        <v>433</v>
      </c>
      <c s="114" r="E217">
        <f>(F217+G217)+H217</f>
        <v>1153.17</v>
      </c>
      <c s="121" r="F217">
        <f>((((((J217*0.1)+(O217*1.25))+R217)+S217)+V217)+(X217*0.5))+(AF217*0.2)</f>
        <v>934</v>
      </c>
      <c s="121" r="G217">
        <f>+((K217*1.06)*1.06)</f>
        <v>84.27</v>
      </c>
      <c s="121" r="H217">
        <f>((((AB217)+(0.3*K217))+AG217)+(AF217*0.6))+AI217</f>
        <v>134.9</v>
      </c>
      <c s="98" r="I217">
        <f>((((0.05*O217)+(0.053*V217))+(0.04*AC217))+(0.042*S217))/100.0</f>
        <v>0.03449</v>
      </c>
      <c s="31" r="J217">
        <v>7530</v>
      </c>
      <c s="46" r="K217">
        <f>L217+M217</f>
        <v>75</v>
      </c>
      <c s="31" r="L217">
        <v>75</v>
      </c>
      <c s="79" r="M217"/>
      <c s="79" r="N217"/>
      <c s="46" r="O217">
        <f>P217+Q217</f>
        <v>34</v>
      </c>
      <c s="31" r="P217">
        <v>34</v>
      </c>
      <c s="79" r="Q217"/>
      <c s="79" r="R217"/>
      <c s="46" r="S217">
        <f>T217+U217</f>
        <v>0</v>
      </c>
      <c s="31" r="T217"/>
      <c s="79" r="U217"/>
      <c s="79" r="V217">
        <v>33</v>
      </c>
      <c s="79" r="W217"/>
      <c s="79" r="X217">
        <v>211</v>
      </c>
      <c s="79" r="Y217"/>
      <c s="79" r="Z217"/>
      <c s="79" r="AA217">
        <v>38</v>
      </c>
      <c s="79" r="AB217"/>
      <c s="79" r="AC217"/>
      <c s="79" r="AD217"/>
      <c s="79" r="AE217"/>
      <c s="79" r="AF217"/>
      <c s="79" r="AG217">
        <v>25</v>
      </c>
      <c s="47" r="AH217">
        <f>((AC217*0.6637)+AE217)+AG217</f>
        <v>25</v>
      </c>
      <c s="94" r="AI217">
        <f>(AA217*2.3)+(AD217)</f>
        <v>87.4</v>
      </c>
      <c s="109" r="AJ217"/>
      <c s="44" r="AK217"/>
      <c s="30" r="AL217"/>
      <c s="30" r="AM217"/>
      <c s="30" r="AN217"/>
      <c s="30" r="AO217"/>
    </row>
    <row r="218">
      <c t="str" s="106" r="A218">
        <f>(((B218&amp;" ")&amp;C218)&amp;" ")&amp;E218</f>
        <v>Royal Crest of Lordaeron H Strat past  1138.92</v>
      </c>
      <c t="s" s="4" r="B218">
        <v>441</v>
      </c>
      <c t="s" s="34" r="C218">
        <v>442</v>
      </c>
      <c t="s" s="34" r="D218">
        <v>433</v>
      </c>
      <c s="114" r="E218">
        <f>(F218+G218)+H218</f>
        <v>1138.92</v>
      </c>
      <c s="121" r="F218">
        <f>((((((J218*0.1)+(O218*1.25))+R218)+S218)+V218)+(X218*0.5))+(AF218*0.2)</f>
        <v>919.75</v>
      </c>
      <c s="121" r="G218">
        <f>+((K218*1.06)*1.06)</f>
        <v>84.27</v>
      </c>
      <c s="121" r="H218">
        <f>((((AB218)+(0.3*K218))+AG218)+(AF218*0.6))+AI218</f>
        <v>134.9</v>
      </c>
      <c s="98" r="I218">
        <f>((((0.05*O218)+(0.053*V218))+(0.04*AC218))+(0.042*S218))/100.0</f>
        <v>0.0245</v>
      </c>
      <c s="31" r="J218">
        <v>7530</v>
      </c>
      <c s="46" r="K218">
        <f>L218+M218</f>
        <v>75</v>
      </c>
      <c s="31" r="L218">
        <v>75</v>
      </c>
      <c s="79" r="M218"/>
      <c s="79" r="N218"/>
      <c s="46" r="O218">
        <f>P218+Q218</f>
        <v>49</v>
      </c>
      <c s="31" r="P218">
        <v>49</v>
      </c>
      <c s="79" r="Q218"/>
      <c s="79" r="R218"/>
      <c s="46" r="S218">
        <f>T218+U218</f>
        <v>0</v>
      </c>
      <c s="31" r="T218"/>
      <c s="79" r="U218"/>
      <c s="79" r="V218"/>
      <c s="79" r="W218"/>
      <c s="79" r="X218">
        <v>211</v>
      </c>
      <c s="79" r="Y218"/>
      <c s="79" r="Z218"/>
      <c s="79" r="AA218">
        <v>38</v>
      </c>
      <c s="79" r="AB218"/>
      <c s="79" r="AC218"/>
      <c s="79" r="AD218"/>
      <c s="79" r="AE218"/>
      <c s="79" r="AF218"/>
      <c s="79" r="AG218">
        <v>25</v>
      </c>
      <c s="47" r="AH218">
        <f>((AC218*0.6637)+AE218)+AG218</f>
        <v>25</v>
      </c>
      <c s="94" r="AI218">
        <f>(AA218*2.3)+(AD218)</f>
        <v>87.4</v>
      </c>
      <c s="109" r="AJ218"/>
      <c s="44" r="AK218"/>
      <c s="30" r="AL218"/>
      <c s="30" r="AM218"/>
      <c s="30" r="AN218"/>
      <c s="30" r="AO218"/>
    </row>
    <row r="219">
      <c t="str" s="106" r="A219">
        <f>(((B219&amp;" ")&amp;C219)&amp;" ")&amp;E219</f>
        <v>Titansteel Shield Wall Craft  1119.5284000000001</v>
      </c>
      <c t="s" s="4" r="B219">
        <v>443</v>
      </c>
      <c t="s" s="34" r="C219">
        <v>444</v>
      </c>
      <c t="s" s="34" r="D219">
        <v>433</v>
      </c>
      <c s="114" r="E219">
        <f>(F219+G219)+H219</f>
        <v>1119.5284</v>
      </c>
      <c s="121" r="F219">
        <f>((((((J219*0.1)+(O219*1.25))+R219)+S219)+V219)+(X219*0.5))+(AF219*0.2)</f>
        <v>938.5</v>
      </c>
      <c s="121" r="G219">
        <f>+((K219*1.06)*1.06)</f>
        <v>77.5284</v>
      </c>
      <c s="121" r="H219">
        <f>((((AB219)+(0.3*K219))+AG219)+(AF219*0.6))+AI219</f>
        <v>103.5</v>
      </c>
      <c s="98" r="I219">
        <f>((((0.05*O219)+(0.053*V219))+(0.04*AC219))+(0.042*S219))/100.0</f>
        <v>0.032</v>
      </c>
      <c s="31" r="J219">
        <v>7530</v>
      </c>
      <c s="46" r="K219">
        <f>L219+M219</f>
        <v>69</v>
      </c>
      <c s="31" r="L219">
        <v>69</v>
      </c>
      <c s="79" r="M219"/>
      <c s="79" r="N219"/>
      <c s="46" r="O219">
        <f>P219+Q219</f>
        <v>64</v>
      </c>
      <c s="31" r="P219">
        <v>64</v>
      </c>
      <c s="79" r="Q219"/>
      <c s="79" r="R219"/>
      <c s="46" r="S219">
        <f>T219+U219</f>
        <v>0</v>
      </c>
      <c s="31" r="T219"/>
      <c s="79" r="U219"/>
      <c s="79" r="V219"/>
      <c s="79" r="W219"/>
      <c s="79" r="X219">
        <v>211</v>
      </c>
      <c s="79" r="Y219"/>
      <c s="79" r="Z219"/>
      <c s="79" r="AA219">
        <v>36</v>
      </c>
      <c s="79" r="AB219"/>
      <c s="79" r="AC219"/>
      <c s="79" r="AD219"/>
      <c s="79" r="AE219"/>
      <c s="79" r="AF219"/>
      <c s="79" r="AG219"/>
      <c s="47" r="AH219">
        <f>((AC219*0.6637)+AE219)+AG219</f>
        <v>0</v>
      </c>
      <c s="94" r="AI219">
        <f>(AA219*2.3)+(AD219)</f>
        <v>82.8</v>
      </c>
      <c s="129" r="AJ219"/>
      <c s="44" r="AK219"/>
      <c s="30" r="AL219"/>
      <c s="30" r="AM219"/>
      <c s="30" r="AN219"/>
      <c s="30" r="AO219"/>
    </row>
    <row r="220">
      <c t="str" s="106" r="A220">
        <f>(((B220&amp;" ")&amp;C220)&amp;" ")&amp;E220</f>
        <v>Bulwark of the Noble Protector H Nex  1083.5604</v>
      </c>
      <c t="s" s="4" r="B220">
        <v>445</v>
      </c>
      <c t="s" s="34" r="C220">
        <v>446</v>
      </c>
      <c t="s" s="34" r="D220">
        <v>433</v>
      </c>
      <c s="114" r="E220">
        <f>(F220+G220)+H220</f>
        <v>1083.5604</v>
      </c>
      <c s="121" r="F220">
        <f>((((((J220*0.1)+(O220*1.25))+R220)+S220)+V220)+(X220*0.5))+(AF220*0.2)</f>
        <v>893.55</v>
      </c>
      <c s="121" r="G220">
        <f>+((K220*1.06)*1.06)</f>
        <v>71.9104</v>
      </c>
      <c s="121" r="H220">
        <f>((((AB220)+(0.3*K220))+AG220)+(AF220*0.6))+AI220</f>
        <v>118.1</v>
      </c>
      <c s="98" r="I220">
        <f>((((0.05*O220)+(0.053*V220))+(0.04*AC220))+(0.042*S220))/100.0</f>
        <v>0.0155</v>
      </c>
      <c s="31" r="J220">
        <v>7278</v>
      </c>
      <c s="46" r="K220">
        <f>L220+M220</f>
        <v>64</v>
      </c>
      <c s="31" r="L220">
        <v>64</v>
      </c>
      <c s="79" r="M220"/>
      <c s="79" r="N220"/>
      <c s="46" r="O220">
        <f>P220+Q220</f>
        <v>31</v>
      </c>
      <c s="31" r="P220">
        <v>31</v>
      </c>
      <c s="79" r="Q220"/>
      <c s="79" r="R220">
        <v>25</v>
      </c>
      <c s="46" r="S220">
        <f>T220+U220</f>
        <v>0</v>
      </c>
      <c s="31" r="T220"/>
      <c s="79" r="U220"/>
      <c s="79" r="V220"/>
      <c s="79" r="W220"/>
      <c s="79" r="X220">
        <v>204</v>
      </c>
      <c s="79" r="Y220"/>
      <c s="79" r="Z220"/>
      <c s="79" r="AA220">
        <v>43</v>
      </c>
      <c s="79" r="AB220"/>
      <c s="79" r="AC220"/>
      <c s="79" r="AD220"/>
      <c s="79" r="AE220"/>
      <c s="79" r="AF220"/>
      <c s="79" r="AG220"/>
      <c s="47" r="AH220">
        <f>((AC220*0.6637)+AE220)+AG220</f>
        <v>0</v>
      </c>
      <c s="94" r="AI220">
        <f>(AA220*2.3)+(AD220)</f>
        <v>98.9</v>
      </c>
      <c s="109" r="AJ220"/>
      <c s="44" r="AK220"/>
      <c s="30" r="AL220"/>
      <c s="30" r="AM220"/>
      <c s="30" r="AN220"/>
      <c s="30" r="AO220"/>
    </row>
    <row r="221">
      <c t="str" s="106" r="A221">
        <f>(((B221&amp;" ")&amp;C221)&amp;" ")&amp;E221</f>
        <v>Leeka's Shield Strat Past  1019.7160000000001</v>
      </c>
      <c t="s" s="4" r="B221">
        <v>447</v>
      </c>
      <c t="s" s="34" r="C221">
        <v>448</v>
      </c>
      <c t="s" s="34" r="D221">
        <v>433</v>
      </c>
      <c s="114" r="E221">
        <f>(F221+G221)+H221</f>
        <v>1019.716</v>
      </c>
      <c s="121" r="F221">
        <f>((((((J221*0.1)+(O221*1.25))+R221)+S221)+V221)+(X221*0.5))+(AF221*0.2)</f>
        <v>849.2</v>
      </c>
      <c s="121" r="G221">
        <f>+((K221*1.06)*1.06)</f>
        <v>67.416</v>
      </c>
      <c s="121" r="H221">
        <f>((((AB221)+(0.3*K221))+AG221)+(AF221*0.6))+AI221</f>
        <v>103.1</v>
      </c>
      <c s="98" r="I221">
        <f>((((0.05*O221)+(0.053*V221))+(0.04*AC221))+(0.042*S221))/100.0</f>
        <v>0.019</v>
      </c>
      <c s="31" r="J221">
        <v>7032</v>
      </c>
      <c s="46" r="K221">
        <f>L221+M221</f>
        <v>60</v>
      </c>
      <c s="31" r="L221">
        <v>60</v>
      </c>
      <c s="79" r="M221"/>
      <c s="79" r="N221"/>
      <c s="46" r="O221">
        <f>P221+Q221</f>
        <v>38</v>
      </c>
      <c s="31" r="P221">
        <v>38</v>
      </c>
      <c s="79" r="Q221"/>
      <c s="79" r="R221"/>
      <c s="46" r="S221">
        <f>T221+U221</f>
        <v>0</v>
      </c>
      <c s="31" r="T221"/>
      <c s="79" r="U221"/>
      <c s="79" r="V221"/>
      <c s="79" r="W221"/>
      <c s="79" r="X221">
        <v>197</v>
      </c>
      <c s="79" r="Y221"/>
      <c s="79" r="Z221"/>
      <c s="79" r="AA221">
        <v>37</v>
      </c>
      <c s="79" r="AB221"/>
      <c s="79" r="AC221"/>
      <c s="79" r="AD221"/>
      <c s="79" r="AE221"/>
      <c s="79" r="AF221"/>
      <c s="79" r="AG221"/>
      <c s="47" r="AH221">
        <f>((AC221*0.6637)+AE221)+AG221</f>
        <v>0</v>
      </c>
      <c s="94" r="AI221">
        <f>(AA221*2.3)+(AD221)</f>
        <v>85.1</v>
      </c>
      <c s="109" r="AJ221"/>
      <c s="44" r="AK221"/>
      <c s="30" r="AL221"/>
      <c s="30" r="AM221"/>
      <c s="30" r="AN221"/>
      <c s="30" r="AO221"/>
    </row>
    <row r="222">
      <c t="str" s="106" r="A222">
        <f>(((B222&amp;" ")&amp;C222)&amp;" ")&amp;E222</f>
        <v>Riot Shield VH  959.8536</v>
      </c>
      <c t="s" s="4" r="B222">
        <v>449</v>
      </c>
      <c t="s" s="34" r="C222">
        <v>450</v>
      </c>
      <c t="s" s="34" r="D222">
        <v>433</v>
      </c>
      <c s="114" r="E222">
        <f>(F222+G222)+H222</f>
        <v>959.8536</v>
      </c>
      <c s="121" r="F222">
        <f>((((((J222*0.1)+(O222*1.25))+R222)+S222)+V222)+(X222*0.5))+(AF222*0.2)</f>
        <v>809.05</v>
      </c>
      <c s="121" r="G222">
        <f>+((K222*1.06)*1.06)</f>
        <v>57.3036</v>
      </c>
      <c s="121" r="H222">
        <f>((((AB222)+(0.3*K222))+AG222)+(AF222*0.6))+AI222</f>
        <v>93.5</v>
      </c>
      <c s="98" r="I222">
        <f>((((0.05*O222)+(0.053*V222))+(0.04*AC222))+(0.042*S222))/100.0</f>
        <v>0.0115</v>
      </c>
      <c s="31" r="J222">
        <v>6703</v>
      </c>
      <c s="46" r="K222">
        <f>L222+M222</f>
        <v>51</v>
      </c>
      <c s="31" r="L222">
        <v>51</v>
      </c>
      <c s="79" r="M222"/>
      <c s="79" r="N222"/>
      <c s="46" r="O222">
        <f>P222+Q222</f>
        <v>23</v>
      </c>
      <c s="31" r="P222">
        <v>23</v>
      </c>
      <c s="79" r="Q222"/>
      <c s="79" r="R222"/>
      <c s="46" r="S222">
        <f>T222+U222</f>
        <v>0</v>
      </c>
      <c s="31" r="T222"/>
      <c s="79" r="U222"/>
      <c s="79" r="V222"/>
      <c s="79" r="W222"/>
      <c s="79" r="X222">
        <v>220</v>
      </c>
      <c s="79" r="Y222"/>
      <c s="79" r="Z222"/>
      <c s="79" r="AA222">
        <v>34</v>
      </c>
      <c s="79" r="AB222"/>
      <c s="79" r="AC222"/>
      <c s="79" r="AD222"/>
      <c s="79" r="AE222"/>
      <c s="79" r="AF222"/>
      <c s="79" r="AG222"/>
      <c s="47" r="AH222">
        <f>((AC222*0.6637)+AE222)+AG222</f>
        <v>0</v>
      </c>
      <c s="94" r="AI222">
        <f>(AA222*2.3)+(AD222)</f>
        <v>78.2</v>
      </c>
      <c s="109" r="AJ222"/>
      <c s="44" r="AK222"/>
      <c s="30" r="AL222"/>
      <c s="30" r="AM222"/>
      <c s="30" r="AN222"/>
      <c s="30" r="AO222"/>
    </row>
    <row r="223">
      <c t="str" s="106" r="A223">
        <f>(((B223&amp;" ")&amp;C223)&amp;" ")&amp;E223</f>
        <v>Saronite Bulwark Craft  954.0076</v>
      </c>
      <c t="s" s="4" r="B223">
        <v>451</v>
      </c>
      <c t="s" s="34" r="C223">
        <v>444</v>
      </c>
      <c t="s" s="34" r="D223">
        <v>433</v>
      </c>
      <c s="114" r="E223">
        <f>(F223+G223)+H223</f>
        <v>954.0076</v>
      </c>
      <c s="121" r="F223">
        <f>((((((J223*0.1)+(O223*1.25))+R223)+S223)+V223)+(X223*0.5))+(AF223*0.2)</f>
        <v>802.55</v>
      </c>
      <c s="121" r="G223">
        <f>+((K223*1.06)*1.06)</f>
        <v>74.1576</v>
      </c>
      <c s="121" r="H223">
        <f>((((AB223)+(0.3*K223))+AG223)+(AF223*0.6))+AI223</f>
        <v>77.3</v>
      </c>
      <c s="98" r="I223">
        <f>((((0.05*O223)+(0.053*V223))+(0.04*AC223))+(0.042*S223))/100.0</f>
        <v>0.0155</v>
      </c>
      <c s="31" r="J223">
        <v>6703</v>
      </c>
      <c s="46" r="K223">
        <f>L223+M223</f>
        <v>66</v>
      </c>
      <c s="31" r="L223">
        <v>66</v>
      </c>
      <c s="79" r="M223"/>
      <c s="79" r="N223"/>
      <c s="46" r="O223">
        <f>P223+Q223</f>
        <v>31</v>
      </c>
      <c s="31" r="P223">
        <v>31</v>
      </c>
      <c s="79" r="Q223"/>
      <c s="79" r="R223"/>
      <c s="46" r="S223">
        <f>T223+U223</f>
        <v>0</v>
      </c>
      <c s="31" r="T223"/>
      <c s="79" r="U223"/>
      <c s="79" r="V223"/>
      <c s="79" r="W223"/>
      <c s="79" r="X223">
        <v>187</v>
      </c>
      <c s="79" r="Y223"/>
      <c s="79" r="Z223"/>
      <c s="79" r="AA223">
        <v>25</v>
      </c>
      <c s="79" r="AB223"/>
      <c s="79" r="AC223"/>
      <c s="79" r="AD223"/>
      <c s="79" r="AE223"/>
      <c s="79" r="AF223"/>
      <c s="79" r="AG223"/>
      <c s="47" r="AH223">
        <f>((AC223*0.6637)+AE223)+AG223</f>
        <v>0</v>
      </c>
      <c s="94" r="AI223">
        <f>(AA223*2.3)+(AD223)</f>
        <v>57.5</v>
      </c>
      <c s="109" r="AJ223"/>
      <c s="44" r="AK223"/>
      <c s="30" r="AL223"/>
      <c s="30" r="AM223"/>
      <c s="30" r="AN223"/>
      <c s="30" r="AO223"/>
    </row>
    <row r="224">
      <c t="str" s="106" r="A224">
        <f>(((B224&amp;" ")&amp;C224)&amp;" ")&amp;E224</f>
        <v>Sword Breakers Bulwark Felmyst 938.3104000000001</v>
      </c>
      <c t="s" s="12" r="B224">
        <v>452</v>
      </c>
      <c t="s" s="12" r="C224">
        <v>453</v>
      </c>
      <c t="s" s="13" r="D224">
        <v>433</v>
      </c>
      <c s="114" r="E224">
        <f>(F224+G224)+H224</f>
        <v>938.3104</v>
      </c>
      <c s="121" r="F224">
        <f>((((((J224*0.1)+(O224*1.25))+R224)+S224)+V224)+(X224*0.5))+(AF224*0.2)</f>
        <v>798.9</v>
      </c>
      <c s="121" r="G224">
        <f>+((K224*1.06)*1.06)</f>
        <v>71.9104</v>
      </c>
      <c s="121" r="H224">
        <f>((((AB224)+(0.3*K224))+AG224)+(AF224*0.6))+AI224</f>
        <v>67.5</v>
      </c>
      <c s="98" r="I224">
        <f>((((0.05*O224)+(0.053*V224))+(0.04*AC224))+(0.042*S224))/100.0</f>
        <v>0.01336</v>
      </c>
      <c s="31" r="J224">
        <v>6459</v>
      </c>
      <c s="46" r="K224">
        <f>L224+M224</f>
        <v>64</v>
      </c>
      <c s="31" r="L224">
        <v>49</v>
      </c>
      <c s="79" r="M224">
        <f>12.0+3.0</f>
        <v>15</v>
      </c>
      <c s="79" r="N224"/>
      <c s="46" r="O224">
        <f>P224+Q224</f>
        <v>20</v>
      </c>
      <c s="31" r="P224">
        <v>20</v>
      </c>
      <c s="79" r="Q224"/>
      <c s="79" r="R224">
        <v>16</v>
      </c>
      <c s="46" r="S224">
        <f>T224+U224</f>
        <v>8</v>
      </c>
      <c s="31" r="T224"/>
      <c s="79" r="U224">
        <v>8</v>
      </c>
      <c s="79" r="V224"/>
      <c s="79" r="W224"/>
      <c s="79" r="X224">
        <f>178.0+30.0</f>
        <v>208</v>
      </c>
      <c s="79" r="Y224"/>
      <c s="79" r="Z224"/>
      <c s="79" r="AA224">
        <v>21</v>
      </c>
      <c s="79" r="AB224"/>
      <c s="79" r="AC224"/>
      <c s="79" r="AD224"/>
      <c s="79" r="AE224"/>
      <c s="79" r="AF224"/>
      <c s="79" r="AG224"/>
      <c s="47" r="AH224">
        <f>((AC224*0.6637)+AE224)+AG224</f>
        <v>0</v>
      </c>
      <c s="94" r="AI224">
        <f>(AA224*2.3)+(AD224)</f>
        <v>48.3</v>
      </c>
      <c s="109" r="AJ224"/>
      <c s="44" r="AK224"/>
      <c s="30" r="AL224"/>
      <c s="30" r="AM224"/>
      <c s="30" r="AN224"/>
      <c s="30" r="AO224"/>
    </row>
    <row r="225">
      <c t="str" s="106" r="A225">
        <f>(((B225&amp;" ")&amp;C225)&amp;" ")&amp;E225</f>
        <v>Bulwark of Azzinoth Illidan 876.7439999999999</v>
      </c>
      <c t="s" s="12" r="B225">
        <v>454</v>
      </c>
      <c t="s" s="12" r="C225">
        <v>109</v>
      </c>
      <c t="s" s="13" r="D225">
        <v>433</v>
      </c>
      <c s="114" r="E225">
        <f>(F225+G225)+H225</f>
        <v>876.744</v>
      </c>
      <c s="121" r="F225">
        <f>((((((J225*0.1)+(O225*1.25))+R225)+S225)+V225)+(X225*0.5))+(AF225*0.2)</f>
        <v>753.1</v>
      </c>
      <c s="121" r="G225">
        <f>+((K225*1.06)*1.06)</f>
        <v>44.944</v>
      </c>
      <c s="121" r="H225">
        <f>((((AB225)+(0.3*K225))+AG225)+(AF225*0.6))+AI225</f>
        <v>78.7</v>
      </c>
      <c s="98" r="I225">
        <f>((((0.05*O225)+(0.053*V225))+(0.04*AC225))+(0.042*S225))/100.0</f>
        <v>0.013</v>
      </c>
      <c s="31" r="J225">
        <v>6336</v>
      </c>
      <c s="46" r="K225">
        <f>L225+M225</f>
        <v>40</v>
      </c>
      <c s="31" r="L225">
        <v>40</v>
      </c>
      <c s="79" r="M225"/>
      <c s="79" r="N225"/>
      <c s="46" r="O225">
        <f>P225+Q225</f>
        <v>26</v>
      </c>
      <c s="31" r="P225">
        <v>26</v>
      </c>
      <c s="79" r="Q225"/>
      <c s="79" r="R225"/>
      <c s="46" r="S225">
        <f>T225+U225</f>
        <v>0</v>
      </c>
      <c s="31" r="T225"/>
      <c s="79" r="U225"/>
      <c s="79" r="V225"/>
      <c s="79" r="W225"/>
      <c s="79" r="X225">
        <v>174</v>
      </c>
      <c s="79" r="Y225"/>
      <c s="79" r="Z225"/>
      <c s="79" r="AA225">
        <v>29</v>
      </c>
      <c s="79" r="AB225"/>
      <c s="79" r="AC225"/>
      <c s="79" r="AD225"/>
      <c s="79" r="AE225"/>
      <c s="79" r="AF225"/>
      <c s="79" r="AG225"/>
      <c s="47" r="AH225">
        <f>((AC225*0.6637)+AE225)+AG225</f>
        <v>0</v>
      </c>
      <c s="94" r="AI225">
        <f>(AA225*2.3)+(AD225)</f>
        <v>66.7</v>
      </c>
      <c s="109" r="AJ225"/>
      <c s="44" r="AK225"/>
      <c s="30" r="AL225"/>
      <c s="30" r="AM225"/>
      <c s="30" r="AN225"/>
      <c s="30" r="AO225"/>
    </row>
    <row r="226">
      <c t="str" s="106" r="A226">
        <f>(((B226&amp;" ")&amp;C226)&amp;" ")&amp;E226</f>
        <v>Kaz'Rogal's Hardened Heart (sta) Kaz'Rogal 858.4312</v>
      </c>
      <c t="s" s="12" r="B226">
        <v>455</v>
      </c>
      <c t="s" s="12" r="C226">
        <v>137</v>
      </c>
      <c t="s" s="13" r="D226">
        <v>433</v>
      </c>
      <c s="114" r="E226">
        <f>(F226+G226)+H226</f>
        <v>858.4312</v>
      </c>
      <c s="121" r="F226">
        <f>((((((J226*0.1)+(O226*1.25))+R226)+S226)+V226)+(X226*0.5))+(AF226*0.2)</f>
        <v>696.75</v>
      </c>
      <c s="121" r="G226">
        <f>+((K226*1.06)*1.06)</f>
        <v>75.2812</v>
      </c>
      <c s="121" r="H226">
        <f>((((AB226)+(0.3*K226))+AG226)+(AF226*0.6))+AI226</f>
        <v>86.4</v>
      </c>
      <c s="98" r="I226">
        <f>((((0.05*O226)+(0.053*V226))+(0.04*AC226))+(0.042*S226))/100.0</f>
        <v>0.0095</v>
      </c>
      <c s="31" r="J226">
        <v>5930</v>
      </c>
      <c s="46" r="K226">
        <f>L226+M226</f>
        <v>67</v>
      </c>
      <c s="31" r="L226">
        <f>43.0</f>
        <v>43</v>
      </c>
      <c s="79" r="M226">
        <f>24.0</f>
        <v>24</v>
      </c>
      <c t="s" s="79" r="N226">
        <v>304</v>
      </c>
      <c s="46" r="O226">
        <f>P226+Q226</f>
        <v>19</v>
      </c>
      <c s="31" r="P226">
        <v>19</v>
      </c>
      <c s="79" r="Q226"/>
      <c s="79" r="R226"/>
      <c s="46" r="S226">
        <f>T226+U226</f>
        <v>0</v>
      </c>
      <c s="31" r="T226"/>
      <c s="79" r="U226"/>
      <c s="79" r="V226"/>
      <c s="79" r="W226"/>
      <c s="79" r="X226">
        <v>160</v>
      </c>
      <c s="79" r="Y226"/>
      <c s="79" r="Z226"/>
      <c s="79" r="AA226">
        <v>21</v>
      </c>
      <c s="79" r="AB226"/>
      <c s="79" r="AC226"/>
      <c s="79" r="AD226"/>
      <c s="79" r="AE226"/>
      <c s="79" r="AF226"/>
      <c s="79" r="AG226">
        <v>18</v>
      </c>
      <c s="47" r="AH226">
        <f>((AC226*0.6637)+AE226)+AG226</f>
        <v>18</v>
      </c>
      <c s="94" r="AI226">
        <f>(AA226*2.3)+(AD226)</f>
        <v>48.3</v>
      </c>
      <c s="109" r="AJ226"/>
      <c s="44" r="AK226"/>
      <c s="30" r="AL226"/>
      <c s="30" r="AM226"/>
      <c s="30" r="AN226"/>
      <c s="30" r="AO226"/>
    </row>
    <row r="227">
      <c t="str" s="106" r="A227">
        <f>(((B227&amp;" ")&amp;C227)&amp;" ")&amp;E227</f>
        <v>Bulwark of the warchief HE Rev  849.5620000000001</v>
      </c>
      <c t="s" s="4" r="B227">
        <v>456</v>
      </c>
      <c t="s" s="34" r="C227">
        <v>457</v>
      </c>
      <c t="s" s="34" r="D227">
        <v>433</v>
      </c>
      <c s="114" r="E227">
        <f>(F227+G227)+H227</f>
        <v>849.562</v>
      </c>
      <c s="121" r="F227">
        <f>((((((J227*0.1)+(O227*1.25))+R227)+S227)+V227)+(X227*0.5))+(AF227*0.2)</f>
        <v>766.9</v>
      </c>
      <c s="121" r="G227">
        <f>+((K227*1.06)*1.06)</f>
        <v>50.562</v>
      </c>
      <c s="121" r="H227">
        <f>((((AB227)+(0.3*K227))+AG227)+(AF227*0.6))+AI227</f>
        <v>32.1</v>
      </c>
      <c s="98" r="I227">
        <f>((((0.05*O227)+(0.053*V227))+(0.04*AC227))+(0.042*S227))/100.0</f>
        <v>0.016</v>
      </c>
      <c s="31" r="J227">
        <v>6337</v>
      </c>
      <c s="46" r="K227">
        <f>L227+M227</f>
        <v>45</v>
      </c>
      <c s="31" r="L227">
        <v>45</v>
      </c>
      <c s="79" r="M227"/>
      <c s="79" r="N227"/>
      <c s="46" r="O227">
        <f>P227+Q227</f>
        <v>32</v>
      </c>
      <c s="31" r="P227">
        <v>32</v>
      </c>
      <c s="79" r="Q227"/>
      <c s="79" r="R227"/>
      <c s="46" r="S227">
        <f>T227+U227</f>
        <v>0</v>
      </c>
      <c s="31" r="T227"/>
      <c s="79" r="U227"/>
      <c s="79" r="V227"/>
      <c s="79" r="W227"/>
      <c s="79" r="X227">
        <v>174</v>
      </c>
      <c s="79" r="Y227"/>
      <c s="79" r="Z227"/>
      <c s="79" r="AA227"/>
      <c s="79" r="AB227"/>
      <c s="79" r="AC227"/>
      <c s="79" r="AD227"/>
      <c s="79" r="AE227"/>
      <c s="79" r="AF227">
        <v>31</v>
      </c>
      <c s="79" r="AG227"/>
      <c s="47" r="AH227">
        <f>((AC227*0.6637)+AE227)+AG227</f>
        <v>0</v>
      </c>
      <c s="94" r="AI227">
        <f>(AA227*2.3)+(AD227)</f>
        <v>0</v>
      </c>
      <c s="109" r="AJ227"/>
      <c s="44" r="AK227"/>
      <c s="30" r="AL227"/>
      <c s="30" r="AM227"/>
      <c s="30" r="AN227"/>
      <c s="30" r="AO227"/>
    </row>
    <row r="228">
      <c t="str" s="106" r="A228">
        <f>(((B228&amp;" ")&amp;C228)&amp;" ")&amp;E228</f>
        <v>Saronite Defender Craft  841.8896</v>
      </c>
      <c t="s" s="4" r="B228">
        <v>458</v>
      </c>
      <c t="s" s="34" r="C228">
        <v>444</v>
      </c>
      <c t="s" s="34" r="D228">
        <v>433</v>
      </c>
      <c s="114" r="E228">
        <f>(F228+G228)+H228</f>
        <v>841.8896</v>
      </c>
      <c s="121" r="F228">
        <f>((((((J228*0.1)+(O228*1.25))+R228)+S228)+V228)+(X228*0.5))+(AF228*0.2)</f>
        <v>715.95</v>
      </c>
      <c s="121" r="G228">
        <f>+((K228*1.06)*1.06)</f>
        <v>68.5396</v>
      </c>
      <c s="121" r="H228">
        <f>((((AB228)+(0.3*K228))+AG228)+(AF228*0.6))+AI228</f>
        <v>57.4</v>
      </c>
      <c s="98" r="I228">
        <f>((((0.05*O228)+(0.053*V228))+(0.04*AC228))+(0.042*S228))/100.0</f>
        <v>0.0115</v>
      </c>
      <c s="31" r="J228">
        <v>6052</v>
      </c>
      <c s="46" r="K228">
        <f>L228+M228</f>
        <v>61</v>
      </c>
      <c s="31" r="L228">
        <v>61</v>
      </c>
      <c s="79" r="M228"/>
      <c s="79" r="N228"/>
      <c s="46" r="O228">
        <f>P228+Q228</f>
        <v>23</v>
      </c>
      <c s="31" r="P228">
        <v>23</v>
      </c>
      <c s="79" r="Q228"/>
      <c s="79" r="R228"/>
      <c s="46" r="S228">
        <f>T228+U228</f>
        <v>0</v>
      </c>
      <c s="31" r="T228"/>
      <c s="79" r="U228"/>
      <c s="79" r="V228"/>
      <c s="79" r="W228"/>
      <c s="79" r="X228">
        <v>164</v>
      </c>
      <c s="79" r="Y228"/>
      <c s="79" r="Z228"/>
      <c s="79" r="AA228">
        <v>17</v>
      </c>
      <c s="79" r="AB228"/>
      <c s="79" r="AC228"/>
      <c s="79" r="AD228"/>
      <c s="79" r="AE228"/>
      <c s="79" r="AF228"/>
      <c s="79" r="AG228"/>
      <c s="47" r="AH228">
        <f>((AC228*0.6637)+AE228)+AG228</f>
        <v>0</v>
      </c>
      <c s="94" r="AI228">
        <f>(AA228*2.3)+(AD228)</f>
        <v>39.1</v>
      </c>
      <c s="109" r="AJ228"/>
      <c s="44" r="AK228"/>
      <c s="30" r="AL228"/>
      <c s="30" r="AM228"/>
      <c s="30" r="AN228"/>
      <c s="30" r="AO228"/>
    </row>
    <row r="229">
      <c t="str" s="106" r="A229">
        <f>(((B229&amp;" ")&amp;C229)&amp;" ")&amp;E229</f>
        <v>Blade-Binding Bulwark   840.2648</v>
      </c>
      <c t="s" s="4" r="B229">
        <v>459</v>
      </c>
      <c t="s" s="34" r="C229">
        <v>142</v>
      </c>
      <c t="s" s="34" r="D229">
        <v>433</v>
      </c>
      <c s="114" r="E229">
        <f>(F229+G229)+H229</f>
        <v>840.2648</v>
      </c>
      <c s="121" r="F229">
        <f>((((((J229*0.1)+(O229*1.25))+R229)+S229)+V229)+(X229*0.5))+(AF229*0.2)</f>
        <v>735.35</v>
      </c>
      <c s="121" r="G229">
        <f>+((K229*1.06)*1.06)</f>
        <v>48.3148</v>
      </c>
      <c s="121" r="H229">
        <f>((((AB229)+(0.3*K229))+AG229)+(AF229*0.6))+AI229</f>
        <v>56.6</v>
      </c>
      <c s="98" r="I229">
        <f>((((0.05*O229)+(0.053*V229))+(0.04*AC229))+(0.042*S229))/100.0</f>
        <v>0.0105</v>
      </c>
      <c s="31" r="J229">
        <v>6011</v>
      </c>
      <c s="46" r="K229">
        <f>L229+M229</f>
        <v>43</v>
      </c>
      <c s="31" r="L229">
        <v>43</v>
      </c>
      <c s="79" r="M229"/>
      <c s="79" r="N229"/>
      <c s="46" r="O229">
        <f>P229+Q229</f>
        <v>21</v>
      </c>
      <c s="31" r="P229">
        <v>21</v>
      </c>
      <c s="79" r="Q229"/>
      <c s="79" r="R229">
        <v>27</v>
      </c>
      <c s="46" r="S229">
        <f>T229+U229</f>
        <v>0</v>
      </c>
      <c s="31" r="T229"/>
      <c s="79" r="U229"/>
      <c s="79" r="V229"/>
      <c s="79" r="W229"/>
      <c s="79" r="X229">
        <v>162</v>
      </c>
      <c s="79" r="Y229"/>
      <c s="79" r="Z229"/>
      <c s="79" r="AA229">
        <v>19</v>
      </c>
      <c s="79" r="AB229"/>
      <c s="79" r="AC229"/>
      <c s="79" r="AD229"/>
      <c s="79" r="AE229"/>
      <c s="79" r="AF229"/>
      <c s="79" r="AG229"/>
      <c s="47" r="AH229">
        <f>((AC229*0.6637)+AE229)+AG229</f>
        <v>0</v>
      </c>
      <c s="94" r="AI229">
        <f>(AA229*2.3)+(AD229)</f>
        <v>43.7</v>
      </c>
      <c s="109" r="AJ229"/>
      <c s="44" r="AK229"/>
      <c s="30" r="AL229"/>
      <c s="30" r="AM229"/>
      <c s="30" r="AN229"/>
      <c s="30" r="AO229"/>
    </row>
    <row r="230">
      <c t="str" s="106" r="A230">
        <f>(((B230&amp;" ")&amp;C230)&amp;" ")&amp;E230</f>
        <v>Bulwark of the Tormented God Q Rew  814.3384</v>
      </c>
      <c t="s" s="4" r="B230">
        <v>460</v>
      </c>
      <c t="s" s="34" r="C230">
        <v>106</v>
      </c>
      <c t="s" s="34" r="D230">
        <v>433</v>
      </c>
      <c s="114" r="E230">
        <f>(F230+G230)+H230</f>
        <v>814.3384</v>
      </c>
      <c s="121" r="F230">
        <f>((((((J230*0.1)+(O230*1.25))+R230)+S230)+V230)+(X230*0.5))+(AF230*0.2)</f>
        <v>703.4</v>
      </c>
      <c s="121" r="G230">
        <f>+((K230*1.06)*1.06)</f>
        <v>49.4384</v>
      </c>
      <c s="121" r="H230">
        <f>((((AB230)+(0.3*K230))+AG230)+(AF230*0.6))+AI230</f>
        <v>61.5</v>
      </c>
      <c s="98" r="I230">
        <f>((((0.05*O230)+(0.053*V230))+(0.04*AC230))+(0.042*S230))/100.0</f>
        <v>0.016</v>
      </c>
      <c s="31" r="J230">
        <v>5849</v>
      </c>
      <c s="46" r="K230">
        <f>L230+M230</f>
        <v>44</v>
      </c>
      <c s="31" r="L230">
        <v>44</v>
      </c>
      <c s="79" r="M230"/>
      <c s="79" r="N230"/>
      <c s="46" r="O230">
        <f>P230+Q230</f>
        <v>32</v>
      </c>
      <c s="31" r="P230">
        <v>32</v>
      </c>
      <c s="79" r="Q230"/>
      <c s="79" r="R230"/>
      <c s="46" r="S230">
        <f>T230+U230</f>
        <v>0</v>
      </c>
      <c s="31" r="T230"/>
      <c s="79" r="U230"/>
      <c s="79" r="V230"/>
      <c s="79" r="W230"/>
      <c s="79" r="X230">
        <v>157</v>
      </c>
      <c s="79" r="Y230"/>
      <c s="79" r="Z230"/>
      <c s="79" r="AA230">
        <v>21</v>
      </c>
      <c s="79" r="AB230"/>
      <c s="79" r="AC230"/>
      <c s="79" r="AD230"/>
      <c s="79" r="AE230"/>
      <c s="79" r="AF230"/>
      <c s="79" r="AG230"/>
      <c s="47" r="AH230">
        <f>((AC230*0.6637)+AE230)+AG230</f>
        <v>0</v>
      </c>
      <c s="94" r="AI230">
        <f>(AA230*2.3)+(AD230)</f>
        <v>48.3</v>
      </c>
      <c s="109" r="AJ230"/>
      <c s="44" r="AK230"/>
      <c s="30" r="AL230"/>
      <c s="30" r="AM230"/>
      <c s="30" r="AN230"/>
      <c s="30" r="AO230"/>
    </row>
    <row r="231">
      <c t="str" s="106" r="A231">
        <f>(((B231&amp;" ")&amp;C231)&amp;" ")&amp;E231</f>
        <v>Bulwark of the Amani Empire (sta) Dragonhawk 780.6576</v>
      </c>
      <c t="s" s="12" r="B231">
        <v>461</v>
      </c>
      <c t="s" s="12" r="C231">
        <v>462</v>
      </c>
      <c t="s" s="13" r="D231">
        <v>433</v>
      </c>
      <c s="114" r="E231">
        <f>(F231+G231)+H231</f>
        <v>780.6576</v>
      </c>
      <c s="121" r="F231">
        <f>((((((J231*0.1)+(O231*1.25))+R231)+S231)+V231)+(X231*0.5))+(AF231*0.2)</f>
        <v>643</v>
      </c>
      <c s="121" r="G231">
        <f>+((K231*1.06)*1.06)</f>
        <v>74.1576</v>
      </c>
      <c s="121" r="H231">
        <f>((((AB231)+(0.3*K231))+AG231)+(AF231*0.6))+AI231</f>
        <v>63.5</v>
      </c>
      <c s="98" r="I231">
        <f>((((0.05*O231)+(0.053*V231))+(0.04*AC231))+(0.042*S231))/100.0</f>
        <v>0</v>
      </c>
      <c s="31" r="J231">
        <v>5400</v>
      </c>
      <c s="46" r="K231">
        <f>L231+M231</f>
        <v>66</v>
      </c>
      <c s="31" r="L231">
        <f>42.0</f>
        <v>42</v>
      </c>
      <c s="79" r="M231">
        <v>24</v>
      </c>
      <c t="s" s="79" r="N231">
        <v>125</v>
      </c>
      <c s="46" r="O231">
        <f>P231+Q231</f>
        <v>0</v>
      </c>
      <c s="31" r="P231">
        <v>0</v>
      </c>
      <c s="79" r="Q231"/>
      <c s="79" r="R231">
        <v>19</v>
      </c>
      <c s="46" r="S231">
        <f>T231+U231</f>
        <v>0</v>
      </c>
      <c s="31" r="T231"/>
      <c s="79" r="U231"/>
      <c s="79" r="V231"/>
      <c s="79" r="W231"/>
      <c s="79" r="X231">
        <f>141.0+27.0</f>
        <v>168</v>
      </c>
      <c s="79" r="Y231"/>
      <c s="79" r="Z231"/>
      <c s="79" r="AA231">
        <v>19</v>
      </c>
      <c s="79" r="AB231"/>
      <c s="79" r="AC231"/>
      <c s="79" r="AD231"/>
      <c s="79" r="AE231"/>
      <c s="79" r="AF231"/>
      <c s="79" r="AG231"/>
      <c s="47" r="AH231">
        <f>((AC231*0.6637)+AE231)+AG231</f>
        <v>0</v>
      </c>
      <c s="94" r="AI231">
        <f>(AA231*2.3)+(AD231)</f>
        <v>43.7</v>
      </c>
      <c s="109" r="AJ231"/>
      <c s="44" r="AK231"/>
      <c s="30" r="AL231"/>
      <c s="30" r="AM231"/>
      <c s="30" r="AN231"/>
      <c s="30" r="AO231"/>
    </row>
    <row r="232">
      <c t="str" s="106" r="A232">
        <f>(((B232&amp;" ")&amp;C232)&amp;" ")&amp;E232</f>
        <v>Illidari Runeshield BT Trash 771.062</v>
      </c>
      <c t="s" s="12" r="B232">
        <v>463</v>
      </c>
      <c t="s" s="12" r="C232">
        <v>464</v>
      </c>
      <c t="s" s="13" r="D232">
        <v>433</v>
      </c>
      <c s="114" r="E232">
        <f>(F232+G232)+H232</f>
        <v>771.062</v>
      </c>
      <c s="121" r="F232">
        <f>((((((J232*0.1)+(O232*1.25))+R232)+S232)+V232)+(X232*0.5))+(AF232*0.2)</f>
        <v>673</v>
      </c>
      <c s="121" r="G232">
        <f>+((K232*1.06)*1.06)</f>
        <v>50.562</v>
      </c>
      <c s="121" r="H232">
        <f>((((AB232)+(0.3*K232))+AG232)+(AF232*0.6))+AI232</f>
        <v>47.5</v>
      </c>
      <c s="98" r="I232">
        <f>((((0.05*O232)+(0.053*V232))+(0.04*AC232))+(0.042*S232))/100.0</f>
        <v>0</v>
      </c>
      <c s="31" r="J232">
        <v>5930</v>
      </c>
      <c s="46" r="K232">
        <f>L232+M232</f>
        <v>45</v>
      </c>
      <c s="31" r="L232">
        <v>45</v>
      </c>
      <c s="79" r="M232"/>
      <c s="79" r="N232"/>
      <c s="46" r="O232">
        <f>P232+Q232</f>
        <v>0</v>
      </c>
      <c s="31" r="P232">
        <v>0</v>
      </c>
      <c s="79" r="Q232"/>
      <c s="79" r="R232"/>
      <c s="46" r="S232">
        <f>T232+U232</f>
        <v>0</v>
      </c>
      <c s="31" r="T232"/>
      <c s="79" r="U232"/>
      <c s="79" r="V232"/>
      <c s="79" r="W232"/>
      <c s="79" r="X232">
        <v>160</v>
      </c>
      <c s="79" r="Y232">
        <v>27</v>
      </c>
      <c s="79" r="Z232"/>
      <c s="79" r="AA232"/>
      <c s="79" r="AB232">
        <v>34</v>
      </c>
      <c s="79" r="AC232"/>
      <c s="79" r="AD232"/>
      <c s="79" r="AE232"/>
      <c s="79" r="AF232"/>
      <c s="79" r="AG232"/>
      <c s="47" r="AH232">
        <f>((AC232*0.6637)+AE232)+AG232</f>
        <v>0</v>
      </c>
      <c s="94" r="AI232">
        <f>(AA232*2.3)+(AD232)</f>
        <v>0</v>
      </c>
      <c s="109" r="AJ232"/>
      <c s="44" r="AK232"/>
      <c s="30" r="AL232"/>
      <c s="30" r="AM232"/>
      <c s="30" r="AN232"/>
      <c s="30" r="AO232"/>
    </row>
    <row r="233">
      <c t="str" s="106" r="A233">
        <f>(((B233&amp;" ")&amp;C233)&amp;" ")&amp;E233</f>
        <v>Aldori Legacy Defender Gruul 751.3367999999999</v>
      </c>
      <c t="s" s="12" r="B233">
        <v>465</v>
      </c>
      <c t="s" s="12" r="C233">
        <v>322</v>
      </c>
      <c t="s" s="13" r="D233">
        <v>433</v>
      </c>
      <c s="114" r="E233">
        <f>(F233+G233)+H233</f>
        <v>751.3368</v>
      </c>
      <c s="121" r="F233">
        <f>((((((J233*0.1)+(O233*1.25))+R233)+S233)+V233)+(X233*0.5))+(AF233*0.2)</f>
        <v>615.15</v>
      </c>
      <c s="121" r="G233">
        <f>+((K233*1.06)*1.06)</f>
        <v>70.7868</v>
      </c>
      <c s="121" r="H233">
        <f>((((AB233)+(0.3*K233))+AG233)+(AF233*0.6))+AI233</f>
        <v>65.4</v>
      </c>
      <c s="98" r="I233">
        <f>((((0.05*O233)+(0.053*V233))+(0.04*AC233))+(0.042*S233))/100.0</f>
        <v>0.0075</v>
      </c>
      <c s="31" r="J233">
        <v>5279</v>
      </c>
      <c s="46" r="K233">
        <f>L233+M233</f>
        <v>63</v>
      </c>
      <c s="31" r="L233">
        <f>39.0</f>
        <v>39</v>
      </c>
      <c s="79" r="M233">
        <v>24</v>
      </c>
      <c t="s" s="79" r="N233">
        <v>113</v>
      </c>
      <c s="46" r="O233">
        <f>P233+Q233</f>
        <v>15</v>
      </c>
      <c s="31" r="P233">
        <f>13.0</f>
        <v>13</v>
      </c>
      <c s="79" r="Q233">
        <v>2</v>
      </c>
      <c s="79" r="R233"/>
      <c s="46" r="S233">
        <f>T233+U233</f>
        <v>0</v>
      </c>
      <c s="31" r="T233"/>
      <c s="79" r="U233"/>
      <c s="79" r="V233"/>
      <c s="79" r="W233"/>
      <c s="79" r="X233">
        <v>137</v>
      </c>
      <c s="79" r="Y233"/>
      <c s="79" r="Z233"/>
      <c s="79" r="AA233">
        <v>15</v>
      </c>
      <c s="79" r="AB233"/>
      <c s="79" r="AC233"/>
      <c s="79" r="AD233"/>
      <c s="79" r="AE233"/>
      <c s="79" r="AF233"/>
      <c s="79" r="AG233">
        <v>12</v>
      </c>
      <c s="47" r="AH233">
        <f>((AC233*0.6637)+AE233)+AG233</f>
        <v>12</v>
      </c>
      <c s="94" r="AI233">
        <f>(AA233*2.3)+(AD233)</f>
        <v>34.5</v>
      </c>
      <c s="109" r="AJ233"/>
      <c s="44" r="AK233"/>
      <c s="30" r="AL233"/>
      <c s="30" r="AM233"/>
      <c s="30" r="AN233"/>
      <c s="30" r="AO233"/>
    </row>
    <row r="234">
      <c t="str" s="106" r="A234">
        <f>(((B234&amp;" ")&amp;C234)&amp;" ")&amp;E234</f>
        <v>Merciless Gladiator Shield Wall PVP 717.0328000000001</v>
      </c>
      <c t="s" s="12" r="B234">
        <v>466</v>
      </c>
      <c t="s" s="12" r="C234">
        <v>267</v>
      </c>
      <c t="s" s="13" r="D234">
        <v>433</v>
      </c>
      <c s="114" r="E234">
        <f>(F234+G234)+H234</f>
        <v>717.0328</v>
      </c>
      <c s="121" r="F234">
        <f>((((((J234*0.1)+(O234*1.25))+R234)+S234)+V234)+(X234*0.5))+(AF234*0.2)</f>
        <v>648.7</v>
      </c>
      <c s="121" r="G234">
        <f>+((K234*1.06)*1.06)</f>
        <v>53.9328</v>
      </c>
      <c s="121" r="H234">
        <f>((((AB234)+(0.3*K234))+AG234)+(AF234*0.6))+AI234</f>
        <v>14.4</v>
      </c>
      <c s="98" r="I234">
        <f>((((0.05*O234)+(0.053*V234))+(0.04*AC234))+(0.042*S234))/100.0</f>
        <v>0</v>
      </c>
      <c s="31" r="J234">
        <v>5727</v>
      </c>
      <c s="46" r="K234">
        <f>L234+M234</f>
        <v>48</v>
      </c>
      <c s="31" r="L234">
        <v>48</v>
      </c>
      <c s="79" r="M234"/>
      <c s="79" r="N234"/>
      <c s="46" r="O234">
        <f>P234+Q234</f>
        <v>0</v>
      </c>
      <c s="31" r="P234">
        <v>0</v>
      </c>
      <c s="79" r="Q234"/>
      <c s="79" r="R234"/>
      <c s="46" r="S234">
        <f>T234+U234</f>
        <v>0</v>
      </c>
      <c s="31" r="T234"/>
      <c s="79" r="U234"/>
      <c s="79" r="V234"/>
      <c s="79" r="W234">
        <v>31</v>
      </c>
      <c s="79" r="X234">
        <v>152</v>
      </c>
      <c s="79" r="Y234"/>
      <c s="79" r="Z234"/>
      <c s="79" r="AA234"/>
      <c s="79" r="AB234"/>
      <c s="79" r="AC234"/>
      <c s="79" r="AD234"/>
      <c s="79" r="AE234"/>
      <c s="79" r="AF234"/>
      <c s="79" r="AG234"/>
      <c s="47" r="AH234">
        <f>((AC234*0.6637)+AE234)+AG234</f>
        <v>0</v>
      </c>
      <c s="94" r="AI234">
        <f>(AA234*2.3)+(AD234)</f>
        <v>0</v>
      </c>
      <c s="109" r="AJ234"/>
      <c s="44" r="AK234"/>
      <c s="30" r="AL234"/>
      <c s="30" r="AM234"/>
      <c s="30" r="AN234"/>
      <c s="30" r="AO234"/>
    </row>
    <row r="235">
      <c t="str" s="106" r="A235">
        <f>(((B235&amp;" ")&amp;C235)&amp;" ")&amp;E235</f>
        <v>Sunward Crest SSO Exalted 649.3316</v>
      </c>
      <c t="s" s="12" r="B235">
        <v>467</v>
      </c>
      <c t="s" s="12" r="C235">
        <v>366</v>
      </c>
      <c t="s" s="13" r="D235">
        <v>433</v>
      </c>
      <c s="114" r="E235">
        <f>(F235+G235)+H235</f>
        <v>649.3316</v>
      </c>
      <c s="121" r="F235">
        <f>((((((J235*0.1)+(O235*1.25))+R235)+S235)+V235)+(X235*0.5))+(AF235*0.2)</f>
        <v>566.2</v>
      </c>
      <c s="121" r="G235">
        <f>+((K235*1.06)*1.06)</f>
        <v>34.8316</v>
      </c>
      <c s="121" r="H235">
        <f>((((AB235)+(0.3*K235))+AG235)+(AF235*0.6))+AI235</f>
        <v>48.3</v>
      </c>
      <c s="98" r="I235">
        <f>((((0.05*O235)+(0.053*V235))+(0.04*AC235))+(0.042*S235))/100.0</f>
        <v>0</v>
      </c>
      <c s="31" r="J235">
        <v>4872</v>
      </c>
      <c s="46" r="K235">
        <f>L235+M235</f>
        <v>31</v>
      </c>
      <c s="31" r="L235">
        <v>31</v>
      </c>
      <c s="79" r="M235"/>
      <c s="79" r="N235"/>
      <c s="46" r="O235">
        <f>P235+Q235</f>
        <v>0</v>
      </c>
      <c s="31" r="P235">
        <v>0</v>
      </c>
      <c s="79" r="Q235"/>
      <c s="79" r="R235">
        <v>18</v>
      </c>
      <c s="46" r="S235">
        <f>T235+U235</f>
        <v>0</v>
      </c>
      <c s="31" r="T235"/>
      <c s="79" r="U235"/>
      <c s="79" r="V235"/>
      <c s="79" r="W235"/>
      <c s="79" r="X235">
        <v>122</v>
      </c>
      <c s="79" r="Y235"/>
      <c s="79" r="Z235"/>
      <c s="79" r="AA235"/>
      <c s="79" r="AB235">
        <v>26</v>
      </c>
      <c s="79" r="AC235"/>
      <c s="79" r="AD235"/>
      <c s="79" r="AE235"/>
      <c s="79" r="AF235"/>
      <c s="79" r="AG235">
        <v>13</v>
      </c>
      <c s="47" r="AH235">
        <f>((AC235*0.6637)+AE235)+AG235</f>
        <v>13</v>
      </c>
      <c s="94" r="AI235">
        <f>(AA235*2.3)+(AD235)</f>
        <v>0</v>
      </c>
      <c s="109" r="AJ235"/>
      <c s="44" r="AK235"/>
      <c s="30" r="AL235"/>
      <c s="30" r="AM235"/>
      <c s="30" r="AN235"/>
      <c s="30" r="AO235"/>
    </row>
    <row r="236">
      <c t="str" s="106" r="A236">
        <f>(((B236&amp;" ")&amp;C236)&amp;" ")&amp;E236</f>
        <v>Dawnforge Defender SSO Exalted 639.8316</v>
      </c>
      <c t="s" s="12" r="B236">
        <v>468</v>
      </c>
      <c t="s" s="12" r="C236">
        <v>366</v>
      </c>
      <c t="s" s="13" r="D236">
        <v>433</v>
      </c>
      <c s="114" r="E236">
        <f>(F236+G236)+H236</f>
        <v>639.8316</v>
      </c>
      <c s="121" r="F236">
        <f>((((((J236*0.1)+(O236*1.25))+R236)+S236)+V236)+(X236*0.5))+(AF236*0.2)</f>
        <v>582.7</v>
      </c>
      <c s="121" r="G236">
        <f>+((K236*1.06)*1.06)</f>
        <v>34.8316</v>
      </c>
      <c s="121" r="H236">
        <f>((((AB236)+(0.3*K236))+AG236)+(AF236*0.6))+AI236</f>
        <v>22.3</v>
      </c>
      <c s="98" r="I236">
        <f>((((0.05*O236)+(0.053*V236))+(0.04*AC236))+(0.042*S236))/100.0</f>
        <v>0.00954</v>
      </c>
      <c s="31" r="J236">
        <v>4872</v>
      </c>
      <c s="46" r="K236">
        <f>L236+M236</f>
        <v>31</v>
      </c>
      <c s="31" r="L236">
        <v>31</v>
      </c>
      <c s="79" r="M236"/>
      <c s="79" r="N236"/>
      <c s="46" r="O236">
        <f>P236+Q236</f>
        <v>0</v>
      </c>
      <c s="31" r="P236">
        <v>0</v>
      </c>
      <c s="79" r="Q236"/>
      <c s="79" r="R236"/>
      <c s="46" r="S236">
        <f>T236+U236</f>
        <v>0</v>
      </c>
      <c s="31" r="T236"/>
      <c s="79" r="U236"/>
      <c s="79" r="V236">
        <v>18</v>
      </c>
      <c s="79" r="W236"/>
      <c s="79" r="X236">
        <f>122.0+33.0</f>
        <v>155</v>
      </c>
      <c s="79" r="Y236"/>
      <c s="79" r="Z236"/>
      <c s="79" r="AA236"/>
      <c s="79" r="AB236"/>
      <c s="79" r="AC236"/>
      <c s="79" r="AD236"/>
      <c s="79" r="AE236"/>
      <c s="79" r="AF236"/>
      <c s="79" r="AG236">
        <v>13</v>
      </c>
      <c s="47" r="AH236">
        <f>((AC236*0.6637)+AE236)+AG236</f>
        <v>13</v>
      </c>
      <c s="94" r="AI236">
        <f>(AA236*2.3)+(AD236)</f>
        <v>0</v>
      </c>
      <c s="109" r="AJ236"/>
      <c s="44" r="AK236"/>
      <c s="30" r="AL236"/>
      <c s="30" r="AM236"/>
      <c s="30" r="AN236"/>
      <c s="30" r="AO236"/>
    </row>
    <row r="237">
      <c t="str" s="106" r="A237">
        <f>(((B237&amp;" ")&amp;C237)&amp;" ")&amp;E237</f>
        <v>Valorous Redemption Shoulderguards Naxx25  Loatheb 632.6848</v>
      </c>
      <c t="s" s="43" r="B237">
        <v>469</v>
      </c>
      <c t="s" s="43" r="C237">
        <v>470</v>
      </c>
      <c t="s" s="43" r="D237">
        <v>471</v>
      </c>
      <c s="114" r="E237">
        <f>(F237+G237)+H237</f>
        <v>632.6848</v>
      </c>
      <c s="121" r="F237">
        <f>((((((J237*0.1)+(O237*1.25))+R237)+S237)+V237)+(X237*0.5))+(AF237*0.2)</f>
        <v>308.3</v>
      </c>
      <c s="121" r="G237">
        <f>+((K237*1.06)*1.06)</f>
        <v>132.5848</v>
      </c>
      <c s="121" r="H237">
        <f>((((AB237)+(0.3*K237))+AG237)+(AF237*0.6))+AI237</f>
        <v>191.8</v>
      </c>
      <c s="98" r="I237">
        <f>((((0.05*O237)+(0.053*V237))+(0.04*AC237))+(0.042*S237))/100.0</f>
        <v>0.05999</v>
      </c>
      <c s="53" r="J237">
        <v>1723</v>
      </c>
      <c s="39" r="K237">
        <f>L237+M237</f>
        <v>118</v>
      </c>
      <c s="53" r="L237">
        <v>100</v>
      </c>
      <c s="68" r="M237">
        <f>12.0+6.0</f>
        <v>18</v>
      </c>
      <c t="s" s="68" r="N237">
        <v>147</v>
      </c>
      <c s="39" r="O237">
        <f>P237+Q237</f>
        <v>48</v>
      </c>
      <c s="53" r="P237">
        <v>40</v>
      </c>
      <c s="68" r="Q237">
        <v>8</v>
      </c>
      <c s="68" r="R237"/>
      <c s="39" r="S237">
        <f>T237+U237</f>
        <v>39</v>
      </c>
      <c s="53" r="T237">
        <v>39</v>
      </c>
      <c s="68" r="U237"/>
      <c s="68" r="V237">
        <v>37</v>
      </c>
      <c s="68" r="W237"/>
      <c s="68" r="X237"/>
      <c s="68" r="Y237"/>
      <c s="68" r="Z237"/>
      <c s="68" r="AA237">
        <v>68</v>
      </c>
      <c s="68" r="AB237"/>
      <c s="68" r="AC237"/>
      <c s="68" r="AD237"/>
      <c s="68" r="AE237"/>
      <c s="68" r="AF237"/>
      <c s="68" r="AG237"/>
      <c s="47" r="AH237">
        <f>((AC237*0.6637)+AE237)+AG237</f>
        <v>0</v>
      </c>
      <c s="94" r="AI237">
        <f>(AA237*2.3)+(AD237)</f>
        <v>156.4</v>
      </c>
      <c s="109" r="AJ237"/>
      <c s="44" r="AK237"/>
      <c s="30" r="AL237"/>
      <c s="30" r="AM237"/>
      <c s="30" r="AN237"/>
      <c s="30" r="AO237"/>
    </row>
    <row r="238">
      <c t="str" s="106" r="A238">
        <f>(((B238&amp;" ")&amp;C238)&amp;" ")&amp;E238</f>
        <v>Burdened Shoulderplates   625.2432</v>
      </c>
      <c t="s" s="43" r="B238">
        <v>472</v>
      </c>
      <c t="s" s="43" r="C238">
        <v>142</v>
      </c>
      <c t="s" s="43" r="D238">
        <v>471</v>
      </c>
      <c s="114" r="E238">
        <f>(F238+G238)+H238</f>
        <v>625.2432</v>
      </c>
      <c s="121" r="F238">
        <f>((((((J238*0.1)+(O238*1.25))+R238)+S238)+V238)+(X238*0.5))+(AF238*0.2)</f>
        <v>293.3</v>
      </c>
      <c s="121" r="G238">
        <f>+((K238*1.06)*1.06)</f>
        <v>125.8432</v>
      </c>
      <c s="121" r="H238">
        <f>((((AB238)+(0.3*K238))+AG238)+(AF238*0.6))+AI238</f>
        <v>206.1</v>
      </c>
      <c s="98" r="I238">
        <f>((((0.05*O238)+(0.053*V238))+(0.04*AC238))+(0.042*S238))/100.0</f>
        <v>0.03308</v>
      </c>
      <c s="53" r="J238">
        <v>1723</v>
      </c>
      <c s="39" r="K238">
        <f>L238+M238</f>
        <v>112</v>
      </c>
      <c s="53" r="L238">
        <v>112</v>
      </c>
      <c s="68" r="M238"/>
      <c s="68" r="N238"/>
      <c s="39" r="O238">
        <f>P238+Q238</f>
        <v>28</v>
      </c>
      <c s="53" r="P238">
        <v>28</v>
      </c>
      <c s="68" r="Q238"/>
      <c s="68" r="R238">
        <v>50</v>
      </c>
      <c s="39" r="S238">
        <f>T238+U238</f>
        <v>0</v>
      </c>
      <c s="53" r="T238"/>
      <c s="68" r="U238"/>
      <c s="68" r="V238">
        <v>36</v>
      </c>
      <c s="68" r="W238"/>
      <c s="68" r="X238"/>
      <c s="68" r="Y238"/>
      <c s="68" r="Z238"/>
      <c s="68" r="AA238">
        <v>75</v>
      </c>
      <c s="68" r="AB238"/>
      <c s="68" r="AC238"/>
      <c s="68" r="AD238"/>
      <c s="68" r="AE238"/>
      <c s="68" r="AF238"/>
      <c s="68" r="AG238"/>
      <c s="47" r="AH238">
        <f>((AC238*0.6637)+AE238)+AG238</f>
        <v>0</v>
      </c>
      <c s="94" r="AI238">
        <f>(AA238*2.3)+(AD238)</f>
        <v>172.5</v>
      </c>
      <c s="109" r="AJ238"/>
      <c s="44" r="AK238"/>
      <c s="30" r="AL238"/>
      <c s="30" r="AM238"/>
      <c s="30" r="AN238"/>
      <c s="30" r="AO238"/>
    </row>
    <row r="239">
      <c t="str" s="106" r="A239">
        <f>(((B239&amp;" ")&amp;C239)&amp;" ")&amp;E239</f>
        <v>Pauldrons of Unnatural Death Naxx25 Anub'Rekhan 606.5932</v>
      </c>
      <c t="s" s="43" r="B239">
        <v>473</v>
      </c>
      <c t="s" s="43" r="C239">
        <v>146</v>
      </c>
      <c t="s" s="43" r="D239">
        <v>471</v>
      </c>
      <c s="114" r="E239">
        <f>(F239+G239)+H239</f>
        <v>606.5932</v>
      </c>
      <c s="121" r="F239">
        <f>((((((J239*0.1)+(O239*1.25))+R239)+S239)+V239)+(X239*0.5))+(AF239*0.2)</f>
        <v>298.05</v>
      </c>
      <c s="121" r="G239">
        <f>+((K239*1.06)*1.06)</f>
        <v>125.8432</v>
      </c>
      <c s="121" r="H239">
        <f>((((AB239)+(0.3*K239))+AG239)+(AF239*0.6))+AI239</f>
        <v>182.7</v>
      </c>
      <c s="98" r="I239">
        <f>((((0.05*O239)+(0.053*V239))+(0.04*AC239))+(0.042*S239))/100.0</f>
        <v>0.04912</v>
      </c>
      <c s="53" r="J239">
        <v>1723</v>
      </c>
      <c s="39" r="K239">
        <f>L239+M239</f>
        <v>112</v>
      </c>
      <c s="53" r="L239">
        <v>100</v>
      </c>
      <c s="68" r="M239">
        <v>12</v>
      </c>
      <c t="s" s="68" r="N239">
        <v>131</v>
      </c>
      <c s="39" r="O239">
        <f>P239+Q239</f>
        <v>47</v>
      </c>
      <c s="53" r="P239">
        <v>43</v>
      </c>
      <c s="68" r="Q239">
        <v>4</v>
      </c>
      <c s="68" r="R239"/>
      <c s="39" r="S239">
        <f>T239+U239</f>
        <v>61</v>
      </c>
      <c s="53" r="T239">
        <v>53</v>
      </c>
      <c s="68" r="U239">
        <v>8</v>
      </c>
      <c s="68" r="V239"/>
      <c s="68" r="W239"/>
      <c s="68" r="X239"/>
      <c s="68" r="Y239"/>
      <c s="68" r="Z239"/>
      <c s="68" r="AA239">
        <v>57</v>
      </c>
      <c s="68" r="AB239"/>
      <c s="68" r="AC239"/>
      <c s="68" r="AD239"/>
      <c s="68" r="AE239"/>
      <c s="68" r="AF239">
        <v>30</v>
      </c>
      <c s="68" r="AG239"/>
      <c s="47" r="AH239">
        <f>((AC239*0.6637)+AE239)+AG239</f>
        <v>0</v>
      </c>
      <c s="94" r="AI239">
        <f>(AA239*2.3)+(AD239)</f>
        <v>131.1</v>
      </c>
      <c s="129" r="AJ239"/>
      <c s="44" r="AK239"/>
      <c s="30" r="AL239"/>
      <c s="30" r="AM239"/>
      <c s="30" r="AN239"/>
      <c s="30" r="AO239"/>
    </row>
    <row r="240">
      <c t="str" s="106" r="A240">
        <f>(((B240&amp;" ")&amp;C240)&amp;" ")&amp;E240</f>
        <v>Heroe's Redemption Shoulderguards Naxx20 Loatheb 584.078</v>
      </c>
      <c t="s" s="43" r="B240">
        <v>474</v>
      </c>
      <c t="s" s="43" r="C240">
        <v>475</v>
      </c>
      <c t="s" s="43" r="D240">
        <v>471</v>
      </c>
      <c s="114" r="E240">
        <f>(F240+G240)+H240</f>
        <v>584.078</v>
      </c>
      <c s="121" r="F240">
        <f>((((((J240*0.1)+(O240*1.25))+R240)+S240)+V240)+(X240*0.5))+(AF240*0.2)</f>
        <v>296.6</v>
      </c>
      <c s="121" r="G240">
        <f>+((K240*1.06)*1.06)</f>
        <v>117.978</v>
      </c>
      <c s="121" r="H240">
        <f>((((AB240)+(0.3*K240))+AG240)+(AF240*0.6))+AI240</f>
        <v>169.5</v>
      </c>
      <c s="98" r="I240">
        <f>((((0.05*O240)+(0.053*V240))+(0.04*AC240))+(0.042*S240))/100.0</f>
        <v>0.05655</v>
      </c>
      <c s="53" r="J240">
        <v>1681</v>
      </c>
      <c s="39" r="K240">
        <f>L240+M240</f>
        <v>105</v>
      </c>
      <c s="53" r="L240">
        <v>87</v>
      </c>
      <c s="68" r="M240">
        <f>12.0+6.0</f>
        <v>18</v>
      </c>
      <c t="s" s="68" r="N240">
        <v>147</v>
      </c>
      <c s="39" r="O240">
        <f>P240+Q240</f>
        <v>42</v>
      </c>
      <c s="53" r="P240">
        <v>34</v>
      </c>
      <c s="68" r="Q240">
        <v>8</v>
      </c>
      <c s="68" r="R240"/>
      <c s="39" r="S240">
        <f>T240+U240</f>
        <v>43</v>
      </c>
      <c s="53" r="T240">
        <v>43</v>
      </c>
      <c s="68" r="U240"/>
      <c s="68" r="V240">
        <v>33</v>
      </c>
      <c s="68" r="W240"/>
      <c s="68" r="X240"/>
      <c s="68" r="Y240"/>
      <c s="68" r="Z240"/>
      <c s="68" r="AA240">
        <v>60</v>
      </c>
      <c s="68" r="AB240"/>
      <c s="68" r="AC240"/>
      <c s="68" r="AD240"/>
      <c s="68" r="AE240"/>
      <c s="68" r="AF240"/>
      <c s="68" r="AG240"/>
      <c s="47" r="AH240">
        <f>((AC240*0.6637)+AE240)+AG240</f>
        <v>0</v>
      </c>
      <c s="94" r="AI240">
        <f>(AA240*2.3)+(AD240)</f>
        <v>138</v>
      </c>
      <c s="109" r="AJ240"/>
      <c s="44" r="AK240"/>
      <c s="30" r="AL240"/>
      <c s="30" r="AM240"/>
      <c s="30" r="AN240"/>
      <c s="30" r="AO240"/>
    </row>
    <row r="241">
      <c t="str" s="106" r="A241">
        <f>(((B241&amp;" ")&amp;C241)&amp;" ")&amp;E241</f>
        <v>Abomination Shoulderblades Naxx10 Patchwerk 559.4364</v>
      </c>
      <c t="s" s="43" r="B241">
        <v>476</v>
      </c>
      <c t="s" s="43" r="C241">
        <v>477</v>
      </c>
      <c t="s" s="43" r="D241">
        <v>471</v>
      </c>
      <c s="114" r="E241">
        <f>(F241+G241)+H241</f>
        <v>559.4364</v>
      </c>
      <c s="121" r="F241">
        <f>((((((J241*0.1)+(O241*1.25))+R241)+S241)+V241)+(X241*0.5))+(AF241*0.2)</f>
        <v>268.6</v>
      </c>
      <c s="121" r="G241">
        <f>+((K241*1.06)*1.06)</f>
        <v>111.2364</v>
      </c>
      <c s="121" r="H241">
        <f>((((AB241)+(0.3*K241))+AG241)+(AF241*0.6))+AI241</f>
        <v>179.6</v>
      </c>
      <c s="98" r="I241">
        <f>((((0.05*O241)+(0.053*V241))+(0.04*AC241))+(0.042*S241))/100.0</f>
        <v>0.04556</v>
      </c>
      <c s="53" r="J241">
        <v>1681</v>
      </c>
      <c s="39" r="K241">
        <f>L241+M241</f>
        <v>99</v>
      </c>
      <c s="53" r="L241">
        <v>87</v>
      </c>
      <c s="68" r="M241">
        <v>12</v>
      </c>
      <c t="s" s="68" r="N241">
        <v>131</v>
      </c>
      <c s="39" r="O241">
        <f>P241+Q241</f>
        <v>42</v>
      </c>
      <c s="53" r="P241">
        <v>38</v>
      </c>
      <c s="68" r="Q241">
        <v>4</v>
      </c>
      <c s="68" r="R241"/>
      <c s="39" r="S241">
        <f>T241+U241</f>
        <v>8</v>
      </c>
      <c s="53" r="T241"/>
      <c s="68" r="U241">
        <v>8</v>
      </c>
      <c s="68" r="V241">
        <v>40</v>
      </c>
      <c s="68" r="W241"/>
      <c s="68" r="X241"/>
      <c s="68" r="Y241"/>
      <c s="68" r="Z241"/>
      <c s="68" r="AA241">
        <v>53</v>
      </c>
      <c s="68" r="AB241"/>
      <c s="68" r="AC241"/>
      <c s="68" r="AD241"/>
      <c s="68" r="AE241"/>
      <c s="68" r="AF241"/>
      <c s="68" r="AG241">
        <v>28</v>
      </c>
      <c s="47" r="AH241">
        <f>((AC241*0.6637)+AE241)+AG241</f>
        <v>28</v>
      </c>
      <c s="94" r="AI241">
        <f>(AA241*2.3)+(AD241)</f>
        <v>121.9</v>
      </c>
      <c s="129" r="AJ241"/>
      <c s="44" r="AK241"/>
      <c s="30" r="AL241"/>
      <c s="30" r="AM241"/>
      <c s="30" r="AN241"/>
      <c s="30" r="AO241"/>
    </row>
    <row r="242">
      <c t="str" s="106" r="A242">
        <f>(((B242&amp;" ")&amp;C242)&amp;" ")&amp;E242</f>
        <v>Wapach's Spaulders of Solidarity World Drop BoE 538.46</v>
      </c>
      <c t="s" s="43" r="B242">
        <v>478</v>
      </c>
      <c t="s" s="43" r="C242">
        <v>121</v>
      </c>
      <c t="s" s="43" r="D242">
        <v>471</v>
      </c>
      <c s="114" r="E242">
        <f>(F242+G242)+H242</f>
        <v>538.46</v>
      </c>
      <c s="121" r="F242">
        <f>((((((J242*0.1)+(O242*1.25))+R242)+S242)+V242)+(X242*0.5))+(AF242*0.2)</f>
        <v>249</v>
      </c>
      <c s="121" r="G242">
        <f>+((K242*1.06)*1.06)</f>
        <v>112.36</v>
      </c>
      <c s="121" r="H242">
        <f>((((AB242)+(0.3*K242))+AG242)+(AF242*0.6))+AI242</f>
        <v>177.1</v>
      </c>
      <c s="98" r="I242">
        <f>((((0.05*O242)+(0.053*V242))+(0.04*AC242))+(0.042*S242))/100.0</f>
        <v>0.029</v>
      </c>
      <c s="53" r="J242">
        <v>1681</v>
      </c>
      <c s="39" r="K242">
        <f>L242+M242</f>
        <v>100</v>
      </c>
      <c s="53" r="L242">
        <v>100</v>
      </c>
      <c s="68" r="M242"/>
      <c s="68" r="N242"/>
      <c s="39" r="O242">
        <f>P242+Q242</f>
        <v>58</v>
      </c>
      <c s="53" r="P242">
        <v>58</v>
      </c>
      <c s="68" r="Q242"/>
      <c s="68" r="R242"/>
      <c s="39" r="S242">
        <f>T242+U242</f>
        <v>0</v>
      </c>
      <c s="53" r="T242"/>
      <c s="68" r="U242"/>
      <c s="68" r="V242"/>
      <c s="68" r="W242"/>
      <c s="68" r="X242"/>
      <c s="68" r="Y242"/>
      <c s="68" r="Z242"/>
      <c s="68" r="AA242">
        <v>53</v>
      </c>
      <c s="68" r="AB242"/>
      <c s="68" r="AC242"/>
      <c s="68" r="AD242"/>
      <c s="68" r="AE242"/>
      <c s="68" r="AF242">
        <v>42</v>
      </c>
      <c s="68" r="AG242"/>
      <c s="47" r="AH242">
        <f>((AC242*0.6637)+AE242)+AG242</f>
        <v>0</v>
      </c>
      <c s="94" r="AI242">
        <f>(AA242*2.3)+(AD242)</f>
        <v>121.9</v>
      </c>
      <c s="109" r="AJ242"/>
      <c s="44" r="AK242"/>
      <c s="30" r="AL242"/>
      <c s="30" r="AM242"/>
      <c s="30" r="AN242"/>
      <c s="30" r="AO242"/>
    </row>
    <row r="243">
      <c t="str" s="106" r="A243">
        <f>(((B243&amp;" ")&amp;C243)&amp;" ")&amp;E243</f>
        <v>Pauldrons of the Colossus Heroic Gundark 524.1279999999999</v>
      </c>
      <c t="s" s="125" r="B243">
        <v>479</v>
      </c>
      <c t="s" s="43" r="C243">
        <v>480</v>
      </c>
      <c t="s" s="43" r="D243">
        <v>471</v>
      </c>
      <c s="114" r="E243">
        <f>(F243+G243)+H243</f>
        <v>524.128</v>
      </c>
      <c s="121" r="F243">
        <f>((((((J243*0.1)+(O243*1.25))+R243)+S243)+V243)+(X243*0.5))+(AF243*0.2)</f>
        <v>241.25</v>
      </c>
      <c s="121" r="G243">
        <f>+((K243*1.06)*1.06)</f>
        <v>117.978</v>
      </c>
      <c s="121" r="H243">
        <f>((((AB243)+(0.3*K243))+AG243)+(AF243*0.6))+AI243</f>
        <v>164.9</v>
      </c>
      <c s="98" r="I243">
        <f>((((0.05*O243)+(0.053*V243))+(0.04*AC243))+(0.042*S243))/100.0</f>
        <v>0.0195</v>
      </c>
      <c s="53" r="J243">
        <v>1625</v>
      </c>
      <c s="39" r="K243">
        <f>L243+M243</f>
        <v>105</v>
      </c>
      <c s="53" r="L243">
        <v>87</v>
      </c>
      <c s="68" r="M243">
        <f>12.0+6.0</f>
        <v>18</v>
      </c>
      <c t="s" s="68" r="N243">
        <v>147</v>
      </c>
      <c s="39" r="O243">
        <f>P243+Q243</f>
        <v>39</v>
      </c>
      <c s="53" r="P243">
        <v>31</v>
      </c>
      <c s="68" r="Q243">
        <v>8</v>
      </c>
      <c s="68" r="R243">
        <v>30</v>
      </c>
      <c s="39" r="S243">
        <f>T243+U243</f>
        <v>0</v>
      </c>
      <c s="53" r="T243"/>
      <c s="68" r="U243"/>
      <c s="68" r="V243"/>
      <c s="68" r="W243"/>
      <c s="68" r="X243"/>
      <c s="68" r="Y243"/>
      <c s="68" r="Z243"/>
      <c s="68" r="AA243">
        <v>58</v>
      </c>
      <c s="68" r="AB243"/>
      <c s="68" r="AC243"/>
      <c s="68" r="AD243"/>
      <c s="68" r="AE243"/>
      <c s="68" r="AF243"/>
      <c s="68" r="AG243"/>
      <c s="47" r="AH243">
        <f>((AC243*0.6637)+AE243)+AG243</f>
        <v>0</v>
      </c>
      <c s="94" r="AI243">
        <f>(AA243*2.3)+(AD243)</f>
        <v>133.4</v>
      </c>
      <c s="109" r="AJ243"/>
      <c s="44" r="AK243"/>
      <c s="30" r="AL243"/>
      <c s="30" r="AM243"/>
      <c s="30" r="AN243"/>
      <c s="30" r="AO243"/>
    </row>
    <row r="244">
      <c t="str" s="106" r="A244">
        <f>(((B244&amp;" ")&amp;C244)&amp;" ")&amp;E244</f>
        <v>Iron Dwarf Smith Pauldrons Heroic Halls of Lightning Bjarngrim 504.7532</v>
      </c>
      <c t="s" s="125" r="B244">
        <v>481</v>
      </c>
      <c t="s" s="43" r="C244">
        <v>482</v>
      </c>
      <c t="s" s="43" r="D244">
        <v>471</v>
      </c>
      <c s="114" r="E244">
        <f>(F244+G244)+H244</f>
        <v>504.7532</v>
      </c>
      <c s="121" r="F244">
        <f>((((((J244*0.1)+(O244*1.25))+R244)+S244)+V244)+(X244*0.5))+(AF244*0.2)</f>
        <v>247.5</v>
      </c>
      <c s="121" r="G244">
        <f>+((K244*1.06)*1.06)</f>
        <v>97.7532</v>
      </c>
      <c s="121" r="H244">
        <f>((((AB244)+(0.3*K244))+AG244)+(AF244*0.6))+AI244</f>
        <v>159.5</v>
      </c>
      <c s="98" r="I244">
        <f>((((0.05*O244)+(0.053*V244))+(0.04*AC244))+(0.042*S244))/100.0</f>
        <v>0.0348</v>
      </c>
      <c s="53" r="J244">
        <v>1625</v>
      </c>
      <c s="39" r="K244">
        <f>L244+M244</f>
        <v>87</v>
      </c>
      <c s="53" r="L244">
        <v>87</v>
      </c>
      <c s="68" r="M244"/>
      <c s="68" r="N244"/>
      <c s="39" r="O244">
        <f>P244+Q244</f>
        <v>36</v>
      </c>
      <c s="53" r="P244">
        <v>36</v>
      </c>
      <c s="68" r="Q244"/>
      <c s="68" r="R244"/>
      <c s="39" r="S244">
        <f>T244+U244</f>
        <v>40</v>
      </c>
      <c s="53" r="T244">
        <v>40</v>
      </c>
      <c s="68" r="U244"/>
      <c s="68" r="V244"/>
      <c s="68" r="W244"/>
      <c s="68" r="X244"/>
      <c s="68" r="Y244"/>
      <c s="68" r="Z244"/>
      <c s="68" r="AA244">
        <v>58</v>
      </c>
      <c s="68" r="AB244"/>
      <c s="68" r="AC244"/>
      <c s="68" r="AD244"/>
      <c s="68" r="AE244"/>
      <c s="68" r="AF244"/>
      <c s="68" r="AG244"/>
      <c s="47" r="AH244">
        <f>((AC244*0.6637)+AE244)+AG244</f>
        <v>0</v>
      </c>
      <c s="94" r="AI244">
        <f>(AA244*2.3)+(AD244)</f>
        <v>133.4</v>
      </c>
      <c s="109" r="AJ244"/>
      <c s="44" r="AK244"/>
      <c s="30" r="AL244"/>
      <c s="30" r="AM244"/>
      <c s="30" r="AN244"/>
      <c s="30" r="AO244"/>
    </row>
    <row r="245">
      <c t="str" s="106" r="A245">
        <f>(((B245&amp;" ")&amp;C245)&amp;" ")&amp;E245</f>
        <v>Pauldrons of Perserverence Twins 458.31</v>
      </c>
      <c t="s" s="2" r="B245">
        <v>483</v>
      </c>
      <c t="s" s="126" r="C245">
        <v>56</v>
      </c>
      <c t="s" s="68" r="D245">
        <v>471</v>
      </c>
      <c s="114" r="E245">
        <f>(F245+G245)+H245</f>
        <v>458.31</v>
      </c>
      <c s="121" r="F245">
        <f>((((((J245*0.1)+(O245*1.25))+R245)+S245)+V245)+(X245*0.5))+(AF245*0.2)</f>
        <v>246.95</v>
      </c>
      <c s="121" r="G245">
        <f>+((K245*1.06)*1.06)</f>
        <v>112.36</v>
      </c>
      <c s="121" r="H245">
        <f>((((AB245)+(0.3*K245))+AG245)+(AF245*0.6))+AI245</f>
        <v>99</v>
      </c>
      <c s="98" r="I245">
        <f>((((0.05*O245)+(0.053*V245))+(0.04*AC245))+(0.042*S245))/100.0</f>
        <v>0.0175</v>
      </c>
      <c s="53" r="J245">
        <v>1487</v>
      </c>
      <c s="39" r="K245">
        <f>L245+M245</f>
        <v>100</v>
      </c>
      <c s="53" r="L245">
        <v>60</v>
      </c>
      <c s="68" r="M245">
        <f>(24.0+12.0)+4.0</f>
        <v>40</v>
      </c>
      <c t="s" s="68" r="N245">
        <v>203</v>
      </c>
      <c s="39" r="O245">
        <f>P245+Q245</f>
        <v>35</v>
      </c>
      <c s="53" r="P245">
        <v>27</v>
      </c>
      <c s="68" r="Q245">
        <v>8</v>
      </c>
      <c s="68" r="R245">
        <v>32</v>
      </c>
      <c s="39" r="S245"/>
      <c s="53" r="T245"/>
      <c s="68" r="U245"/>
      <c s="68" r="V245"/>
      <c s="68" r="W245"/>
      <c s="68" r="X245">
        <v>45</v>
      </c>
      <c s="68" r="Y245"/>
      <c s="68" r="Z245"/>
      <c s="68" r="AA245">
        <v>30</v>
      </c>
      <c s="68" r="AB245"/>
      <c s="68" r="AC245"/>
      <c s="68" r="AD245"/>
      <c s="68" r="AE245"/>
      <c s="68" r="AF245"/>
      <c s="68" r="AG245"/>
      <c s="47" r="AH245">
        <f>((AC245*0.6637)+AE245)+AG245</f>
        <v>0</v>
      </c>
      <c s="94" r="AI245">
        <f>(AA245*2.3)+(AD245)</f>
        <v>69</v>
      </c>
      <c s="109" r="AJ245"/>
      <c s="44" r="AK245"/>
      <c s="30" r="AL245"/>
      <c s="30" r="AM245"/>
      <c s="30" r="AN245"/>
      <c s="30" r="AO245"/>
    </row>
    <row r="246">
      <c t="str" s="106" r="A246">
        <f>(((B246&amp;" ")&amp;C246)&amp;" ")&amp;E246</f>
        <v>Crusader's Square Pauldrons CoT Strat zone drop 456.2908</v>
      </c>
      <c t="s" s="43" r="B246">
        <v>484</v>
      </c>
      <c t="s" s="43" r="C246">
        <v>485</v>
      </c>
      <c t="s" s="43" r="D246">
        <v>471</v>
      </c>
      <c s="114" r="E246">
        <f>(F246+G246)+H246</f>
        <v>456.2908</v>
      </c>
      <c s="121" r="F246">
        <f>((((((J246*0.1)+(O246*1.25))+R246)+S246)+V246)+(X246*0.5))+(AF246*0.2)</f>
        <v>230.25</v>
      </c>
      <c s="121" r="G246">
        <f>+((K246*1.06)*1.06)</f>
        <v>87.6408</v>
      </c>
      <c s="121" r="H246">
        <f>((((AB246)+(0.3*K246))+AG246)+(AF246*0.6))+AI246</f>
        <v>138.4</v>
      </c>
      <c s="98" r="I246">
        <f>((((0.05*O246)+(0.053*V246))+(0.04*AC246))+(0.042*S246))/100.0</f>
        <v>0.03411</v>
      </c>
      <c s="53" r="J246">
        <v>1570</v>
      </c>
      <c s="39" r="K246">
        <f>L246+M246</f>
        <v>78</v>
      </c>
      <c s="53" r="L246">
        <v>78</v>
      </c>
      <c s="68" r="M246"/>
      <c s="68" r="N246"/>
      <c s="39" r="O246">
        <f>P246+Q246</f>
        <v>29</v>
      </c>
      <c s="53" r="P246">
        <v>29</v>
      </c>
      <c s="68" r="Q246"/>
      <c s="68" r="R246"/>
      <c s="39" r="S246">
        <f>T246+U246</f>
        <v>0</v>
      </c>
      <c s="53" r="T246"/>
      <c s="68" r="U246"/>
      <c s="68" r="V246">
        <v>37</v>
      </c>
      <c s="68" r="W246"/>
      <c s="68" r="X246"/>
      <c s="68" r="Y246"/>
      <c s="68" r="Z246"/>
      <c s="68" r="AA246">
        <v>50</v>
      </c>
      <c s="68" r="AB246"/>
      <c s="68" r="AC246"/>
      <c s="68" r="AD246"/>
      <c s="68" r="AE246"/>
      <c s="68" r="AF246"/>
      <c s="68" r="AG246"/>
      <c s="47" r="AH246">
        <f>((AC246*0.6637)+AE246)+AG246</f>
        <v>0</v>
      </c>
      <c s="94" r="AI246">
        <f>(AA246*2.3)+(AD246)</f>
        <v>115</v>
      </c>
      <c s="109" r="AJ246"/>
      <c s="44" r="AK246"/>
      <c s="30" r="AL246"/>
      <c s="30" r="AM246"/>
      <c s="30" r="AN246"/>
      <c s="30" r="AO246"/>
    </row>
    <row r="247">
      <c t="str" s="106" r="A247">
        <f>(((B247&amp;" ")&amp;C247)&amp;" ")&amp;E247</f>
        <v>Glimmershell Shoulder protectors Oracles Revered? 429.77</v>
      </c>
      <c t="s" s="43" r="B247">
        <v>486</v>
      </c>
      <c t="s" s="43" r="C247">
        <v>487</v>
      </c>
      <c t="s" s="43" r="D247">
        <v>471</v>
      </c>
      <c s="114" r="E247">
        <f>(F247+G247)+H247</f>
        <v>429.77</v>
      </c>
      <c s="121" r="F247">
        <f>((((((J247*0.1)+(O247*1.25))+R247)+S247)+V247)+(X247*0.5))+(AF247*0.2)</f>
        <v>208</v>
      </c>
      <c s="121" r="G247">
        <f>+((K247*1.06)*1.06)</f>
        <v>84.27</v>
      </c>
      <c s="121" r="H247">
        <f>((((AB247)+(0.3*K247))+AG247)+(AF247*0.6))+AI247</f>
        <v>137.5</v>
      </c>
      <c s="98" r="I247">
        <f>((((0.05*O247)+(0.053*V247))+(0.04*AC247))+(0.042*S247))/100.0</f>
        <v>0.02142</v>
      </c>
      <c s="53" r="J247">
        <v>1570</v>
      </c>
      <c s="39" r="K247">
        <f>L247+M247</f>
        <v>75</v>
      </c>
      <c s="53" r="L247">
        <v>75</v>
      </c>
      <c s="68" r="M247"/>
      <c s="68" r="N247"/>
      <c s="39" r="O247">
        <f>P247+Q247</f>
        <v>0</v>
      </c>
      <c s="53" r="P247">
        <v>0</v>
      </c>
      <c s="68" r="Q247"/>
      <c s="68" r="R247"/>
      <c s="39" r="S247">
        <f>T247+U247</f>
        <v>51</v>
      </c>
      <c s="53" r="T247">
        <v>51</v>
      </c>
      <c s="68" r="U247"/>
      <c s="68" r="V247"/>
      <c s="68" r="W247"/>
      <c s="68" r="X247"/>
      <c s="68" r="Y247"/>
      <c s="68" r="Z247"/>
      <c s="68" r="AA247">
        <v>50</v>
      </c>
      <c s="68" r="AB247"/>
      <c s="68" r="AC247"/>
      <c s="68" r="AD247"/>
      <c s="68" r="AE247"/>
      <c s="68" r="AF247"/>
      <c s="68" r="AG247"/>
      <c s="47" r="AH247">
        <f>((AC247*0.6637)+AE247)+AG247</f>
        <v>0</v>
      </c>
      <c s="94" r="AI247">
        <f>(AA247*2.3)+(AD247)</f>
        <v>115</v>
      </c>
      <c s="109" r="AJ247"/>
      <c s="44" r="AK247"/>
      <c s="30" r="AL247"/>
      <c s="30" r="AM247"/>
      <c s="30" r="AN247"/>
      <c s="30" r="AO247"/>
    </row>
    <row r="248">
      <c t="str" s="106" r="A248">
        <f>(((B248&amp;" ")&amp;C248)&amp;" ")&amp;E248</f>
        <v>Lightbringer Shoulderguards (sta,sta) Mother 411.16280000000006</v>
      </c>
      <c t="s" s="2" r="B248">
        <v>488</v>
      </c>
      <c t="s" s="2" r="C248">
        <v>489</v>
      </c>
      <c t="s" s="68" r="D248">
        <v>471</v>
      </c>
      <c s="114" r="E248">
        <f>(F248+G248)+H248</f>
        <v>411.1628</v>
      </c>
      <c s="121" r="F248">
        <f>((((((J248*0.1)+(O248*1.25))+R248)+S248)+V248)+(X248*0.5))+(AF248*0.2)</f>
        <v>191.15</v>
      </c>
      <c s="121" r="G248">
        <f>+((K248*1.06)*1.06)</f>
        <v>110.1128</v>
      </c>
      <c s="121" r="H248">
        <f>((((AB248)+(0.3*K248))+AG248)+(AF248*0.6))+AI248</f>
        <v>109.9</v>
      </c>
      <c s="98" r="I248">
        <f>((((0.05*O248)+(0.053*V248))+(0.04*AC248))+(0.042*S248))/100.0</f>
        <v>0.02469</v>
      </c>
      <c s="53" r="J248">
        <v>1369</v>
      </c>
      <c s="39" r="K248">
        <f>L248+M248</f>
        <v>98</v>
      </c>
      <c s="53" r="L248">
        <f>50.0</f>
        <v>50</v>
      </c>
      <c s="68" r="M248">
        <f>24.0+24.0</f>
        <v>48</v>
      </c>
      <c t="s" s="68" r="N248">
        <v>490</v>
      </c>
      <c s="39" r="O248">
        <f>P248+Q248</f>
        <v>25</v>
      </c>
      <c s="53" r="P248">
        <v>25</v>
      </c>
      <c s="68" r="Q248"/>
      <c s="68" r="R248"/>
      <c s="39" r="S248">
        <f>T248+U248</f>
        <v>0</v>
      </c>
      <c s="53" r="T248"/>
      <c s="68" r="U248"/>
      <c s="68" r="V248">
        <v>23</v>
      </c>
      <c s="68" r="W248"/>
      <c s="68" r="X248"/>
      <c s="68" r="Y248"/>
      <c s="68" r="Z248"/>
      <c s="68" r="AA248">
        <v>35</v>
      </c>
      <c s="68" r="AB248"/>
      <c s="68" r="AC248"/>
      <c s="68" r="AD248"/>
      <c s="68" r="AE248"/>
      <c s="68" r="AF248"/>
      <c s="68" r="AG248"/>
      <c s="47" r="AH248">
        <f>((AC248*0.6637)+AE248)+AG248</f>
        <v>0</v>
      </c>
      <c s="94" r="AI248">
        <f>(AA248*2.3)+(AD248)</f>
        <v>80.5</v>
      </c>
      <c s="109" r="AJ248"/>
      <c s="44" r="AK248"/>
      <c s="30" r="AL248"/>
      <c s="30" r="AM248"/>
      <c s="30" r="AN248"/>
      <c s="30" r="AO248"/>
    </row>
    <row r="249">
      <c t="str" s="106" r="A249">
        <f>(((B249&amp;" ")&amp;C249)&amp;" ")&amp;E249</f>
        <v>Pauldrons of Reconnaissance Quest Reward  402.72839999999997</v>
      </c>
      <c t="s" s="43" r="B249">
        <v>491</v>
      </c>
      <c t="s" s="43" r="C249">
        <v>198</v>
      </c>
      <c t="s" s="43" r="D249">
        <v>471</v>
      </c>
      <c s="114" r="E249">
        <f>(F249+G249)+H249</f>
        <v>402.7284</v>
      </c>
      <c s="121" r="F249">
        <f>((((((J249*0.1)+(O249*1.25))+R249)+S249)+V249)+(X249*0.5))+(AF249*0.2)</f>
        <v>211.9</v>
      </c>
      <c s="121" r="G249">
        <f>+((K249*1.06)*1.06)</f>
        <v>77.5284</v>
      </c>
      <c s="121" r="H249">
        <f>((((AB249)+(0.3*K249))+AG249)+(AF249*0.6))+AI249</f>
        <v>113.3</v>
      </c>
      <c s="98" r="I249">
        <f>((((0.05*O249)+(0.053*V249))+(0.04*AC249))+(0.042*S249))/100.0</f>
        <v>0.023</v>
      </c>
      <c s="53" r="J249">
        <v>1496</v>
      </c>
      <c s="39" r="K249">
        <f>L249+M249</f>
        <v>69</v>
      </c>
      <c s="53" r="L249">
        <v>69</v>
      </c>
      <c s="68" r="M249"/>
      <c s="68" r="N249"/>
      <c s="39" r="O249">
        <f>P249+Q249</f>
        <v>46</v>
      </c>
      <c s="53" r="P249">
        <v>46</v>
      </c>
      <c s="68" r="Q249"/>
      <c s="68" r="R249"/>
      <c s="39" r="S249">
        <f>T249+U249</f>
        <v>0</v>
      </c>
      <c s="53" r="T249"/>
      <c s="68" r="U249"/>
      <c s="68" r="V249"/>
      <c s="68" r="W249"/>
      <c s="68" r="X249"/>
      <c s="68" r="Y249"/>
      <c s="68" r="Z249"/>
      <c s="68" r="AA249">
        <v>34</v>
      </c>
      <c s="68" r="AB249"/>
      <c s="68" r="AC249"/>
      <c s="68" r="AD249"/>
      <c s="68" r="AE249"/>
      <c s="68" r="AF249">
        <v>24</v>
      </c>
      <c s="68" r="AG249"/>
      <c s="47" r="AH249">
        <f>((AC249*0.6637)+AE249)+AG249</f>
        <v>0</v>
      </c>
      <c s="94" r="AI249">
        <f>(AA249*2.3)+(AD249)</f>
        <v>78.2</v>
      </c>
      <c s="109" r="AJ249"/>
      <c s="44" r="AK249"/>
      <c s="30" r="AL249"/>
      <c s="30" r="AM249"/>
      <c s="30" r="AN249"/>
      <c s="30" r="AO249"/>
    </row>
    <row r="250">
      <c t="str" s="106" r="A250">
        <f>(((B250&amp;" ")&amp;C250)&amp;" ")&amp;E250</f>
        <v>Tempered Saronite Shoulders Crafted 399.8824</v>
      </c>
      <c t="s" s="125" r="B250">
        <v>492</v>
      </c>
      <c t="s" s="68" r="C250">
        <v>73</v>
      </c>
      <c t="s" s="68" r="D250">
        <v>471</v>
      </c>
      <c s="114" r="E250">
        <f>(F250+G250)+H250</f>
        <v>399.8824</v>
      </c>
      <c s="121" r="F250">
        <f>((((((J250*0.1)+(O250*1.25))+R250)+S250)+V250)+(X250*0.5))+(AF250*0.2)</f>
        <v>186</v>
      </c>
      <c s="121" r="G250">
        <f>+((K250*1.06)*1.06)</f>
        <v>94.3824</v>
      </c>
      <c s="121" r="H250">
        <f>((((AB250)+(0.3*K250))+AG250)+(AF250*0.6))+AI250</f>
        <v>119.5</v>
      </c>
      <c s="98" r="I250">
        <f>((((0.05*O250)+(0.053*V250))+(0.04*AC250))+(0.042*S250))/100.0</f>
        <v>0.016</v>
      </c>
      <c s="53" r="J250">
        <v>1460</v>
      </c>
      <c s="39" r="K250">
        <f>L250+M250</f>
        <v>84</v>
      </c>
      <c s="53" r="L250">
        <v>84</v>
      </c>
      <c s="68" r="M250"/>
      <c s="68" r="N250"/>
      <c s="39" r="O250">
        <f>P250+Q250</f>
        <v>32</v>
      </c>
      <c s="53" r="P250">
        <v>32</v>
      </c>
      <c s="68" r="Q250"/>
      <c s="68" r="R250"/>
      <c s="39" r="S250">
        <f>T250+U250</f>
        <v>0</v>
      </c>
      <c s="53" r="T250"/>
      <c s="68" r="U250"/>
      <c s="68" r="V250"/>
      <c s="68" r="W250"/>
      <c s="68" r="X250"/>
      <c s="68" r="Y250"/>
      <c s="68" r="Z250"/>
      <c s="68" r="AA250">
        <v>41</v>
      </c>
      <c s="68" r="AB250"/>
      <c s="68" r="AC250"/>
      <c s="68" r="AD250"/>
      <c s="68" r="AE250"/>
      <c s="68" r="AF250"/>
      <c s="68" r="AG250"/>
      <c s="47" r="AH250">
        <f>((AC250*0.6637)+AE250)+AG250</f>
        <v>0</v>
      </c>
      <c s="94" r="AI250">
        <f>(AA250*2.3)+(AD250)</f>
        <v>94.3</v>
      </c>
      <c s="109" r="AJ250"/>
      <c s="44" r="AK250"/>
      <c s="30" r="AL250"/>
      <c s="30" r="AM250"/>
      <c s="30" r="AN250"/>
      <c s="30" r="AO250"/>
    </row>
    <row r="251">
      <c t="str" s="106" r="A251">
        <f>(((B251&amp;" ")&amp;C251)&amp;" ")&amp;E251</f>
        <v>Crystalforge Shoulderguards (sta,sta) Void Reaver 379.5296</v>
      </c>
      <c t="s" s="2" r="B251">
        <v>493</v>
      </c>
      <c t="s" s="126" r="C251">
        <v>494</v>
      </c>
      <c t="s" s="68" r="D251">
        <v>471</v>
      </c>
      <c s="114" r="E251">
        <f>(F251+G251)+H251</f>
        <v>379.5296</v>
      </c>
      <c s="121" r="F251">
        <f>((((((J251*0.1)+(O251*1.25))+R251)+S251)+V251)+(X251*0.5))+(AF251*0.2)</f>
        <v>176.6</v>
      </c>
      <c s="121" r="G251">
        <f>+((K251*1.06)*1.06)</f>
        <v>96.6296</v>
      </c>
      <c s="121" r="H251">
        <f>((((AB251)+(0.3*K251))+AG251)+(AF251*0.6))+AI251</f>
        <v>106.3</v>
      </c>
      <c s="98" r="I251">
        <f>((((0.05*O251)+(0.053*V251))+(0.04*AC251))+(0.042*S251))/100.0</f>
        <v>0.02098</v>
      </c>
      <c s="53" r="J251">
        <v>1251</v>
      </c>
      <c s="39" r="K251">
        <f>L251+M251</f>
        <v>86</v>
      </c>
      <c s="53" r="L251">
        <f>38.0</f>
        <v>38</v>
      </c>
      <c s="68" r="M251">
        <f>24.0+24.0</f>
        <v>48</v>
      </c>
      <c t="s" s="68" r="N251">
        <v>495</v>
      </c>
      <c s="39" r="O251">
        <f>P251+Q251</f>
        <v>26</v>
      </c>
      <c s="53" r="P251">
        <v>26</v>
      </c>
      <c s="68" r="Q251"/>
      <c s="68" r="R251"/>
      <c s="39" r="S251">
        <f>T251+U251</f>
        <v>19</v>
      </c>
      <c s="53" r="T251">
        <v>19</v>
      </c>
      <c s="68" r="U251"/>
      <c s="68" r="V251"/>
      <c s="68" r="W251"/>
      <c s="68" r="X251"/>
      <c s="68" r="Y251"/>
      <c s="68" r="Z251"/>
      <c s="68" r="AA251">
        <v>35</v>
      </c>
      <c s="68" r="AB251"/>
      <c s="68" r="AC251"/>
      <c s="68" r="AD251"/>
      <c s="68" r="AE251"/>
      <c s="68" r="AF251"/>
      <c s="68" r="AG251"/>
      <c s="47" r="AH251">
        <f>((AC251*0.6637)+AE251)+AG251</f>
        <v>0</v>
      </c>
      <c s="94" r="AI251">
        <f>(AA251*2.3)+(AD251)</f>
        <v>80.5</v>
      </c>
      <c s="109" r="AJ251"/>
      <c s="44" r="AK251"/>
      <c s="30" r="AL251"/>
      <c s="30" r="AM251"/>
      <c s="30" r="AN251"/>
      <c s="30" r="AO251"/>
    </row>
    <row r="252">
      <c t="str" s="106" r="A252">
        <f>(((B252&amp;" ")&amp;C252)&amp;" ")&amp;E252</f>
        <v>Tundra Pauldrons Quest Reward  364.3216</v>
      </c>
      <c t="s" s="43" r="B252">
        <v>496</v>
      </c>
      <c t="s" s="43" r="C252">
        <v>198</v>
      </c>
      <c t="s" s="43" r="D252">
        <v>471</v>
      </c>
      <c s="114" r="E252">
        <f>(F252+G252)+H252</f>
        <v>364.3216</v>
      </c>
      <c s="121" r="F252">
        <f>((((((J252*0.1)+(O252*1.25))+R252)+S252)+V252)+(X252*0.5))+(AF252*0.2)</f>
        <v>199.5</v>
      </c>
      <c s="121" r="G252">
        <f>+((K252*1.06)*1.06)</f>
        <v>62.9216</v>
      </c>
      <c s="121" r="H252">
        <f>((((AB252)+(0.3*K252))+AG252)+(AF252*0.6))+AI252</f>
        <v>101.9</v>
      </c>
      <c s="98" r="I252">
        <f>((((0.05*O252)+(0.053*V252))+(0.04*AC252))+(0.042*S252))/100.0</f>
        <v>0.02525</v>
      </c>
      <c s="53" r="J252">
        <v>1315</v>
      </c>
      <c s="39" r="K252">
        <f>L252+M252</f>
        <v>56</v>
      </c>
      <c s="53" r="L252">
        <v>56</v>
      </c>
      <c s="68" r="M252"/>
      <c s="68" r="N252"/>
      <c s="39" r="O252">
        <f>P252+Q252</f>
        <v>24</v>
      </c>
      <c s="53" r="P252">
        <v>24</v>
      </c>
      <c s="68" r="Q252"/>
      <c s="68" r="R252"/>
      <c s="39" r="S252">
        <f>T252+U252</f>
        <v>0</v>
      </c>
      <c s="53" r="T252"/>
      <c s="68" r="U252"/>
      <c s="68" r="V252">
        <v>25</v>
      </c>
      <c s="68" r="W252"/>
      <c s="68" r="X252">
        <v>26</v>
      </c>
      <c s="68" r="Y252"/>
      <c s="68" r="Z252"/>
      <c s="68" r="AA252">
        <v>37</v>
      </c>
      <c s="68" r="AB252"/>
      <c s="68" r="AC252"/>
      <c s="68" r="AD252"/>
      <c s="68" r="AE252"/>
      <c s="68" r="AF252"/>
      <c s="68" r="AG252"/>
      <c s="47" r="AH252">
        <f>((AC252*0.6637)+AE252)+AG252</f>
        <v>0</v>
      </c>
      <c s="94" r="AI252">
        <f>(AA252*2.3)+(AD252)</f>
        <v>85.1</v>
      </c>
      <c s="109" r="AJ252"/>
      <c s="44" r="AK252"/>
      <c s="30" r="AL252"/>
      <c s="30" r="AM252"/>
      <c s="30" r="AN252"/>
      <c s="30" r="AO252"/>
    </row>
    <row r="253">
      <c t="str" s="106" r="A253">
        <f>(((B253&amp;" ")&amp;C253)&amp;" ")&amp;E253</f>
        <v>Pauldrons of Stone Resolve (sta,sta) 2nd ZA Timer 351.84760000000006</v>
      </c>
      <c t="s" s="2" r="B253">
        <v>497</v>
      </c>
      <c t="s" s="2" r="C253">
        <v>498</v>
      </c>
      <c t="s" s="68" r="D253">
        <v>471</v>
      </c>
      <c s="114" r="E253">
        <f>(F253+G253)+H253</f>
        <v>351.8476</v>
      </c>
      <c s="121" r="F253">
        <f>((((((J253*0.1)+(O253*1.25))+R253)+S253)+V253)+(X253*0.5))+(AF253*0.2)</f>
        <v>178.6</v>
      </c>
      <c s="121" r="G253">
        <f>+((K253*1.06)*1.06)</f>
        <v>102.2476</v>
      </c>
      <c s="121" r="H253">
        <f>((((AB253)+(0.3*K253))+AG253)+(AF253*0.6))+AI253</f>
        <v>71</v>
      </c>
      <c s="98" r="I253">
        <f>((((0.05*O253)+(0.053*V253))+(0.04*AC253))+(0.042*S253))/100.0</f>
        <v>0.01</v>
      </c>
      <c s="53" r="J253">
        <v>1206</v>
      </c>
      <c s="39" r="K253">
        <f>L253+M253</f>
        <v>91</v>
      </c>
      <c s="53" r="L253">
        <f>43.0</f>
        <v>43</v>
      </c>
      <c s="68" r="M253">
        <v>48</v>
      </c>
      <c t="s" s="68" r="N253">
        <v>499</v>
      </c>
      <c s="39" r="O253">
        <f>P253+Q253</f>
        <v>20</v>
      </c>
      <c s="53" r="P253">
        <v>20</v>
      </c>
      <c s="68" r="Q253"/>
      <c s="68" r="R253">
        <v>18</v>
      </c>
      <c s="39" r="S253">
        <f>T253+U253</f>
        <v>0</v>
      </c>
      <c s="53" r="T253"/>
      <c s="68" r="U253"/>
      <c s="68" r="V253"/>
      <c s="68" r="W253">
        <v>18</v>
      </c>
      <c s="68" r="X253">
        <v>30</v>
      </c>
      <c s="68" r="Y253"/>
      <c s="68" r="Z253"/>
      <c s="68" r="AA253">
        <v>19</v>
      </c>
      <c s="68" r="AB253"/>
      <c s="68" r="AC253"/>
      <c s="68" r="AD253"/>
      <c s="68" r="AE253">
        <v>18</v>
      </c>
      <c s="68" r="AF253"/>
      <c s="68" r="AG253"/>
      <c s="47" r="AH253">
        <f>((AC253*0.6637)+AE253)+AG253</f>
        <v>18</v>
      </c>
      <c s="94" r="AI253">
        <f>(AA253*2.3)+(AD253)</f>
        <v>43.7</v>
      </c>
      <c s="129" r="AJ253"/>
      <c s="44" r="AK253"/>
      <c s="30" r="AL253"/>
      <c s="30" r="AM253"/>
      <c s="30" r="AN253"/>
      <c s="30" r="AO253"/>
    </row>
    <row r="254">
      <c t="str" s="106" r="A254">
        <f>(((B254&amp;" ")&amp;C254)&amp;" ")&amp;E254</f>
        <v>Pauldrons of Abyssal Fury Supremus 349.09920000000005</v>
      </c>
      <c t="s" s="2" r="B254">
        <v>500</v>
      </c>
      <c t="s" s="2" r="C254">
        <v>407</v>
      </c>
      <c t="s" s="68" r="D254">
        <v>471</v>
      </c>
      <c s="114" r="E254">
        <f>(F254+G254)+H254</f>
        <v>349.0992</v>
      </c>
      <c s="121" r="F254">
        <f>((((((J254*0.1)+(O254*1.25))+R254)+S254)+V254)+(X254*0.5))+(AF254*0.2)</f>
        <v>191.4</v>
      </c>
      <c s="121" r="G254">
        <f>+((K254*1.06)*1.06)</f>
        <v>80.8992</v>
      </c>
      <c s="121" r="H254">
        <f>((((AB254)+(0.3*K254))+AG254)+(AF254*0.6))+AI254</f>
        <v>76.8</v>
      </c>
      <c s="98" r="I254">
        <f>((((0.05*O254)+(0.053*V254))+(0.04*AC254))+(0.042*S254))/100.0</f>
        <v>0.02672</v>
      </c>
      <c s="53" r="J254">
        <v>1324</v>
      </c>
      <c s="39" r="K254">
        <f>L254+M254</f>
        <v>72</v>
      </c>
      <c s="53" r="L254">
        <v>72</v>
      </c>
      <c s="68" r="M254"/>
      <c s="68" r="N254"/>
      <c s="39" r="O254">
        <f>P254+Q254</f>
        <v>28</v>
      </c>
      <c s="53" r="P254">
        <v>28</v>
      </c>
      <c s="68" r="Q254"/>
      <c s="68" r="R254"/>
      <c s="39" r="S254">
        <f>T254+U254</f>
        <v>0</v>
      </c>
      <c s="53" r="T254"/>
      <c s="68" r="U254"/>
      <c s="68" r="V254">
        <v>24</v>
      </c>
      <c s="68" r="W254"/>
      <c s="68" r="X254"/>
      <c s="68" r="Y254"/>
      <c s="68" r="Z254"/>
      <c s="68" r="AA254">
        <v>24</v>
      </c>
      <c s="68" r="AB254"/>
      <c s="68" r="AC254"/>
      <c s="68" r="AD254"/>
      <c s="68" r="AE254"/>
      <c s="68" r="AF254"/>
      <c s="68" r="AG254"/>
      <c s="47" r="AH254">
        <f>((AC254*0.6637)+AE254)+AG254</f>
        <v>0</v>
      </c>
      <c s="94" r="AI254">
        <f>(AA254*2.3)+(AD254)</f>
        <v>55.2</v>
      </c>
      <c s="109" r="AJ254"/>
      <c s="44" r="AK254"/>
      <c s="30" r="AL254"/>
      <c s="30" r="AM254"/>
      <c s="30" r="AN254"/>
      <c s="30" r="AO254"/>
    </row>
    <row r="255">
      <c t="str" s="106" r="A255">
        <f>(((B255&amp;" ")&amp;C255)&amp;" ")&amp;E255</f>
        <v>Justicar Shoulderguards (sta, sta/str) HKM 343.17280000000005</v>
      </c>
      <c t="s" s="2" r="B255">
        <v>501</v>
      </c>
      <c t="s" s="2" r="C255">
        <v>502</v>
      </c>
      <c t="s" s="68" r="D255">
        <v>471</v>
      </c>
      <c s="114" r="E255">
        <f>(F255+G255)+H255</f>
        <v>343.1728</v>
      </c>
      <c s="121" r="F255">
        <f>((((((J255*0.1)+(O255*1.25))+R255)+S255)+V255)+(X255*0.5))+(AF255*0.2)</f>
        <v>172.55</v>
      </c>
      <c s="121" r="G255">
        <f>+((K255*1.06)*1.06)</f>
        <v>82.0228</v>
      </c>
      <c s="121" r="H255">
        <f>((((AB255)+(0.3*K255))+AG255)+(AF255*0.6))+AI255</f>
        <v>88.6</v>
      </c>
      <c s="98" r="I255">
        <f>((((0.05*O255)+(0.053*V255))+(0.04*AC255))+(0.042*S255))/100.0</f>
        <v>0.0115</v>
      </c>
      <c s="53" r="J255">
        <v>1133</v>
      </c>
      <c s="39" r="K255">
        <f>L255+M255</f>
        <v>73</v>
      </c>
      <c s="53" r="L255">
        <v>37</v>
      </c>
      <c s="68" r="M255">
        <f>24.0+12.0</f>
        <v>36</v>
      </c>
      <c t="s" s="68" r="N255">
        <v>503</v>
      </c>
      <c s="39" r="O255">
        <f>P255+Q255</f>
        <v>23</v>
      </c>
      <c s="53" r="P255">
        <f>15.0</f>
        <v>15</v>
      </c>
      <c s="68" r="Q255">
        <v>8</v>
      </c>
      <c s="68" r="R255">
        <v>17</v>
      </c>
      <c s="39" r="S255">
        <f>T255+U255</f>
        <v>0</v>
      </c>
      <c s="53" r="T255"/>
      <c s="68" r="U255"/>
      <c s="68" r="V255"/>
      <c s="68" r="W255"/>
      <c s="68" r="X255">
        <v>27</v>
      </c>
      <c s="68" r="Y255"/>
      <c s="68" r="Z255"/>
      <c s="68" r="AA255">
        <v>29</v>
      </c>
      <c s="68" r="AB255"/>
      <c s="68" r="AC255"/>
      <c s="68" r="AD255"/>
      <c s="68" r="AE255"/>
      <c s="68" r="AF255"/>
      <c s="68" r="AG255"/>
      <c s="47" r="AH255">
        <f>((AC255*0.6637)+AE255)+AG255</f>
        <v>0</v>
      </c>
      <c s="94" r="AI255">
        <f>(AA255*2.3)+(AD255)</f>
        <v>66.7</v>
      </c>
      <c s="109" r="AJ255"/>
      <c s="44" r="AK255"/>
      <c s="30" r="AL255"/>
      <c s="30" r="AM255"/>
      <c s="30" r="AN255"/>
      <c s="30" r="AO255"/>
    </row>
    <row r="256">
      <c t="str" s="106" r="A256">
        <f>(((B256&amp;" ")&amp;C256)&amp;" ")&amp;E256</f>
        <v>Merciless Gladiator Scaled Shoulders (Sta/Sta) PVP 334.4532</v>
      </c>
      <c t="s" s="2" r="B256">
        <v>504</v>
      </c>
      <c t="s" s="126" r="C256">
        <v>267</v>
      </c>
      <c t="s" s="68" r="D256">
        <v>471</v>
      </c>
      <c s="114" r="E256">
        <f>(F256+G256)+H256</f>
        <v>334.4532</v>
      </c>
      <c s="121" r="F256">
        <f>((((((J256*0.1)+(O256*1.25))+R256)+S256)+V256)+(X256*0.5))+(AF256*0.2)</f>
        <v>127.8</v>
      </c>
      <c s="121" r="G256">
        <f>+((K256*1.06)*1.06)</f>
        <v>97.7532</v>
      </c>
      <c s="121" r="H256">
        <f>((((AB256)+(0.3*K256))+AG256)+(AF256*0.6))+AI256</f>
        <v>108.9</v>
      </c>
      <c s="98" r="I256">
        <f>((((0.05*O256)+(0.053*V256))+(0.04*AC256))+(0.042*S256))/100.0</f>
        <v>0</v>
      </c>
      <c s="53" r="J256">
        <v>1278</v>
      </c>
      <c s="39" r="K256">
        <f>L256+M256</f>
        <v>87</v>
      </c>
      <c s="53" r="L256">
        <f>39.0</f>
        <v>39</v>
      </c>
      <c s="68" r="M256">
        <f>24.0+24.0</f>
        <v>48</v>
      </c>
      <c t="s" s="68" r="N256">
        <v>159</v>
      </c>
      <c s="39" r="O256">
        <f>P256+Q256</f>
        <v>0</v>
      </c>
      <c s="53" r="P256">
        <v>0</v>
      </c>
      <c s="68" r="Q256"/>
      <c s="68" r="R256"/>
      <c s="39" r="S256">
        <f>T256+U256</f>
        <v>0</v>
      </c>
      <c s="53" r="T256"/>
      <c s="68" r="U256"/>
      <c s="68" r="V256"/>
      <c s="68" r="W256">
        <v>26</v>
      </c>
      <c s="68" r="X256"/>
      <c s="68" r="Y256">
        <v>18</v>
      </c>
      <c s="68" r="Z256"/>
      <c s="68" r="AA256">
        <v>36</v>
      </c>
      <c s="68" r="AB256"/>
      <c s="68" r="AC256"/>
      <c s="68" r="AD256"/>
      <c s="68" r="AE256"/>
      <c s="68" r="AF256"/>
      <c s="68" r="AG256"/>
      <c s="47" r="AH256">
        <f>((AC256*0.6637)+AE256)+AG256</f>
        <v>0</v>
      </c>
      <c s="94" r="AI256">
        <f>(AA256*2.3)+(AD256)</f>
        <v>82.8</v>
      </c>
      <c s="109" r="AJ256"/>
      <c s="44" r="AK256"/>
      <c s="30" r="AL256"/>
      <c s="30" r="AM256"/>
      <c s="30" r="AN256"/>
      <c s="30" r="AO256"/>
    </row>
    <row r="257">
      <c t="str" s="106" r="A257">
        <f>(((B257&amp;" ")&amp;C257)&amp;" ")&amp;E257</f>
        <v>Bone-Polished Iceplate Shoulders Quest Reward  320.46320000000003</v>
      </c>
      <c t="s" s="43" r="B257">
        <v>505</v>
      </c>
      <c t="s" s="43" r="C257">
        <v>198</v>
      </c>
      <c t="s" s="43" r="D257">
        <v>471</v>
      </c>
      <c s="114" r="E257">
        <f>(F257+G257)+H257</f>
        <v>320.4632</v>
      </c>
      <c s="121" r="F257">
        <f>((((((J257*0.1)+(O257*1.25))+R257)+S257)+V257)+(X257*0.5))+(AF257*0.2)</f>
        <v>165.5</v>
      </c>
      <c s="121" r="G257">
        <f>+((K257*1.06)*1.06)</f>
        <v>69.6632</v>
      </c>
      <c s="121" r="H257">
        <f>((((AB257)+(0.3*K257))+AG257)+(AF257*0.6))+AI257</f>
        <v>85.3</v>
      </c>
      <c s="98" r="I257">
        <f>((((0.05*O257)+(0.053*V257))+(0.04*AC257))+(0.042*S257))/100.0</f>
        <v>0.014</v>
      </c>
      <c s="53" r="J257">
        <v>1305</v>
      </c>
      <c s="39" r="K257">
        <f>L257+M257</f>
        <v>62</v>
      </c>
      <c s="53" r="L257">
        <v>62</v>
      </c>
      <c s="68" r="M257"/>
      <c s="68" r="N257"/>
      <c s="39" r="O257">
        <f>P257+Q257</f>
        <v>28</v>
      </c>
      <c s="53" r="P257">
        <v>28</v>
      </c>
      <c s="68" r="Q257"/>
      <c s="68" r="R257"/>
      <c s="39" r="S257">
        <f>T257+U257</f>
        <v>0</v>
      </c>
      <c s="53" r="T257"/>
      <c s="68" r="U257"/>
      <c s="68" r="V257"/>
      <c s="68" r="W257"/>
      <c s="68" r="X257"/>
      <c s="68" r="Y257"/>
      <c s="68" r="Z257"/>
      <c s="68" r="AA257">
        <v>29</v>
      </c>
      <c s="68" r="AB257"/>
      <c s="68" r="AC257"/>
      <c s="68" r="AD257"/>
      <c s="68" r="AE257"/>
      <c s="68" r="AF257"/>
      <c s="68" r="AG257"/>
      <c s="47" r="AH257">
        <f>((AC257*0.6637)+AE257)+AG257</f>
        <v>0</v>
      </c>
      <c s="94" r="AI257">
        <f>(AA257*2.3)+(AD257)</f>
        <v>66.7</v>
      </c>
      <c s="109" r="AJ257"/>
      <c s="44" r="AK257"/>
      <c s="30" r="AL257"/>
      <c s="30" r="AM257"/>
      <c s="30" r="AN257"/>
      <c s="30" r="AO257"/>
    </row>
    <row r="258">
      <c t="str" s="106" r="A258">
        <f>(((B258&amp;" ")&amp;C258)&amp;" ")&amp;E258</f>
        <v>Mantle of Abrahmis (sta,sta) Netherspite 315.2976</v>
      </c>
      <c t="s" s="2" r="B258">
        <v>506</v>
      </c>
      <c t="s" s="2" r="C258">
        <v>507</v>
      </c>
      <c t="s" s="68" r="D258">
        <v>471</v>
      </c>
      <c s="114" r="E258">
        <f>(F258+G258)+H258</f>
        <v>315.2976</v>
      </c>
      <c s="121" r="F258">
        <f>((((((J258*0.1)+(O258*1.25))+R258)+S258)+V258)+(X258*0.5))+(AF258*0.2)</f>
        <v>137.45</v>
      </c>
      <c s="121" r="G258">
        <f>+((K258*1.06)*1.06)</f>
        <v>102.2476</v>
      </c>
      <c s="121" r="H258">
        <f>((((AB258)+(0.3*K258))+AG258)+(AF258*0.6))+AI258</f>
        <v>75.6</v>
      </c>
      <c s="98" r="I258">
        <f>((((0.05*O258)+(0.053*V258))+(0.04*AC258))+(0.042*S258))/100.0</f>
        <v>0.0115</v>
      </c>
      <c s="53" r="J258">
        <v>1087</v>
      </c>
      <c s="39" r="K258">
        <f>L258+M258</f>
        <v>91</v>
      </c>
      <c s="53" r="L258">
        <f>43.0</f>
        <v>43</v>
      </c>
      <c s="68" r="M258">
        <f>24.0+24.0</f>
        <v>48</v>
      </c>
      <c t="s" s="68" r="N258">
        <v>159</v>
      </c>
      <c s="39" r="O258">
        <f>P258+Q258</f>
        <v>23</v>
      </c>
      <c s="53" r="P258">
        <v>23</v>
      </c>
      <c s="68" r="Q258"/>
      <c s="68" r="R258"/>
      <c s="39" r="S258">
        <f>T258+U258</f>
        <v>0</v>
      </c>
      <c s="53" r="T258"/>
      <c s="68" r="U258"/>
      <c s="68" r="V258"/>
      <c s="68" r="W258"/>
      <c s="68" r="X258"/>
      <c s="68" r="Y258"/>
      <c s="68" r="Z258"/>
      <c s="68" r="AA258">
        <v>21</v>
      </c>
      <c s="68" r="AB258"/>
      <c s="68" r="AC258"/>
      <c s="68" r="AD258"/>
      <c s="68" r="AE258"/>
      <c s="68" r="AF258"/>
      <c s="68" r="AG258"/>
      <c s="47" r="AH258">
        <f>((AC258*0.6637)+AE258)+AG258</f>
        <v>0</v>
      </c>
      <c s="94" r="AI258">
        <f>(AA258*2.3)+(AD258)</f>
        <v>48.3</v>
      </c>
      <c s="109" r="AJ258"/>
      <c s="44" r="AK258"/>
      <c s="30" r="AL258"/>
      <c s="30" r="AM258"/>
      <c s="30" r="AN258"/>
      <c s="30" r="AO258"/>
    </row>
    <row r="259">
      <c t="str" s="106" r="A259">
        <f>(((B259&amp;" ")&amp;C259)&amp;" ")&amp;E259</f>
        <v>Ablative Chitin Girdle   618.7764</v>
      </c>
      <c t="s" s="87" r="B259">
        <v>508</v>
      </c>
      <c t="s" s="107" r="C259">
        <v>142</v>
      </c>
      <c t="s" s="107" r="D259">
        <v>509</v>
      </c>
      <c s="114" r="E259">
        <f>(F259+G259)+H259</f>
        <v>618.7764</v>
      </c>
      <c s="121" r="F259">
        <f>((((((J259*0.1)+(O259*1.25))+R259)+S259)+V259)+(X259*0.5))+(AF259*0.2)</f>
        <v>235.05</v>
      </c>
      <c s="121" r="G259">
        <f>+((K259*1.06)*1.06)</f>
        <v>139.3264</v>
      </c>
      <c s="121" r="H259">
        <f>((((AB259)+(0.3*K259))+AG259)+(AF259*0.6))+AI259</f>
        <v>244.4</v>
      </c>
      <c s="98" r="I259">
        <f>((((0.05*O259)+(0.053*V259))+(0.04*AC259))+(0.042*S259))/100.0</f>
        <v>0.04324</v>
      </c>
      <c s="127" r="J259">
        <v>1293</v>
      </c>
      <c s="24" r="K259">
        <f>L259+M259</f>
        <v>124</v>
      </c>
      <c s="127" r="L259">
        <v>100</v>
      </c>
      <c s="85" r="M259">
        <v>24</v>
      </c>
      <c t="s" s="78" r="N259">
        <v>97</v>
      </c>
      <c s="24" r="O259">
        <f>P259+Q259</f>
        <v>47</v>
      </c>
      <c s="127" r="P259">
        <v>43</v>
      </c>
      <c s="85" r="Q259">
        <v>4</v>
      </c>
      <c s="85" r="R259"/>
      <c s="24" r="S259">
        <f>T259+U259</f>
        <v>47</v>
      </c>
      <c s="127" r="T259">
        <v>47</v>
      </c>
      <c s="85" r="U259"/>
      <c s="85" r="V259"/>
      <c s="85" r="W259"/>
      <c s="85" r="X259"/>
      <c s="85" r="Y259"/>
      <c s="6" r="Z259"/>
      <c s="85" r="AA259">
        <v>74</v>
      </c>
      <c s="100" r="AB259"/>
      <c s="6" r="AC259"/>
      <c s="6" r="AD259"/>
      <c s="85" r="AE259"/>
      <c s="85" r="AF259"/>
      <c s="85" r="AG259">
        <v>37</v>
      </c>
      <c s="47" r="AH259">
        <f>((AC259*0.6637)+AE259)+AG259</f>
        <v>37</v>
      </c>
      <c s="94" r="AI259">
        <f>(AA259*2.3)+(AD259)</f>
        <v>170.2</v>
      </c>
      <c s="109" r="AJ259"/>
      <c s="44" r="AK259"/>
      <c s="30" r="AL259"/>
      <c s="30" r="AM259"/>
      <c s="30" r="AN259"/>
      <c s="30" r="AO259"/>
    </row>
    <row r="260">
      <c t="str" s="106" r="A260">
        <f>(((B260&amp;" ")&amp;C260)&amp;" ")&amp;E260</f>
        <v>Fleshless Girdle Naxx25 Patchwerk 531.57</v>
      </c>
      <c t="s" s="87" r="B260">
        <v>510</v>
      </c>
      <c t="s" s="107" r="C260">
        <v>511</v>
      </c>
      <c t="s" s="107" r="D260">
        <v>509</v>
      </c>
      <c s="114" r="E260">
        <f>(F260+G260)+H260</f>
        <v>531.57</v>
      </c>
      <c s="121" r="F260">
        <f>((((((J260*0.1)+(O260*1.25))+R260)+S260)+V260)+(X260*0.5))+(AF260*0.2)</f>
        <v>252.3</v>
      </c>
      <c s="121" r="G260">
        <f>+((K260*1.06)*1.06)</f>
        <v>84.27</v>
      </c>
      <c s="121" r="H260">
        <f>((((AB260)+(0.3*K260))+AG260)+(AF260*0.6))+AI260</f>
        <v>195</v>
      </c>
      <c s="98" r="I260">
        <f>((((0.05*O260)+(0.053*V260))+(0.04*AC260))+(0.042*S260))/100.0</f>
        <v>0.03284</v>
      </c>
      <c s="127" r="J260">
        <v>1293</v>
      </c>
      <c s="24" r="K260">
        <f>L260+M260</f>
        <v>75</v>
      </c>
      <c s="127" r="L260">
        <v>75</v>
      </c>
      <c s="85" r="M260"/>
      <c s="78" r="N260"/>
      <c s="24" r="O260">
        <f>P260+Q260</f>
        <v>36</v>
      </c>
      <c s="127" r="P260">
        <v>36</v>
      </c>
      <c s="85" r="Q260"/>
      <c s="85" r="R260">
        <v>50</v>
      </c>
      <c s="24" r="S260">
        <f>T260+U260</f>
        <v>0</v>
      </c>
      <c s="127" r="T260"/>
      <c s="85" r="U260"/>
      <c s="85" r="V260">
        <v>28</v>
      </c>
      <c s="85" r="W260"/>
      <c s="85" r="X260"/>
      <c s="85" r="Y260"/>
      <c s="6" r="Z260"/>
      <c s="85" r="AA260">
        <v>75</v>
      </c>
      <c s="100" r="AB260"/>
      <c s="6" r="AC260"/>
      <c s="6" r="AD260"/>
      <c s="85" r="AE260"/>
      <c s="85" r="AF260"/>
      <c s="85" r="AG260"/>
      <c s="47" r="AH260">
        <f>((AC260*0.6637)+AE260)+AG260</f>
        <v>0</v>
      </c>
      <c s="94" r="AI260">
        <f>(AA260*2.3)+(AD260)</f>
        <v>172.5</v>
      </c>
      <c s="109" r="AJ260"/>
      <c s="44" r="AK260"/>
      <c s="30" r="AL260"/>
      <c s="30" r="AM260"/>
      <c s="30" r="AN260"/>
      <c s="30" r="AO260"/>
    </row>
    <row r="261">
      <c t="str" s="106" r="A261">
        <f>(((B261&amp;" ")&amp;C261)&amp;" ")&amp;E261</f>
        <v>Waistguard of Living Iron Heroic Badge x 40  530.1016</v>
      </c>
      <c t="s" s="87" r="B261">
        <v>512</v>
      </c>
      <c t="s" s="107" r="C261">
        <v>513</v>
      </c>
      <c t="s" s="107" r="D261">
        <v>509</v>
      </c>
      <c s="114" r="E261">
        <f>(F261+G261)+H261</f>
        <v>530.1016</v>
      </c>
      <c s="121" r="F261">
        <f>((((((J261*0.1)+(O261*1.25))+R261)+S261)+V261)+(X261*0.5))+(AF261*0.2)</f>
        <v>248.1</v>
      </c>
      <c s="121" r="G261">
        <f>+((K261*1.06)*1.06)</f>
        <v>119.1016</v>
      </c>
      <c s="121" r="H261">
        <f>((((AB261)+(0.3*K261))+AG261)+(AF261*0.6))+AI261</f>
        <v>162.9</v>
      </c>
      <c s="98" r="I261">
        <f>((((0.05*O261)+(0.053*V261))+(0.04*AC261))+(0.042*S261))/100.0</f>
        <v>0.05269</v>
      </c>
      <c s="127" r="J261">
        <v>1261</v>
      </c>
      <c s="24" r="K261">
        <f>L261+M261</f>
        <v>106</v>
      </c>
      <c s="127" r="L261">
        <v>88</v>
      </c>
      <c s="85" r="M261">
        <f>12.0+6.0</f>
        <v>18</v>
      </c>
      <c t="s" s="78" r="N261">
        <v>147</v>
      </c>
      <c s="24" r="O261">
        <f>P261+Q261</f>
        <v>52</v>
      </c>
      <c s="127" r="P261">
        <v>44</v>
      </c>
      <c s="85" r="Q261">
        <v>8</v>
      </c>
      <c s="85" r="R261"/>
      <c s="24" r="S261">
        <f>T261+U261</f>
        <v>32</v>
      </c>
      <c s="127" r="T261">
        <v>32</v>
      </c>
      <c s="85" r="U261"/>
      <c s="85" r="V261">
        <v>25</v>
      </c>
      <c s="85" r="W261"/>
      <c s="85" r="X261"/>
      <c s="85" r="Y261"/>
      <c s="6" r="Z261"/>
      <c s="85" r="AA261">
        <v>57</v>
      </c>
      <c s="100" r="AB261"/>
      <c s="6" r="AC261"/>
      <c s="6" r="AD261"/>
      <c s="85" r="AE261"/>
      <c s="85" r="AF261"/>
      <c s="85" r="AG261"/>
      <c s="47" r="AH261">
        <f>((AC261*0.6637)+AE261)+AG261</f>
        <v>0</v>
      </c>
      <c s="94" r="AI261">
        <f>(AA261*2.3)+(AD261)</f>
        <v>131.1</v>
      </c>
      <c s="109" r="AJ261"/>
      <c s="44" r="AK261"/>
      <c s="30" r="AL261"/>
      <c s="30" r="AM261"/>
      <c s="30" r="AN261"/>
      <c s="30" r="AO261"/>
    </row>
    <row r="262">
      <c t="str" s="106" r="A262">
        <f>(((B262&amp;" ")&amp;C262)&amp;" ")&amp;E262</f>
        <v>Waistguard of the Tutor Naxx10 Razuvious 522.2891999999999</v>
      </c>
      <c t="s" s="87" r="B262">
        <v>514</v>
      </c>
      <c t="s" s="107" r="C262">
        <v>515</v>
      </c>
      <c t="s" s="107" r="D262">
        <v>509</v>
      </c>
      <c s="114" r="E262">
        <f>(F262+G262)+H262</f>
        <v>522.2892</v>
      </c>
      <c s="121" r="F262">
        <f>((((((J262*0.1)+(O262*1.25))+R262)+S262)+V262)+(X262*0.5))+(AF262*0.2)</f>
        <v>230.1</v>
      </c>
      <c s="121" r="G262">
        <f>+((K262*1.06)*1.06)</f>
        <v>108.9892</v>
      </c>
      <c s="121" r="H262">
        <f>((((AB262)+(0.3*K262))+AG262)+(AF262*0.6))+AI262</f>
        <v>183.2</v>
      </c>
      <c s="98" r="I262">
        <f>((((0.05*O262)+(0.053*V262))+(0.04*AC262))+(0.042*S262))/100.0</f>
        <v>0.017</v>
      </c>
      <c s="127" r="J262">
        <v>1261</v>
      </c>
      <c s="24" r="K262">
        <f>L262+M262</f>
        <v>97</v>
      </c>
      <c s="127" r="L262">
        <v>97</v>
      </c>
      <c s="85" r="M262"/>
      <c s="78" r="N262"/>
      <c s="24" r="O262">
        <f>P262+Q262</f>
        <v>34</v>
      </c>
      <c s="127" r="P262">
        <v>34</v>
      </c>
      <c s="85" r="Q262"/>
      <c s="85" r="R262">
        <v>36</v>
      </c>
      <c s="24" r="S262">
        <f>T262+U262</f>
        <v>0</v>
      </c>
      <c s="127" r="T262"/>
      <c s="85" r="U262"/>
      <c s="85" r="V262"/>
      <c s="85" r="W262"/>
      <c s="85" r="X262">
        <v>51</v>
      </c>
      <c s="85" r="Y262"/>
      <c s="6" r="Z262"/>
      <c s="85" r="AA262">
        <v>67</v>
      </c>
      <c s="100" r="AB262"/>
      <c s="6" r="AC262"/>
      <c s="6" r="AD262"/>
      <c s="85" r="AE262"/>
      <c s="85" r="AF262"/>
      <c s="85" r="AG262"/>
      <c s="47" r="AH262">
        <f>((AC262*0.6637)+AE262)+AG262</f>
        <v>0</v>
      </c>
      <c s="94" r="AI262">
        <f>(AA262*2.3)+(AD262)</f>
        <v>154.1</v>
      </c>
      <c s="109" r="AJ262"/>
      <c s="44" r="AK262"/>
      <c s="30" r="AL262"/>
      <c s="30" r="AM262"/>
      <c s="30" r="AN262"/>
      <c s="30" r="AO262"/>
    </row>
    <row r="263">
      <c t="str" s="106" r="A263">
        <f>(((B263&amp;" ")&amp;C263)&amp;" ")&amp;E263</f>
        <v>Ancient Aligned Girdle Azjol-Nerub heroic Anub'arak 480.43640000000005</v>
      </c>
      <c t="s" s="87" r="B263">
        <v>516</v>
      </c>
      <c t="s" s="107" r="C263">
        <v>517</v>
      </c>
      <c t="s" s="107" r="D263">
        <v>509</v>
      </c>
      <c s="114" r="E263">
        <f>(F263+G263)+H263</f>
        <v>480.4364</v>
      </c>
      <c s="121" r="F263">
        <f>((((((J263*0.1)+(O263*1.25))+R263)+S263)+V263)+(X263*0.5))+(AF263*0.2)</f>
        <v>252.1</v>
      </c>
      <c s="121" r="G263">
        <f>+((K263*1.06)*1.06)</f>
        <v>111.2364</v>
      </c>
      <c s="121" r="H263">
        <f>((((AB263)+(0.3*K263))+AG263)+(AF263*0.6))+AI263</f>
        <v>117.1</v>
      </c>
      <c s="98" r="I263">
        <f>((((0.05*O263)+(0.053*V263))+(0.04*AC263))+(0.042*S263))/100.0</f>
        <v>0.05898</v>
      </c>
      <c s="127" r="J263">
        <v>1261</v>
      </c>
      <c s="24" r="K263">
        <f>L263+M263</f>
        <v>99</v>
      </c>
      <c s="127" r="L263">
        <v>99</v>
      </c>
      <c s="85" r="M263"/>
      <c s="78" r="N263"/>
      <c s="24" r="O263">
        <f>P263+Q263</f>
        <v>48</v>
      </c>
      <c s="127" r="P263">
        <v>48</v>
      </c>
      <c s="85" r="Q263"/>
      <c s="85" r="R263"/>
      <c s="24" r="S263">
        <f>T263+U263</f>
        <v>0</v>
      </c>
      <c s="127" r="T263"/>
      <c s="85" r="U263"/>
      <c s="85" r="V263">
        <v>66</v>
      </c>
      <c s="85" r="W263"/>
      <c s="85" r="X263"/>
      <c s="85" r="Y263"/>
      <c s="6" r="Z263"/>
      <c s="85" r="AA263">
        <v>38</v>
      </c>
      <c s="100" r="AB263"/>
      <c s="6" r="AC263"/>
      <c s="6" r="AD263"/>
      <c s="85" r="AE263"/>
      <c s="85" r="AF263"/>
      <c s="85" r="AG263"/>
      <c s="47" r="AH263">
        <f>((AC263*0.6637)+AE263)+AG263</f>
        <v>0</v>
      </c>
      <c s="94" r="AI263">
        <f>(AA263*2.3)+(AD263)</f>
        <v>87.4</v>
      </c>
      <c s="109" r="AJ263"/>
      <c s="44" r="AK263"/>
      <c s="30" r="AL263"/>
      <c s="30" r="AM263"/>
      <c s="30" r="AN263"/>
      <c s="30" r="AO263"/>
    </row>
    <row r="264">
      <c t="str" s="106" r="A264">
        <f>(((B264&amp;" ")&amp;C264)&amp;" ")&amp;E264</f>
        <v>Waistguard of the Risen Knight   464.55319999999995</v>
      </c>
      <c t="s" s="87" r="B264">
        <v>518</v>
      </c>
      <c t="s" s="107" r="C264">
        <v>142</v>
      </c>
      <c t="s" s="107" r="D264">
        <v>509</v>
      </c>
      <c s="114" r="E264">
        <f>(F264+G264)+H264</f>
        <v>464.5532</v>
      </c>
      <c s="121" r="F264">
        <f>((((((J264*0.1)+(O264*1.25))+R264)+S264)+V264)+(X264*0.5))+(AF264*0.2)</f>
        <v>207.3</v>
      </c>
      <c s="121" r="G264">
        <f>+((K264*1.06)*1.06)</f>
        <v>97.7532</v>
      </c>
      <c s="121" r="H264">
        <f>((((AB264)+(0.3*K264))+AG264)+(AF264*0.6))+AI264</f>
        <v>159.5</v>
      </c>
      <c s="98" r="I264">
        <f>((((0.05*O264)+(0.053*V264))+(0.04*AC264))+(0.042*S264))/100.0</f>
        <v>0.03849</v>
      </c>
      <c s="127" r="J264">
        <v>1218</v>
      </c>
      <c s="24" r="K264">
        <f>L264+M264</f>
        <v>87</v>
      </c>
      <c s="127" r="L264">
        <v>87</v>
      </c>
      <c s="85" r="M264"/>
      <c s="78" r="N264"/>
      <c s="24" r="O264">
        <f>P264+Q264</f>
        <v>42</v>
      </c>
      <c s="127" r="P264">
        <v>42</v>
      </c>
      <c s="85" r="Q264"/>
      <c s="85" r="R264"/>
      <c s="24" r="S264">
        <f>T264+U264</f>
        <v>0</v>
      </c>
      <c s="127" r="T264"/>
      <c s="85" r="U264"/>
      <c s="85" r="V264">
        <v>33</v>
      </c>
      <c s="85" r="W264"/>
      <c s="85" r="X264"/>
      <c s="85" r="Y264"/>
      <c s="6" r="Z264"/>
      <c s="85" r="AA264">
        <v>58</v>
      </c>
      <c s="100" r="AB264"/>
      <c s="6" r="AC264"/>
      <c s="6" r="AD264"/>
      <c s="85" r="AE264"/>
      <c s="85" r="AF264"/>
      <c s="85" r="AG264"/>
      <c s="47" r="AH264">
        <f>((AC264*0.6637)+AE264)+AG264</f>
        <v>0</v>
      </c>
      <c s="94" r="AI264">
        <f>(AA264*2.3)+(AD264)</f>
        <v>133.4</v>
      </c>
      <c s="109" r="AJ264"/>
      <c s="44" r="AK264"/>
      <c s="30" r="AL264"/>
      <c s="30" r="AM264"/>
      <c s="30" r="AN264"/>
      <c s="30" r="AO264"/>
    </row>
    <row r="265">
      <c t="str" s="106" r="A265">
        <f>(((B265&amp;" ")&amp;C265)&amp;" ")&amp;E265</f>
        <v>Skadi's Iron Belt Utgarde Pinnacle Heroic Skadi 457.6864</v>
      </c>
      <c t="s" s="87" r="B265">
        <v>519</v>
      </c>
      <c t="s" s="107" r="C265">
        <v>520</v>
      </c>
      <c t="s" s="107" r="D265">
        <v>509</v>
      </c>
      <c s="114" r="E265">
        <f>(F265+G265)+H265</f>
        <v>457.6864</v>
      </c>
      <c s="121" r="F265">
        <f>((((((J265*0.1)+(O265*1.25))+R265)+S265)+V265)+(X265*0.5))+(AF265*0.2)</f>
        <v>204.05</v>
      </c>
      <c s="121" r="G265">
        <f>+((K265*1.06)*1.06)</f>
        <v>111.2364</v>
      </c>
      <c s="121" r="H265">
        <f>((((AB265)+(0.3*K265))+AG265)+(AF265*0.6))+AI265</f>
        <v>142.4</v>
      </c>
      <c s="98" r="I265">
        <f>((((0.05*O265)+(0.053*V265))+(0.04*AC265))+(0.042*S265))/100.0</f>
        <v>0.02286</v>
      </c>
      <c s="127" r="J265">
        <v>1218</v>
      </c>
      <c s="24" r="K265">
        <f>L265+M265</f>
        <v>99</v>
      </c>
      <c s="127" r="L265">
        <v>87</v>
      </c>
      <c s="85" r="M265">
        <v>12</v>
      </c>
      <c t="s" s="78" r="N265">
        <v>131</v>
      </c>
      <c s="24" r="O265">
        <f>P265+Q265</f>
        <v>39</v>
      </c>
      <c s="127" r="P265">
        <v>39</v>
      </c>
      <c s="85" r="Q265"/>
      <c s="85" r="R265"/>
      <c s="24" r="S265">
        <f>T265+U265</f>
        <v>8</v>
      </c>
      <c s="127" r="T265"/>
      <c s="85" r="U265">
        <v>8</v>
      </c>
      <c s="85" r="V265"/>
      <c s="85" r="W265"/>
      <c s="85" r="X265">
        <f>45.0+6.0</f>
        <v>51</v>
      </c>
      <c s="85" r="Y265"/>
      <c s="6" r="Z265"/>
      <c s="85" r="AA265">
        <v>49</v>
      </c>
      <c s="100" r="AB265"/>
      <c s="6" r="AC265"/>
      <c s="6" r="AD265"/>
      <c s="85" r="AE265"/>
      <c s="85" r="AF265"/>
      <c s="85" r="AG265"/>
      <c s="47" r="AH265">
        <f>((AC265*0.6637)+AE265)+AG265</f>
        <v>0</v>
      </c>
      <c s="94" r="AI265">
        <f>(AA265*2.3)+(AD265)</f>
        <v>112.7</v>
      </c>
      <c s="109" r="AJ265"/>
      <c s="44" r="AK265"/>
      <c s="30" r="AL265"/>
      <c s="30" r="AM265"/>
      <c s="30" r="AN265"/>
      <c s="30" r="AO265"/>
    </row>
    <row r="266">
      <c t="str" s="106" r="A266">
        <f>(((B266&amp;" ")&amp;C266)&amp;" ")&amp;E266</f>
        <v>Girdle of Obscuring The Oculus Urum 416.44359999999995</v>
      </c>
      <c t="s" s="87" r="B266">
        <v>521</v>
      </c>
      <c t="s" s="107" r="C266">
        <v>522</v>
      </c>
      <c t="s" s="107" r="D266">
        <v>509</v>
      </c>
      <c s="114" r="E266">
        <f>(F266+G266)+H266</f>
        <v>416.4436</v>
      </c>
      <c s="121" r="F266">
        <f>((((((J266*0.1)+(O266*1.25))+R266)+S266)+V266)+(X266*0.5))+(AF266*0.2)</f>
        <v>190.95</v>
      </c>
      <c s="121" r="G266">
        <f>+((K266*1.06)*1.06)</f>
        <v>85.3936</v>
      </c>
      <c s="121" r="H266">
        <f>((((AB266)+(0.3*K266))+AG266)+(AF266*0.6))+AI266</f>
        <v>140.1</v>
      </c>
      <c s="98" r="I266">
        <f>((((0.05*O266)+(0.053*V266))+(0.04*AC266))+(0.042*S266))/100.0</f>
        <v>0.03004</v>
      </c>
      <c s="127" r="J266">
        <v>1177</v>
      </c>
      <c s="24" r="K266">
        <f>L266+M266</f>
        <v>76</v>
      </c>
      <c s="127" r="L266">
        <v>76</v>
      </c>
      <c s="85" r="M266"/>
      <c s="78" r="N266"/>
      <c s="24" r="O266">
        <f>P266+Q266</f>
        <v>29</v>
      </c>
      <c s="127" r="P266">
        <v>29</v>
      </c>
      <c s="85" r="Q266"/>
      <c s="85" r="R266"/>
      <c s="24" r="S266">
        <f>T266+U266</f>
        <v>37</v>
      </c>
      <c s="127" r="T266">
        <v>37</v>
      </c>
      <c s="85" r="U266"/>
      <c s="85" r="V266"/>
      <c s="85" r="W266"/>
      <c s="85" r="X266"/>
      <c s="85" r="Y266"/>
      <c s="6" r="Z266"/>
      <c s="85" r="AA266">
        <v>51</v>
      </c>
      <c s="100" r="AB266"/>
      <c s="6" r="AC266"/>
      <c s="6" r="AD266"/>
      <c s="85" r="AE266"/>
      <c s="85" r="AF266"/>
      <c s="85" r="AG266"/>
      <c s="47" r="AH266">
        <f>((AC266*0.6637)+AE266)+AG266</f>
        <v>0</v>
      </c>
      <c s="94" r="AI266">
        <f>(AA266*2.3)+(AD266)</f>
        <v>117.3</v>
      </c>
      <c s="109" r="AJ266"/>
      <c s="44" r="AK266"/>
      <c s="30" r="AL266"/>
      <c s="30" r="AM266"/>
      <c s="30" r="AN266"/>
      <c s="30" r="AO266"/>
    </row>
    <row r="267">
      <c t="str" s="106" r="A267">
        <f>(((B267&amp;" ")&amp;C267)&amp;" ")&amp;E267</f>
        <v>Lightbringer Waistguard Sunwell 387.3768</v>
      </c>
      <c t="s" s="99" r="B267">
        <v>523</v>
      </c>
      <c t="s" s="107" r="C267">
        <v>524</v>
      </c>
      <c t="s" s="107" r="D267">
        <v>509</v>
      </c>
      <c s="114" r="E267">
        <f>(F267+G267)+H267</f>
        <v>387.3768</v>
      </c>
      <c s="121" r="F267">
        <f>((((((J267*0.1)+(O267*1.25))+R267)+S267)+V267)+(X267*0.5))+(AF267*0.2)</f>
        <v>193.1</v>
      </c>
      <c s="121" r="G267">
        <f>+((K267*1.06)*1.06)</f>
        <v>98.8768</v>
      </c>
      <c s="121" r="H267">
        <f>((((AB267)+(0.3*K267))+AG267)+(AF267*0.6))+AI267</f>
        <v>95.4</v>
      </c>
      <c s="98" r="I267">
        <f>((((0.05*O267)+(0.053*V267))+(0.04*AC267))+(0.042*S267))/100.0</f>
        <v>0.0299</v>
      </c>
      <c s="127" r="J267">
        <v>1081</v>
      </c>
      <c s="24" r="K267">
        <f>L267+M267</f>
        <v>88</v>
      </c>
      <c s="127" r="L267">
        <v>64</v>
      </c>
      <c s="85" r="M267">
        <v>24</v>
      </c>
      <c t="s" s="78" r="N267">
        <v>113</v>
      </c>
      <c s="24" r="O267">
        <f>P267+Q267</f>
        <v>28</v>
      </c>
      <c s="127" r="P267">
        <v>28</v>
      </c>
      <c s="85" r="Q267"/>
      <c s="85" r="R267">
        <v>20</v>
      </c>
      <c s="24" r="S267"/>
      <c s="127" r="T267"/>
      <c s="85" r="U267"/>
      <c s="85" r="V267">
        <f>28.0+2.0</f>
        <v>30</v>
      </c>
      <c s="85" r="W267"/>
      <c s="85" r="X267"/>
      <c s="85" r="Y267"/>
      <c s="6" r="Z267"/>
      <c s="85" r="AA267">
        <v>30</v>
      </c>
      <c s="100" r="AB267"/>
      <c s="6" r="AC267"/>
      <c s="6" r="AD267"/>
      <c s="85" r="AE267"/>
      <c s="85" r="AF267"/>
      <c s="85" r="AG267"/>
      <c s="47" r="AH267">
        <f>((AC267*0.6637)+AE267)+AG267</f>
        <v>0</v>
      </c>
      <c s="94" r="AI267">
        <f>(AA267*2.3)+(AD267)</f>
        <v>69</v>
      </c>
      <c s="109" r="AJ267"/>
      <c s="44" r="AK267"/>
      <c s="30" r="AL267"/>
      <c s="30" r="AM267"/>
      <c s="30" r="AN267"/>
      <c s="30" r="AO267"/>
    </row>
    <row r="268">
      <c t="str" s="106" r="A268">
        <f>(((B268&amp;" ")&amp;C268)&amp;" ")&amp;E268</f>
        <v>Girdle of Mighty Resolve (sta,sta) Bloodboil 376.5712</v>
      </c>
      <c t="s" s="42" r="B268">
        <v>525</v>
      </c>
      <c t="s" s="42" r="C268">
        <v>526</v>
      </c>
      <c t="s" s="78" r="D268">
        <v>509</v>
      </c>
      <c s="114" r="E268">
        <f>(F268+G268)+H268</f>
        <v>376.5712</v>
      </c>
      <c s="121" r="F268">
        <f>((((((J268*0.1)+(O268*1.25))+R268)+S268)+V268)+(X268*0.5))+(AF268*0.2)</f>
        <v>185.8</v>
      </c>
      <c s="121" r="G268">
        <f>+((K268*1.06)*1.06)</f>
        <v>103.3712</v>
      </c>
      <c s="121" r="H268">
        <f>((((AB268)+(0.3*K268))+AG268)+(AF268*0.6))+AI268</f>
        <v>87.4</v>
      </c>
      <c s="98" r="I268">
        <f>((((0.05*O268)+(0.053*V268))+(0.04*AC268))+(0.042*S268))/100.0</f>
        <v>0.017</v>
      </c>
      <c s="130" r="J268">
        <v>993</v>
      </c>
      <c s="24" r="K268">
        <f>L268+M268</f>
        <v>92</v>
      </c>
      <c s="130" r="L268">
        <f>56.0</f>
        <v>56</v>
      </c>
      <c s="78" r="M268">
        <f>24.0+12.0</f>
        <v>36</v>
      </c>
      <c t="s" s="78" r="N268">
        <v>503</v>
      </c>
      <c s="24" r="O268">
        <f>P268+Q268</f>
        <v>34</v>
      </c>
      <c s="130" r="P268">
        <v>26</v>
      </c>
      <c s="78" r="Q268">
        <v>8</v>
      </c>
      <c s="78" r="R268">
        <v>25</v>
      </c>
      <c s="24" r="S268">
        <f>T268+U268</f>
        <v>0</v>
      </c>
      <c s="130" r="T268"/>
      <c s="78" r="U268"/>
      <c s="78" r="V268"/>
      <c s="78" r="W268"/>
      <c s="78" r="X268">
        <v>38</v>
      </c>
      <c s="78" r="Y268"/>
      <c s="78" r="Z268"/>
      <c s="78" r="AA268">
        <v>26</v>
      </c>
      <c s="23" r="AB268"/>
      <c s="78" r="AC268"/>
      <c s="78" r="AD268"/>
      <c s="78" r="AE268"/>
      <c s="78" r="AF268"/>
      <c s="78" r="AG268"/>
      <c s="47" r="AH268">
        <f>((AC268*0.6637)+AE268)+AG268</f>
        <v>0</v>
      </c>
      <c s="94" r="AI268">
        <f>(AA268*2.3)+(AD268)</f>
        <v>59.8</v>
      </c>
      <c s="109" r="AJ268"/>
      <c s="44" r="AK268"/>
      <c s="30" r="AL268"/>
      <c s="30" r="AM268"/>
      <c s="30" r="AN268"/>
      <c s="30" r="AO268"/>
    </row>
    <row r="269">
      <c t="str" s="106" r="A269">
        <f>(((B269&amp;" ")&amp;C269)&amp;" ")&amp;E269</f>
        <v>Girdle of Stability (sta,sta) Bloodboil 363.3044</v>
      </c>
      <c t="s" s="42" r="B269">
        <v>527</v>
      </c>
      <c t="s" s="42" r="C269">
        <v>526</v>
      </c>
      <c t="s" s="78" r="D269">
        <v>509</v>
      </c>
      <c s="114" r="E269">
        <f>(F269+G269)+H269</f>
        <v>363.3044</v>
      </c>
      <c s="121" r="F269">
        <f>((((((J269*0.1)+(O269*1.25))+R269)+S269)+V269)+(X269*0.5))+(AF269*0.2)</f>
        <v>160.05</v>
      </c>
      <c s="121" r="G269">
        <f>+((K269*1.06)*1.06)</f>
        <v>116.8544</v>
      </c>
      <c s="121" r="H269">
        <f>((((AB269)+(0.3*K269))+AG269)+(AF269*0.6))+AI269</f>
        <v>86.4</v>
      </c>
      <c s="98" r="I269">
        <f>((((0.05*O269)+(0.053*V269))+(0.04*AC269))+(0.042*S269))/100.0</f>
        <v>0.01904</v>
      </c>
      <c s="130" r="J269">
        <v>993</v>
      </c>
      <c s="24" r="K269">
        <f>L269+M269</f>
        <v>104</v>
      </c>
      <c s="130" r="L269">
        <f>56.0</f>
        <v>56</v>
      </c>
      <c s="78" r="M269">
        <f>24.0+24.0</f>
        <v>48</v>
      </c>
      <c t="s" s="78" r="N269">
        <v>159</v>
      </c>
      <c s="24" r="O269">
        <f>P269+Q269</f>
        <v>19</v>
      </c>
      <c s="130" r="P269">
        <v>19</v>
      </c>
      <c s="78" r="Q269"/>
      <c s="78" r="R269"/>
      <c s="24" r="S269">
        <f>T269+U269</f>
        <v>0</v>
      </c>
      <c s="130" r="T269"/>
      <c s="78" r="U269"/>
      <c s="78" r="V269">
        <v>18</v>
      </c>
      <c s="78" r="W269"/>
      <c s="78" r="X269">
        <v>38</v>
      </c>
      <c s="78" r="Y269"/>
      <c s="78" r="Z269"/>
      <c s="78" r="AA269">
        <v>24</v>
      </c>
      <c s="23" r="AB269"/>
      <c s="78" r="AC269"/>
      <c s="78" r="AD269"/>
      <c s="78" r="AE269"/>
      <c s="78" r="AF269"/>
      <c s="78" r="AG269"/>
      <c s="47" r="AH269">
        <f>((AC269*0.6637)+AE269)+AG269</f>
        <v>0</v>
      </c>
      <c s="94" r="AI269">
        <f>(AA269*2.3)+(AD269)</f>
        <v>55.2</v>
      </c>
      <c s="109" r="AJ269"/>
      <c s="44" r="AK269"/>
      <c s="30" r="AL269"/>
      <c s="30" r="AM269"/>
      <c s="30" r="AN269"/>
      <c s="30" r="AO269"/>
    </row>
    <row r="270">
      <c t="str" s="106" r="A270">
        <f>(((B270&amp;" ")&amp;C270)&amp;" ")&amp;E270</f>
        <v>Belt of the Guardian (sta/sta) Crafted 322.5156</v>
      </c>
      <c t="s" s="42" r="B270">
        <v>528</v>
      </c>
      <c t="s" s="42" r="C270">
        <v>73</v>
      </c>
      <c t="s" s="78" r="D270">
        <v>509</v>
      </c>
      <c s="114" r="E270">
        <f>(F270+G270)+H270</f>
        <v>322.5156</v>
      </c>
      <c s="121" r="F270">
        <f>((((((J270*0.1)+(O270*1.25))+R270)+S270)+V270)+(X270*0.5))+(AF270*0.2)</f>
        <v>130.65</v>
      </c>
      <c s="121" r="G270">
        <f>+((K270*1.06)*1.06)</f>
        <v>107.8656</v>
      </c>
      <c s="121" r="H270">
        <f>((((AB270)+(0.3*K270))+AG270)+(AF270*0.6))+AI270</f>
        <v>84</v>
      </c>
      <c s="98" r="I270">
        <f>((((0.05*O270)+(0.053*V270))+(0.04*AC270))+(0.042*S270))/100.0</f>
        <v>0.0095</v>
      </c>
      <c s="130" r="J270">
        <v>904</v>
      </c>
      <c s="24" r="K270">
        <f>L270+M270</f>
        <v>96</v>
      </c>
      <c s="130" r="L270">
        <f>48.0</f>
        <v>48</v>
      </c>
      <c s="78" r="M270">
        <f>24.0+24.0</f>
        <v>48</v>
      </c>
      <c t="s" s="78" r="N270">
        <v>159</v>
      </c>
      <c s="24" r="O270">
        <f>P270+Q270</f>
        <v>19</v>
      </c>
      <c s="130" r="P270">
        <v>19</v>
      </c>
      <c s="78" r="Q270"/>
      <c s="78" r="R270"/>
      <c s="24" r="S270">
        <f>T270+U270</f>
        <v>0</v>
      </c>
      <c s="130" r="T270"/>
      <c s="78" r="U270"/>
      <c s="78" r="V270"/>
      <c s="78" r="W270"/>
      <c s="78" r="X270">
        <v>33</v>
      </c>
      <c s="78" r="Y270"/>
      <c s="78" r="Z270"/>
      <c s="78" r="AA270">
        <v>24</v>
      </c>
      <c s="23" r="AB270"/>
      <c s="78" r="AC270"/>
      <c s="78" r="AD270"/>
      <c s="78" r="AE270"/>
      <c s="78" r="AF270"/>
      <c s="78" r="AG270"/>
      <c s="47" r="AH270">
        <f>((AC270*0.6637)+AE270)+AG270</f>
        <v>0</v>
      </c>
      <c s="94" r="AI270">
        <f>(AA270*2.3)+(AD270)</f>
        <v>55.2</v>
      </c>
      <c s="109" r="AJ270"/>
      <c s="44" r="AK270"/>
      <c s="30" r="AL270"/>
      <c s="30" r="AM270"/>
      <c s="30" r="AN270"/>
      <c s="30" r="AO270"/>
    </row>
    <row r="271">
      <c t="str" s="106" r="A271">
        <f>(((B271&amp;" ")&amp;C271)&amp;" ")&amp;E271</f>
        <v>Girdle of the Fearless (sta/str) 75 Badges 319.952</v>
      </c>
      <c t="s" s="42" r="B271">
        <v>529</v>
      </c>
      <c t="s" s="42" r="C271">
        <v>133</v>
      </c>
      <c t="s" s="78" r="D271">
        <v>509</v>
      </c>
      <c s="114" r="E271">
        <f>(F271+G271)+H271</f>
        <v>319.952</v>
      </c>
      <c s="121" r="F271">
        <f>((((((J271*0.1)+(O271*1.25))+R271)+S271)+V271)+(X271*0.5))+(AF271*0.2)</f>
        <v>154.2</v>
      </c>
      <c s="121" r="G271">
        <f>+((K271*1.06)*1.06)</f>
        <v>78.652</v>
      </c>
      <c s="121" r="H271">
        <f>((((AB271)+(0.3*K271))+AG271)+(AF271*0.6))+AI271</f>
        <v>87.1</v>
      </c>
      <c s="98" r="I271">
        <f>((((0.05*O271)+(0.053*V271))+(0.04*AC271))+(0.042*S271))/100.0</f>
        <v>0.02036</v>
      </c>
      <c s="130" r="J271">
        <v>993</v>
      </c>
      <c s="24" r="K271">
        <f>L271+M271</f>
        <v>70</v>
      </c>
      <c s="130" r="L271">
        <f>58.0</f>
        <v>58</v>
      </c>
      <c s="78" r="M271">
        <v>12</v>
      </c>
      <c t="s" s="78" r="N271">
        <v>125</v>
      </c>
      <c s="24" r="O271">
        <f>P271+Q271</f>
        <v>34</v>
      </c>
      <c s="130" r="P271">
        <v>34</v>
      </c>
      <c s="78" r="Q271"/>
      <c s="78" r="R271"/>
      <c s="24" r="S271">
        <f>T271+U271</f>
        <v>8</v>
      </c>
      <c s="130" r="T271"/>
      <c s="78" r="U271">
        <v>8</v>
      </c>
      <c s="78" r="V271"/>
      <c s="78" r="W271"/>
      <c s="78" r="X271"/>
      <c s="78" r="Y271"/>
      <c s="78" r="Z271"/>
      <c s="78" r="AA271">
        <f>23.0</f>
        <v>23</v>
      </c>
      <c s="78" r="AB271"/>
      <c s="78" r="AC271"/>
      <c s="78" r="AD271"/>
      <c s="78" r="AE271"/>
      <c s="78" r="AF271">
        <v>22</v>
      </c>
      <c s="78" r="AG271"/>
      <c s="47" r="AH271">
        <f>((AC271*0.6637)+AE271)+AG271</f>
        <v>0</v>
      </c>
      <c s="94" r="AI271">
        <f>(AA271*2.3)+(AD271)</f>
        <v>52.9</v>
      </c>
      <c s="109" r="AJ271"/>
      <c s="44" r="AK271"/>
      <c s="30" r="AL271"/>
      <c s="30" r="AM271"/>
      <c s="30" r="AN271"/>
      <c s="30" r="AO271"/>
    </row>
    <row r="272">
      <c t="str" s="106" r="A272">
        <f>(((B272&amp;" ")&amp;C272)&amp;" ")&amp;E272</f>
        <v>Irontusk Girdle (sta, sta) 60 Badges 314.5616</v>
      </c>
      <c t="s" s="42" r="B272">
        <v>530</v>
      </c>
      <c t="s" s="42" r="C272">
        <v>207</v>
      </c>
      <c t="s" s="78" r="D272">
        <v>509</v>
      </c>
      <c s="114" r="E272">
        <f>(F272+G272)+H272</f>
        <v>314.5616</v>
      </c>
      <c s="121" r="F272">
        <f>((((((J272*0.1)+(O272*1.25))+R272)+S272)+V272)+(X272*0.5))+(AF272*0.2)</f>
        <v>148.65</v>
      </c>
      <c s="121" r="G272">
        <f>+((K272*1.06)*1.06)</f>
        <v>91.0116</v>
      </c>
      <c s="121" r="H272">
        <f>((((AB272)+(0.3*K272))+AG272)+(AF272*0.6))+AI272</f>
        <v>74.9</v>
      </c>
      <c s="98" r="I272">
        <f>((((0.05*O272)+(0.053*V272))+(0.04*AC272))+(0.042*S272))/100.0</f>
        <v>0.02616</v>
      </c>
      <c s="130" r="J272">
        <v>904</v>
      </c>
      <c s="24" r="K272">
        <f>L272+M272</f>
        <v>81</v>
      </c>
      <c s="130" r="L272">
        <f>45.0</f>
        <v>45</v>
      </c>
      <c s="78" r="M272">
        <f>24.0+12.0</f>
        <v>36</v>
      </c>
      <c t="s" s="78" r="N272">
        <v>503</v>
      </c>
      <c s="24" r="O272">
        <f>P272+Q272</f>
        <v>29</v>
      </c>
      <c s="130" r="P272">
        <v>21</v>
      </c>
      <c s="78" r="Q272">
        <v>8</v>
      </c>
      <c s="78" r="R272"/>
      <c s="24" r="S272">
        <f>T272+U272</f>
        <v>0</v>
      </c>
      <c s="130" r="T272"/>
      <c s="78" r="U272"/>
      <c s="78" r="V272">
        <v>22</v>
      </c>
      <c s="78" r="W272"/>
      <c s="78" r="X272"/>
      <c s="78" r="Y272"/>
      <c s="78" r="Z272"/>
      <c s="78" r="AA272">
        <v>22</v>
      </c>
      <c s="23" r="AB272"/>
      <c s="78" r="AC272"/>
      <c s="78" r="AD272"/>
      <c s="78" r="AE272"/>
      <c s="78" r="AF272"/>
      <c s="78" r="AG272"/>
      <c s="47" r="AH272">
        <f>((AC272*0.6637)+AE272)+AG272</f>
        <v>0</v>
      </c>
      <c s="94" r="AI272">
        <f>(AA272*2.3)+(AD272)</f>
        <v>50.6</v>
      </c>
      <c s="129" r="AJ272"/>
      <c s="44" r="AK272"/>
      <c s="30" r="AL272"/>
      <c s="30" r="AM272"/>
      <c s="30" r="AN272"/>
      <c s="30" r="AO272"/>
    </row>
    <row r="273">
      <c t="str" s="106" r="A273">
        <f>(((B273&amp;" ")&amp;C273)&amp;" ")&amp;E273</f>
        <v>Girdle of the Invulnerable (sta/str, sta) Leo 313.82280000000003</v>
      </c>
      <c t="s" s="42" r="B273">
        <v>531</v>
      </c>
      <c t="s" s="42" r="C273">
        <v>212</v>
      </c>
      <c t="s" s="78" r="D273">
        <v>509</v>
      </c>
      <c s="114" r="E273">
        <f>(F273+G273)+H273</f>
        <v>313.8228</v>
      </c>
      <c s="121" r="F273">
        <f>((((((J273*0.1)+(O273*1.25))+R273)+S273)+V273)+(X273*0.5))+(AF273*0.2)</f>
        <v>163.9</v>
      </c>
      <c s="121" r="G273">
        <f>+((K273*1.06)*1.06)</f>
        <v>82.0228</v>
      </c>
      <c s="121" r="H273">
        <f>((((AB273)+(0.3*K273))+AG273)+(AF273*0.6))+AI273</f>
        <v>67.9</v>
      </c>
      <c s="98" r="I273">
        <f>((((0.05*O273)+(0.053*V273))+(0.04*AC273))+(0.042*S273))/100.0</f>
        <v>0.03241</v>
      </c>
      <c s="130" r="J273">
        <v>904</v>
      </c>
      <c s="24" r="K273">
        <f>L273+M273</f>
        <v>73</v>
      </c>
      <c s="130" r="L273">
        <f>37.0</f>
        <v>37</v>
      </c>
      <c s="78" r="M273">
        <f>24.0+12.0</f>
        <v>36</v>
      </c>
      <c t="s" s="78" r="N273">
        <v>165</v>
      </c>
      <c s="24" r="O273">
        <f>P273+Q273</f>
        <v>22</v>
      </c>
      <c s="130" r="P273">
        <v>22</v>
      </c>
      <c s="78" r="Q273"/>
      <c s="78" r="R273"/>
      <c s="24" r="S273">
        <f>T273+U273</f>
        <v>27</v>
      </c>
      <c s="130" r="T273">
        <v>19</v>
      </c>
      <c s="78" r="U273">
        <v>8</v>
      </c>
      <c s="78" r="V273">
        <v>19</v>
      </c>
      <c s="78" r="W273"/>
      <c s="78" r="X273"/>
      <c s="78" r="Y273"/>
      <c s="78" r="Z273"/>
      <c s="78" r="AA273">
        <f>20.0</f>
        <v>20</v>
      </c>
      <c s="23" r="AB273"/>
      <c s="78" r="AC273"/>
      <c s="78" r="AD273"/>
      <c s="78" r="AE273"/>
      <c s="78" r="AF273"/>
      <c s="78" r="AG273"/>
      <c s="47" r="AH273">
        <f>((AC273*0.6637)+AE273)+AG273</f>
        <v>0</v>
      </c>
      <c s="94" r="AI273">
        <f>(AA273*2.3)+(AD273)</f>
        <v>46</v>
      </c>
      <c s="109" r="AJ273"/>
      <c s="44" r="AK273"/>
      <c s="30" r="AL273"/>
      <c s="30" r="AM273"/>
      <c s="30" r="AN273"/>
      <c s="30" r="AO273"/>
    </row>
    <row r="274">
      <c t="str" s="106" r="A274">
        <f>(((B274&amp;" ")&amp;C274)&amp;" ")&amp;E274</f>
        <v>Girdle of the Protector (sta, sta/def) 60 Badges 313.34360000000004</v>
      </c>
      <c t="s" s="42" r="B274">
        <v>532</v>
      </c>
      <c t="s" s="42" r="C274">
        <v>207</v>
      </c>
      <c t="s" s="78" r="D274">
        <v>509</v>
      </c>
      <c s="114" r="E274">
        <f>(F274+G274)+H274</f>
        <v>313.3436</v>
      </c>
      <c s="121" r="F274">
        <f>((((((J274*0.1)+(O274*1.25))+R274)+S274)+V274)+(X274*0.5))+(AF274*0.2)</f>
        <v>141.15</v>
      </c>
      <c s="121" r="G274">
        <f>+((K274*1.06)*1.06)</f>
        <v>85.3936</v>
      </c>
      <c s="121" r="H274">
        <f>((((AB274)+(0.3*K274))+AG274)+(AF274*0.6))+AI274</f>
        <v>86.8</v>
      </c>
      <c s="98" r="I274">
        <f>((((0.05*O274)+(0.053*V274))+(0.04*AC274))+(0.042*S274))/100.0</f>
        <v>0.02381</v>
      </c>
      <c s="130" r="J274">
        <v>904</v>
      </c>
      <c s="24" r="K274">
        <f>L274+M274</f>
        <v>76</v>
      </c>
      <c s="130" r="L274">
        <f>40.0</f>
        <v>40</v>
      </c>
      <c s="78" r="M274">
        <f>24.0+12.0</f>
        <v>36</v>
      </c>
      <c t="s" s="78" r="N274">
        <v>503</v>
      </c>
      <c s="24" r="O274">
        <f>P274+Q274</f>
        <v>19</v>
      </c>
      <c s="130" r="P274">
        <f>11.0</f>
        <v>11</v>
      </c>
      <c s="78" r="Q274">
        <v>8</v>
      </c>
      <c s="78" r="R274"/>
      <c s="24" r="S274">
        <f>T274+U274</f>
        <v>0</v>
      </c>
      <c s="130" r="T274"/>
      <c s="78" r="U274"/>
      <c s="78" r="V274">
        <v>27</v>
      </c>
      <c s="78" r="W274"/>
      <c s="78" r="X274"/>
      <c s="78" r="Y274"/>
      <c s="78" r="Z274"/>
      <c s="78" r="AA274">
        <v>20</v>
      </c>
      <c s="23" r="AB274"/>
      <c s="78" r="AC274"/>
      <c s="78" r="AD274"/>
      <c s="78" r="AE274"/>
      <c s="78" r="AF274"/>
      <c s="78" r="AG274">
        <v>18</v>
      </c>
      <c s="47" r="AH274">
        <f>((AC274*0.6637)+AE274)+AG274</f>
        <v>18</v>
      </c>
      <c s="94" r="AI274">
        <f>(AA274*2.3)+(AD274)</f>
        <v>46</v>
      </c>
      <c s="109" r="AJ274"/>
      <c s="44" r="AK274"/>
      <c s="30" r="AL274"/>
      <c s="30" r="AM274"/>
      <c s="30" r="AN274"/>
      <c s="30" r="AO274"/>
    </row>
    <row r="275">
      <c t="str" s="106" r="A275">
        <f>(((B275&amp;" ")&amp;C275)&amp;" ")&amp;E275</f>
        <v>Tempered Saronite Belt Crafted 300.2064</v>
      </c>
      <c t="s" s="45" r="B275">
        <v>533</v>
      </c>
      <c t="s" s="78" r="C275">
        <v>73</v>
      </c>
      <c t="s" s="78" r="D275">
        <v>509</v>
      </c>
      <c s="114" r="E275">
        <f>(F275+G275)+H275</f>
        <v>300.2064</v>
      </c>
      <c s="121" r="F275">
        <f>((((((J275*0.1)+(O275*1.25))+R275)+S275)+V275)+(X275*0.5))+(AF275*0.2)</f>
        <v>175.25</v>
      </c>
      <c s="121" r="G275">
        <f>+((K275*1.06)*1.06)</f>
        <v>55.0564</v>
      </c>
      <c s="121" r="H275">
        <f>((((AB275)+(0.3*K275))+AG275)+(AF275*0.6))+AI275</f>
        <v>69.9</v>
      </c>
      <c s="98" r="I275">
        <f>((((0.05*O275)+(0.053*V275))+(0.04*AC275))+(0.042*S275))/100.0</f>
        <v>0.0285</v>
      </c>
      <c s="130" r="J275">
        <v>1040</v>
      </c>
      <c s="24" r="K275">
        <f>L275+M275</f>
        <v>49</v>
      </c>
      <c s="130" r="L275">
        <v>49</v>
      </c>
      <c s="78" r="M275"/>
      <c s="78" r="N275"/>
      <c s="24" r="O275">
        <f>P275+Q275</f>
        <v>57</v>
      </c>
      <c s="130" r="P275">
        <v>57</v>
      </c>
      <c s="78" r="Q275"/>
      <c s="78" r="R275"/>
      <c s="24" r="S275">
        <f>T275+U275</f>
        <v>0</v>
      </c>
      <c s="130" r="T275"/>
      <c s="78" r="U275"/>
      <c s="78" r="V275"/>
      <c s="78" r="W275"/>
      <c s="78" r="X275"/>
      <c s="78" r="Y275"/>
      <c s="78" r="Z275"/>
      <c s="78" r="AA275">
        <v>24</v>
      </c>
      <c s="78" r="AB275"/>
      <c s="78" r="AC275"/>
      <c s="78" r="AD275"/>
      <c s="78" r="AE275"/>
      <c s="78" r="AF275"/>
      <c s="78" r="AG275"/>
      <c s="47" r="AH275">
        <f>((AC275*0.6637)+AE275)+AG275</f>
        <v>0</v>
      </c>
      <c s="94" r="AI275">
        <f>(AA275*2.3)+(AD275)</f>
        <v>55.2</v>
      </c>
      <c s="109" r="AJ275"/>
      <c s="44" r="AK275"/>
      <c s="30" r="AL275"/>
      <c s="30" r="AM275"/>
      <c s="30" r="AN275"/>
      <c s="30" r="AO275"/>
    </row>
    <row r="276">
      <c t="str" s="106" r="A276">
        <f>(((B276&amp;" ")&amp;C276)&amp;" ")&amp;E276</f>
        <v>Crimson Girdle of the Indomitable (sta,sta) Moroes 293.18240000000003</v>
      </c>
      <c t="s" s="99" r="B276">
        <v>534</v>
      </c>
      <c t="s" s="99" r="C276">
        <v>535</v>
      </c>
      <c t="s" s="78" r="D276">
        <v>509</v>
      </c>
      <c s="114" r="E276">
        <f>(F276+G276)+H276</f>
        <v>293.1824</v>
      </c>
      <c s="121" r="F276">
        <f>((((((J276*0.1)+(O276*1.25))+R276)+S276)+V276)+(X276*0.5))+(AF276*0.2)</f>
        <v>127.6</v>
      </c>
      <c s="121" r="G276">
        <f>+((K276*1.06)*1.06)</f>
        <v>94.3824</v>
      </c>
      <c s="121" r="H276">
        <f>((((AB276)+(0.3*K276))+AG276)+(AF276*0.6))+AI276</f>
        <v>71.2</v>
      </c>
      <c s="98" r="I276">
        <f>((((0.05*O276)+(0.053*V276))+(0.04*AC276))+(0.042*S276))/100.0</f>
        <v>0.012</v>
      </c>
      <c s="127" r="J276">
        <v>816</v>
      </c>
      <c s="24" r="K276">
        <f>L276+M276</f>
        <v>84</v>
      </c>
      <c s="127" r="L276">
        <f>36.0</f>
        <v>36</v>
      </c>
      <c s="85" r="M276">
        <f>24.0+24.0</f>
        <v>48</v>
      </c>
      <c t="s" s="78" r="N276">
        <v>159</v>
      </c>
      <c s="24" r="O276">
        <f>P276+Q276</f>
        <v>24</v>
      </c>
      <c s="127" r="P276">
        <v>24</v>
      </c>
      <c s="85" r="Q276"/>
      <c s="85" r="R276">
        <v>16</v>
      </c>
      <c s="24" r="S276">
        <f>T276+U276</f>
        <v>0</v>
      </c>
      <c s="127" r="T276"/>
      <c s="85" r="U276"/>
      <c s="85" r="V276"/>
      <c s="85" r="W276"/>
      <c s="85" r="X276"/>
      <c s="85" r="Y276"/>
      <c s="6" r="Z276"/>
      <c s="85" r="AA276">
        <v>20</v>
      </c>
      <c s="100" r="AB276"/>
      <c s="6" r="AC276"/>
      <c s="6" r="AD276"/>
      <c s="85" r="AE276"/>
      <c s="85" r="AF276"/>
      <c s="85" r="AG276"/>
      <c s="47" r="AH276">
        <f>((AC276*0.6637)+AE276)+AG276</f>
        <v>0</v>
      </c>
      <c s="94" r="AI276">
        <f>(AA276*2.3)+(AD276)</f>
        <v>46</v>
      </c>
      <c s="109" r="AJ276"/>
      <c s="44" r="AK276"/>
      <c s="30" r="AL276"/>
      <c s="30" r="AM276"/>
      <c s="30" r="AN276"/>
      <c s="30" r="AO276"/>
    </row>
    <row r="277">
      <c t="str" s="106" r="A277">
        <f>(((B277&amp;" ")&amp;C277)&amp;" ")&amp;E277</f>
        <v>Bracers of the Unholy Knight Naxx25 Instructor Razuvious 439.9824</v>
      </c>
      <c t="s" s="84" r="B277">
        <v>536</v>
      </c>
      <c t="s" s="117" r="C277">
        <v>537</v>
      </c>
      <c t="s" s="117" r="D277">
        <v>538</v>
      </c>
      <c s="114" r="E277">
        <f>(F277+G277)+H277</f>
        <v>439.9824</v>
      </c>
      <c s="121" r="F277">
        <f>((((((J277*0.1)+(O277*1.25))+R277)+S277)+V277)+(X277*0.5))+(AF277*0.2)</f>
        <v>210</v>
      </c>
      <c s="121" r="G277">
        <f>+((K277*1.06)*1.06)</f>
        <v>94.3824</v>
      </c>
      <c s="121" r="H277">
        <f>((((AB277)+(0.3*K277))+AG277)+(AF277*0.6))+AI277</f>
        <v>135.6</v>
      </c>
      <c s="98" r="I277">
        <f>((((0.05*O277)+(0.053*V277))+(0.04*AC277))+(0.042*S277))/100.0</f>
        <v>0.04747</v>
      </c>
      <c s="122" r="J277">
        <v>1005</v>
      </c>
      <c s="3" r="K277">
        <f>L277+M277</f>
        <v>84</v>
      </c>
      <c s="122" r="L277">
        <v>72</v>
      </c>
      <c s="25" r="M277">
        <v>12</v>
      </c>
      <c t="s" s="25" r="N277">
        <v>131</v>
      </c>
      <c s="3" r="O277">
        <f>P277+Q277</f>
        <v>42</v>
      </c>
      <c s="122" r="P277">
        <f>38.0+4.0</f>
        <v>42</v>
      </c>
      <c s="25" r="Q277"/>
      <c s="25" r="R277"/>
      <c s="3" r="S277">
        <f>T277+U277</f>
        <v>34</v>
      </c>
      <c s="122" r="T277">
        <v>26</v>
      </c>
      <c s="25" r="U277">
        <v>8</v>
      </c>
      <c s="25" r="V277">
        <v>23</v>
      </c>
      <c s="70" r="W277"/>
      <c s="25" r="X277"/>
      <c s="25" r="Y277"/>
      <c s="25" r="Z277"/>
      <c s="25" r="AA277">
        <v>48</v>
      </c>
      <c s="62" r="AB277"/>
      <c s="25" r="AC277"/>
      <c s="67" r="AD277"/>
      <c s="67" r="AE277"/>
      <c s="67" r="AF277"/>
      <c s="25" r="AG277"/>
      <c s="47" r="AH277">
        <f>((AC277*0.6637)+AE277)+AG277</f>
        <v>0</v>
      </c>
      <c s="94" r="AI277">
        <f>(AA277*2.3)+(AD277)</f>
        <v>110.4</v>
      </c>
      <c s="109" r="AJ277"/>
      <c s="44" r="AK277"/>
      <c s="30" r="AL277"/>
      <c s="30" r="AM277"/>
      <c s="30" r="AN277"/>
      <c s="30" r="AO277"/>
    </row>
    <row r="278">
      <c t="str" s="106" r="A278">
        <f>(((B278&amp;" ")&amp;C278)&amp;" ")&amp;E278</f>
        <v>Bindings of the Hapless Prey Naxx25 Maexxna 439.63239999999996</v>
      </c>
      <c t="s" s="66" r="B278">
        <v>539</v>
      </c>
      <c t="s" s="117" r="C278">
        <v>540</v>
      </c>
      <c t="s" s="117" r="D278">
        <v>538</v>
      </c>
      <c s="114" r="E278">
        <f>(F278+G278)+H278</f>
        <v>439.6324</v>
      </c>
      <c s="121" r="F278">
        <f>((((((J278*0.1)+(O278*1.25))+R278)+S278)+V278)+(X278*0.5))+(AF278*0.2)</f>
        <v>191.25</v>
      </c>
      <c s="121" r="G278">
        <f>+((K278*1.06)*1.06)</f>
        <v>94.3824</v>
      </c>
      <c s="121" r="H278">
        <f>((((AB278)+(0.3*K278))+AG278)+(AF278*0.6))+AI278</f>
        <v>154</v>
      </c>
      <c s="98" r="I278">
        <f>((((0.05*O278)+(0.053*V278))+(0.04*AC278))+(0.042*S278))/100.0</f>
        <v>0.0185</v>
      </c>
      <c s="122" r="J278">
        <v>1005</v>
      </c>
      <c s="3" r="K278">
        <f>L278+M278</f>
        <v>84</v>
      </c>
      <c s="122" r="L278">
        <v>84</v>
      </c>
      <c s="25" r="M278"/>
      <c s="25" r="N278"/>
      <c s="3" r="O278">
        <f>P278+Q278</f>
        <v>37</v>
      </c>
      <c s="122" r="P278">
        <v>37</v>
      </c>
      <c s="25" r="Q278"/>
      <c s="25" r="R278">
        <v>25</v>
      </c>
      <c s="3" r="S278">
        <f>T278+U278</f>
        <v>0</v>
      </c>
      <c s="122" r="T278"/>
      <c s="25" r="U278"/>
      <c s="25" r="V278"/>
      <c s="70" r="W278"/>
      <c s="25" r="X278">
        <v>39</v>
      </c>
      <c s="25" r="Y278"/>
      <c s="25" r="Z278"/>
      <c s="25" r="AA278">
        <v>56</v>
      </c>
      <c s="62" r="AB278"/>
      <c s="25" r="AC278"/>
      <c s="67" r="AD278"/>
      <c s="67" r="AE278"/>
      <c s="67" r="AF278"/>
      <c s="25" r="AG278"/>
      <c s="47" r="AH278">
        <f>((AC278*0.6637)+AE278)+AG278</f>
        <v>0</v>
      </c>
      <c s="94" r="AI278">
        <f>(AA278*2.3)+(AD278)</f>
        <v>128.8</v>
      </c>
      <c s="109" r="AJ278"/>
      <c s="44" r="AK278"/>
      <c s="30" r="AL278"/>
      <c s="30" r="AM278"/>
      <c s="30" r="AN278"/>
      <c s="30" r="AO278"/>
    </row>
    <row r="279">
      <c t="str" s="106" r="A279">
        <f>(((B279&amp;" ")&amp;C279)&amp;" ")&amp;E279</f>
        <v>Bracers of Dalaran's Parapets Raid Badge x 60  431.2324</v>
      </c>
      <c t="s" s="66" r="B279">
        <v>541</v>
      </c>
      <c t="s" s="117" r="C279">
        <v>542</v>
      </c>
      <c t="s" s="117" r="D279">
        <v>538</v>
      </c>
      <c s="114" r="E279">
        <f>(F279+G279)+H279</f>
        <v>431.2324</v>
      </c>
      <c s="121" r="F279">
        <f>((((((J279*0.1)+(O279*1.25))+R279)+S279)+V279)+(X279*0.5))+(AF279*0.2)</f>
        <v>184.75</v>
      </c>
      <c s="121" r="G279">
        <f>+((K279*1.06)*1.06)</f>
        <v>94.3824</v>
      </c>
      <c s="121" r="H279">
        <f>((((AB279)+(0.3*K279))+AG279)+(AF279*0.6))+AI279</f>
        <v>152.1</v>
      </c>
      <c s="98" r="I279">
        <f>((((0.05*O279)+(0.053*V279))+(0.04*AC279))+(0.042*S279))/100.0</f>
        <v>0.03446</v>
      </c>
      <c s="122" r="J279">
        <v>1005</v>
      </c>
      <c s="3" r="K279">
        <f>L279+M279</f>
        <v>84</v>
      </c>
      <c s="122" r="L279">
        <v>84</v>
      </c>
      <c s="25" r="M279"/>
      <c s="25" r="N279"/>
      <c s="3" r="O279">
        <f>P279+Q279</f>
        <v>37</v>
      </c>
      <c s="122" r="P279">
        <v>37</v>
      </c>
      <c s="25" r="Q279"/>
      <c s="25" r="R279"/>
      <c s="3" r="S279">
        <f>T279+U279</f>
        <v>38</v>
      </c>
      <c s="122" r="T279">
        <v>38</v>
      </c>
      <c s="25" r="U279"/>
      <c s="25" r="V279"/>
      <c s="70" r="W279"/>
      <c s="25" r="X279"/>
      <c s="25" r="Y279"/>
      <c s="25" r="Z279"/>
      <c s="25" r="AA279">
        <v>43</v>
      </c>
      <c s="62" r="AB279"/>
      <c s="25" r="AC279"/>
      <c s="67" r="AD279"/>
      <c s="67" r="AE279"/>
      <c s="67" r="AF279"/>
      <c s="25" r="AG279">
        <v>28</v>
      </c>
      <c s="47" r="AH279">
        <f>((AC279*0.6637)+AE279)+AG279</f>
        <v>28</v>
      </c>
      <c s="94" r="AI279">
        <f>(AA279*2.3)+(AD279)</f>
        <v>98.9</v>
      </c>
      <c s="109" r="AJ279"/>
      <c s="44" r="AK279"/>
      <c s="30" r="AL279"/>
      <c s="30" r="AM279"/>
      <c s="30" r="AN279"/>
      <c s="30" r="AO279"/>
    </row>
    <row r="280">
      <c t="str" s="106" r="A280">
        <f>(((B280&amp;" ")&amp;C280)&amp;" ")&amp;E280</f>
        <v>Minion Bracers Naxx10 Trash 402.77</v>
      </c>
      <c t="s" s="66" r="B280">
        <v>543</v>
      </c>
      <c t="s" s="117" r="C280">
        <v>336</v>
      </c>
      <c t="s" s="117" r="D280">
        <v>538</v>
      </c>
      <c s="114" r="E280">
        <f>(F280+G280)+H280</f>
        <v>402.77</v>
      </c>
      <c s="121" r="F280">
        <f>((((((J280*0.1)+(O280*1.25))+R280)+S280)+V280)+(X280*0.5))+(AF280*0.2)</f>
        <v>181</v>
      </c>
      <c s="121" r="G280">
        <f>+((K280*1.06)*1.06)</f>
        <v>84.27</v>
      </c>
      <c s="121" r="H280">
        <f>((((AB280)+(0.3*K280))+AG280)+(AF280*0.6))+AI280</f>
        <v>137.5</v>
      </c>
      <c s="98" r="I280">
        <f>((((0.05*O280)+(0.053*V280))+(0.04*AC280))+(0.042*S280))/100.0</f>
        <v>0.03615</v>
      </c>
      <c s="122" r="J280">
        <v>980</v>
      </c>
      <c s="3" r="K280">
        <f>L280+M280</f>
        <v>75</v>
      </c>
      <c s="122" r="L280">
        <v>75</v>
      </c>
      <c s="25" r="M280"/>
      <c s="25" r="N280"/>
      <c s="3" r="O280">
        <f>P280+Q280</f>
        <v>32</v>
      </c>
      <c s="122" r="P280">
        <v>32</v>
      </c>
      <c s="25" r="Q280"/>
      <c s="25" r="R280"/>
      <c s="3" r="S280">
        <f>T280+U280</f>
        <v>24</v>
      </c>
      <c s="122" r="T280">
        <v>24</v>
      </c>
      <c s="25" r="U280"/>
      <c s="25" r="V280">
        <v>19</v>
      </c>
      <c s="70" r="W280"/>
      <c s="25" r="X280"/>
      <c s="25" r="Y280"/>
      <c s="25" r="Z280"/>
      <c s="25" r="AA280">
        <v>50</v>
      </c>
      <c s="62" r="AB280"/>
      <c s="25" r="AC280"/>
      <c s="67" r="AD280"/>
      <c s="67" r="AE280"/>
      <c s="67" r="AF280"/>
      <c s="25" r="AG280"/>
      <c s="47" r="AH280">
        <f>((AC280*0.6637)+AE280)+AG280</f>
        <v>0</v>
      </c>
      <c s="94" r="AI280">
        <f>(AA280*2.3)+(AD280)</f>
        <v>115</v>
      </c>
      <c s="109" r="AJ280"/>
      <c s="44" r="AK280"/>
      <c s="30" r="AL280"/>
      <c s="30" r="AM280"/>
      <c s="30" r="AN280"/>
      <c s="30" r="AO280"/>
    </row>
    <row r="281">
      <c t="str" s="106" r="A281">
        <f>(((B281&amp;" ")&amp;C281)&amp;" ")&amp;E281</f>
        <v>Bracers of the Herald Old Kingdom Heroic Volazj 371.96999999999997</v>
      </c>
      <c t="s" s="84" r="B281">
        <v>544</v>
      </c>
      <c t="s" s="74" r="C281">
        <v>545</v>
      </c>
      <c t="s" s="117" r="D281">
        <v>538</v>
      </c>
      <c s="114" r="E281">
        <f>(F281+G281)+H281</f>
        <v>371.97</v>
      </c>
      <c s="121" r="F281">
        <f>((((((J281*0.1)+(O281*1.25))+R281)+S281)+V281)+(X281*0.5))+(AF281*0.2)</f>
        <v>187</v>
      </c>
      <c s="121" r="G281">
        <f>+((K281*1.06)*1.06)</f>
        <v>84.27</v>
      </c>
      <c s="121" r="H281">
        <f>((((AB281)+(0.3*K281))+AG281)+(AF281*0.6))+AI281</f>
        <v>100.7</v>
      </c>
      <c s="98" r="I281">
        <f>((((0.05*O281)+(0.053*V281))+(0.04*AC281))+(0.042*S281))/100.0</f>
        <v>0.03658</v>
      </c>
      <c s="122" r="J281">
        <v>980</v>
      </c>
      <c s="3" r="K281">
        <f>L281+M281</f>
        <v>75</v>
      </c>
      <c s="122" r="L281">
        <v>75</v>
      </c>
      <c s="25" r="M281"/>
      <c s="25" r="N281"/>
      <c s="3" r="O281">
        <f>P281+Q281</f>
        <v>32</v>
      </c>
      <c s="122" r="P281">
        <v>32</v>
      </c>
      <c s="25" r="Q281"/>
      <c s="25" r="R281"/>
      <c s="3" r="S281">
        <f>T281+U281</f>
        <v>49</v>
      </c>
      <c s="122" r="T281">
        <v>49</v>
      </c>
      <c s="25" r="U281"/>
      <c s="25" r="V281"/>
      <c s="70" r="W281"/>
      <c s="25" r="X281"/>
      <c s="25" r="Y281"/>
      <c s="25" r="Z281"/>
      <c s="25" r="AA281">
        <v>34</v>
      </c>
      <c s="62" r="AB281"/>
      <c s="25" r="AC281"/>
      <c s="67" r="AD281"/>
      <c s="67" r="AE281"/>
      <c s="67" r="AF281"/>
      <c s="25" r="AG281"/>
      <c s="47" r="AH281">
        <f>((AC281*0.6637)+AE281)+AG281</f>
        <v>0</v>
      </c>
      <c s="94" r="AI281">
        <f>(AA281*2.3)+(AD281)</f>
        <v>78.2</v>
      </c>
      <c s="129" r="AJ281"/>
      <c s="44" r="AK281"/>
      <c s="30" r="AL281"/>
      <c s="30" r="AM281"/>
      <c s="30" r="AN281"/>
      <c s="30" r="AO281"/>
    </row>
    <row r="282">
      <c t="str" s="106" r="A282">
        <f>(((B282&amp;" ")&amp;C282)&amp;" ")&amp;E282</f>
        <v>Bindings of Dark Will CoT Strat Salramm 349.1076</v>
      </c>
      <c t="s" s="66" r="B282">
        <v>546</v>
      </c>
      <c t="s" s="117" r="C282">
        <v>547</v>
      </c>
      <c t="s" s="117" r="D282">
        <v>538</v>
      </c>
      <c s="114" r="E282">
        <f>(F282+G282)+H282</f>
        <v>349.1076</v>
      </c>
      <c s="121" r="F282">
        <f>((((((J282*0.1)+(O282*1.25))+R282)+S282)+V282)+(X282*0.5))+(AF282*0.2)</f>
        <v>158.55</v>
      </c>
      <c s="121" r="G282">
        <f>+((K282*1.06)*1.06)</f>
        <v>74.1576</v>
      </c>
      <c s="121" r="H282">
        <f>((((AB282)+(0.3*K282))+AG282)+(AF282*0.6))+AI282</f>
        <v>116.4</v>
      </c>
      <c s="98" r="I282">
        <f>((((0.05*O282)+(0.053*V282))+(0.04*AC282))+(0.042*S282))/100.0</f>
        <v>0.0261</v>
      </c>
      <c s="122" r="J282">
        <v>948</v>
      </c>
      <c s="3" r="K282">
        <f>L282+M282</f>
        <v>66</v>
      </c>
      <c s="122" r="L282">
        <v>66</v>
      </c>
      <c s="25" r="M282"/>
      <c s="25" r="N282"/>
      <c s="3" r="O282">
        <f>P282+Q282</f>
        <v>27</v>
      </c>
      <c s="122" r="P282">
        <v>27</v>
      </c>
      <c s="25" r="Q282"/>
      <c s="25" r="R282"/>
      <c s="3" r="S282">
        <f>T282+U282</f>
        <v>30</v>
      </c>
      <c s="122" r="T282">
        <v>30</v>
      </c>
      <c s="25" r="U282"/>
      <c s="25" r="V282"/>
      <c s="70" r="W282"/>
      <c s="25" r="X282"/>
      <c s="25" r="Y282"/>
      <c s="25" r="Z282"/>
      <c s="25" r="AA282">
        <v>42</v>
      </c>
      <c s="62" r="AB282"/>
      <c s="25" r="AC282"/>
      <c s="67" r="AD282"/>
      <c s="67" r="AE282"/>
      <c s="67" r="AF282"/>
      <c s="25" r="AG282"/>
      <c s="47" r="AH282">
        <f>((AC282*0.6637)+AE282)+AG282</f>
        <v>0</v>
      </c>
      <c s="94" r="AI282">
        <f>(AA282*2.3)+(AD282)</f>
        <v>96.6</v>
      </c>
      <c s="109" r="AJ282"/>
      <c s="44" r="AK282"/>
      <c s="30" r="AL282"/>
      <c s="30" r="AM282"/>
      <c s="30" r="AN282"/>
      <c s="30" r="AO282"/>
    </row>
    <row r="283">
      <c t="str" s="106" r="A283">
        <f>(((B283&amp;" ")&amp;C283)&amp;" ")&amp;E283</f>
        <v>Svala's Bloodied Shackles Utgarde Pinnacle Svala 319.3188</v>
      </c>
      <c t="s" s="11" r="B283">
        <v>548</v>
      </c>
      <c t="s" s="95" r="C283">
        <v>549</v>
      </c>
      <c t="s" s="117" r="D283">
        <v>538</v>
      </c>
      <c s="114" r="E283">
        <f>(F283+G283)+H283</f>
        <v>319.3188</v>
      </c>
      <c s="121" r="F283">
        <f>((((((J283*0.1)+(O283*1.25))+R283)+S283)+V283)+(X283*0.5))+(AF283*0.2)</f>
        <v>149.35</v>
      </c>
      <c s="121" r="G283">
        <f>+((K283*1.06)*1.06)</f>
        <v>65.1688</v>
      </c>
      <c s="121" r="H283">
        <f>((((AB283)+(0.3*K283))+AG283)+(AF283*0.6))+AI283</f>
        <v>104.8</v>
      </c>
      <c s="98" r="I283">
        <f>((((0.05*O283)+(0.053*V283))+(0.04*AC283))+(0.042*S283))/100.0</f>
        <v>0.02622</v>
      </c>
      <c s="122" r="J283">
        <v>916</v>
      </c>
      <c s="3" r="K283">
        <f>L283+M283</f>
        <v>58</v>
      </c>
      <c s="122" r="L283">
        <v>58</v>
      </c>
      <c s="25" r="M283"/>
      <c s="25" r="N283"/>
      <c s="3" r="O283">
        <f>P283+Q283</f>
        <v>27</v>
      </c>
      <c s="122" r="P283">
        <v>27</v>
      </c>
      <c s="25" r="Q283"/>
      <c s="25" r="R283"/>
      <c s="3" r="S283">
        <f>T283+U283</f>
        <v>0</v>
      </c>
      <c s="122" r="T283"/>
      <c s="25" r="U283"/>
      <c s="25" r="V283">
        <v>24</v>
      </c>
      <c s="70" r="W283"/>
      <c s="25" r="X283"/>
      <c s="25" r="Y283"/>
      <c s="25" r="Z283"/>
      <c s="25" r="AA283">
        <v>38</v>
      </c>
      <c s="62" r="AB283"/>
      <c s="25" r="AC283"/>
      <c s="67" r="AD283"/>
      <c s="67" r="AE283"/>
      <c s="67" r="AF283"/>
      <c s="25" r="AG283"/>
      <c s="47" r="AH283">
        <f>((AC283*0.6637)+AE283)+AG283</f>
        <v>0</v>
      </c>
      <c s="94" r="AI283">
        <f>(AA283*2.3)+(AD283)</f>
        <v>87.4</v>
      </c>
      <c s="109" r="AJ283"/>
      <c s="44" r="AK283"/>
      <c s="30" r="AL283"/>
      <c s="30" r="AM283"/>
      <c s="30" r="AN283"/>
      <c s="30" r="AO283"/>
    </row>
    <row r="284">
      <c t="str" s="106" r="A284">
        <f>(((B284&amp;" ")&amp;C284)&amp;" ")&amp;E284</f>
        <v>Lightbringer Wristguards Sunwell 298.32280000000003</v>
      </c>
      <c t="s" s="72" r="B284">
        <v>550</v>
      </c>
      <c t="s" s="72" r="C284">
        <v>524</v>
      </c>
      <c t="s" s="25" r="D284">
        <v>538</v>
      </c>
      <c s="114" r="E284">
        <f>(F284+G284)+H284</f>
        <v>298.3228</v>
      </c>
      <c s="121" r="F284">
        <f>((((((J284*0.1)+(O284*1.25))+R284)+S284)+V284)+(X284*0.5))+(AF284*0.2)</f>
        <v>146.1</v>
      </c>
      <c s="121" r="G284">
        <f>+((K284*1.06)*1.06)</f>
        <v>82.0228</v>
      </c>
      <c s="121" r="H284">
        <f>((((AB284)+(0.3*K284))+AG284)+(AF284*0.6))+AI284</f>
        <v>70.2</v>
      </c>
      <c s="98" r="I284">
        <f>((((0.05*O284)+(0.053*V284))+(0.04*AC284))+(0.042*S284))/100.0</f>
        <v>0.02166</v>
      </c>
      <c s="54" r="J284">
        <v>841</v>
      </c>
      <c s="3" r="K284">
        <f>L284+M284</f>
        <v>73</v>
      </c>
      <c s="54" r="L284">
        <v>49</v>
      </c>
      <c s="70" r="M284">
        <v>24</v>
      </c>
      <c t="s" s="70" r="N284">
        <v>113</v>
      </c>
      <c s="3" r="O284">
        <f>P284+Q284</f>
        <v>20</v>
      </c>
      <c s="54" r="P284">
        <v>20</v>
      </c>
      <c s="70" r="Q284"/>
      <c s="70" r="R284">
        <v>15</v>
      </c>
      <c s="3" r="S284">
        <f>T284+U284</f>
        <v>0</v>
      </c>
      <c s="54" r="T284"/>
      <c s="70" r="U284"/>
      <c s="70" r="V284">
        <v>22</v>
      </c>
      <c s="70" r="W284"/>
      <c s="70" r="X284"/>
      <c s="70" r="Y284"/>
      <c s="70" r="Z284"/>
      <c s="70" r="AA284">
        <v>21</v>
      </c>
      <c s="29" r="AB284"/>
      <c s="70" r="AC284"/>
      <c s="70" r="AD284"/>
      <c s="70" r="AE284"/>
      <c s="70" r="AF284"/>
      <c s="70" r="AG284"/>
      <c s="47" r="AH284">
        <f>((AC284*0.6637)+AE284)+AG284</f>
        <v>0</v>
      </c>
      <c s="94" r="AI284">
        <f>(AA284*2.3)+(AD284)</f>
        <v>48.3</v>
      </c>
      <c s="109" r="AJ284"/>
      <c s="44" r="AK284"/>
      <c s="30" r="AL284"/>
      <c s="30" r="AM284"/>
      <c s="30" r="AN284"/>
      <c s="30" r="AO284"/>
    </row>
    <row r="285">
      <c t="str" s="106" r="A285">
        <f>(((B285&amp;" ")&amp;C285)&amp;" ")&amp;E285</f>
        <v>Bracers of Reverence Quest Dungeon Reward Occulos 278.9036</v>
      </c>
      <c t="s" s="11" r="B285">
        <v>551</v>
      </c>
      <c t="s" s="117" r="C285">
        <v>552</v>
      </c>
      <c t="s" s="117" r="D285">
        <v>538</v>
      </c>
      <c s="114" r="E285">
        <f>(F285+G285)+H285</f>
        <v>278.9036</v>
      </c>
      <c s="121" r="F285">
        <f>((((((J285*0.1)+(O285*1.25))+R285)+S285)+V285)+(X285*0.5))+(AF285*0.2)</f>
        <v>129.8</v>
      </c>
      <c s="121" r="G285">
        <f>+((K285*1.06)*1.06)</f>
        <v>57.3036</v>
      </c>
      <c s="121" r="H285">
        <f>((((AB285)+(0.3*K285))+AG285)+(AF285*0.6))+AI285</f>
        <v>91.8</v>
      </c>
      <c s="98" r="I285">
        <f>((((0.05*O285)+(0.053*V285))+(0.04*AC285))+(0.042*S285))/100.0</f>
        <v>0.017</v>
      </c>
      <c s="122" r="J285">
        <v>873</v>
      </c>
      <c s="3" r="K285">
        <f>L285+M285</f>
        <v>51</v>
      </c>
      <c s="122" r="L285">
        <v>51</v>
      </c>
      <c s="25" r="M285"/>
      <c s="25" r="N285"/>
      <c s="3" r="O285">
        <f>P285+Q285</f>
        <v>34</v>
      </c>
      <c s="122" r="P285">
        <v>34</v>
      </c>
      <c s="25" r="Q285"/>
      <c s="25" r="R285"/>
      <c s="3" r="S285">
        <f>T285+U285</f>
        <v>0</v>
      </c>
      <c s="122" r="T285"/>
      <c s="25" r="U285"/>
      <c s="25" r="V285"/>
      <c s="70" r="W285"/>
      <c s="25" r="X285"/>
      <c s="25" r="Y285"/>
      <c s="25" r="Z285"/>
      <c s="25" r="AA285">
        <v>25</v>
      </c>
      <c s="62" r="AB285"/>
      <c s="25" r="AC285"/>
      <c s="67" r="AD285"/>
      <c s="67" r="AE285"/>
      <c s="67" r="AF285"/>
      <c s="25" r="AG285">
        <v>19</v>
      </c>
      <c s="47" r="AH285">
        <f>((AC285*0.6637)+AE285)+AG285</f>
        <v>19</v>
      </c>
      <c s="94" r="AI285">
        <f>(AA285*2.3)+(AD285)</f>
        <v>57.5</v>
      </c>
      <c s="109" r="AJ285"/>
      <c s="44" r="AK285"/>
      <c s="30" r="AL285"/>
      <c s="30" r="AM285"/>
      <c s="30" r="AN285"/>
      <c s="30" r="AO285"/>
    </row>
    <row r="286">
      <c s="106" r="A286"/>
      <c t="s" s="95" r="B286">
        <v>553</v>
      </c>
      <c t="s" s="95" r="C286">
        <v>301</v>
      </c>
      <c t="s" s="25" r="D286">
        <v>538</v>
      </c>
      <c s="114" r="E286">
        <f>(F286+G286)+H286</f>
        <v>252.108</v>
      </c>
      <c s="121" r="F286">
        <f>((((((J286*0.1)+(O286*1.25))+R286)+S286)+V286)+(X286*0.5))+(AF286*0.2)</f>
        <v>147.3</v>
      </c>
      <c s="121" r="G286">
        <f>+((K286*1.06)*1.06)</f>
        <v>33.708</v>
      </c>
      <c s="121" r="H286">
        <f>((((AB286)+(0.3*K286))+AG286)+(AF286*0.6))+AI286</f>
        <v>71.1</v>
      </c>
      <c s="98" r="I286">
        <f>((((0.05*O286)+(0.053*V286))+(0.04*AC286))+(0.042*S286))/100.0</f>
        <v>0.024</v>
      </c>
      <c s="54" r="J286">
        <v>873</v>
      </c>
      <c s="3" r="K286">
        <f>L286+M286</f>
        <v>30</v>
      </c>
      <c s="54" r="L286">
        <v>30</v>
      </c>
      <c s="70" r="M286"/>
      <c s="70" r="N286"/>
      <c s="3" r="O286">
        <f>P286+Q286</f>
        <v>48</v>
      </c>
      <c s="54" r="P286">
        <v>48</v>
      </c>
      <c s="70" r="Q286"/>
      <c s="70" r="R286"/>
      <c s="3" r="S286">
        <f>T286+U286</f>
        <v>0</v>
      </c>
      <c s="54" r="T286"/>
      <c s="70" r="U286"/>
      <c s="70" r="V286"/>
      <c s="70" r="W286"/>
      <c s="70" r="X286"/>
      <c s="70" r="Y286"/>
      <c s="70" r="Z286"/>
      <c s="70" r="AA286">
        <v>27</v>
      </c>
      <c s="29" r="AB286"/>
      <c s="70" r="AC286"/>
      <c s="70" r="AD286"/>
      <c s="70" r="AE286"/>
      <c s="70" r="AF286"/>
      <c s="70" r="AG286"/>
      <c s="47" r="AH286">
        <f>((AC286*0.6637)+AE286)+AG286</f>
        <v>0</v>
      </c>
      <c s="94" r="AI286">
        <f>(AA286*2.3)+(AD286)</f>
        <v>62.1</v>
      </c>
      <c s="109" r="AJ286"/>
      <c s="44" r="AK286"/>
      <c s="30" r="AL286"/>
      <c s="30" r="AM286"/>
      <c s="30" r="AN286"/>
      <c s="30" r="AO286"/>
    </row>
    <row r="287">
      <c t="str" s="106" r="A287">
        <f>(((B287&amp;" ")&amp;C287)&amp;" ")&amp;E287</f>
        <v>Tempered Saronite Bracers Crafted 252.108</v>
      </c>
      <c t="s" s="52" r="B287">
        <v>554</v>
      </c>
      <c t="s" s="52" r="C287">
        <v>73</v>
      </c>
      <c t="s" s="25" r="D287">
        <v>538</v>
      </c>
      <c s="114" r="E287">
        <f>(F287+G287)+H287</f>
        <v>252.108</v>
      </c>
      <c s="121" r="F287">
        <f>((((((J287*0.1)+(O287*1.25))+R287)+S287)+V287)+(X287*0.5))+(AF287*0.2)</f>
        <v>147.3</v>
      </c>
      <c s="121" r="G287">
        <f>+((K287*1.06)*1.06)</f>
        <v>33.708</v>
      </c>
      <c s="121" r="H287">
        <f>((((AB287)+(0.3*K287))+AG287)+(AF287*0.6))+AI287</f>
        <v>71.1</v>
      </c>
      <c s="98" r="I287">
        <f>((((0.05*O287)+(0.053*V287))+(0.04*AC287))+(0.042*S287))/100.0</f>
        <v>0.024</v>
      </c>
      <c s="54" r="J287">
        <v>873</v>
      </c>
      <c s="3" r="K287">
        <f>L287+M287</f>
        <v>30</v>
      </c>
      <c s="54" r="L287">
        <v>30</v>
      </c>
      <c s="70" r="M287"/>
      <c s="70" r="N287"/>
      <c s="3" r="O287">
        <f>P287+Q287</f>
        <v>48</v>
      </c>
      <c s="54" r="P287">
        <v>48</v>
      </c>
      <c s="70" r="Q287"/>
      <c s="70" r="R287"/>
      <c s="3" r="S287">
        <f>T287+U287</f>
        <v>0</v>
      </c>
      <c s="54" r="T287"/>
      <c s="70" r="U287"/>
      <c s="70" r="V287"/>
      <c s="70" r="W287"/>
      <c s="70" r="X287"/>
      <c s="70" r="Y287"/>
      <c s="70" r="Z287"/>
      <c s="70" r="AA287">
        <v>27</v>
      </c>
      <c s="70" r="AB287"/>
      <c s="70" r="AC287"/>
      <c s="70" r="AD287"/>
      <c s="70" r="AE287"/>
      <c s="70" r="AF287"/>
      <c s="70" r="AG287"/>
      <c s="47" r="AH287">
        <f>((AC287*0.6637)+AE287)+AG287</f>
        <v>0</v>
      </c>
      <c s="94" r="AI287">
        <f>(AA287*2.3)+(AD287)</f>
        <v>62.1</v>
      </c>
      <c s="109" r="AJ287"/>
      <c s="44" r="AK287"/>
      <c s="30" r="AL287"/>
      <c s="30" r="AM287"/>
      <c s="30" r="AN287"/>
      <c s="30" r="AO287"/>
    </row>
    <row r="288">
      <c t="str" s="106" r="A288">
        <f>(((B288&amp;" ")&amp;C288)&amp;" ")&amp;E288</f>
        <v>Seeker's Wristguards Akama 248.0648</v>
      </c>
      <c t="s" s="52" r="B288">
        <v>555</v>
      </c>
      <c t="s" s="52" r="C288">
        <v>158</v>
      </c>
      <c t="s" s="25" r="D288">
        <v>538</v>
      </c>
      <c s="114" r="E288">
        <f>(F288+G288)+H288</f>
        <v>248.0648</v>
      </c>
      <c s="121" r="F288">
        <f>((((((J288*0.1)+(O288*1.25))+R288)+S288)+V288)+(X288*0.5))+(AF288*0.2)</f>
        <v>122.45</v>
      </c>
      <c s="121" r="G288">
        <f>+((K288*1.06)*1.06)</f>
        <v>48.3148</v>
      </c>
      <c s="121" r="H288">
        <f>((((AB288)+(0.3*K288))+AG288)+(AF288*0.6))+AI288</f>
        <v>77.3</v>
      </c>
      <c s="98" r="I288">
        <f>((((0.05*O288)+(0.053*V288))+(0.04*AC288))+(0.042*S288))/100.0</f>
        <v>0.0105</v>
      </c>
      <c s="122" r="J288">
        <v>772</v>
      </c>
      <c s="3" r="K288">
        <f>L288+M288</f>
        <v>43</v>
      </c>
      <c s="122" r="L288">
        <v>43</v>
      </c>
      <c s="25" r="M288"/>
      <c s="25" r="N288"/>
      <c s="3" r="O288">
        <f>P288+Q288</f>
        <v>21</v>
      </c>
      <c s="122" r="P288">
        <v>21</v>
      </c>
      <c s="25" r="Q288"/>
      <c s="25" r="R288">
        <v>19</v>
      </c>
      <c s="3" r="S288">
        <f>T288+U288</f>
        <v>0</v>
      </c>
      <c s="122" r="T288"/>
      <c s="25" r="U288"/>
      <c s="25" r="V288"/>
      <c s="70" r="W288"/>
      <c s="25" r="X288"/>
      <c s="25" r="Y288"/>
      <c s="25" r="Z288"/>
      <c s="25" r="AA288">
        <v>28</v>
      </c>
      <c s="62" r="AB288"/>
      <c s="25" r="AC288"/>
      <c s="67" r="AD288"/>
      <c s="67" r="AE288"/>
      <c s="67" r="AF288"/>
      <c s="25" r="AG288"/>
      <c s="47" r="AH288">
        <f>((AC288*0.6637)+AE288)+AG288</f>
        <v>0</v>
      </c>
      <c s="94" r="AI288">
        <f>(AA288*2.3)+(AD288)</f>
        <v>64.4</v>
      </c>
      <c s="109" r="AJ288"/>
      <c s="44" r="AK288"/>
      <c s="30" r="AL288"/>
      <c s="30" r="AM288"/>
      <c s="30" r="AN288"/>
      <c s="30" r="AO288"/>
    </row>
    <row r="289">
      <c t="str" s="106" r="A289">
        <f>(((B289&amp;" ")&amp;C289)&amp;" ")&amp;E289</f>
        <v>Eleternium Shell Braceres Najentus 245.67720000000003</v>
      </c>
      <c t="s" s="72" r="B289">
        <v>556</v>
      </c>
      <c t="s" s="72" r="C289">
        <v>161</v>
      </c>
      <c t="s" s="25" r="D289">
        <v>538</v>
      </c>
      <c s="114" r="E289">
        <f>(F289+G289)+H289</f>
        <v>245.6772</v>
      </c>
      <c s="121" r="F289">
        <f>((((((J289*0.1)+(O289*1.25))+R289)+S289)+V289)+(X289*0.5))+(AF289*0.2)</f>
        <v>116.45</v>
      </c>
      <c s="121" r="G289">
        <f>+((K289*1.06)*1.06)</f>
        <v>58.4272</v>
      </c>
      <c s="121" r="H289">
        <f>((((AB289)+(0.3*K289))+AG289)+(AF289*0.6))+AI289</f>
        <v>70.8</v>
      </c>
      <c s="98" r="I289">
        <f>((((0.05*O289)+(0.053*V289))+(0.04*AC289))+(0.042*S289))/100.0</f>
        <v>0.01804</v>
      </c>
      <c s="54" r="J289">
        <v>772</v>
      </c>
      <c s="3" r="K289">
        <f>L289+M289</f>
        <v>52</v>
      </c>
      <c s="54" r="L289">
        <v>52</v>
      </c>
      <c s="70" r="M289"/>
      <c s="70" r="N289"/>
      <c s="3" r="O289">
        <f>P289+Q289</f>
        <v>17</v>
      </c>
      <c s="54" r="P289">
        <v>17</v>
      </c>
      <c s="70" r="Q289"/>
      <c s="70" r="R289"/>
      <c s="3" r="S289">
        <f>T289+U289</f>
        <v>0</v>
      </c>
      <c s="54" r="T289"/>
      <c s="70" r="U289"/>
      <c s="70" r="V289">
        <v>18</v>
      </c>
      <c s="70" r="W289"/>
      <c s="70" r="X289"/>
      <c s="70" r="Y289"/>
      <c s="70" r="Z289"/>
      <c s="70" r="AA289">
        <v>24</v>
      </c>
      <c s="29" r="AB289"/>
      <c s="70" r="AC289"/>
      <c s="70" r="AD289"/>
      <c s="70" r="AE289"/>
      <c s="70" r="AF289"/>
      <c s="70" r="AG289"/>
      <c s="47" r="AH289">
        <f>((AC289*0.6637)+AE289)+AG289</f>
        <v>0</v>
      </c>
      <c s="94" r="AI289">
        <f>(AA289*2.3)+(AD289)</f>
        <v>55.2</v>
      </c>
      <c s="109" r="AJ289"/>
      <c s="44" r="AK289"/>
      <c s="30" r="AL289"/>
      <c s="30" r="AM289"/>
      <c s="30" r="AN289"/>
      <c s="30" r="AO289"/>
    </row>
    <row r="290">
      <c t="str" s="106" r="A290">
        <f>(((B290&amp;" ")&amp;C290)&amp;" ")&amp;E290</f>
        <v>Wristguards of Determination Void Reaver 215.6732</v>
      </c>
      <c t="s" s="52" r="B290">
        <v>557</v>
      </c>
      <c t="s" s="52" r="C290">
        <v>494</v>
      </c>
      <c t="s" s="25" r="D290">
        <v>538</v>
      </c>
      <c s="114" r="E290">
        <f>(F290+G290)+H290</f>
        <v>215.6732</v>
      </c>
      <c s="121" r="F290">
        <f>((((((J290*0.1)+(O290*1.25))+R290)+S290)+V290)+(X290*0.5))+(AF290*0.2)</f>
        <v>119.3</v>
      </c>
      <c s="121" r="G290">
        <f>+((K290*1.06)*1.06)</f>
        <v>41.5732</v>
      </c>
      <c s="121" r="H290">
        <f>((((AB290)+(0.3*K290))+AG290)+(AF290*0.6))+AI290</f>
        <v>54.8</v>
      </c>
      <c s="98" r="I290">
        <f>((((0.05*O290)+(0.053*V290))+(0.04*AC290))+(0.042*S290))/100.0</f>
        <v>0.01648</v>
      </c>
      <c s="54" r="J290">
        <v>703</v>
      </c>
      <c s="3" r="K290">
        <f>L290+M290</f>
        <v>37</v>
      </c>
      <c s="54" r="L290">
        <v>37</v>
      </c>
      <c s="70" r="M290"/>
      <c s="70" r="N290"/>
      <c s="3" r="O290">
        <f>P290+Q290</f>
        <v>16</v>
      </c>
      <c s="54" r="P290">
        <v>16</v>
      </c>
      <c s="70" r="Q290"/>
      <c s="70" r="R290">
        <v>13</v>
      </c>
      <c s="3" r="S290">
        <f>T290+U290</f>
        <v>0</v>
      </c>
      <c s="54" r="T290"/>
      <c s="70" r="U290"/>
      <c s="70" r="V290">
        <v>16</v>
      </c>
      <c s="70" r="W290"/>
      <c s="70" r="X290"/>
      <c s="70" r="Y290"/>
      <c s="70" r="Z290"/>
      <c s="70" r="AA290">
        <v>19</v>
      </c>
      <c s="70" r="AB290"/>
      <c s="70" r="AC290"/>
      <c s="70" r="AD290"/>
      <c s="70" r="AE290"/>
      <c s="70" r="AF290"/>
      <c s="70" r="AG290"/>
      <c s="47" r="AH290">
        <f>((AC290*0.6637)+AE290)+AG290</f>
        <v>0</v>
      </c>
      <c s="94" r="AI290">
        <f>(AA290*2.3)+(AD290)</f>
        <v>43.7</v>
      </c>
      <c s="109" r="AJ290"/>
      <c s="44" r="AK290"/>
      <c s="30" r="AL290"/>
      <c s="30" r="AM290"/>
      <c s="30" r="AN290"/>
      <c s="30" r="AO290"/>
    </row>
    <row r="291">
      <c t="str" s="106" r="A291">
        <f>(((B291&amp;" ")&amp;C291)&amp;" ")&amp;E291</f>
        <v>Bracers of the Ancient Phalanx Badges 214.462</v>
      </c>
      <c t="s" s="72" r="B291">
        <v>558</v>
      </c>
      <c t="s" s="72" r="C291">
        <v>58</v>
      </c>
      <c t="s" s="25" r="D291">
        <v>538</v>
      </c>
      <c s="114" r="E291">
        <f>(F291+G291)+H291</f>
        <v>214.462</v>
      </c>
      <c s="121" r="F291">
        <f>((((((J291*0.1)+(O291*1.25))+R291)+S291)+V291)+(X291*0.5))+(AF291*0.2)</f>
        <v>90.8</v>
      </c>
      <c s="121" r="G291">
        <f>+((K291*1.06)*1.06)</f>
        <v>50.562</v>
      </c>
      <c s="121" r="H291">
        <f>((((AB291)+(0.3*K291))+AG291)+(AF291*0.6))+AI291</f>
        <v>73.1</v>
      </c>
      <c s="98" r="I291">
        <f>((((0.05*O291)+(0.053*V291))+(0.04*AC291))+(0.042*S291))/100.0</f>
        <v>0.007</v>
      </c>
      <c s="54" r="J291">
        <v>703</v>
      </c>
      <c s="3" r="K291">
        <f>L291+M291</f>
        <v>45</v>
      </c>
      <c s="54" r="L291">
        <v>45</v>
      </c>
      <c s="70" r="M291"/>
      <c s="70" r="N291"/>
      <c s="3" r="O291">
        <f>P291+Q291</f>
        <v>14</v>
      </c>
      <c s="54" r="P291">
        <v>14</v>
      </c>
      <c s="70" r="Q291"/>
      <c s="70" r="R291"/>
      <c s="3" r="S291">
        <f>T291+U291</f>
        <v>0</v>
      </c>
      <c s="54" r="T291"/>
      <c s="70" r="U291"/>
      <c s="70" r="V291"/>
      <c s="70" r="W291"/>
      <c s="70" r="X291"/>
      <c s="70" r="Y291"/>
      <c s="70" r="Z291"/>
      <c s="70" r="AA291">
        <v>22</v>
      </c>
      <c s="29" r="AB291"/>
      <c s="70" r="AC291"/>
      <c s="70" r="AD291"/>
      <c s="70" r="AE291"/>
      <c s="70" r="AF291">
        <v>15</v>
      </c>
      <c s="70" r="AG291"/>
      <c s="47" r="AH291">
        <f>((AC291*0.6637)+AE291)+AG291</f>
        <v>0</v>
      </c>
      <c s="94" r="AI291">
        <f>(AA291*2.3)+(AD291)</f>
        <v>50.6</v>
      </c>
      <c s="109" r="AJ291"/>
      <c s="44" r="AK291"/>
      <c s="30" r="AL291"/>
      <c s="30" r="AM291"/>
      <c s="30" r="AN291"/>
      <c s="30" r="AO291"/>
    </row>
    <row r="292">
      <c t="str" s="106" r="A292">
        <f>(((B292&amp;" ")&amp;C292)&amp;" ")&amp;E292</f>
        <v>Vambraces of Courage (sta) Attumen 208.2952</v>
      </c>
      <c t="s" s="72" r="B292">
        <v>559</v>
      </c>
      <c t="s" s="72" r="C292">
        <v>560</v>
      </c>
      <c t="s" s="25" r="D292">
        <v>538</v>
      </c>
      <c s="114" r="E292">
        <f>(F292+G292)+H292</f>
        <v>208.2952</v>
      </c>
      <c s="121" r="F292">
        <f>((((((J292*0.1)+(O292*1.25))+R292)+S292)+V292)+(X292*0.5))+(AF292*0.2)</f>
        <v>92.65</v>
      </c>
      <c s="121" r="G292">
        <f>+((K292*1.06)*1.06)</f>
        <v>64.0452</v>
      </c>
      <c s="121" r="H292">
        <f>((((AB292)+(0.3*K292))+AG292)+(AF292*0.6))+AI292</f>
        <v>51.6</v>
      </c>
      <c s="98" r="I292">
        <f>((((0.05*O292)+(0.053*V292))+(0.04*AC292))+(0.042*S292))/100.0</f>
        <v>0.0075</v>
      </c>
      <c s="54" r="J292">
        <v>634</v>
      </c>
      <c s="3" r="K292">
        <f>L292+M292</f>
        <v>57</v>
      </c>
      <c s="54" r="L292">
        <f>33.0</f>
        <v>33</v>
      </c>
      <c s="70" r="M292">
        <f>24.0</f>
        <v>24</v>
      </c>
      <c t="s" s="70" r="N292">
        <v>304</v>
      </c>
      <c s="3" r="O292">
        <f>P292+Q292</f>
        <v>15</v>
      </c>
      <c s="54" r="P292">
        <v>15</v>
      </c>
      <c s="70" r="Q292"/>
      <c s="70" r="R292"/>
      <c s="3" r="S292">
        <f>T292+U292</f>
        <v>0</v>
      </c>
      <c s="54" r="T292"/>
      <c s="70" r="U292"/>
      <c s="70" r="V292"/>
      <c s="70" r="W292"/>
      <c s="70" r="X292">
        <v>21</v>
      </c>
      <c s="70" r="Y292"/>
      <c s="70" r="Z292"/>
      <c s="70" r="AA292">
        <v>15</v>
      </c>
      <c s="29" r="AB292"/>
      <c s="70" r="AC292"/>
      <c s="70" r="AD292"/>
      <c s="70" r="AE292"/>
      <c s="70" r="AF292"/>
      <c s="70" r="AG292"/>
      <c s="47" r="AH292">
        <f>((AC292*0.6637)+AE292)+AG292</f>
        <v>0</v>
      </c>
      <c s="94" r="AI292">
        <f>(AA292*2.3)+(AD292)</f>
        <v>34.5</v>
      </c>
      <c s="109" r="AJ292"/>
      <c s="44" r="AK292"/>
      <c s="30" r="AL292"/>
      <c s="30" r="AM292"/>
      <c s="30" r="AN292"/>
      <c s="30" r="AO292"/>
    </row>
    <row r="293">
      <c t="str" s="106" r="A293">
        <f>(((B293&amp;" ")&amp;C293)&amp;" ")&amp;E293</f>
        <v>Bracers of Dignity Heroic ? 148.758</v>
      </c>
      <c t="s" s="52" r="B293">
        <v>561</v>
      </c>
      <c t="s" s="52" r="C293">
        <v>562</v>
      </c>
      <c t="s" s="25" r="D293">
        <v>538</v>
      </c>
      <c s="114" r="E293">
        <f>(F293+G293)+H293</f>
        <v>148.758</v>
      </c>
      <c s="121" r="F293">
        <f>((((((J293*0.1)+(O293*1.25))+R293)+S293)+V293)+(X293*0.5))+(AF293*0.2)</f>
        <v>87.05</v>
      </c>
      <c s="121" r="G293">
        <f>+((K293*1.06)*1.06)</f>
        <v>33.708</v>
      </c>
      <c s="121" r="H293">
        <f>((((AB293)+(0.3*K293))+AG293)+(AF293*0.6))+AI293</f>
        <v>28</v>
      </c>
      <c s="98" r="I293">
        <f>((((0.05*O293)+(0.053*V293))+(0.04*AC293))+(0.042*S293))/100.0</f>
        <v>0.0105</v>
      </c>
      <c s="122" r="J293">
        <v>608</v>
      </c>
      <c s="3" r="K293">
        <f>L293+M293</f>
        <v>30</v>
      </c>
      <c s="122" r="L293">
        <v>30</v>
      </c>
      <c s="25" r="M293"/>
      <c s="25" r="N293"/>
      <c s="3" r="O293">
        <f>P293+Q293</f>
        <v>21</v>
      </c>
      <c s="122" r="P293">
        <v>21</v>
      </c>
      <c s="25" r="Q293"/>
      <c s="25" r="R293"/>
      <c s="3" r="S293">
        <f>T293+U293</f>
        <v>0</v>
      </c>
      <c s="122" r="T293"/>
      <c s="25" r="U293"/>
      <c s="25" r="V293"/>
      <c s="70" r="W293"/>
      <c s="25" r="X293"/>
      <c s="25" r="Y293">
        <v>12</v>
      </c>
      <c s="25" r="Z293"/>
      <c s="67" r="AA293"/>
      <c s="110" r="AB293">
        <v>19</v>
      </c>
      <c s="67" r="AC293"/>
      <c s="67" r="AD293"/>
      <c s="25" r="AE293"/>
      <c s="25" r="AF293"/>
      <c s="25" r="AG293"/>
      <c s="47" r="AH293">
        <f>((AC293*0.6637)+AE293)+AG293</f>
        <v>0</v>
      </c>
      <c s="94" r="AI293">
        <f>(AA293*2.3)+(AD293)</f>
        <v>0</v>
      </c>
      <c s="129" r="AJ293"/>
      <c s="44" r="AK293"/>
      <c s="30" r="AL293"/>
      <c s="30" r="AM293"/>
      <c s="30" r="AN293"/>
      <c s="30" r="AO293"/>
    </row>
    <row r="294">
      <c t="str" s="106" r="A294">
        <f>(((B294&amp;" ")&amp;C294)&amp;" ")&amp;E294</f>
        <v>Bracers of the Green Fortress Crafted 144.8704</v>
      </c>
      <c t="s" s="52" r="B294">
        <v>563</v>
      </c>
      <c t="s" s="52" r="C294">
        <v>73</v>
      </c>
      <c t="s" s="25" r="D294">
        <v>538</v>
      </c>
      <c s="114" r="E294">
        <f>(F294+G294)+H294</f>
        <v>144.8704</v>
      </c>
      <c s="121" r="F294">
        <f>((((((J294*0.1)+(O294*1.25))+R294)+S294)+V294)+(X294*0.5))+(AF294*0.2)</f>
        <v>89.35</v>
      </c>
      <c s="121" r="G294">
        <f>+((K294*1.06)*1.06)</f>
        <v>43.8204</v>
      </c>
      <c s="121" r="H294">
        <f>((((AB294)+(0.3*K294))+AG294)+(AF294*0.6))+AI294</f>
        <v>11.7</v>
      </c>
      <c s="98" r="I294">
        <f>((((0.05*O294)+(0.053*V294))+(0.04*AC294))+(0.042*S294))/100.0</f>
        <v>0.0138</v>
      </c>
      <c s="122" r="J294">
        <v>581</v>
      </c>
      <c s="3" r="K294">
        <f>L294+M294</f>
        <v>39</v>
      </c>
      <c s="122" r="L294">
        <v>39</v>
      </c>
      <c s="25" r="M294"/>
      <c s="25" r="N294"/>
      <c s="3" r="O294">
        <f>P294+Q294</f>
        <v>17</v>
      </c>
      <c s="122" r="P294">
        <v>17</v>
      </c>
      <c s="25" r="Q294"/>
      <c s="25" r="R294"/>
      <c s="3" r="S294">
        <f>T294+U294</f>
        <v>0</v>
      </c>
      <c s="122" r="T294"/>
      <c s="25" r="U294"/>
      <c s="25" r="V294">
        <v>10</v>
      </c>
      <c s="70" r="W294"/>
      <c s="25" r="X294"/>
      <c s="25" r="Y294"/>
      <c s="25" r="Z294"/>
      <c s="25" r="AA294"/>
      <c s="62" r="AB294"/>
      <c s="25" r="AC294"/>
      <c s="67" r="AD294"/>
      <c s="67" r="AE294"/>
      <c s="67" r="AF294"/>
      <c s="25" r="AG294"/>
      <c s="47" r="AH294">
        <f>((AC294*0.6637)+AE294)+AG294</f>
        <v>0</v>
      </c>
      <c s="94" r="AI294">
        <f>(AA294*2.3)+(AD294)</f>
        <v>0</v>
      </c>
      <c s="109" r="AJ294"/>
      <c s="44" r="AK294"/>
      <c s="30" r="AL294"/>
      <c s="30" r="AM294"/>
      <c s="30" r="AN294"/>
      <c s="30" r="AO294"/>
    </row>
    <row r="295">
      <c s="30" r="A295"/>
      <c s="49" r="B295"/>
      <c s="88" r="C295"/>
      <c s="88" r="D295"/>
      <c s="1" r="E295"/>
      <c s="1" r="F295"/>
      <c s="1" r="G295"/>
      <c s="1" r="H295"/>
      <c s="1" r="I295"/>
      <c s="88" r="J295"/>
      <c s="1" r="K295"/>
      <c s="88" r="L295"/>
      <c s="88" r="M295"/>
      <c s="88" r="N295"/>
      <c s="1" r="O295"/>
      <c s="88" r="P295"/>
      <c s="88" r="Q295"/>
      <c s="88" r="R295"/>
      <c s="1" r="S295"/>
      <c s="88" r="T295"/>
      <c s="88" r="U295"/>
      <c s="88" r="V295"/>
      <c s="88" r="W295"/>
      <c s="88" r="X295"/>
      <c s="88" r="Y295"/>
      <c s="88" r="Z295"/>
      <c s="88" r="AA295"/>
      <c s="88" r="AB295"/>
      <c s="88" r="AC295"/>
      <c s="88" r="AD295"/>
      <c s="88" r="AE295"/>
      <c s="88" r="AF295"/>
      <c s="88" r="AG295"/>
      <c s="93" r="AH295"/>
      <c s="93" r="AI295"/>
      <c s="91" r="AJ295"/>
      <c s="44" r="AK295"/>
      <c s="30" r="AL295"/>
      <c s="30" r="AM295"/>
      <c s="30" r="AN295"/>
      <c s="30" r="AO295"/>
    </row>
    <row r="296">
      <c s="30" r="A296"/>
      <c s="30" r="B296"/>
      <c s="30" r="C296"/>
      <c s="30" r="D296"/>
      <c t="s" s="30" r="E296">
        <v>564</v>
      </c>
      <c t="s" s="30" r="F296">
        <v>565</v>
      </c>
      <c s="30" r="H296"/>
      <c s="30" r="I296"/>
      <c s="30" r="J296"/>
      <c s="30" r="K296"/>
      <c t="s" s="30" r="L296">
        <v>566</v>
      </c>
      <c t="s" s="30" r="M296">
        <v>567</v>
      </c>
      <c s="30" r="N296"/>
      <c s="30" r="O296"/>
      <c s="30" r="P296"/>
      <c s="30" r="Q296"/>
      <c s="30" r="R296"/>
      <c s="30" r="S296"/>
      <c s="30" r="T296"/>
      <c s="30" r="U296"/>
      <c s="30" r="V296"/>
      <c s="30" r="W296"/>
      <c s="30" r="X296"/>
      <c s="30" r="Y296"/>
      <c s="30" r="Z296"/>
      <c s="30" r="AA296"/>
      <c s="30" r="AB296"/>
      <c s="30" r="AC296"/>
      <c s="30" r="AD296"/>
      <c s="30" r="AE296"/>
      <c s="30" r="AF296"/>
      <c s="30" r="AG296"/>
      <c s="44" r="AH296"/>
      <c s="44" r="AI296"/>
      <c s="44" r="AJ296"/>
      <c s="44" r="AK296"/>
      <c s="30" r="AL296"/>
      <c s="30" r="AM296"/>
      <c s="30" r="AN296"/>
      <c s="30" r="AO296"/>
    </row>
    <row r="297">
      <c s="30" r="A297"/>
      <c s="30" r="B297"/>
      <c s="30" r="C297"/>
      <c s="30" r="D297"/>
      <c t="s" s="30" r="E297">
        <v>568</v>
      </c>
      <c t="s" s="30" r="F297">
        <v>569</v>
      </c>
      <c s="30" r="I297"/>
      <c s="30" r="J297"/>
      <c s="30" r="K297"/>
      <c t="s" s="30" r="L297">
        <v>570</v>
      </c>
      <c t="s" s="30" r="M297">
        <v>571</v>
      </c>
      <c s="30" r="N297"/>
      <c s="30" r="O297"/>
      <c s="30" r="P297"/>
      <c s="30" r="Q297"/>
      <c s="30" r="R297"/>
      <c s="30" r="S297"/>
      <c s="30" r="T297"/>
      <c s="30" r="U297"/>
      <c s="30" r="V297"/>
      <c s="30" r="W297"/>
      <c s="30" r="X297"/>
      <c s="30" r="Y297"/>
      <c s="30" r="Z297"/>
      <c s="30" r="AA297"/>
      <c s="30" r="AB297"/>
      <c s="30" r="AC297"/>
      <c s="30" r="AD297"/>
      <c s="30" r="AE297"/>
      <c s="30" r="AF297"/>
      <c s="30" r="AG297"/>
      <c s="30" r="AH297"/>
      <c s="30" r="AI297"/>
      <c s="30" r="AJ297"/>
      <c s="30" r="AK297"/>
      <c s="30" r="AL297"/>
      <c s="30" r="AM297"/>
      <c s="30" r="AN297"/>
      <c s="30" r="AO297"/>
    </row>
    <row r="298">
      <c s="30" r="A298"/>
      <c s="30" r="B298"/>
      <c s="30" r="C298"/>
      <c s="30" r="D298"/>
      <c t="s" s="30" r="E298">
        <v>572</v>
      </c>
      <c t="s" s="30" r="F298">
        <v>573</v>
      </c>
      <c s="30" r="G298"/>
      <c s="30" r="H298"/>
      <c s="30" r="I298"/>
      <c s="30" r="J298"/>
      <c s="30" r="K298"/>
      <c t="s" s="30" r="L298">
        <v>574</v>
      </c>
      <c s="30" r="M298"/>
      <c s="30" r="N298"/>
      <c s="30" r="O298"/>
      <c s="30" r="P298"/>
      <c s="30" r="Q298"/>
      <c s="30" r="R298"/>
      <c s="30" r="S298"/>
      <c s="30" r="T298"/>
      <c s="30" r="U298"/>
      <c s="30" r="V298"/>
      <c s="30" r="W298"/>
      <c s="30" r="X298"/>
      <c s="30" r="Y298"/>
      <c s="30" r="Z298"/>
      <c s="30" r="AA298"/>
      <c s="30" r="AB298"/>
      <c s="30" r="AC298"/>
      <c s="30" r="AD298"/>
      <c s="30" r="AE298"/>
      <c s="30" r="AF298"/>
      <c s="30" r="AG298"/>
      <c s="30" r="AH298"/>
      <c s="30" r="AI298"/>
      <c s="30" r="AJ298"/>
      <c s="30" r="AK298"/>
      <c s="30" r="AL298"/>
      <c s="30" r="AM298"/>
      <c s="30" r="AN298"/>
      <c s="30" r="AO298"/>
    </row>
    <row r="299">
      <c s="30" r="A299"/>
      <c s="30" r="B299"/>
      <c s="30" r="C299"/>
      <c s="30" r="D299"/>
      <c t="s" s="30" r="E299">
        <v>575</v>
      </c>
      <c t="s" s="30" r="F299">
        <v>576</v>
      </c>
      <c s="30" r="G299"/>
      <c s="30" r="H299"/>
      <c s="30" r="I299"/>
      <c s="30" r="J299"/>
      <c s="30" r="K299"/>
      <c t="s" s="30" r="L299">
        <v>577</v>
      </c>
      <c s="30" r="M299"/>
      <c s="30" r="N299"/>
      <c s="30" r="O299"/>
      <c s="30" r="P299"/>
      <c s="30" r="Q299"/>
      <c s="30" r="R299"/>
      <c s="30" r="S299"/>
      <c s="30" r="T299"/>
      <c s="30" r="U299"/>
      <c s="30" r="V299"/>
      <c s="30" r="W299"/>
      <c s="30" r="X299"/>
      <c s="30" r="Y299"/>
      <c s="30" r="Z299"/>
      <c s="30" r="AA299"/>
      <c s="30" r="AB299"/>
      <c s="30" r="AC299"/>
      <c s="30" r="AD299"/>
      <c s="30" r="AE299"/>
      <c s="30" r="AF299"/>
      <c s="30" r="AG299"/>
      <c s="30" r="AH299"/>
      <c s="30" r="AI299"/>
      <c s="30" r="AJ299"/>
      <c s="30" r="AK299"/>
      <c s="30" r="AL299"/>
      <c s="30" r="AM299"/>
      <c s="30" r="AN299"/>
      <c s="30" r="AO299"/>
    </row>
    <row r="300">
      <c s="30" r="A300"/>
      <c s="30" r="B300"/>
      <c s="30" r="C300"/>
      <c s="30" r="D300"/>
      <c s="30" r="E300"/>
      <c s="30" r="F300"/>
      <c s="30" r="G300"/>
      <c s="30" r="H300"/>
      <c s="30" r="I300"/>
      <c s="30" r="J300"/>
      <c s="30" r="K300"/>
      <c s="30" r="L300"/>
      <c s="30" r="M300"/>
      <c s="30" r="N300"/>
      <c s="30" r="O300"/>
      <c s="30" r="P300"/>
      <c s="30" r="Q300"/>
      <c s="30" r="R300"/>
      <c s="30" r="S300"/>
      <c s="30" r="T300"/>
      <c s="30" r="U300"/>
      <c s="30" r="V300"/>
      <c s="30" r="W300"/>
      <c s="30" r="X300"/>
      <c s="30" r="Y300"/>
      <c s="30" r="Z300"/>
      <c s="30" r="AA300"/>
      <c s="30" r="AB300"/>
      <c s="30" r="AC300"/>
      <c s="30" r="AD300"/>
      <c s="30" r="AE300"/>
      <c s="30" r="AF300"/>
      <c s="30" r="AG300"/>
      <c s="30" r="AH300"/>
      <c s="30" r="AI300"/>
      <c s="30" r="AJ300"/>
      <c s="30" r="AK300"/>
      <c s="30" r="AL300"/>
      <c s="30" r="AM300"/>
      <c s="30" r="AN300"/>
      <c s="30" r="AO300"/>
    </row>
    <row r="301">
      <c s="30" r="A301"/>
      <c s="30" r="B301"/>
      <c s="30" r="C301"/>
      <c s="30" r="D301"/>
      <c s="30" r="E301"/>
      <c s="30" r="F301"/>
      <c s="30" r="G301"/>
      <c s="30" r="H301"/>
      <c s="30" r="I301"/>
      <c s="30" r="J301"/>
      <c s="30" r="K301"/>
      <c s="30" r="L301"/>
      <c s="30" r="M301"/>
      <c s="30" r="N301"/>
      <c s="30" r="O301"/>
      <c s="30" r="P301"/>
      <c s="30" r="Q301"/>
      <c s="30" r="R301"/>
      <c s="30" r="S301"/>
      <c s="30" r="T301"/>
      <c s="30" r="U301"/>
      <c s="30" r="V301"/>
      <c s="30" r="W301"/>
      <c s="30" r="X301"/>
      <c s="30" r="Y301"/>
      <c s="30" r="Z301"/>
      <c s="30" r="AA301"/>
      <c s="30" r="AB301"/>
      <c s="30" r="AC301"/>
      <c s="30" r="AD301"/>
      <c s="30" r="AE301"/>
      <c s="30" r="AF301"/>
      <c s="30" r="AG301"/>
      <c s="30" r="AH301"/>
      <c s="30" r="AI301"/>
      <c s="30" r="AJ301"/>
      <c s="30" r="AK301"/>
      <c s="30" r="AL301"/>
      <c s="30" r="AM301"/>
      <c s="30" r="AN301"/>
      <c s="30" r="AO301"/>
    </row>
    <row r="302">
      <c s="30" r="A302"/>
      <c s="30" r="B302"/>
      <c s="30" r="C302"/>
      <c s="30" r="D302"/>
      <c s="30" r="E302"/>
      <c s="30" r="F302"/>
      <c s="30" r="G302"/>
      <c s="30" r="H302"/>
      <c s="30" r="I302"/>
      <c s="30" r="J302"/>
      <c s="30" r="K302"/>
      <c s="30" r="L302"/>
      <c s="30" r="M302"/>
      <c s="30" r="N302"/>
      <c s="30" r="O302"/>
      <c s="30" r="P302"/>
      <c s="30" r="Q302"/>
      <c s="30" r="R302"/>
      <c s="30" r="S302"/>
      <c s="30" r="T302"/>
      <c s="30" r="U302"/>
      <c s="30" r="V302"/>
      <c s="30" r="W302"/>
      <c s="30" r="X302"/>
      <c s="30" r="Y302"/>
      <c s="30" r="Z302"/>
      <c s="30" r="AA302"/>
      <c s="30" r="AB302"/>
      <c s="30" r="AC302"/>
      <c s="30" r="AD302"/>
      <c s="30" r="AE302"/>
      <c s="30" r="AF302"/>
      <c s="30" r="AG302"/>
      <c s="30" r="AH302"/>
      <c s="30" r="AI302"/>
      <c s="30" r="AJ302"/>
      <c s="30" r="AK302"/>
      <c s="30" r="AL302"/>
      <c s="30" r="AM302"/>
      <c s="30" r="AN302"/>
      <c s="30" r="AO302"/>
    </row>
    <row r="303">
      <c s="30" r="A303"/>
      <c s="30" r="B303"/>
      <c s="30" r="C303"/>
      <c s="30" r="D303"/>
      <c s="30" r="E303"/>
      <c s="30" r="F303"/>
      <c s="30" r="G303"/>
      <c s="30" r="H303"/>
      <c s="30" r="I303"/>
      <c s="30" r="J303"/>
      <c s="30" r="K303"/>
      <c s="30" r="L303"/>
      <c s="30" r="M303"/>
      <c s="30" r="N303"/>
      <c s="30" r="O303"/>
      <c s="30" r="P303"/>
      <c s="30" r="Q303"/>
      <c s="30" r="R303"/>
      <c s="30" r="S303"/>
      <c s="30" r="T303"/>
      <c s="30" r="U303"/>
      <c s="30" r="V303"/>
      <c s="30" r="W303"/>
      <c s="30" r="X303"/>
      <c s="30" r="Y303"/>
      <c s="30" r="Z303"/>
      <c s="30" r="AA303"/>
      <c s="30" r="AB303"/>
      <c s="30" r="AC303"/>
      <c s="30" r="AD303"/>
      <c s="30" r="AE303"/>
      <c s="30" r="AF303"/>
      <c s="30" r="AG303"/>
      <c s="30" r="AH303"/>
      <c s="30" r="AI303"/>
      <c s="30" r="AJ303"/>
      <c s="30" r="AK303"/>
      <c s="30" r="AL303"/>
      <c s="30" r="AM303"/>
      <c s="30" r="AN303"/>
      <c s="30" r="AO303"/>
    </row>
    <row r="304">
      <c s="30" r="A304"/>
      <c s="30" r="B304"/>
      <c s="30" r="C304"/>
      <c s="30" r="D304"/>
      <c s="30" r="E304"/>
      <c s="30" r="F304"/>
      <c s="30" r="G304"/>
      <c s="30" r="H304"/>
      <c s="30" r="I304"/>
      <c s="30" r="J304"/>
      <c s="30" r="K304"/>
      <c s="30" r="L304"/>
      <c s="30" r="M304"/>
      <c s="30" r="N304"/>
      <c s="30" r="O304"/>
      <c s="30" r="P304"/>
      <c s="30" r="Q304"/>
      <c s="30" r="R304"/>
      <c s="30" r="S304"/>
      <c s="30" r="T304"/>
      <c s="30" r="U304"/>
      <c s="30" r="V304"/>
      <c s="30" r="W304"/>
      <c s="30" r="X304"/>
      <c s="30" r="Y304"/>
      <c s="30" r="Z304"/>
      <c s="30" r="AA304"/>
      <c s="30" r="AB304"/>
      <c s="30" r="AC304"/>
      <c s="30" r="AD304"/>
      <c s="30" r="AE304"/>
      <c s="30" r="AF304"/>
      <c s="30" r="AG304"/>
      <c s="30" r="AH304"/>
      <c s="30" r="AI304"/>
      <c s="30" r="AJ304"/>
      <c s="30" r="AK304"/>
      <c s="30" r="AL304"/>
      <c s="30" r="AM304"/>
      <c s="30" r="AN304"/>
      <c s="30" r="AO304"/>
    </row>
    <row r="305">
      <c s="30" r="A305"/>
      <c s="30" r="B305"/>
      <c s="30" r="C305"/>
      <c s="30" r="D305"/>
      <c s="30" r="E305"/>
      <c s="30" r="F305"/>
      <c s="30" r="G305"/>
      <c s="30" r="H305"/>
      <c s="30" r="I305"/>
      <c s="30" r="J305"/>
      <c s="30" r="K305"/>
      <c s="30" r="L305"/>
      <c s="30" r="M305"/>
      <c s="30" r="N305"/>
      <c s="30" r="O305"/>
      <c s="30" r="P305"/>
      <c s="30" r="Q305"/>
      <c s="30" r="R305"/>
      <c s="30" r="S305"/>
      <c s="30" r="T305"/>
      <c s="30" r="U305"/>
      <c s="30" r="V305"/>
      <c s="30" r="W305"/>
      <c s="30" r="X305"/>
      <c s="30" r="Y305"/>
      <c s="30" r="Z305"/>
      <c s="30" r="AA305"/>
      <c s="30" r="AB305"/>
      <c s="30" r="AC305"/>
      <c s="30" r="AD305"/>
      <c s="30" r="AE305"/>
      <c s="30" r="AF305"/>
      <c s="30" r="AG305"/>
      <c s="30" r="AH305"/>
      <c s="30" r="AI305"/>
      <c s="30" r="AJ305"/>
      <c s="30" r="AK305"/>
      <c s="30" r="AL305"/>
      <c s="30" r="AM305"/>
      <c s="30" r="AN305"/>
      <c s="30" r="AO305"/>
    </row>
    <row r="306">
      <c s="30" r="A306"/>
      <c s="30" r="B306"/>
      <c s="30" r="C306"/>
      <c s="30" r="D306"/>
      <c s="30" r="E306"/>
      <c s="30" r="F306"/>
      <c s="30" r="G306"/>
      <c s="30" r="H306"/>
      <c s="30" r="I306"/>
      <c s="30" r="J306"/>
      <c s="30" r="K306"/>
      <c s="30" r="L306"/>
      <c s="30" r="M306"/>
      <c s="30" r="N306"/>
      <c s="30" r="O306"/>
      <c s="30" r="P306"/>
      <c s="30" r="Q306"/>
      <c s="30" r="R306"/>
      <c s="30" r="S306"/>
      <c s="30" r="T306"/>
      <c s="30" r="U306"/>
      <c s="30" r="V306"/>
      <c s="30" r="W306"/>
      <c s="30" r="X306"/>
      <c s="30" r="Y306"/>
      <c s="30" r="Z306"/>
      <c s="30" r="AA306"/>
      <c s="30" r="AB306"/>
      <c s="30" r="AC306"/>
      <c s="30" r="AD306"/>
      <c s="30" r="AE306"/>
      <c s="30" r="AF306"/>
      <c s="30" r="AG306"/>
      <c s="30" r="AH306"/>
      <c s="30" r="AI306"/>
      <c s="30" r="AJ306"/>
      <c s="30" r="AK306"/>
      <c s="30" r="AL306"/>
      <c s="30" r="AM306"/>
      <c s="30" r="AN306"/>
      <c s="30" r="AO306"/>
    </row>
    <row r="307">
      <c s="30" r="A307"/>
      <c s="30" r="B307"/>
      <c s="30" r="C307"/>
      <c s="30" r="D307"/>
      <c s="30" r="E307"/>
      <c s="30" r="F307"/>
      <c s="30" r="G307"/>
      <c s="30" r="H307"/>
      <c s="30" r="I307"/>
      <c s="30" r="J307"/>
      <c s="30" r="K307"/>
      <c s="30" r="L307"/>
      <c s="30" r="M307"/>
      <c s="30" r="N307"/>
      <c s="30" r="O307"/>
      <c s="30" r="P307"/>
      <c s="30" r="Q307"/>
      <c s="30" r="R307"/>
      <c s="30" r="S307"/>
      <c s="30" r="T307"/>
      <c s="30" r="U307"/>
      <c s="30" r="V307"/>
      <c s="30" r="W307"/>
      <c s="30" r="X307"/>
      <c s="30" r="Y307"/>
      <c s="30" r="Z307"/>
      <c s="30" r="AA307"/>
      <c s="30" r="AB307"/>
      <c s="30" r="AC307"/>
      <c s="30" r="AD307"/>
      <c s="30" r="AE307"/>
      <c s="30" r="AF307"/>
      <c s="30" r="AG307"/>
      <c s="30" r="AH307"/>
      <c s="30" r="AI307"/>
      <c s="30" r="AJ307"/>
      <c s="30" r="AK307"/>
      <c s="30" r="AL307"/>
      <c s="30" r="AM307"/>
      <c s="30" r="AN307"/>
      <c s="30" r="AO307"/>
    </row>
  </sheetData>
  <mergeCells count="3">
    <mergeCell ref="F296:G296"/>
    <mergeCell ref="F297:H297"/>
    <mergeCell ref="F299:J299"/>
  </mergeCells>
</worksheet>
</file>