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19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8" i="1" l="1"/>
  <c r="F8" i="1"/>
  <c r="F4" i="1"/>
  <c r="F5" i="1"/>
  <c r="F6" i="1"/>
  <c r="F7" i="1"/>
  <c r="F3" i="1"/>
  <c r="C4" i="1"/>
  <c r="D6" i="1"/>
  <c r="D5" i="1"/>
  <c r="D3" i="1"/>
  <c r="D4" i="1"/>
  <c r="E4" i="1"/>
  <c r="E5" i="1"/>
  <c r="E6" i="1"/>
  <c r="E7" i="1"/>
  <c r="E3" i="1"/>
  <c r="C7" i="1"/>
  <c r="C6" i="1"/>
  <c r="C5" i="1"/>
  <c r="B4" i="1"/>
  <c r="G4" i="1" l="1"/>
  <c r="B5" i="1"/>
  <c r="G3" i="1"/>
  <c r="B6" i="1" l="1"/>
  <c r="B7" i="1" l="1"/>
  <c r="G5" i="1"/>
  <c r="D8" i="1"/>
  <c r="G6" i="1" l="1"/>
  <c r="G7" i="1" l="1"/>
  <c r="G8" i="1" s="1"/>
</calcChain>
</file>

<file path=xl/sharedStrings.xml><?xml version="1.0" encoding="utf-8"?>
<sst xmlns="http://schemas.openxmlformats.org/spreadsheetml/2006/main" count="9" uniqueCount="9">
  <si>
    <t>A Five Year Model of the Proposed Carbon Tax</t>
  </si>
  <si>
    <t>Year</t>
  </si>
  <si>
    <t>Tax Level</t>
  </si>
  <si>
    <t>Emissions (in millions of tons of CO2)</t>
  </si>
  <si>
    <t>Total</t>
  </si>
  <si>
    <t>Emissions Reductions (in millions of tons of CO2)</t>
  </si>
  <si>
    <t>Revenue (in billions of dollars)</t>
  </si>
  <si>
    <t>Redistributed Revenue (in billions of dollars)</t>
  </si>
  <si>
    <t>Total Revenue Available for Deficit Reduction (in billions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</si>
</sst>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7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numFmt numFmtId="0" formatCode="General"/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Emissions Reduction</a:t>
            </a:r>
            <a:r>
              <a:rPr lang="en-US" baseline="0"/>
              <a:t> and Tax Revenues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Sheet1!$E$2</c:f>
              <c:strCache>
                <c:ptCount val="1"/>
                <c:pt idx="0">
                  <c:v>Revenue (in billions of dollars)</c:v>
                </c:pt>
              </c:strCache>
            </c:strRef>
          </c:tx>
          <c:marker>
            <c:symbol val="none"/>
          </c:marker>
          <c:val>
            <c:numRef>
              <c:f>Sheet1!$E$3:$E$7</c:f>
              <c:numCache>
                <c:formatCode>General</c:formatCode>
                <c:ptCount val="5"/>
                <c:pt idx="0">
                  <c:v>119.922</c:v>
                </c:pt>
                <c:pt idx="1">
                  <c:v>121.69084949999998</c:v>
                </c:pt>
                <c:pt idx="2">
                  <c:v>123.48578953012498</c:v>
                </c:pt>
                <c:pt idx="3">
                  <c:v>125.30720492569429</c:v>
                </c:pt>
                <c:pt idx="4">
                  <c:v>127.15548619834829</c:v>
                </c:pt>
              </c:numCache>
            </c:numRef>
          </c:val>
          <c:smooth val="0"/>
        </c:ser>
        <c:ser>
          <c:idx val="5"/>
          <c:order val="1"/>
          <c:tx>
            <c:strRef>
              <c:f>Sheet1!$F$2</c:f>
              <c:strCache>
                <c:ptCount val="1"/>
                <c:pt idx="0">
                  <c:v>Redistributed Revenue (in billions of dollars)</c:v>
                </c:pt>
              </c:strCache>
            </c:strRef>
          </c:tx>
          <c:marker>
            <c:symbol val="none"/>
          </c:marker>
          <c:val>
            <c:numRef>
              <c:f>Sheet1!$F$3:$F$7</c:f>
              <c:numCache>
                <c:formatCode>General</c:formatCode>
                <c:ptCount val="5"/>
                <c:pt idx="0">
                  <c:v>29.980499999999999</c:v>
                </c:pt>
                <c:pt idx="1">
                  <c:v>30.422712374999996</c:v>
                </c:pt>
                <c:pt idx="2">
                  <c:v>30.871447382531244</c:v>
                </c:pt>
                <c:pt idx="3">
                  <c:v>31.326801231423573</c:v>
                </c:pt>
                <c:pt idx="4">
                  <c:v>31.788871549587071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Sheet1!$G$2</c:f>
              <c:strCache>
                <c:ptCount val="1"/>
                <c:pt idx="0">
                  <c:v>Total Revenue Available for Deficit Reduction (in billions of dollars)</c:v>
                </c:pt>
              </c:strCache>
            </c:strRef>
          </c:tx>
          <c:marker>
            <c:symbol val="none"/>
          </c:marker>
          <c:val>
            <c:numRef>
              <c:f>Sheet1!$G$3:$G$7</c:f>
              <c:numCache>
                <c:formatCode>General</c:formatCode>
                <c:ptCount val="5"/>
                <c:pt idx="0">
                  <c:v>89.941499999999991</c:v>
                </c:pt>
                <c:pt idx="1">
                  <c:v>91.268137124999981</c:v>
                </c:pt>
                <c:pt idx="2">
                  <c:v>92.614342147593732</c:v>
                </c:pt>
                <c:pt idx="3">
                  <c:v>93.98040369427072</c:v>
                </c:pt>
                <c:pt idx="4">
                  <c:v>95.366614648761214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03552"/>
        <c:axId val="139313920"/>
      </c:lineChart>
      <c:catAx>
        <c:axId val="13930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39313920"/>
        <c:crosses val="autoZero"/>
        <c:auto val="1"/>
        <c:lblAlgn val="ctr"/>
        <c:lblOffset val="100"/>
        <c:noMultiLvlLbl val="0"/>
      </c:catAx>
      <c:valAx>
        <c:axId val="13931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303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942975</xdr:colOff>
      <xdr:row>11</xdr:row>
      <xdr:rowOff>152399</xdr:rowOff>
    </xdr:from>
    <xdr:to>
      <xdr:col>6</xdr:col>
      <xdr:colOff>85725</xdr:colOff>
      <xdr:row>29</xdr:row>
      <xdr:rowOff>104774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2:G8" totalsRowShown="0" headerRowDxfId="6" dataDxfId="5">
  <autoFilter ref="A2:G8"/>
  <tableColumns count="7">
    <tableColumn id="1" name="Year"/>
    <tableColumn id="2" name="Tax Level"/>
    <tableColumn id="3" name="Emissions (in millions of tons of CO2)" dataDxfId="4"/>
    <tableColumn id="7" name="Emissions Reductions (in millions of tons of CO2)" dataDxfId="3">
      <calculatedColumnFormula>Table2[[#This Row],[Emissions (in millions of tons of CO2)]]-C4</calculatedColumnFormula>
    </tableColumn>
    <tableColumn id="4" name="Revenue (in billions of dollars)" dataDxfId="2">
      <calculatedColumnFormula>(B3*C3)/1000</calculatedColumnFormula>
    </tableColumn>
    <tableColumn id="5" name="Redistributed Revenue (in billions of dollars)" dataDxfId="1">
      <calculatedColumnFormula>E3*0.25</calculatedColumnFormula>
    </tableColumn>
    <tableColumn id="6" name="Total Revenue Available for Deficit Reduction (in billions of dollars)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G17" sqref="G17"/>
    </sheetView>
  </sheetViews>
  <sheetFormatPr defaultRowHeight="15" x14ac:dyDescent="0.25"/>
  <cols>
    <col min="2" max="2" width="11.28515625" customWidth="1"/>
    <col min="3" max="4" width="21.85546875" style="1" customWidth="1"/>
    <col min="5" max="5" width="18.7109375" style="1" customWidth="1"/>
    <col min="6" max="6" width="21.5703125" style="1" customWidth="1"/>
    <col min="7" max="7" width="30.7109375" style="1" customWidth="1"/>
    <col min="8" max="8" width="23.5703125" customWidth="1"/>
  </cols>
  <sheetData>
    <row r="1" spans="1:7" ht="21" x14ac:dyDescent="0.35">
      <c r="A1" s="5" t="s">
        <v>0</v>
      </c>
      <c r="B1" s="5"/>
      <c r="C1" s="5"/>
      <c r="D1" s="5"/>
      <c r="E1" s="5"/>
      <c r="F1" s="5"/>
      <c r="G1" s="5"/>
    </row>
    <row r="2" spans="1:7" s="2" customFormat="1" ht="45" x14ac:dyDescent="0.25">
      <c r="A2" s="2" t="s">
        <v>1</v>
      </c>
      <c r="B2" s="2" t="s">
        <v>2</v>
      </c>
      <c r="C2" s="3" t="s">
        <v>3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25">
      <c r="A3">
        <v>1</v>
      </c>
      <c r="B3">
        <v>23</v>
      </c>
      <c r="C3" s="1">
        <v>5214</v>
      </c>
      <c r="D3" s="4">
        <f>Table2[[#This Row],[Emissions (in millions of tons of CO2)]]-C4</f>
        <v>52.140000000000327</v>
      </c>
      <c r="E3" s="1">
        <f>(B3*C3)/1000</f>
        <v>119.922</v>
      </c>
      <c r="F3" s="1">
        <f>E3*0.25</f>
        <v>29.980499999999999</v>
      </c>
      <c r="G3" s="1">
        <f>E3-F3</f>
        <v>89.941499999999991</v>
      </c>
    </row>
    <row r="4" spans="1:7" x14ac:dyDescent="0.25">
      <c r="A4">
        <v>2</v>
      </c>
      <c r="B4">
        <f>B3*1.025</f>
        <v>23.574999999999999</v>
      </c>
      <c r="C4" s="1">
        <f>C3*0.99</f>
        <v>5161.8599999999997</v>
      </c>
      <c r="D4" s="4">
        <f>Table2[[#This Row],[Emissions (in millions of tons of CO2)]]-C5</f>
        <v>51.618599999999788</v>
      </c>
      <c r="E4" s="1">
        <f t="shared" ref="E4:E8" si="0">(B4*C4)/1000</f>
        <v>121.69084949999998</v>
      </c>
      <c r="F4" s="1">
        <f t="shared" ref="F4:F8" si="1">E4*0.25</f>
        <v>30.422712374999996</v>
      </c>
      <c r="G4" s="1">
        <f t="shared" ref="G4:G7" si="2">E4-F4</f>
        <v>91.268137124999981</v>
      </c>
    </row>
    <row r="5" spans="1:7" x14ac:dyDescent="0.25">
      <c r="A5">
        <v>3</v>
      </c>
      <c r="B5">
        <f t="shared" ref="B5:B7" si="3">B4*1.025</f>
        <v>24.164374999999996</v>
      </c>
      <c r="C5" s="1">
        <f>C4*0.99</f>
        <v>5110.2413999999999</v>
      </c>
      <c r="D5" s="4">
        <f>Table2[[#This Row],[Emissions (in millions of tons of CO2)]]-C6</f>
        <v>51.102413999999953</v>
      </c>
      <c r="E5" s="1">
        <f t="shared" si="0"/>
        <v>123.48578953012498</v>
      </c>
      <c r="F5" s="1">
        <f t="shared" si="1"/>
        <v>30.871447382531244</v>
      </c>
      <c r="G5" s="1">
        <f t="shared" si="2"/>
        <v>92.614342147593732</v>
      </c>
    </row>
    <row r="6" spans="1:7" x14ac:dyDescent="0.25">
      <c r="A6">
        <v>4</v>
      </c>
      <c r="B6">
        <f t="shared" si="3"/>
        <v>24.768484374999993</v>
      </c>
      <c r="C6" s="1">
        <f>C5*0.99</f>
        <v>5059.1389859999999</v>
      </c>
      <c r="D6" s="4">
        <f>Table2[[#This Row],[Emissions (in millions of tons of CO2)]]-C7</f>
        <v>50.591389860000163</v>
      </c>
      <c r="E6" s="1">
        <f t="shared" si="0"/>
        <v>125.30720492569429</v>
      </c>
      <c r="F6" s="1">
        <f t="shared" si="1"/>
        <v>31.326801231423573</v>
      </c>
      <c r="G6" s="1">
        <f t="shared" si="2"/>
        <v>93.98040369427072</v>
      </c>
    </row>
    <row r="7" spans="1:7" x14ac:dyDescent="0.25">
      <c r="A7">
        <v>5</v>
      </c>
      <c r="B7">
        <f t="shared" si="3"/>
        <v>25.387696484374992</v>
      </c>
      <c r="C7" s="1">
        <f>C6*0.99</f>
        <v>5008.5475961399998</v>
      </c>
      <c r="D7" s="4"/>
      <c r="E7" s="1">
        <f t="shared" si="0"/>
        <v>127.15548619834829</v>
      </c>
      <c r="F7" s="1">
        <f t="shared" si="1"/>
        <v>31.788871549587071</v>
      </c>
      <c r="G7" s="1">
        <f t="shared" si="2"/>
        <v>95.366614648761214</v>
      </c>
    </row>
    <row r="8" spans="1:7" x14ac:dyDescent="0.25">
      <c r="A8" t="s">
        <v>4</v>
      </c>
      <c r="D8" s="4">
        <f>SUBTOTAL(109,D3:D7)</f>
        <v>205.45240386000023</v>
      </c>
      <c r="E8" s="1">
        <f>SUBTOTAL(109,E3:E7)</f>
        <v>617.56133015416754</v>
      </c>
      <c r="F8" s="1">
        <f>SUBTOTAL(109,F3:F7)</f>
        <v>154.39033253854188</v>
      </c>
      <c r="G8" s="1">
        <f>SUM(G3:G7)</f>
        <v>463.17099761562565</v>
      </c>
    </row>
    <row r="24" spans="8:8" x14ac:dyDescent="0.25">
      <c r="H24" s="6">
        <v>119922000000</v>
      </c>
    </row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Covert</dc:creator>
  <cp:lastModifiedBy>labuser</cp:lastModifiedBy>
  <dcterms:created xsi:type="dcterms:W3CDTF">2011-11-16T02:28:14Z</dcterms:created>
  <dcterms:modified xsi:type="dcterms:W3CDTF">2011-12-06T21:25:45Z</dcterms:modified>
</cp:coreProperties>
</file>