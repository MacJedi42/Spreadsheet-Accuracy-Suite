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calcMode="manual" calcCompleted="0" calcOnSave="0"/>
</workbook>
</file>

<file path=xl/sharedStrings.xml><?xml version="1.0" encoding="utf-8"?>
<sst xmlns="http://schemas.openxmlformats.org/spreadsheetml/2006/main" count="91" uniqueCount="91">
  <si>
    <t/>
  </si>
  <si>
    <t>ID:</t>
  </si>
  <si>
    <t>2600080</t>
  </si>
  <si>
    <t>Notes/Supplemental Information:</t>
  </si>
  <si>
    <t>REIT Name:</t>
  </si>
  <si>
    <t>Investors Real Estate Trust</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</si>
  <si>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</si>
  <si>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</si>
  <si>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</si>
  <si>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</si>
  <si>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</si>
  <si>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</si>
  <si>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</si>
  <si>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</si>
  <si>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</si>
  <si>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</si>
  <si>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</si>
  <si>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</si>
  <si>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</si>
  <si>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</si>
  <si>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</si>
  <si>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</si>
  <si>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</si>
  <si>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</si>
  <si>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</si>
  <si>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</si>
  <si>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</si>
  <si>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</si>
  <si>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</si>
  <si>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</si>
  <si>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</si>
  <si>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</si>
  <si>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</si>
  <si>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</si>
  <si>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</si>
  <si>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</si>
  <si>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</si>
  <si>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</si>
  <si>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</si>
  <si>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</si>
  <si>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</si>
  <si>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</si>
  <si>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</si>
  <si>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</si>
  <si>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</si>
  <si>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</si>
  <si>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</si>
  <si>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</si>
  <si>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</si>
  <si>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</si>
  <si>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</si>
  <si>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</si>
  <si>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</si>
  <si>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</si>
  <si>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</si>
  <si>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</si>
  <si>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</si>
  <si>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</si>
  <si>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</si>
  <si>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</si>
  <si>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</si>
  <si>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</si>
  <si>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</si>
  <si>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</si>
  <si>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</si>
  <si>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</si>
  <si>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</si>
  <si>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</si>
  <si>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</si>
  <si>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</si>
  <si>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</si>
  <si>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</si>
  <si>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</si>
  <si>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</si>
  <si>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</si>
  <si>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</si>
  <si>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</si>
  <si>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</si>
  <si>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</si>
  <si>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</si>
  <si>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</si>
  <si>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</si>
  <si>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</si>
  <si>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</si>
  <si>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Shares of Beneficial Interest</t>
  </si>
  <si>
    <t>IRET</t>
  </si>
  <si>
    <t>Series A Preferred Shares</t>
  </si>
  <si>
    <t>IRETPR</t>
  </si>
  <si>
    <t>Series B Preferred Shares</t>
  </si>
  <si>
    <t>461730301</t>
  </si>
  <si>
    <t>IRETPRB</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</si>
</sst>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6">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1" fillId="0" borderId="18" xfId="0">
      <alignment horizontal="left"/>
      <protection locked="0"/>
    </xf>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1" fillId="0" borderId="0" xfId="0">
      <protection locked="0"/>
    </xf>
    <xf numFmtId="0" fontId="1" fillId="0" borderId="0" xfId="0">
      <alignment horizontal="center"/>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topLeftCell="J1" workbookViewId="0">
      <pane ySplit="18" topLeftCell="A19" activePane="bottomLeft" state="frozen"/>
      <selection pane="bottomLeft" activeCell="R22" sqref="R22"/>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9" customFormat="1">
      <c r="B1" s="88" t="s">
        <v>0</v>
      </c>
    </row>
    <row r="2">
      <c r="A2" s="3" t="s">
        <v>1</v>
      </c>
      <c r="B2" s="4" t="s">
        <v>2</v>
      </c>
      <c r="C2" s="5"/>
      <c r="D2" s="5"/>
      <c r="E2" s="5"/>
      <c r="F2" s="5"/>
      <c r="G2" s="6"/>
      <c r="J2" s="7" t="s">
        <v>3</v>
      </c>
      <c r="K2" s="92"/>
      <c r="L2" s="93"/>
      <c r="M2" s="93"/>
      <c r="N2" s="93"/>
      <c r="O2" s="93"/>
      <c r="P2" s="93"/>
      <c r="Q2" s="94"/>
    </row>
    <row r="3">
      <c r="A3" s="3" t="s">
        <v>4</v>
      </c>
      <c r="B3" s="8" t="s">
        <v>5</v>
      </c>
      <c r="C3" s="9"/>
      <c r="D3" s="9"/>
      <c r="E3" s="9"/>
      <c r="F3" s="10"/>
      <c r="G3" s="11"/>
      <c r="H3" s="12"/>
      <c r="J3" s="12"/>
      <c r="K3" s="95"/>
      <c r="L3" s="96"/>
      <c r="M3" s="96"/>
      <c r="N3" s="96"/>
      <c r="O3" s="96"/>
      <c r="P3" s="96"/>
      <c r="Q3" s="97"/>
      <c r="R3" s="12"/>
      <c r="S3" s="12"/>
      <c r="T3" s="12"/>
      <c r="U3" s="12"/>
      <c r="V3" s="12"/>
      <c r="W3" s="12"/>
      <c r="X3" s="12"/>
      <c r="Y3" s="12"/>
      <c r="Z3" s="12"/>
      <c r="AA3" s="12"/>
      <c r="AB3" s="12"/>
      <c r="AC3" s="12"/>
      <c r="AD3" s="12"/>
    </row>
    <row r="4">
      <c r="A4" s="3" t="s">
        <v>6</v>
      </c>
      <c r="B4" s="13">
        <v>2012</v>
      </c>
      <c r="C4" s="14"/>
      <c r="D4" s="14"/>
      <c r="E4" s="14"/>
      <c r="F4" s="14"/>
      <c r="G4" s="15"/>
      <c r="K4" s="95"/>
      <c r="L4" s="96"/>
      <c r="M4" s="96"/>
      <c r="N4" s="96"/>
      <c r="O4" s="96"/>
      <c r="P4" s="96"/>
      <c r="Q4" s="97"/>
    </row>
    <row r="5">
      <c r="A5" s="12"/>
      <c r="B5" s="12"/>
      <c r="C5" s="12"/>
      <c r="D5" s="12"/>
      <c r="E5" s="12"/>
      <c r="F5" s="12"/>
      <c r="G5" s="12"/>
      <c r="H5" s="12"/>
      <c r="J5" s="12"/>
      <c r="K5" s="98"/>
      <c r="L5" s="99"/>
      <c r="M5" s="99"/>
      <c r="N5" s="99"/>
      <c r="O5" s="99"/>
      <c r="P5" s="99"/>
      <c r="Q5" s="100"/>
      <c r="R5" s="12"/>
      <c r="S5" s="12"/>
      <c r="T5" s="12"/>
      <c r="U5" s="12"/>
      <c r="V5" s="12"/>
      <c r="W5" s="12"/>
      <c r="X5" s="12"/>
      <c r="Y5" s="12"/>
      <c r="Z5" s="12"/>
      <c r="AA5" s="12"/>
      <c r="AB5" s="12"/>
      <c r="AC5" s="12"/>
      <c r="AD5" s="12"/>
    </row>
    <row r="6">
      <c r="A6" s="7" t="s">
        <v>7</v>
      </c>
      <c r="B6" s="16"/>
      <c r="C6" s="12"/>
      <c r="D6" s="17" t="s">
        <v>8</v>
      </c>
      <c r="E6" s="18"/>
      <c r="G6" s="12"/>
      <c r="H6" s="12"/>
      <c r="I6" s="12"/>
      <c r="Q6" s="12"/>
      <c r="R6" s="12"/>
      <c r="S6" s="12"/>
      <c r="T6" s="12"/>
      <c r="U6" s="12"/>
      <c r="V6" s="12"/>
      <c r="W6" s="12"/>
      <c r="X6" s="12"/>
      <c r="Y6" s="12"/>
      <c r="Z6" s="12"/>
      <c r="AA6" s="12"/>
      <c r="AB6" s="12"/>
      <c r="AC6" s="12"/>
      <c r="AD6" s="12"/>
    </row>
    <row r="7">
      <c r="A7" s="7"/>
      <c r="B7" s="19"/>
      <c r="C7" s="19"/>
      <c r="D7" s="19"/>
      <c r="E7" s="19"/>
      <c r="F7" s="19"/>
      <c r="G7" s="19"/>
      <c r="H7" s="19"/>
      <c r="I7" s="19"/>
      <c r="J7" s="19"/>
      <c r="K7" s="20"/>
      <c r="L7" s="20"/>
      <c r="M7" s="20"/>
      <c r="N7" s="20"/>
      <c r="O7" s="20"/>
      <c r="P7" s="20"/>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101" t="s">
        <v>9</v>
      </c>
      <c r="B9" s="101"/>
      <c r="C9" s="101"/>
      <c r="D9" s="101"/>
      <c r="E9" s="101"/>
      <c r="F9" s="101"/>
      <c r="G9" s="101"/>
      <c r="H9" s="101"/>
      <c r="I9" s="101"/>
      <c r="J9" s="101"/>
      <c r="K9" s="101"/>
      <c r="L9" s="101"/>
      <c r="M9" s="101"/>
      <c r="N9" s="20"/>
      <c r="O9" s="20"/>
      <c r="P9" s="20"/>
      <c r="Q9" s="12"/>
      <c r="R9" s="12"/>
      <c r="S9" s="12"/>
      <c r="T9" s="12"/>
      <c r="U9" s="12"/>
      <c r="V9" s="12"/>
      <c r="W9" s="12"/>
      <c r="X9" s="12"/>
      <c r="Y9" s="12"/>
      <c r="Z9" s="12"/>
      <c r="AA9" s="12"/>
      <c r="AB9" s="12"/>
      <c r="AC9" s="12"/>
      <c r="AD9" s="12"/>
    </row>
    <row r="10">
      <c r="A10" s="101"/>
      <c r="B10" s="101"/>
      <c r="C10" s="101"/>
      <c r="D10" s="101"/>
      <c r="E10" s="101"/>
      <c r="F10" s="101"/>
      <c r="G10" s="101"/>
      <c r="H10" s="101"/>
      <c r="I10" s="101"/>
      <c r="J10" s="101"/>
      <c r="K10" s="101"/>
      <c r="L10" s="101"/>
      <c r="M10" s="101"/>
      <c r="N10" s="20"/>
      <c r="O10" s="20"/>
      <c r="P10" s="20"/>
      <c r="Q10" s="12"/>
      <c r="R10" s="12"/>
      <c r="S10" s="12"/>
      <c r="T10" s="12"/>
      <c r="U10" s="12"/>
      <c r="V10" s="12"/>
      <c r="W10" s="12"/>
      <c r="X10" s="12"/>
      <c r="Y10" s="12"/>
      <c r="Z10" s="12"/>
      <c r="AA10" s="12"/>
      <c r="AB10" s="12"/>
      <c r="AC10" s="12"/>
      <c r="AD10" s="12"/>
    </row>
    <row r="11">
      <c r="A11" s="19"/>
      <c r="B11" s="19"/>
      <c r="C11" s="19"/>
      <c r="D11" s="19"/>
      <c r="E11" s="19"/>
      <c r="F11" s="19"/>
      <c r="G11" s="19"/>
      <c r="H11" s="19"/>
      <c r="I11" s="19"/>
      <c r="J11" s="19"/>
      <c r="K11" s="20"/>
      <c r="L11" s="20"/>
      <c r="M11" s="20"/>
      <c r="N11" s="20"/>
      <c r="O11" s="20"/>
      <c r="P11" s="20"/>
      <c r="Q11" s="12"/>
      <c r="R11" s="12"/>
      <c r="S11" s="12"/>
      <c r="T11" s="12"/>
      <c r="U11" s="12"/>
      <c r="V11" s="12"/>
      <c r="W11" s="12"/>
      <c r="X11" s="12"/>
      <c r="Y11" s="12"/>
      <c r="Z11" s="12"/>
      <c r="AA11" s="12"/>
      <c r="AB11" s="12"/>
      <c r="AC11" s="12"/>
      <c r="AD11" s="12"/>
    </row>
    <row r="12">
      <c r="A12" s="19"/>
      <c r="B12" s="19"/>
      <c r="C12" s="19"/>
      <c r="D12" s="19"/>
      <c r="E12" s="19"/>
      <c r="F12" s="19"/>
      <c r="G12" s="19"/>
      <c r="H12" s="19"/>
      <c r="I12" s="19"/>
      <c r="J12" s="19"/>
      <c r="K12" s="20"/>
      <c r="L12" s="20"/>
      <c r="M12" s="20"/>
      <c r="N12" s="20"/>
      <c r="O12" s="20"/>
      <c r="P12" s="20"/>
      <c r="Q12" s="12"/>
      <c r="R12" s="12"/>
      <c r="S12" s="12"/>
      <c r="T12" s="12"/>
      <c r="U12" s="12"/>
      <c r="V12" s="12"/>
      <c r="W12" s="12"/>
      <c r="X12" s="12"/>
      <c r="Y12" s="12"/>
      <c r="Z12" s="12"/>
      <c r="AA12" s="12"/>
      <c r="AB12" s="12"/>
      <c r="AC12" s="12"/>
      <c r="AD12" s="12"/>
    </row>
    <row r="13">
      <c r="A13" s="102" t="s">
        <v>10</v>
      </c>
      <c r="B13" s="102"/>
      <c r="C13" s="102"/>
      <c r="D13" s="102"/>
      <c r="E13" s="21"/>
      <c r="F13" s="21"/>
      <c r="G13" s="21"/>
      <c r="H13" s="21"/>
      <c r="I13" s="21"/>
      <c r="J13" s="21"/>
      <c r="K13" s="22"/>
      <c r="L13" s="22"/>
      <c r="M13" s="22"/>
      <c r="N13" s="22"/>
      <c r="O13" s="22"/>
      <c r="P13" s="22"/>
      <c r="Q13" s="22"/>
      <c r="R13" s="22"/>
      <c r="S13" s="22"/>
      <c r="T13" s="22"/>
      <c r="U13" s="22"/>
      <c r="V13" s="22"/>
      <c r="W13" s="22"/>
      <c r="X13" s="22"/>
      <c r="Y13" s="22"/>
      <c r="Z13" s="22"/>
      <c r="AA13" s="22"/>
      <c r="AB13" s="22"/>
      <c r="AC13" s="22"/>
      <c r="AD13" s="22"/>
    </row>
    <row r="14">
      <c r="A14" s="23">
        <v>1</v>
      </c>
      <c r="B14" s="23">
        <v>2</v>
      </c>
      <c r="C14" s="23">
        <v>3</v>
      </c>
      <c r="D14" s="23">
        <v>4</v>
      </c>
      <c r="E14" s="23">
        <f>D14+1</f>
      </c>
      <c r="F14" s="23">
        <f ref="F14:AD14" t="shared" si="0">E14+1</f>
      </c>
      <c r="G14" s="23">
        <f t="shared" si="0"/>
      </c>
      <c r="H14" s="23">
        <f t="shared" si="0"/>
      </c>
      <c r="I14" s="23">
        <f t="shared" si="0"/>
      </c>
      <c r="J14" s="23">
        <f t="shared" si="0"/>
      </c>
      <c r="K14" s="23">
        <f t="shared" si="0"/>
      </c>
      <c r="L14" s="23">
        <f t="shared" si="0"/>
      </c>
      <c r="M14" s="23">
        <f t="shared" si="0"/>
      </c>
      <c r="N14" s="23">
        <v>14</v>
      </c>
      <c r="O14" s="23">
        <v>15</v>
      </c>
      <c r="P14" s="23">
        <v>16</v>
      </c>
      <c r="Q14" s="23">
        <v>17</v>
      </c>
      <c r="R14" s="23">
        <v>18</v>
      </c>
      <c r="S14" s="23">
        <v>19</v>
      </c>
      <c r="T14" s="23">
        <v>20</v>
      </c>
      <c r="U14" s="23">
        <v>21</v>
      </c>
      <c r="V14" s="23">
        <f t="shared" si="0"/>
      </c>
      <c r="W14" s="23">
        <f t="shared" si="0"/>
      </c>
      <c r="X14" s="23">
        <f t="shared" si="0"/>
      </c>
      <c r="Y14" s="23">
        <f t="shared" si="0"/>
      </c>
      <c r="Z14" s="23">
        <f t="shared" si="0"/>
      </c>
      <c r="AA14" s="23">
        <f t="shared" si="0"/>
      </c>
      <c r="AB14" s="23">
        <f t="shared" si="0"/>
      </c>
      <c r="AC14" s="23">
        <f t="shared" si="0"/>
      </c>
      <c r="AD14" s="23">
        <f t="shared" si="0"/>
      </c>
      <c r="AE14" s="23">
        <f>AD14+1</f>
      </c>
      <c r="AF14" s="24">
        <v>32</v>
      </c>
      <c r="AG14" s="25"/>
    </row>
    <row r="15">
      <c r="A15" s="26"/>
      <c r="B15" s="27"/>
      <c r="C15" s="27"/>
      <c r="D15" s="27"/>
      <c r="E15" s="27"/>
      <c r="F15" s="27"/>
      <c r="G15" s="27"/>
      <c r="H15" s="27"/>
      <c r="I15" s="27"/>
      <c r="J15" s="28" t="s">
        <v>11</v>
      </c>
      <c r="K15" s="103" t="s">
        <v>12</v>
      </c>
      <c r="L15" s="104"/>
      <c r="M15" s="105"/>
      <c r="N15" s="29"/>
      <c r="O15" s="30" t="s">
        <v>13</v>
      </c>
      <c r="P15" s="31"/>
      <c r="Q15" s="32" t="s">
        <v>14</v>
      </c>
      <c r="R15" s="32"/>
      <c r="S15" s="33" t="s">
        <v>15</v>
      </c>
      <c r="T15" s="33"/>
      <c r="U15" s="32" t="s">
        <v>16</v>
      </c>
      <c r="V15" s="34" t="s">
        <v>17</v>
      </c>
      <c r="W15" s="35" t="s">
        <v>18</v>
      </c>
      <c r="X15" s="35" t="s">
        <v>19</v>
      </c>
      <c r="Y15" s="35" t="s">
        <v>20</v>
      </c>
      <c r="Z15" s="35" t="s">
        <v>21</v>
      </c>
      <c r="AA15" s="35" t="s">
        <v>22</v>
      </c>
      <c r="AB15" s="35" t="s">
        <v>23</v>
      </c>
      <c r="AC15" s="35" t="s">
        <v>24</v>
      </c>
      <c r="AD15" s="27"/>
      <c r="AE15" s="36"/>
      <c r="AF15" s="37" t="s">
        <v>25</v>
      </c>
      <c r="AG15" s="38"/>
    </row>
    <row r="16">
      <c r="A16" s="39"/>
      <c r="B16" s="39"/>
      <c r="C16" s="39"/>
      <c r="D16" s="39"/>
      <c r="E16" s="39"/>
      <c r="F16" s="39"/>
      <c r="G16" s="40"/>
      <c r="H16" s="40"/>
      <c r="I16" s="39"/>
      <c r="J16" s="28" t="s">
        <v>26</v>
      </c>
      <c r="K16" s="27">
        <v>2011</v>
      </c>
      <c r="L16" s="27">
        <v>2013</v>
      </c>
      <c r="M16" s="27">
        <v>2012</v>
      </c>
      <c r="N16" s="41"/>
      <c r="O16" s="41"/>
      <c r="P16" s="27" t="s">
        <v>27</v>
      </c>
      <c r="Q16" s="39" t="s">
        <v>28</v>
      </c>
      <c r="R16" s="27" t="s">
        <v>29</v>
      </c>
      <c r="S16" s="27" t="s">
        <v>29</v>
      </c>
      <c r="T16" s="27" t="s">
        <v>29</v>
      </c>
      <c r="U16" s="39" t="s">
        <v>30</v>
      </c>
      <c r="V16" s="27" t="s">
        <v>31</v>
      </c>
      <c r="W16" s="27" t="s">
        <v>32</v>
      </c>
      <c r="X16" s="27"/>
      <c r="Y16" s="36"/>
      <c r="Z16" s="27"/>
      <c r="AA16" s="27" t="s">
        <v>27</v>
      </c>
      <c r="AB16" s="27" t="s">
        <v>33</v>
      </c>
      <c r="AC16" s="27" t="s">
        <v>34</v>
      </c>
      <c r="AD16" s="39" t="s">
        <v>35</v>
      </c>
      <c r="AE16" s="39" t="s">
        <v>36</v>
      </c>
      <c r="AF16" s="42" t="s">
        <v>37</v>
      </c>
      <c r="AG16" s="43"/>
    </row>
    <row r="17">
      <c r="A17" s="28" t="s">
        <v>38</v>
      </c>
      <c r="B17" s="40"/>
      <c r="C17" s="39" t="s">
        <v>39</v>
      </c>
      <c r="D17" s="39" t="s">
        <v>40</v>
      </c>
      <c r="E17" s="39" t="s">
        <v>41</v>
      </c>
      <c r="F17" s="39" t="s">
        <v>42</v>
      </c>
      <c r="G17" s="39" t="s">
        <v>43</v>
      </c>
      <c r="H17" s="39" t="s">
        <v>44</v>
      </c>
      <c r="I17" s="39" t="s">
        <v>45</v>
      </c>
      <c r="J17" s="28" t="s">
        <v>46</v>
      </c>
      <c r="K17" s="39" t="s">
        <v>47</v>
      </c>
      <c r="L17" s="39" t="s">
        <v>48</v>
      </c>
      <c r="M17" s="39" t="s">
        <v>49</v>
      </c>
      <c r="N17" s="39" t="s">
        <v>50</v>
      </c>
      <c r="O17" s="39" t="s">
        <v>51</v>
      </c>
      <c r="P17" s="39" t="s">
        <v>52</v>
      </c>
      <c r="Q17" s="39" t="s">
        <v>53</v>
      </c>
      <c r="R17" s="39" t="s">
        <v>50</v>
      </c>
      <c r="S17" s="39" t="s">
        <v>51</v>
      </c>
      <c r="T17" s="39" t="s">
        <v>54</v>
      </c>
      <c r="U17" s="42" t="s">
        <v>53</v>
      </c>
      <c r="V17" s="39" t="s">
        <v>55</v>
      </c>
      <c r="W17" s="39" t="s">
        <v>56</v>
      </c>
      <c r="X17" s="44" t="s">
        <v>57</v>
      </c>
      <c r="Y17" s="39" t="s">
        <v>58</v>
      </c>
      <c r="Z17" s="39" t="s">
        <v>59</v>
      </c>
      <c r="AA17" s="39" t="s">
        <v>52</v>
      </c>
      <c r="AB17" s="39" t="s">
        <v>60</v>
      </c>
      <c r="AC17" s="39" t="s">
        <v>60</v>
      </c>
      <c r="AD17" s="39" t="s">
        <v>61</v>
      </c>
      <c r="AE17" s="39" t="s">
        <v>62</v>
      </c>
      <c r="AF17" s="42" t="s">
        <v>63</v>
      </c>
      <c r="AG17" s="43"/>
    </row>
    <row r="18">
      <c r="A18" s="45" t="s">
        <v>64</v>
      </c>
      <c r="B18" s="46" t="s">
        <v>65</v>
      </c>
      <c r="C18" s="46" t="s">
        <v>66</v>
      </c>
      <c r="D18" s="35" t="s">
        <v>67</v>
      </c>
      <c r="E18" s="35" t="s">
        <v>68</v>
      </c>
      <c r="F18" s="35" t="s">
        <v>69</v>
      </c>
      <c r="G18" s="35" t="s">
        <v>70</v>
      </c>
      <c r="H18" s="35" t="s">
        <v>70</v>
      </c>
      <c r="I18" s="35" t="s">
        <v>70</v>
      </c>
      <c r="J18" s="35" t="s">
        <v>71</v>
      </c>
      <c r="K18" s="47"/>
      <c r="L18" s="47"/>
      <c r="M18" s="35" t="s">
        <v>72</v>
      </c>
      <c r="N18" s="35" t="s">
        <v>53</v>
      </c>
      <c r="O18" s="35" t="s">
        <v>73</v>
      </c>
      <c r="P18" s="35" t="s">
        <v>74</v>
      </c>
      <c r="Q18" s="35" t="s">
        <v>75</v>
      </c>
      <c r="R18" s="35" t="s">
        <v>53</v>
      </c>
      <c r="S18" s="35" t="s">
        <v>76</v>
      </c>
      <c r="T18" s="35" t="s">
        <v>74</v>
      </c>
      <c r="U18" s="48" t="s">
        <v>77</v>
      </c>
      <c r="V18" s="35"/>
      <c r="W18" s="35" t="s">
        <v>78</v>
      </c>
      <c r="X18" s="35" t="s">
        <v>78</v>
      </c>
      <c r="Y18" s="49" t="s">
        <v>79</v>
      </c>
      <c r="Z18" s="35" t="s">
        <v>80</v>
      </c>
      <c r="AA18" s="35" t="s">
        <v>74</v>
      </c>
      <c r="AB18" s="35" t="s">
        <v>81</v>
      </c>
      <c r="AC18" s="35" t="s">
        <v>81</v>
      </c>
      <c r="AD18" s="35" t="s">
        <v>53</v>
      </c>
      <c r="AE18" s="35" t="s">
        <v>82</v>
      </c>
      <c r="AF18" s="48" t="s">
        <v>83</v>
      </c>
      <c r="AG18" s="43"/>
    </row>
    <row r="19" ht="0" hidden="1">
      <c r="A19" s="50"/>
      <c r="B19" s="51"/>
      <c r="C19" s="51"/>
      <c r="D19" s="52"/>
      <c r="E19" s="52"/>
      <c r="F19" s="52"/>
      <c r="G19" s="52"/>
      <c r="H19" s="52"/>
      <c r="I19" s="52"/>
      <c r="J19" s="53"/>
      <c r="K19" s="54"/>
      <c r="L19" s="54"/>
      <c r="M19" s="54"/>
      <c r="N19" s="53"/>
      <c r="O19" s="55"/>
      <c r="P19" s="56"/>
      <c r="Q19" s="57"/>
      <c r="R19" s="53"/>
      <c r="S19" s="58"/>
      <c r="T19" s="58"/>
      <c r="U19" s="53"/>
      <c r="V19" s="53"/>
      <c r="W19" s="53"/>
      <c r="X19" s="58"/>
      <c r="Y19" s="53"/>
      <c r="Z19" s="53"/>
      <c r="AA19" s="58"/>
      <c r="AB19" s="53"/>
      <c r="AC19" s="53"/>
      <c r="AD19" s="58"/>
      <c r="AE19" s="58"/>
      <c r="AF19" s="67"/>
      <c r="AG19" s="59"/>
    </row>
    <row r="20">
      <c r="A20" s="90" t="s">
        <v>84</v>
      </c>
      <c r="B20" s="90">
        <v>461730103</v>
      </c>
      <c r="C20" s="91" t="s">
        <v>85</v>
      </c>
      <c r="D20" s="62"/>
      <c r="E20" s="62"/>
      <c r="F20" s="62"/>
      <c r="G20" s="63">
        <v>40911</v>
      </c>
      <c r="H20" s="63">
        <v>40906</v>
      </c>
      <c r="I20" s="63">
        <v>40924</v>
      </c>
      <c r="J20" s="64">
        <v>0.13</v>
      </c>
      <c r="K20" s="54"/>
      <c r="L20" s="54"/>
      <c r="M20" s="54">
        <f>+N20+O20+V20+Z20+AB20</f>
      </c>
      <c r="N20" s="64">
        <v>0.0301</v>
      </c>
      <c r="O20" s="65"/>
      <c r="P20" s="56"/>
      <c r="Q20" s="64">
        <f>+N20+O20</f>
      </c>
      <c r="R20" s="64"/>
      <c r="S20" s="56"/>
      <c r="T20" s="56"/>
      <c r="U20" s="64"/>
      <c r="V20" s="64">
        <v>0.0031</v>
      </c>
      <c r="W20" s="64">
        <v>0.002</v>
      </c>
      <c r="X20" s="56"/>
      <c r="Y20" s="64"/>
      <c r="Z20" s="64">
        <v>0.0968</v>
      </c>
      <c r="AA20" s="56"/>
      <c r="AB20" s="64"/>
      <c r="AC20" s="64"/>
      <c r="AD20" s="56"/>
      <c r="AE20" s="56"/>
      <c r="AF20" s="67"/>
      <c r="AG20" s="38"/>
    </row>
    <row r="21">
      <c r="A21" s="90" t="s">
        <v>84</v>
      </c>
      <c r="B21" s="90">
        <v>461730103</v>
      </c>
      <c r="C21" s="91" t="s">
        <v>85</v>
      </c>
      <c r="D21" s="62"/>
      <c r="E21" s="62"/>
      <c r="F21" s="62"/>
      <c r="G21" s="63">
        <v>40987</v>
      </c>
      <c r="H21" s="63">
        <v>40983</v>
      </c>
      <c r="I21" s="63">
        <v>41001</v>
      </c>
      <c r="J21" s="64">
        <v>0.13</v>
      </c>
      <c r="K21" s="54"/>
      <c r="L21" s="54"/>
      <c r="M21" s="54">
        <f>+N21+O21+V21+Z21+AB21</f>
      </c>
      <c r="N21" s="64">
        <v>0.0301</v>
      </c>
      <c r="O21" s="65"/>
      <c r="P21" s="56"/>
      <c r="Q21" s="64">
        <f>+N21+O21</f>
      </c>
      <c r="R21" s="64"/>
      <c r="S21" s="56"/>
      <c r="T21" s="56"/>
      <c r="U21" s="64"/>
      <c r="V21" s="64">
        <v>0.0031</v>
      </c>
      <c r="W21" s="64">
        <v>0.002</v>
      </c>
      <c r="X21" s="56"/>
      <c r="Y21" s="64"/>
      <c r="Z21" s="64">
        <v>0.0968</v>
      </c>
      <c r="AA21" s="56"/>
      <c r="AB21" s="64"/>
      <c r="AC21" s="64"/>
      <c r="AD21" s="56"/>
      <c r="AE21" s="56"/>
      <c r="AF21" s="67"/>
      <c r="AG21" s="38"/>
    </row>
    <row r="22">
      <c r="A22" s="90" t="s">
        <v>84</v>
      </c>
      <c r="B22" s="90">
        <v>461730103</v>
      </c>
      <c r="C22" s="91" t="s">
        <v>85</v>
      </c>
      <c r="D22" s="62"/>
      <c r="E22" s="62"/>
      <c r="F22" s="62"/>
      <c r="G22" s="63">
        <v>41075</v>
      </c>
      <c r="H22" s="63">
        <v>41073</v>
      </c>
      <c r="I22" s="63">
        <v>41092</v>
      </c>
      <c r="J22" s="64">
        <v>0.13</v>
      </c>
      <c r="K22" s="54"/>
      <c r="L22" s="54"/>
      <c r="M22" s="54">
        <f>+N22+O22+V22+Z22+AB22</f>
      </c>
      <c r="N22" s="64">
        <v>0.0301</v>
      </c>
      <c r="O22" s="68"/>
      <c r="P22" s="69"/>
      <c r="Q22" s="64">
        <f>+N22+O22</f>
      </c>
      <c r="R22" s="54"/>
      <c r="S22" s="69"/>
      <c r="T22" s="69"/>
      <c r="U22" s="54"/>
      <c r="V22" s="64">
        <v>0.0031</v>
      </c>
      <c r="W22" s="64">
        <v>0.002</v>
      </c>
      <c r="X22" s="69"/>
      <c r="Y22" s="54"/>
      <c r="Z22" s="64">
        <v>0.0968</v>
      </c>
      <c r="AA22" s="69"/>
      <c r="AB22" s="54"/>
      <c r="AC22" s="54"/>
      <c r="AD22" s="69"/>
      <c r="AE22" s="69"/>
      <c r="AF22" s="71"/>
      <c r="AG22" s="38"/>
    </row>
    <row r="23">
      <c r="A23" s="90" t="s">
        <v>84</v>
      </c>
      <c r="B23" s="90">
        <v>461730103</v>
      </c>
      <c r="C23" s="91" t="s">
        <v>85</v>
      </c>
      <c r="D23" s="74"/>
      <c r="E23" s="74"/>
      <c r="F23" s="74"/>
      <c r="G23" s="75">
        <v>41169</v>
      </c>
      <c r="H23" s="75">
        <v>41165</v>
      </c>
      <c r="I23" s="75">
        <v>41183</v>
      </c>
      <c r="J23" s="54">
        <v>0.13</v>
      </c>
      <c r="K23" s="54"/>
      <c r="L23" s="54"/>
      <c r="M23" s="54">
        <f>+N23+O23+V23+Z23+AB23</f>
      </c>
      <c r="N23" s="64">
        <v>0.0301</v>
      </c>
      <c r="O23" s="68"/>
      <c r="P23" s="69"/>
      <c r="Q23" s="64">
        <f>+N23+O23</f>
      </c>
      <c r="R23" s="54"/>
      <c r="S23" s="69"/>
      <c r="T23" s="69"/>
      <c r="U23" s="54"/>
      <c r="V23" s="64">
        <v>0.0031</v>
      </c>
      <c r="W23" s="64">
        <v>0.002</v>
      </c>
      <c r="X23" s="69"/>
      <c r="Y23" s="54"/>
      <c r="Z23" s="64">
        <v>0.0968</v>
      </c>
      <c r="AA23" s="69"/>
      <c r="AB23" s="54"/>
      <c r="AC23" s="54"/>
      <c r="AD23" s="69"/>
      <c r="AE23" s="69"/>
      <c r="AF23" s="71"/>
      <c r="AG23" s="38"/>
    </row>
    <row r="24">
      <c r="A24" s="84">
        <f>IF(COUNTA(M20:M23)=0,"",IF(COUNTA(F20:F23)=0,IF(COUNTA(D20:D23)=0,"Totals - Final","Totals - Estimated"),"Totals - Corrected"))</f>
      </c>
      <c r="B24" s="87">
        <f>IF(ISNA(INDEX(B20:B23,MAX(MATCH(REPT("z",255),B20:B23)))),"",INDEX(B20:B23,MAX(MATCH(REPT("z",255),B20:B23))))</f>
      </c>
      <c r="C24" s="87">
        <f>IF(ISNA(INDEX(C20:C23,MAX(MATCH(REPT("z",255),C20:C23)))),"",INDEX(C20:C23,MAX(MATCH(REPT("z",255),C20:C23))))</f>
      </c>
      <c r="D24" s="87">
        <f>IF(ISNA(INDEX(A20:A23,MAX(MATCH(REPT("z",255),A20:A23)))),"",INDEX(A20:A23,MAX(MATCH(REPT("z",255),A20:A23))))</f>
      </c>
      <c r="E24" s="85"/>
      <c r="F24" s="85"/>
      <c r="G24" s="86"/>
      <c r="H24" s="86"/>
      <c r="I24" s="86"/>
      <c r="J24" s="76">
        <f>SUM(IF(NOT(ISBLANK($B19:$B23)),J19:J23,""))</f>
      </c>
      <c r="K24" s="76">
        <f ref="K24:K24" t="array">SUM(IF(NOT(ISBLANK($B19:$B23)),K19:K23,""))</f>
      </c>
      <c r="L24" s="76">
        <f ref="L24:L24" t="array">SUM(IF(NOT(ISBLANK($B19:$B23)),L19:L23,""))</f>
      </c>
      <c r="M24" s="76">
        <f ref="M24:M24" t="array">SUM(IF(NOT(ISBLANK($B19:$B23)),M19:M23,""))</f>
      </c>
      <c r="N24" s="76">
        <f ref="N24:N24" t="array">SUM(IF(NOT(ISBLANK($B19:$B23)),N19:N23,""))</f>
      </c>
      <c r="O24" s="76">
        <f ref="O24:O24" t="array">SUM(IF(NOT(ISBLANK($B19:$B23)),O19:O23,""))</f>
      </c>
      <c r="P24" s="77"/>
      <c r="Q24" s="76">
        <f ref="Q24:Q24" t="array">SUM(IF(NOT(ISBLANK($B19:$B23)),Q19:Q23,""))</f>
      </c>
      <c r="R24" s="76">
        <f ref="R24:R24" t="array">SUM(IF(NOT(ISBLANK($B19:$B23)),R19:R23,""))</f>
      </c>
      <c r="S24" s="77"/>
      <c r="T24" s="77"/>
      <c r="U24" s="76">
        <f ref="U24:U24" t="array">SUM(IF(NOT(ISBLANK($B19:$B23)),U19:U23,""))</f>
      </c>
      <c r="V24" s="76">
        <f ref="V24:V24" t="array">SUM(IF(NOT(ISBLANK($B19:$B23)),V19:V23,""))</f>
      </c>
      <c r="W24" s="76">
        <f ref="W24:W24" t="array">SUM(IF(NOT(ISBLANK($B19:$B23)),W19:W23,""))</f>
      </c>
      <c r="X24" s="77"/>
      <c r="Y24" s="76">
        <f ref="Y24:Y24" t="array">SUM(IF(NOT(ISBLANK($B19:$B23)),Y19:Y23,""))</f>
      </c>
      <c r="Z24" s="76">
        <f ref="Z24:Z24" t="array">SUM(IF(NOT(ISBLANK($B19:$B23)),Z19:Z23,""))</f>
      </c>
      <c r="AA24" s="77"/>
      <c r="AB24" s="76">
        <f ref="AB24:AB24" t="array">SUM(IF(NOT(ISBLANK($B19:$B23)),AB19:AB23,""))</f>
      </c>
      <c r="AC24" s="76">
        <f ref="AC24:AC24" t="array">SUM(IF(NOT(ISBLANK($B19:$B23)),AC19:AC23,""))</f>
      </c>
      <c r="AD24" s="77"/>
      <c r="AE24" s="77"/>
      <c r="AF24" s="78"/>
      <c r="AG24" s="79">
        <v>1</v>
      </c>
    </row>
    <row r="25" ht="0" hidden="1">
      <c r="A25" s="50"/>
      <c r="B25" s="51"/>
      <c r="C25" s="51"/>
      <c r="D25" s="80"/>
      <c r="E25" s="80"/>
      <c r="F25" s="80"/>
      <c r="G25" s="81"/>
      <c r="H25" s="81"/>
      <c r="I25" s="81"/>
      <c r="J25" s="53"/>
      <c r="K25" s="54"/>
      <c r="L25" s="54"/>
      <c r="M25" s="54"/>
      <c r="N25" s="53"/>
      <c r="O25" s="55"/>
      <c r="P25" s="82"/>
      <c r="Q25" s="57"/>
      <c r="R25" s="53"/>
      <c r="S25" s="82"/>
      <c r="T25" s="82"/>
      <c r="U25" s="53"/>
      <c r="V25" s="53"/>
      <c r="W25" s="53"/>
      <c r="X25" s="82"/>
      <c r="Y25" s="53"/>
      <c r="Z25" s="53"/>
      <c r="AA25" s="82"/>
      <c r="AB25" s="53"/>
      <c r="AC25" s="53"/>
      <c r="AD25" s="82"/>
      <c r="AE25" s="82"/>
      <c r="AF25" s="83"/>
      <c r="AG25" s="38"/>
    </row>
    <row r="26">
      <c r="A26" s="91" t="s">
        <v>86</v>
      </c>
      <c r="B26" s="90">
        <v>461730202</v>
      </c>
      <c r="C26" s="91" t="s">
        <v>87</v>
      </c>
      <c r="D26" s="62"/>
      <c r="E26" s="62"/>
      <c r="F26" s="62"/>
      <c r="G26" s="63">
        <v>40987</v>
      </c>
      <c r="H26" s="63">
        <v>40983</v>
      </c>
      <c r="I26" s="63">
        <v>41001</v>
      </c>
      <c r="J26" s="64">
        <v>0.515625</v>
      </c>
      <c r="K26" s="54"/>
      <c r="L26" s="54"/>
      <c r="M26" s="54">
        <f>+N26+O26+V26+Z26+AB26</f>
      </c>
      <c r="N26" s="64">
        <v>0.502943</v>
      </c>
      <c r="O26" s="65"/>
      <c r="P26" s="56"/>
      <c r="Q26" s="64">
        <f>+N26+O26</f>
      </c>
      <c r="R26" s="64"/>
      <c r="S26" s="56"/>
      <c r="T26" s="56"/>
      <c r="U26" s="64"/>
      <c r="V26" s="64">
        <v>0.012682</v>
      </c>
      <c r="W26" s="64">
        <v>0.00816</v>
      </c>
      <c r="X26" s="56"/>
      <c r="Y26" s="64"/>
      <c r="Z26" s="64">
        <v>0</v>
      </c>
      <c r="AA26" s="56"/>
      <c r="AB26" s="64"/>
      <c r="AC26" s="64"/>
      <c r="AD26" s="56"/>
      <c r="AE26" s="56"/>
      <c r="AF26" s="67"/>
      <c r="AG26" s="38"/>
    </row>
    <row r="27">
      <c r="A27" s="91" t="s">
        <v>86</v>
      </c>
      <c r="B27" s="90">
        <v>461730202</v>
      </c>
      <c r="C27" s="91" t="s">
        <v>87</v>
      </c>
      <c r="D27" s="62"/>
      <c r="E27" s="62"/>
      <c r="F27" s="62"/>
      <c r="G27" s="63">
        <v>41075</v>
      </c>
      <c r="H27" s="63">
        <v>41073</v>
      </c>
      <c r="I27" s="63">
        <v>41092</v>
      </c>
      <c r="J27" s="64">
        <v>0.515625</v>
      </c>
      <c r="K27" s="54"/>
      <c r="L27" s="54"/>
      <c r="M27" s="54">
        <f>+N27+O27+V27+Z27+AB27</f>
      </c>
      <c r="N27" s="64">
        <v>0.502943</v>
      </c>
      <c r="O27" s="65"/>
      <c r="P27" s="56"/>
      <c r="Q27" s="64">
        <f>+N27+O27</f>
      </c>
      <c r="R27" s="64"/>
      <c r="S27" s="56"/>
      <c r="T27" s="56"/>
      <c r="U27" s="64"/>
      <c r="V27" s="64">
        <v>0.012682</v>
      </c>
      <c r="W27" s="64">
        <v>0.00816</v>
      </c>
      <c r="X27" s="56"/>
      <c r="Y27" s="64"/>
      <c r="Z27" s="64">
        <v>0</v>
      </c>
      <c r="AA27" s="56"/>
      <c r="AB27" s="64"/>
      <c r="AC27" s="64"/>
      <c r="AD27" s="56"/>
      <c r="AE27" s="56"/>
      <c r="AF27" s="67"/>
      <c r="AG27" s="38"/>
    </row>
    <row r="28">
      <c r="A28" s="91" t="s">
        <v>86</v>
      </c>
      <c r="B28" s="90">
        <v>461730202</v>
      </c>
      <c r="C28" s="91" t="s">
        <v>87</v>
      </c>
      <c r="D28" s="62"/>
      <c r="E28" s="62"/>
      <c r="F28" s="62"/>
      <c r="G28" s="63">
        <v>41169</v>
      </c>
      <c r="H28" s="63">
        <v>41165</v>
      </c>
      <c r="I28" s="63">
        <v>41183</v>
      </c>
      <c r="J28" s="64">
        <v>0.515625</v>
      </c>
      <c r="K28" s="54"/>
      <c r="L28" s="54"/>
      <c r="M28" s="54">
        <f>+N28+O28+V28+Z28+AB28</f>
      </c>
      <c r="N28" s="64">
        <v>0.502943</v>
      </c>
      <c r="O28" s="68"/>
      <c r="P28" s="69"/>
      <c r="Q28" s="64">
        <f>+N28+O28</f>
      </c>
      <c r="R28" s="54"/>
      <c r="S28" s="69"/>
      <c r="T28" s="69"/>
      <c r="U28" s="54"/>
      <c r="V28" s="64">
        <v>0.012682</v>
      </c>
      <c r="W28" s="64">
        <v>0.00816</v>
      </c>
      <c r="X28" s="69"/>
      <c r="Y28" s="54"/>
      <c r="Z28" s="64">
        <v>0</v>
      </c>
      <c r="AA28" s="69"/>
      <c r="AB28" s="54"/>
      <c r="AC28" s="54"/>
      <c r="AD28" s="69"/>
      <c r="AE28" s="69"/>
      <c r="AF28" s="71"/>
      <c r="AG28" s="38"/>
    </row>
    <row r="29">
      <c r="A29" s="91" t="s">
        <v>86</v>
      </c>
      <c r="B29" s="90">
        <v>461730202</v>
      </c>
      <c r="C29" s="91" t="s">
        <v>87</v>
      </c>
      <c r="D29" s="74"/>
      <c r="E29" s="74"/>
      <c r="F29" s="74"/>
      <c r="G29" s="75">
        <v>41260</v>
      </c>
      <c r="H29" s="75">
        <v>41256</v>
      </c>
      <c r="I29" s="75">
        <v>41274</v>
      </c>
      <c r="J29" s="64">
        <v>0.515625</v>
      </c>
      <c r="K29" s="54"/>
      <c r="L29" s="54"/>
      <c r="M29" s="54">
        <f>+N29+O29+V29+Z29+AB29</f>
      </c>
      <c r="N29" s="64">
        <v>0.502943</v>
      </c>
      <c r="O29" s="68"/>
      <c r="P29" s="69"/>
      <c r="Q29" s="64">
        <f>+N29+O29</f>
      </c>
      <c r="R29" s="54"/>
      <c r="S29" s="69"/>
      <c r="T29" s="69"/>
      <c r="U29" s="54"/>
      <c r="V29" s="64">
        <v>0.012682</v>
      </c>
      <c r="W29" s="64">
        <v>0.00816</v>
      </c>
      <c r="X29" s="69"/>
      <c r="Y29" s="54"/>
      <c r="Z29" s="64">
        <v>0</v>
      </c>
      <c r="AA29" s="69"/>
      <c r="AB29" s="54"/>
      <c r="AC29" s="54"/>
      <c r="AD29" s="69"/>
      <c r="AE29" s="69"/>
      <c r="AF29" s="71"/>
      <c r="AG29" s="38"/>
    </row>
    <row r="30">
      <c r="A30" s="84">
        <f>IF(COUNTA(M26:M29)=0,"",IF(COUNTA(F26:F29)=0,IF(COUNTA(D26:D29)=0,"Totals - Final","Totals - Estimated"),"Totals - Corrected"))</f>
      </c>
      <c r="B30" s="87">
        <f>IF(ISNA(INDEX(B26:B29,MAX(MATCH(REPT("z",255),B26:B29)))),"",INDEX(B26:B29,MAX(MATCH(REPT("z",255),B26:B29))))</f>
      </c>
      <c r="C30" s="87">
        <f>IF(ISNA(INDEX(C26:C29,MAX(MATCH(REPT("z",255),C26:C29)))),"",INDEX(C26:C29,MAX(MATCH(REPT("z",255),C26:C29))))</f>
      </c>
      <c r="D30" s="87">
        <f>IF(ISNA(INDEX(A26:A29,MAX(MATCH(REPT("z",255),A26:A29)))),"",INDEX(A26:A29,MAX(MATCH(REPT("z",255),A26:A29))))</f>
      </c>
      <c r="E30" s="85"/>
      <c r="F30" s="85"/>
      <c r="G30" s="86"/>
      <c r="H30" s="86"/>
      <c r="I30" s="86"/>
      <c r="J30" s="76">
        <f ref="J30:J30" t="array">SUM(IF(NOT(ISBLANK($B25:$B29)),J25:J29,""))</f>
      </c>
      <c r="K30" s="76">
        <f ref="K30:K30" t="array">SUM(IF(NOT(ISBLANK($B25:$B29)),K25:K29,""))</f>
      </c>
      <c r="L30" s="76">
        <f ref="L30:L30" t="array">SUM(IF(NOT(ISBLANK($B25:$B29)),L25:L29,""))</f>
      </c>
      <c r="M30" s="76">
        <f ref="M30:M30" t="array">SUM(IF(NOT(ISBLANK($B25:$B29)),M25:M29,""))</f>
      </c>
      <c r="N30" s="76">
        <f ref="N30:N30" t="array">SUM(IF(NOT(ISBLANK($B25:$B29)),N25:N29,""))</f>
      </c>
      <c r="O30" s="76">
        <f ref="O30:O30" t="array">SUM(IF(NOT(ISBLANK($B25:$B29)),O25:O29,""))</f>
      </c>
      <c r="P30" s="77"/>
      <c r="Q30" s="76">
        <f ref="Q30:Q30" t="array">SUM(IF(NOT(ISBLANK($B25:$B29)),Q25:Q29,""))</f>
      </c>
      <c r="R30" s="76">
        <f ref="R30:R30" t="array">SUM(IF(NOT(ISBLANK($B25:$B29)),R25:R29,""))</f>
      </c>
      <c r="S30" s="77"/>
      <c r="T30" s="77"/>
      <c r="U30" s="76">
        <f ref="U30:U30" t="array">SUM(IF(NOT(ISBLANK($B25:$B29)),U25:U29,""))</f>
      </c>
      <c r="V30" s="76">
        <f ref="V30:V30" t="array">SUM(IF(NOT(ISBLANK($B25:$B29)),V25:V29,""))</f>
      </c>
      <c r="W30" s="76">
        <f ref="W30:W30" t="array">SUM(IF(NOT(ISBLANK($B25:$B29)),W25:W29,""))</f>
      </c>
      <c r="X30" s="77"/>
      <c r="Y30" s="76">
        <f ref="Y30:Y30" t="array">SUM(IF(NOT(ISBLANK($B25:$B29)),Y25:Y29,""))</f>
      </c>
      <c r="Z30" s="76">
        <f ref="Z30:Z30" t="array">SUM(IF(NOT(ISBLANK($B25:$B29)),Z25:Z29,""))</f>
      </c>
      <c r="AA30" s="77"/>
      <c r="AB30" s="76">
        <f ref="AB30:AB30" t="array">SUM(IF(NOT(ISBLANK($B25:$B29)),AB25:AB29,""))</f>
      </c>
      <c r="AC30" s="76">
        <f ref="AC30:AC30" t="array">SUM(IF(NOT(ISBLANK($B25:$B29)),AC25:AC29,""))</f>
      </c>
      <c r="AD30" s="77"/>
      <c r="AE30" s="77"/>
      <c r="AF30" s="78"/>
      <c r="AG30" s="79">
        <v>1</v>
      </c>
    </row>
    <row r="31" ht="0" hidden="1">
      <c r="A31" s="50"/>
      <c r="B31" s="51"/>
      <c r="C31" s="51"/>
      <c r="D31" s="80"/>
      <c r="E31" s="80"/>
      <c r="F31" s="80"/>
      <c r="G31" s="81"/>
      <c r="H31" s="81"/>
      <c r="I31" s="81"/>
      <c r="J31" s="53"/>
      <c r="K31" s="54"/>
      <c r="L31" s="54"/>
      <c r="M31" s="54"/>
      <c r="N31" s="53"/>
      <c r="O31" s="55"/>
      <c r="P31" s="82"/>
      <c r="Q31" s="57"/>
      <c r="R31" s="53"/>
      <c r="S31" s="82"/>
      <c r="T31" s="82"/>
      <c r="U31" s="53"/>
      <c r="V31" s="53"/>
      <c r="W31" s="53"/>
      <c r="X31" s="82"/>
      <c r="Y31" s="53"/>
      <c r="Z31" s="53"/>
      <c r="AA31" s="82"/>
      <c r="AB31" s="53"/>
      <c r="AC31" s="53"/>
      <c r="AD31" s="82"/>
      <c r="AE31" s="82"/>
      <c r="AF31" s="83"/>
      <c r="AG31" s="38"/>
    </row>
    <row r="32">
      <c r="A32" s="91" t="s">
        <v>88</v>
      </c>
      <c r="B32" s="61" t="s">
        <v>89</v>
      </c>
      <c r="C32" s="91" t="s">
        <v>90</v>
      </c>
      <c r="D32" s="62"/>
      <c r="E32" s="62"/>
      <c r="F32" s="62"/>
      <c r="G32" s="63">
        <v>41169</v>
      </c>
      <c r="H32" s="63">
        <v>41165</v>
      </c>
      <c r="I32" s="63">
        <v>41183</v>
      </c>
      <c r="J32" s="64">
        <v>0.33125</v>
      </c>
      <c r="K32" s="54"/>
      <c r="L32" s="54"/>
      <c r="M32" s="54">
        <f>+N32+O32+V32+Z32+AB32</f>
      </c>
      <c r="N32" s="64">
        <v>0.33125</v>
      </c>
      <c r="O32" s="65"/>
      <c r="P32" s="56"/>
      <c r="Q32" s="64">
        <f>+N32+O32</f>
      </c>
      <c r="R32" s="64"/>
      <c r="S32" s="56"/>
      <c r="T32" s="56"/>
      <c r="U32" s="64"/>
      <c r="V32" s="64">
        <v>0</v>
      </c>
      <c r="W32" s="64">
        <v>0</v>
      </c>
      <c r="X32" s="56"/>
      <c r="Y32" s="64"/>
      <c r="Z32" s="64">
        <v>0</v>
      </c>
      <c r="AA32" s="56"/>
      <c r="AB32" s="64"/>
      <c r="AC32" s="64"/>
      <c r="AD32" s="56"/>
      <c r="AE32" s="56"/>
      <c r="AF32" s="67"/>
      <c r="AG32" s="38"/>
    </row>
    <row r="33">
      <c r="A33" s="91" t="s">
        <v>88</v>
      </c>
      <c r="B33" s="61" t="s">
        <v>89</v>
      </c>
      <c r="C33" s="91" t="s">
        <v>90</v>
      </c>
      <c r="D33" s="62"/>
      <c r="E33" s="62"/>
      <c r="F33" s="62"/>
      <c r="G33" s="63">
        <v>41260</v>
      </c>
      <c r="H33" s="63">
        <v>41256</v>
      </c>
      <c r="I33" s="63">
        <v>41274</v>
      </c>
      <c r="J33" s="64">
        <v>0.496875</v>
      </c>
      <c r="K33" s="54"/>
      <c r="L33" s="54"/>
      <c r="M33" s="54">
        <f>+N33+O33+V33+Z33+AB33</f>
      </c>
      <c r="N33" s="64">
        <v>0.496875</v>
      </c>
      <c r="O33" s="65"/>
      <c r="P33" s="56"/>
      <c r="Q33" s="64">
        <f>+N33+O33</f>
      </c>
      <c r="R33" s="64"/>
      <c r="S33" s="56"/>
      <c r="T33" s="56"/>
      <c r="U33" s="64"/>
      <c r="V33" s="64">
        <v>0</v>
      </c>
      <c r="W33" s="64">
        <v>0</v>
      </c>
      <c r="X33" s="56"/>
      <c r="Y33" s="64"/>
      <c r="Z33" s="64">
        <v>0</v>
      </c>
      <c r="AA33" s="56"/>
      <c r="AB33" s="64"/>
      <c r="AC33" s="64"/>
      <c r="AD33" s="56"/>
      <c r="AE33" s="56"/>
      <c r="AF33" s="67"/>
      <c r="AG33" s="38"/>
    </row>
    <row r="34">
      <c r="A34" s="91"/>
      <c r="B34" s="61"/>
      <c r="C34" s="91"/>
      <c r="D34" s="74"/>
      <c r="E34" s="74"/>
      <c r="F34" s="74"/>
      <c r="G34" s="75"/>
      <c r="H34" s="75"/>
      <c r="I34" s="75"/>
      <c r="J34" s="54"/>
      <c r="K34" s="54"/>
      <c r="L34" s="54"/>
      <c r="M34" s="54"/>
      <c r="N34" s="54"/>
      <c r="O34" s="68"/>
      <c r="P34" s="69"/>
      <c r="Q34" s="70"/>
      <c r="R34" s="54"/>
      <c r="S34" s="69"/>
      <c r="T34" s="69"/>
      <c r="U34" s="54"/>
      <c r="V34" s="54"/>
      <c r="W34" s="54"/>
      <c r="X34" s="69"/>
      <c r="Y34" s="54"/>
      <c r="Z34" s="54"/>
      <c r="AA34" s="69"/>
      <c r="AB34" s="54"/>
      <c r="AC34" s="54"/>
      <c r="AD34" s="69"/>
      <c r="AE34" s="69"/>
      <c r="AF34" s="71"/>
      <c r="AG34" s="38"/>
    </row>
    <row r="35">
      <c r="A35" s="91"/>
      <c r="B35" s="61"/>
      <c r="C35" s="91"/>
      <c r="D35" s="74"/>
      <c r="E35" s="74"/>
      <c r="F35" s="74"/>
      <c r="G35" s="75"/>
      <c r="H35" s="75"/>
      <c r="I35" s="75"/>
      <c r="J35" s="54"/>
      <c r="K35" s="54"/>
      <c r="L35" s="54"/>
      <c r="M35" s="54"/>
      <c r="N35" s="54"/>
      <c r="O35" s="68"/>
      <c r="P35" s="69"/>
      <c r="Q35" s="70"/>
      <c r="R35" s="54"/>
      <c r="S35" s="69"/>
      <c r="T35" s="69"/>
      <c r="U35" s="54"/>
      <c r="V35" s="54"/>
      <c r="W35" s="54"/>
      <c r="X35" s="69"/>
      <c r="Y35" s="54"/>
      <c r="Z35" s="54"/>
      <c r="AA35" s="69"/>
      <c r="AB35" s="54"/>
      <c r="AC35" s="54"/>
      <c r="AD35" s="69"/>
      <c r="AE35" s="69"/>
      <c r="AF35" s="71"/>
      <c r="AG35" s="38"/>
    </row>
    <row r="36">
      <c r="A36" s="84">
        <f>IF(COUNTA(M32:M35)=0,"",IF(COUNTA(F32:F35)=0,IF(COUNTA(D32:D35)=0,"Totals - Final","Totals - Estimated"),"Totals - Corrected"))</f>
      </c>
      <c r="B36" s="87">
        <f>IF(ISNA(INDEX(B32:B35,MAX(MATCH(REPT("z",255),B32:B35)))),"",INDEX(B32:B35,MAX(MATCH(REPT("z",255),B32:B35))))</f>
      </c>
      <c r="C36" s="87">
        <f>IF(ISNA(INDEX(C32:C35,MAX(MATCH(REPT("z",255),C32:C35)))),"",INDEX(C32:C35,MAX(MATCH(REPT("z",255),C32:C35))))</f>
      </c>
      <c r="D36" s="87">
        <f>IF(ISNA(INDEX(A32:A35,MAX(MATCH(REPT("z",255),A32:A35)))),"",INDEX(A32:A35,MAX(MATCH(REPT("z",255),A32:A35))))</f>
      </c>
      <c r="E36" s="85"/>
      <c r="F36" s="85"/>
      <c r="G36" s="86"/>
      <c r="H36" s="86"/>
      <c r="I36" s="86"/>
      <c r="J36" s="76">
        <f ref="J36:J36" t="array">SUM(IF(NOT(ISBLANK($B31:$B35)),J31:J35,""))</f>
      </c>
      <c r="K36" s="76">
        <f ref="K36:K36" t="array">SUM(IF(NOT(ISBLANK($B31:$B35)),K31:K35,""))</f>
      </c>
      <c r="L36" s="76">
        <f ref="L36:L36" t="array">SUM(IF(NOT(ISBLANK($B31:$B35)),L31:L35,""))</f>
      </c>
      <c r="M36" s="76">
        <f ref="M36:M36" t="array">SUM(IF(NOT(ISBLANK($B31:$B35)),M31:M35,""))</f>
      </c>
      <c r="N36" s="76">
        <f ref="N36:N36" t="array">SUM(IF(NOT(ISBLANK($B31:$B35)),N31:N35,""))</f>
      </c>
      <c r="O36" s="76">
        <f ref="O36:O36" t="array">SUM(IF(NOT(ISBLANK($B31:$B35)),O31:O35,""))</f>
      </c>
      <c r="P36" s="77"/>
      <c r="Q36" s="76">
        <f ref="Q36:Q36" t="array">SUM(IF(NOT(ISBLANK($B31:$B35)),Q31:Q35,""))</f>
      </c>
      <c r="R36" s="76">
        <f ref="R36:R36" t="array">SUM(IF(NOT(ISBLANK($B31:$B35)),R31:R35,""))</f>
      </c>
      <c r="S36" s="77"/>
      <c r="T36" s="77"/>
      <c r="U36" s="76">
        <f ref="U36:U36" t="array">SUM(IF(NOT(ISBLANK($B31:$B35)),U31:U35,""))</f>
      </c>
      <c r="V36" s="76">
        <f ref="V36:V36" t="array">SUM(IF(NOT(ISBLANK($B31:$B35)),V31:V35,""))</f>
      </c>
      <c r="W36" s="76">
        <f ref="W36:W36" t="array">SUM(IF(NOT(ISBLANK($B31:$B35)),W31:W35,""))</f>
      </c>
      <c r="X36" s="77"/>
      <c r="Y36" s="76">
        <f ref="Y36:Y36" t="array">SUM(IF(NOT(ISBLANK($B31:$B35)),Y31:Y35,""))</f>
      </c>
      <c r="Z36" s="76">
        <f ref="Z36:Z36" t="array">SUM(IF(NOT(ISBLANK($B31:$B35)),Z31:Z35,""))</f>
      </c>
      <c r="AA36" s="77"/>
      <c r="AB36" s="76">
        <f ref="AB36:AB36" t="array">SUM(IF(NOT(ISBLANK($B31:$B35)),AB31:AB35,""))</f>
      </c>
      <c r="AC36" s="76">
        <f ref="AC36:AC36" t="array">SUM(IF(NOT(ISBLANK($B31:$B35)),AC31:AC35,""))</f>
      </c>
      <c r="AD36" s="77"/>
      <c r="AE36" s="77"/>
      <c r="AF36" s="78"/>
      <c r="AG36" s="79">
        <v>1</v>
      </c>
    </row>
    <row r="37" ht="0" hidden="1">
      <c r="A37" s="50"/>
      <c r="B37" s="51"/>
      <c r="C37" s="51"/>
      <c r="D37" s="80"/>
      <c r="E37" s="80"/>
      <c r="F37" s="80"/>
      <c r="G37" s="81"/>
      <c r="H37" s="81"/>
      <c r="I37" s="81"/>
      <c r="J37" s="53"/>
      <c r="K37" s="54"/>
      <c r="L37" s="54"/>
      <c r="M37" s="54"/>
      <c r="N37" s="53"/>
      <c r="O37" s="55"/>
      <c r="P37" s="82"/>
      <c r="Q37" s="57"/>
      <c r="R37" s="53"/>
      <c r="S37" s="82"/>
      <c r="T37" s="82"/>
      <c r="U37" s="53"/>
      <c r="V37" s="53"/>
      <c r="W37" s="53"/>
      <c r="X37" s="82"/>
      <c r="Y37" s="53"/>
      <c r="Z37" s="53"/>
      <c r="AA37" s="82"/>
      <c r="AB37" s="53"/>
      <c r="AC37" s="53"/>
      <c r="AD37" s="82"/>
      <c r="AE37" s="82"/>
      <c r="AF37" s="83"/>
      <c r="AG37" s="38"/>
    </row>
    <row r="38">
      <c r="A38" s="60"/>
      <c r="B38" s="61"/>
      <c r="C38" s="61"/>
      <c r="D38" s="62"/>
      <c r="E38" s="62"/>
      <c r="F38" s="62"/>
      <c r="G38" s="63"/>
      <c r="H38" s="63"/>
      <c r="I38" s="63"/>
      <c r="J38" s="64"/>
      <c r="K38" s="54"/>
      <c r="L38" s="54"/>
      <c r="M38" s="54"/>
      <c r="N38" s="64"/>
      <c r="O38" s="65"/>
      <c r="P38" s="56"/>
      <c r="Q38" s="66"/>
      <c r="R38" s="64"/>
      <c r="S38" s="56"/>
      <c r="T38" s="56"/>
      <c r="U38" s="64"/>
      <c r="V38" s="64"/>
      <c r="W38" s="64"/>
      <c r="X38" s="56"/>
      <c r="Y38" s="64"/>
      <c r="Z38" s="64"/>
      <c r="AA38" s="56"/>
      <c r="AB38" s="64"/>
      <c r="AC38" s="64"/>
      <c r="AD38" s="56"/>
      <c r="AE38" s="56"/>
      <c r="AF38" s="67"/>
      <c r="AG38" s="38"/>
    </row>
    <row r="39">
      <c r="A39" s="60"/>
      <c r="B39" s="61"/>
      <c r="C39" s="61"/>
      <c r="D39" s="62"/>
      <c r="E39" s="62"/>
      <c r="F39" s="62"/>
      <c r="G39" s="63"/>
      <c r="H39" s="63"/>
      <c r="I39" s="63"/>
      <c r="J39" s="64"/>
      <c r="K39" s="54"/>
      <c r="L39" s="54"/>
      <c r="M39" s="54"/>
      <c r="N39" s="64"/>
      <c r="O39" s="65"/>
      <c r="P39" s="56"/>
      <c r="Q39" s="66"/>
      <c r="R39" s="64"/>
      <c r="S39" s="56"/>
      <c r="T39" s="56"/>
      <c r="U39" s="64"/>
      <c r="V39" s="64"/>
      <c r="W39" s="64"/>
      <c r="X39" s="56"/>
      <c r="Y39" s="64"/>
      <c r="Z39" s="64"/>
      <c r="AA39" s="56"/>
      <c r="AB39" s="64"/>
      <c r="AC39" s="64"/>
      <c r="AD39" s="56"/>
      <c r="AE39" s="56"/>
      <c r="AF39" s="67"/>
      <c r="AG39" s="38"/>
    </row>
    <row r="40">
      <c r="A40" s="72"/>
      <c r="B40" s="73"/>
      <c r="C40" s="73"/>
      <c r="D40" s="74"/>
      <c r="E40" s="74"/>
      <c r="F40" s="74"/>
      <c r="G40" s="75"/>
      <c r="H40" s="75"/>
      <c r="I40" s="75"/>
      <c r="J40" s="54"/>
      <c r="K40" s="54"/>
      <c r="L40" s="54"/>
      <c r="M40" s="54"/>
      <c r="N40" s="54"/>
      <c r="O40" s="68"/>
      <c r="P40" s="69"/>
      <c r="Q40" s="70"/>
      <c r="R40" s="54"/>
      <c r="S40" s="69"/>
      <c r="T40" s="69"/>
      <c r="U40" s="54"/>
      <c r="V40" s="54"/>
      <c r="W40" s="54"/>
      <c r="X40" s="69"/>
      <c r="Y40" s="54"/>
      <c r="Z40" s="54"/>
      <c r="AA40" s="69"/>
      <c r="AB40" s="54"/>
      <c r="AC40" s="54"/>
      <c r="AD40" s="69"/>
      <c r="AE40" s="69"/>
      <c r="AF40" s="71"/>
      <c r="AG40" s="38"/>
    </row>
    <row r="41">
      <c r="A41" s="72"/>
      <c r="B41" s="73"/>
      <c r="C41" s="73"/>
      <c r="D41" s="74"/>
      <c r="E41" s="74"/>
      <c r="F41" s="74"/>
      <c r="G41" s="75"/>
      <c r="H41" s="75"/>
      <c r="I41" s="75"/>
      <c r="J41" s="54"/>
      <c r="K41" s="54"/>
      <c r="L41" s="54"/>
      <c r="M41" s="54"/>
      <c r="N41" s="54"/>
      <c r="O41" s="68"/>
      <c r="P41" s="69"/>
      <c r="Q41" s="70"/>
      <c r="R41" s="54"/>
      <c r="S41" s="69"/>
      <c r="T41" s="69"/>
      <c r="U41" s="54"/>
      <c r="V41" s="54"/>
      <c r="W41" s="54"/>
      <c r="X41" s="69"/>
      <c r="Y41" s="54"/>
      <c r="Z41" s="54"/>
      <c r="AA41" s="69"/>
      <c r="AB41" s="54"/>
      <c r="AC41" s="54"/>
      <c r="AD41" s="69"/>
      <c r="AE41" s="69"/>
      <c r="AF41" s="71"/>
      <c r="AG41" s="38"/>
    </row>
    <row r="42">
      <c r="A42" s="84">
        <f>IF(COUNTA(M38:M41)=0,"",IF(COUNTA(F38:F41)=0,IF(COUNTA(D38:D41)=0,"Totals - Final","Totals - Estimated"),"Totals - Corrected"))</f>
      </c>
      <c r="B42" s="87">
        <f>IF(ISNA(INDEX(B38:B41,MAX(MATCH(REPT("z",255),B38:B41)))),"",INDEX(B38:B41,MAX(MATCH(REPT("z",255),B38:B41))))</f>
      </c>
      <c r="C42" s="87">
        <f>IF(ISNA(INDEX(C38:C41,MAX(MATCH(REPT("z",255),C38:C41)))),"",INDEX(C38:C41,MAX(MATCH(REPT("z",255),C38:C41))))</f>
      </c>
      <c r="D42" s="87">
        <f>IF(ISNA(INDEX(A38:A41,MAX(MATCH(REPT("z",255),A38:A41)))),"",INDEX(A38:A41,MAX(MATCH(REPT("z",255),A38:A41))))</f>
      </c>
      <c r="E42" s="85"/>
      <c r="F42" s="85"/>
      <c r="G42" s="86"/>
      <c r="H42" s="86"/>
      <c r="I42" s="86"/>
      <c r="J42" s="76">
        <f ref="J42:J42" t="array">SUM(IF(NOT(ISBLANK($B37:$B41)),J37:J41,""))</f>
      </c>
      <c r="K42" s="76">
        <f ref="K42:K42" t="array">SUM(IF(NOT(ISBLANK($B37:$B41)),K37:K41,""))</f>
      </c>
      <c r="L42" s="76">
        <f ref="L42:L42" t="array">SUM(IF(NOT(ISBLANK($B37:$B41)),L37:L41,""))</f>
      </c>
      <c r="M42" s="76">
        <f ref="M42:M42" t="array">SUM(IF(NOT(ISBLANK($B37:$B41)),M37:M41,""))</f>
      </c>
      <c r="N42" s="76">
        <f ref="N42:N42" t="array">SUM(IF(NOT(ISBLANK($B37:$B41)),N37:N41,""))</f>
      </c>
      <c r="O42" s="76">
        <f ref="O42:O42" t="array">SUM(IF(NOT(ISBLANK($B37:$B41)),O37:O41,""))</f>
      </c>
      <c r="P42" s="77"/>
      <c r="Q42" s="76">
        <f ref="Q42:Q42" t="array">SUM(IF(NOT(ISBLANK($B37:$B41)),Q37:Q41,""))</f>
      </c>
      <c r="R42" s="76">
        <f ref="R42:R42" t="array">SUM(IF(NOT(ISBLANK($B37:$B41)),R37:R41,""))</f>
      </c>
      <c r="S42" s="77"/>
      <c r="T42" s="77"/>
      <c r="U42" s="76">
        <f ref="U42:U42" t="array">SUM(IF(NOT(ISBLANK($B37:$B41)),U37:U41,""))</f>
      </c>
      <c r="V42" s="76">
        <f ref="V42:V42" t="array">SUM(IF(NOT(ISBLANK($B37:$B41)),V37:V41,""))</f>
      </c>
      <c r="W42" s="76">
        <f ref="W42:W42" t="array">SUM(IF(NOT(ISBLANK($B37:$B41)),W37:W41,""))</f>
      </c>
      <c r="X42" s="77"/>
      <c r="Y42" s="76">
        <f ref="Y42:Y42" t="array">SUM(IF(NOT(ISBLANK($B37:$B41)),Y37:Y41,""))</f>
      </c>
      <c r="Z42" s="76">
        <f ref="Z42:Z42" t="array">SUM(IF(NOT(ISBLANK($B37:$B41)),Z37:Z41,""))</f>
      </c>
      <c r="AA42" s="77"/>
      <c r="AB42" s="76">
        <f ref="AB42:AB42" t="array">SUM(IF(NOT(ISBLANK($B37:$B41)),AB37:AB41,""))</f>
      </c>
      <c r="AC42" s="76">
        <f ref="AC42:AC42" t="array">SUM(IF(NOT(ISBLANK($B37:$B41)),AC37:AC41,""))</f>
      </c>
      <c r="AD42" s="77"/>
      <c r="AE42" s="77"/>
      <c r="AF42" s="78"/>
      <c r="AG42" s="79">
        <v>1</v>
      </c>
    </row>
    <row r="43" ht="0" hidden="1">
      <c r="A43" s="50"/>
      <c r="B43" s="51"/>
      <c r="C43" s="51"/>
      <c r="D43" s="80"/>
      <c r="E43" s="80"/>
      <c r="F43" s="80"/>
      <c r="G43" s="81"/>
      <c r="H43" s="81"/>
      <c r="I43" s="81"/>
      <c r="J43" s="53"/>
      <c r="K43" s="54"/>
      <c r="L43" s="54"/>
      <c r="M43" s="54"/>
      <c r="N43" s="53"/>
      <c r="O43" s="55"/>
      <c r="P43" s="82"/>
      <c r="Q43" s="57"/>
      <c r="R43" s="53"/>
      <c r="S43" s="82"/>
      <c r="T43" s="82"/>
      <c r="U43" s="53"/>
      <c r="V43" s="53"/>
      <c r="W43" s="53"/>
      <c r="X43" s="82"/>
      <c r="Y43" s="53"/>
      <c r="Z43" s="53"/>
      <c r="AA43" s="82"/>
      <c r="AB43" s="53"/>
      <c r="AC43" s="53"/>
      <c r="AD43" s="82"/>
      <c r="AE43" s="82"/>
      <c r="AF43" s="83"/>
      <c r="AG43" s="38"/>
    </row>
    <row r="44">
      <c r="A44" s="60"/>
      <c r="B44" s="61"/>
      <c r="C44" s="61"/>
      <c r="D44" s="62"/>
      <c r="E44" s="62"/>
      <c r="F44" s="62"/>
      <c r="G44" s="63"/>
      <c r="H44" s="63"/>
      <c r="I44" s="63"/>
      <c r="J44" s="64"/>
      <c r="K44" s="54"/>
      <c r="L44" s="54"/>
      <c r="M44" s="54"/>
      <c r="N44" s="64"/>
      <c r="O44" s="65"/>
      <c r="P44" s="56"/>
      <c r="Q44" s="66"/>
      <c r="R44" s="64"/>
      <c r="S44" s="56"/>
      <c r="T44" s="56"/>
      <c r="U44" s="64"/>
      <c r="V44" s="64"/>
      <c r="W44" s="64"/>
      <c r="X44" s="56"/>
      <c r="Y44" s="64"/>
      <c r="Z44" s="64"/>
      <c r="AA44" s="56"/>
      <c r="AB44" s="64"/>
      <c r="AC44" s="64"/>
      <c r="AD44" s="56"/>
      <c r="AE44" s="56"/>
      <c r="AF44" s="67"/>
      <c r="AG44" s="38"/>
    </row>
    <row r="45">
      <c r="A45" s="60"/>
      <c r="B45" s="61"/>
      <c r="C45" s="61"/>
      <c r="D45" s="62"/>
      <c r="E45" s="62"/>
      <c r="F45" s="62"/>
      <c r="G45" s="63"/>
      <c r="H45" s="63"/>
      <c r="I45" s="63"/>
      <c r="J45" s="64"/>
      <c r="K45" s="54"/>
      <c r="L45" s="54"/>
      <c r="M45" s="54"/>
      <c r="N45" s="64"/>
      <c r="O45" s="65"/>
      <c r="P45" s="56"/>
      <c r="Q45" s="66"/>
      <c r="R45" s="64"/>
      <c r="S45" s="56"/>
      <c r="T45" s="56"/>
      <c r="U45" s="64"/>
      <c r="V45" s="64"/>
      <c r="W45" s="64"/>
      <c r="X45" s="56"/>
      <c r="Y45" s="64"/>
      <c r="Z45" s="64"/>
      <c r="AA45" s="56"/>
      <c r="AB45" s="64"/>
      <c r="AC45" s="64"/>
      <c r="AD45" s="56"/>
      <c r="AE45" s="56"/>
      <c r="AF45" s="67"/>
      <c r="AG45" s="38"/>
    </row>
    <row r="46">
      <c r="A46" s="72"/>
      <c r="B46" s="73"/>
      <c r="C46" s="73"/>
      <c r="D46" s="74"/>
      <c r="E46" s="74"/>
      <c r="F46" s="74"/>
      <c r="G46" s="75"/>
      <c r="H46" s="75"/>
      <c r="I46" s="75"/>
      <c r="J46" s="54"/>
      <c r="K46" s="54"/>
      <c r="L46" s="54"/>
      <c r="M46" s="54"/>
      <c r="N46" s="54"/>
      <c r="O46" s="68"/>
      <c r="P46" s="69"/>
      <c r="Q46" s="70"/>
      <c r="R46" s="54"/>
      <c r="S46" s="69"/>
      <c r="T46" s="69"/>
      <c r="U46" s="54"/>
      <c r="V46" s="54"/>
      <c r="W46" s="54"/>
      <c r="X46" s="69"/>
      <c r="Y46" s="54"/>
      <c r="Z46" s="54"/>
      <c r="AA46" s="69"/>
      <c r="AB46" s="54"/>
      <c r="AC46" s="54"/>
      <c r="AD46" s="69"/>
      <c r="AE46" s="69"/>
      <c r="AF46" s="71"/>
      <c r="AG46" s="38"/>
    </row>
    <row r="47">
      <c r="A47" s="72"/>
      <c r="B47" s="73"/>
      <c r="C47" s="73"/>
      <c r="D47" s="74"/>
      <c r="E47" s="74"/>
      <c r="F47" s="74"/>
      <c r="G47" s="75"/>
      <c r="H47" s="75"/>
      <c r="I47" s="75"/>
      <c r="J47" s="54"/>
      <c r="K47" s="54"/>
      <c r="L47" s="54"/>
      <c r="M47" s="54"/>
      <c r="N47" s="54"/>
      <c r="O47" s="68"/>
      <c r="P47" s="69"/>
      <c r="Q47" s="70"/>
      <c r="R47" s="54"/>
      <c r="S47" s="69"/>
      <c r="T47" s="69"/>
      <c r="U47" s="54"/>
      <c r="V47" s="54"/>
      <c r="W47" s="54"/>
      <c r="X47" s="69"/>
      <c r="Y47" s="54"/>
      <c r="Z47" s="54"/>
      <c r="AA47" s="69"/>
      <c r="AB47" s="54"/>
      <c r="AC47" s="54"/>
      <c r="AD47" s="69"/>
      <c r="AE47" s="69"/>
      <c r="AF47" s="71"/>
      <c r="AG47" s="38"/>
    </row>
    <row r="48">
      <c r="A48" s="84">
        <f>IF(COUNTA(M44:M47)=0,"",IF(COUNTA(F44:F47)=0,IF(COUNTA(D44:D47)=0,"Totals - Final","Totals - Estimated"),"Totals - Corrected"))</f>
      </c>
      <c r="B48" s="87">
        <f>IF(ISNA(INDEX(B44:B47,MAX(MATCH(REPT("z",255),B44:B47)))),"",INDEX(B44:B47,MAX(MATCH(REPT("z",255),B44:B47))))</f>
      </c>
      <c r="C48" s="87">
        <f>IF(ISNA(INDEX(C44:C47,MAX(MATCH(REPT("z",255),C44:C47)))),"",INDEX(C44:C47,MAX(MATCH(REPT("z",255),C44:C47))))</f>
      </c>
      <c r="D48" s="87">
        <f>IF(ISNA(INDEX(A44:A47,MAX(MATCH(REPT("z",255),A44:A47)))),"",INDEX(A44:A47,MAX(MATCH(REPT("z",255),A44:A47))))</f>
      </c>
      <c r="E48" s="85"/>
      <c r="F48" s="85"/>
      <c r="G48" s="86"/>
      <c r="H48" s="86"/>
      <c r="I48" s="86"/>
      <c r="J48" s="76">
        <f ref="J48:J48" t="array">SUM(IF(NOT(ISBLANK($B43:$B47)),J43:J47,""))</f>
      </c>
      <c r="K48" s="76">
        <f ref="K48:K48" t="array">SUM(IF(NOT(ISBLANK($B43:$B47)),K43:K47,""))</f>
      </c>
      <c r="L48" s="76">
        <f ref="L48:L48" t="array">SUM(IF(NOT(ISBLANK($B43:$B47)),L43:L47,""))</f>
      </c>
      <c r="M48" s="76">
        <f ref="M48:M48" t="array">SUM(IF(NOT(ISBLANK($B43:$B47)),M43:M47,""))</f>
      </c>
      <c r="N48" s="76">
        <f ref="N48:N48" t="array">SUM(IF(NOT(ISBLANK($B43:$B47)),N43:N47,""))</f>
      </c>
      <c r="O48" s="76">
        <f ref="O48:O48" t="array">SUM(IF(NOT(ISBLANK($B43:$B47)),O43:O47,""))</f>
      </c>
      <c r="P48" s="77"/>
      <c r="Q48" s="76">
        <f ref="Q48:Q48" t="array">SUM(IF(NOT(ISBLANK($B43:$B47)),Q43:Q47,""))</f>
      </c>
      <c r="R48" s="76">
        <f ref="R48:R48" t="array">SUM(IF(NOT(ISBLANK($B43:$B47)),R43:R47,""))</f>
      </c>
      <c r="S48" s="77"/>
      <c r="T48" s="77"/>
      <c r="U48" s="76">
        <f ref="U48:U48" t="array">SUM(IF(NOT(ISBLANK($B43:$B47)),U43:U47,""))</f>
      </c>
      <c r="V48" s="76">
        <f ref="V48:V48" t="array">SUM(IF(NOT(ISBLANK($B43:$B47)),V43:V47,""))</f>
      </c>
      <c r="W48" s="76">
        <f ref="W48:W48" t="array">SUM(IF(NOT(ISBLANK($B43:$B47)),W43:W47,""))</f>
      </c>
      <c r="X48" s="77"/>
      <c r="Y48" s="76">
        <f ref="Y48:Y48" t="array">SUM(IF(NOT(ISBLANK($B43:$B47)),Y43:Y47,""))</f>
      </c>
      <c r="Z48" s="76">
        <f ref="Z48:Z48" t="array">SUM(IF(NOT(ISBLANK($B43:$B47)),Z43:Z47,""))</f>
      </c>
      <c r="AA48" s="77"/>
      <c r="AB48" s="76">
        <f ref="AB48:AB48" t="array">SUM(IF(NOT(ISBLANK($B43:$B47)),AB43:AB47,""))</f>
      </c>
      <c r="AC48" s="76">
        <f ref="AC48:AC48" t="array">SUM(IF(NOT(ISBLANK($B43:$B47)),AC43:AC47,""))</f>
      </c>
      <c r="AD48" s="77"/>
      <c r="AE48" s="77"/>
      <c r="AF48" s="78"/>
      <c r="AG48" s="79">
        <v>1</v>
      </c>
    </row>
    <row r="49" ht="0" hidden="1">
      <c r="A49" s="50"/>
      <c r="B49" s="51"/>
      <c r="C49" s="51"/>
      <c r="D49" s="80"/>
      <c r="E49" s="80"/>
      <c r="F49" s="80"/>
      <c r="G49" s="81"/>
      <c r="H49" s="81"/>
      <c r="I49" s="81"/>
      <c r="J49" s="53"/>
      <c r="K49" s="54"/>
      <c r="L49" s="54"/>
      <c r="M49" s="54"/>
      <c r="N49" s="53"/>
      <c r="O49" s="55"/>
      <c r="P49" s="82"/>
      <c r="Q49" s="57"/>
      <c r="R49" s="53"/>
      <c r="S49" s="82"/>
      <c r="T49" s="82"/>
      <c r="U49" s="53"/>
      <c r="V49" s="53"/>
      <c r="W49" s="53"/>
      <c r="X49" s="82"/>
      <c r="Y49" s="53"/>
      <c r="Z49" s="53"/>
      <c r="AA49" s="82"/>
      <c r="AB49" s="53"/>
      <c r="AC49" s="53"/>
      <c r="AD49" s="82"/>
      <c r="AE49" s="82"/>
      <c r="AF49" s="83"/>
      <c r="AG49" s="38"/>
    </row>
    <row r="50">
      <c r="A50" s="60"/>
      <c r="B50" s="61"/>
      <c r="C50" s="61"/>
      <c r="D50" s="62"/>
      <c r="E50" s="62"/>
      <c r="F50" s="62"/>
      <c r="G50" s="63"/>
      <c r="H50" s="63"/>
      <c r="I50" s="63"/>
      <c r="J50" s="64"/>
      <c r="K50" s="54"/>
      <c r="L50" s="54"/>
      <c r="M50" s="54"/>
      <c r="N50" s="64"/>
      <c r="O50" s="65"/>
      <c r="P50" s="56"/>
      <c r="Q50" s="66"/>
      <c r="R50" s="64"/>
      <c r="S50" s="56"/>
      <c r="T50" s="56"/>
      <c r="U50" s="64"/>
      <c r="V50" s="64"/>
      <c r="W50" s="64"/>
      <c r="X50" s="56"/>
      <c r="Y50" s="64"/>
      <c r="Z50" s="64"/>
      <c r="AA50" s="56"/>
      <c r="AB50" s="64"/>
      <c r="AC50" s="64"/>
      <c r="AD50" s="56"/>
      <c r="AE50" s="56"/>
      <c r="AF50" s="67"/>
      <c r="AG50" s="38"/>
    </row>
    <row r="51">
      <c r="A51" s="60"/>
      <c r="B51" s="61"/>
      <c r="C51" s="61"/>
      <c r="D51" s="62"/>
      <c r="E51" s="62"/>
      <c r="F51" s="62"/>
      <c r="G51" s="63"/>
      <c r="H51" s="63"/>
      <c r="I51" s="63"/>
      <c r="J51" s="64"/>
      <c r="K51" s="54"/>
      <c r="L51" s="54"/>
      <c r="M51" s="54"/>
      <c r="N51" s="64"/>
      <c r="O51" s="65"/>
      <c r="P51" s="56"/>
      <c r="Q51" s="66"/>
      <c r="R51" s="64"/>
      <c r="S51" s="56"/>
      <c r="T51" s="56"/>
      <c r="U51" s="64"/>
      <c r="V51" s="64"/>
      <c r="W51" s="64"/>
      <c r="X51" s="56"/>
      <c r="Y51" s="64"/>
      <c r="Z51" s="64"/>
      <c r="AA51" s="56"/>
      <c r="AB51" s="64"/>
      <c r="AC51" s="64"/>
      <c r="AD51" s="56"/>
      <c r="AE51" s="56"/>
      <c r="AF51" s="67"/>
      <c r="AG51" s="38"/>
    </row>
    <row r="52">
      <c r="A52" s="72"/>
      <c r="B52" s="73"/>
      <c r="C52" s="73"/>
      <c r="D52" s="74"/>
      <c r="E52" s="74"/>
      <c r="F52" s="74"/>
      <c r="G52" s="75"/>
      <c r="H52" s="75"/>
      <c r="I52" s="75"/>
      <c r="J52" s="54"/>
      <c r="K52" s="54"/>
      <c r="L52" s="54"/>
      <c r="M52" s="54"/>
      <c r="N52" s="54"/>
      <c r="O52" s="68"/>
      <c r="P52" s="69"/>
      <c r="Q52" s="70"/>
      <c r="R52" s="54"/>
      <c r="S52" s="69"/>
      <c r="T52" s="69"/>
      <c r="U52" s="54"/>
      <c r="V52" s="54"/>
      <c r="W52" s="54"/>
      <c r="X52" s="69"/>
      <c r="Y52" s="54"/>
      <c r="Z52" s="54"/>
      <c r="AA52" s="69"/>
      <c r="AB52" s="54"/>
      <c r="AC52" s="54"/>
      <c r="AD52" s="69"/>
      <c r="AE52" s="69"/>
      <c r="AF52" s="71"/>
      <c r="AG52" s="38"/>
    </row>
    <row r="53">
      <c r="A53" s="72"/>
      <c r="B53" s="73"/>
      <c r="C53" s="73"/>
      <c r="D53" s="74"/>
      <c r="E53" s="74"/>
      <c r="F53" s="74"/>
      <c r="G53" s="75"/>
      <c r="H53" s="75"/>
      <c r="I53" s="75"/>
      <c r="J53" s="54"/>
      <c r="K53" s="54"/>
      <c r="L53" s="54"/>
      <c r="M53" s="54"/>
      <c r="N53" s="54"/>
      <c r="O53" s="68"/>
      <c r="P53" s="69"/>
      <c r="Q53" s="70"/>
      <c r="R53" s="54"/>
      <c r="S53" s="69"/>
      <c r="T53" s="69"/>
      <c r="U53" s="54"/>
      <c r="V53" s="54"/>
      <c r="W53" s="54"/>
      <c r="X53" s="69"/>
      <c r="Y53" s="54"/>
      <c r="Z53" s="54"/>
      <c r="AA53" s="69"/>
      <c r="AB53" s="54"/>
      <c r="AC53" s="54"/>
      <c r="AD53" s="69"/>
      <c r="AE53" s="69"/>
      <c r="AF53" s="71"/>
      <c r="AG53" s="38"/>
    </row>
    <row r="54">
      <c r="A54" s="84">
        <f>IF(COUNTA(M50:M53)=0,"",IF(COUNTA(F50:F53)=0,IF(COUNTA(D50:D53)=0,"Totals - Final","Totals - Estimated"),"Totals - Corrected"))</f>
      </c>
      <c r="B54" s="87">
        <f>IF(ISNA(INDEX(B50:B53,MAX(MATCH(REPT("z",255),B50:B53)))),"",INDEX(B50:B53,MAX(MATCH(REPT("z",255),B50:B53))))</f>
      </c>
      <c r="C54" s="87">
        <f>IF(ISNA(INDEX(C50:C53,MAX(MATCH(REPT("z",255),C50:C53)))),"",INDEX(C50:C53,MAX(MATCH(REPT("z",255),C50:C53))))</f>
      </c>
      <c r="D54" s="87">
        <f>IF(ISNA(INDEX(A50:A53,MAX(MATCH(REPT("z",255),A50:A53)))),"",INDEX(A50:A53,MAX(MATCH(REPT("z",255),A50:A53))))</f>
      </c>
      <c r="E54" s="85"/>
      <c r="F54" s="85"/>
      <c r="G54" s="86"/>
      <c r="H54" s="86"/>
      <c r="I54" s="86"/>
      <c r="J54" s="76">
        <f ref="J54:J54" t="array">SUM(IF(NOT(ISBLANK($B49:$B53)),J49:J53,""))</f>
      </c>
      <c r="K54" s="76">
        <f ref="K54:K54" t="array">SUM(IF(NOT(ISBLANK($B49:$B53)),K49:K53,""))</f>
      </c>
      <c r="L54" s="76">
        <f ref="L54:L54" t="array">SUM(IF(NOT(ISBLANK($B49:$B53)),L49:L53,""))</f>
      </c>
      <c r="M54" s="76">
        <f ref="M54:M54" t="array">SUM(IF(NOT(ISBLANK($B49:$B53)),M49:M53,""))</f>
      </c>
      <c r="N54" s="76">
        <f ref="N54:N54" t="array">SUM(IF(NOT(ISBLANK($B49:$B53)),N49:N53,""))</f>
      </c>
      <c r="O54" s="76">
        <f ref="O54:O54" t="array">SUM(IF(NOT(ISBLANK($B49:$B53)),O49:O53,""))</f>
      </c>
      <c r="P54" s="77"/>
      <c r="Q54" s="76">
        <f ref="Q54:Q54" t="array">SUM(IF(NOT(ISBLANK($B49:$B53)),Q49:Q53,""))</f>
      </c>
      <c r="R54" s="76">
        <f ref="R54:R54" t="array">SUM(IF(NOT(ISBLANK($B49:$B53)),R49:R53,""))</f>
      </c>
      <c r="S54" s="77"/>
      <c r="T54" s="77"/>
      <c r="U54" s="76">
        <f ref="U54:U54" t="array">SUM(IF(NOT(ISBLANK($B49:$B53)),U49:U53,""))</f>
      </c>
      <c r="V54" s="76">
        <f ref="V54:V54" t="array">SUM(IF(NOT(ISBLANK($B49:$B53)),V49:V53,""))</f>
      </c>
      <c r="W54" s="76">
        <f ref="W54:W54" t="array">SUM(IF(NOT(ISBLANK($B49:$B53)),W49:W53,""))</f>
      </c>
      <c r="X54" s="77"/>
      <c r="Y54" s="76">
        <f ref="Y54:Y54" t="array">SUM(IF(NOT(ISBLANK($B49:$B53)),Y49:Y53,""))</f>
      </c>
      <c r="Z54" s="76">
        <f ref="Z54:Z54" t="array">SUM(IF(NOT(ISBLANK($B49:$B53)),Z49:Z53,""))</f>
      </c>
      <c r="AA54" s="77"/>
      <c r="AB54" s="76">
        <f ref="AB54:AB54" t="array">SUM(IF(NOT(ISBLANK($B49:$B53)),AB49:AB53,""))</f>
      </c>
      <c r="AC54" s="76">
        <f ref="AC54:AC54" t="array">SUM(IF(NOT(ISBLANK($B49:$B53)),AC49:AC53,""))</f>
      </c>
      <c r="AD54" s="77"/>
      <c r="AE54" s="77"/>
      <c r="AF54" s="78"/>
      <c r="AG54" s="79">
        <v>1</v>
      </c>
    </row>
    <row r="55" ht="0" hidden="1">
      <c r="A55" s="50"/>
      <c r="B55" s="51"/>
      <c r="C55" s="51"/>
      <c r="D55" s="80"/>
      <c r="E55" s="80"/>
      <c r="F55" s="80"/>
      <c r="G55" s="81"/>
      <c r="H55" s="81"/>
      <c r="I55" s="81"/>
      <c r="J55" s="53"/>
      <c r="K55" s="54"/>
      <c r="L55" s="54"/>
      <c r="M55" s="54"/>
      <c r="N55" s="53"/>
      <c r="O55" s="55"/>
      <c r="P55" s="82"/>
      <c r="Q55" s="57"/>
      <c r="R55" s="53"/>
      <c r="S55" s="82"/>
      <c r="T55" s="82"/>
      <c r="U55" s="53"/>
      <c r="V55" s="53"/>
      <c r="W55" s="53"/>
      <c r="X55" s="82"/>
      <c r="Y55" s="53"/>
      <c r="Z55" s="53"/>
      <c r="AA55" s="82"/>
      <c r="AB55" s="53"/>
      <c r="AC55" s="53"/>
      <c r="AD55" s="82"/>
      <c r="AE55" s="82"/>
      <c r="AF55" s="83"/>
      <c r="AG55" s="38"/>
    </row>
    <row r="56">
      <c r="A56" s="60"/>
      <c r="B56" s="61"/>
      <c r="C56" s="61"/>
      <c r="D56" s="62"/>
      <c r="E56" s="62"/>
      <c r="F56" s="62"/>
      <c r="G56" s="63"/>
      <c r="H56" s="63"/>
      <c r="I56" s="63"/>
      <c r="J56" s="64"/>
      <c r="K56" s="54"/>
      <c r="L56" s="54"/>
      <c r="M56" s="54"/>
      <c r="N56" s="64"/>
      <c r="O56" s="65"/>
      <c r="P56" s="56"/>
      <c r="Q56" s="66"/>
      <c r="R56" s="64"/>
      <c r="S56" s="56"/>
      <c r="T56" s="56"/>
      <c r="U56" s="64"/>
      <c r="V56" s="64"/>
      <c r="W56" s="64"/>
      <c r="X56" s="56"/>
      <c r="Y56" s="64"/>
      <c r="Z56" s="64"/>
      <c r="AA56" s="56"/>
      <c r="AB56" s="64"/>
      <c r="AC56" s="64"/>
      <c r="AD56" s="56"/>
      <c r="AE56" s="56"/>
      <c r="AF56" s="67"/>
      <c r="AG56" s="38"/>
    </row>
    <row r="57">
      <c r="A57" s="60"/>
      <c r="B57" s="61"/>
      <c r="C57" s="61"/>
      <c r="D57" s="62"/>
      <c r="E57" s="62"/>
      <c r="F57" s="62"/>
      <c r="G57" s="63"/>
      <c r="H57" s="63"/>
      <c r="I57" s="63"/>
      <c r="J57" s="64"/>
      <c r="K57" s="54"/>
      <c r="L57" s="54"/>
      <c r="M57" s="54"/>
      <c r="N57" s="64"/>
      <c r="O57" s="65"/>
      <c r="P57" s="56"/>
      <c r="Q57" s="66"/>
      <c r="R57" s="64"/>
      <c r="S57" s="56"/>
      <c r="T57" s="56"/>
      <c r="U57" s="64"/>
      <c r="V57" s="64"/>
      <c r="W57" s="64"/>
      <c r="X57" s="56"/>
      <c r="Y57" s="64"/>
      <c r="Z57" s="64"/>
      <c r="AA57" s="56"/>
      <c r="AB57" s="64"/>
      <c r="AC57" s="64"/>
      <c r="AD57" s="56"/>
      <c r="AE57" s="56"/>
      <c r="AF57" s="67"/>
      <c r="AG57" s="38"/>
    </row>
    <row r="58">
      <c r="A58" s="72"/>
      <c r="B58" s="73"/>
      <c r="C58" s="73"/>
      <c r="D58" s="74"/>
      <c r="E58" s="74"/>
      <c r="F58" s="74"/>
      <c r="G58" s="75"/>
      <c r="H58" s="75"/>
      <c r="I58" s="75"/>
      <c r="J58" s="54"/>
      <c r="K58" s="54"/>
      <c r="L58" s="54"/>
      <c r="M58" s="54"/>
      <c r="N58" s="54"/>
      <c r="O58" s="68"/>
      <c r="P58" s="69"/>
      <c r="Q58" s="70"/>
      <c r="R58" s="54"/>
      <c r="S58" s="69"/>
      <c r="T58" s="69"/>
      <c r="U58" s="54"/>
      <c r="V58" s="54"/>
      <c r="W58" s="54"/>
      <c r="X58" s="69"/>
      <c r="Y58" s="54"/>
      <c r="Z58" s="54"/>
      <c r="AA58" s="69"/>
      <c r="AB58" s="54"/>
      <c r="AC58" s="54"/>
      <c r="AD58" s="69"/>
      <c r="AE58" s="69"/>
      <c r="AF58" s="71"/>
      <c r="AG58" s="38"/>
    </row>
    <row r="59">
      <c r="A59" s="72"/>
      <c r="B59" s="73"/>
      <c r="C59" s="73"/>
      <c r="D59" s="74"/>
      <c r="E59" s="74"/>
      <c r="F59" s="74"/>
      <c r="G59" s="75"/>
      <c r="H59" s="75"/>
      <c r="I59" s="75"/>
      <c r="J59" s="54"/>
      <c r="K59" s="54"/>
      <c r="L59" s="54"/>
      <c r="M59" s="54"/>
      <c r="N59" s="54"/>
      <c r="O59" s="68"/>
      <c r="P59" s="69"/>
      <c r="Q59" s="70"/>
      <c r="R59" s="54"/>
      <c r="S59" s="69"/>
      <c r="T59" s="69"/>
      <c r="U59" s="54"/>
      <c r="V59" s="54"/>
      <c r="W59" s="54"/>
      <c r="X59" s="69"/>
      <c r="Y59" s="54"/>
      <c r="Z59" s="54"/>
      <c r="AA59" s="69"/>
      <c r="AB59" s="54"/>
      <c r="AC59" s="54"/>
      <c r="AD59" s="69"/>
      <c r="AE59" s="69"/>
      <c r="AF59" s="71"/>
      <c r="AG59" s="38"/>
    </row>
    <row r="60">
      <c r="A60" s="84">
        <f>IF(COUNTA(M56:M59)=0,"",IF(COUNTA(F56:F59)=0,IF(COUNTA(D56:D59)=0,"Totals - Final","Totals - Estimated"),"Totals - Corrected"))</f>
      </c>
      <c r="B60" s="87">
        <f>IF(ISNA(INDEX(B56:B59,MAX(MATCH(REPT("z",255),B56:B59)))),"",INDEX(B56:B59,MAX(MATCH(REPT("z",255),B56:B59))))</f>
      </c>
      <c r="C60" s="87">
        <f>IF(ISNA(INDEX(C56:C59,MAX(MATCH(REPT("z",255),C56:C59)))),"",INDEX(C56:C59,MAX(MATCH(REPT("z",255),C56:C59))))</f>
      </c>
      <c r="D60" s="87">
        <f>IF(ISNA(INDEX(A56:A59,MAX(MATCH(REPT("z",255),A56:A59)))),"",INDEX(A56:A59,MAX(MATCH(REPT("z",255),A56:A59))))</f>
      </c>
      <c r="E60" s="85"/>
      <c r="F60" s="85"/>
      <c r="G60" s="86"/>
      <c r="H60" s="86"/>
      <c r="I60" s="86"/>
      <c r="J60" s="76">
        <f ref="J60:J60" t="array">SUM(IF(NOT(ISBLANK($B55:$B59)),J55:J59,""))</f>
      </c>
      <c r="K60" s="76">
        <f ref="K60:K60" t="array">SUM(IF(NOT(ISBLANK($B55:$B59)),K55:K59,""))</f>
      </c>
      <c r="L60" s="76">
        <f ref="L60:L60" t="array">SUM(IF(NOT(ISBLANK($B55:$B59)),L55:L59,""))</f>
      </c>
      <c r="M60" s="76">
        <f ref="M60:M60" t="array">SUM(IF(NOT(ISBLANK($B55:$B59)),M55:M59,""))</f>
      </c>
      <c r="N60" s="76">
        <f ref="N60:N60" t="array">SUM(IF(NOT(ISBLANK($B55:$B59)),N55:N59,""))</f>
      </c>
      <c r="O60" s="76">
        <f ref="O60:O60" t="array">SUM(IF(NOT(ISBLANK($B55:$B59)),O55:O59,""))</f>
      </c>
      <c r="P60" s="77"/>
      <c r="Q60" s="76">
        <f ref="Q60:Q60" t="array">SUM(IF(NOT(ISBLANK($B55:$B59)),Q55:Q59,""))</f>
      </c>
      <c r="R60" s="76">
        <f ref="R60:R60" t="array">SUM(IF(NOT(ISBLANK($B55:$B59)),R55:R59,""))</f>
      </c>
      <c r="S60" s="77"/>
      <c r="T60" s="77"/>
      <c r="U60" s="76">
        <f ref="U60:U60" t="array">SUM(IF(NOT(ISBLANK($B55:$B59)),U55:U59,""))</f>
      </c>
      <c r="V60" s="76">
        <f ref="V60:V60" t="array">SUM(IF(NOT(ISBLANK($B55:$B59)),V55:V59,""))</f>
      </c>
      <c r="W60" s="76">
        <f ref="W60:W60" t="array">SUM(IF(NOT(ISBLANK($B55:$B59)),W55:W59,""))</f>
      </c>
      <c r="X60" s="77"/>
      <c r="Y60" s="76">
        <f ref="Y60:Y60" t="array">SUM(IF(NOT(ISBLANK($B55:$B59)),Y55:Y59,""))</f>
      </c>
      <c r="Z60" s="76">
        <f ref="Z60:Z60" t="array">SUM(IF(NOT(ISBLANK($B55:$B59)),Z55:Z59,""))</f>
      </c>
      <c r="AA60" s="77"/>
      <c r="AB60" s="76">
        <f ref="AB60:AB60" t="array">SUM(IF(NOT(ISBLANK($B55:$B59)),AB55:AB59,""))</f>
      </c>
      <c r="AC60" s="76">
        <f ref="AC60:AC60" t="array">SUM(IF(NOT(ISBLANK($B55:$B59)),AC55:AC59,""))</f>
      </c>
      <c r="AD60" s="77"/>
      <c r="AE60" s="77"/>
      <c r="AF60" s="78"/>
      <c r="AG60" s="79">
        <v>1</v>
      </c>
    </row>
    <row r="61" ht="0" hidden="1">
      <c r="A61" s="50"/>
      <c r="B61" s="51"/>
      <c r="C61" s="51"/>
      <c r="D61" s="80"/>
      <c r="E61" s="80"/>
      <c r="F61" s="80"/>
      <c r="G61" s="81"/>
      <c r="H61" s="81"/>
      <c r="I61" s="81"/>
      <c r="J61" s="53"/>
      <c r="K61" s="54"/>
      <c r="L61" s="54"/>
      <c r="M61" s="54"/>
      <c r="N61" s="53"/>
      <c r="O61" s="55"/>
      <c r="P61" s="82"/>
      <c r="Q61" s="57"/>
      <c r="R61" s="53"/>
      <c r="S61" s="82"/>
      <c r="T61" s="82"/>
      <c r="U61" s="53"/>
      <c r="V61" s="53"/>
      <c r="W61" s="53"/>
      <c r="X61" s="82"/>
      <c r="Y61" s="53"/>
      <c r="Z61" s="53"/>
      <c r="AA61" s="82"/>
      <c r="AB61" s="53"/>
      <c r="AC61" s="53"/>
      <c r="AD61" s="82"/>
      <c r="AE61" s="82"/>
      <c r="AF61" s="83"/>
      <c r="AG61" s="38"/>
    </row>
    <row r="62">
      <c r="A62" s="60"/>
      <c r="B62" s="61"/>
      <c r="C62" s="61"/>
      <c r="D62" s="62"/>
      <c r="E62" s="62"/>
      <c r="F62" s="62"/>
      <c r="G62" s="63"/>
      <c r="H62" s="63"/>
      <c r="I62" s="63"/>
      <c r="J62" s="64"/>
      <c r="K62" s="54"/>
      <c r="L62" s="54"/>
      <c r="M62" s="54"/>
      <c r="N62" s="64"/>
      <c r="O62" s="65"/>
      <c r="P62" s="56"/>
      <c r="Q62" s="66"/>
      <c r="R62" s="64"/>
      <c r="S62" s="56"/>
      <c r="T62" s="56"/>
      <c r="U62" s="64"/>
      <c r="V62" s="64"/>
      <c r="W62" s="64"/>
      <c r="X62" s="56"/>
      <c r="Y62" s="64"/>
      <c r="Z62" s="64"/>
      <c r="AA62" s="56"/>
      <c r="AB62" s="64"/>
      <c r="AC62" s="64"/>
      <c r="AD62" s="56"/>
      <c r="AE62" s="56"/>
      <c r="AF62" s="67"/>
      <c r="AG62" s="38"/>
    </row>
    <row r="63">
      <c r="A63" s="60"/>
      <c r="B63" s="61"/>
      <c r="C63" s="61"/>
      <c r="D63" s="62"/>
      <c r="E63" s="62"/>
      <c r="F63" s="62"/>
      <c r="G63" s="63"/>
      <c r="H63" s="63"/>
      <c r="I63" s="63"/>
      <c r="J63" s="64"/>
      <c r="K63" s="54"/>
      <c r="L63" s="54"/>
      <c r="M63" s="54"/>
      <c r="N63" s="64"/>
      <c r="O63" s="65"/>
      <c r="P63" s="56"/>
      <c r="Q63" s="66"/>
      <c r="R63" s="64"/>
      <c r="S63" s="56"/>
      <c r="T63" s="56"/>
      <c r="U63" s="64"/>
      <c r="V63" s="64"/>
      <c r="W63" s="64"/>
      <c r="X63" s="56"/>
      <c r="Y63" s="64"/>
      <c r="Z63" s="64"/>
      <c r="AA63" s="56"/>
      <c r="AB63" s="64"/>
      <c r="AC63" s="64"/>
      <c r="AD63" s="56"/>
      <c r="AE63" s="56"/>
      <c r="AF63" s="67"/>
      <c r="AG63" s="38"/>
    </row>
    <row r="64">
      <c r="A64" s="72"/>
      <c r="B64" s="73"/>
      <c r="C64" s="73"/>
      <c r="D64" s="74"/>
      <c r="E64" s="74"/>
      <c r="F64" s="74"/>
      <c r="G64" s="75"/>
      <c r="H64" s="75"/>
      <c r="I64" s="75"/>
      <c r="J64" s="54"/>
      <c r="K64" s="54"/>
      <c r="L64" s="54"/>
      <c r="M64" s="54"/>
      <c r="N64" s="54"/>
      <c r="O64" s="68"/>
      <c r="P64" s="69"/>
      <c r="Q64" s="70"/>
      <c r="R64" s="54"/>
      <c r="S64" s="69"/>
      <c r="T64" s="69"/>
      <c r="U64" s="54"/>
      <c r="V64" s="54"/>
      <c r="W64" s="54"/>
      <c r="X64" s="69"/>
      <c r="Y64" s="54"/>
      <c r="Z64" s="54"/>
      <c r="AA64" s="69"/>
      <c r="AB64" s="54"/>
      <c r="AC64" s="54"/>
      <c r="AD64" s="69"/>
      <c r="AE64" s="69"/>
      <c r="AF64" s="71"/>
      <c r="AG64" s="38"/>
    </row>
    <row r="65">
      <c r="A65" s="72"/>
      <c r="B65" s="73"/>
      <c r="C65" s="73"/>
      <c r="D65" s="74"/>
      <c r="E65" s="74"/>
      <c r="F65" s="74"/>
      <c r="G65" s="75"/>
      <c r="H65" s="75"/>
      <c r="I65" s="75"/>
      <c r="J65" s="54"/>
      <c r="K65" s="54"/>
      <c r="L65" s="54"/>
      <c r="M65" s="54"/>
      <c r="N65" s="54"/>
      <c r="O65" s="68"/>
      <c r="P65" s="69"/>
      <c r="Q65" s="70"/>
      <c r="R65" s="54"/>
      <c r="S65" s="69"/>
      <c r="T65" s="69"/>
      <c r="U65" s="54"/>
      <c r="V65" s="54"/>
      <c r="W65" s="54"/>
      <c r="X65" s="69"/>
      <c r="Y65" s="54"/>
      <c r="Z65" s="54"/>
      <c r="AA65" s="69"/>
      <c r="AB65" s="54"/>
      <c r="AC65" s="54"/>
      <c r="AD65" s="69"/>
      <c r="AE65" s="69"/>
      <c r="AF65" s="71"/>
      <c r="AG65" s="38"/>
    </row>
    <row r="66">
      <c r="A66" s="84">
        <f>IF(COUNTA(M62:M65)=0,"",IF(COUNTA(F62:F65)=0,IF(COUNTA(D62:D65)=0,"Totals - Final","Totals - Estimated"),"Totals - Corrected"))</f>
      </c>
      <c r="B66" s="87">
        <f>IF(ISNA(INDEX(B62:B65,MAX(MATCH(REPT("z",255),B62:B65)))),"",INDEX(B62:B65,MAX(MATCH(REPT("z",255),B62:B65))))</f>
      </c>
      <c r="C66" s="87">
        <f>IF(ISNA(INDEX(C62:C65,MAX(MATCH(REPT("z",255),C62:C65)))),"",INDEX(C62:C65,MAX(MATCH(REPT("z",255),C62:C65))))</f>
      </c>
      <c r="D66" s="87">
        <f>IF(ISNA(INDEX(A62:A65,MAX(MATCH(REPT("z",255),A62:A65)))),"",INDEX(A62:A65,MAX(MATCH(REPT("z",255),A62:A65))))</f>
      </c>
      <c r="E66" s="85"/>
      <c r="F66" s="85"/>
      <c r="G66" s="86"/>
      <c r="H66" s="86"/>
      <c r="I66" s="86"/>
      <c r="J66" s="76">
        <f ref="J66:J66" t="array">SUM(IF(NOT(ISBLANK($B61:$B65)),J61:J65,""))</f>
      </c>
      <c r="K66" s="76">
        <f ref="K66:K66" t="array">SUM(IF(NOT(ISBLANK($B61:$B65)),K61:K65,""))</f>
      </c>
      <c r="L66" s="76">
        <f ref="L66:L66" t="array">SUM(IF(NOT(ISBLANK($B61:$B65)),L61:L65,""))</f>
      </c>
      <c r="M66" s="76">
        <f ref="M66:M66" t="array">SUM(IF(NOT(ISBLANK($B61:$B65)),M61:M65,""))</f>
      </c>
      <c r="N66" s="76">
        <f ref="N66:N66" t="array">SUM(IF(NOT(ISBLANK($B61:$B65)),N61:N65,""))</f>
      </c>
      <c r="O66" s="76">
        <f ref="O66:O66" t="array">SUM(IF(NOT(ISBLANK($B61:$B65)),O61:O65,""))</f>
      </c>
      <c r="P66" s="77"/>
      <c r="Q66" s="76">
        <f ref="Q66:Q66" t="array">SUM(IF(NOT(ISBLANK($B61:$B65)),Q61:Q65,""))</f>
      </c>
      <c r="R66" s="76">
        <f ref="R66:R66" t="array">SUM(IF(NOT(ISBLANK($B61:$B65)),R61:R65,""))</f>
      </c>
      <c r="S66" s="77"/>
      <c r="T66" s="77"/>
      <c r="U66" s="76">
        <f ref="U66:U66" t="array">SUM(IF(NOT(ISBLANK($B61:$B65)),U61:U65,""))</f>
      </c>
      <c r="V66" s="76">
        <f ref="V66:V66" t="array">SUM(IF(NOT(ISBLANK($B61:$B65)),V61:V65,""))</f>
      </c>
      <c r="W66" s="76">
        <f ref="W66:W66" t="array">SUM(IF(NOT(ISBLANK($B61:$B65)),W61:W65,""))</f>
      </c>
      <c r="X66" s="77"/>
      <c r="Y66" s="76">
        <f ref="Y66:Y66" t="array">SUM(IF(NOT(ISBLANK($B61:$B65)),Y61:Y65,""))</f>
      </c>
      <c r="Z66" s="76">
        <f ref="Z66:Z66" t="array">SUM(IF(NOT(ISBLANK($B61:$B65)),Z61:Z65,""))</f>
      </c>
      <c r="AA66" s="77"/>
      <c r="AB66" s="76">
        <f ref="AB66:AB66" t="array">SUM(IF(NOT(ISBLANK($B61:$B65)),AB61:AB65,""))</f>
      </c>
      <c r="AC66" s="76">
        <f ref="AC66:AC66" t="array">SUM(IF(NOT(ISBLANK($B61:$B65)),AC61:AC65,""))</f>
      </c>
      <c r="AD66" s="77"/>
      <c r="AE66" s="77"/>
      <c r="AF66" s="78"/>
      <c r="AG66" s="79">
        <v>1</v>
      </c>
    </row>
    <row r="67" ht="0" hidden="1">
      <c r="A67" s="50"/>
      <c r="B67" s="51"/>
      <c r="C67" s="51"/>
      <c r="D67" s="80"/>
      <c r="E67" s="80"/>
      <c r="F67" s="80"/>
      <c r="G67" s="81"/>
      <c r="H67" s="81"/>
      <c r="I67" s="81"/>
      <c r="J67" s="53"/>
      <c r="K67" s="54"/>
      <c r="L67" s="54"/>
      <c r="M67" s="54"/>
      <c r="N67" s="53"/>
      <c r="O67" s="55"/>
      <c r="P67" s="82"/>
      <c r="Q67" s="57"/>
      <c r="R67" s="53"/>
      <c r="S67" s="82"/>
      <c r="T67" s="82"/>
      <c r="U67" s="53"/>
      <c r="V67" s="53"/>
      <c r="W67" s="53"/>
      <c r="X67" s="82"/>
      <c r="Y67" s="53"/>
      <c r="Z67" s="53"/>
      <c r="AA67" s="82"/>
      <c r="AB67" s="53"/>
      <c r="AC67" s="53"/>
      <c r="AD67" s="82"/>
      <c r="AE67" s="82"/>
      <c r="AF67" s="83"/>
      <c r="AG67" s="38"/>
    </row>
    <row r="68">
      <c r="A68" s="60"/>
      <c r="B68" s="61"/>
      <c r="C68" s="61"/>
      <c r="D68" s="62"/>
      <c r="E68" s="62"/>
      <c r="F68" s="62"/>
      <c r="G68" s="63"/>
      <c r="H68" s="63"/>
      <c r="I68" s="63"/>
      <c r="J68" s="64"/>
      <c r="K68" s="54"/>
      <c r="L68" s="54"/>
      <c r="M68" s="54"/>
      <c r="N68" s="64"/>
      <c r="O68" s="65"/>
      <c r="P68" s="56"/>
      <c r="Q68" s="66"/>
      <c r="R68" s="64"/>
      <c r="S68" s="56"/>
      <c r="T68" s="56"/>
      <c r="U68" s="64"/>
      <c r="V68" s="64"/>
      <c r="W68" s="64"/>
      <c r="X68" s="56"/>
      <c r="Y68" s="64"/>
      <c r="Z68" s="64"/>
      <c r="AA68" s="56"/>
      <c r="AB68" s="64"/>
      <c r="AC68" s="64"/>
      <c r="AD68" s="56"/>
      <c r="AE68" s="56"/>
      <c r="AF68" s="67"/>
      <c r="AG68" s="38"/>
    </row>
    <row r="69">
      <c r="A69" s="60"/>
      <c r="B69" s="61"/>
      <c r="C69" s="61"/>
      <c r="D69" s="62"/>
      <c r="E69" s="62"/>
      <c r="F69" s="62"/>
      <c r="G69" s="63"/>
      <c r="H69" s="63"/>
      <c r="I69" s="63"/>
      <c r="J69" s="64"/>
      <c r="K69" s="54"/>
      <c r="L69" s="54"/>
      <c r="M69" s="54"/>
      <c r="N69" s="64"/>
      <c r="O69" s="65"/>
      <c r="P69" s="56"/>
      <c r="Q69" s="66"/>
      <c r="R69" s="64"/>
      <c r="S69" s="56"/>
      <c r="T69" s="56"/>
      <c r="U69" s="64"/>
      <c r="V69" s="64"/>
      <c r="W69" s="64"/>
      <c r="X69" s="56"/>
      <c r="Y69" s="64"/>
      <c r="Z69" s="64"/>
      <c r="AA69" s="56"/>
      <c r="AB69" s="64"/>
      <c r="AC69" s="64"/>
      <c r="AD69" s="56"/>
      <c r="AE69" s="56"/>
      <c r="AF69" s="67"/>
      <c r="AG69" s="38"/>
    </row>
    <row r="70">
      <c r="A70" s="72"/>
      <c r="B70" s="73"/>
      <c r="C70" s="73"/>
      <c r="D70" s="74"/>
      <c r="E70" s="74"/>
      <c r="F70" s="74"/>
      <c r="G70" s="75"/>
      <c r="H70" s="75"/>
      <c r="I70" s="75"/>
      <c r="J70" s="54"/>
      <c r="K70" s="54"/>
      <c r="L70" s="54"/>
      <c r="M70" s="54"/>
      <c r="N70" s="54"/>
      <c r="O70" s="68"/>
      <c r="P70" s="69"/>
      <c r="Q70" s="70"/>
      <c r="R70" s="54"/>
      <c r="S70" s="69"/>
      <c r="T70" s="69"/>
      <c r="U70" s="54"/>
      <c r="V70" s="54"/>
      <c r="W70" s="54"/>
      <c r="X70" s="69"/>
      <c r="Y70" s="54"/>
      <c r="Z70" s="54"/>
      <c r="AA70" s="69"/>
      <c r="AB70" s="54"/>
      <c r="AC70" s="54"/>
      <c r="AD70" s="69"/>
      <c r="AE70" s="69"/>
      <c r="AF70" s="71"/>
      <c r="AG70" s="38"/>
    </row>
    <row r="71">
      <c r="A71" s="72"/>
      <c r="B71" s="73"/>
      <c r="C71" s="73"/>
      <c r="D71" s="74"/>
      <c r="E71" s="74"/>
      <c r="F71" s="74"/>
      <c r="G71" s="75"/>
      <c r="H71" s="75"/>
      <c r="I71" s="75"/>
      <c r="J71" s="54"/>
      <c r="K71" s="54"/>
      <c r="L71" s="54"/>
      <c r="M71" s="54"/>
      <c r="N71" s="54"/>
      <c r="O71" s="68"/>
      <c r="P71" s="69"/>
      <c r="Q71" s="70"/>
      <c r="R71" s="54"/>
      <c r="S71" s="69"/>
      <c r="T71" s="69"/>
      <c r="U71" s="54"/>
      <c r="V71" s="54"/>
      <c r="W71" s="54"/>
      <c r="X71" s="69"/>
      <c r="Y71" s="54"/>
      <c r="Z71" s="54"/>
      <c r="AA71" s="69"/>
      <c r="AB71" s="54"/>
      <c r="AC71" s="54"/>
      <c r="AD71" s="69"/>
      <c r="AE71" s="69"/>
      <c r="AF71" s="71"/>
      <c r="AG71" s="38"/>
    </row>
    <row r="72">
      <c r="A72" s="84">
        <f>IF(COUNTA(M68:M71)=0,"",IF(COUNTA(F68:F71)=0,IF(COUNTA(D68:D71)=0,"Totals - Final","Totals - Estimated"),"Totals - Corrected"))</f>
      </c>
      <c r="B72" s="87">
        <f>IF(ISNA(INDEX(B68:B71,MAX(MATCH(REPT("z",255),B68:B71)))),"",INDEX(B68:B71,MAX(MATCH(REPT("z",255),B68:B71))))</f>
      </c>
      <c r="C72" s="87">
        <f>IF(ISNA(INDEX(C68:C71,MAX(MATCH(REPT("z",255),C68:C71)))),"",INDEX(C68:C71,MAX(MATCH(REPT("z",255),C68:C71))))</f>
      </c>
      <c r="D72" s="87">
        <f>IF(ISNA(INDEX(A68:A71,MAX(MATCH(REPT("z",255),A68:A71)))),"",INDEX(A68:A71,MAX(MATCH(REPT("z",255),A68:A71))))</f>
      </c>
      <c r="E72" s="85"/>
      <c r="F72" s="85"/>
      <c r="G72" s="86"/>
      <c r="H72" s="86"/>
      <c r="I72" s="86"/>
      <c r="J72" s="76">
        <f ref="J72:J72" t="array">SUM(IF(NOT(ISBLANK($B67:$B71)),J67:J71,""))</f>
      </c>
      <c r="K72" s="76">
        <f ref="K72:K72" t="array">SUM(IF(NOT(ISBLANK($B67:$B71)),K67:K71,""))</f>
      </c>
      <c r="L72" s="76">
        <f ref="L72:L72" t="array">SUM(IF(NOT(ISBLANK($B67:$B71)),L67:L71,""))</f>
      </c>
      <c r="M72" s="76">
        <f ref="M72:M72" t="array">SUM(IF(NOT(ISBLANK($B67:$B71)),M67:M71,""))</f>
      </c>
      <c r="N72" s="76">
        <f ref="N72:N72" t="array">SUM(IF(NOT(ISBLANK($B67:$B71)),N67:N71,""))</f>
      </c>
      <c r="O72" s="76">
        <f ref="O72:O72" t="array">SUM(IF(NOT(ISBLANK($B67:$B71)),O67:O71,""))</f>
      </c>
      <c r="P72" s="77"/>
      <c r="Q72" s="76">
        <f ref="Q72:Q72" t="array">SUM(IF(NOT(ISBLANK($B67:$B71)),Q67:Q71,""))</f>
      </c>
      <c r="R72" s="76">
        <f ref="R72:R72" t="array">SUM(IF(NOT(ISBLANK($B67:$B71)),R67:R71,""))</f>
      </c>
      <c r="S72" s="77"/>
      <c r="T72" s="77"/>
      <c r="U72" s="76">
        <f ref="U72:U72" t="array">SUM(IF(NOT(ISBLANK($B67:$B71)),U67:U71,""))</f>
      </c>
      <c r="V72" s="76">
        <f ref="V72:V72" t="array">SUM(IF(NOT(ISBLANK($B67:$B71)),V67:V71,""))</f>
      </c>
      <c r="W72" s="76">
        <f ref="W72:W72" t="array">SUM(IF(NOT(ISBLANK($B67:$B71)),W67:W71,""))</f>
      </c>
      <c r="X72" s="77"/>
      <c r="Y72" s="76">
        <f ref="Y72:Y72" t="array">SUM(IF(NOT(ISBLANK($B67:$B71)),Y67:Y71,""))</f>
      </c>
      <c r="Z72" s="76">
        <f ref="Z72:Z72" t="array">SUM(IF(NOT(ISBLANK($B67:$B71)),Z67:Z71,""))</f>
      </c>
      <c r="AA72" s="77"/>
      <c r="AB72" s="76">
        <f ref="AB72:AB72" t="array">SUM(IF(NOT(ISBLANK($B67:$B71)),AB67:AB71,""))</f>
      </c>
      <c r="AC72" s="76">
        <f ref="AC72:AC72" t="array">SUM(IF(NOT(ISBLANK($B67:$B71)),AC67:AC71,""))</f>
      </c>
      <c r="AD72" s="77"/>
      <c r="AE72" s="77"/>
      <c r="AF72" s="78"/>
      <c r="AG72" s="79">
        <v>1</v>
      </c>
    </row>
    <row r="73" ht="0" hidden="1">
      <c r="A73" s="50"/>
      <c r="B73" s="51"/>
      <c r="C73" s="51"/>
      <c r="D73" s="80"/>
      <c r="E73" s="80"/>
      <c r="F73" s="80"/>
      <c r="G73" s="81"/>
      <c r="H73" s="81"/>
      <c r="I73" s="81"/>
      <c r="J73" s="53"/>
      <c r="K73" s="54"/>
      <c r="L73" s="54"/>
      <c r="M73" s="54"/>
      <c r="N73" s="53"/>
      <c r="O73" s="55"/>
      <c r="P73" s="82"/>
      <c r="Q73" s="57"/>
      <c r="R73" s="53"/>
      <c r="S73" s="82"/>
      <c r="T73" s="82"/>
      <c r="U73" s="53"/>
      <c r="V73" s="53"/>
      <c r="W73" s="53"/>
      <c r="X73" s="82"/>
      <c r="Y73" s="53"/>
      <c r="Z73" s="53"/>
      <c r="AA73" s="82"/>
      <c r="AB73" s="53"/>
      <c r="AC73" s="53"/>
      <c r="AD73" s="82"/>
      <c r="AE73" s="82"/>
      <c r="AF73" s="83"/>
      <c r="AG73" s="38"/>
    </row>
    <row r="74">
      <c r="A74" s="60"/>
      <c r="B74" s="61"/>
      <c r="C74" s="61"/>
      <c r="D74" s="62"/>
      <c r="E74" s="62"/>
      <c r="F74" s="62"/>
      <c r="G74" s="63"/>
      <c r="H74" s="63"/>
      <c r="I74" s="63"/>
      <c r="J74" s="64"/>
      <c r="K74" s="54"/>
      <c r="L74" s="54"/>
      <c r="M74" s="54"/>
      <c r="N74" s="64"/>
      <c r="O74" s="65"/>
      <c r="P74" s="56"/>
      <c r="Q74" s="66"/>
      <c r="R74" s="64"/>
      <c r="S74" s="56"/>
      <c r="T74" s="56"/>
      <c r="U74" s="64"/>
      <c r="V74" s="64"/>
      <c r="W74" s="64"/>
      <c r="X74" s="56"/>
      <c r="Y74" s="64"/>
      <c r="Z74" s="64"/>
      <c r="AA74" s="56"/>
      <c r="AB74" s="64"/>
      <c r="AC74" s="64"/>
      <c r="AD74" s="56"/>
      <c r="AE74" s="56"/>
      <c r="AF74" s="67"/>
      <c r="AG74" s="38"/>
    </row>
    <row r="75">
      <c r="A75" s="60"/>
      <c r="B75" s="61"/>
      <c r="C75" s="61"/>
      <c r="D75" s="62"/>
      <c r="E75" s="62"/>
      <c r="F75" s="62"/>
      <c r="G75" s="63"/>
      <c r="H75" s="63"/>
      <c r="I75" s="63"/>
      <c r="J75" s="64"/>
      <c r="K75" s="54"/>
      <c r="L75" s="54"/>
      <c r="M75" s="54"/>
      <c r="N75" s="64"/>
      <c r="O75" s="65"/>
      <c r="P75" s="56"/>
      <c r="Q75" s="66"/>
      <c r="R75" s="64"/>
      <c r="S75" s="56"/>
      <c r="T75" s="56"/>
      <c r="U75" s="64"/>
      <c r="V75" s="64"/>
      <c r="W75" s="64"/>
      <c r="X75" s="56"/>
      <c r="Y75" s="64"/>
      <c r="Z75" s="64"/>
      <c r="AA75" s="56"/>
      <c r="AB75" s="64"/>
      <c r="AC75" s="64"/>
      <c r="AD75" s="56"/>
      <c r="AE75" s="56"/>
      <c r="AF75" s="67"/>
      <c r="AG75" s="38"/>
    </row>
    <row r="76">
      <c r="A76" s="72"/>
      <c r="B76" s="73"/>
      <c r="C76" s="73"/>
      <c r="D76" s="74"/>
      <c r="E76" s="74"/>
      <c r="F76" s="74"/>
      <c r="G76" s="75"/>
      <c r="H76" s="75"/>
      <c r="I76" s="75"/>
      <c r="J76" s="54"/>
      <c r="K76" s="54"/>
      <c r="L76" s="54"/>
      <c r="M76" s="54"/>
      <c r="N76" s="54"/>
      <c r="O76" s="68"/>
      <c r="P76" s="69"/>
      <c r="Q76" s="70"/>
      <c r="R76" s="54"/>
      <c r="S76" s="69"/>
      <c r="T76" s="69"/>
      <c r="U76" s="54"/>
      <c r="V76" s="54"/>
      <c r="W76" s="54"/>
      <c r="X76" s="69"/>
      <c r="Y76" s="54"/>
      <c r="Z76" s="54"/>
      <c r="AA76" s="69"/>
      <c r="AB76" s="54"/>
      <c r="AC76" s="54"/>
      <c r="AD76" s="69"/>
      <c r="AE76" s="69"/>
      <c r="AF76" s="71"/>
      <c r="AG76" s="38"/>
    </row>
    <row r="77">
      <c r="A77" s="72"/>
      <c r="B77" s="73"/>
      <c r="C77" s="73"/>
      <c r="D77" s="74"/>
      <c r="E77" s="74"/>
      <c r="F77" s="74"/>
      <c r="G77" s="75"/>
      <c r="H77" s="75"/>
      <c r="I77" s="75"/>
      <c r="J77" s="54"/>
      <c r="K77" s="54"/>
      <c r="L77" s="54"/>
      <c r="M77" s="54"/>
      <c r="N77" s="54"/>
      <c r="O77" s="68"/>
      <c r="P77" s="69"/>
      <c r="Q77" s="70"/>
      <c r="R77" s="54"/>
      <c r="S77" s="69"/>
      <c r="T77" s="69"/>
      <c r="U77" s="54"/>
      <c r="V77" s="54"/>
      <c r="W77" s="54"/>
      <c r="X77" s="69"/>
      <c r="Y77" s="54"/>
      <c r="Z77" s="54"/>
      <c r="AA77" s="69"/>
      <c r="AB77" s="54"/>
      <c r="AC77" s="54"/>
      <c r="AD77" s="69"/>
      <c r="AE77" s="69"/>
      <c r="AF77" s="71"/>
      <c r="AG77" s="38"/>
    </row>
    <row r="78">
      <c r="A78" s="84">
        <f>IF(COUNTA(M74:M77)=0,"",IF(COUNTA(F74:F77)=0,IF(COUNTA(D74:D77)=0,"Totals - Final","Totals - Estimated"),"Totals - Corrected"))</f>
      </c>
      <c r="B78" s="87">
        <f>IF(ISNA(INDEX(B74:B77,MAX(MATCH(REPT("z",255),B74:B77)))),"",INDEX(B74:B77,MAX(MATCH(REPT("z",255),B74:B77))))</f>
      </c>
      <c r="C78" s="87">
        <f>IF(ISNA(INDEX(C74:C77,MAX(MATCH(REPT("z",255),C74:C77)))),"",INDEX(C74:C77,MAX(MATCH(REPT("z",255),C74:C77))))</f>
      </c>
      <c r="D78" s="87">
        <f>IF(ISNA(INDEX(A74:A77,MAX(MATCH(REPT("z",255),A74:A77)))),"",INDEX(A74:A77,MAX(MATCH(REPT("z",255),A74:A77))))</f>
      </c>
      <c r="E78" s="85"/>
      <c r="F78" s="85"/>
      <c r="G78" s="86"/>
      <c r="H78" s="86"/>
      <c r="I78" s="86"/>
      <c r="J78" s="76">
        <f ref="J78:J78" t="array">SUM(IF(NOT(ISBLANK($B73:$B77)),J73:J77,""))</f>
      </c>
      <c r="K78" s="76">
        <f ref="K78:K78" t="array">SUM(IF(NOT(ISBLANK($B73:$B77)),K73:K77,""))</f>
      </c>
      <c r="L78" s="76">
        <f ref="L78:L78" t="array">SUM(IF(NOT(ISBLANK($B73:$B77)),L73:L77,""))</f>
      </c>
      <c r="M78" s="76">
        <f ref="M78:M78" t="array">SUM(IF(NOT(ISBLANK($B73:$B77)),M73:M77,""))</f>
      </c>
      <c r="N78" s="76">
        <f ref="N78:N78" t="array">SUM(IF(NOT(ISBLANK($B73:$B77)),N73:N77,""))</f>
      </c>
      <c r="O78" s="76">
        <f ref="O78:O78" t="array">SUM(IF(NOT(ISBLANK($B73:$B77)),O73:O77,""))</f>
      </c>
      <c r="P78" s="77"/>
      <c r="Q78" s="76">
        <f ref="Q78:Q78" t="array">SUM(IF(NOT(ISBLANK($B73:$B77)),Q73:Q77,""))</f>
      </c>
      <c r="R78" s="76">
        <f ref="R78:R78" t="array">SUM(IF(NOT(ISBLANK($B73:$B77)),R73:R77,""))</f>
      </c>
      <c r="S78" s="77"/>
      <c r="T78" s="77"/>
      <c r="U78" s="76">
        <f ref="U78:U78" t="array">SUM(IF(NOT(ISBLANK($B73:$B77)),U73:U77,""))</f>
      </c>
      <c r="V78" s="76">
        <f ref="V78:V78" t="array">SUM(IF(NOT(ISBLANK($B73:$B77)),V73:V77,""))</f>
      </c>
      <c r="W78" s="76">
        <f ref="W78:W78" t="array">SUM(IF(NOT(ISBLANK($B73:$B77)),W73:W77,""))</f>
      </c>
      <c r="X78" s="77"/>
      <c r="Y78" s="76">
        <f ref="Y78:Y78" t="array">SUM(IF(NOT(ISBLANK($B73:$B77)),Y73:Y77,""))</f>
      </c>
      <c r="Z78" s="76">
        <f ref="Z78:Z78" t="array">SUM(IF(NOT(ISBLANK($B73:$B77)),Z73:Z77,""))</f>
      </c>
      <c r="AA78" s="77"/>
      <c r="AB78" s="76">
        <f ref="AB78:AB78" t="array">SUM(IF(NOT(ISBLANK($B73:$B77)),AB73:AB77,""))</f>
      </c>
      <c r="AC78" s="76">
        <f ref="AC78:AC78" t="array">SUM(IF(NOT(ISBLANK($B73:$B77)),AC73:AC77,""))</f>
      </c>
      <c r="AD78" s="77"/>
      <c r="AE78" s="77"/>
      <c r="AF78" s="78"/>
      <c r="AG78" s="79">
        <v>1</v>
      </c>
    </row>
    <row r="79" ht="0" hidden="1">
      <c r="A79" s="50"/>
      <c r="B79" s="51"/>
      <c r="C79" s="51"/>
      <c r="D79" s="80"/>
      <c r="E79" s="80"/>
      <c r="F79" s="80"/>
      <c r="G79" s="81"/>
      <c r="H79" s="81"/>
      <c r="I79" s="81"/>
      <c r="J79" s="53"/>
      <c r="K79" s="54"/>
      <c r="L79" s="54"/>
      <c r="M79" s="54"/>
      <c r="N79" s="53"/>
      <c r="O79" s="55"/>
      <c r="P79" s="82"/>
      <c r="Q79" s="57"/>
      <c r="R79" s="53"/>
      <c r="S79" s="82"/>
      <c r="T79" s="82"/>
      <c r="U79" s="53"/>
      <c r="V79" s="53"/>
      <c r="W79" s="53"/>
      <c r="X79" s="82"/>
      <c r="Y79" s="53"/>
      <c r="Z79" s="53"/>
      <c r="AA79" s="82"/>
      <c r="AB79" s="53"/>
      <c r="AC79" s="53"/>
      <c r="AD79" s="82"/>
      <c r="AE79" s="82"/>
      <c r="AF79" s="83"/>
      <c r="AG79" s="38"/>
    </row>
    <row r="80">
      <c r="A80" s="60"/>
      <c r="B80" s="61"/>
      <c r="C80" s="61"/>
      <c r="D80" s="62"/>
      <c r="E80" s="62"/>
      <c r="F80" s="62"/>
      <c r="G80" s="63"/>
      <c r="H80" s="63"/>
      <c r="I80" s="63"/>
      <c r="J80" s="64"/>
      <c r="K80" s="54"/>
      <c r="L80" s="54"/>
      <c r="M80" s="54"/>
      <c r="N80" s="64"/>
      <c r="O80" s="65"/>
      <c r="P80" s="56"/>
      <c r="Q80" s="66"/>
      <c r="R80" s="64"/>
      <c r="S80" s="56"/>
      <c r="T80" s="56"/>
      <c r="U80" s="64"/>
      <c r="V80" s="64"/>
      <c r="W80" s="64"/>
      <c r="X80" s="56"/>
      <c r="Y80" s="64"/>
      <c r="Z80" s="64"/>
      <c r="AA80" s="56"/>
      <c r="AB80" s="64"/>
      <c r="AC80" s="64"/>
      <c r="AD80" s="56"/>
      <c r="AE80" s="56"/>
      <c r="AF80" s="67"/>
      <c r="AG80" s="38"/>
    </row>
    <row r="81">
      <c r="A81" s="60"/>
      <c r="B81" s="61"/>
      <c r="C81" s="61"/>
      <c r="D81" s="62"/>
      <c r="E81" s="62"/>
      <c r="F81" s="62"/>
      <c r="G81" s="63"/>
      <c r="H81" s="63"/>
      <c r="I81" s="63"/>
      <c r="J81" s="64"/>
      <c r="K81" s="54"/>
      <c r="L81" s="54"/>
      <c r="M81" s="54"/>
      <c r="N81" s="64"/>
      <c r="O81" s="65"/>
      <c r="P81" s="56"/>
      <c r="Q81" s="66"/>
      <c r="R81" s="64"/>
      <c r="S81" s="56"/>
      <c r="T81" s="56"/>
      <c r="U81" s="64"/>
      <c r="V81" s="64"/>
      <c r="W81" s="64"/>
      <c r="X81" s="56"/>
      <c r="Y81" s="64"/>
      <c r="Z81" s="64"/>
      <c r="AA81" s="56"/>
      <c r="AB81" s="64"/>
      <c r="AC81" s="64"/>
      <c r="AD81" s="56"/>
      <c r="AE81" s="56"/>
      <c r="AF81" s="67"/>
      <c r="AG81" s="38"/>
    </row>
    <row r="82">
      <c r="A82" s="72"/>
      <c r="B82" s="73"/>
      <c r="C82" s="73"/>
      <c r="D82" s="74"/>
      <c r="E82" s="74"/>
      <c r="F82" s="74"/>
      <c r="G82" s="75"/>
      <c r="H82" s="75"/>
      <c r="I82" s="75"/>
      <c r="J82" s="54"/>
      <c r="K82" s="54"/>
      <c r="L82" s="54"/>
      <c r="M82" s="54"/>
      <c r="N82" s="54"/>
      <c r="O82" s="68"/>
      <c r="P82" s="69"/>
      <c r="Q82" s="70"/>
      <c r="R82" s="54"/>
      <c r="S82" s="69"/>
      <c r="T82" s="69"/>
      <c r="U82" s="54"/>
      <c r="V82" s="54"/>
      <c r="W82" s="54"/>
      <c r="X82" s="69"/>
      <c r="Y82" s="54"/>
      <c r="Z82" s="54"/>
      <c r="AA82" s="69"/>
      <c r="AB82" s="54"/>
      <c r="AC82" s="54"/>
      <c r="AD82" s="69"/>
      <c r="AE82" s="69"/>
      <c r="AF82" s="71"/>
      <c r="AG82" s="38"/>
    </row>
    <row r="83">
      <c r="A83" s="72"/>
      <c r="B83" s="73"/>
      <c r="C83" s="73"/>
      <c r="D83" s="74"/>
      <c r="E83" s="74"/>
      <c r="F83" s="74"/>
      <c r="G83" s="75"/>
      <c r="H83" s="75"/>
      <c r="I83" s="75"/>
      <c r="J83" s="54"/>
      <c r="K83" s="54"/>
      <c r="L83" s="54"/>
      <c r="M83" s="54"/>
      <c r="N83" s="54"/>
      <c r="O83" s="68"/>
      <c r="P83" s="69"/>
      <c r="Q83" s="70"/>
      <c r="R83" s="54"/>
      <c r="S83" s="69"/>
      <c r="T83" s="69"/>
      <c r="U83" s="54"/>
      <c r="V83" s="54"/>
      <c r="W83" s="54"/>
      <c r="X83" s="69"/>
      <c r="Y83" s="54"/>
      <c r="Z83" s="54"/>
      <c r="AA83" s="69"/>
      <c r="AB83" s="54"/>
      <c r="AC83" s="54"/>
      <c r="AD83" s="69"/>
      <c r="AE83" s="69"/>
      <c r="AF83" s="71"/>
      <c r="AG83" s="38"/>
    </row>
    <row r="84">
      <c r="A84" s="84">
        <f>IF(COUNTA(M80:M83)=0,"",IF(COUNTA(F80:F83)=0,IF(COUNTA(D80:D83)=0,"Totals - Final","Totals - Estimated"),"Totals - Corrected"))</f>
      </c>
      <c r="B84" s="87">
        <f>IF(ISNA(INDEX(B80:B83,MAX(MATCH(REPT("z",255),B80:B83)))),"",INDEX(B80:B83,MAX(MATCH(REPT("z",255),B80:B83))))</f>
      </c>
      <c r="C84" s="87">
        <f>IF(ISNA(INDEX(C80:C83,MAX(MATCH(REPT("z",255),C80:C83)))),"",INDEX(C80:C83,MAX(MATCH(REPT("z",255),C80:C83))))</f>
      </c>
      <c r="D84" s="87">
        <f>IF(ISNA(INDEX(A80:A83,MAX(MATCH(REPT("z",255),A80:A83)))),"",INDEX(A80:A83,MAX(MATCH(REPT("z",255),A80:A83))))</f>
      </c>
      <c r="E84" s="85"/>
      <c r="F84" s="85"/>
      <c r="G84" s="86"/>
      <c r="H84" s="86"/>
      <c r="I84" s="86"/>
      <c r="J84" s="76">
        <f ref="J84:J84" t="array">SUM(IF(NOT(ISBLANK($B79:$B83)),J79:J83,""))</f>
      </c>
      <c r="K84" s="76">
        <f ref="K84:K84" t="array">SUM(IF(NOT(ISBLANK($B79:$B83)),K79:K83,""))</f>
      </c>
      <c r="L84" s="76">
        <f ref="L84:L84" t="array">SUM(IF(NOT(ISBLANK($B79:$B83)),L79:L83,""))</f>
      </c>
      <c r="M84" s="76">
        <f ref="M84:M84" t="array">SUM(IF(NOT(ISBLANK($B79:$B83)),M79:M83,""))</f>
      </c>
      <c r="N84" s="76">
        <f ref="N84:N84" t="array">SUM(IF(NOT(ISBLANK($B79:$B83)),N79:N83,""))</f>
      </c>
      <c r="O84" s="76">
        <f ref="O84:O84" t="array">SUM(IF(NOT(ISBLANK($B79:$B83)),O79:O83,""))</f>
      </c>
      <c r="P84" s="77"/>
      <c r="Q84" s="76">
        <f ref="Q84:Q84" t="array">SUM(IF(NOT(ISBLANK($B79:$B83)),Q79:Q83,""))</f>
      </c>
      <c r="R84" s="76">
        <f ref="R84:R84" t="array">SUM(IF(NOT(ISBLANK($B79:$B83)),R79:R83,""))</f>
      </c>
      <c r="S84" s="77"/>
      <c r="T84" s="77"/>
      <c r="U84" s="76">
        <f ref="U84:U84" t="array">SUM(IF(NOT(ISBLANK($B79:$B83)),U79:U83,""))</f>
      </c>
      <c r="V84" s="76">
        <f ref="V84:V84" t="array">SUM(IF(NOT(ISBLANK($B79:$B83)),V79:V83,""))</f>
      </c>
      <c r="W84" s="76">
        <f ref="W84:W84" t="array">SUM(IF(NOT(ISBLANK($B79:$B83)),W79:W83,""))</f>
      </c>
      <c r="X84" s="77"/>
      <c r="Y84" s="76">
        <f ref="Y84:Y84" t="array">SUM(IF(NOT(ISBLANK($B79:$B83)),Y79:Y83,""))</f>
      </c>
      <c r="Z84" s="76">
        <f ref="Z84:Z84" t="array">SUM(IF(NOT(ISBLANK($B79:$B83)),Z79:Z83,""))</f>
      </c>
      <c r="AA84" s="77"/>
      <c r="AB84" s="76">
        <f ref="AB84:AB84" t="array">SUM(IF(NOT(ISBLANK($B79:$B83)),AB79:AB83,""))</f>
      </c>
      <c r="AC84" s="76">
        <f ref="AC84:AC84" t="array">SUM(IF(NOT(ISBLANK($B79:$B83)),AC79:AC83,""))</f>
      </c>
      <c r="AD84" s="77"/>
      <c r="AE84" s="77"/>
      <c r="AF84" s="78"/>
      <c r="AG84" s="79">
        <v>1</v>
      </c>
    </row>
    <row r="85" ht="0" hidden="1">
      <c r="A85" s="50"/>
      <c r="B85" s="51"/>
      <c r="C85" s="51"/>
      <c r="D85" s="80"/>
      <c r="E85" s="80"/>
      <c r="F85" s="80"/>
      <c r="G85" s="81"/>
      <c r="H85" s="81"/>
      <c r="I85" s="81"/>
      <c r="J85" s="53"/>
      <c r="K85" s="54"/>
      <c r="L85" s="54"/>
      <c r="M85" s="54"/>
      <c r="N85" s="53"/>
      <c r="O85" s="55"/>
      <c r="P85" s="82"/>
      <c r="Q85" s="57"/>
      <c r="R85" s="53"/>
      <c r="S85" s="82"/>
      <c r="T85" s="82"/>
      <c r="U85" s="53"/>
      <c r="V85" s="53"/>
      <c r="W85" s="53"/>
      <c r="X85" s="82"/>
      <c r="Y85" s="53"/>
      <c r="Z85" s="53"/>
      <c r="AA85" s="82"/>
      <c r="AB85" s="53"/>
      <c r="AC85" s="53"/>
      <c r="AD85" s="82"/>
      <c r="AE85" s="82"/>
      <c r="AF85" s="83"/>
      <c r="AG85" s="38"/>
    </row>
    <row r="86">
      <c r="A86" s="60"/>
      <c r="B86" s="61"/>
      <c r="C86" s="61"/>
      <c r="D86" s="62"/>
      <c r="E86" s="62"/>
      <c r="F86" s="62"/>
      <c r="G86" s="63"/>
      <c r="H86" s="63"/>
      <c r="I86" s="63"/>
      <c r="J86" s="64"/>
      <c r="K86" s="54"/>
      <c r="L86" s="54"/>
      <c r="M86" s="54"/>
      <c r="N86" s="64"/>
      <c r="O86" s="65"/>
      <c r="P86" s="56"/>
      <c r="Q86" s="66"/>
      <c r="R86" s="64"/>
      <c r="S86" s="56"/>
      <c r="T86" s="56"/>
      <c r="U86" s="64"/>
      <c r="V86" s="64"/>
      <c r="W86" s="64"/>
      <c r="X86" s="56"/>
      <c r="Y86" s="64"/>
      <c r="Z86" s="64"/>
      <c r="AA86" s="56"/>
      <c r="AB86" s="64"/>
      <c r="AC86" s="64"/>
      <c r="AD86" s="56"/>
      <c r="AE86" s="56"/>
      <c r="AF86" s="67"/>
      <c r="AG86" s="38"/>
    </row>
    <row r="87">
      <c r="A87" s="60"/>
      <c r="B87" s="61"/>
      <c r="C87" s="61"/>
      <c r="D87" s="62"/>
      <c r="E87" s="62"/>
      <c r="F87" s="62"/>
      <c r="G87" s="63"/>
      <c r="H87" s="63"/>
      <c r="I87" s="63"/>
      <c r="J87" s="64"/>
      <c r="K87" s="54"/>
      <c r="L87" s="54"/>
      <c r="M87" s="54"/>
      <c r="N87" s="64"/>
      <c r="O87" s="65"/>
      <c r="P87" s="56"/>
      <c r="Q87" s="66"/>
      <c r="R87" s="64"/>
      <c r="S87" s="56"/>
      <c r="T87" s="56"/>
      <c r="U87" s="64"/>
      <c r="V87" s="64"/>
      <c r="W87" s="64"/>
      <c r="X87" s="56"/>
      <c r="Y87" s="64"/>
      <c r="Z87" s="64"/>
      <c r="AA87" s="56"/>
      <c r="AB87" s="64"/>
      <c r="AC87" s="64"/>
      <c r="AD87" s="56"/>
      <c r="AE87" s="56"/>
      <c r="AF87" s="67"/>
      <c r="AG87" s="38"/>
    </row>
    <row r="88">
      <c r="A88" s="72"/>
      <c r="B88" s="73"/>
      <c r="C88" s="73"/>
      <c r="D88" s="74"/>
      <c r="E88" s="74"/>
      <c r="F88" s="74"/>
      <c r="G88" s="75"/>
      <c r="H88" s="75"/>
      <c r="I88" s="75"/>
      <c r="J88" s="54"/>
      <c r="K88" s="54"/>
      <c r="L88" s="54"/>
      <c r="M88" s="54"/>
      <c r="N88" s="54"/>
      <c r="O88" s="68"/>
      <c r="P88" s="69"/>
      <c r="Q88" s="70"/>
      <c r="R88" s="54"/>
      <c r="S88" s="69"/>
      <c r="T88" s="69"/>
      <c r="U88" s="54"/>
      <c r="V88" s="54"/>
      <c r="W88" s="54"/>
      <c r="X88" s="69"/>
      <c r="Y88" s="54"/>
      <c r="Z88" s="54"/>
      <c r="AA88" s="69"/>
      <c r="AB88" s="54"/>
      <c r="AC88" s="54"/>
      <c r="AD88" s="69"/>
      <c r="AE88" s="69"/>
      <c r="AF88" s="71"/>
      <c r="AG88" s="38"/>
    </row>
    <row r="89">
      <c r="A89" s="72"/>
      <c r="B89" s="73"/>
      <c r="C89" s="73"/>
      <c r="D89" s="74"/>
      <c r="E89" s="74"/>
      <c r="F89" s="74"/>
      <c r="G89" s="75"/>
      <c r="H89" s="75"/>
      <c r="I89" s="75"/>
      <c r="J89" s="54"/>
      <c r="K89" s="54"/>
      <c r="L89" s="54"/>
      <c r="M89" s="54"/>
      <c r="N89" s="54"/>
      <c r="O89" s="68"/>
      <c r="P89" s="69"/>
      <c r="Q89" s="70"/>
      <c r="R89" s="54"/>
      <c r="S89" s="69"/>
      <c r="T89" s="69"/>
      <c r="U89" s="54"/>
      <c r="V89" s="54"/>
      <c r="W89" s="54"/>
      <c r="X89" s="69"/>
      <c r="Y89" s="54"/>
      <c r="Z89" s="54"/>
      <c r="AA89" s="69"/>
      <c r="AB89" s="54"/>
      <c r="AC89" s="54"/>
      <c r="AD89" s="69"/>
      <c r="AE89" s="69"/>
      <c r="AF89" s="71"/>
      <c r="AG89" s="38"/>
    </row>
    <row r="90">
      <c r="A90" s="84">
        <f>IF(COUNTA(M86:M89)=0,"",IF(COUNTA(F86:F89)=0,IF(COUNTA(D86:D89)=0,"Totals - Final","Totals - Estimated"),"Totals - Corrected"))</f>
      </c>
      <c r="B90" s="87">
        <f>IF(ISNA(INDEX(B86:B89,MAX(MATCH(REPT("z",255),B86:B89)))),"",INDEX(B86:B89,MAX(MATCH(REPT("z",255),B86:B89))))</f>
      </c>
      <c r="C90" s="87">
        <f>IF(ISNA(INDEX(C86:C89,MAX(MATCH(REPT("z",255),C86:C89)))),"",INDEX(C86:C89,MAX(MATCH(REPT("z",255),C86:C89))))</f>
      </c>
      <c r="D90" s="87">
        <f>IF(ISNA(INDEX(A86:A89,MAX(MATCH(REPT("z",255),A86:A89)))),"",INDEX(A86:A89,MAX(MATCH(REPT("z",255),A86:A89))))</f>
      </c>
      <c r="E90" s="85"/>
      <c r="F90" s="85"/>
      <c r="G90" s="86"/>
      <c r="H90" s="86"/>
      <c r="I90" s="86"/>
      <c r="J90" s="76">
        <f ref="J90:J90" t="array">SUM(IF(NOT(ISBLANK($B85:$B89)),J85:J89,""))</f>
      </c>
      <c r="K90" s="76">
        <f ref="K90:K90" t="array">SUM(IF(NOT(ISBLANK($B85:$B89)),K85:K89,""))</f>
      </c>
      <c r="L90" s="76">
        <f ref="L90:L90" t="array">SUM(IF(NOT(ISBLANK($B85:$B89)),L85:L89,""))</f>
      </c>
      <c r="M90" s="76">
        <f ref="M90:M90" t="array">SUM(IF(NOT(ISBLANK($B85:$B89)),M85:M89,""))</f>
      </c>
      <c r="N90" s="76">
        <f ref="N90:N90" t="array">SUM(IF(NOT(ISBLANK($B85:$B89)),N85:N89,""))</f>
      </c>
      <c r="O90" s="76">
        <f ref="O90:O90" t="array">SUM(IF(NOT(ISBLANK($B85:$B89)),O85:O89,""))</f>
      </c>
      <c r="P90" s="77"/>
      <c r="Q90" s="76">
        <f ref="Q90:Q90" t="array">SUM(IF(NOT(ISBLANK($B85:$B89)),Q85:Q89,""))</f>
      </c>
      <c r="R90" s="76">
        <f ref="R90:R90" t="array">SUM(IF(NOT(ISBLANK($B85:$B89)),R85:R89,""))</f>
      </c>
      <c r="S90" s="77"/>
      <c r="T90" s="77"/>
      <c r="U90" s="76">
        <f ref="U90:U90" t="array">SUM(IF(NOT(ISBLANK($B85:$B89)),U85:U89,""))</f>
      </c>
      <c r="V90" s="76">
        <f ref="V90:V90" t="array">SUM(IF(NOT(ISBLANK($B85:$B89)),V85:V89,""))</f>
      </c>
      <c r="W90" s="76">
        <f ref="W90:W90" t="array">SUM(IF(NOT(ISBLANK($B85:$B89)),W85:W89,""))</f>
      </c>
      <c r="X90" s="77"/>
      <c r="Y90" s="76">
        <f ref="Y90:Y90" t="array">SUM(IF(NOT(ISBLANK($B85:$B89)),Y85:Y89,""))</f>
      </c>
      <c r="Z90" s="76">
        <f ref="Z90:Z90" t="array">SUM(IF(NOT(ISBLANK($B85:$B89)),Z85:Z89,""))</f>
      </c>
      <c r="AA90" s="77"/>
      <c r="AB90" s="76">
        <f ref="AB90:AB90" t="array">SUM(IF(NOT(ISBLANK($B85:$B89)),AB85:AB89,""))</f>
      </c>
      <c r="AC90" s="76">
        <f ref="AC90:AC90" t="array">SUM(IF(NOT(ISBLANK($B85:$B89)),AC85:AC89,""))</f>
      </c>
      <c r="AD90" s="77"/>
      <c r="AE90" s="77"/>
      <c r="AF90" s="78"/>
      <c r="AG90" s="79">
        <v>1</v>
      </c>
    </row>
    <row r="91" ht="0" hidden="1">
      <c r="A91" s="50"/>
      <c r="B91" s="51"/>
      <c r="C91" s="51"/>
      <c r="D91" s="80"/>
      <c r="E91" s="80"/>
      <c r="F91" s="80"/>
      <c r="G91" s="81"/>
      <c r="H91" s="81"/>
      <c r="I91" s="81"/>
      <c r="J91" s="53"/>
      <c r="K91" s="54"/>
      <c r="L91" s="54"/>
      <c r="M91" s="54"/>
      <c r="N91" s="53"/>
      <c r="O91" s="55"/>
      <c r="P91" s="82"/>
      <c r="Q91" s="57"/>
      <c r="R91" s="53"/>
      <c r="S91" s="82"/>
      <c r="T91" s="82"/>
      <c r="U91" s="53"/>
      <c r="V91" s="53"/>
      <c r="W91" s="53"/>
      <c r="X91" s="82"/>
      <c r="Y91" s="53"/>
      <c r="Z91" s="53"/>
      <c r="AA91" s="82"/>
      <c r="AB91" s="53"/>
      <c r="AC91" s="53"/>
      <c r="AD91" s="82"/>
      <c r="AE91" s="82"/>
      <c r="AF91" s="83"/>
      <c r="AG91" s="38"/>
    </row>
    <row r="92">
      <c r="A92" s="60"/>
      <c r="B92" s="61"/>
      <c r="C92" s="61"/>
      <c r="D92" s="62"/>
      <c r="E92" s="62"/>
      <c r="F92" s="62"/>
      <c r="G92" s="63"/>
      <c r="H92" s="63"/>
      <c r="I92" s="63"/>
      <c r="J92" s="64"/>
      <c r="K92" s="54"/>
      <c r="L92" s="54"/>
      <c r="M92" s="54"/>
      <c r="N92" s="64"/>
      <c r="O92" s="65"/>
      <c r="P92" s="56"/>
      <c r="Q92" s="66"/>
      <c r="R92" s="64"/>
      <c r="S92" s="56"/>
      <c r="T92" s="56"/>
      <c r="U92" s="64"/>
      <c r="V92" s="64"/>
      <c r="W92" s="64"/>
      <c r="X92" s="56"/>
      <c r="Y92" s="64"/>
      <c r="Z92" s="64"/>
      <c r="AA92" s="56"/>
      <c r="AB92" s="64"/>
      <c r="AC92" s="64"/>
      <c r="AD92" s="56"/>
      <c r="AE92" s="56"/>
      <c r="AF92" s="67"/>
      <c r="AG92" s="38"/>
    </row>
    <row r="93">
      <c r="A93" s="60"/>
      <c r="B93" s="61"/>
      <c r="C93" s="61"/>
      <c r="D93" s="62"/>
      <c r="E93" s="62"/>
      <c r="F93" s="62"/>
      <c r="G93" s="63"/>
      <c r="H93" s="63"/>
      <c r="I93" s="63"/>
      <c r="J93" s="64"/>
      <c r="K93" s="54"/>
      <c r="L93" s="54"/>
      <c r="M93" s="54"/>
      <c r="N93" s="64"/>
      <c r="O93" s="65"/>
      <c r="P93" s="56"/>
      <c r="Q93" s="66"/>
      <c r="R93" s="64"/>
      <c r="S93" s="56"/>
      <c r="T93" s="56"/>
      <c r="U93" s="64"/>
      <c r="V93" s="64"/>
      <c r="W93" s="64"/>
      <c r="X93" s="56"/>
      <c r="Y93" s="64"/>
      <c r="Z93" s="64"/>
      <c r="AA93" s="56"/>
      <c r="AB93" s="64"/>
      <c r="AC93" s="64"/>
      <c r="AD93" s="56"/>
      <c r="AE93" s="56"/>
      <c r="AF93" s="67"/>
      <c r="AG93" s="38"/>
    </row>
    <row r="94">
      <c r="A94" s="72"/>
      <c r="B94" s="73"/>
      <c r="C94" s="73"/>
      <c r="D94" s="74"/>
      <c r="E94" s="74"/>
      <c r="F94" s="74"/>
      <c r="G94" s="75"/>
      <c r="H94" s="75"/>
      <c r="I94" s="75"/>
      <c r="J94" s="54"/>
      <c r="K94" s="54"/>
      <c r="L94" s="54"/>
      <c r="M94" s="54"/>
      <c r="N94" s="54"/>
      <c r="O94" s="68"/>
      <c r="P94" s="69"/>
      <c r="Q94" s="70"/>
      <c r="R94" s="54"/>
      <c r="S94" s="69"/>
      <c r="T94" s="69"/>
      <c r="U94" s="54"/>
      <c r="V94" s="54"/>
      <c r="W94" s="54"/>
      <c r="X94" s="69"/>
      <c r="Y94" s="54"/>
      <c r="Z94" s="54"/>
      <c r="AA94" s="69"/>
      <c r="AB94" s="54"/>
      <c r="AC94" s="54"/>
      <c r="AD94" s="69"/>
      <c r="AE94" s="69"/>
      <c r="AF94" s="71"/>
      <c r="AG94" s="38"/>
    </row>
    <row r="95">
      <c r="A95" s="72"/>
      <c r="B95" s="73"/>
      <c r="C95" s="73"/>
      <c r="D95" s="74"/>
      <c r="E95" s="74"/>
      <c r="F95" s="74"/>
      <c r="G95" s="75"/>
      <c r="H95" s="75"/>
      <c r="I95" s="75"/>
      <c r="J95" s="54"/>
      <c r="K95" s="54"/>
      <c r="L95" s="54"/>
      <c r="M95" s="54"/>
      <c r="N95" s="54"/>
      <c r="O95" s="68"/>
      <c r="P95" s="69"/>
      <c r="Q95" s="70"/>
      <c r="R95" s="54"/>
      <c r="S95" s="69"/>
      <c r="T95" s="69"/>
      <c r="U95" s="54"/>
      <c r="V95" s="54"/>
      <c r="W95" s="54"/>
      <c r="X95" s="69"/>
      <c r="Y95" s="54"/>
      <c r="Z95" s="54"/>
      <c r="AA95" s="69"/>
      <c r="AB95" s="54"/>
      <c r="AC95" s="54"/>
      <c r="AD95" s="69"/>
      <c r="AE95" s="69"/>
      <c r="AF95" s="71"/>
      <c r="AG95" s="38"/>
    </row>
    <row r="96">
      <c r="A96" s="84">
        <f>IF(COUNTA(M92:M95)=0,"",IF(COUNTA(F92:F95)=0,IF(COUNTA(D92:D95)=0,"Totals - Final","Totals - Estimated"),"Totals - Corrected"))</f>
      </c>
      <c r="B96" s="87">
        <f>IF(ISNA(INDEX(B92:B95,MAX(MATCH(REPT("z",255),B92:B95)))),"",INDEX(B92:B95,MAX(MATCH(REPT("z",255),B92:B95))))</f>
      </c>
      <c r="C96" s="87">
        <f>IF(ISNA(INDEX(C92:C95,MAX(MATCH(REPT("z",255),C92:C95)))),"",INDEX(C92:C95,MAX(MATCH(REPT("z",255),C92:C95))))</f>
      </c>
      <c r="D96" s="87">
        <f>IF(ISNA(INDEX(A92:A95,MAX(MATCH(REPT("z",255),A92:A95)))),"",INDEX(A92:A95,MAX(MATCH(REPT("z",255),A92:A95))))</f>
      </c>
      <c r="E96" s="85"/>
      <c r="F96" s="85"/>
      <c r="G96" s="86"/>
      <c r="H96" s="86"/>
      <c r="I96" s="86"/>
      <c r="J96" s="76">
        <f ref="J96:J96" t="array">SUM(IF(NOT(ISBLANK($B91:$B95)),J91:J95,""))</f>
      </c>
      <c r="K96" s="76">
        <f ref="K96:K96" t="array">SUM(IF(NOT(ISBLANK($B91:$B95)),K91:K95,""))</f>
      </c>
      <c r="L96" s="76">
        <f ref="L96:L96" t="array">SUM(IF(NOT(ISBLANK($B91:$B95)),L91:L95,""))</f>
      </c>
      <c r="M96" s="76">
        <f ref="M96:M96" t="array">SUM(IF(NOT(ISBLANK($B91:$B95)),M91:M95,""))</f>
      </c>
      <c r="N96" s="76">
        <f ref="N96:N96" t="array">SUM(IF(NOT(ISBLANK($B91:$B95)),N91:N95,""))</f>
      </c>
      <c r="O96" s="76">
        <f ref="O96:O96" t="array">SUM(IF(NOT(ISBLANK($B91:$B95)),O91:O95,""))</f>
      </c>
      <c r="P96" s="77"/>
      <c r="Q96" s="76">
        <f ref="Q96:Q96" t="array">SUM(IF(NOT(ISBLANK($B91:$B95)),Q91:Q95,""))</f>
      </c>
      <c r="R96" s="76">
        <f ref="R96:R96" t="array">SUM(IF(NOT(ISBLANK($B91:$B95)),R91:R95,""))</f>
      </c>
      <c r="S96" s="77"/>
      <c r="T96" s="77"/>
      <c r="U96" s="76">
        <f ref="U96:U96" t="array">SUM(IF(NOT(ISBLANK($B91:$B95)),U91:U95,""))</f>
      </c>
      <c r="V96" s="76">
        <f ref="V96:V96" t="array">SUM(IF(NOT(ISBLANK($B91:$B95)),V91:V95,""))</f>
      </c>
      <c r="W96" s="76">
        <f ref="W96:W96" t="array">SUM(IF(NOT(ISBLANK($B91:$B95)),W91:W95,""))</f>
      </c>
      <c r="X96" s="77"/>
      <c r="Y96" s="76">
        <f ref="Y96:Y96" t="array">SUM(IF(NOT(ISBLANK($B91:$B95)),Y91:Y95,""))</f>
      </c>
      <c r="Z96" s="76">
        <f ref="Z96:Z96" t="array">SUM(IF(NOT(ISBLANK($B91:$B95)),Z91:Z95,""))</f>
      </c>
      <c r="AA96" s="77"/>
      <c r="AB96" s="76">
        <f ref="AB96:AB96" t="array">SUM(IF(NOT(ISBLANK($B91:$B95)),AB91:AB95,""))</f>
      </c>
      <c r="AC96" s="76">
        <f ref="AC96:AC96" t="array">SUM(IF(NOT(ISBLANK($B91:$B95)),AC91:AC95,""))</f>
      </c>
      <c r="AD96" s="77"/>
      <c r="AE96" s="77"/>
      <c r="AF96" s="78"/>
      <c r="AG96" s="79">
        <v>1</v>
      </c>
    </row>
    <row r="97" ht="0" hidden="1">
      <c r="A97" s="50"/>
      <c r="B97" s="51"/>
      <c r="C97" s="51"/>
      <c r="D97" s="80"/>
      <c r="E97" s="80"/>
      <c r="F97" s="80"/>
      <c r="G97" s="81"/>
      <c r="H97" s="81"/>
      <c r="I97" s="81"/>
      <c r="J97" s="53"/>
      <c r="K97" s="54"/>
      <c r="L97" s="54"/>
      <c r="M97" s="54"/>
      <c r="N97" s="53"/>
      <c r="O97" s="55"/>
      <c r="P97" s="82"/>
      <c r="Q97" s="57"/>
      <c r="R97" s="53"/>
      <c r="S97" s="82"/>
      <c r="T97" s="82"/>
      <c r="U97" s="53"/>
      <c r="V97" s="53"/>
      <c r="W97" s="53"/>
      <c r="X97" s="82"/>
      <c r="Y97" s="53"/>
      <c r="Z97" s="53"/>
      <c r="AA97" s="82"/>
      <c r="AB97" s="53"/>
      <c r="AC97" s="53"/>
      <c r="AD97" s="82"/>
      <c r="AE97" s="82"/>
      <c r="AF97" s="83"/>
      <c r="AG97" s="38"/>
    </row>
    <row r="98">
      <c r="A98" s="60"/>
      <c r="B98" s="61"/>
      <c r="C98" s="61"/>
      <c r="D98" s="62"/>
      <c r="E98" s="62"/>
      <c r="F98" s="62"/>
      <c r="G98" s="63"/>
      <c r="H98" s="63"/>
      <c r="I98" s="63"/>
      <c r="J98" s="64"/>
      <c r="K98" s="54"/>
      <c r="L98" s="54"/>
      <c r="M98" s="54"/>
      <c r="N98" s="64"/>
      <c r="O98" s="65"/>
      <c r="P98" s="56"/>
      <c r="Q98" s="66"/>
      <c r="R98" s="64"/>
      <c r="S98" s="56"/>
      <c r="T98" s="56"/>
      <c r="U98" s="64"/>
      <c r="V98" s="64"/>
      <c r="W98" s="64"/>
      <c r="X98" s="56"/>
      <c r="Y98" s="64"/>
      <c r="Z98" s="64"/>
      <c r="AA98" s="56"/>
      <c r="AB98" s="64"/>
      <c r="AC98" s="64"/>
      <c r="AD98" s="56"/>
      <c r="AE98" s="56"/>
      <c r="AF98" s="67"/>
      <c r="AG98" s="38"/>
    </row>
    <row r="99">
      <c r="A99" s="60"/>
      <c r="B99" s="61"/>
      <c r="C99" s="61"/>
      <c r="D99" s="62"/>
      <c r="E99" s="62"/>
      <c r="F99" s="62"/>
      <c r="G99" s="63"/>
      <c r="H99" s="63"/>
      <c r="I99" s="63"/>
      <c r="J99" s="64"/>
      <c r="K99" s="54"/>
      <c r="L99" s="54"/>
      <c r="M99" s="54"/>
      <c r="N99" s="64"/>
      <c r="O99" s="65"/>
      <c r="P99" s="56"/>
      <c r="Q99" s="66"/>
      <c r="R99" s="64"/>
      <c r="S99" s="56"/>
      <c r="T99" s="56"/>
      <c r="U99" s="64"/>
      <c r="V99" s="64"/>
      <c r="W99" s="64"/>
      <c r="X99" s="56"/>
      <c r="Y99" s="64"/>
      <c r="Z99" s="64"/>
      <c r="AA99" s="56"/>
      <c r="AB99" s="64"/>
      <c r="AC99" s="64"/>
      <c r="AD99" s="56"/>
      <c r="AE99" s="56"/>
      <c r="AF99" s="67"/>
      <c r="AG99" s="38"/>
    </row>
    <row r="100">
      <c r="A100" s="72"/>
      <c r="B100" s="73"/>
      <c r="C100" s="73"/>
      <c r="D100" s="74"/>
      <c r="E100" s="74"/>
      <c r="F100" s="74"/>
      <c r="G100" s="75"/>
      <c r="H100" s="75"/>
      <c r="I100" s="75"/>
      <c r="J100" s="54"/>
      <c r="K100" s="54"/>
      <c r="L100" s="54"/>
      <c r="M100" s="54"/>
      <c r="N100" s="54"/>
      <c r="O100" s="68"/>
      <c r="P100" s="69"/>
      <c r="Q100" s="70"/>
      <c r="R100" s="54"/>
      <c r="S100" s="69"/>
      <c r="T100" s="69"/>
      <c r="U100" s="54"/>
      <c r="V100" s="54"/>
      <c r="W100" s="54"/>
      <c r="X100" s="69"/>
      <c r="Y100" s="54"/>
      <c r="Z100" s="54"/>
      <c r="AA100" s="69"/>
      <c r="AB100" s="54"/>
      <c r="AC100" s="54"/>
      <c r="AD100" s="69"/>
      <c r="AE100" s="69"/>
      <c r="AF100" s="71"/>
      <c r="AG100" s="38"/>
    </row>
    <row r="101">
      <c r="A101" s="72"/>
      <c r="B101" s="73"/>
      <c r="C101" s="73"/>
      <c r="D101" s="74"/>
      <c r="E101" s="74"/>
      <c r="F101" s="74"/>
      <c r="G101" s="75"/>
      <c r="H101" s="75"/>
      <c r="I101" s="75"/>
      <c r="J101" s="54"/>
      <c r="K101" s="54"/>
      <c r="L101" s="54"/>
      <c r="M101" s="54"/>
      <c r="N101" s="54"/>
      <c r="O101" s="68"/>
      <c r="P101" s="69"/>
      <c r="Q101" s="70"/>
      <c r="R101" s="54"/>
      <c r="S101" s="69"/>
      <c r="T101" s="69"/>
      <c r="U101" s="54"/>
      <c r="V101" s="54"/>
      <c r="W101" s="54"/>
      <c r="X101" s="69"/>
      <c r="Y101" s="54"/>
      <c r="Z101" s="54"/>
      <c r="AA101" s="69"/>
      <c r="AB101" s="54"/>
      <c r="AC101" s="54"/>
      <c r="AD101" s="69"/>
      <c r="AE101" s="69"/>
      <c r="AF101" s="71"/>
      <c r="AG101" s="38"/>
    </row>
    <row r="102">
      <c r="A102" s="84">
        <f>IF(COUNTA(M98:M101)=0,"",IF(COUNTA(F98:F101)=0,IF(COUNTA(D98:D101)=0,"Totals - Final","Totals - Estimated"),"Totals - Corrected"))</f>
      </c>
      <c r="B102" s="87">
        <f>IF(ISNA(INDEX(B98:B101,MAX(MATCH(REPT("z",255),B98:B101)))),"",INDEX(B98:B101,MAX(MATCH(REPT("z",255),B98:B101))))</f>
      </c>
      <c r="C102" s="87">
        <f>IF(ISNA(INDEX(C98:C101,MAX(MATCH(REPT("z",255),C98:C101)))),"",INDEX(C98:C101,MAX(MATCH(REPT("z",255),C98:C101))))</f>
      </c>
      <c r="D102" s="87">
        <f>IF(ISNA(INDEX(A98:A101,MAX(MATCH(REPT("z",255),A98:A101)))),"",INDEX(A98:A101,MAX(MATCH(REPT("z",255),A98:A101))))</f>
      </c>
      <c r="E102" s="85"/>
      <c r="F102" s="85"/>
      <c r="G102" s="86"/>
      <c r="H102" s="86"/>
      <c r="I102" s="86"/>
      <c r="J102" s="76">
        <f ref="J102:J102" t="array">SUM(IF(NOT(ISBLANK($B97:$B101)),J97:J101,""))</f>
      </c>
      <c r="K102" s="76">
        <f ref="K102:K102" t="array">SUM(IF(NOT(ISBLANK($B97:$B101)),K97:K101,""))</f>
      </c>
      <c r="L102" s="76">
        <f ref="L102:L102" t="array">SUM(IF(NOT(ISBLANK($B97:$B101)),L97:L101,""))</f>
      </c>
      <c r="M102" s="76">
        <f ref="M102:M102" t="array">SUM(IF(NOT(ISBLANK($B97:$B101)),M97:M101,""))</f>
      </c>
      <c r="N102" s="76">
        <f ref="N102:N102" t="array">SUM(IF(NOT(ISBLANK($B97:$B101)),N97:N101,""))</f>
      </c>
      <c r="O102" s="76">
        <f ref="O102:O102" t="array">SUM(IF(NOT(ISBLANK($B97:$B101)),O97:O101,""))</f>
      </c>
      <c r="P102" s="77"/>
      <c r="Q102" s="76">
        <f ref="Q102:Q102" t="array">SUM(IF(NOT(ISBLANK($B97:$B101)),Q97:Q101,""))</f>
      </c>
      <c r="R102" s="76">
        <f ref="R102:R102" t="array">SUM(IF(NOT(ISBLANK($B97:$B101)),R97:R101,""))</f>
      </c>
      <c r="S102" s="77"/>
      <c r="T102" s="77"/>
      <c r="U102" s="76">
        <f ref="U102:U102" t="array">SUM(IF(NOT(ISBLANK($B97:$B101)),U97:U101,""))</f>
      </c>
      <c r="V102" s="76">
        <f ref="V102:V102" t="array">SUM(IF(NOT(ISBLANK($B97:$B101)),V97:V101,""))</f>
      </c>
      <c r="W102" s="76">
        <f ref="W102:W102" t="array">SUM(IF(NOT(ISBLANK($B97:$B101)),W97:W101,""))</f>
      </c>
      <c r="X102" s="77"/>
      <c r="Y102" s="76">
        <f ref="Y102:Y102" t="array">SUM(IF(NOT(ISBLANK($B97:$B101)),Y97:Y101,""))</f>
      </c>
      <c r="Z102" s="76">
        <f ref="Z102:Z102" t="array">SUM(IF(NOT(ISBLANK($B97:$B101)),Z97:Z101,""))</f>
      </c>
      <c r="AA102" s="77"/>
      <c r="AB102" s="76">
        <f ref="AB102:AB102" t="array">SUM(IF(NOT(ISBLANK($B97:$B101)),AB97:AB101,""))</f>
      </c>
      <c r="AC102" s="76">
        <f ref="AC102:AC102" t="array">SUM(IF(NOT(ISBLANK($B97:$B101)),AC97:AC101,""))</f>
      </c>
      <c r="AD102" s="77"/>
      <c r="AE102" s="77"/>
      <c r="AF102" s="78"/>
      <c r="AG102" s="79">
        <v>1</v>
      </c>
    </row>
    <row r="103" ht="0" hidden="1">
      <c r="A103" s="50"/>
      <c r="B103" s="51"/>
      <c r="C103" s="51"/>
      <c r="D103" s="80"/>
      <c r="E103" s="80"/>
      <c r="F103" s="80"/>
      <c r="G103" s="81"/>
      <c r="H103" s="81"/>
      <c r="I103" s="81"/>
      <c r="J103" s="53"/>
      <c r="K103" s="54"/>
      <c r="L103" s="54"/>
      <c r="M103" s="54"/>
      <c r="N103" s="53"/>
      <c r="O103" s="55"/>
      <c r="P103" s="82"/>
      <c r="Q103" s="57"/>
      <c r="R103" s="53"/>
      <c r="S103" s="82"/>
      <c r="T103" s="82"/>
      <c r="U103" s="53"/>
      <c r="V103" s="53"/>
      <c r="W103" s="53"/>
      <c r="X103" s="82"/>
      <c r="Y103" s="53"/>
      <c r="Z103" s="53"/>
      <c r="AA103" s="82"/>
      <c r="AB103" s="53"/>
      <c r="AC103" s="53"/>
      <c r="AD103" s="82"/>
      <c r="AE103" s="82"/>
      <c r="AF103" s="83"/>
      <c r="AG103" s="38"/>
    </row>
    <row r="104">
      <c r="A104" s="60"/>
      <c r="B104" s="61"/>
      <c r="C104" s="61"/>
      <c r="D104" s="62"/>
      <c r="E104" s="62"/>
      <c r="F104" s="62"/>
      <c r="G104" s="63"/>
      <c r="H104" s="63"/>
      <c r="I104" s="63"/>
      <c r="J104" s="64"/>
      <c r="K104" s="54"/>
      <c r="L104" s="54"/>
      <c r="M104" s="54"/>
      <c r="N104" s="64"/>
      <c r="O104" s="65"/>
      <c r="P104" s="56"/>
      <c r="Q104" s="66"/>
      <c r="R104" s="64"/>
      <c r="S104" s="56"/>
      <c r="T104" s="56"/>
      <c r="U104" s="64"/>
      <c r="V104" s="64"/>
      <c r="W104" s="64"/>
      <c r="X104" s="56"/>
      <c r="Y104" s="64"/>
      <c r="Z104" s="64"/>
      <c r="AA104" s="56"/>
      <c r="AB104" s="64"/>
      <c r="AC104" s="64"/>
      <c r="AD104" s="56"/>
      <c r="AE104" s="56"/>
      <c r="AF104" s="67"/>
      <c r="AG104" s="38"/>
    </row>
    <row r="105">
      <c r="A105" s="60"/>
      <c r="B105" s="61"/>
      <c r="C105" s="61"/>
      <c r="D105" s="62"/>
      <c r="E105" s="62"/>
      <c r="F105" s="62"/>
      <c r="G105" s="63"/>
      <c r="H105" s="63"/>
      <c r="I105" s="63"/>
      <c r="J105" s="64"/>
      <c r="K105" s="54"/>
      <c r="L105" s="54"/>
      <c r="M105" s="54"/>
      <c r="N105" s="64"/>
      <c r="O105" s="65"/>
      <c r="P105" s="56"/>
      <c r="Q105" s="66"/>
      <c r="R105" s="64"/>
      <c r="S105" s="56"/>
      <c r="T105" s="56"/>
      <c r="U105" s="64"/>
      <c r="V105" s="64"/>
      <c r="W105" s="64"/>
      <c r="X105" s="56"/>
      <c r="Y105" s="64"/>
      <c r="Z105" s="64"/>
      <c r="AA105" s="56"/>
      <c r="AB105" s="64"/>
      <c r="AC105" s="64"/>
      <c r="AD105" s="56"/>
      <c r="AE105" s="56"/>
      <c r="AF105" s="67"/>
      <c r="AG105" s="38"/>
    </row>
    <row r="106">
      <c r="A106" s="72"/>
      <c r="B106" s="73"/>
      <c r="C106" s="73"/>
      <c r="D106" s="74"/>
      <c r="E106" s="74"/>
      <c r="F106" s="74"/>
      <c r="G106" s="75"/>
      <c r="H106" s="75"/>
      <c r="I106" s="75"/>
      <c r="J106" s="54"/>
      <c r="K106" s="54"/>
      <c r="L106" s="54"/>
      <c r="M106" s="54"/>
      <c r="N106" s="54"/>
      <c r="O106" s="68"/>
      <c r="P106" s="69"/>
      <c r="Q106" s="70"/>
      <c r="R106" s="54"/>
      <c r="S106" s="69"/>
      <c r="T106" s="69"/>
      <c r="U106" s="54"/>
      <c r="V106" s="54"/>
      <c r="W106" s="54"/>
      <c r="X106" s="69"/>
      <c r="Y106" s="54"/>
      <c r="Z106" s="54"/>
      <c r="AA106" s="69"/>
      <c r="AB106" s="54"/>
      <c r="AC106" s="54"/>
      <c r="AD106" s="69"/>
      <c r="AE106" s="69"/>
      <c r="AF106" s="71"/>
      <c r="AG106" s="38"/>
    </row>
    <row r="107">
      <c r="A107" s="72"/>
      <c r="B107" s="73"/>
      <c r="C107" s="73"/>
      <c r="D107" s="74"/>
      <c r="E107" s="74"/>
      <c r="F107" s="74"/>
      <c r="G107" s="75"/>
      <c r="H107" s="75"/>
      <c r="I107" s="75"/>
      <c r="J107" s="54"/>
      <c r="K107" s="54"/>
      <c r="L107" s="54"/>
      <c r="M107" s="54"/>
      <c r="N107" s="54"/>
      <c r="O107" s="68"/>
      <c r="P107" s="69"/>
      <c r="Q107" s="70"/>
      <c r="R107" s="54"/>
      <c r="S107" s="69"/>
      <c r="T107" s="69"/>
      <c r="U107" s="54"/>
      <c r="V107" s="54"/>
      <c r="W107" s="54"/>
      <c r="X107" s="69"/>
      <c r="Y107" s="54"/>
      <c r="Z107" s="54"/>
      <c r="AA107" s="69"/>
      <c r="AB107" s="54"/>
      <c r="AC107" s="54"/>
      <c r="AD107" s="69"/>
      <c r="AE107" s="69"/>
      <c r="AF107" s="71"/>
      <c r="AG107" s="38"/>
    </row>
    <row r="108">
      <c r="A108" s="84">
        <f>IF(COUNTA(M104:M107)=0,"",IF(COUNTA(F104:F107)=0,IF(COUNTA(D104:D107)=0,"Totals - Final","Totals - Estimated"),"Totals - Corrected"))</f>
      </c>
      <c r="B108" s="87">
        <f>IF(ISNA(INDEX(B104:B107,MAX(MATCH(REPT("z",255),B104:B107)))),"",INDEX(B104:B107,MAX(MATCH(REPT("z",255),B104:B107))))</f>
      </c>
      <c r="C108" s="87">
        <f>IF(ISNA(INDEX(C104:C107,MAX(MATCH(REPT("z",255),C104:C107)))),"",INDEX(C104:C107,MAX(MATCH(REPT("z",255),C104:C107))))</f>
      </c>
      <c r="D108" s="87">
        <f>IF(ISNA(INDEX(A104:A107,MAX(MATCH(REPT("z",255),A104:A107)))),"",INDEX(A104:A107,MAX(MATCH(REPT("z",255),A104:A107))))</f>
      </c>
      <c r="E108" s="85"/>
      <c r="F108" s="85"/>
      <c r="G108" s="86"/>
      <c r="H108" s="86"/>
      <c r="I108" s="86"/>
      <c r="J108" s="76">
        <f ref="J108:J108" t="array">SUM(IF(NOT(ISBLANK($B103:$B107)),J103:J107,""))</f>
      </c>
      <c r="K108" s="76">
        <f ref="K108:K108" t="array">SUM(IF(NOT(ISBLANK($B103:$B107)),K103:K107,""))</f>
      </c>
      <c r="L108" s="76">
        <f ref="L108:L108" t="array">SUM(IF(NOT(ISBLANK($B103:$B107)),L103:L107,""))</f>
      </c>
      <c r="M108" s="76">
        <f ref="M108:M108" t="array">SUM(IF(NOT(ISBLANK($B103:$B107)),M103:M107,""))</f>
      </c>
      <c r="N108" s="76">
        <f ref="N108:N108" t="array">SUM(IF(NOT(ISBLANK($B103:$B107)),N103:N107,""))</f>
      </c>
      <c r="O108" s="76">
        <f ref="O108:O108" t="array">SUM(IF(NOT(ISBLANK($B103:$B107)),O103:O107,""))</f>
      </c>
      <c r="P108" s="77"/>
      <c r="Q108" s="76">
        <f ref="Q108:Q108" t="array">SUM(IF(NOT(ISBLANK($B103:$B107)),Q103:Q107,""))</f>
      </c>
      <c r="R108" s="76">
        <f ref="R108:R108" t="array">SUM(IF(NOT(ISBLANK($B103:$B107)),R103:R107,""))</f>
      </c>
      <c r="S108" s="77"/>
      <c r="T108" s="77"/>
      <c r="U108" s="76">
        <f ref="U108:U108" t="array">SUM(IF(NOT(ISBLANK($B103:$B107)),U103:U107,""))</f>
      </c>
      <c r="V108" s="76">
        <f ref="V108:V108" t="array">SUM(IF(NOT(ISBLANK($B103:$B107)),V103:V107,""))</f>
      </c>
      <c r="W108" s="76">
        <f ref="W108:W108" t="array">SUM(IF(NOT(ISBLANK($B103:$B107)),W103:W107,""))</f>
      </c>
      <c r="X108" s="77"/>
      <c r="Y108" s="76">
        <f ref="Y108:Y108" t="array">SUM(IF(NOT(ISBLANK($B103:$B107)),Y103:Y107,""))</f>
      </c>
      <c r="Z108" s="76">
        <f ref="Z108:Z108" t="array">SUM(IF(NOT(ISBLANK($B103:$B107)),Z103:Z107,""))</f>
      </c>
      <c r="AA108" s="77"/>
      <c r="AB108" s="76">
        <f ref="AB108:AB108" t="array">SUM(IF(NOT(ISBLANK($B103:$B107)),AB103:AB107,""))</f>
      </c>
      <c r="AC108" s="76">
        <f ref="AC108:AC108" t="array">SUM(IF(NOT(ISBLANK($B103:$B107)),AC103:AC107,""))</f>
      </c>
      <c r="AD108" s="77"/>
      <c r="AE108" s="77"/>
      <c r="AF108" s="78"/>
      <c r="AG108" s="79">
        <v>1</v>
      </c>
    </row>
    <row r="109" ht="0" hidden="1">
      <c r="A109" s="50"/>
      <c r="B109" s="51"/>
      <c r="C109" s="51"/>
      <c r="D109" s="80"/>
      <c r="E109" s="80"/>
      <c r="F109" s="80"/>
      <c r="G109" s="81"/>
      <c r="H109" s="81"/>
      <c r="I109" s="81"/>
      <c r="J109" s="53"/>
      <c r="K109" s="54"/>
      <c r="L109" s="54"/>
      <c r="M109" s="54"/>
      <c r="N109" s="53"/>
      <c r="O109" s="55"/>
      <c r="P109" s="82"/>
      <c r="Q109" s="57"/>
      <c r="R109" s="53"/>
      <c r="S109" s="82"/>
      <c r="T109" s="82"/>
      <c r="U109" s="53"/>
      <c r="V109" s="53"/>
      <c r="W109" s="53"/>
      <c r="X109" s="82"/>
      <c r="Y109" s="53"/>
      <c r="Z109" s="53"/>
      <c r="AA109" s="82"/>
      <c r="AB109" s="53"/>
      <c r="AC109" s="53"/>
      <c r="AD109" s="82"/>
      <c r="AE109" s="82"/>
      <c r="AF109" s="83"/>
      <c r="AG109" s="38"/>
    </row>
    <row r="110">
      <c r="A110" s="60"/>
      <c r="B110" s="61"/>
      <c r="C110" s="61"/>
      <c r="D110" s="62"/>
      <c r="E110" s="62"/>
      <c r="F110" s="62"/>
      <c r="G110" s="63"/>
      <c r="H110" s="63"/>
      <c r="I110" s="63"/>
      <c r="J110" s="64"/>
      <c r="K110" s="54"/>
      <c r="L110" s="54"/>
      <c r="M110" s="54"/>
      <c r="N110" s="64"/>
      <c r="O110" s="65"/>
      <c r="P110" s="56"/>
      <c r="Q110" s="66"/>
      <c r="R110" s="64"/>
      <c r="S110" s="56"/>
      <c r="T110" s="56"/>
      <c r="U110" s="64"/>
      <c r="V110" s="64"/>
      <c r="W110" s="64"/>
      <c r="X110" s="56"/>
      <c r="Y110" s="64"/>
      <c r="Z110" s="64"/>
      <c r="AA110" s="56"/>
      <c r="AB110" s="64"/>
      <c r="AC110" s="64"/>
      <c r="AD110" s="56"/>
      <c r="AE110" s="56"/>
      <c r="AF110" s="67"/>
      <c r="AG110" s="38"/>
    </row>
    <row r="111">
      <c r="A111" s="60"/>
      <c r="B111" s="61"/>
      <c r="C111" s="61"/>
      <c r="D111" s="62"/>
      <c r="E111" s="62"/>
      <c r="F111" s="62"/>
      <c r="G111" s="63"/>
      <c r="H111" s="63"/>
      <c r="I111" s="63"/>
      <c r="J111" s="64"/>
      <c r="K111" s="54"/>
      <c r="L111" s="54"/>
      <c r="M111" s="54"/>
      <c r="N111" s="64"/>
      <c r="O111" s="65"/>
      <c r="P111" s="56"/>
      <c r="Q111" s="66"/>
      <c r="R111" s="64"/>
      <c r="S111" s="56"/>
      <c r="T111" s="56"/>
      <c r="U111" s="64"/>
      <c r="V111" s="64"/>
      <c r="W111" s="64"/>
      <c r="X111" s="56"/>
      <c r="Y111" s="64"/>
      <c r="Z111" s="64"/>
      <c r="AA111" s="56"/>
      <c r="AB111" s="64"/>
      <c r="AC111" s="64"/>
      <c r="AD111" s="56"/>
      <c r="AE111" s="56"/>
      <c r="AF111" s="67"/>
      <c r="AG111" s="38"/>
    </row>
    <row r="112">
      <c r="A112" s="72"/>
      <c r="B112" s="73"/>
      <c r="C112" s="73"/>
      <c r="D112" s="74"/>
      <c r="E112" s="74"/>
      <c r="F112" s="74"/>
      <c r="G112" s="75"/>
      <c r="H112" s="75"/>
      <c r="I112" s="75"/>
      <c r="J112" s="54"/>
      <c r="K112" s="54"/>
      <c r="L112" s="54"/>
      <c r="M112" s="54"/>
      <c r="N112" s="54"/>
      <c r="O112" s="68"/>
      <c r="P112" s="69"/>
      <c r="Q112" s="70"/>
      <c r="R112" s="54"/>
      <c r="S112" s="69"/>
      <c r="T112" s="69"/>
      <c r="U112" s="54"/>
      <c r="V112" s="54"/>
      <c r="W112" s="54"/>
      <c r="X112" s="69"/>
      <c r="Y112" s="54"/>
      <c r="Z112" s="54"/>
      <c r="AA112" s="69"/>
      <c r="AB112" s="54"/>
      <c r="AC112" s="54"/>
      <c r="AD112" s="69"/>
      <c r="AE112" s="69"/>
      <c r="AF112" s="71"/>
      <c r="AG112" s="38"/>
    </row>
    <row r="113">
      <c r="A113" s="72"/>
      <c r="B113" s="73"/>
      <c r="C113" s="73"/>
      <c r="D113" s="74"/>
      <c r="E113" s="74"/>
      <c r="F113" s="74"/>
      <c r="G113" s="75"/>
      <c r="H113" s="75"/>
      <c r="I113" s="75"/>
      <c r="J113" s="54"/>
      <c r="K113" s="54"/>
      <c r="L113" s="54"/>
      <c r="M113" s="54"/>
      <c r="N113" s="54"/>
      <c r="O113" s="68"/>
      <c r="P113" s="69"/>
      <c r="Q113" s="70"/>
      <c r="R113" s="54"/>
      <c r="S113" s="69"/>
      <c r="T113" s="69"/>
      <c r="U113" s="54"/>
      <c r="V113" s="54"/>
      <c r="W113" s="54"/>
      <c r="X113" s="69"/>
      <c r="Y113" s="54"/>
      <c r="Z113" s="54"/>
      <c r="AA113" s="69"/>
      <c r="AB113" s="54"/>
      <c r="AC113" s="54"/>
      <c r="AD113" s="69"/>
      <c r="AE113" s="69"/>
      <c r="AF113" s="71"/>
      <c r="AG113" s="38"/>
    </row>
    <row r="114">
      <c r="A114" s="84">
        <f>IF(COUNTA(M110:M113)=0,"",IF(COUNTA(F110:F113)=0,IF(COUNTA(D110:D113)=0,"Totals - Final","Totals - Estimated"),"Totals - Corrected"))</f>
      </c>
      <c r="B114" s="87">
        <f>IF(ISNA(INDEX(B110:B113,MAX(MATCH(REPT("z",255),B110:B113)))),"",INDEX(B110:B113,MAX(MATCH(REPT("z",255),B110:B113))))</f>
      </c>
      <c r="C114" s="87">
        <f>IF(ISNA(INDEX(C110:C113,MAX(MATCH(REPT("z",255),C110:C113)))),"",INDEX(C110:C113,MAX(MATCH(REPT("z",255),C110:C113))))</f>
      </c>
      <c r="D114" s="87">
        <f>IF(ISNA(INDEX(A110:A113,MAX(MATCH(REPT("z",255),A110:A113)))),"",INDEX(A110:A113,MAX(MATCH(REPT("z",255),A110:A113))))</f>
      </c>
      <c r="E114" s="85"/>
      <c r="F114" s="85"/>
      <c r="G114" s="86"/>
      <c r="H114" s="86"/>
      <c r="I114" s="86"/>
      <c r="J114" s="76">
        <f ref="J114:J114" t="array">SUM(IF(NOT(ISBLANK($B109:$B113)),J109:J113,""))</f>
      </c>
      <c r="K114" s="76">
        <f ref="K114:K114" t="array">SUM(IF(NOT(ISBLANK($B109:$B113)),K109:K113,""))</f>
      </c>
      <c r="L114" s="76">
        <f ref="L114:L114" t="array">SUM(IF(NOT(ISBLANK($B109:$B113)),L109:L113,""))</f>
      </c>
      <c r="M114" s="76">
        <f ref="M114:M114" t="array">SUM(IF(NOT(ISBLANK($B109:$B113)),M109:M113,""))</f>
      </c>
      <c r="N114" s="76">
        <f ref="N114:N114" t="array">SUM(IF(NOT(ISBLANK($B109:$B113)),N109:N113,""))</f>
      </c>
      <c r="O114" s="76">
        <f ref="O114:O114" t="array">SUM(IF(NOT(ISBLANK($B109:$B113)),O109:O113,""))</f>
      </c>
      <c r="P114" s="77"/>
      <c r="Q114" s="76">
        <f ref="Q114:Q114" t="array">SUM(IF(NOT(ISBLANK($B109:$B113)),Q109:Q113,""))</f>
      </c>
      <c r="R114" s="76">
        <f ref="R114:R114" t="array">SUM(IF(NOT(ISBLANK($B109:$B113)),R109:R113,""))</f>
      </c>
      <c r="S114" s="77"/>
      <c r="T114" s="77"/>
      <c r="U114" s="76">
        <f ref="U114:U114" t="array">SUM(IF(NOT(ISBLANK($B109:$B113)),U109:U113,""))</f>
      </c>
      <c r="V114" s="76">
        <f ref="V114:V114" t="array">SUM(IF(NOT(ISBLANK($B109:$B113)),V109:V113,""))</f>
      </c>
      <c r="W114" s="76">
        <f ref="W114:W114" t="array">SUM(IF(NOT(ISBLANK($B109:$B113)),W109:W113,""))</f>
      </c>
      <c r="X114" s="77"/>
      <c r="Y114" s="76">
        <f ref="Y114:Y114" t="array">SUM(IF(NOT(ISBLANK($B109:$B113)),Y109:Y113,""))</f>
      </c>
      <c r="Z114" s="76">
        <f ref="Z114:Z114" t="array">SUM(IF(NOT(ISBLANK($B109:$B113)),Z109:Z113,""))</f>
      </c>
      <c r="AA114" s="77"/>
      <c r="AB114" s="76">
        <f ref="AB114:AB114" t="array">SUM(IF(NOT(ISBLANK($B109:$B113)),AB109:AB113,""))</f>
      </c>
      <c r="AC114" s="76">
        <f ref="AC114:AC114" t="array">SUM(IF(NOT(ISBLANK($B109:$B113)),AC109:AC113,""))</f>
      </c>
      <c r="AD114" s="77"/>
      <c r="AE114" s="77"/>
      <c r="AF114" s="78"/>
      <c r="AG114" s="79">
        <v>1</v>
      </c>
    </row>
    <row r="115" ht="0" hidden="1">
      <c r="A115" s="50"/>
      <c r="B115" s="51"/>
      <c r="C115" s="51"/>
      <c r="D115" s="80"/>
      <c r="E115" s="80"/>
      <c r="F115" s="80"/>
      <c r="G115" s="81"/>
      <c r="H115" s="81"/>
      <c r="I115" s="81"/>
      <c r="J115" s="53"/>
      <c r="K115" s="54"/>
      <c r="L115" s="54"/>
      <c r="M115" s="54"/>
      <c r="N115" s="53"/>
      <c r="O115" s="55"/>
      <c r="P115" s="82"/>
      <c r="Q115" s="57"/>
      <c r="R115" s="53"/>
      <c r="S115" s="82"/>
      <c r="T115" s="82"/>
      <c r="U115" s="53"/>
      <c r="V115" s="53"/>
      <c r="W115" s="53"/>
      <c r="X115" s="82"/>
      <c r="Y115" s="53"/>
      <c r="Z115" s="53"/>
      <c r="AA115" s="82"/>
      <c r="AB115" s="53"/>
      <c r="AC115" s="53"/>
      <c r="AD115" s="82"/>
      <c r="AE115" s="82"/>
      <c r="AF115" s="83"/>
      <c r="AG115" s="38"/>
    </row>
    <row r="116">
      <c r="A116" s="60"/>
      <c r="B116" s="61"/>
      <c r="C116" s="61"/>
      <c r="D116" s="62"/>
      <c r="E116" s="62"/>
      <c r="F116" s="62"/>
      <c r="G116" s="63"/>
      <c r="H116" s="63"/>
      <c r="I116" s="63"/>
      <c r="J116" s="64"/>
      <c r="K116" s="54"/>
      <c r="L116" s="54"/>
      <c r="M116" s="54"/>
      <c r="N116" s="64"/>
      <c r="O116" s="65"/>
      <c r="P116" s="56"/>
      <c r="Q116" s="66"/>
      <c r="R116" s="64"/>
      <c r="S116" s="56"/>
      <c r="T116" s="56"/>
      <c r="U116" s="64"/>
      <c r="V116" s="64"/>
      <c r="W116" s="64"/>
      <c r="X116" s="56"/>
      <c r="Y116" s="64"/>
      <c r="Z116" s="64"/>
      <c r="AA116" s="56"/>
      <c r="AB116" s="64"/>
      <c r="AC116" s="64"/>
      <c r="AD116" s="56"/>
      <c r="AE116" s="56"/>
      <c r="AF116" s="67"/>
      <c r="AG116" s="38"/>
    </row>
    <row r="117">
      <c r="A117" s="60"/>
      <c r="B117" s="61"/>
      <c r="C117" s="61"/>
      <c r="D117" s="62"/>
      <c r="E117" s="62"/>
      <c r="F117" s="62"/>
      <c r="G117" s="63"/>
      <c r="H117" s="63"/>
      <c r="I117" s="63"/>
      <c r="J117" s="64"/>
      <c r="K117" s="54"/>
      <c r="L117" s="54"/>
      <c r="M117" s="54"/>
      <c r="N117" s="64"/>
      <c r="O117" s="65"/>
      <c r="P117" s="56"/>
      <c r="Q117" s="66"/>
      <c r="R117" s="64"/>
      <c r="S117" s="56"/>
      <c r="T117" s="56"/>
      <c r="U117" s="64"/>
      <c r="V117" s="64"/>
      <c r="W117" s="64"/>
      <c r="X117" s="56"/>
      <c r="Y117" s="64"/>
      <c r="Z117" s="64"/>
      <c r="AA117" s="56"/>
      <c r="AB117" s="64"/>
      <c r="AC117" s="64"/>
      <c r="AD117" s="56"/>
      <c r="AE117" s="56"/>
      <c r="AF117" s="67"/>
      <c r="AG117" s="38"/>
    </row>
    <row r="118">
      <c r="A118" s="72"/>
      <c r="B118" s="73"/>
      <c r="C118" s="73"/>
      <c r="D118" s="74"/>
      <c r="E118" s="74"/>
      <c r="F118" s="74"/>
      <c r="G118" s="75"/>
      <c r="H118" s="75"/>
      <c r="I118" s="75"/>
      <c r="J118" s="54"/>
      <c r="K118" s="54"/>
      <c r="L118" s="54"/>
      <c r="M118" s="54"/>
      <c r="N118" s="54"/>
      <c r="O118" s="68"/>
      <c r="P118" s="69"/>
      <c r="Q118" s="70"/>
      <c r="R118" s="54"/>
      <c r="S118" s="69"/>
      <c r="T118" s="69"/>
      <c r="U118" s="54"/>
      <c r="V118" s="54"/>
      <c r="W118" s="54"/>
      <c r="X118" s="69"/>
      <c r="Y118" s="54"/>
      <c r="Z118" s="54"/>
      <c r="AA118" s="69"/>
      <c r="AB118" s="54"/>
      <c r="AC118" s="54"/>
      <c r="AD118" s="69"/>
      <c r="AE118" s="69"/>
      <c r="AF118" s="71"/>
      <c r="AG118" s="38"/>
    </row>
    <row r="119">
      <c r="A119" s="72"/>
      <c r="B119" s="73"/>
      <c r="C119" s="73"/>
      <c r="D119" s="74"/>
      <c r="E119" s="74"/>
      <c r="F119" s="74"/>
      <c r="G119" s="75"/>
      <c r="H119" s="75"/>
      <c r="I119" s="75"/>
      <c r="J119" s="54"/>
      <c r="K119" s="54"/>
      <c r="L119" s="54"/>
      <c r="M119" s="54"/>
      <c r="N119" s="54"/>
      <c r="O119" s="68"/>
      <c r="P119" s="69"/>
      <c r="Q119" s="70"/>
      <c r="R119" s="54"/>
      <c r="S119" s="69"/>
      <c r="T119" s="69"/>
      <c r="U119" s="54"/>
      <c r="V119" s="54"/>
      <c r="W119" s="54"/>
      <c r="X119" s="69"/>
      <c r="Y119" s="54"/>
      <c r="Z119" s="54"/>
      <c r="AA119" s="69"/>
      <c r="AB119" s="54"/>
      <c r="AC119" s="54"/>
      <c r="AD119" s="69"/>
      <c r="AE119" s="69"/>
      <c r="AF119" s="71"/>
      <c r="AG119" s="38"/>
    </row>
    <row r="120">
      <c r="A120" s="84">
        <f>IF(COUNTA(M116:M119)=0,"",IF(COUNTA(F116:F119)=0,IF(COUNTA(D116:D119)=0,"Totals - Final","Totals - Estimated"),"Totals - Corrected"))</f>
      </c>
      <c r="B120" s="87">
        <f>IF(ISNA(INDEX(B116:B119,MAX(MATCH(REPT("z",255),B116:B119)))),"",INDEX(B116:B119,MAX(MATCH(REPT("z",255),B116:B119))))</f>
      </c>
      <c r="C120" s="87">
        <f>IF(ISNA(INDEX(C116:C119,MAX(MATCH(REPT("z",255),C116:C119)))),"",INDEX(C116:C119,MAX(MATCH(REPT("z",255),C116:C119))))</f>
      </c>
      <c r="D120" s="87">
        <f>IF(ISNA(INDEX(A116:A119,MAX(MATCH(REPT("z",255),A116:A119)))),"",INDEX(A116:A119,MAX(MATCH(REPT("z",255),A116:A119))))</f>
      </c>
      <c r="E120" s="85"/>
      <c r="F120" s="85"/>
      <c r="G120" s="86"/>
      <c r="H120" s="86"/>
      <c r="I120" s="86"/>
      <c r="J120" s="76">
        <f ref="J120:J120" t="array">SUM(IF(NOT(ISBLANK($B115:$B119)),J115:J119,""))</f>
      </c>
      <c r="K120" s="76">
        <f ref="K120:K120" t="array">SUM(IF(NOT(ISBLANK($B115:$B119)),K115:K119,""))</f>
      </c>
      <c r="L120" s="76">
        <f ref="L120:L120" t="array">SUM(IF(NOT(ISBLANK($B115:$B119)),L115:L119,""))</f>
      </c>
      <c r="M120" s="76">
        <f ref="M120:M120" t="array">SUM(IF(NOT(ISBLANK($B115:$B119)),M115:M119,""))</f>
      </c>
      <c r="N120" s="76">
        <f ref="N120:N120" t="array">SUM(IF(NOT(ISBLANK($B115:$B119)),N115:N119,""))</f>
      </c>
      <c r="O120" s="76">
        <f ref="O120:O120" t="array">SUM(IF(NOT(ISBLANK($B115:$B119)),O115:O119,""))</f>
      </c>
      <c r="P120" s="77"/>
      <c r="Q120" s="76">
        <f ref="Q120:Q120" t="array">SUM(IF(NOT(ISBLANK($B115:$B119)),Q115:Q119,""))</f>
      </c>
      <c r="R120" s="76">
        <f ref="R120:R120" t="array">SUM(IF(NOT(ISBLANK($B115:$B119)),R115:R119,""))</f>
      </c>
      <c r="S120" s="77"/>
      <c r="T120" s="77"/>
      <c r="U120" s="76">
        <f ref="U120:U120" t="array">SUM(IF(NOT(ISBLANK($B115:$B119)),U115:U119,""))</f>
      </c>
      <c r="V120" s="76">
        <f ref="V120:V120" t="array">SUM(IF(NOT(ISBLANK($B115:$B119)),V115:V119,""))</f>
      </c>
      <c r="W120" s="76">
        <f ref="W120:W120" t="array">SUM(IF(NOT(ISBLANK($B115:$B119)),W115:W119,""))</f>
      </c>
      <c r="X120" s="77"/>
      <c r="Y120" s="76">
        <f ref="Y120:Y120" t="array">SUM(IF(NOT(ISBLANK($B115:$B119)),Y115:Y119,""))</f>
      </c>
      <c r="Z120" s="76">
        <f ref="Z120:Z120" t="array">SUM(IF(NOT(ISBLANK($B115:$B119)),Z115:Z119,""))</f>
      </c>
      <c r="AA120" s="77"/>
      <c r="AB120" s="76">
        <f ref="AB120:AB120" t="array">SUM(IF(NOT(ISBLANK($B115:$B119)),AB115:AB119,""))</f>
      </c>
      <c r="AC120" s="76">
        <f ref="AC120:AC120" t="array">SUM(IF(NOT(ISBLANK($B115:$B119)),AC115:AC119,""))</f>
      </c>
      <c r="AD120" s="77"/>
      <c r="AE120" s="77"/>
      <c r="AF120" s="78"/>
      <c r="AG120" s="79">
        <v>1</v>
      </c>
    </row>
    <row r="121" ht="0" hidden="1">
      <c r="A121" s="50"/>
      <c r="B121" s="51"/>
      <c r="C121" s="51"/>
      <c r="D121" s="80"/>
      <c r="E121" s="80"/>
      <c r="F121" s="80"/>
      <c r="G121" s="81"/>
      <c r="H121" s="81"/>
      <c r="I121" s="81"/>
      <c r="J121" s="53"/>
      <c r="K121" s="54"/>
      <c r="L121" s="54"/>
      <c r="M121" s="54"/>
      <c r="N121" s="53"/>
      <c r="O121" s="55"/>
      <c r="P121" s="82"/>
      <c r="Q121" s="57"/>
      <c r="R121" s="53"/>
      <c r="S121" s="82"/>
      <c r="T121" s="82"/>
      <c r="U121" s="53"/>
      <c r="V121" s="53"/>
      <c r="W121" s="53"/>
      <c r="X121" s="82"/>
      <c r="Y121" s="53"/>
      <c r="Z121" s="53"/>
      <c r="AA121" s="82"/>
      <c r="AB121" s="53"/>
      <c r="AC121" s="53"/>
      <c r="AD121" s="82"/>
      <c r="AE121" s="82"/>
      <c r="AF121" s="83"/>
      <c r="AG121" s="38"/>
    </row>
    <row r="122">
      <c r="A122" s="60"/>
      <c r="B122" s="61"/>
      <c r="C122" s="61"/>
      <c r="D122" s="62"/>
      <c r="E122" s="62"/>
      <c r="F122" s="62"/>
      <c r="G122" s="63"/>
      <c r="H122" s="63"/>
      <c r="I122" s="63"/>
      <c r="J122" s="64"/>
      <c r="K122" s="54"/>
      <c r="L122" s="54"/>
      <c r="M122" s="54"/>
      <c r="N122" s="64"/>
      <c r="O122" s="65"/>
      <c r="P122" s="56"/>
      <c r="Q122" s="66"/>
      <c r="R122" s="64"/>
      <c r="S122" s="56"/>
      <c r="T122" s="56"/>
      <c r="U122" s="64"/>
      <c r="V122" s="64"/>
      <c r="W122" s="64"/>
      <c r="X122" s="56"/>
      <c r="Y122" s="64"/>
      <c r="Z122" s="64"/>
      <c r="AA122" s="56"/>
      <c r="AB122" s="64"/>
      <c r="AC122" s="64"/>
      <c r="AD122" s="56"/>
      <c r="AE122" s="56"/>
      <c r="AF122" s="67"/>
      <c r="AG122" s="38"/>
    </row>
    <row r="123">
      <c r="A123" s="60"/>
      <c r="B123" s="61"/>
      <c r="C123" s="61"/>
      <c r="D123" s="62"/>
      <c r="E123" s="62"/>
      <c r="F123" s="62"/>
      <c r="G123" s="63"/>
      <c r="H123" s="63"/>
      <c r="I123" s="63"/>
      <c r="J123" s="64"/>
      <c r="K123" s="54"/>
      <c r="L123" s="54"/>
      <c r="M123" s="54"/>
      <c r="N123" s="64"/>
      <c r="O123" s="65"/>
      <c r="P123" s="56"/>
      <c r="Q123" s="66"/>
      <c r="R123" s="64"/>
      <c r="S123" s="56"/>
      <c r="T123" s="56"/>
      <c r="U123" s="64"/>
      <c r="V123" s="64"/>
      <c r="W123" s="64"/>
      <c r="X123" s="56"/>
      <c r="Y123" s="64"/>
      <c r="Z123" s="64"/>
      <c r="AA123" s="56"/>
      <c r="AB123" s="64"/>
      <c r="AC123" s="64"/>
      <c r="AD123" s="56"/>
      <c r="AE123" s="56"/>
      <c r="AF123" s="67"/>
      <c r="AG123" s="38"/>
    </row>
    <row r="124">
      <c r="A124" s="72"/>
      <c r="B124" s="73"/>
      <c r="C124" s="73"/>
      <c r="D124" s="74"/>
      <c r="E124" s="74"/>
      <c r="F124" s="74"/>
      <c r="G124" s="75"/>
      <c r="H124" s="75"/>
      <c r="I124" s="75"/>
      <c r="J124" s="54"/>
      <c r="K124" s="54"/>
      <c r="L124" s="54"/>
      <c r="M124" s="54"/>
      <c r="N124" s="54"/>
      <c r="O124" s="68"/>
      <c r="P124" s="69"/>
      <c r="Q124" s="70"/>
      <c r="R124" s="54"/>
      <c r="S124" s="69"/>
      <c r="T124" s="69"/>
      <c r="U124" s="54"/>
      <c r="V124" s="54"/>
      <c r="W124" s="54"/>
      <c r="X124" s="69"/>
      <c r="Y124" s="54"/>
      <c r="Z124" s="54"/>
      <c r="AA124" s="69"/>
      <c r="AB124" s="54"/>
      <c r="AC124" s="54"/>
      <c r="AD124" s="69"/>
      <c r="AE124" s="69"/>
      <c r="AF124" s="71"/>
      <c r="AG124" s="38"/>
    </row>
    <row r="125">
      <c r="A125" s="72"/>
      <c r="B125" s="73"/>
      <c r="C125" s="73"/>
      <c r="D125" s="74"/>
      <c r="E125" s="74"/>
      <c r="F125" s="74"/>
      <c r="G125" s="75"/>
      <c r="H125" s="75"/>
      <c r="I125" s="75"/>
      <c r="J125" s="54"/>
      <c r="K125" s="54"/>
      <c r="L125" s="54"/>
      <c r="M125" s="54"/>
      <c r="N125" s="54"/>
      <c r="O125" s="68"/>
      <c r="P125" s="69"/>
      <c r="Q125" s="70"/>
      <c r="R125" s="54"/>
      <c r="S125" s="69"/>
      <c r="T125" s="69"/>
      <c r="U125" s="54"/>
      <c r="V125" s="54"/>
      <c r="W125" s="54"/>
      <c r="X125" s="69"/>
      <c r="Y125" s="54"/>
      <c r="Z125" s="54"/>
      <c r="AA125" s="69"/>
      <c r="AB125" s="54"/>
      <c r="AC125" s="54"/>
      <c r="AD125" s="69"/>
      <c r="AE125" s="69"/>
      <c r="AF125" s="71"/>
      <c r="AG125" s="38"/>
    </row>
    <row r="126">
      <c r="A126" s="84">
        <f>IF(COUNTA(M122:M125)=0,"",IF(COUNTA(F122:F125)=0,IF(COUNTA(D122:D125)=0,"Totals - Final","Totals - Estimated"),"Totals - Corrected"))</f>
      </c>
      <c r="B126" s="87">
        <f>IF(ISNA(INDEX(B122:B125,MAX(MATCH(REPT("z",255),B122:B125)))),"",INDEX(B122:B125,MAX(MATCH(REPT("z",255),B122:B125))))</f>
      </c>
      <c r="C126" s="87">
        <f>IF(ISNA(INDEX(C122:C125,MAX(MATCH(REPT("z",255),C122:C125)))),"",INDEX(C122:C125,MAX(MATCH(REPT("z",255),C122:C125))))</f>
      </c>
      <c r="D126" s="87">
        <f>IF(ISNA(INDEX(A122:A125,MAX(MATCH(REPT("z",255),A122:A125)))),"",INDEX(A122:A125,MAX(MATCH(REPT("z",255),A122:A125))))</f>
      </c>
      <c r="E126" s="85"/>
      <c r="F126" s="85"/>
      <c r="G126" s="86"/>
      <c r="H126" s="86"/>
      <c r="I126" s="86"/>
      <c r="J126" s="76">
        <f ref="J126:J126" t="array">SUM(IF(NOT(ISBLANK($B121:$B125)),J121:J125,""))</f>
      </c>
      <c r="K126" s="76">
        <f ref="K126:K126" t="array">SUM(IF(NOT(ISBLANK($B121:$B125)),K121:K125,""))</f>
      </c>
      <c r="L126" s="76">
        <f ref="L126:L126" t="array">SUM(IF(NOT(ISBLANK($B121:$B125)),L121:L125,""))</f>
      </c>
      <c r="M126" s="76">
        <f ref="M126:M126" t="array">SUM(IF(NOT(ISBLANK($B121:$B125)),M121:M125,""))</f>
      </c>
      <c r="N126" s="76">
        <f ref="N126:N126" t="array">SUM(IF(NOT(ISBLANK($B121:$B125)),N121:N125,""))</f>
      </c>
      <c r="O126" s="76">
        <f ref="O126:O126" t="array">SUM(IF(NOT(ISBLANK($B121:$B125)),O121:O125,""))</f>
      </c>
      <c r="P126" s="77"/>
      <c r="Q126" s="76">
        <f ref="Q126:Q126" t="array">SUM(IF(NOT(ISBLANK($B121:$B125)),Q121:Q125,""))</f>
      </c>
      <c r="R126" s="76">
        <f ref="R126:R126" t="array">SUM(IF(NOT(ISBLANK($B121:$B125)),R121:R125,""))</f>
      </c>
      <c r="S126" s="77"/>
      <c r="T126" s="77"/>
      <c r="U126" s="76">
        <f ref="U126:U126" t="array">SUM(IF(NOT(ISBLANK($B121:$B125)),U121:U125,""))</f>
      </c>
      <c r="V126" s="76">
        <f ref="V126:V126" t="array">SUM(IF(NOT(ISBLANK($B121:$B125)),V121:V125,""))</f>
      </c>
      <c r="W126" s="76">
        <f ref="W126:W126" t="array">SUM(IF(NOT(ISBLANK($B121:$B125)),W121:W125,""))</f>
      </c>
      <c r="X126" s="77"/>
      <c r="Y126" s="76">
        <f ref="Y126:Y126" t="array">SUM(IF(NOT(ISBLANK($B121:$B125)),Y121:Y125,""))</f>
      </c>
      <c r="Z126" s="76">
        <f ref="Z126:Z126" t="array">SUM(IF(NOT(ISBLANK($B121:$B125)),Z121:Z125,""))</f>
      </c>
      <c r="AA126" s="77"/>
      <c r="AB126" s="76">
        <f ref="AB126:AB126" t="array">SUM(IF(NOT(ISBLANK($B121:$B125)),AB121:AB125,""))</f>
      </c>
      <c r="AC126" s="76">
        <f ref="AC126:AC126" t="array">SUM(IF(NOT(ISBLANK($B121:$B125)),AC121:AC125,""))</f>
      </c>
      <c r="AD126" s="77"/>
      <c r="AE126" s="77"/>
      <c r="AF126" s="78"/>
      <c r="AG126" s="79">
        <v>1</v>
      </c>
    </row>
    <row r="127" ht="0" hidden="1">
      <c r="A127" s="50"/>
      <c r="B127" s="51"/>
      <c r="C127" s="51"/>
      <c r="D127" s="80"/>
      <c r="E127" s="80"/>
      <c r="F127" s="80"/>
      <c r="G127" s="81"/>
      <c r="H127" s="81"/>
      <c r="I127" s="81"/>
      <c r="J127" s="53"/>
      <c r="K127" s="54"/>
      <c r="L127" s="54"/>
      <c r="M127" s="54"/>
      <c r="N127" s="53"/>
      <c r="O127" s="55"/>
      <c r="P127" s="82"/>
      <c r="Q127" s="57"/>
      <c r="R127" s="53"/>
      <c r="S127" s="82"/>
      <c r="T127" s="82"/>
      <c r="U127" s="53"/>
      <c r="V127" s="53"/>
      <c r="W127" s="53"/>
      <c r="X127" s="82"/>
      <c r="Y127" s="53"/>
      <c r="Z127" s="53"/>
      <c r="AA127" s="82"/>
      <c r="AB127" s="53"/>
      <c r="AC127" s="53"/>
      <c r="AD127" s="82"/>
      <c r="AE127" s="82"/>
      <c r="AF127" s="83"/>
      <c r="AG127" s="38"/>
    </row>
    <row r="128">
      <c r="A128" s="60"/>
      <c r="B128" s="61"/>
      <c r="C128" s="61"/>
      <c r="D128" s="62"/>
      <c r="E128" s="62"/>
      <c r="F128" s="62"/>
      <c r="G128" s="63"/>
      <c r="H128" s="63"/>
      <c r="I128" s="63"/>
      <c r="J128" s="64"/>
      <c r="K128" s="54"/>
      <c r="L128" s="54"/>
      <c r="M128" s="54"/>
      <c r="N128" s="64"/>
      <c r="O128" s="65"/>
      <c r="P128" s="56"/>
      <c r="Q128" s="66"/>
      <c r="R128" s="64"/>
      <c r="S128" s="56"/>
      <c r="T128" s="56"/>
      <c r="U128" s="64"/>
      <c r="V128" s="64"/>
      <c r="W128" s="64"/>
      <c r="X128" s="56"/>
      <c r="Y128" s="64"/>
      <c r="Z128" s="64"/>
      <c r="AA128" s="56"/>
      <c r="AB128" s="64"/>
      <c r="AC128" s="64"/>
      <c r="AD128" s="56"/>
      <c r="AE128" s="56"/>
      <c r="AF128" s="67"/>
      <c r="AG128" s="38"/>
    </row>
    <row r="129">
      <c r="A129" s="60"/>
      <c r="B129" s="61"/>
      <c r="C129" s="61"/>
      <c r="D129" s="62"/>
      <c r="E129" s="62"/>
      <c r="F129" s="62"/>
      <c r="G129" s="63"/>
      <c r="H129" s="63"/>
      <c r="I129" s="63"/>
      <c r="J129" s="64"/>
      <c r="K129" s="54"/>
      <c r="L129" s="54"/>
      <c r="M129" s="54"/>
      <c r="N129" s="64"/>
      <c r="O129" s="65"/>
      <c r="P129" s="56"/>
      <c r="Q129" s="66"/>
      <c r="R129" s="64"/>
      <c r="S129" s="56"/>
      <c r="T129" s="56"/>
      <c r="U129" s="64"/>
      <c r="V129" s="64"/>
      <c r="W129" s="64"/>
      <c r="X129" s="56"/>
      <c r="Y129" s="64"/>
      <c r="Z129" s="64"/>
      <c r="AA129" s="56"/>
      <c r="AB129" s="64"/>
      <c r="AC129" s="64"/>
      <c r="AD129" s="56"/>
      <c r="AE129" s="56"/>
      <c r="AF129" s="67"/>
      <c r="AG129" s="38"/>
    </row>
    <row r="130">
      <c r="A130" s="72"/>
      <c r="B130" s="73"/>
      <c r="C130" s="73"/>
      <c r="D130" s="74"/>
      <c r="E130" s="74"/>
      <c r="F130" s="74"/>
      <c r="G130" s="75"/>
      <c r="H130" s="75"/>
      <c r="I130" s="75"/>
      <c r="J130" s="54"/>
      <c r="K130" s="54"/>
      <c r="L130" s="54"/>
      <c r="M130" s="54"/>
      <c r="N130" s="54"/>
      <c r="O130" s="68"/>
      <c r="P130" s="69"/>
      <c r="Q130" s="70"/>
      <c r="R130" s="54"/>
      <c r="S130" s="69"/>
      <c r="T130" s="69"/>
      <c r="U130" s="54"/>
      <c r="V130" s="54"/>
      <c r="W130" s="54"/>
      <c r="X130" s="69"/>
      <c r="Y130" s="54"/>
      <c r="Z130" s="54"/>
      <c r="AA130" s="69"/>
      <c r="AB130" s="54"/>
      <c r="AC130" s="54"/>
      <c r="AD130" s="69"/>
      <c r="AE130" s="69"/>
      <c r="AF130" s="71"/>
      <c r="AG130" s="38"/>
    </row>
    <row r="131">
      <c r="A131" s="72"/>
      <c r="B131" s="73"/>
      <c r="C131" s="73"/>
      <c r="D131" s="74"/>
      <c r="E131" s="74"/>
      <c r="F131" s="74"/>
      <c r="G131" s="75"/>
      <c r="H131" s="75"/>
      <c r="I131" s="75"/>
      <c r="J131" s="54"/>
      <c r="K131" s="54"/>
      <c r="L131" s="54"/>
      <c r="M131" s="54"/>
      <c r="N131" s="54"/>
      <c r="O131" s="68"/>
      <c r="P131" s="69"/>
      <c r="Q131" s="70"/>
      <c r="R131" s="54"/>
      <c r="S131" s="69"/>
      <c r="T131" s="69"/>
      <c r="U131" s="54"/>
      <c r="V131" s="54"/>
      <c r="W131" s="54"/>
      <c r="X131" s="69"/>
      <c r="Y131" s="54"/>
      <c r="Z131" s="54"/>
      <c r="AA131" s="69"/>
      <c r="AB131" s="54"/>
      <c r="AC131" s="54"/>
      <c r="AD131" s="69"/>
      <c r="AE131" s="69"/>
      <c r="AF131" s="71"/>
      <c r="AG131" s="38"/>
    </row>
    <row r="132">
      <c r="A132" s="84">
        <f>IF(COUNTA(M128:M131)=0,"",IF(COUNTA(F128:F131)=0,IF(COUNTA(D128:D131)=0,"Totals - Final","Totals - Estimated"),"Totals - Corrected"))</f>
      </c>
      <c r="B132" s="87">
        <f>IF(ISNA(INDEX(B128:B131,MAX(MATCH(REPT("z",255),B128:B131)))),"",INDEX(B128:B131,MAX(MATCH(REPT("z",255),B128:B131))))</f>
      </c>
      <c r="C132" s="87">
        <f>IF(ISNA(INDEX(C128:C131,MAX(MATCH(REPT("z",255),C128:C131)))),"",INDEX(C128:C131,MAX(MATCH(REPT("z",255),C128:C131))))</f>
      </c>
      <c r="D132" s="87">
        <f>IF(ISNA(INDEX(A128:A131,MAX(MATCH(REPT("z",255),A128:A131)))),"",INDEX(A128:A131,MAX(MATCH(REPT("z",255),A128:A131))))</f>
      </c>
      <c r="E132" s="85"/>
      <c r="F132" s="85"/>
      <c r="G132" s="86"/>
      <c r="H132" s="86"/>
      <c r="I132" s="86"/>
      <c r="J132" s="76">
        <f ref="J132:J132" t="array">SUM(IF(NOT(ISBLANK($B127:$B131)),J127:J131,""))</f>
      </c>
      <c r="K132" s="76">
        <f ref="K132:K132" t="array">SUM(IF(NOT(ISBLANK($B127:$B131)),K127:K131,""))</f>
      </c>
      <c r="L132" s="76">
        <f ref="L132:L132" t="array">SUM(IF(NOT(ISBLANK($B127:$B131)),L127:L131,""))</f>
      </c>
      <c r="M132" s="76">
        <f ref="M132:M132" t="array">SUM(IF(NOT(ISBLANK($B127:$B131)),M127:M131,""))</f>
      </c>
      <c r="N132" s="76">
        <f ref="N132:N132" t="array">SUM(IF(NOT(ISBLANK($B127:$B131)),N127:N131,""))</f>
      </c>
      <c r="O132" s="76">
        <f ref="O132:O132" t="array">SUM(IF(NOT(ISBLANK($B127:$B131)),O127:O131,""))</f>
      </c>
      <c r="P132" s="77"/>
      <c r="Q132" s="76">
        <f ref="Q132:Q132" t="array">SUM(IF(NOT(ISBLANK($B127:$B131)),Q127:Q131,""))</f>
      </c>
      <c r="R132" s="76">
        <f ref="R132:R132" t="array">SUM(IF(NOT(ISBLANK($B127:$B131)),R127:R131,""))</f>
      </c>
      <c r="S132" s="77"/>
      <c r="T132" s="77"/>
      <c r="U132" s="76">
        <f ref="U132:U132" t="array">SUM(IF(NOT(ISBLANK($B127:$B131)),U127:U131,""))</f>
      </c>
      <c r="V132" s="76">
        <f ref="V132:V132" t="array">SUM(IF(NOT(ISBLANK($B127:$B131)),V127:V131,""))</f>
      </c>
      <c r="W132" s="76">
        <f ref="W132:W132" t="array">SUM(IF(NOT(ISBLANK($B127:$B131)),W127:W131,""))</f>
      </c>
      <c r="X132" s="77"/>
      <c r="Y132" s="76">
        <f ref="Y132:Y132" t="array">SUM(IF(NOT(ISBLANK($B127:$B131)),Y127:Y131,""))</f>
      </c>
      <c r="Z132" s="76">
        <f ref="Z132:Z132" t="array">SUM(IF(NOT(ISBLANK($B127:$B131)),Z127:Z131,""))</f>
      </c>
      <c r="AA132" s="77"/>
      <c r="AB132" s="76">
        <f ref="AB132:AB132" t="array">SUM(IF(NOT(ISBLANK($B127:$B131)),AB127:AB131,""))</f>
      </c>
      <c r="AC132" s="76">
        <f ref="AC132:AC132" t="array">SUM(IF(NOT(ISBLANK($B127:$B131)),AC127:AC131,""))</f>
      </c>
      <c r="AD132" s="77"/>
      <c r="AE132" s="77"/>
      <c r="AF132" s="78"/>
      <c r="AG132" s="79">
        <v>1</v>
      </c>
    </row>
    <row r="133" ht="0" hidden="1">
      <c r="A133" s="50"/>
      <c r="B133" s="51"/>
      <c r="C133" s="51"/>
      <c r="D133" s="80"/>
      <c r="E133" s="80"/>
      <c r="F133" s="80"/>
      <c r="G133" s="81"/>
      <c r="H133" s="81"/>
      <c r="I133" s="81"/>
      <c r="J133" s="53"/>
      <c r="K133" s="54"/>
      <c r="L133" s="54"/>
      <c r="M133" s="54"/>
      <c r="N133" s="53"/>
      <c r="O133" s="55"/>
      <c r="P133" s="82"/>
      <c r="Q133" s="57"/>
      <c r="R133" s="53"/>
      <c r="S133" s="82"/>
      <c r="T133" s="82"/>
      <c r="U133" s="53"/>
      <c r="V133" s="53"/>
      <c r="W133" s="53"/>
      <c r="X133" s="82"/>
      <c r="Y133" s="53"/>
      <c r="Z133" s="53"/>
      <c r="AA133" s="82"/>
      <c r="AB133" s="53"/>
      <c r="AC133" s="53"/>
      <c r="AD133" s="82"/>
      <c r="AE133" s="82"/>
      <c r="AF133" s="83"/>
      <c r="AG133" s="38"/>
    </row>
    <row r="134">
      <c r="A134" s="60"/>
      <c r="B134" s="61"/>
      <c r="C134" s="61"/>
      <c r="D134" s="62"/>
      <c r="E134" s="62"/>
      <c r="F134" s="62"/>
      <c r="G134" s="63"/>
      <c r="H134" s="63"/>
      <c r="I134" s="63"/>
      <c r="J134" s="64"/>
      <c r="K134" s="54"/>
      <c r="L134" s="54"/>
      <c r="M134" s="54"/>
      <c r="N134" s="64"/>
      <c r="O134" s="65"/>
      <c r="P134" s="56"/>
      <c r="Q134" s="66"/>
      <c r="R134" s="64"/>
      <c r="S134" s="56"/>
      <c r="T134" s="56"/>
      <c r="U134" s="64"/>
      <c r="V134" s="64"/>
      <c r="W134" s="64"/>
      <c r="X134" s="56"/>
      <c r="Y134" s="64"/>
      <c r="Z134" s="64"/>
      <c r="AA134" s="56"/>
      <c r="AB134" s="64"/>
      <c r="AC134" s="64"/>
      <c r="AD134" s="56"/>
      <c r="AE134" s="56"/>
      <c r="AF134" s="67"/>
      <c r="AG134" s="38"/>
    </row>
    <row r="135">
      <c r="A135" s="60"/>
      <c r="B135" s="61"/>
      <c r="C135" s="61"/>
      <c r="D135" s="62"/>
      <c r="E135" s="62"/>
      <c r="F135" s="62"/>
      <c r="G135" s="63"/>
      <c r="H135" s="63"/>
      <c r="I135" s="63"/>
      <c r="J135" s="64"/>
      <c r="K135" s="54"/>
      <c r="L135" s="54"/>
      <c r="M135" s="54"/>
      <c r="N135" s="64"/>
      <c r="O135" s="65"/>
      <c r="P135" s="56"/>
      <c r="Q135" s="66"/>
      <c r="R135" s="64"/>
      <c r="S135" s="56"/>
      <c r="T135" s="56"/>
      <c r="U135" s="64"/>
      <c r="V135" s="64"/>
      <c r="W135" s="64"/>
      <c r="X135" s="56"/>
      <c r="Y135" s="64"/>
      <c r="Z135" s="64"/>
      <c r="AA135" s="56"/>
      <c r="AB135" s="64"/>
      <c r="AC135" s="64"/>
      <c r="AD135" s="56"/>
      <c r="AE135" s="56"/>
      <c r="AF135" s="67"/>
      <c r="AG135" s="38"/>
    </row>
    <row r="136">
      <c r="A136" s="72"/>
      <c r="B136" s="73"/>
      <c r="C136" s="73"/>
      <c r="D136" s="74"/>
      <c r="E136" s="74"/>
      <c r="F136" s="74"/>
      <c r="G136" s="75"/>
      <c r="H136" s="75"/>
      <c r="I136" s="75"/>
      <c r="J136" s="54"/>
      <c r="K136" s="54"/>
      <c r="L136" s="54"/>
      <c r="M136" s="54"/>
      <c r="N136" s="54"/>
      <c r="O136" s="68"/>
      <c r="P136" s="69"/>
      <c r="Q136" s="70"/>
      <c r="R136" s="54"/>
      <c r="S136" s="69"/>
      <c r="T136" s="69"/>
      <c r="U136" s="54"/>
      <c r="V136" s="54"/>
      <c r="W136" s="54"/>
      <c r="X136" s="69"/>
      <c r="Y136" s="54"/>
      <c r="Z136" s="54"/>
      <c r="AA136" s="69"/>
      <c r="AB136" s="54"/>
      <c r="AC136" s="54"/>
      <c r="AD136" s="69"/>
      <c r="AE136" s="69"/>
      <c r="AF136" s="71"/>
      <c r="AG136" s="38"/>
    </row>
    <row r="137">
      <c r="A137" s="72"/>
      <c r="B137" s="73"/>
      <c r="C137" s="73"/>
      <c r="D137" s="74"/>
      <c r="E137" s="74"/>
      <c r="F137" s="74"/>
      <c r="G137" s="75"/>
      <c r="H137" s="75"/>
      <c r="I137" s="75"/>
      <c r="J137" s="54"/>
      <c r="K137" s="54"/>
      <c r="L137" s="54"/>
      <c r="M137" s="54"/>
      <c r="N137" s="54"/>
      <c r="O137" s="68"/>
      <c r="P137" s="69"/>
      <c r="Q137" s="70"/>
      <c r="R137" s="54"/>
      <c r="S137" s="69"/>
      <c r="T137" s="69"/>
      <c r="U137" s="54"/>
      <c r="V137" s="54"/>
      <c r="W137" s="54"/>
      <c r="X137" s="69"/>
      <c r="Y137" s="54"/>
      <c r="Z137" s="54"/>
      <c r="AA137" s="69"/>
      <c r="AB137" s="54"/>
      <c r="AC137" s="54"/>
      <c r="AD137" s="69"/>
      <c r="AE137" s="69"/>
      <c r="AF137" s="71"/>
      <c r="AG137" s="38"/>
    </row>
    <row r="138">
      <c r="A138" s="84">
        <f>IF(COUNTA(M134:M137)=0,"",IF(COUNTA(F134:F137)=0,IF(COUNTA(D134:D137)=0,"Totals - Final","Totals - Estimated"),"Totals - Corrected"))</f>
      </c>
      <c r="B138" s="87">
        <f>IF(ISNA(INDEX(B134:B137,MAX(MATCH(REPT("z",255),B134:B137)))),"",INDEX(B134:B137,MAX(MATCH(REPT("z",255),B134:B137))))</f>
      </c>
      <c r="C138" s="87">
        <f>IF(ISNA(INDEX(C134:C137,MAX(MATCH(REPT("z",255),C134:C137)))),"",INDEX(C134:C137,MAX(MATCH(REPT("z",255),C134:C137))))</f>
      </c>
      <c r="D138" s="87">
        <f>IF(ISNA(INDEX(A134:A137,MAX(MATCH(REPT("z",255),A134:A137)))),"",INDEX(A134:A137,MAX(MATCH(REPT("z",255),A134:A137))))</f>
      </c>
      <c r="E138" s="85"/>
      <c r="F138" s="85"/>
      <c r="G138" s="86"/>
      <c r="H138" s="86"/>
      <c r="I138" s="86"/>
      <c r="J138" s="76">
        <f ref="J138:J138" t="array">SUM(IF(NOT(ISBLANK($B133:$B137)),J133:J137,""))</f>
      </c>
      <c r="K138" s="76">
        <f ref="K138:K138" t="array">SUM(IF(NOT(ISBLANK($B133:$B137)),K133:K137,""))</f>
      </c>
      <c r="L138" s="76">
        <f ref="L138:L138" t="array">SUM(IF(NOT(ISBLANK($B133:$B137)),L133:L137,""))</f>
      </c>
      <c r="M138" s="76">
        <f ref="M138:M138" t="array">SUM(IF(NOT(ISBLANK($B133:$B137)),M133:M137,""))</f>
      </c>
      <c r="N138" s="76">
        <f ref="N138:N138" t="array">SUM(IF(NOT(ISBLANK($B133:$B137)),N133:N137,""))</f>
      </c>
      <c r="O138" s="76">
        <f ref="O138:O138" t="array">SUM(IF(NOT(ISBLANK($B133:$B137)),O133:O137,""))</f>
      </c>
      <c r="P138" s="77"/>
      <c r="Q138" s="76">
        <f ref="Q138:Q138" t="array">SUM(IF(NOT(ISBLANK($B133:$B137)),Q133:Q137,""))</f>
      </c>
      <c r="R138" s="76">
        <f ref="R138:R138" t="array">SUM(IF(NOT(ISBLANK($B133:$B137)),R133:R137,""))</f>
      </c>
      <c r="S138" s="77"/>
      <c r="T138" s="77"/>
      <c r="U138" s="76">
        <f ref="U138:U138" t="array">SUM(IF(NOT(ISBLANK($B133:$B137)),U133:U137,""))</f>
      </c>
      <c r="V138" s="76">
        <f ref="V138:V138" t="array">SUM(IF(NOT(ISBLANK($B133:$B137)),V133:V137,""))</f>
      </c>
      <c r="W138" s="76">
        <f ref="W138:W138" t="array">SUM(IF(NOT(ISBLANK($B133:$B137)),W133:W137,""))</f>
      </c>
      <c r="X138" s="77"/>
      <c r="Y138" s="76">
        <f ref="Y138:Y138" t="array">SUM(IF(NOT(ISBLANK($B133:$B137)),Y133:Y137,""))</f>
      </c>
      <c r="Z138" s="76">
        <f ref="Z138:Z138" t="array">SUM(IF(NOT(ISBLANK($B133:$B137)),Z133:Z137,""))</f>
      </c>
      <c r="AA138" s="77"/>
      <c r="AB138" s="76">
        <f ref="AB138:AB138" t="array">SUM(IF(NOT(ISBLANK($B133:$B137)),AB133:AB137,""))</f>
      </c>
      <c r="AC138" s="76">
        <f ref="AC138:AC138" t="array">SUM(IF(NOT(ISBLANK($B133:$B137)),AC133:AC137,""))</f>
      </c>
      <c r="AD138" s="77"/>
      <c r="AE138" s="77"/>
      <c r="AF138" s="78"/>
      <c r="AG138" s="79">
        <v>1</v>
      </c>
    </row>
    <row r="139" ht="0" hidden="1">
      <c r="A139" s="50"/>
      <c r="B139" s="51"/>
      <c r="C139" s="51"/>
      <c r="D139" s="80"/>
      <c r="E139" s="80"/>
      <c r="F139" s="80"/>
      <c r="G139" s="81"/>
      <c r="H139" s="81"/>
      <c r="I139" s="81"/>
      <c r="J139" s="53"/>
      <c r="K139" s="54"/>
      <c r="L139" s="54"/>
      <c r="M139" s="54"/>
      <c r="N139" s="53"/>
      <c r="O139" s="55"/>
      <c r="P139" s="82"/>
      <c r="Q139" s="57"/>
      <c r="R139" s="53"/>
      <c r="S139" s="82"/>
      <c r="T139" s="82"/>
      <c r="U139" s="53"/>
      <c r="V139" s="53"/>
      <c r="W139" s="53"/>
      <c r="X139" s="82"/>
      <c r="Y139" s="53"/>
      <c r="Z139" s="53"/>
      <c r="AA139" s="82"/>
      <c r="AB139" s="53"/>
      <c r="AC139" s="53"/>
      <c r="AD139" s="82"/>
      <c r="AE139" s="82"/>
      <c r="AF139" s="83"/>
      <c r="AG139" s="38"/>
    </row>
    <row r="140">
      <c r="A140" s="60"/>
      <c r="B140" s="61"/>
      <c r="C140" s="61"/>
      <c r="D140" s="62"/>
      <c r="E140" s="62"/>
      <c r="F140" s="62"/>
      <c r="G140" s="63"/>
      <c r="H140" s="63"/>
      <c r="I140" s="63"/>
      <c r="J140" s="64"/>
      <c r="K140" s="54"/>
      <c r="L140" s="54"/>
      <c r="M140" s="54"/>
      <c r="N140" s="64"/>
      <c r="O140" s="65"/>
      <c r="P140" s="56"/>
      <c r="Q140" s="66"/>
      <c r="R140" s="64"/>
      <c r="S140" s="56"/>
      <c r="T140" s="56"/>
      <c r="U140" s="64"/>
      <c r="V140" s="64"/>
      <c r="W140" s="64"/>
      <c r="X140" s="56"/>
      <c r="Y140" s="64"/>
      <c r="Z140" s="64"/>
      <c r="AA140" s="56"/>
      <c r="AB140" s="64"/>
      <c r="AC140" s="64"/>
      <c r="AD140" s="56"/>
      <c r="AE140" s="56"/>
      <c r="AF140" s="67"/>
      <c r="AG140" s="38"/>
    </row>
    <row r="141">
      <c r="A141" s="60"/>
      <c r="B141" s="61"/>
      <c r="C141" s="61"/>
      <c r="D141" s="62"/>
      <c r="E141" s="62"/>
      <c r="F141" s="62"/>
      <c r="G141" s="63"/>
      <c r="H141" s="63"/>
      <c r="I141" s="63"/>
      <c r="J141" s="64"/>
      <c r="K141" s="54"/>
      <c r="L141" s="54"/>
      <c r="M141" s="54"/>
      <c r="N141" s="64"/>
      <c r="O141" s="65"/>
      <c r="P141" s="56"/>
      <c r="Q141" s="66"/>
      <c r="R141" s="64"/>
      <c r="S141" s="56"/>
      <c r="T141" s="56"/>
      <c r="U141" s="64"/>
      <c r="V141" s="64"/>
      <c r="W141" s="64"/>
      <c r="X141" s="56"/>
      <c r="Y141" s="64"/>
      <c r="Z141" s="64"/>
      <c r="AA141" s="56"/>
      <c r="AB141" s="64"/>
      <c r="AC141" s="64"/>
      <c r="AD141" s="56"/>
      <c r="AE141" s="56"/>
      <c r="AF141" s="67"/>
      <c r="AG141" s="38"/>
    </row>
    <row r="142">
      <c r="A142" s="72"/>
      <c r="B142" s="73"/>
      <c r="C142" s="73"/>
      <c r="D142" s="74"/>
      <c r="E142" s="74"/>
      <c r="F142" s="74"/>
      <c r="G142" s="75"/>
      <c r="H142" s="75"/>
      <c r="I142" s="75"/>
      <c r="J142" s="54"/>
      <c r="K142" s="54"/>
      <c r="L142" s="54"/>
      <c r="M142" s="54"/>
      <c r="N142" s="54"/>
      <c r="O142" s="68"/>
      <c r="P142" s="69"/>
      <c r="Q142" s="70"/>
      <c r="R142" s="54"/>
      <c r="S142" s="69"/>
      <c r="T142" s="69"/>
      <c r="U142" s="54"/>
      <c r="V142" s="54"/>
      <c r="W142" s="54"/>
      <c r="X142" s="69"/>
      <c r="Y142" s="54"/>
      <c r="Z142" s="54"/>
      <c r="AA142" s="69"/>
      <c r="AB142" s="54"/>
      <c r="AC142" s="54"/>
      <c r="AD142" s="69"/>
      <c r="AE142" s="69"/>
      <c r="AF142" s="71"/>
      <c r="AG142" s="38"/>
    </row>
    <row r="143">
      <c r="A143" s="72"/>
      <c r="B143" s="73"/>
      <c r="C143" s="73"/>
      <c r="D143" s="74"/>
      <c r="E143" s="74"/>
      <c r="F143" s="74"/>
      <c r="G143" s="75"/>
      <c r="H143" s="75"/>
      <c r="I143" s="75"/>
      <c r="J143" s="54"/>
      <c r="K143" s="54"/>
      <c r="L143" s="54"/>
      <c r="M143" s="54"/>
      <c r="N143" s="54"/>
      <c r="O143" s="68"/>
      <c r="P143" s="69"/>
      <c r="Q143" s="70"/>
      <c r="R143" s="54"/>
      <c r="S143" s="69"/>
      <c r="T143" s="69"/>
      <c r="U143" s="54"/>
      <c r="V143" s="54"/>
      <c r="W143" s="54"/>
      <c r="X143" s="69"/>
      <c r="Y143" s="54"/>
      <c r="Z143" s="54"/>
      <c r="AA143" s="69"/>
      <c r="AB143" s="54"/>
      <c r="AC143" s="54"/>
      <c r="AD143" s="69"/>
      <c r="AE143" s="69"/>
      <c r="AF143" s="71"/>
      <c r="AG143" s="38"/>
    </row>
    <row r="144">
      <c r="A144" s="84">
        <f>IF(COUNTA(M140:M143)=0,"",IF(COUNTA(F140:F143)=0,IF(COUNTA(D140:D143)=0,"Totals - Final","Totals - Estimated"),"Totals - Corrected"))</f>
      </c>
      <c r="B144" s="87">
        <f>IF(ISNA(INDEX(B140:B143,MAX(MATCH(REPT("z",255),B140:B143)))),"",INDEX(B140:B143,MAX(MATCH(REPT("z",255),B140:B143))))</f>
      </c>
      <c r="C144" s="87">
        <f>IF(ISNA(INDEX(C140:C143,MAX(MATCH(REPT("z",255),C140:C143)))),"",INDEX(C140:C143,MAX(MATCH(REPT("z",255),C140:C143))))</f>
      </c>
      <c r="D144" s="87">
        <f>IF(ISNA(INDEX(A140:A143,MAX(MATCH(REPT("z",255),A140:A143)))),"",INDEX(A140:A143,MAX(MATCH(REPT("z",255),A140:A143))))</f>
      </c>
      <c r="E144" s="85"/>
      <c r="F144" s="85"/>
      <c r="G144" s="86"/>
      <c r="H144" s="86"/>
      <c r="I144" s="86"/>
      <c r="J144" s="76">
        <f ref="J144:J144" t="array">SUM(IF(NOT(ISBLANK($B139:$B143)),J139:J143,""))</f>
      </c>
      <c r="K144" s="76">
        <f ref="K144:K144" t="array">SUM(IF(NOT(ISBLANK($B139:$B143)),K139:K143,""))</f>
      </c>
      <c r="L144" s="76">
        <f ref="L144:L144" t="array">SUM(IF(NOT(ISBLANK($B139:$B143)),L139:L143,""))</f>
      </c>
      <c r="M144" s="76">
        <f ref="M144:M144" t="array">SUM(IF(NOT(ISBLANK($B139:$B143)),M139:M143,""))</f>
      </c>
      <c r="N144" s="76">
        <f ref="N144:N144" t="array">SUM(IF(NOT(ISBLANK($B139:$B143)),N139:N143,""))</f>
      </c>
      <c r="O144" s="76">
        <f ref="O144:O144" t="array">SUM(IF(NOT(ISBLANK($B139:$B143)),O139:O143,""))</f>
      </c>
      <c r="P144" s="77"/>
      <c r="Q144" s="76">
        <f ref="Q144:Q144" t="array">SUM(IF(NOT(ISBLANK($B139:$B143)),Q139:Q143,""))</f>
      </c>
      <c r="R144" s="76">
        <f ref="R144:R144" t="array">SUM(IF(NOT(ISBLANK($B139:$B143)),R139:R143,""))</f>
      </c>
      <c r="S144" s="77"/>
      <c r="T144" s="77"/>
      <c r="U144" s="76">
        <f ref="U144:U144" t="array">SUM(IF(NOT(ISBLANK($B139:$B143)),U139:U143,""))</f>
      </c>
      <c r="V144" s="76">
        <f ref="V144:V144" t="array">SUM(IF(NOT(ISBLANK($B139:$B143)),V139:V143,""))</f>
      </c>
      <c r="W144" s="76">
        <f ref="W144:W144" t="array">SUM(IF(NOT(ISBLANK($B139:$B143)),W139:W143,""))</f>
      </c>
      <c r="X144" s="77"/>
      <c r="Y144" s="76">
        <f ref="Y144:Y144" t="array">SUM(IF(NOT(ISBLANK($B139:$B143)),Y139:Y143,""))</f>
      </c>
      <c r="Z144" s="76">
        <f ref="Z144:Z144" t="array">SUM(IF(NOT(ISBLANK($B139:$B143)),Z139:Z143,""))</f>
      </c>
      <c r="AA144" s="77"/>
      <c r="AB144" s="76">
        <f ref="AB144:AB144" t="array">SUM(IF(NOT(ISBLANK($B139:$B143)),AB139:AB143,""))</f>
      </c>
      <c r="AC144" s="76">
        <f ref="AC144:AC144" t="array">SUM(IF(NOT(ISBLANK($B139:$B143)),AC139:AC143,""))</f>
      </c>
      <c r="AD144" s="77"/>
      <c r="AE144" s="77"/>
      <c r="AF144" s="78"/>
      <c r="AG144" s="79">
        <v>1</v>
      </c>
    </row>
    <row r="145" ht="0" hidden="1">
      <c r="A145" s="50"/>
      <c r="B145" s="51"/>
      <c r="C145" s="51"/>
      <c r="D145" s="80"/>
      <c r="E145" s="80"/>
      <c r="F145" s="80"/>
      <c r="G145" s="81"/>
      <c r="H145" s="81"/>
      <c r="I145" s="81"/>
      <c r="J145" s="53"/>
      <c r="K145" s="54"/>
      <c r="L145" s="54"/>
      <c r="M145" s="54"/>
      <c r="N145" s="53"/>
      <c r="O145" s="55"/>
      <c r="P145" s="82"/>
      <c r="Q145" s="57"/>
      <c r="R145" s="53"/>
      <c r="S145" s="82"/>
      <c r="T145" s="82"/>
      <c r="U145" s="53"/>
      <c r="V145" s="53"/>
      <c r="W145" s="53"/>
      <c r="X145" s="82"/>
      <c r="Y145" s="53"/>
      <c r="Z145" s="53"/>
      <c r="AA145" s="82"/>
      <c r="AB145" s="53"/>
      <c r="AC145" s="53"/>
      <c r="AD145" s="82"/>
      <c r="AE145" s="82"/>
      <c r="AF145" s="83"/>
      <c r="AG145" s="38"/>
    </row>
    <row r="146">
      <c r="A146" s="60"/>
      <c r="B146" s="61"/>
      <c r="C146" s="61"/>
      <c r="D146" s="62"/>
      <c r="E146" s="62"/>
      <c r="F146" s="62"/>
      <c r="G146" s="63"/>
      <c r="H146" s="63"/>
      <c r="I146" s="63"/>
      <c r="J146" s="64"/>
      <c r="K146" s="54"/>
      <c r="L146" s="54"/>
      <c r="M146" s="54"/>
      <c r="N146" s="64"/>
      <c r="O146" s="65"/>
      <c r="P146" s="56"/>
      <c r="Q146" s="66"/>
      <c r="R146" s="64"/>
      <c r="S146" s="56"/>
      <c r="T146" s="56"/>
      <c r="U146" s="64"/>
      <c r="V146" s="64"/>
      <c r="W146" s="64"/>
      <c r="X146" s="56"/>
      <c r="Y146" s="64"/>
      <c r="Z146" s="64"/>
      <c r="AA146" s="56"/>
      <c r="AB146" s="64"/>
      <c r="AC146" s="64"/>
      <c r="AD146" s="56"/>
      <c r="AE146" s="56"/>
      <c r="AF146" s="67"/>
      <c r="AG146" s="38"/>
    </row>
    <row r="147">
      <c r="A147" s="60"/>
      <c r="B147" s="61"/>
      <c r="C147" s="61"/>
      <c r="D147" s="62"/>
      <c r="E147" s="62"/>
      <c r="F147" s="62"/>
      <c r="G147" s="63"/>
      <c r="H147" s="63"/>
      <c r="I147" s="63"/>
      <c r="J147" s="64"/>
      <c r="K147" s="54"/>
      <c r="L147" s="54"/>
      <c r="M147" s="54"/>
      <c r="N147" s="64"/>
      <c r="O147" s="65"/>
      <c r="P147" s="56"/>
      <c r="Q147" s="66"/>
      <c r="R147" s="64"/>
      <c r="S147" s="56"/>
      <c r="T147" s="56"/>
      <c r="U147" s="64"/>
      <c r="V147" s="64"/>
      <c r="W147" s="64"/>
      <c r="X147" s="56"/>
      <c r="Y147" s="64"/>
      <c r="Z147" s="64"/>
      <c r="AA147" s="56"/>
      <c r="AB147" s="64"/>
      <c r="AC147" s="64"/>
      <c r="AD147" s="56"/>
      <c r="AE147" s="56"/>
      <c r="AF147" s="67"/>
      <c r="AG147" s="38"/>
    </row>
    <row r="148">
      <c r="A148" s="72"/>
      <c r="B148" s="73"/>
      <c r="C148" s="73"/>
      <c r="D148" s="74"/>
      <c r="E148" s="74"/>
      <c r="F148" s="74"/>
      <c r="G148" s="75"/>
      <c r="H148" s="75"/>
      <c r="I148" s="75"/>
      <c r="J148" s="54"/>
      <c r="K148" s="54"/>
      <c r="L148" s="54"/>
      <c r="M148" s="54"/>
      <c r="N148" s="54"/>
      <c r="O148" s="68"/>
      <c r="P148" s="69"/>
      <c r="Q148" s="70"/>
      <c r="R148" s="54"/>
      <c r="S148" s="69"/>
      <c r="T148" s="69"/>
      <c r="U148" s="54"/>
      <c r="V148" s="54"/>
      <c r="W148" s="54"/>
      <c r="X148" s="69"/>
      <c r="Y148" s="54"/>
      <c r="Z148" s="54"/>
      <c r="AA148" s="69"/>
      <c r="AB148" s="54"/>
      <c r="AC148" s="54"/>
      <c r="AD148" s="69"/>
      <c r="AE148" s="69"/>
      <c r="AF148" s="71"/>
      <c r="AG148" s="38"/>
    </row>
    <row r="149">
      <c r="A149" s="72"/>
      <c r="B149" s="73"/>
      <c r="C149" s="73"/>
      <c r="D149" s="74"/>
      <c r="E149" s="74"/>
      <c r="F149" s="74"/>
      <c r="G149" s="75"/>
      <c r="H149" s="75"/>
      <c r="I149" s="75"/>
      <c r="J149" s="54"/>
      <c r="K149" s="54"/>
      <c r="L149" s="54"/>
      <c r="M149" s="54"/>
      <c r="N149" s="54"/>
      <c r="O149" s="68"/>
      <c r="P149" s="69"/>
      <c r="Q149" s="70"/>
      <c r="R149" s="54"/>
      <c r="S149" s="69"/>
      <c r="T149" s="69"/>
      <c r="U149" s="54"/>
      <c r="V149" s="54"/>
      <c r="W149" s="54"/>
      <c r="X149" s="69"/>
      <c r="Y149" s="54"/>
      <c r="Z149" s="54"/>
      <c r="AA149" s="69"/>
      <c r="AB149" s="54"/>
      <c r="AC149" s="54"/>
      <c r="AD149" s="69"/>
      <c r="AE149" s="69"/>
      <c r="AF149" s="71"/>
      <c r="AG149" s="38"/>
    </row>
    <row r="150">
      <c r="A150" s="84">
        <f>IF(COUNTA(M146:M149)=0,"",IF(COUNTA(F146:F149)=0,IF(COUNTA(D146:D149)=0,"Totals - Final","Totals - Estimated"),"Totals - Corrected"))</f>
      </c>
      <c r="B150" s="87">
        <f>IF(ISNA(INDEX(B146:B149,MAX(MATCH(REPT("z",255),B146:B149)))),"",INDEX(B146:B149,MAX(MATCH(REPT("z",255),B146:B149))))</f>
      </c>
      <c r="C150" s="87">
        <f>IF(ISNA(INDEX(C146:C149,MAX(MATCH(REPT("z",255),C146:C149)))),"",INDEX(C146:C149,MAX(MATCH(REPT("z",255),C146:C149))))</f>
      </c>
      <c r="D150" s="87">
        <f>IF(ISNA(INDEX(A146:A149,MAX(MATCH(REPT("z",255),A146:A149)))),"",INDEX(A146:A149,MAX(MATCH(REPT("z",255),A146:A149))))</f>
      </c>
      <c r="E150" s="85"/>
      <c r="F150" s="85"/>
      <c r="G150" s="86"/>
      <c r="H150" s="86"/>
      <c r="I150" s="86"/>
      <c r="J150" s="76">
        <f ref="J150:J150" t="array">SUM(IF(NOT(ISBLANK($B145:$B149)),J145:J149,""))</f>
      </c>
      <c r="K150" s="76">
        <f ref="K150:K150" t="array">SUM(IF(NOT(ISBLANK($B145:$B149)),K145:K149,""))</f>
      </c>
      <c r="L150" s="76">
        <f ref="L150:L150" t="array">SUM(IF(NOT(ISBLANK($B145:$B149)),L145:L149,""))</f>
      </c>
      <c r="M150" s="76">
        <f ref="M150:M150" t="array">SUM(IF(NOT(ISBLANK($B145:$B149)),M145:M149,""))</f>
      </c>
      <c r="N150" s="76">
        <f ref="N150:N150" t="array">SUM(IF(NOT(ISBLANK($B145:$B149)),N145:N149,""))</f>
      </c>
      <c r="O150" s="76">
        <f ref="O150:O150" t="array">SUM(IF(NOT(ISBLANK($B145:$B149)),O145:O149,""))</f>
      </c>
      <c r="P150" s="77"/>
      <c r="Q150" s="76">
        <f ref="Q150:Q150" t="array">SUM(IF(NOT(ISBLANK($B145:$B149)),Q145:Q149,""))</f>
      </c>
      <c r="R150" s="76">
        <f ref="R150:R150" t="array">SUM(IF(NOT(ISBLANK($B145:$B149)),R145:R149,""))</f>
      </c>
      <c r="S150" s="77"/>
      <c r="T150" s="77"/>
      <c r="U150" s="76">
        <f ref="U150:U150" t="array">SUM(IF(NOT(ISBLANK($B145:$B149)),U145:U149,""))</f>
      </c>
      <c r="V150" s="76">
        <f ref="V150:V150" t="array">SUM(IF(NOT(ISBLANK($B145:$B149)),V145:V149,""))</f>
      </c>
      <c r="W150" s="76">
        <f ref="W150:W150" t="array">SUM(IF(NOT(ISBLANK($B145:$B149)),W145:W149,""))</f>
      </c>
      <c r="X150" s="77"/>
      <c r="Y150" s="76">
        <f ref="Y150:Y150" t="array">SUM(IF(NOT(ISBLANK($B145:$B149)),Y145:Y149,""))</f>
      </c>
      <c r="Z150" s="76">
        <f ref="Z150:Z150" t="array">SUM(IF(NOT(ISBLANK($B145:$B149)),Z145:Z149,""))</f>
      </c>
      <c r="AA150" s="77"/>
      <c r="AB150" s="76">
        <f ref="AB150:AB150" t="array">SUM(IF(NOT(ISBLANK($B145:$B149)),AB145:AB149,""))</f>
      </c>
      <c r="AC150" s="76">
        <f ref="AC150:AC150" t="array">SUM(IF(NOT(ISBLANK($B145:$B149)),AC145:AC149,""))</f>
      </c>
      <c r="AD150" s="77"/>
      <c r="AE150" s="77"/>
      <c r="AF150" s="78"/>
      <c r="AG150" s="79">
        <v>1</v>
      </c>
    </row>
    <row r="151" ht="0" hidden="1">
      <c r="A151" s="50"/>
      <c r="B151" s="51"/>
      <c r="C151" s="51"/>
      <c r="D151" s="80"/>
      <c r="E151" s="80"/>
      <c r="F151" s="80"/>
      <c r="G151" s="81"/>
      <c r="H151" s="81"/>
      <c r="I151" s="81"/>
      <c r="J151" s="53"/>
      <c r="K151" s="54"/>
      <c r="L151" s="54"/>
      <c r="M151" s="54"/>
      <c r="N151" s="53"/>
      <c r="O151" s="55"/>
      <c r="P151" s="82"/>
      <c r="Q151" s="57"/>
      <c r="R151" s="53"/>
      <c r="S151" s="82"/>
      <c r="T151" s="82"/>
      <c r="U151" s="53"/>
      <c r="V151" s="53"/>
      <c r="W151" s="53"/>
      <c r="X151" s="82"/>
      <c r="Y151" s="53"/>
      <c r="Z151" s="53"/>
      <c r="AA151" s="82"/>
      <c r="AB151" s="53"/>
      <c r="AC151" s="53"/>
      <c r="AD151" s="82"/>
      <c r="AE151" s="82"/>
      <c r="AF151" s="83"/>
      <c r="AG151" s="38"/>
    </row>
    <row r="152">
      <c r="A152" s="60"/>
      <c r="B152" s="61"/>
      <c r="C152" s="61"/>
      <c r="D152" s="62"/>
      <c r="E152" s="62"/>
      <c r="F152" s="62"/>
      <c r="G152" s="63"/>
      <c r="H152" s="63"/>
      <c r="I152" s="63"/>
      <c r="J152" s="64"/>
      <c r="K152" s="54"/>
      <c r="L152" s="54"/>
      <c r="M152" s="54"/>
      <c r="N152" s="64"/>
      <c r="O152" s="65"/>
      <c r="P152" s="56"/>
      <c r="Q152" s="66"/>
      <c r="R152" s="64"/>
      <c r="S152" s="56"/>
      <c r="T152" s="56"/>
      <c r="U152" s="64"/>
      <c r="V152" s="64"/>
      <c r="W152" s="64"/>
      <c r="X152" s="56"/>
      <c r="Y152" s="64"/>
      <c r="Z152" s="64"/>
      <c r="AA152" s="56"/>
      <c r="AB152" s="64"/>
      <c r="AC152" s="64"/>
      <c r="AD152" s="56"/>
      <c r="AE152" s="56"/>
      <c r="AF152" s="67"/>
      <c r="AG152" s="38"/>
    </row>
    <row r="153">
      <c r="A153" s="60"/>
      <c r="B153" s="61"/>
      <c r="C153" s="61"/>
      <c r="D153" s="62"/>
      <c r="E153" s="62"/>
      <c r="F153" s="62"/>
      <c r="G153" s="63"/>
      <c r="H153" s="63"/>
      <c r="I153" s="63"/>
      <c r="J153" s="64"/>
      <c r="K153" s="54"/>
      <c r="L153" s="54"/>
      <c r="M153" s="54"/>
      <c r="N153" s="64"/>
      <c r="O153" s="65"/>
      <c r="P153" s="56"/>
      <c r="Q153" s="66"/>
      <c r="R153" s="64"/>
      <c r="S153" s="56"/>
      <c r="T153" s="56"/>
      <c r="U153" s="64"/>
      <c r="V153" s="64"/>
      <c r="W153" s="64"/>
      <c r="X153" s="56"/>
      <c r="Y153" s="64"/>
      <c r="Z153" s="64"/>
      <c r="AA153" s="56"/>
      <c r="AB153" s="64"/>
      <c r="AC153" s="64"/>
      <c r="AD153" s="56"/>
      <c r="AE153" s="56"/>
      <c r="AF153" s="67"/>
      <c r="AG153" s="38"/>
    </row>
    <row r="154">
      <c r="A154" s="72"/>
      <c r="B154" s="73"/>
      <c r="C154" s="73"/>
      <c r="D154" s="74"/>
      <c r="E154" s="74"/>
      <c r="F154" s="74"/>
      <c r="G154" s="75"/>
      <c r="H154" s="75"/>
      <c r="I154" s="75"/>
      <c r="J154" s="54"/>
      <c r="K154" s="54"/>
      <c r="L154" s="54"/>
      <c r="M154" s="54"/>
      <c r="N154" s="54"/>
      <c r="O154" s="68"/>
      <c r="P154" s="69"/>
      <c r="Q154" s="70"/>
      <c r="R154" s="54"/>
      <c r="S154" s="69"/>
      <c r="T154" s="69"/>
      <c r="U154" s="54"/>
      <c r="V154" s="54"/>
      <c r="W154" s="54"/>
      <c r="X154" s="69"/>
      <c r="Y154" s="54"/>
      <c r="Z154" s="54"/>
      <c r="AA154" s="69"/>
      <c r="AB154" s="54"/>
      <c r="AC154" s="54"/>
      <c r="AD154" s="69"/>
      <c r="AE154" s="69"/>
      <c r="AF154" s="71"/>
      <c r="AG154" s="38"/>
    </row>
    <row r="155">
      <c r="A155" s="72"/>
      <c r="B155" s="73"/>
      <c r="C155" s="73"/>
      <c r="D155" s="74"/>
      <c r="E155" s="74"/>
      <c r="F155" s="74"/>
      <c r="G155" s="75"/>
      <c r="H155" s="75"/>
      <c r="I155" s="75"/>
      <c r="J155" s="54"/>
      <c r="K155" s="54"/>
      <c r="L155" s="54"/>
      <c r="M155" s="54"/>
      <c r="N155" s="54"/>
      <c r="O155" s="68"/>
      <c r="P155" s="69"/>
      <c r="Q155" s="70"/>
      <c r="R155" s="54"/>
      <c r="S155" s="69"/>
      <c r="T155" s="69"/>
      <c r="U155" s="54"/>
      <c r="V155" s="54"/>
      <c r="W155" s="54"/>
      <c r="X155" s="69"/>
      <c r="Y155" s="54"/>
      <c r="Z155" s="54"/>
      <c r="AA155" s="69"/>
      <c r="AB155" s="54"/>
      <c r="AC155" s="54"/>
      <c r="AD155" s="69"/>
      <c r="AE155" s="69"/>
      <c r="AF155" s="71"/>
      <c r="AG155" s="38"/>
    </row>
    <row r="156">
      <c r="A156" s="84">
        <f>IF(COUNTA(M152:M155)=0,"",IF(COUNTA(F152:F155)=0,IF(COUNTA(D152:D155)=0,"Totals - Final","Totals - Estimated"),"Totals - Corrected"))</f>
      </c>
      <c r="B156" s="87">
        <f>IF(ISNA(INDEX(B152:B155,MAX(MATCH(REPT("z",255),B152:B155)))),"",INDEX(B152:B155,MAX(MATCH(REPT("z",255),B152:B155))))</f>
      </c>
      <c r="C156" s="87">
        <f>IF(ISNA(INDEX(C152:C155,MAX(MATCH(REPT("z",255),C152:C155)))),"",INDEX(C152:C155,MAX(MATCH(REPT("z",255),C152:C155))))</f>
      </c>
      <c r="D156" s="87">
        <f>IF(ISNA(INDEX(A152:A155,MAX(MATCH(REPT("z",255),A152:A155)))),"",INDEX(A152:A155,MAX(MATCH(REPT("z",255),A152:A155))))</f>
      </c>
      <c r="E156" s="85"/>
      <c r="F156" s="85"/>
      <c r="G156" s="86"/>
      <c r="H156" s="86"/>
      <c r="I156" s="86"/>
      <c r="J156" s="76">
        <f ref="J156:J156" t="array">SUM(IF(NOT(ISBLANK($B151:$B155)),J151:J155,""))</f>
      </c>
      <c r="K156" s="76">
        <f ref="K156:K156" t="array">SUM(IF(NOT(ISBLANK($B151:$B155)),K151:K155,""))</f>
      </c>
      <c r="L156" s="76">
        <f ref="L156:L156" t="array">SUM(IF(NOT(ISBLANK($B151:$B155)),L151:L155,""))</f>
      </c>
      <c r="M156" s="76">
        <f ref="M156:M156" t="array">SUM(IF(NOT(ISBLANK($B151:$B155)),M151:M155,""))</f>
      </c>
      <c r="N156" s="76">
        <f ref="N156:N156" t="array">SUM(IF(NOT(ISBLANK($B151:$B155)),N151:N155,""))</f>
      </c>
      <c r="O156" s="76">
        <f ref="O156:O156" t="array">SUM(IF(NOT(ISBLANK($B151:$B155)),O151:O155,""))</f>
      </c>
      <c r="P156" s="77"/>
      <c r="Q156" s="76">
        <f ref="Q156:Q156" t="array">SUM(IF(NOT(ISBLANK($B151:$B155)),Q151:Q155,""))</f>
      </c>
      <c r="R156" s="76">
        <f ref="R156:R156" t="array">SUM(IF(NOT(ISBLANK($B151:$B155)),R151:R155,""))</f>
      </c>
      <c r="S156" s="77"/>
      <c r="T156" s="77"/>
      <c r="U156" s="76">
        <f ref="U156:U156" t="array">SUM(IF(NOT(ISBLANK($B151:$B155)),U151:U155,""))</f>
      </c>
      <c r="V156" s="76">
        <f ref="V156:V156" t="array">SUM(IF(NOT(ISBLANK($B151:$B155)),V151:V155,""))</f>
      </c>
      <c r="W156" s="76">
        <f ref="W156:W156" t="array">SUM(IF(NOT(ISBLANK($B151:$B155)),W151:W155,""))</f>
      </c>
      <c r="X156" s="77"/>
      <c r="Y156" s="76">
        <f ref="Y156:Y156" t="array">SUM(IF(NOT(ISBLANK($B151:$B155)),Y151:Y155,""))</f>
      </c>
      <c r="Z156" s="76">
        <f ref="Z156:Z156" t="array">SUM(IF(NOT(ISBLANK($B151:$B155)),Z151:Z155,""))</f>
      </c>
      <c r="AA156" s="77"/>
      <c r="AB156" s="76">
        <f ref="AB156:AB156" t="array">SUM(IF(NOT(ISBLANK($B151:$B155)),AB151:AB155,""))</f>
      </c>
      <c r="AC156" s="76">
        <f ref="AC156:AC156" t="array">SUM(IF(NOT(ISBLANK($B151:$B155)),AC151:AC155,""))</f>
      </c>
      <c r="AD156" s="77"/>
      <c r="AE156" s="77"/>
      <c r="AF156" s="78"/>
      <c r="AG156" s="79">
        <v>1</v>
      </c>
    </row>
    <row r="157" ht="0" hidden="1">
      <c r="A157" s="50"/>
      <c r="B157" s="51"/>
      <c r="C157" s="51"/>
      <c r="D157" s="80"/>
      <c r="E157" s="80"/>
      <c r="F157" s="80"/>
      <c r="G157" s="81"/>
      <c r="H157" s="81"/>
      <c r="I157" s="81"/>
      <c r="J157" s="53"/>
      <c r="K157" s="54"/>
      <c r="L157" s="54"/>
      <c r="M157" s="54"/>
      <c r="N157" s="53"/>
      <c r="O157" s="55"/>
      <c r="P157" s="82"/>
      <c r="Q157" s="57"/>
      <c r="R157" s="53"/>
      <c r="S157" s="82"/>
      <c r="T157" s="82"/>
      <c r="U157" s="53"/>
      <c r="V157" s="53"/>
      <c r="W157" s="53"/>
      <c r="X157" s="82"/>
      <c r="Y157" s="53"/>
      <c r="Z157" s="53"/>
      <c r="AA157" s="82"/>
      <c r="AB157" s="53"/>
      <c r="AC157" s="53"/>
      <c r="AD157" s="82"/>
      <c r="AE157" s="82"/>
      <c r="AF157" s="83"/>
      <c r="AG157" s="38"/>
    </row>
    <row r="158">
      <c r="A158" s="60"/>
      <c r="B158" s="61"/>
      <c r="C158" s="61"/>
      <c r="D158" s="62"/>
      <c r="E158" s="62"/>
      <c r="F158" s="62"/>
      <c r="G158" s="63"/>
      <c r="H158" s="63"/>
      <c r="I158" s="63"/>
      <c r="J158" s="64"/>
      <c r="K158" s="54"/>
      <c r="L158" s="54"/>
      <c r="M158" s="54"/>
      <c r="N158" s="64"/>
      <c r="O158" s="65"/>
      <c r="P158" s="56"/>
      <c r="Q158" s="66"/>
      <c r="R158" s="64"/>
      <c r="S158" s="56"/>
      <c r="T158" s="56"/>
      <c r="U158" s="64"/>
      <c r="V158" s="64"/>
      <c r="W158" s="64"/>
      <c r="X158" s="56"/>
      <c r="Y158" s="64"/>
      <c r="Z158" s="64"/>
      <c r="AA158" s="56"/>
      <c r="AB158" s="64"/>
      <c r="AC158" s="64"/>
      <c r="AD158" s="56"/>
      <c r="AE158" s="56"/>
      <c r="AF158" s="67"/>
      <c r="AG158" s="38"/>
    </row>
    <row r="159">
      <c r="A159" s="60"/>
      <c r="B159" s="61"/>
      <c r="C159" s="61"/>
      <c r="D159" s="62"/>
      <c r="E159" s="62"/>
      <c r="F159" s="62"/>
      <c r="G159" s="63"/>
      <c r="H159" s="63"/>
      <c r="I159" s="63"/>
      <c r="J159" s="64"/>
      <c r="K159" s="54"/>
      <c r="L159" s="54"/>
      <c r="M159" s="54"/>
      <c r="N159" s="64"/>
      <c r="O159" s="65"/>
      <c r="P159" s="56"/>
      <c r="Q159" s="66"/>
      <c r="R159" s="64"/>
      <c r="S159" s="56"/>
      <c r="T159" s="56"/>
      <c r="U159" s="64"/>
      <c r="V159" s="64"/>
      <c r="W159" s="64"/>
      <c r="X159" s="56"/>
      <c r="Y159" s="64"/>
      <c r="Z159" s="64"/>
      <c r="AA159" s="56"/>
      <c r="AB159" s="64"/>
      <c r="AC159" s="64"/>
      <c r="AD159" s="56"/>
      <c r="AE159" s="56"/>
      <c r="AF159" s="67"/>
      <c r="AG159" s="38"/>
    </row>
    <row r="160">
      <c r="A160" s="72"/>
      <c r="B160" s="73"/>
      <c r="C160" s="73"/>
      <c r="D160" s="74"/>
      <c r="E160" s="74"/>
      <c r="F160" s="74"/>
      <c r="G160" s="75"/>
      <c r="H160" s="75"/>
      <c r="I160" s="75"/>
      <c r="J160" s="54"/>
      <c r="K160" s="54"/>
      <c r="L160" s="54"/>
      <c r="M160" s="54"/>
      <c r="N160" s="54"/>
      <c r="O160" s="68"/>
      <c r="P160" s="69"/>
      <c r="Q160" s="70"/>
      <c r="R160" s="54"/>
      <c r="S160" s="69"/>
      <c r="T160" s="69"/>
      <c r="U160" s="54"/>
      <c r="V160" s="54"/>
      <c r="W160" s="54"/>
      <c r="X160" s="69"/>
      <c r="Y160" s="54"/>
      <c r="Z160" s="54"/>
      <c r="AA160" s="69"/>
      <c r="AB160" s="54"/>
      <c r="AC160" s="54"/>
      <c r="AD160" s="69"/>
      <c r="AE160" s="69"/>
      <c r="AF160" s="71"/>
      <c r="AG160" s="38"/>
    </row>
    <row r="161">
      <c r="A161" s="72"/>
      <c r="B161" s="73"/>
      <c r="C161" s="73"/>
      <c r="D161" s="74"/>
      <c r="E161" s="74"/>
      <c r="F161" s="74"/>
      <c r="G161" s="75"/>
      <c r="H161" s="75"/>
      <c r="I161" s="75"/>
      <c r="J161" s="54"/>
      <c r="K161" s="54"/>
      <c r="L161" s="54"/>
      <c r="M161" s="54"/>
      <c r="N161" s="54"/>
      <c r="O161" s="68"/>
      <c r="P161" s="69"/>
      <c r="Q161" s="70"/>
      <c r="R161" s="54"/>
      <c r="S161" s="69"/>
      <c r="T161" s="69"/>
      <c r="U161" s="54"/>
      <c r="V161" s="54"/>
      <c r="W161" s="54"/>
      <c r="X161" s="69"/>
      <c r="Y161" s="54"/>
      <c r="Z161" s="54"/>
      <c r="AA161" s="69"/>
      <c r="AB161" s="54"/>
      <c r="AC161" s="54"/>
      <c r="AD161" s="69"/>
      <c r="AE161" s="69"/>
      <c r="AF161" s="71"/>
      <c r="AG161" s="38"/>
    </row>
    <row r="162">
      <c r="A162" s="84">
        <f>IF(COUNTA(M158:M161)=0,"",IF(COUNTA(F158:F161)=0,IF(COUNTA(D158:D161)=0,"Totals - Final","Totals - Estimated"),"Totals - Corrected"))</f>
      </c>
      <c r="B162" s="87">
        <f>IF(ISNA(INDEX(B158:B161,MAX(MATCH(REPT("z",255),B158:B161)))),"",INDEX(B158:B161,MAX(MATCH(REPT("z",255),B158:B161))))</f>
      </c>
      <c r="C162" s="87">
        <f>IF(ISNA(INDEX(C158:C161,MAX(MATCH(REPT("z",255),C158:C161)))),"",INDEX(C158:C161,MAX(MATCH(REPT("z",255),C158:C161))))</f>
      </c>
      <c r="D162" s="87">
        <f>IF(ISNA(INDEX(A158:A161,MAX(MATCH(REPT("z",255),A158:A161)))),"",INDEX(A158:A161,MAX(MATCH(REPT("z",255),A158:A161))))</f>
      </c>
      <c r="E162" s="85"/>
      <c r="F162" s="85"/>
      <c r="G162" s="86"/>
      <c r="H162" s="86"/>
      <c r="I162" s="86"/>
      <c r="J162" s="76">
        <f ref="J162:J162" t="array">SUM(IF(NOT(ISBLANK($B157:$B161)),J157:J161,""))</f>
      </c>
      <c r="K162" s="76">
        <f ref="K162:K162" t="array">SUM(IF(NOT(ISBLANK($B157:$B161)),K157:K161,""))</f>
      </c>
      <c r="L162" s="76">
        <f ref="L162:L162" t="array">SUM(IF(NOT(ISBLANK($B157:$B161)),L157:L161,""))</f>
      </c>
      <c r="M162" s="76">
        <f ref="M162:M162" t="array">SUM(IF(NOT(ISBLANK($B157:$B161)),M157:M161,""))</f>
      </c>
      <c r="N162" s="76">
        <f ref="N162:N162" t="array">SUM(IF(NOT(ISBLANK($B157:$B161)),N157:N161,""))</f>
      </c>
      <c r="O162" s="76">
        <f ref="O162:O162" t="array">SUM(IF(NOT(ISBLANK($B157:$B161)),O157:O161,""))</f>
      </c>
      <c r="P162" s="77"/>
      <c r="Q162" s="76">
        <f ref="Q162:Q162" t="array">SUM(IF(NOT(ISBLANK($B157:$B161)),Q157:Q161,""))</f>
      </c>
      <c r="R162" s="76">
        <f ref="R162:R162" t="array">SUM(IF(NOT(ISBLANK($B157:$B161)),R157:R161,""))</f>
      </c>
      <c r="S162" s="77"/>
      <c r="T162" s="77"/>
      <c r="U162" s="76">
        <f ref="U162:U162" t="array">SUM(IF(NOT(ISBLANK($B157:$B161)),U157:U161,""))</f>
      </c>
      <c r="V162" s="76">
        <f ref="V162:V162" t="array">SUM(IF(NOT(ISBLANK($B157:$B161)),V157:V161,""))</f>
      </c>
      <c r="W162" s="76">
        <f ref="W162:W162" t="array">SUM(IF(NOT(ISBLANK($B157:$B161)),W157:W161,""))</f>
      </c>
      <c r="X162" s="77"/>
      <c r="Y162" s="76">
        <f ref="Y162:Y162" t="array">SUM(IF(NOT(ISBLANK($B157:$B161)),Y157:Y161,""))</f>
      </c>
      <c r="Z162" s="76">
        <f ref="Z162:Z162" t="array">SUM(IF(NOT(ISBLANK($B157:$B161)),Z157:Z161,""))</f>
      </c>
      <c r="AA162" s="77"/>
      <c r="AB162" s="76">
        <f ref="AB162:AB162" t="array">SUM(IF(NOT(ISBLANK($B157:$B161)),AB157:AB161,""))</f>
      </c>
      <c r="AC162" s="76">
        <f ref="AC162:AC162" t="array">SUM(IF(NOT(ISBLANK($B157:$B161)),AC157:AC161,""))</f>
      </c>
      <c r="AD162" s="77"/>
      <c r="AE162" s="77"/>
      <c r="AF162" s="78"/>
      <c r="AG162" s="79">
        <v>1</v>
      </c>
    </row>
    <row r="163" ht="0" hidden="1">
      <c r="A163" s="50"/>
      <c r="B163" s="51"/>
      <c r="C163" s="51"/>
      <c r="D163" s="80"/>
      <c r="E163" s="80"/>
      <c r="F163" s="80"/>
      <c r="G163" s="81"/>
      <c r="H163" s="81"/>
      <c r="I163" s="81"/>
      <c r="J163" s="53"/>
      <c r="K163" s="54"/>
      <c r="L163" s="54"/>
      <c r="M163" s="54"/>
      <c r="N163" s="53"/>
      <c r="O163" s="55"/>
      <c r="P163" s="82"/>
      <c r="Q163" s="57"/>
      <c r="R163" s="53"/>
      <c r="S163" s="82"/>
      <c r="T163" s="82"/>
      <c r="U163" s="53"/>
      <c r="V163" s="53"/>
      <c r="W163" s="53"/>
      <c r="X163" s="82"/>
      <c r="Y163" s="53"/>
      <c r="Z163" s="53"/>
      <c r="AA163" s="82"/>
      <c r="AB163" s="53"/>
      <c r="AC163" s="53"/>
      <c r="AD163" s="82"/>
      <c r="AE163" s="82"/>
      <c r="AF163" s="83"/>
      <c r="AG163" s="38"/>
    </row>
    <row r="164">
      <c r="A164" s="60"/>
      <c r="B164" s="61"/>
      <c r="C164" s="61"/>
      <c r="D164" s="62"/>
      <c r="E164" s="62"/>
      <c r="F164" s="62"/>
      <c r="G164" s="63"/>
      <c r="H164" s="63"/>
      <c r="I164" s="63"/>
      <c r="J164" s="64"/>
      <c r="K164" s="54"/>
      <c r="L164" s="54"/>
      <c r="M164" s="54"/>
      <c r="N164" s="64"/>
      <c r="O164" s="65"/>
      <c r="P164" s="56"/>
      <c r="Q164" s="66"/>
      <c r="R164" s="64"/>
      <c r="S164" s="56"/>
      <c r="T164" s="56"/>
      <c r="U164" s="64"/>
      <c r="V164" s="64"/>
      <c r="W164" s="64"/>
      <c r="X164" s="56"/>
      <c r="Y164" s="64"/>
      <c r="Z164" s="64"/>
      <c r="AA164" s="56"/>
      <c r="AB164" s="64"/>
      <c r="AC164" s="64"/>
      <c r="AD164" s="56"/>
      <c r="AE164" s="56"/>
      <c r="AF164" s="67"/>
      <c r="AG164" s="38"/>
    </row>
    <row r="165">
      <c r="A165" s="60"/>
      <c r="B165" s="61"/>
      <c r="C165" s="61"/>
      <c r="D165" s="62"/>
      <c r="E165" s="62"/>
      <c r="F165" s="62"/>
      <c r="G165" s="63"/>
      <c r="H165" s="63"/>
      <c r="I165" s="63"/>
      <c r="J165" s="64"/>
      <c r="K165" s="54"/>
      <c r="L165" s="54"/>
      <c r="M165" s="54"/>
      <c r="N165" s="64"/>
      <c r="O165" s="65"/>
      <c r="P165" s="56"/>
      <c r="Q165" s="66"/>
      <c r="R165" s="64"/>
      <c r="S165" s="56"/>
      <c r="T165" s="56"/>
      <c r="U165" s="64"/>
      <c r="V165" s="64"/>
      <c r="W165" s="64"/>
      <c r="X165" s="56"/>
      <c r="Y165" s="64"/>
      <c r="Z165" s="64"/>
      <c r="AA165" s="56"/>
      <c r="AB165" s="64"/>
      <c r="AC165" s="64"/>
      <c r="AD165" s="56"/>
      <c r="AE165" s="56"/>
      <c r="AF165" s="67"/>
      <c r="AG165" s="38"/>
    </row>
    <row r="166">
      <c r="A166" s="72"/>
      <c r="B166" s="73"/>
      <c r="C166" s="73"/>
      <c r="D166" s="74"/>
      <c r="E166" s="74"/>
      <c r="F166" s="74"/>
      <c r="G166" s="75"/>
      <c r="H166" s="75"/>
      <c r="I166" s="75"/>
      <c r="J166" s="54"/>
      <c r="K166" s="54"/>
      <c r="L166" s="54"/>
      <c r="M166" s="54"/>
      <c r="N166" s="54"/>
      <c r="O166" s="68"/>
      <c r="P166" s="69"/>
      <c r="Q166" s="70"/>
      <c r="R166" s="54"/>
      <c r="S166" s="69"/>
      <c r="T166" s="69"/>
      <c r="U166" s="54"/>
      <c r="V166" s="54"/>
      <c r="W166" s="54"/>
      <c r="X166" s="69"/>
      <c r="Y166" s="54"/>
      <c r="Z166" s="54"/>
      <c r="AA166" s="69"/>
      <c r="AB166" s="54"/>
      <c r="AC166" s="54"/>
      <c r="AD166" s="69"/>
      <c r="AE166" s="69"/>
      <c r="AF166" s="71"/>
      <c r="AG166" s="38"/>
    </row>
    <row r="167">
      <c r="A167" s="72"/>
      <c r="B167" s="73"/>
      <c r="C167" s="73"/>
      <c r="D167" s="74"/>
      <c r="E167" s="74"/>
      <c r="F167" s="74"/>
      <c r="G167" s="75"/>
      <c r="H167" s="75"/>
      <c r="I167" s="75"/>
      <c r="J167" s="54"/>
      <c r="K167" s="54"/>
      <c r="L167" s="54"/>
      <c r="M167" s="54"/>
      <c r="N167" s="54"/>
      <c r="O167" s="68"/>
      <c r="P167" s="69"/>
      <c r="Q167" s="70"/>
      <c r="R167" s="54"/>
      <c r="S167" s="69"/>
      <c r="T167" s="69"/>
      <c r="U167" s="54"/>
      <c r="V167" s="54"/>
      <c r="W167" s="54"/>
      <c r="X167" s="69"/>
      <c r="Y167" s="54"/>
      <c r="Z167" s="54"/>
      <c r="AA167" s="69"/>
      <c r="AB167" s="54"/>
      <c r="AC167" s="54"/>
      <c r="AD167" s="69"/>
      <c r="AE167" s="69"/>
      <c r="AF167" s="71"/>
      <c r="AG167" s="38"/>
    </row>
    <row r="168">
      <c r="A168" s="84">
        <f>IF(COUNTA(M164:M167)=0,"",IF(COUNTA(F164:F167)=0,IF(COUNTA(D164:D167)=0,"Totals - Final","Totals - Estimated"),"Totals - Corrected"))</f>
      </c>
      <c r="B168" s="87">
        <f>IF(ISNA(INDEX(B164:B167,MAX(MATCH(REPT("z",255),B164:B167)))),"",INDEX(B164:B167,MAX(MATCH(REPT("z",255),B164:B167))))</f>
      </c>
      <c r="C168" s="87">
        <f>IF(ISNA(INDEX(C164:C167,MAX(MATCH(REPT("z",255),C164:C167)))),"",INDEX(C164:C167,MAX(MATCH(REPT("z",255),C164:C167))))</f>
      </c>
      <c r="D168" s="87">
        <f>IF(ISNA(INDEX(A164:A167,MAX(MATCH(REPT("z",255),A164:A167)))),"",INDEX(A164:A167,MAX(MATCH(REPT("z",255),A164:A167))))</f>
      </c>
      <c r="E168" s="85"/>
      <c r="F168" s="85"/>
      <c r="G168" s="86"/>
      <c r="H168" s="86"/>
      <c r="I168" s="86"/>
      <c r="J168" s="76">
        <f ref="J168:J168" t="array">SUM(IF(NOT(ISBLANK($B163:$B167)),J163:J167,""))</f>
      </c>
      <c r="K168" s="76">
        <f ref="K168:K168" t="array">SUM(IF(NOT(ISBLANK($B163:$B167)),K163:K167,""))</f>
      </c>
      <c r="L168" s="76">
        <f ref="L168:L168" t="array">SUM(IF(NOT(ISBLANK($B163:$B167)),L163:L167,""))</f>
      </c>
      <c r="M168" s="76">
        <f ref="M168:M168" t="array">SUM(IF(NOT(ISBLANK($B163:$B167)),M163:M167,""))</f>
      </c>
      <c r="N168" s="76">
        <f ref="N168:N168" t="array">SUM(IF(NOT(ISBLANK($B163:$B167)),N163:N167,""))</f>
      </c>
      <c r="O168" s="76">
        <f ref="O168:O168" t="array">SUM(IF(NOT(ISBLANK($B163:$B167)),O163:O167,""))</f>
      </c>
      <c r="P168" s="77"/>
      <c r="Q168" s="76">
        <f ref="Q168:Q168" t="array">SUM(IF(NOT(ISBLANK($B163:$B167)),Q163:Q167,""))</f>
      </c>
      <c r="R168" s="76">
        <f ref="R168:R168" t="array">SUM(IF(NOT(ISBLANK($B163:$B167)),R163:R167,""))</f>
      </c>
      <c r="S168" s="77"/>
      <c r="T168" s="77"/>
      <c r="U168" s="76">
        <f ref="U168:U168" t="array">SUM(IF(NOT(ISBLANK($B163:$B167)),U163:U167,""))</f>
      </c>
      <c r="V168" s="76">
        <f ref="V168:V168" t="array">SUM(IF(NOT(ISBLANK($B163:$B167)),V163:V167,""))</f>
      </c>
      <c r="W168" s="76">
        <f ref="W168:W168" t="array">SUM(IF(NOT(ISBLANK($B163:$B167)),W163:W167,""))</f>
      </c>
      <c r="X168" s="77"/>
      <c r="Y168" s="76">
        <f ref="Y168:Y168" t="array">SUM(IF(NOT(ISBLANK($B163:$B167)),Y163:Y167,""))</f>
      </c>
      <c r="Z168" s="76">
        <f ref="Z168:Z168" t="array">SUM(IF(NOT(ISBLANK($B163:$B167)),Z163:Z167,""))</f>
      </c>
      <c r="AA168" s="77"/>
      <c r="AB168" s="76">
        <f ref="AB168:AB168" t="array">SUM(IF(NOT(ISBLANK($B163:$B167)),AB163:AB167,""))</f>
      </c>
      <c r="AC168" s="76">
        <f ref="AC168:AC168" t="array">SUM(IF(NOT(ISBLANK($B163:$B167)),AC163:AC167,""))</f>
      </c>
      <c r="AD168" s="77"/>
      <c r="AE168" s="77"/>
      <c r="AF168" s="78"/>
      <c r="AG168" s="79">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Lindsey Knoop Anderson - IRET</cp:lastModifiedBy>
  <cp:lastPrinted>2013-01-15T01:08:06Z</cp:lastPrinted>
  <dcterms:created xsi:type="dcterms:W3CDTF">2012-11-27T14:14:45Z</dcterms:created>
  <dcterms:modified xsi:type="dcterms:W3CDTF">2013-01-15T21:07:23Z</dcterms:modified>
</cp:coreProperties>
</file>